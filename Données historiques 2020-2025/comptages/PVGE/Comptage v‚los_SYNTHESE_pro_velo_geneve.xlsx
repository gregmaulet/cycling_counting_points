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0770" yWindow="-15" windowWidth="13305" windowHeight="9840" activeTab="4"/>
  </bookViews>
  <sheets>
    <sheet name="Index" sheetId="5" r:id="rId1"/>
    <sheet name="2020" sheetId="1" r:id="rId2"/>
    <sheet name="2021" sheetId="3" r:id="rId3"/>
    <sheet name="2022" sheetId="9" r:id="rId4"/>
    <sheet name="2023" sheetId="12" r:id="rId5"/>
    <sheet name="2024" sheetId="13" r:id="rId6"/>
    <sheet name="2025" sheetId="14" r:id="rId7"/>
    <sheet name="SYNTHESE" sheetId="8" r:id="rId8"/>
    <sheet name="2021-2020" sheetId="6" state="hidden" r:id="rId9"/>
  </sheets>
  <definedNames>
    <definedName name="_xlnm._FilterDatabase" localSheetId="1" hidden="1">'2020'!$A$1:$V$167</definedName>
    <definedName name="_xlnm._FilterDatabase" localSheetId="2" hidden="1">'2021'!$A$1:$V$167</definedName>
    <definedName name="_xlnm._FilterDatabase" localSheetId="8" hidden="1">'2021-2020'!$G$4:$X$4</definedName>
    <definedName name="_xlnm._FilterDatabase" localSheetId="3" hidden="1">'2022'!$A$1:$V$167</definedName>
    <definedName name="_xlnm._FilterDatabase" localSheetId="4" hidden="1">'2023'!$A$1:$V$167</definedName>
    <definedName name="_xlnm._FilterDatabase" localSheetId="5" hidden="1">'2024'!$A$1:$V$167</definedName>
    <definedName name="_xlnm._FilterDatabase" localSheetId="6" hidden="1">'2025'!$A$1:$V$167</definedName>
    <definedName name="_xlnm._FilterDatabase" localSheetId="7" hidden="1">SYNTHESE!$A$1:$BU$169</definedName>
    <definedName name="_xlnm.Print_Area" localSheetId="2">'2021'!$A$1:$AB$168</definedName>
    <definedName name="_xlnm.Print_Area" localSheetId="3">'2022'!$B$2:$V$168</definedName>
    <definedName name="_xlnm.Print_Area" localSheetId="4">'2023'!$B$2:$V$168</definedName>
    <definedName name="_xlnm.Print_Area" localSheetId="5">'2024'!$B$2:$V$168</definedName>
    <definedName name="_xlnm.Print_Area" localSheetId="6">'2025'!$B$2:$V$168</definedName>
    <definedName name="_xlnm.Print_Area" localSheetId="7">SYNTHESE!$B$2:$BU$257</definedName>
  </definedNames>
  <calcPr calcId="124519"/>
</workbook>
</file>

<file path=xl/calcChain.xml><?xml version="1.0" encoding="utf-8"?>
<calcChain xmlns="http://schemas.openxmlformats.org/spreadsheetml/2006/main">
  <c r="M143" i="12"/>
  <c r="BM172" i="8" l="1"/>
  <c r="BL172"/>
  <c r="BK172"/>
  <c r="BJ172"/>
  <c r="BI172"/>
  <c r="BH172"/>
  <c r="BA172"/>
  <c r="AZ172"/>
  <c r="AY172"/>
  <c r="AX172"/>
  <c r="AW172"/>
  <c r="AV172"/>
  <c r="AO172"/>
  <c r="AN172"/>
  <c r="AM172"/>
  <c r="AL172"/>
  <c r="AK172"/>
  <c r="AJ172"/>
  <c r="AC172"/>
  <c r="AB172"/>
  <c r="AA172"/>
  <c r="Z172"/>
  <c r="Y172"/>
  <c r="X172"/>
  <c r="W172"/>
  <c r="V172"/>
  <c r="U172"/>
  <c r="T172"/>
  <c r="S172"/>
  <c r="R172"/>
  <c r="Q161" i="1"/>
  <c r="O161"/>
  <c r="N161"/>
  <c r="V160"/>
  <c r="U160"/>
  <c r="T160"/>
  <c r="S160"/>
  <c r="R160"/>
  <c r="R161" s="1"/>
  <c r="Q160"/>
  <c r="P160"/>
  <c r="P161" s="1"/>
  <c r="O160"/>
  <c r="N160"/>
  <c r="Q161" i="3"/>
  <c r="P161"/>
  <c r="O161"/>
  <c r="V160"/>
  <c r="U160"/>
  <c r="T160"/>
  <c r="S160"/>
  <c r="R160"/>
  <c r="R161" s="1"/>
  <c r="Q160"/>
  <c r="P160"/>
  <c r="O160"/>
  <c r="N160"/>
  <c r="N161" s="1"/>
  <c r="R161" i="9"/>
  <c r="Q161"/>
  <c r="V160"/>
  <c r="U160"/>
  <c r="T160"/>
  <c r="S160"/>
  <c r="R160"/>
  <c r="Q160"/>
  <c r="P160"/>
  <c r="P161" s="1"/>
  <c r="O160"/>
  <c r="O161" s="1"/>
  <c r="N160"/>
  <c r="N161" s="1"/>
  <c r="V160" i="12"/>
  <c r="U160"/>
  <c r="T160"/>
  <c r="S160"/>
  <c r="L161" i="1"/>
  <c r="L160"/>
  <c r="L160" i="3"/>
  <c r="L161" s="1"/>
  <c r="L160" i="9"/>
  <c r="L161" s="1"/>
  <c r="J160" i="1"/>
  <c r="J161" s="1"/>
  <c r="J161" i="3"/>
  <c r="J160"/>
  <c r="J160" i="9"/>
  <c r="J161" s="1"/>
  <c r="H160" i="1"/>
  <c r="H161" s="1"/>
  <c r="H160" i="3"/>
  <c r="H161" s="1"/>
  <c r="H160" i="9"/>
  <c r="H161" s="1"/>
  <c r="G160" i="1"/>
  <c r="G160" i="3"/>
  <c r="G160" i="9"/>
  <c r="V159" i="1"/>
  <c r="U159"/>
  <c r="T159"/>
  <c r="S159"/>
  <c r="R159"/>
  <c r="Q159"/>
  <c r="P159"/>
  <c r="O159"/>
  <c r="N159"/>
  <c r="L159"/>
  <c r="J159"/>
  <c r="H159"/>
  <c r="V159" i="3"/>
  <c r="U159"/>
  <c r="T159"/>
  <c r="S159"/>
  <c r="R159"/>
  <c r="Q159"/>
  <c r="P159"/>
  <c r="O159"/>
  <c r="N159"/>
  <c r="L159"/>
  <c r="J159"/>
  <c r="H159"/>
  <c r="V159" i="9"/>
  <c r="U159"/>
  <c r="T159"/>
  <c r="S159"/>
  <c r="R159"/>
  <c r="Q159"/>
  <c r="P159"/>
  <c r="O159"/>
  <c r="N159"/>
  <c r="L159"/>
  <c r="J159"/>
  <c r="H159"/>
  <c r="V159" i="12"/>
  <c r="U159"/>
  <c r="T159"/>
  <c r="S159"/>
  <c r="R159"/>
  <c r="R160" s="1"/>
  <c r="Q159"/>
  <c r="Q160" s="1"/>
  <c r="P159"/>
  <c r="P160" s="1"/>
  <c r="O159"/>
  <c r="O160" s="1"/>
  <c r="N159"/>
  <c r="N160" s="1"/>
  <c r="N161" s="1"/>
  <c r="L159"/>
  <c r="L160" s="1"/>
  <c r="L161" s="1"/>
  <c r="J159"/>
  <c r="J160" s="1"/>
  <c r="J161" s="1"/>
  <c r="H159"/>
  <c r="H160" s="1"/>
  <c r="V159" i="13"/>
  <c r="U159"/>
  <c r="T159"/>
  <c r="S159"/>
  <c r="R159"/>
  <c r="Q159"/>
  <c r="P159"/>
  <c r="O159"/>
  <c r="N159"/>
  <c r="L159"/>
  <c r="J159"/>
  <c r="H159"/>
  <c r="V159" i="14"/>
  <c r="U159"/>
  <c r="T159"/>
  <c r="S159"/>
  <c r="R159"/>
  <c r="Q159"/>
  <c r="P159"/>
  <c r="O159"/>
  <c r="N159"/>
  <c r="L159"/>
  <c r="J159"/>
  <c r="H159"/>
  <c r="G159" i="1"/>
  <c r="G159" i="3"/>
  <c r="G159" i="9"/>
  <c r="G159" i="12"/>
  <c r="G160" s="1"/>
  <c r="G159" i="13"/>
  <c r="G159" i="14"/>
  <c r="V134" i="1"/>
  <c r="U134"/>
  <c r="T134"/>
  <c r="S134"/>
  <c r="R134"/>
  <c r="Q134"/>
  <c r="P134"/>
  <c r="O134"/>
  <c r="N134"/>
  <c r="L134"/>
  <c r="J134"/>
  <c r="H134"/>
  <c r="V134" i="3"/>
  <c r="U134"/>
  <c r="T134"/>
  <c r="S134"/>
  <c r="R134"/>
  <c r="Q134"/>
  <c r="P134"/>
  <c r="O134"/>
  <c r="N134"/>
  <c r="L134"/>
  <c r="J134"/>
  <c r="H134"/>
  <c r="V134" i="9"/>
  <c r="U134"/>
  <c r="T134"/>
  <c r="S134"/>
  <c r="R134"/>
  <c r="Q134"/>
  <c r="P134"/>
  <c r="O134"/>
  <c r="N134"/>
  <c r="L134"/>
  <c r="J134"/>
  <c r="H134"/>
  <c r="V134" i="12"/>
  <c r="U134"/>
  <c r="T134"/>
  <c r="S134"/>
  <c r="R134"/>
  <c r="Q134"/>
  <c r="P134"/>
  <c r="O134"/>
  <c r="N134"/>
  <c r="L134"/>
  <c r="J134"/>
  <c r="H134"/>
  <c r="V134" i="13"/>
  <c r="U134"/>
  <c r="T134"/>
  <c r="S134"/>
  <c r="R134"/>
  <c r="Q134"/>
  <c r="P134"/>
  <c r="O134"/>
  <c r="N134"/>
  <c r="L134"/>
  <c r="J134"/>
  <c r="H134"/>
  <c r="V134" i="14"/>
  <c r="U134"/>
  <c r="T134"/>
  <c r="S134"/>
  <c r="R134"/>
  <c r="Q134"/>
  <c r="P134"/>
  <c r="O134"/>
  <c r="N134"/>
  <c r="L134"/>
  <c r="J134"/>
  <c r="H134"/>
  <c r="G134" i="1"/>
  <c r="G134" i="3"/>
  <c r="G134" i="9"/>
  <c r="G134" i="12"/>
  <c r="G134" i="13"/>
  <c r="G134" i="14"/>
  <c r="V125" i="1"/>
  <c r="U125"/>
  <c r="T125"/>
  <c r="S125"/>
  <c r="R125"/>
  <c r="Q125"/>
  <c r="P125"/>
  <c r="O125"/>
  <c r="N125"/>
  <c r="L125"/>
  <c r="J125"/>
  <c r="H125"/>
  <c r="V125" i="3"/>
  <c r="U125"/>
  <c r="T125"/>
  <c r="S125"/>
  <c r="R125"/>
  <c r="Q125"/>
  <c r="P125"/>
  <c r="O125"/>
  <c r="N125"/>
  <c r="L125"/>
  <c r="J125"/>
  <c r="H125"/>
  <c r="V125" i="9"/>
  <c r="U125"/>
  <c r="T125"/>
  <c r="S125"/>
  <c r="R125"/>
  <c r="Q125"/>
  <c r="P125"/>
  <c r="O125"/>
  <c r="N125"/>
  <c r="L125"/>
  <c r="J125"/>
  <c r="H125"/>
  <c r="V125" i="12"/>
  <c r="U125"/>
  <c r="T125"/>
  <c r="S125"/>
  <c r="R125"/>
  <c r="Q125"/>
  <c r="P125"/>
  <c r="O125"/>
  <c r="N125"/>
  <c r="L125"/>
  <c r="J125"/>
  <c r="H125"/>
  <c r="V125" i="13"/>
  <c r="U125"/>
  <c r="T125"/>
  <c r="S125"/>
  <c r="R125"/>
  <c r="Q125"/>
  <c r="P125"/>
  <c r="O125"/>
  <c r="N125"/>
  <c r="L125"/>
  <c r="J125"/>
  <c r="H125"/>
  <c r="V125" i="14"/>
  <c r="U125"/>
  <c r="T125"/>
  <c r="S125"/>
  <c r="R125"/>
  <c r="Q125"/>
  <c r="P125"/>
  <c r="O125"/>
  <c r="N125"/>
  <c r="L125"/>
  <c r="J125"/>
  <c r="H125"/>
  <c r="G125" i="1"/>
  <c r="G125" i="3"/>
  <c r="G125" i="9"/>
  <c r="G125" i="12"/>
  <c r="G125" i="13"/>
  <c r="G125" i="14"/>
  <c r="V109" i="1"/>
  <c r="U109"/>
  <c r="T109"/>
  <c r="S109"/>
  <c r="R109"/>
  <c r="Q109"/>
  <c r="P109"/>
  <c r="O109"/>
  <c r="N109"/>
  <c r="L109"/>
  <c r="J109"/>
  <c r="H109"/>
  <c r="V109" i="3"/>
  <c r="U109"/>
  <c r="T109"/>
  <c r="S109"/>
  <c r="R109"/>
  <c r="Q109"/>
  <c r="P109"/>
  <c r="O109"/>
  <c r="N109"/>
  <c r="L109"/>
  <c r="J109"/>
  <c r="H109"/>
  <c r="V109" i="9"/>
  <c r="U109"/>
  <c r="T109"/>
  <c r="S109"/>
  <c r="R109"/>
  <c r="Q109"/>
  <c r="P109"/>
  <c r="O109"/>
  <c r="N109"/>
  <c r="L109"/>
  <c r="J109"/>
  <c r="H109"/>
  <c r="V109" i="12"/>
  <c r="U109"/>
  <c r="T109"/>
  <c r="S109"/>
  <c r="R109"/>
  <c r="Q109"/>
  <c r="P109"/>
  <c r="O109"/>
  <c r="N109"/>
  <c r="L109"/>
  <c r="J109"/>
  <c r="H109"/>
  <c r="V109" i="13"/>
  <c r="U109"/>
  <c r="T109"/>
  <c r="S109"/>
  <c r="R109"/>
  <c r="Q109"/>
  <c r="P109"/>
  <c r="O109"/>
  <c r="N109"/>
  <c r="L109"/>
  <c r="J109"/>
  <c r="H109"/>
  <c r="V109" i="14"/>
  <c r="U109"/>
  <c r="T109"/>
  <c r="S109"/>
  <c r="R109"/>
  <c r="Q109"/>
  <c r="P109"/>
  <c r="O109"/>
  <c r="N109"/>
  <c r="L109"/>
  <c r="J109"/>
  <c r="H109"/>
  <c r="G109" i="1"/>
  <c r="G109" i="3"/>
  <c r="G109" i="9"/>
  <c r="G109" i="12"/>
  <c r="G109" i="13"/>
  <c r="G109" i="14"/>
  <c r="V77" i="1"/>
  <c r="U77"/>
  <c r="T77"/>
  <c r="S77"/>
  <c r="R77"/>
  <c r="Q77"/>
  <c r="P77"/>
  <c r="O77"/>
  <c r="N77"/>
  <c r="L77"/>
  <c r="J77"/>
  <c r="H77"/>
  <c r="V77" i="3"/>
  <c r="U77"/>
  <c r="T77"/>
  <c r="S77"/>
  <c r="R77"/>
  <c r="Q77"/>
  <c r="P77"/>
  <c r="O77"/>
  <c r="N77"/>
  <c r="L77"/>
  <c r="J77"/>
  <c r="H77"/>
  <c r="V77" i="9"/>
  <c r="U77"/>
  <c r="T77"/>
  <c r="S77"/>
  <c r="R77"/>
  <c r="Q77"/>
  <c r="P77"/>
  <c r="O77"/>
  <c r="N77"/>
  <c r="L77"/>
  <c r="J77"/>
  <c r="H77"/>
  <c r="V77" i="12"/>
  <c r="U77"/>
  <c r="T77"/>
  <c r="S77"/>
  <c r="R77"/>
  <c r="Q77"/>
  <c r="P77"/>
  <c r="O77"/>
  <c r="N77"/>
  <c r="L77"/>
  <c r="J77"/>
  <c r="H77"/>
  <c r="V77" i="13"/>
  <c r="U77"/>
  <c r="T77"/>
  <c r="S77"/>
  <c r="R77"/>
  <c r="Q77"/>
  <c r="P77"/>
  <c r="O77"/>
  <c r="N77"/>
  <c r="L77"/>
  <c r="J77"/>
  <c r="H77"/>
  <c r="V77" i="14"/>
  <c r="U77"/>
  <c r="T77"/>
  <c r="S77"/>
  <c r="R77"/>
  <c r="Q77"/>
  <c r="P77"/>
  <c r="O77"/>
  <c r="N77"/>
  <c r="L77"/>
  <c r="J77"/>
  <c r="H77"/>
  <c r="G77" i="1"/>
  <c r="G77" i="3"/>
  <c r="G77" i="9"/>
  <c r="G77" i="12"/>
  <c r="G77" i="13"/>
  <c r="G77" i="14"/>
  <c r="R65" i="1"/>
  <c r="Q65"/>
  <c r="P65"/>
  <c r="O65"/>
  <c r="N65"/>
  <c r="L65"/>
  <c r="J65"/>
  <c r="H65"/>
  <c r="R65" i="3"/>
  <c r="Q65"/>
  <c r="P65"/>
  <c r="O65"/>
  <c r="N65"/>
  <c r="L65"/>
  <c r="J65"/>
  <c r="H65"/>
  <c r="R65" i="9"/>
  <c r="Q65"/>
  <c r="P65"/>
  <c r="O65"/>
  <c r="N65"/>
  <c r="L65"/>
  <c r="J65"/>
  <c r="H65"/>
  <c r="N65" i="12"/>
  <c r="L65"/>
  <c r="J65"/>
  <c r="O65" i="14"/>
  <c r="G65" i="1"/>
  <c r="G65" i="3"/>
  <c r="G65" i="9"/>
  <c r="G65" i="12"/>
  <c r="V64" i="1"/>
  <c r="V65" s="1"/>
  <c r="V161" s="1"/>
  <c r="U64"/>
  <c r="U65" s="1"/>
  <c r="U161" s="1"/>
  <c r="T64"/>
  <c r="T65" s="1"/>
  <c r="S64"/>
  <c r="S65" s="1"/>
  <c r="R64"/>
  <c r="Q64"/>
  <c r="P64"/>
  <c r="O64"/>
  <c r="N64"/>
  <c r="L64"/>
  <c r="J64"/>
  <c r="H64"/>
  <c r="V64" i="3"/>
  <c r="V65" s="1"/>
  <c r="U64"/>
  <c r="U65" s="1"/>
  <c r="T64"/>
  <c r="T65" s="1"/>
  <c r="S64"/>
  <c r="S65" s="1"/>
  <c r="S161" s="1"/>
  <c r="R64"/>
  <c r="Q64"/>
  <c r="P64"/>
  <c r="O64"/>
  <c r="N64"/>
  <c r="L64"/>
  <c r="J64"/>
  <c r="H64"/>
  <c r="V64" i="9"/>
  <c r="U64"/>
  <c r="T64"/>
  <c r="S64"/>
  <c r="R64"/>
  <c r="Q64"/>
  <c r="P64"/>
  <c r="O64"/>
  <c r="N64"/>
  <c r="L64"/>
  <c r="J64"/>
  <c r="H64"/>
  <c r="V64" i="12"/>
  <c r="U64"/>
  <c r="T64"/>
  <c r="S64"/>
  <c r="R64"/>
  <c r="R65" s="1"/>
  <c r="Q64"/>
  <c r="Q65" s="1"/>
  <c r="P64"/>
  <c r="P65" s="1"/>
  <c r="O64"/>
  <c r="O65" s="1"/>
  <c r="N64"/>
  <c r="L64"/>
  <c r="J64"/>
  <c r="H64"/>
  <c r="V64" i="13"/>
  <c r="U64"/>
  <c r="T64"/>
  <c r="S64"/>
  <c r="R64"/>
  <c r="Q64"/>
  <c r="P64"/>
  <c r="O64"/>
  <c r="N64"/>
  <c r="L64"/>
  <c r="J64"/>
  <c r="H64"/>
  <c r="V64" i="14"/>
  <c r="U64"/>
  <c r="T64"/>
  <c r="S64"/>
  <c r="R64"/>
  <c r="Q64"/>
  <c r="P64"/>
  <c r="O64"/>
  <c r="N64"/>
  <c r="L64"/>
  <c r="J64"/>
  <c r="H64"/>
  <c r="G64" i="1"/>
  <c r="G64" i="3"/>
  <c r="G64" i="9"/>
  <c r="G64" i="12"/>
  <c r="G64" i="13"/>
  <c r="G64" i="14"/>
  <c r="V49" i="1"/>
  <c r="U49"/>
  <c r="T49"/>
  <c r="S49"/>
  <c r="R49"/>
  <c r="Q49"/>
  <c r="P49"/>
  <c r="O49"/>
  <c r="N49"/>
  <c r="L49"/>
  <c r="J49"/>
  <c r="H49"/>
  <c r="V49" i="3"/>
  <c r="U49"/>
  <c r="T49"/>
  <c r="S49"/>
  <c r="R49"/>
  <c r="Q49"/>
  <c r="P49"/>
  <c r="O49"/>
  <c r="N49"/>
  <c r="L49"/>
  <c r="J49"/>
  <c r="H49"/>
  <c r="V49" i="9"/>
  <c r="U49"/>
  <c r="T49"/>
  <c r="S49"/>
  <c r="R49"/>
  <c r="Q49"/>
  <c r="P49"/>
  <c r="O49"/>
  <c r="N49"/>
  <c r="L49"/>
  <c r="J49"/>
  <c r="H49"/>
  <c r="V49" i="12"/>
  <c r="U49"/>
  <c r="T49"/>
  <c r="T65" s="1"/>
  <c r="T161" s="1"/>
  <c r="S49"/>
  <c r="R49"/>
  <c r="Q49"/>
  <c r="P49"/>
  <c r="O49"/>
  <c r="N49"/>
  <c r="L49"/>
  <c r="J49"/>
  <c r="H49"/>
  <c r="V49" i="13"/>
  <c r="U49"/>
  <c r="T49"/>
  <c r="S49"/>
  <c r="R49"/>
  <c r="Q49"/>
  <c r="P49"/>
  <c r="O49"/>
  <c r="N49"/>
  <c r="L49"/>
  <c r="J49"/>
  <c r="J65" s="1"/>
  <c r="H49"/>
  <c r="V49" i="14"/>
  <c r="U49"/>
  <c r="T49"/>
  <c r="S49"/>
  <c r="S65" s="1"/>
  <c r="R49"/>
  <c r="Q49"/>
  <c r="P49"/>
  <c r="O49"/>
  <c r="N49"/>
  <c r="L49"/>
  <c r="J49"/>
  <c r="H49"/>
  <c r="G49" i="1"/>
  <c r="G49" i="3"/>
  <c r="G49" i="9"/>
  <c r="G49" i="12"/>
  <c r="G49" i="13"/>
  <c r="G49" i="14"/>
  <c r="V34" i="1"/>
  <c r="U34"/>
  <c r="T34"/>
  <c r="S34"/>
  <c r="R34"/>
  <c r="Q34"/>
  <c r="P34"/>
  <c r="O34"/>
  <c r="N34"/>
  <c r="L34"/>
  <c r="J34"/>
  <c r="H34"/>
  <c r="V34" i="3"/>
  <c r="U34"/>
  <c r="T34"/>
  <c r="S34"/>
  <c r="R34"/>
  <c r="Q34"/>
  <c r="P34"/>
  <c r="O34"/>
  <c r="N34"/>
  <c r="L34"/>
  <c r="J34"/>
  <c r="H34"/>
  <c r="V34" i="9"/>
  <c r="U34"/>
  <c r="T34"/>
  <c r="S34"/>
  <c r="R34"/>
  <c r="Q34"/>
  <c r="P34"/>
  <c r="O34"/>
  <c r="N34"/>
  <c r="L34"/>
  <c r="J34"/>
  <c r="H34"/>
  <c r="V34" i="12"/>
  <c r="U34"/>
  <c r="T34"/>
  <c r="S34"/>
  <c r="R34"/>
  <c r="Q34"/>
  <c r="P34"/>
  <c r="O34"/>
  <c r="N34"/>
  <c r="L34"/>
  <c r="J34"/>
  <c r="H34"/>
  <c r="V34" i="13"/>
  <c r="U34"/>
  <c r="T34"/>
  <c r="S34"/>
  <c r="R34"/>
  <c r="Q34"/>
  <c r="P34"/>
  <c r="O34"/>
  <c r="N34"/>
  <c r="L34"/>
  <c r="J34"/>
  <c r="H34"/>
  <c r="V34" i="14"/>
  <c r="U34"/>
  <c r="T34"/>
  <c r="S34"/>
  <c r="R34"/>
  <c r="Q34"/>
  <c r="P34"/>
  <c r="O34"/>
  <c r="N34"/>
  <c r="L34"/>
  <c r="J34"/>
  <c r="H34"/>
  <c r="G34" i="1"/>
  <c r="G34" i="3"/>
  <c r="G34" i="9"/>
  <c r="G34" i="12"/>
  <c r="G34" i="13"/>
  <c r="G34" i="14"/>
  <c r="V12" i="1"/>
  <c r="U12"/>
  <c r="T12"/>
  <c r="S12"/>
  <c r="R12"/>
  <c r="Q12"/>
  <c r="P12"/>
  <c r="O12"/>
  <c r="N12"/>
  <c r="L12"/>
  <c r="M12" s="1"/>
  <c r="K12"/>
  <c r="J12"/>
  <c r="I12"/>
  <c r="H12"/>
  <c r="G12"/>
  <c r="V12" i="3"/>
  <c r="U12"/>
  <c r="T12"/>
  <c r="S12"/>
  <c r="R12"/>
  <c r="Q12"/>
  <c r="P12"/>
  <c r="O12"/>
  <c r="N12"/>
  <c r="L12"/>
  <c r="M12" s="1"/>
  <c r="K12"/>
  <c r="J12"/>
  <c r="I12"/>
  <c r="H12"/>
  <c r="G12"/>
  <c r="V12" i="9"/>
  <c r="U12"/>
  <c r="T12"/>
  <c r="S12"/>
  <c r="R12"/>
  <c r="Q12"/>
  <c r="P12"/>
  <c r="O12"/>
  <c r="N12"/>
  <c r="L12"/>
  <c r="M12" s="1"/>
  <c r="K12"/>
  <c r="J12"/>
  <c r="I12"/>
  <c r="H12"/>
  <c r="G12"/>
  <c r="V12" i="12"/>
  <c r="U12"/>
  <c r="T12"/>
  <c r="S12"/>
  <c r="R12"/>
  <c r="Q12"/>
  <c r="P12"/>
  <c r="O12"/>
  <c r="N12"/>
  <c r="L12"/>
  <c r="M12" s="1"/>
  <c r="K12"/>
  <c r="J12"/>
  <c r="I12"/>
  <c r="H12"/>
  <c r="G12"/>
  <c r="V12" i="13"/>
  <c r="U12"/>
  <c r="T12"/>
  <c r="S12"/>
  <c r="R12"/>
  <c r="Q12"/>
  <c r="P12"/>
  <c r="O12"/>
  <c r="O65" s="1"/>
  <c r="N12"/>
  <c r="N65" s="1"/>
  <c r="L12"/>
  <c r="M12" s="1"/>
  <c r="K12"/>
  <c r="J12"/>
  <c r="I12"/>
  <c r="H12"/>
  <c r="G12"/>
  <c r="V12" i="14"/>
  <c r="U12"/>
  <c r="T12"/>
  <c r="S12"/>
  <c r="R12"/>
  <c r="Q12"/>
  <c r="P12"/>
  <c r="O12"/>
  <c r="N12"/>
  <c r="L12"/>
  <c r="M12" s="1"/>
  <c r="J12"/>
  <c r="I12" s="1"/>
  <c r="H12"/>
  <c r="H65" s="1"/>
  <c r="G12"/>
  <c r="V8" i="1"/>
  <c r="U8"/>
  <c r="T8"/>
  <c r="S8"/>
  <c r="R8"/>
  <c r="Q8"/>
  <c r="P8"/>
  <c r="O8"/>
  <c r="N8"/>
  <c r="L8"/>
  <c r="J8"/>
  <c r="H8"/>
  <c r="V8" i="3"/>
  <c r="U8"/>
  <c r="T8"/>
  <c r="S8"/>
  <c r="R8"/>
  <c r="Q8"/>
  <c r="P8"/>
  <c r="O8"/>
  <c r="N8"/>
  <c r="L8"/>
  <c r="J8"/>
  <c r="H8"/>
  <c r="V8" i="9"/>
  <c r="U8"/>
  <c r="T8"/>
  <c r="S8"/>
  <c r="R8"/>
  <c r="Q8"/>
  <c r="P8"/>
  <c r="O8"/>
  <c r="N8"/>
  <c r="L8"/>
  <c r="J8"/>
  <c r="H8"/>
  <c r="V8" i="12"/>
  <c r="U8"/>
  <c r="T8"/>
  <c r="S8"/>
  <c r="R8"/>
  <c r="Q8"/>
  <c r="P8"/>
  <c r="O8"/>
  <c r="N8"/>
  <c r="L8"/>
  <c r="J8"/>
  <c r="H8"/>
  <c r="H65" s="1"/>
  <c r="V8" i="13"/>
  <c r="U8"/>
  <c r="T8"/>
  <c r="S8"/>
  <c r="S65" s="1"/>
  <c r="R8"/>
  <c r="R65" s="1"/>
  <c r="Q8"/>
  <c r="Q65" s="1"/>
  <c r="P8"/>
  <c r="P65" s="1"/>
  <c r="O8"/>
  <c r="N8"/>
  <c r="L8"/>
  <c r="J8"/>
  <c r="H8"/>
  <c r="H65" s="1"/>
  <c r="V8" i="14"/>
  <c r="U8"/>
  <c r="T8"/>
  <c r="S8"/>
  <c r="R8"/>
  <c r="R65" s="1"/>
  <c r="Q8"/>
  <c r="Q65" s="1"/>
  <c r="P8"/>
  <c r="P65" s="1"/>
  <c r="O8"/>
  <c r="N8"/>
  <c r="N65" s="1"/>
  <c r="L8"/>
  <c r="J8"/>
  <c r="J65" s="1"/>
  <c r="H8"/>
  <c r="G8" i="1"/>
  <c r="G8" i="3"/>
  <c r="G8" i="9"/>
  <c r="G8" i="12"/>
  <c r="G8" i="13"/>
  <c r="G65" s="1"/>
  <c r="G8" i="14"/>
  <c r="G65" s="1"/>
  <c r="V95" i="1"/>
  <c r="U95"/>
  <c r="T95"/>
  <c r="S95"/>
  <c r="R95"/>
  <c r="Q95"/>
  <c r="P95"/>
  <c r="O95"/>
  <c r="N95"/>
  <c r="L95"/>
  <c r="J95"/>
  <c r="H95"/>
  <c r="V95" i="3"/>
  <c r="U95"/>
  <c r="T95"/>
  <c r="S95"/>
  <c r="R95"/>
  <c r="Q95"/>
  <c r="P95"/>
  <c r="O95"/>
  <c r="N95"/>
  <c r="L95"/>
  <c r="J95"/>
  <c r="H95"/>
  <c r="V95" i="9"/>
  <c r="U95"/>
  <c r="T95"/>
  <c r="S95"/>
  <c r="R95"/>
  <c r="Q95"/>
  <c r="P95"/>
  <c r="O95"/>
  <c r="N95"/>
  <c r="L95"/>
  <c r="J95"/>
  <c r="H95"/>
  <c r="V95" i="12"/>
  <c r="U95"/>
  <c r="T95"/>
  <c r="S95"/>
  <c r="R95"/>
  <c r="Q95"/>
  <c r="P95"/>
  <c r="O95"/>
  <c r="N95"/>
  <c r="L95"/>
  <c r="J95"/>
  <c r="H95"/>
  <c r="V95" i="13"/>
  <c r="U95"/>
  <c r="T95"/>
  <c r="S95"/>
  <c r="R95"/>
  <c r="Q95"/>
  <c r="P95"/>
  <c r="O95"/>
  <c r="N95"/>
  <c r="L95"/>
  <c r="J95"/>
  <c r="H95"/>
  <c r="V95" i="14"/>
  <c r="U95"/>
  <c r="T95"/>
  <c r="S95"/>
  <c r="R95"/>
  <c r="Q95"/>
  <c r="P95"/>
  <c r="O95"/>
  <c r="N95"/>
  <c r="L95"/>
  <c r="J95"/>
  <c r="H95"/>
  <c r="G95" i="1"/>
  <c r="G95" i="3"/>
  <c r="G95" i="9"/>
  <c r="G95" i="12"/>
  <c r="G95" i="13"/>
  <c r="G95" i="14"/>
  <c r="L5" i="12"/>
  <c r="J5"/>
  <c r="O161" l="1"/>
  <c r="L65" i="14"/>
  <c r="K12"/>
  <c r="U65" i="13"/>
  <c r="L65"/>
  <c r="H161" i="12"/>
  <c r="R161"/>
  <c r="Q161"/>
  <c r="P161"/>
  <c r="V65" i="13"/>
  <c r="T65" i="14"/>
  <c r="V65"/>
  <c r="T65" i="13"/>
  <c r="S65" i="9"/>
  <c r="S161" s="1"/>
  <c r="T65"/>
  <c r="U65"/>
  <c r="U161" s="1"/>
  <c r="V65"/>
  <c r="V161" s="1"/>
  <c r="S65" i="12"/>
  <c r="S161" s="1"/>
  <c r="U65" i="14"/>
  <c r="U65" i="12"/>
  <c r="U161" s="1"/>
  <c r="V65"/>
  <c r="T161" i="1"/>
  <c r="U161" i="3"/>
  <c r="V161"/>
  <c r="T161" i="9"/>
  <c r="T161" i="3"/>
  <c r="S161" i="1"/>
  <c r="V161" i="12"/>
  <c r="D160" i="9" l="1"/>
  <c r="A159" i="14"/>
  <c r="A158"/>
  <c r="A157"/>
  <c r="A156"/>
  <c r="A155"/>
  <c r="A154"/>
  <c r="A153"/>
  <c r="A152"/>
  <c r="A151"/>
  <c r="A149"/>
  <c r="A148"/>
  <c r="A147"/>
  <c r="A146"/>
  <c r="A145"/>
  <c r="A144"/>
  <c r="A143"/>
  <c r="A142"/>
  <c r="A141"/>
  <c r="A140"/>
  <c r="A139"/>
  <c r="A138"/>
  <c r="A137"/>
  <c r="A136"/>
  <c r="A135"/>
  <c r="A134"/>
  <c r="A133"/>
  <c r="A132"/>
  <c r="A131"/>
  <c r="A130"/>
  <c r="A129"/>
  <c r="A128"/>
  <c r="A127"/>
  <c r="A126"/>
  <c r="A125"/>
  <c r="A124"/>
  <c r="A123"/>
  <c r="A122"/>
  <c r="A121"/>
  <c r="A120"/>
  <c r="A119"/>
  <c r="A118"/>
  <c r="A117"/>
  <c r="A116"/>
  <c r="A115"/>
  <c r="A114"/>
  <c r="A113"/>
  <c r="A112"/>
  <c r="A111"/>
  <c r="A110"/>
  <c r="A109"/>
  <c r="A108"/>
  <c r="A107"/>
  <c r="A106"/>
  <c r="A105"/>
  <c r="A104"/>
  <c r="A103"/>
  <c r="A102"/>
  <c r="A101"/>
  <c r="A100"/>
  <c r="A99"/>
  <c r="A98"/>
  <c r="A97"/>
  <c r="A96"/>
  <c r="A95"/>
  <c r="A94"/>
  <c r="A93"/>
  <c r="A92"/>
  <c r="A150"/>
  <c r="A91"/>
  <c r="A90"/>
  <c r="A89"/>
  <c r="A88"/>
  <c r="A87"/>
  <c r="A86"/>
  <c r="A85"/>
  <c r="A84"/>
  <c r="A83"/>
  <c r="A82"/>
  <c r="A81"/>
  <c r="A80"/>
  <c r="A79"/>
  <c r="A78"/>
  <c r="A77"/>
  <c r="A76"/>
  <c r="A75"/>
  <c r="A74"/>
  <c r="A73"/>
  <c r="A72"/>
  <c r="A71"/>
  <c r="A70"/>
  <c r="A69"/>
  <c r="A68"/>
  <c r="A67"/>
  <c r="A66"/>
  <c r="A64"/>
  <c r="A63"/>
  <c r="A62"/>
  <c r="A61"/>
  <c r="A60"/>
  <c r="A59"/>
  <c r="A58"/>
  <c r="A57"/>
  <c r="A56"/>
  <c r="A55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159" i="13"/>
  <c r="A158"/>
  <c r="A157"/>
  <c r="A156"/>
  <c r="A155"/>
  <c r="A154"/>
  <c r="A153"/>
  <c r="A152"/>
  <c r="A151"/>
  <c r="A149"/>
  <c r="A148"/>
  <c r="A147"/>
  <c r="A146"/>
  <c r="A145"/>
  <c r="A144"/>
  <c r="A143"/>
  <c r="A142"/>
  <c r="A141"/>
  <c r="A140"/>
  <c r="A139"/>
  <c r="A138"/>
  <c r="A137"/>
  <c r="A136"/>
  <c r="A135"/>
  <c r="A134"/>
  <c r="A133"/>
  <c r="A132"/>
  <c r="A131"/>
  <c r="A130"/>
  <c r="A129"/>
  <c r="A128"/>
  <c r="A127"/>
  <c r="A126"/>
  <c r="A125"/>
  <c r="A124"/>
  <c r="A123"/>
  <c r="A122"/>
  <c r="A121"/>
  <c r="A120"/>
  <c r="A119"/>
  <c r="A118"/>
  <c r="A117"/>
  <c r="A116"/>
  <c r="A115"/>
  <c r="A114"/>
  <c r="A113"/>
  <c r="A112"/>
  <c r="A111"/>
  <c r="A110"/>
  <c r="A109"/>
  <c r="A108"/>
  <c r="A107"/>
  <c r="A106"/>
  <c r="A105"/>
  <c r="A104"/>
  <c r="A103"/>
  <c r="A102"/>
  <c r="A101"/>
  <c r="A100"/>
  <c r="A99"/>
  <c r="A98"/>
  <c r="A97"/>
  <c r="A96"/>
  <c r="A95"/>
  <c r="A94"/>
  <c r="A93"/>
  <c r="A92"/>
  <c r="A150"/>
  <c r="A91"/>
  <c r="A90"/>
  <c r="A89"/>
  <c r="A88"/>
  <c r="A87"/>
  <c r="A86"/>
  <c r="A85"/>
  <c r="A84"/>
  <c r="A83"/>
  <c r="A82"/>
  <c r="A81"/>
  <c r="A80"/>
  <c r="A79"/>
  <c r="A78"/>
  <c r="A77"/>
  <c r="A76"/>
  <c r="A75"/>
  <c r="A74"/>
  <c r="A73"/>
  <c r="A72"/>
  <c r="A71"/>
  <c r="A70"/>
  <c r="A69"/>
  <c r="A68"/>
  <c r="A67"/>
  <c r="A66"/>
  <c r="A64"/>
  <c r="A63"/>
  <c r="A62"/>
  <c r="A61"/>
  <c r="A60"/>
  <c r="A59"/>
  <c r="A58"/>
  <c r="A57"/>
  <c r="A56"/>
  <c r="A55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159" i="1"/>
  <c r="A158"/>
  <c r="A157"/>
  <c r="A156"/>
  <c r="A155"/>
  <c r="A154"/>
  <c r="A152"/>
  <c r="A151"/>
  <c r="A147"/>
  <c r="A146"/>
  <c r="A145"/>
  <c r="A144"/>
  <c r="A143"/>
  <c r="A142"/>
  <c r="A141"/>
  <c r="A140"/>
  <c r="A134"/>
  <c r="A133"/>
  <c r="A132"/>
  <c r="A131"/>
  <c r="A130"/>
  <c r="A129"/>
  <c r="A128"/>
  <c r="A127"/>
  <c r="A126"/>
  <c r="A125"/>
  <c r="A124"/>
  <c r="A123"/>
  <c r="A122"/>
  <c r="A121"/>
  <c r="A120"/>
  <c r="A119"/>
  <c r="A118"/>
  <c r="A117"/>
  <c r="A116"/>
  <c r="A115"/>
  <c r="A114"/>
  <c r="A113"/>
  <c r="A112"/>
  <c r="A111"/>
  <c r="A110"/>
  <c r="A109"/>
  <c r="A108"/>
  <c r="A107"/>
  <c r="A106"/>
  <c r="A105"/>
  <c r="A104"/>
  <c r="A103"/>
  <c r="A102"/>
  <c r="A101"/>
  <c r="A100"/>
  <c r="A99"/>
  <c r="A98"/>
  <c r="A97"/>
  <c r="A96"/>
  <c r="A95"/>
  <c r="A94"/>
  <c r="A93"/>
  <c r="A92"/>
  <c r="A150"/>
  <c r="A91"/>
  <c r="A90"/>
  <c r="A89"/>
  <c r="A88"/>
  <c r="A87"/>
  <c r="A86"/>
  <c r="A85"/>
  <c r="A84"/>
  <c r="A83"/>
  <c r="A82"/>
  <c r="A81"/>
  <c r="A80"/>
  <c r="A79"/>
  <c r="A78"/>
  <c r="A77"/>
  <c r="A76"/>
  <c r="A75"/>
  <c r="A74"/>
  <c r="A73"/>
  <c r="A72"/>
  <c r="A71"/>
  <c r="A70"/>
  <c r="A69"/>
  <c r="A68"/>
  <c r="A67"/>
  <c r="A66"/>
  <c r="A64"/>
  <c r="A63"/>
  <c r="A62"/>
  <c r="A61"/>
  <c r="A60"/>
  <c r="A59"/>
  <c r="A58"/>
  <c r="A57"/>
  <c r="A56"/>
  <c r="A55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159" i="3"/>
  <c r="A158"/>
  <c r="A157"/>
  <c r="A156"/>
  <c r="A155"/>
  <c r="A154"/>
  <c r="A153"/>
  <c r="A152"/>
  <c r="A151"/>
  <c r="A149"/>
  <c r="A148"/>
  <c r="A147"/>
  <c r="A146"/>
  <c r="A145"/>
  <c r="A144"/>
  <c r="A143"/>
  <c r="A142"/>
  <c r="A141"/>
  <c r="A140"/>
  <c r="A139"/>
  <c r="A138"/>
  <c r="A137"/>
  <c r="A136"/>
  <c r="A135"/>
  <c r="A134"/>
  <c r="A133"/>
  <c r="A132"/>
  <c r="A131"/>
  <c r="A130"/>
  <c r="A129"/>
  <c r="A128"/>
  <c r="A127"/>
  <c r="A126"/>
  <c r="A125"/>
  <c r="A124"/>
  <c r="A123"/>
  <c r="A122"/>
  <c r="A121"/>
  <c r="A120"/>
  <c r="A119"/>
  <c r="A118"/>
  <c r="A117"/>
  <c r="A116"/>
  <c r="A115"/>
  <c r="A114"/>
  <c r="A113"/>
  <c r="A112"/>
  <c r="A111"/>
  <c r="A110"/>
  <c r="A109"/>
  <c r="A108"/>
  <c r="A107"/>
  <c r="A106"/>
  <c r="A105"/>
  <c r="A104"/>
  <c r="A103"/>
  <c r="A102"/>
  <c r="A101"/>
  <c r="A100"/>
  <c r="A99"/>
  <c r="A98"/>
  <c r="A97"/>
  <c r="A96"/>
  <c r="A95"/>
  <c r="A94"/>
  <c r="A93"/>
  <c r="A92"/>
  <c r="A150"/>
  <c r="A91"/>
  <c r="A90"/>
  <c r="A89"/>
  <c r="A88"/>
  <c r="A87"/>
  <c r="A86"/>
  <c r="A85"/>
  <c r="A84"/>
  <c r="A83"/>
  <c r="A82"/>
  <c r="A81"/>
  <c r="A80"/>
  <c r="A79"/>
  <c r="A78"/>
  <c r="A77"/>
  <c r="A76"/>
  <c r="A75"/>
  <c r="A74"/>
  <c r="A73"/>
  <c r="A72"/>
  <c r="A71"/>
  <c r="A70"/>
  <c r="A69"/>
  <c r="A68"/>
  <c r="A67"/>
  <c r="A66"/>
  <c r="A64"/>
  <c r="A63"/>
  <c r="A62"/>
  <c r="A61"/>
  <c r="A60"/>
  <c r="A59"/>
  <c r="A58"/>
  <c r="A57"/>
  <c r="A56"/>
  <c r="A55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159" i="9"/>
  <c r="A158"/>
  <c r="A157"/>
  <c r="A156"/>
  <c r="A155"/>
  <c r="A154"/>
  <c r="A153"/>
  <c r="A152"/>
  <c r="A151"/>
  <c r="A149"/>
  <c r="A148"/>
  <c r="A147"/>
  <c r="A146"/>
  <c r="A145"/>
  <c r="A144"/>
  <c r="A143"/>
  <c r="A142"/>
  <c r="A141"/>
  <c r="A140"/>
  <c r="A139"/>
  <c r="A138"/>
  <c r="A137"/>
  <c r="A136"/>
  <c r="A135"/>
  <c r="A134"/>
  <c r="A133"/>
  <c r="A132"/>
  <c r="A131"/>
  <c r="A130"/>
  <c r="A129"/>
  <c r="A128"/>
  <c r="A127"/>
  <c r="A126"/>
  <c r="A125"/>
  <c r="A124"/>
  <c r="A123"/>
  <c r="A122"/>
  <c r="A121"/>
  <c r="A120"/>
  <c r="A119"/>
  <c r="A118"/>
  <c r="A117"/>
  <c r="A116"/>
  <c r="A115"/>
  <c r="A114"/>
  <c r="A113"/>
  <c r="A112"/>
  <c r="A111"/>
  <c r="A110"/>
  <c r="A109"/>
  <c r="A108"/>
  <c r="A107"/>
  <c r="A106"/>
  <c r="A105"/>
  <c r="A104"/>
  <c r="A103"/>
  <c r="A102"/>
  <c r="A101"/>
  <c r="A100"/>
  <c r="A99"/>
  <c r="A98"/>
  <c r="A97"/>
  <c r="A96"/>
  <c r="A95"/>
  <c r="A94"/>
  <c r="A93"/>
  <c r="A92"/>
  <c r="A150"/>
  <c r="A91"/>
  <c r="A90"/>
  <c r="A89"/>
  <c r="A88"/>
  <c r="A87"/>
  <c r="A86"/>
  <c r="A85"/>
  <c r="A84"/>
  <c r="A83"/>
  <c r="A82"/>
  <c r="A81"/>
  <c r="A80"/>
  <c r="A79"/>
  <c r="A78"/>
  <c r="A77"/>
  <c r="A76"/>
  <c r="A75"/>
  <c r="A74"/>
  <c r="A73"/>
  <c r="A72"/>
  <c r="A71"/>
  <c r="A70"/>
  <c r="A69"/>
  <c r="A68"/>
  <c r="A67"/>
  <c r="A66"/>
  <c r="A64"/>
  <c r="A63"/>
  <c r="A62"/>
  <c r="A61"/>
  <c r="A60"/>
  <c r="A59"/>
  <c r="A58"/>
  <c r="A57"/>
  <c r="A56"/>
  <c r="A55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66" i="12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150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1"/>
  <c r="A152"/>
  <c r="A153"/>
  <c r="A154"/>
  <c r="A155"/>
  <c r="A156"/>
  <c r="A157"/>
  <c r="A158"/>
  <c r="A159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64"/>
  <c r="A63"/>
  <c r="A62"/>
  <c r="A61"/>
  <c r="A60"/>
  <c r="A59"/>
  <c r="A58"/>
  <c r="A57"/>
  <c r="A56"/>
  <c r="A55"/>
  <c r="A54"/>
  <c r="A53"/>
  <c r="A52"/>
  <c r="A51"/>
  <c r="A50"/>
  <c r="D160"/>
  <c r="D160" i="13"/>
  <c r="D160" i="14"/>
  <c r="D160" i="1"/>
  <c r="D160" i="3"/>
  <c r="BM211" i="8"/>
  <c r="BJ164"/>
  <c r="BJ227" s="1"/>
  <c r="BK164"/>
  <c r="BK227" s="1"/>
  <c r="BL164"/>
  <c r="BL227" s="1"/>
  <c r="BM164"/>
  <c r="BM179" s="1"/>
  <c r="AX244"/>
  <c r="BA247"/>
  <c r="AZ164"/>
  <c r="AZ244" s="1"/>
  <c r="AX164"/>
  <c r="AX227" s="1"/>
  <c r="AY164"/>
  <c r="AY211" s="1"/>
  <c r="BA164"/>
  <c r="BA179" s="1"/>
  <c r="AO227"/>
  <c r="AM164"/>
  <c r="AM227" s="1"/>
  <c r="AN164"/>
  <c r="AN244" s="1"/>
  <c r="AO164"/>
  <c r="AO179" s="1"/>
  <c r="BM158"/>
  <c r="BL158"/>
  <c r="BK158"/>
  <c r="BJ158"/>
  <c r="BI158"/>
  <c r="BH158"/>
  <c r="BM157"/>
  <c r="BL157"/>
  <c r="BK157"/>
  <c r="BJ157"/>
  <c r="BI157"/>
  <c r="BH157"/>
  <c r="BM156"/>
  <c r="BL156"/>
  <c r="BK156"/>
  <c r="BJ156"/>
  <c r="BI156"/>
  <c r="BH156"/>
  <c r="BM155"/>
  <c r="BL155"/>
  <c r="BK155"/>
  <c r="BJ155"/>
  <c r="BI155"/>
  <c r="BH155"/>
  <c r="BM154"/>
  <c r="BL154"/>
  <c r="BK154"/>
  <c r="BJ154"/>
  <c r="BI154"/>
  <c r="BH154"/>
  <c r="BM153"/>
  <c r="BL153"/>
  <c r="BK153"/>
  <c r="BJ153"/>
  <c r="BI153"/>
  <c r="BH153"/>
  <c r="BM152"/>
  <c r="BL152"/>
  <c r="BK152"/>
  <c r="BJ152"/>
  <c r="BI152"/>
  <c r="BH152"/>
  <c r="BM151"/>
  <c r="BL151"/>
  <c r="BK151"/>
  <c r="BJ151"/>
  <c r="BI151"/>
  <c r="BH151"/>
  <c r="BM149"/>
  <c r="BL149"/>
  <c r="BK149"/>
  <c r="BI149"/>
  <c r="BH149"/>
  <c r="BM148"/>
  <c r="BL148"/>
  <c r="BK148"/>
  <c r="BI148"/>
  <c r="BH148"/>
  <c r="BM147"/>
  <c r="BL147"/>
  <c r="BK147"/>
  <c r="BJ147"/>
  <c r="BI147"/>
  <c r="BH147"/>
  <c r="BM146"/>
  <c r="BL146"/>
  <c r="BK146"/>
  <c r="BJ146"/>
  <c r="BI146"/>
  <c r="BH146"/>
  <c r="BM145"/>
  <c r="BL145"/>
  <c r="BK145"/>
  <c r="BI145"/>
  <c r="BH145"/>
  <c r="BM144"/>
  <c r="BL144"/>
  <c r="BK144"/>
  <c r="BJ144"/>
  <c r="BI144"/>
  <c r="BH144"/>
  <c r="BM143"/>
  <c r="BL143"/>
  <c r="BK143"/>
  <c r="BI143"/>
  <c r="BH143"/>
  <c r="BM142"/>
  <c r="BL142"/>
  <c r="BK142"/>
  <c r="BI142"/>
  <c r="BH142"/>
  <c r="BM141"/>
  <c r="BL141"/>
  <c r="BK141"/>
  <c r="BJ141"/>
  <c r="BI141"/>
  <c r="BH141"/>
  <c r="BM140"/>
  <c r="BL140"/>
  <c r="BK140"/>
  <c r="BJ140"/>
  <c r="BI140"/>
  <c r="BH140"/>
  <c r="BM139"/>
  <c r="BL139"/>
  <c r="BK139"/>
  <c r="BJ139"/>
  <c r="BI139"/>
  <c r="BH139"/>
  <c r="BM138"/>
  <c r="BL138"/>
  <c r="BK138"/>
  <c r="BJ138"/>
  <c r="BI138"/>
  <c r="BH138"/>
  <c r="BM137"/>
  <c r="BL137"/>
  <c r="BK137"/>
  <c r="BJ137"/>
  <c r="BI137"/>
  <c r="BH137"/>
  <c r="BM136"/>
  <c r="BL136"/>
  <c r="BK136"/>
  <c r="BJ136"/>
  <c r="BI136"/>
  <c r="BH136"/>
  <c r="BM135"/>
  <c r="BL135"/>
  <c r="BK135"/>
  <c r="BJ135"/>
  <c r="BI135"/>
  <c r="BH135"/>
  <c r="BM133"/>
  <c r="BL133"/>
  <c r="BK133"/>
  <c r="BJ133"/>
  <c r="BI133"/>
  <c r="BH133"/>
  <c r="BM132"/>
  <c r="BL132"/>
  <c r="BK132"/>
  <c r="BJ132"/>
  <c r="BI132"/>
  <c r="BH132"/>
  <c r="BM131"/>
  <c r="BL131"/>
  <c r="BK131"/>
  <c r="BJ131"/>
  <c r="BI131"/>
  <c r="BH131"/>
  <c r="BM130"/>
  <c r="BL130"/>
  <c r="BK130"/>
  <c r="BJ130"/>
  <c r="BI130"/>
  <c r="BH130"/>
  <c r="BM129"/>
  <c r="BL129"/>
  <c r="BK129"/>
  <c r="BJ129"/>
  <c r="BI129"/>
  <c r="BH129"/>
  <c r="BM128"/>
  <c r="BL128"/>
  <c r="BK128"/>
  <c r="BJ128"/>
  <c r="BI128"/>
  <c r="BH128"/>
  <c r="BM127"/>
  <c r="BL127"/>
  <c r="BK127"/>
  <c r="BJ127"/>
  <c r="BI127"/>
  <c r="BH127"/>
  <c r="BM126"/>
  <c r="BL126"/>
  <c r="BK126"/>
  <c r="BJ126"/>
  <c r="BI126"/>
  <c r="BH126"/>
  <c r="BM124"/>
  <c r="BL124"/>
  <c r="BK124"/>
  <c r="BJ124"/>
  <c r="BI124"/>
  <c r="BH124"/>
  <c r="BM123"/>
  <c r="BL123"/>
  <c r="BK123"/>
  <c r="BJ123"/>
  <c r="BI123"/>
  <c r="BH123"/>
  <c r="BM122"/>
  <c r="BL122"/>
  <c r="BK122"/>
  <c r="BJ122"/>
  <c r="BI122"/>
  <c r="BH122"/>
  <c r="BM121"/>
  <c r="BL121"/>
  <c r="BK121"/>
  <c r="BJ121"/>
  <c r="BI121"/>
  <c r="BH121"/>
  <c r="BM120"/>
  <c r="BL120"/>
  <c r="BK120"/>
  <c r="BJ120"/>
  <c r="BI120"/>
  <c r="BH120"/>
  <c r="BM119"/>
  <c r="BL119"/>
  <c r="BK119"/>
  <c r="BJ119"/>
  <c r="BI119"/>
  <c r="BH119"/>
  <c r="BM118"/>
  <c r="BL118"/>
  <c r="BK118"/>
  <c r="BJ118"/>
  <c r="BI118"/>
  <c r="BH118"/>
  <c r="BM117"/>
  <c r="BL117"/>
  <c r="BK117"/>
  <c r="BJ117"/>
  <c r="BI117"/>
  <c r="BH117"/>
  <c r="BM116"/>
  <c r="BL116"/>
  <c r="BK116"/>
  <c r="BJ116"/>
  <c r="BI116"/>
  <c r="BH116"/>
  <c r="BM115"/>
  <c r="BL115"/>
  <c r="BK115"/>
  <c r="BJ115"/>
  <c r="BI115"/>
  <c r="BM114"/>
  <c r="BL114"/>
  <c r="BK114"/>
  <c r="BJ114"/>
  <c r="BI114"/>
  <c r="BM113"/>
  <c r="BL113"/>
  <c r="BK113"/>
  <c r="BJ113"/>
  <c r="BI113"/>
  <c r="BM112"/>
  <c r="BL112"/>
  <c r="BK112"/>
  <c r="BJ112"/>
  <c r="BI112"/>
  <c r="BH112"/>
  <c r="BM111"/>
  <c r="BL111"/>
  <c r="BK111"/>
  <c r="BJ111"/>
  <c r="BI111"/>
  <c r="BH111"/>
  <c r="BM110"/>
  <c r="BL110"/>
  <c r="BK110"/>
  <c r="BJ110"/>
  <c r="BI110"/>
  <c r="BH110"/>
  <c r="BM108"/>
  <c r="BL108"/>
  <c r="BK108"/>
  <c r="BJ108"/>
  <c r="BI108"/>
  <c r="BH108"/>
  <c r="BM107"/>
  <c r="BL107"/>
  <c r="BK107"/>
  <c r="BJ107"/>
  <c r="BI107"/>
  <c r="BH107"/>
  <c r="BM106"/>
  <c r="BL106"/>
  <c r="BK106"/>
  <c r="BJ106"/>
  <c r="BI106"/>
  <c r="BH106"/>
  <c r="BM105"/>
  <c r="BL105"/>
  <c r="BK105"/>
  <c r="BJ105"/>
  <c r="BI105"/>
  <c r="BH105"/>
  <c r="BM104"/>
  <c r="BL104"/>
  <c r="BK104"/>
  <c r="BJ104"/>
  <c r="BI104"/>
  <c r="BH104"/>
  <c r="BM103"/>
  <c r="BL103"/>
  <c r="BK103"/>
  <c r="BJ103"/>
  <c r="BI103"/>
  <c r="BH103"/>
  <c r="BM102"/>
  <c r="BL102"/>
  <c r="BK102"/>
  <c r="BJ102"/>
  <c r="BI102"/>
  <c r="BH102"/>
  <c r="BM101"/>
  <c r="BL101"/>
  <c r="BK101"/>
  <c r="BJ101"/>
  <c r="BI101"/>
  <c r="BM100"/>
  <c r="BL100"/>
  <c r="BK100"/>
  <c r="BJ100"/>
  <c r="BI100"/>
  <c r="BM99"/>
  <c r="BL99"/>
  <c r="BK99"/>
  <c r="BJ99"/>
  <c r="BI99"/>
  <c r="BM98"/>
  <c r="BL98"/>
  <c r="BK98"/>
  <c r="BJ98"/>
  <c r="BI98"/>
  <c r="BM97"/>
  <c r="BL97"/>
  <c r="BK97"/>
  <c r="BJ97"/>
  <c r="BI97"/>
  <c r="BM96"/>
  <c r="BL96"/>
  <c r="BK96"/>
  <c r="BJ96"/>
  <c r="BI96"/>
  <c r="BM94"/>
  <c r="BL94"/>
  <c r="BK94"/>
  <c r="BJ94"/>
  <c r="BI94"/>
  <c r="BH94"/>
  <c r="BM93"/>
  <c r="BL93"/>
  <c r="BK93"/>
  <c r="BJ93"/>
  <c r="BI93"/>
  <c r="BH93"/>
  <c r="BM92"/>
  <c r="BL92"/>
  <c r="BK92"/>
  <c r="BJ92"/>
  <c r="BI92"/>
  <c r="BH92"/>
  <c r="BM150"/>
  <c r="BL150"/>
  <c r="BK150"/>
  <c r="BJ150"/>
  <c r="BI150"/>
  <c r="BM91"/>
  <c r="BL91"/>
  <c r="BK91"/>
  <c r="BJ91"/>
  <c r="BI91"/>
  <c r="BH91"/>
  <c r="BM90"/>
  <c r="BL90"/>
  <c r="BK90"/>
  <c r="BJ90"/>
  <c r="BI90"/>
  <c r="BH90"/>
  <c r="BM89"/>
  <c r="BL89"/>
  <c r="BK89"/>
  <c r="BJ89"/>
  <c r="BI89"/>
  <c r="BM88"/>
  <c r="BL88"/>
  <c r="BK88"/>
  <c r="BJ88"/>
  <c r="BI88"/>
  <c r="BM87"/>
  <c r="BL87"/>
  <c r="BK87"/>
  <c r="BJ87"/>
  <c r="BI87"/>
  <c r="BM86"/>
  <c r="BL86"/>
  <c r="BK86"/>
  <c r="BJ86"/>
  <c r="BI86"/>
  <c r="BM84"/>
  <c r="BL84"/>
  <c r="BK84"/>
  <c r="BJ84"/>
  <c r="BI84"/>
  <c r="BH84"/>
  <c r="BM83"/>
  <c r="BL83"/>
  <c r="BK83"/>
  <c r="BJ83"/>
  <c r="BI83"/>
  <c r="BH83"/>
  <c r="BM82"/>
  <c r="BL82"/>
  <c r="BK82"/>
  <c r="BJ82"/>
  <c r="BI82"/>
  <c r="BH82"/>
  <c r="BM81"/>
  <c r="BL81"/>
  <c r="BK81"/>
  <c r="BJ81"/>
  <c r="BI81"/>
  <c r="BH81"/>
  <c r="BM80"/>
  <c r="BL80"/>
  <c r="BK80"/>
  <c r="BJ80"/>
  <c r="BI80"/>
  <c r="BH80"/>
  <c r="BM79"/>
  <c r="BL79"/>
  <c r="BK79"/>
  <c r="BJ79"/>
  <c r="BI79"/>
  <c r="BH79"/>
  <c r="BM78"/>
  <c r="BL78"/>
  <c r="BK78"/>
  <c r="BJ78"/>
  <c r="BI78"/>
  <c r="BH78"/>
  <c r="BM76"/>
  <c r="BL76"/>
  <c r="BK76"/>
  <c r="BJ76"/>
  <c r="BI76"/>
  <c r="BH76"/>
  <c r="BM75"/>
  <c r="BL75"/>
  <c r="BK75"/>
  <c r="BJ75"/>
  <c r="BI75"/>
  <c r="BH75"/>
  <c r="BM74"/>
  <c r="BL74"/>
  <c r="BK74"/>
  <c r="BJ74"/>
  <c r="BI74"/>
  <c r="BH74"/>
  <c r="BM73"/>
  <c r="BL73"/>
  <c r="BK73"/>
  <c r="BJ73"/>
  <c r="BI73"/>
  <c r="BM72"/>
  <c r="BL72"/>
  <c r="BK72"/>
  <c r="BJ72"/>
  <c r="BI72"/>
  <c r="BH72"/>
  <c r="BM71"/>
  <c r="BL71"/>
  <c r="BK71"/>
  <c r="BJ71"/>
  <c r="BI71"/>
  <c r="BH71"/>
  <c r="BM70"/>
  <c r="BL70"/>
  <c r="BK70"/>
  <c r="BJ70"/>
  <c r="BI70"/>
  <c r="BM69"/>
  <c r="BL69"/>
  <c r="BK69"/>
  <c r="BJ69"/>
  <c r="BI69"/>
  <c r="BM68"/>
  <c r="BL68"/>
  <c r="BK68"/>
  <c r="BJ68"/>
  <c r="BI68"/>
  <c r="BM67"/>
  <c r="BL67"/>
  <c r="BK67"/>
  <c r="BJ67"/>
  <c r="BI67"/>
  <c r="BM66"/>
  <c r="BL66"/>
  <c r="BK66"/>
  <c r="BJ66"/>
  <c r="BI66"/>
  <c r="BM63"/>
  <c r="BL63"/>
  <c r="BK63"/>
  <c r="BJ63"/>
  <c r="BI63"/>
  <c r="BH63"/>
  <c r="BM62"/>
  <c r="BL62"/>
  <c r="BK62"/>
  <c r="BJ62"/>
  <c r="BI62"/>
  <c r="BH62"/>
  <c r="BM61"/>
  <c r="BL61"/>
  <c r="BK61"/>
  <c r="BJ61"/>
  <c r="BI61"/>
  <c r="BH61"/>
  <c r="BM60"/>
  <c r="BL60"/>
  <c r="BK60"/>
  <c r="BJ60"/>
  <c r="BI60"/>
  <c r="BM59"/>
  <c r="BL59"/>
  <c r="BK59"/>
  <c r="BJ59"/>
  <c r="BI59"/>
  <c r="BH59"/>
  <c r="BM58"/>
  <c r="BL58"/>
  <c r="BK58"/>
  <c r="BJ58"/>
  <c r="BI58"/>
  <c r="BH58"/>
  <c r="BM57"/>
  <c r="BL57"/>
  <c r="BK57"/>
  <c r="BJ57"/>
  <c r="BI57"/>
  <c r="BH57"/>
  <c r="BM56"/>
  <c r="BL56"/>
  <c r="BK56"/>
  <c r="BJ56"/>
  <c r="BI56"/>
  <c r="BM55"/>
  <c r="BL55"/>
  <c r="BK55"/>
  <c r="BJ55"/>
  <c r="BI55"/>
  <c r="BM54"/>
  <c r="BL54"/>
  <c r="BK54"/>
  <c r="BJ54"/>
  <c r="BI54"/>
  <c r="BM53"/>
  <c r="BL53"/>
  <c r="BK53"/>
  <c r="BJ53"/>
  <c r="BI53"/>
  <c r="BM52"/>
  <c r="BL52"/>
  <c r="BK52"/>
  <c r="BJ52"/>
  <c r="BI52"/>
  <c r="BM51"/>
  <c r="BL51"/>
  <c r="BK51"/>
  <c r="BJ51"/>
  <c r="BI51"/>
  <c r="BM50"/>
  <c r="BL50"/>
  <c r="BK50"/>
  <c r="BJ50"/>
  <c r="BI50"/>
  <c r="BM48"/>
  <c r="BL48"/>
  <c r="BK48"/>
  <c r="BJ48"/>
  <c r="BI48"/>
  <c r="BH48"/>
  <c r="BM47"/>
  <c r="BL47"/>
  <c r="BK47"/>
  <c r="BJ47"/>
  <c r="BI47"/>
  <c r="BH47"/>
  <c r="BM46"/>
  <c r="BL46"/>
  <c r="BK46"/>
  <c r="BJ46"/>
  <c r="BI46"/>
  <c r="BH46"/>
  <c r="BM45"/>
  <c r="BL45"/>
  <c r="BK45"/>
  <c r="BJ45"/>
  <c r="BI45"/>
  <c r="BH45"/>
  <c r="BM44"/>
  <c r="BL44"/>
  <c r="BK44"/>
  <c r="BJ44"/>
  <c r="BI44"/>
  <c r="BH44"/>
  <c r="BM43"/>
  <c r="BL43"/>
  <c r="BK43"/>
  <c r="BJ43"/>
  <c r="BI43"/>
  <c r="BH43"/>
  <c r="BM42"/>
  <c r="BL42"/>
  <c r="BK42"/>
  <c r="BJ42"/>
  <c r="BI42"/>
  <c r="BH42"/>
  <c r="BM41"/>
  <c r="BL41"/>
  <c r="BK41"/>
  <c r="BJ41"/>
  <c r="BI41"/>
  <c r="BH41"/>
  <c r="BM40"/>
  <c r="BL40"/>
  <c r="BK40"/>
  <c r="BJ40"/>
  <c r="BI40"/>
  <c r="BH40"/>
  <c r="BM39"/>
  <c r="BL39"/>
  <c r="BK39"/>
  <c r="BJ39"/>
  <c r="BI39"/>
  <c r="BH39"/>
  <c r="BM38"/>
  <c r="BL38"/>
  <c r="BK38"/>
  <c r="BJ38"/>
  <c r="BI38"/>
  <c r="BH38"/>
  <c r="BM37"/>
  <c r="BL37"/>
  <c r="BK37"/>
  <c r="BJ37"/>
  <c r="BI37"/>
  <c r="BH37"/>
  <c r="BM36"/>
  <c r="BL36"/>
  <c r="BK36"/>
  <c r="BJ36"/>
  <c r="BI36"/>
  <c r="BH36"/>
  <c r="BM35"/>
  <c r="BL35"/>
  <c r="BK35"/>
  <c r="BJ35"/>
  <c r="BI35"/>
  <c r="BH35"/>
  <c r="BM33"/>
  <c r="BL33"/>
  <c r="BK33"/>
  <c r="BJ33"/>
  <c r="BI33"/>
  <c r="BH33"/>
  <c r="BM32"/>
  <c r="BL32"/>
  <c r="BK32"/>
  <c r="BJ32"/>
  <c r="BI32"/>
  <c r="BH32"/>
  <c r="BM31"/>
  <c r="BL31"/>
  <c r="BK31"/>
  <c r="BJ31"/>
  <c r="BI31"/>
  <c r="BH31"/>
  <c r="BM30"/>
  <c r="BL30"/>
  <c r="BK30"/>
  <c r="BJ30"/>
  <c r="BI30"/>
  <c r="BH30"/>
  <c r="BM29"/>
  <c r="BL29"/>
  <c r="BK29"/>
  <c r="BJ29"/>
  <c r="BI29"/>
  <c r="BH29"/>
  <c r="BM28"/>
  <c r="BL28"/>
  <c r="BK28"/>
  <c r="BJ28"/>
  <c r="BI28"/>
  <c r="BH28"/>
  <c r="BM27"/>
  <c r="BL27"/>
  <c r="BK27"/>
  <c r="BJ27"/>
  <c r="BI27"/>
  <c r="BH27"/>
  <c r="BM26"/>
  <c r="BL26"/>
  <c r="BK26"/>
  <c r="BJ26"/>
  <c r="BI26"/>
  <c r="BH26"/>
  <c r="BM25"/>
  <c r="BL25"/>
  <c r="BK25"/>
  <c r="BJ25"/>
  <c r="BI25"/>
  <c r="BH25"/>
  <c r="BM24"/>
  <c r="BL24"/>
  <c r="BK24"/>
  <c r="BJ24"/>
  <c r="BI24"/>
  <c r="BH24"/>
  <c r="BM23"/>
  <c r="BL23"/>
  <c r="BK23"/>
  <c r="BJ23"/>
  <c r="BI23"/>
  <c r="BH23"/>
  <c r="BM22"/>
  <c r="BL22"/>
  <c r="BK22"/>
  <c r="BJ22"/>
  <c r="BI22"/>
  <c r="BH22"/>
  <c r="BM21"/>
  <c r="BL21"/>
  <c r="BK21"/>
  <c r="BJ21"/>
  <c r="BI21"/>
  <c r="BH21"/>
  <c r="BM20"/>
  <c r="BL20"/>
  <c r="BK20"/>
  <c r="BJ20"/>
  <c r="BI20"/>
  <c r="BH20"/>
  <c r="BM19"/>
  <c r="BL19"/>
  <c r="BK19"/>
  <c r="BJ19"/>
  <c r="BI19"/>
  <c r="BH19"/>
  <c r="BM18"/>
  <c r="BL18"/>
  <c r="BK18"/>
  <c r="BJ18"/>
  <c r="BI18"/>
  <c r="BH18"/>
  <c r="BM17"/>
  <c r="BL17"/>
  <c r="BK17"/>
  <c r="BJ17"/>
  <c r="BI17"/>
  <c r="BH17"/>
  <c r="BM16"/>
  <c r="BL16"/>
  <c r="BK16"/>
  <c r="BJ16"/>
  <c r="BI16"/>
  <c r="BH16"/>
  <c r="BM15"/>
  <c r="BL15"/>
  <c r="BK15"/>
  <c r="BJ15"/>
  <c r="BI15"/>
  <c r="BH15"/>
  <c r="BM14"/>
  <c r="BL14"/>
  <c r="BK14"/>
  <c r="BJ14"/>
  <c r="BI14"/>
  <c r="BH14"/>
  <c r="BM13"/>
  <c r="BL13"/>
  <c r="BK13"/>
  <c r="BJ13"/>
  <c r="BI13"/>
  <c r="BH13"/>
  <c r="BM11"/>
  <c r="BL11"/>
  <c r="BK11"/>
  <c r="BJ11"/>
  <c r="BI11"/>
  <c r="BH11"/>
  <c r="BM10"/>
  <c r="BL10"/>
  <c r="BK10"/>
  <c r="BJ10"/>
  <c r="BI10"/>
  <c r="BH10"/>
  <c r="BM9"/>
  <c r="BL9"/>
  <c r="BK9"/>
  <c r="BJ9"/>
  <c r="BI9"/>
  <c r="BH9"/>
  <c r="BM7"/>
  <c r="BL7"/>
  <c r="BK7"/>
  <c r="BJ7"/>
  <c r="BI7"/>
  <c r="BH7"/>
  <c r="BM6"/>
  <c r="BL6"/>
  <c r="BK6"/>
  <c r="BJ6"/>
  <c r="BI6"/>
  <c r="BH6"/>
  <c r="BM5"/>
  <c r="BL5"/>
  <c r="BK5"/>
  <c r="BJ5"/>
  <c r="BI5"/>
  <c r="BC157"/>
  <c r="BG65"/>
  <c r="BF65"/>
  <c r="BE65"/>
  <c r="BA158"/>
  <c r="BG158" s="1"/>
  <c r="AZ158"/>
  <c r="BF158" s="1"/>
  <c r="AY158"/>
  <c r="BE158" s="1"/>
  <c r="AX158"/>
  <c r="BD158" s="1"/>
  <c r="AW158"/>
  <c r="BC158" s="1"/>
  <c r="AV158"/>
  <c r="BB158" s="1"/>
  <c r="BA157"/>
  <c r="BG157" s="1"/>
  <c r="AZ157"/>
  <c r="BF157" s="1"/>
  <c r="AY157"/>
  <c r="BE157" s="1"/>
  <c r="AX157"/>
  <c r="BD157" s="1"/>
  <c r="AW157"/>
  <c r="AV157"/>
  <c r="BB157" s="1"/>
  <c r="BA156"/>
  <c r="BG156" s="1"/>
  <c r="AZ156"/>
  <c r="BF156" s="1"/>
  <c r="AY156"/>
  <c r="BE156" s="1"/>
  <c r="AX156"/>
  <c r="BD156" s="1"/>
  <c r="AW156"/>
  <c r="BC156" s="1"/>
  <c r="AV156"/>
  <c r="BB156" s="1"/>
  <c r="BA155"/>
  <c r="BG155" s="1"/>
  <c r="AZ155"/>
  <c r="BF155" s="1"/>
  <c r="AY155"/>
  <c r="BE155" s="1"/>
  <c r="AX155"/>
  <c r="BD155" s="1"/>
  <c r="AW155"/>
  <c r="BC155" s="1"/>
  <c r="AV155"/>
  <c r="BB155" s="1"/>
  <c r="BA154"/>
  <c r="BG154" s="1"/>
  <c r="AZ154"/>
  <c r="BF154" s="1"/>
  <c r="AY154"/>
  <c r="BE154" s="1"/>
  <c r="AX154"/>
  <c r="BD154" s="1"/>
  <c r="AW154"/>
  <c r="BC154" s="1"/>
  <c r="AV154"/>
  <c r="BB154" s="1"/>
  <c r="BA153"/>
  <c r="BG153" s="1"/>
  <c r="AZ153"/>
  <c r="BF153" s="1"/>
  <c r="AY153"/>
  <c r="BE153" s="1"/>
  <c r="AX153"/>
  <c r="BD153" s="1"/>
  <c r="AW153"/>
  <c r="BC153" s="1"/>
  <c r="BA152"/>
  <c r="BG152" s="1"/>
  <c r="AZ152"/>
  <c r="BF152" s="1"/>
  <c r="AY152"/>
  <c r="BE152" s="1"/>
  <c r="AX152"/>
  <c r="BD152" s="1"/>
  <c r="AW152"/>
  <c r="BC152" s="1"/>
  <c r="AV152"/>
  <c r="BB152" s="1"/>
  <c r="BA151"/>
  <c r="BG151" s="1"/>
  <c r="AZ151"/>
  <c r="BF151" s="1"/>
  <c r="AY151"/>
  <c r="BE151" s="1"/>
  <c r="AX151"/>
  <c r="BD151" s="1"/>
  <c r="AW151"/>
  <c r="BC151" s="1"/>
  <c r="AV151"/>
  <c r="BB151" s="1"/>
  <c r="BA149"/>
  <c r="BG149" s="1"/>
  <c r="AZ149"/>
  <c r="BF149" s="1"/>
  <c r="AY149"/>
  <c r="BE149" s="1"/>
  <c r="AX149"/>
  <c r="AW149"/>
  <c r="BC149" s="1"/>
  <c r="BA148"/>
  <c r="BG148" s="1"/>
  <c r="AZ148"/>
  <c r="BF148" s="1"/>
  <c r="AY148"/>
  <c r="BE148" s="1"/>
  <c r="AX148"/>
  <c r="AW148"/>
  <c r="BA147"/>
  <c r="BG147" s="1"/>
  <c r="AZ147"/>
  <c r="BF147" s="1"/>
  <c r="AY147"/>
  <c r="BE147" s="1"/>
  <c r="AX147"/>
  <c r="AW147"/>
  <c r="BC147" s="1"/>
  <c r="AV147"/>
  <c r="BB147" s="1"/>
  <c r="BA146"/>
  <c r="BG146" s="1"/>
  <c r="AZ146"/>
  <c r="BF146" s="1"/>
  <c r="AY146"/>
  <c r="BE146" s="1"/>
  <c r="AX146"/>
  <c r="AW146"/>
  <c r="BC146" s="1"/>
  <c r="AV146"/>
  <c r="BB146" s="1"/>
  <c r="BA145"/>
  <c r="BG145" s="1"/>
  <c r="AZ145"/>
  <c r="BF145" s="1"/>
  <c r="AY145"/>
  <c r="BE145" s="1"/>
  <c r="AX145"/>
  <c r="AW145"/>
  <c r="BC145" s="1"/>
  <c r="AV145"/>
  <c r="BB145" s="1"/>
  <c r="BA144"/>
  <c r="BG144" s="1"/>
  <c r="AZ144"/>
  <c r="BF144" s="1"/>
  <c r="AY144"/>
  <c r="BE144" s="1"/>
  <c r="AX144"/>
  <c r="BD144" s="1"/>
  <c r="AW144"/>
  <c r="BC144" s="1"/>
  <c r="AV144"/>
  <c r="BB144" s="1"/>
  <c r="BA143"/>
  <c r="BG143" s="1"/>
  <c r="AZ143"/>
  <c r="BF143" s="1"/>
  <c r="AY143"/>
  <c r="BE143" s="1"/>
  <c r="AX143"/>
  <c r="AW143"/>
  <c r="BC143" s="1"/>
  <c r="AV143"/>
  <c r="BB143" s="1"/>
  <c r="BA142"/>
  <c r="BG142" s="1"/>
  <c r="AZ142"/>
  <c r="BF142" s="1"/>
  <c r="AY142"/>
  <c r="AX142"/>
  <c r="AW142"/>
  <c r="BC142" s="1"/>
  <c r="AV142"/>
  <c r="BB142" s="1"/>
  <c r="BA141"/>
  <c r="BG141" s="1"/>
  <c r="AZ141"/>
  <c r="BF141" s="1"/>
  <c r="AY141"/>
  <c r="BE141" s="1"/>
  <c r="AX141"/>
  <c r="BD141" s="1"/>
  <c r="AW141"/>
  <c r="BC141" s="1"/>
  <c r="AV141"/>
  <c r="BB141" s="1"/>
  <c r="BA140"/>
  <c r="BG140" s="1"/>
  <c r="AZ140"/>
  <c r="BF140" s="1"/>
  <c r="AY140"/>
  <c r="BE140" s="1"/>
  <c r="AX140"/>
  <c r="BD140" s="1"/>
  <c r="AW140"/>
  <c r="AV140"/>
  <c r="BB140" s="1"/>
  <c r="BA139"/>
  <c r="BG139" s="1"/>
  <c r="AZ139"/>
  <c r="BF139" s="1"/>
  <c r="AY139"/>
  <c r="BE139" s="1"/>
  <c r="AX139"/>
  <c r="BD139" s="1"/>
  <c r="AW139"/>
  <c r="BA138"/>
  <c r="BG138" s="1"/>
  <c r="AZ138"/>
  <c r="BF138" s="1"/>
  <c r="AY138"/>
  <c r="BE138" s="1"/>
  <c r="AX138"/>
  <c r="BD138" s="1"/>
  <c r="AW138"/>
  <c r="BC138" s="1"/>
  <c r="BA137"/>
  <c r="BG137" s="1"/>
  <c r="AZ137"/>
  <c r="BF137" s="1"/>
  <c r="AY137"/>
  <c r="BE137" s="1"/>
  <c r="AX137"/>
  <c r="BD137" s="1"/>
  <c r="AW137"/>
  <c r="BC137" s="1"/>
  <c r="BA136"/>
  <c r="BG136" s="1"/>
  <c r="AZ136"/>
  <c r="BF136" s="1"/>
  <c r="AY136"/>
  <c r="BE136" s="1"/>
  <c r="AX136"/>
  <c r="BD136" s="1"/>
  <c r="AW136"/>
  <c r="BC136" s="1"/>
  <c r="BA135"/>
  <c r="AZ135"/>
  <c r="AY135"/>
  <c r="AX135"/>
  <c r="AW135"/>
  <c r="BA133"/>
  <c r="BG133" s="1"/>
  <c r="AZ133"/>
  <c r="BF133" s="1"/>
  <c r="AY133"/>
  <c r="BE133" s="1"/>
  <c r="AX133"/>
  <c r="BD133" s="1"/>
  <c r="AW133"/>
  <c r="BC133" s="1"/>
  <c r="AV133"/>
  <c r="BB133" s="1"/>
  <c r="BA132"/>
  <c r="BG132" s="1"/>
  <c r="AZ132"/>
  <c r="BF132" s="1"/>
  <c r="AY132"/>
  <c r="BE132" s="1"/>
  <c r="AX132"/>
  <c r="BD132" s="1"/>
  <c r="AW132"/>
  <c r="BC132" s="1"/>
  <c r="AV132"/>
  <c r="BB132" s="1"/>
  <c r="BA131"/>
  <c r="BG131" s="1"/>
  <c r="AZ131"/>
  <c r="BF131" s="1"/>
  <c r="AY131"/>
  <c r="BE131" s="1"/>
  <c r="AX131"/>
  <c r="BD131" s="1"/>
  <c r="AW131"/>
  <c r="BC131" s="1"/>
  <c r="AV131"/>
  <c r="BB131" s="1"/>
  <c r="BA130"/>
  <c r="BG130" s="1"/>
  <c r="AZ130"/>
  <c r="BF130" s="1"/>
  <c r="AY130"/>
  <c r="BE130" s="1"/>
  <c r="AX130"/>
  <c r="AW130"/>
  <c r="AV130"/>
  <c r="BB130" s="1"/>
  <c r="BA129"/>
  <c r="BG129" s="1"/>
  <c r="AZ129"/>
  <c r="BF129" s="1"/>
  <c r="AY129"/>
  <c r="BE129" s="1"/>
  <c r="AX129"/>
  <c r="AW129"/>
  <c r="BC129" s="1"/>
  <c r="AV129"/>
  <c r="BB129" s="1"/>
  <c r="BA128"/>
  <c r="BG128" s="1"/>
  <c r="AZ128"/>
  <c r="BF128" s="1"/>
  <c r="AY128"/>
  <c r="BE128" s="1"/>
  <c r="AX128"/>
  <c r="BD128" s="1"/>
  <c r="AW128"/>
  <c r="BC128" s="1"/>
  <c r="AV128"/>
  <c r="BA127"/>
  <c r="BG127" s="1"/>
  <c r="AZ127"/>
  <c r="BF127" s="1"/>
  <c r="AY127"/>
  <c r="BE127" s="1"/>
  <c r="AX127"/>
  <c r="BD127" s="1"/>
  <c r="AW127"/>
  <c r="AV127"/>
  <c r="BB127" s="1"/>
  <c r="BA126"/>
  <c r="BG126" s="1"/>
  <c r="AZ126"/>
  <c r="AY126"/>
  <c r="BE126" s="1"/>
  <c r="AX126"/>
  <c r="AW126"/>
  <c r="BA124"/>
  <c r="BG124" s="1"/>
  <c r="AZ124"/>
  <c r="BF124" s="1"/>
  <c r="AY124"/>
  <c r="BE124" s="1"/>
  <c r="AX124"/>
  <c r="BD124" s="1"/>
  <c r="AW124"/>
  <c r="BC124" s="1"/>
  <c r="AV124"/>
  <c r="BB124" s="1"/>
  <c r="BA123"/>
  <c r="BG123" s="1"/>
  <c r="AZ123"/>
  <c r="BF123" s="1"/>
  <c r="AY123"/>
  <c r="BE123" s="1"/>
  <c r="AX123"/>
  <c r="BD123" s="1"/>
  <c r="AW123"/>
  <c r="BC123" s="1"/>
  <c r="AV123"/>
  <c r="BB123" s="1"/>
  <c r="BA122"/>
  <c r="BG122" s="1"/>
  <c r="AZ122"/>
  <c r="BF122" s="1"/>
  <c r="AY122"/>
  <c r="BE122" s="1"/>
  <c r="AX122"/>
  <c r="BD122" s="1"/>
  <c r="AW122"/>
  <c r="BC122" s="1"/>
  <c r="AV122"/>
  <c r="BB122" s="1"/>
  <c r="BA121"/>
  <c r="BG121" s="1"/>
  <c r="AZ121"/>
  <c r="BF121" s="1"/>
  <c r="AY121"/>
  <c r="BE121" s="1"/>
  <c r="AX121"/>
  <c r="BD121" s="1"/>
  <c r="AW121"/>
  <c r="AV121"/>
  <c r="BB121" s="1"/>
  <c r="BA120"/>
  <c r="BG120" s="1"/>
  <c r="AZ120"/>
  <c r="BF120" s="1"/>
  <c r="AY120"/>
  <c r="BE120" s="1"/>
  <c r="AX120"/>
  <c r="BD120" s="1"/>
  <c r="AW120"/>
  <c r="BC120" s="1"/>
  <c r="AV120"/>
  <c r="BB120" s="1"/>
  <c r="BA119"/>
  <c r="BG119" s="1"/>
  <c r="AZ119"/>
  <c r="BF119" s="1"/>
  <c r="AY119"/>
  <c r="BE119" s="1"/>
  <c r="AX119"/>
  <c r="BD119" s="1"/>
  <c r="AW119"/>
  <c r="BC119" s="1"/>
  <c r="AV119"/>
  <c r="BB119" s="1"/>
  <c r="BA118"/>
  <c r="BG118" s="1"/>
  <c r="AZ118"/>
  <c r="BF118" s="1"/>
  <c r="AY118"/>
  <c r="BE118" s="1"/>
  <c r="AX118"/>
  <c r="BD118" s="1"/>
  <c r="AW118"/>
  <c r="AV118"/>
  <c r="BB118" s="1"/>
  <c r="BA117"/>
  <c r="BG117" s="1"/>
  <c r="AZ117"/>
  <c r="BF117" s="1"/>
  <c r="AY117"/>
  <c r="BE117" s="1"/>
  <c r="AX117"/>
  <c r="AW117"/>
  <c r="AV117"/>
  <c r="BB117" s="1"/>
  <c r="BA116"/>
  <c r="BG116" s="1"/>
  <c r="AZ116"/>
  <c r="BF116" s="1"/>
  <c r="AY116"/>
  <c r="BE116" s="1"/>
  <c r="AX116"/>
  <c r="AW116"/>
  <c r="BC116" s="1"/>
  <c r="AV116"/>
  <c r="BB116" s="1"/>
  <c r="BA115"/>
  <c r="BG115" s="1"/>
  <c r="AZ115"/>
  <c r="BF115" s="1"/>
  <c r="AY115"/>
  <c r="BE115" s="1"/>
  <c r="AX115"/>
  <c r="BD115" s="1"/>
  <c r="AW115"/>
  <c r="AV115"/>
  <c r="BA114"/>
  <c r="BG114" s="1"/>
  <c r="AZ114"/>
  <c r="BF114" s="1"/>
  <c r="AY114"/>
  <c r="BE114" s="1"/>
  <c r="AX114"/>
  <c r="AW114"/>
  <c r="BC114" s="1"/>
  <c r="AV114"/>
  <c r="BA113"/>
  <c r="BG113" s="1"/>
  <c r="AZ113"/>
  <c r="BF113" s="1"/>
  <c r="AY113"/>
  <c r="BE113" s="1"/>
  <c r="AX113"/>
  <c r="AW113"/>
  <c r="AV113"/>
  <c r="BA112"/>
  <c r="BG112" s="1"/>
  <c r="AZ112"/>
  <c r="BF112" s="1"/>
  <c r="AY112"/>
  <c r="AX112"/>
  <c r="AW112"/>
  <c r="BC112" s="1"/>
  <c r="AV112"/>
  <c r="BB112" s="1"/>
  <c r="BA111"/>
  <c r="BG111" s="1"/>
  <c r="AZ111"/>
  <c r="BF111" s="1"/>
  <c r="AY111"/>
  <c r="BE111" s="1"/>
  <c r="AX111"/>
  <c r="AW111"/>
  <c r="AV111"/>
  <c r="BA110"/>
  <c r="BG110" s="1"/>
  <c r="AZ110"/>
  <c r="AY110"/>
  <c r="BE110" s="1"/>
  <c r="AX110"/>
  <c r="AW110"/>
  <c r="BC110" s="1"/>
  <c r="AV110"/>
  <c r="BB110" s="1"/>
  <c r="BA108"/>
  <c r="BG108" s="1"/>
  <c r="AZ108"/>
  <c r="BF108" s="1"/>
  <c r="AY108"/>
  <c r="BE108" s="1"/>
  <c r="AX108"/>
  <c r="BD108" s="1"/>
  <c r="AW108"/>
  <c r="BC108" s="1"/>
  <c r="AV108"/>
  <c r="BB108" s="1"/>
  <c r="BA107"/>
  <c r="BG107" s="1"/>
  <c r="AZ107"/>
  <c r="BF107" s="1"/>
  <c r="AY107"/>
  <c r="BE107" s="1"/>
  <c r="AX107"/>
  <c r="BD107" s="1"/>
  <c r="AW107"/>
  <c r="BC107" s="1"/>
  <c r="AV107"/>
  <c r="BB107" s="1"/>
  <c r="BA106"/>
  <c r="BG106" s="1"/>
  <c r="AZ106"/>
  <c r="BF106" s="1"/>
  <c r="AY106"/>
  <c r="BE106" s="1"/>
  <c r="AX106"/>
  <c r="BD106" s="1"/>
  <c r="AW106"/>
  <c r="BC106" s="1"/>
  <c r="AV106"/>
  <c r="BB106" s="1"/>
  <c r="BA105"/>
  <c r="BG105" s="1"/>
  <c r="AZ105"/>
  <c r="BF105" s="1"/>
  <c r="AY105"/>
  <c r="BE105" s="1"/>
  <c r="AX105"/>
  <c r="AW105"/>
  <c r="AV105"/>
  <c r="BB105" s="1"/>
  <c r="BA104"/>
  <c r="BG104" s="1"/>
  <c r="AZ104"/>
  <c r="BF104" s="1"/>
  <c r="AY104"/>
  <c r="BE104" s="1"/>
  <c r="AX104"/>
  <c r="BD104" s="1"/>
  <c r="AW104"/>
  <c r="BC104" s="1"/>
  <c r="AV104"/>
  <c r="BB104" s="1"/>
  <c r="BA103"/>
  <c r="BG103" s="1"/>
  <c r="AZ103"/>
  <c r="BF103" s="1"/>
  <c r="AY103"/>
  <c r="BE103" s="1"/>
  <c r="AX103"/>
  <c r="BD103" s="1"/>
  <c r="AW103"/>
  <c r="BC103" s="1"/>
  <c r="AV103"/>
  <c r="BB103" s="1"/>
  <c r="BA102"/>
  <c r="BG102" s="1"/>
  <c r="AZ102"/>
  <c r="BF102" s="1"/>
  <c r="AY102"/>
  <c r="BE102" s="1"/>
  <c r="AX102"/>
  <c r="AW102"/>
  <c r="AV102"/>
  <c r="BB102" s="1"/>
  <c r="BA101"/>
  <c r="BG101" s="1"/>
  <c r="AZ101"/>
  <c r="BF101" s="1"/>
  <c r="AY101"/>
  <c r="BE101" s="1"/>
  <c r="AW101"/>
  <c r="BA100"/>
  <c r="BG100" s="1"/>
  <c r="AZ100"/>
  <c r="BF100" s="1"/>
  <c r="AY100"/>
  <c r="BE100" s="1"/>
  <c r="AX100"/>
  <c r="BD100" s="1"/>
  <c r="AW100"/>
  <c r="BC100" s="1"/>
  <c r="BA99"/>
  <c r="BG99" s="1"/>
  <c r="AZ99"/>
  <c r="BF99" s="1"/>
  <c r="AY99"/>
  <c r="BE99" s="1"/>
  <c r="AW99"/>
  <c r="BC99" s="1"/>
  <c r="BA98"/>
  <c r="BG98" s="1"/>
  <c r="AZ98"/>
  <c r="BF98" s="1"/>
  <c r="AY98"/>
  <c r="AW98"/>
  <c r="BA97"/>
  <c r="BG97" s="1"/>
  <c r="AZ97"/>
  <c r="BF97" s="1"/>
  <c r="AY97"/>
  <c r="BE97" s="1"/>
  <c r="AW97"/>
  <c r="BA96"/>
  <c r="AZ96"/>
  <c r="AY96"/>
  <c r="BE96" s="1"/>
  <c r="AW96"/>
  <c r="BA94"/>
  <c r="BG94" s="1"/>
  <c r="AZ94"/>
  <c r="BF94" s="1"/>
  <c r="AY94"/>
  <c r="BE94" s="1"/>
  <c r="AX94"/>
  <c r="BD94" s="1"/>
  <c r="AW94"/>
  <c r="BC94" s="1"/>
  <c r="AV94"/>
  <c r="BB94" s="1"/>
  <c r="BA93"/>
  <c r="BG93" s="1"/>
  <c r="AZ93"/>
  <c r="BF93" s="1"/>
  <c r="AY93"/>
  <c r="BE93" s="1"/>
  <c r="AX93"/>
  <c r="BD93" s="1"/>
  <c r="AW93"/>
  <c r="BC93" s="1"/>
  <c r="AV93"/>
  <c r="BB93" s="1"/>
  <c r="BA92"/>
  <c r="BG92" s="1"/>
  <c r="AZ92"/>
  <c r="BF92" s="1"/>
  <c r="AY92"/>
  <c r="BE92" s="1"/>
  <c r="AX92"/>
  <c r="BD92" s="1"/>
  <c r="AW92"/>
  <c r="BC92" s="1"/>
  <c r="AV92"/>
  <c r="BB92" s="1"/>
  <c r="BA150"/>
  <c r="BG150" s="1"/>
  <c r="AZ150"/>
  <c r="BF150" s="1"/>
  <c r="AY150"/>
  <c r="BE150" s="1"/>
  <c r="AX150"/>
  <c r="BD150" s="1"/>
  <c r="AW150"/>
  <c r="BA91"/>
  <c r="BG91" s="1"/>
  <c r="AZ91"/>
  <c r="BF91" s="1"/>
  <c r="AY91"/>
  <c r="BE91" s="1"/>
  <c r="AX91"/>
  <c r="BD91" s="1"/>
  <c r="AW91"/>
  <c r="BC91" s="1"/>
  <c r="AV91"/>
  <c r="BB91" s="1"/>
  <c r="BA90"/>
  <c r="BG90" s="1"/>
  <c r="AZ90"/>
  <c r="BF90" s="1"/>
  <c r="AY90"/>
  <c r="BE90" s="1"/>
  <c r="AX90"/>
  <c r="AW90"/>
  <c r="BC90" s="1"/>
  <c r="AV90"/>
  <c r="BB90" s="1"/>
  <c r="BA89"/>
  <c r="BG89" s="1"/>
  <c r="AZ89"/>
  <c r="BF89" s="1"/>
  <c r="AY89"/>
  <c r="BE89" s="1"/>
  <c r="AX89"/>
  <c r="AW89"/>
  <c r="BA88"/>
  <c r="BG88" s="1"/>
  <c r="AZ88"/>
  <c r="AY88"/>
  <c r="BE88" s="1"/>
  <c r="AX88"/>
  <c r="BD88" s="1"/>
  <c r="AW88"/>
  <c r="BA87"/>
  <c r="AZ87"/>
  <c r="BF87" s="1"/>
  <c r="AY87"/>
  <c r="BE87" s="1"/>
  <c r="AX87"/>
  <c r="AW87"/>
  <c r="BC87" s="1"/>
  <c r="BA86"/>
  <c r="BG86" s="1"/>
  <c r="AZ86"/>
  <c r="BF86" s="1"/>
  <c r="AY86"/>
  <c r="BE86" s="1"/>
  <c r="AX86"/>
  <c r="AW86"/>
  <c r="BA84"/>
  <c r="BG84" s="1"/>
  <c r="AZ84"/>
  <c r="BF84" s="1"/>
  <c r="AY84"/>
  <c r="BE84" s="1"/>
  <c r="AX84"/>
  <c r="BD84" s="1"/>
  <c r="AW84"/>
  <c r="BC84" s="1"/>
  <c r="AV84"/>
  <c r="BB84" s="1"/>
  <c r="BA83"/>
  <c r="BG83" s="1"/>
  <c r="AZ83"/>
  <c r="BF83" s="1"/>
  <c r="AY83"/>
  <c r="BE83" s="1"/>
  <c r="AX83"/>
  <c r="BD83" s="1"/>
  <c r="AW83"/>
  <c r="BC83" s="1"/>
  <c r="AV83"/>
  <c r="BB83" s="1"/>
  <c r="BA82"/>
  <c r="BG82" s="1"/>
  <c r="AZ82"/>
  <c r="BF82" s="1"/>
  <c r="AY82"/>
  <c r="BE82" s="1"/>
  <c r="AX82"/>
  <c r="BD82" s="1"/>
  <c r="AW82"/>
  <c r="BC82" s="1"/>
  <c r="AV82"/>
  <c r="BB82" s="1"/>
  <c r="BA81"/>
  <c r="BG81" s="1"/>
  <c r="AZ81"/>
  <c r="BF81" s="1"/>
  <c r="AY81"/>
  <c r="BE81" s="1"/>
  <c r="AX81"/>
  <c r="BD81" s="1"/>
  <c r="AW81"/>
  <c r="BC81" s="1"/>
  <c r="AV81"/>
  <c r="BB81" s="1"/>
  <c r="BA80"/>
  <c r="BG80" s="1"/>
  <c r="AZ80"/>
  <c r="BF80" s="1"/>
  <c r="AY80"/>
  <c r="BE80" s="1"/>
  <c r="AX80"/>
  <c r="BD80" s="1"/>
  <c r="AW80"/>
  <c r="AV80"/>
  <c r="BB80" s="1"/>
  <c r="BA79"/>
  <c r="BG79" s="1"/>
  <c r="AZ79"/>
  <c r="AY79"/>
  <c r="BE79" s="1"/>
  <c r="AX79"/>
  <c r="AW79"/>
  <c r="BC79" s="1"/>
  <c r="AV79"/>
  <c r="BB79" s="1"/>
  <c r="BA78"/>
  <c r="AZ78"/>
  <c r="BF78" s="1"/>
  <c r="AY78"/>
  <c r="BE78" s="1"/>
  <c r="AX78"/>
  <c r="AW78"/>
  <c r="AV78"/>
  <c r="BB78" s="1"/>
  <c r="BA76"/>
  <c r="BG76" s="1"/>
  <c r="AZ76"/>
  <c r="BF76" s="1"/>
  <c r="AY76"/>
  <c r="BE76" s="1"/>
  <c r="AX76"/>
  <c r="BD76" s="1"/>
  <c r="AW76"/>
  <c r="BC76" s="1"/>
  <c r="AV76"/>
  <c r="BB76" s="1"/>
  <c r="BA75"/>
  <c r="BG75" s="1"/>
  <c r="AZ75"/>
  <c r="BF75" s="1"/>
  <c r="AY75"/>
  <c r="BE75" s="1"/>
  <c r="AX75"/>
  <c r="BD75" s="1"/>
  <c r="AW75"/>
  <c r="BC75" s="1"/>
  <c r="AV75"/>
  <c r="BB75" s="1"/>
  <c r="BA74"/>
  <c r="BG74" s="1"/>
  <c r="AZ74"/>
  <c r="BF74" s="1"/>
  <c r="AY74"/>
  <c r="BE74" s="1"/>
  <c r="AX74"/>
  <c r="BD74" s="1"/>
  <c r="AW74"/>
  <c r="BC74" s="1"/>
  <c r="AV74"/>
  <c r="BB74" s="1"/>
  <c r="BA73"/>
  <c r="BG73" s="1"/>
  <c r="AZ73"/>
  <c r="BF73" s="1"/>
  <c r="AY73"/>
  <c r="BE73" s="1"/>
  <c r="AX73"/>
  <c r="AW73"/>
  <c r="AV73"/>
  <c r="BA72"/>
  <c r="BG72" s="1"/>
  <c r="AZ72"/>
  <c r="BF72" s="1"/>
  <c r="AY72"/>
  <c r="BE72" s="1"/>
  <c r="AX72"/>
  <c r="BD72" s="1"/>
  <c r="AW72"/>
  <c r="BC72" s="1"/>
  <c r="AV72"/>
  <c r="BB72" s="1"/>
  <c r="BA71"/>
  <c r="BG71" s="1"/>
  <c r="AZ71"/>
  <c r="BF71" s="1"/>
  <c r="AY71"/>
  <c r="BE71" s="1"/>
  <c r="AX71"/>
  <c r="BD71" s="1"/>
  <c r="AW71"/>
  <c r="BC71" s="1"/>
  <c r="AV71"/>
  <c r="BB71" s="1"/>
  <c r="BA70"/>
  <c r="BG70" s="1"/>
  <c r="AZ70"/>
  <c r="BF70" s="1"/>
  <c r="AY70"/>
  <c r="BE70" s="1"/>
  <c r="AX70"/>
  <c r="AW70"/>
  <c r="AV70"/>
  <c r="BA69"/>
  <c r="BG69" s="1"/>
  <c r="AZ69"/>
  <c r="BF69" s="1"/>
  <c r="AY69"/>
  <c r="BE69" s="1"/>
  <c r="AX69"/>
  <c r="AW69"/>
  <c r="AV69"/>
  <c r="BA68"/>
  <c r="BG68" s="1"/>
  <c r="AZ68"/>
  <c r="BF68" s="1"/>
  <c r="AY68"/>
  <c r="BE68" s="1"/>
  <c r="AX68"/>
  <c r="AW68"/>
  <c r="AV68"/>
  <c r="BA67"/>
  <c r="BG67" s="1"/>
  <c r="AZ67"/>
  <c r="BF67" s="1"/>
  <c r="AY67"/>
  <c r="AX67"/>
  <c r="AW67"/>
  <c r="BC67" s="1"/>
  <c r="AV67"/>
  <c r="BA66"/>
  <c r="AZ66"/>
  <c r="AY66"/>
  <c r="BE66" s="1"/>
  <c r="AX66"/>
  <c r="AW66"/>
  <c r="AV66"/>
  <c r="BA63"/>
  <c r="BG63" s="1"/>
  <c r="AZ63"/>
  <c r="BF63" s="1"/>
  <c r="AY63"/>
  <c r="BE63" s="1"/>
  <c r="AX63"/>
  <c r="BD63" s="1"/>
  <c r="AW63"/>
  <c r="BC63" s="1"/>
  <c r="AV63"/>
  <c r="BB63" s="1"/>
  <c r="BA62"/>
  <c r="BG62" s="1"/>
  <c r="AZ62"/>
  <c r="BF62" s="1"/>
  <c r="AY62"/>
  <c r="BE62" s="1"/>
  <c r="AX62"/>
  <c r="BD62" s="1"/>
  <c r="AW62"/>
  <c r="BC62" s="1"/>
  <c r="AV62"/>
  <c r="BB62" s="1"/>
  <c r="BA61"/>
  <c r="BG61" s="1"/>
  <c r="AZ61"/>
  <c r="BF61" s="1"/>
  <c r="AY61"/>
  <c r="BE61" s="1"/>
  <c r="AX61"/>
  <c r="BD61" s="1"/>
  <c r="AW61"/>
  <c r="BC61" s="1"/>
  <c r="AV61"/>
  <c r="BB61" s="1"/>
  <c r="BA60"/>
  <c r="BG60" s="1"/>
  <c r="AZ60"/>
  <c r="BF60" s="1"/>
  <c r="AY60"/>
  <c r="AX60"/>
  <c r="AW60"/>
  <c r="BC60" s="1"/>
  <c r="BA59"/>
  <c r="BG59" s="1"/>
  <c r="AZ59"/>
  <c r="BF59" s="1"/>
  <c r="AY59"/>
  <c r="AX59"/>
  <c r="AW59"/>
  <c r="BC59" s="1"/>
  <c r="AV59"/>
  <c r="BB59" s="1"/>
  <c r="BA58"/>
  <c r="BG58" s="1"/>
  <c r="AZ58"/>
  <c r="BF58" s="1"/>
  <c r="AY58"/>
  <c r="AX58"/>
  <c r="BD58" s="1"/>
  <c r="AW58"/>
  <c r="BC58" s="1"/>
  <c r="AV58"/>
  <c r="BB58" s="1"/>
  <c r="BA57"/>
  <c r="BG57" s="1"/>
  <c r="AZ57"/>
  <c r="BF57" s="1"/>
  <c r="AY57"/>
  <c r="BE57" s="1"/>
  <c r="AX57"/>
  <c r="BD57" s="1"/>
  <c r="AW57"/>
  <c r="BC57" s="1"/>
  <c r="AV57"/>
  <c r="BB57" s="1"/>
  <c r="BA56"/>
  <c r="BG56" s="1"/>
  <c r="AZ56"/>
  <c r="BF56" s="1"/>
  <c r="AY56"/>
  <c r="AX56"/>
  <c r="AW56"/>
  <c r="BC56" s="1"/>
  <c r="BA55"/>
  <c r="BG55" s="1"/>
  <c r="AZ55"/>
  <c r="BF55" s="1"/>
  <c r="AY55"/>
  <c r="BE55" s="1"/>
  <c r="AX55"/>
  <c r="BD55" s="1"/>
  <c r="AW55"/>
  <c r="BC55" s="1"/>
  <c r="BA54"/>
  <c r="BG54" s="1"/>
  <c r="AZ54"/>
  <c r="BF54" s="1"/>
  <c r="AY54"/>
  <c r="BE54" s="1"/>
  <c r="AX54"/>
  <c r="AW54"/>
  <c r="BA53"/>
  <c r="AZ53"/>
  <c r="BF53" s="1"/>
  <c r="AY53"/>
  <c r="BE53" s="1"/>
  <c r="AX53"/>
  <c r="AW53"/>
  <c r="BA52"/>
  <c r="BG52" s="1"/>
  <c r="AZ52"/>
  <c r="BF52" s="1"/>
  <c r="AY52"/>
  <c r="BE52" s="1"/>
  <c r="AX52"/>
  <c r="BD52" s="1"/>
  <c r="AW52"/>
  <c r="BA51"/>
  <c r="BG51" s="1"/>
  <c r="AZ51"/>
  <c r="BF51" s="1"/>
  <c r="AY51"/>
  <c r="AX51"/>
  <c r="AW51"/>
  <c r="BC51" s="1"/>
  <c r="BA50"/>
  <c r="BG50" s="1"/>
  <c r="AZ50"/>
  <c r="BF50" s="1"/>
  <c r="AY50"/>
  <c r="AX50"/>
  <c r="BD50" s="1"/>
  <c r="AW50"/>
  <c r="BA48"/>
  <c r="BG48" s="1"/>
  <c r="AZ48"/>
  <c r="BF48" s="1"/>
  <c r="AY48"/>
  <c r="BE48" s="1"/>
  <c r="AX48"/>
  <c r="BD48" s="1"/>
  <c r="AW48"/>
  <c r="BC48" s="1"/>
  <c r="AV48"/>
  <c r="BB48" s="1"/>
  <c r="BA47"/>
  <c r="BG47" s="1"/>
  <c r="AZ47"/>
  <c r="BF47" s="1"/>
  <c r="AY47"/>
  <c r="BE47" s="1"/>
  <c r="AX47"/>
  <c r="BD47" s="1"/>
  <c r="AW47"/>
  <c r="BC47" s="1"/>
  <c r="AV47"/>
  <c r="BB47" s="1"/>
  <c r="BA46"/>
  <c r="BG46" s="1"/>
  <c r="AZ46"/>
  <c r="BF46" s="1"/>
  <c r="AY46"/>
  <c r="BE46" s="1"/>
  <c r="AX46"/>
  <c r="BD46" s="1"/>
  <c r="AW46"/>
  <c r="BC46" s="1"/>
  <c r="AV46"/>
  <c r="BB46" s="1"/>
  <c r="BA45"/>
  <c r="BG45" s="1"/>
  <c r="AZ45"/>
  <c r="BF45" s="1"/>
  <c r="AY45"/>
  <c r="BE45" s="1"/>
  <c r="AX45"/>
  <c r="BD45" s="1"/>
  <c r="AW45"/>
  <c r="BC45" s="1"/>
  <c r="BA44"/>
  <c r="BG44" s="1"/>
  <c r="AZ44"/>
  <c r="BF44" s="1"/>
  <c r="AY44"/>
  <c r="BE44" s="1"/>
  <c r="AX44"/>
  <c r="AW44"/>
  <c r="BC44" s="1"/>
  <c r="AV44"/>
  <c r="BB44" s="1"/>
  <c r="BA43"/>
  <c r="BG43" s="1"/>
  <c r="AZ43"/>
  <c r="BF43" s="1"/>
  <c r="AY43"/>
  <c r="BE43" s="1"/>
  <c r="AX43"/>
  <c r="BD43" s="1"/>
  <c r="AW43"/>
  <c r="BC43" s="1"/>
  <c r="AV43"/>
  <c r="BB43" s="1"/>
  <c r="BA42"/>
  <c r="BG42" s="1"/>
  <c r="AZ42"/>
  <c r="BF42" s="1"/>
  <c r="AY42"/>
  <c r="BE42" s="1"/>
  <c r="AX42"/>
  <c r="AW42"/>
  <c r="BA41"/>
  <c r="BG41" s="1"/>
  <c r="AZ41"/>
  <c r="BF41" s="1"/>
  <c r="AY41"/>
  <c r="BE41" s="1"/>
  <c r="AX41"/>
  <c r="AW41"/>
  <c r="BC41" s="1"/>
  <c r="BA40"/>
  <c r="BG40" s="1"/>
  <c r="AZ40"/>
  <c r="BF40" s="1"/>
  <c r="AY40"/>
  <c r="BE40" s="1"/>
  <c r="AX40"/>
  <c r="AW40"/>
  <c r="BA39"/>
  <c r="BG39" s="1"/>
  <c r="AZ39"/>
  <c r="BF39" s="1"/>
  <c r="AY39"/>
  <c r="BE39" s="1"/>
  <c r="AX39"/>
  <c r="BD39" s="1"/>
  <c r="AW39"/>
  <c r="BC39" s="1"/>
  <c r="BA38"/>
  <c r="BG38" s="1"/>
  <c r="AZ38"/>
  <c r="BF38" s="1"/>
  <c r="AY38"/>
  <c r="BE38" s="1"/>
  <c r="AX38"/>
  <c r="AW38"/>
  <c r="AV38"/>
  <c r="BB38" s="1"/>
  <c r="BA37"/>
  <c r="BG37" s="1"/>
  <c r="AZ37"/>
  <c r="BF37" s="1"/>
  <c r="AY37"/>
  <c r="AX37"/>
  <c r="AW37"/>
  <c r="BC37" s="1"/>
  <c r="BA36"/>
  <c r="BG36" s="1"/>
  <c r="AZ36"/>
  <c r="BF36" s="1"/>
  <c r="AY36"/>
  <c r="BE36" s="1"/>
  <c r="AX36"/>
  <c r="AW36"/>
  <c r="BA35"/>
  <c r="BG35" s="1"/>
  <c r="AZ35"/>
  <c r="BF35" s="1"/>
  <c r="AY35"/>
  <c r="BE35" s="1"/>
  <c r="AX35"/>
  <c r="AW35"/>
  <c r="BC35" s="1"/>
  <c r="BA33"/>
  <c r="BG33" s="1"/>
  <c r="AZ33"/>
  <c r="BF33" s="1"/>
  <c r="AY33"/>
  <c r="BE33" s="1"/>
  <c r="AX33"/>
  <c r="BD33" s="1"/>
  <c r="AW33"/>
  <c r="BC33" s="1"/>
  <c r="AV33"/>
  <c r="BB33" s="1"/>
  <c r="BA32"/>
  <c r="BG32" s="1"/>
  <c r="AZ32"/>
  <c r="BF32" s="1"/>
  <c r="AY32"/>
  <c r="BE32" s="1"/>
  <c r="AX32"/>
  <c r="BD32" s="1"/>
  <c r="AW32"/>
  <c r="BC32" s="1"/>
  <c r="AV32"/>
  <c r="BB32" s="1"/>
  <c r="BA31"/>
  <c r="BG31" s="1"/>
  <c r="AZ31"/>
  <c r="BF31" s="1"/>
  <c r="AY31"/>
  <c r="BE31" s="1"/>
  <c r="AX31"/>
  <c r="BD31" s="1"/>
  <c r="AW31"/>
  <c r="BC31" s="1"/>
  <c r="AV31"/>
  <c r="BB31" s="1"/>
  <c r="BA30"/>
  <c r="BG30" s="1"/>
  <c r="AZ30"/>
  <c r="BF30" s="1"/>
  <c r="AY30"/>
  <c r="BE30" s="1"/>
  <c r="AX30"/>
  <c r="BD30" s="1"/>
  <c r="AW30"/>
  <c r="BC30" s="1"/>
  <c r="AV30"/>
  <c r="BB30" s="1"/>
  <c r="BA29"/>
  <c r="BG29" s="1"/>
  <c r="AZ29"/>
  <c r="BF29" s="1"/>
  <c r="AY29"/>
  <c r="BE29" s="1"/>
  <c r="AX29"/>
  <c r="BD29" s="1"/>
  <c r="AW29"/>
  <c r="BC29" s="1"/>
  <c r="AV29"/>
  <c r="BB29" s="1"/>
  <c r="BA28"/>
  <c r="BG28" s="1"/>
  <c r="AZ28"/>
  <c r="BF28" s="1"/>
  <c r="AY28"/>
  <c r="BE28" s="1"/>
  <c r="AX28"/>
  <c r="AW28"/>
  <c r="BC28" s="1"/>
  <c r="AV28"/>
  <c r="BB28" s="1"/>
  <c r="BA27"/>
  <c r="BG27" s="1"/>
  <c r="AZ27"/>
  <c r="BF27" s="1"/>
  <c r="AY27"/>
  <c r="BE27" s="1"/>
  <c r="AX27"/>
  <c r="AW27"/>
  <c r="BC27" s="1"/>
  <c r="AV27"/>
  <c r="BB27" s="1"/>
  <c r="BA26"/>
  <c r="BG26" s="1"/>
  <c r="AZ26"/>
  <c r="BF26" s="1"/>
  <c r="AY26"/>
  <c r="BE26" s="1"/>
  <c r="AX26"/>
  <c r="BD26" s="1"/>
  <c r="AW26"/>
  <c r="BC26" s="1"/>
  <c r="AV26"/>
  <c r="BB26" s="1"/>
  <c r="BA25"/>
  <c r="BG25" s="1"/>
  <c r="AZ25"/>
  <c r="BF25" s="1"/>
  <c r="AY25"/>
  <c r="BE25" s="1"/>
  <c r="AX25"/>
  <c r="AW25"/>
  <c r="BC25" s="1"/>
  <c r="AV25"/>
  <c r="BB25" s="1"/>
  <c r="BA24"/>
  <c r="BG24" s="1"/>
  <c r="AZ24"/>
  <c r="BF24" s="1"/>
  <c r="AY24"/>
  <c r="BE24" s="1"/>
  <c r="AX24"/>
  <c r="AW24"/>
  <c r="BC24" s="1"/>
  <c r="AV24"/>
  <c r="BB24" s="1"/>
  <c r="BA23"/>
  <c r="BG23" s="1"/>
  <c r="AZ23"/>
  <c r="BF23" s="1"/>
  <c r="AY23"/>
  <c r="BE23" s="1"/>
  <c r="AX23"/>
  <c r="AW23"/>
  <c r="BC23" s="1"/>
  <c r="AV23"/>
  <c r="BB23" s="1"/>
  <c r="BA22"/>
  <c r="BG22" s="1"/>
  <c r="AZ22"/>
  <c r="BF22" s="1"/>
  <c r="AY22"/>
  <c r="BE22" s="1"/>
  <c r="AX22"/>
  <c r="BD22" s="1"/>
  <c r="AW22"/>
  <c r="BC22" s="1"/>
  <c r="AV22"/>
  <c r="BB22" s="1"/>
  <c r="BA21"/>
  <c r="BG21" s="1"/>
  <c r="AZ21"/>
  <c r="BF21" s="1"/>
  <c r="AY21"/>
  <c r="BE21" s="1"/>
  <c r="AX21"/>
  <c r="AW21"/>
  <c r="BC21" s="1"/>
  <c r="AV21"/>
  <c r="BB21" s="1"/>
  <c r="BA20"/>
  <c r="BG20" s="1"/>
  <c r="AZ20"/>
  <c r="BF20" s="1"/>
  <c r="AY20"/>
  <c r="BE20" s="1"/>
  <c r="AX20"/>
  <c r="AW20"/>
  <c r="BC20" s="1"/>
  <c r="AV20"/>
  <c r="BB20" s="1"/>
  <c r="BA19"/>
  <c r="BG19" s="1"/>
  <c r="AZ19"/>
  <c r="BF19" s="1"/>
  <c r="AY19"/>
  <c r="BE19" s="1"/>
  <c r="AX19"/>
  <c r="AW19"/>
  <c r="BC19" s="1"/>
  <c r="AV19"/>
  <c r="BB19" s="1"/>
  <c r="BA18"/>
  <c r="AZ18"/>
  <c r="AY18"/>
  <c r="AX18"/>
  <c r="BD18" s="1"/>
  <c r="AW18"/>
  <c r="AV18"/>
  <c r="BA17"/>
  <c r="BG17" s="1"/>
  <c r="AZ17"/>
  <c r="BF17" s="1"/>
  <c r="AY17"/>
  <c r="BE17" s="1"/>
  <c r="AX17"/>
  <c r="AW17"/>
  <c r="BC17" s="1"/>
  <c r="AV17"/>
  <c r="BB17" s="1"/>
  <c r="BA16"/>
  <c r="BG16" s="1"/>
  <c r="AZ16"/>
  <c r="BF16" s="1"/>
  <c r="AY16"/>
  <c r="BE16" s="1"/>
  <c r="AX16"/>
  <c r="AW16"/>
  <c r="BC16" s="1"/>
  <c r="AV16"/>
  <c r="BB16" s="1"/>
  <c r="BA15"/>
  <c r="BG15" s="1"/>
  <c r="AZ15"/>
  <c r="BF15" s="1"/>
  <c r="AY15"/>
  <c r="BE15" s="1"/>
  <c r="AX15"/>
  <c r="AW15"/>
  <c r="BC15" s="1"/>
  <c r="AV15"/>
  <c r="BB15" s="1"/>
  <c r="BA14"/>
  <c r="BG14" s="1"/>
  <c r="AZ14"/>
  <c r="AY14"/>
  <c r="BE14" s="1"/>
  <c r="AX14"/>
  <c r="BD14" s="1"/>
  <c r="AW14"/>
  <c r="AV14"/>
  <c r="BB14" s="1"/>
  <c r="BA13"/>
  <c r="AZ13"/>
  <c r="BF13" s="1"/>
  <c r="AY13"/>
  <c r="AX13"/>
  <c r="AW13"/>
  <c r="BC13" s="1"/>
  <c r="AV13"/>
  <c r="BA11"/>
  <c r="BG11" s="1"/>
  <c r="AZ11"/>
  <c r="BF11" s="1"/>
  <c r="AY11"/>
  <c r="BE11" s="1"/>
  <c r="AX11"/>
  <c r="BD11" s="1"/>
  <c r="AW11"/>
  <c r="BC11" s="1"/>
  <c r="AV11"/>
  <c r="BA10"/>
  <c r="BG10" s="1"/>
  <c r="AZ10"/>
  <c r="BF10" s="1"/>
  <c r="AY10"/>
  <c r="AX10"/>
  <c r="BD10" s="1"/>
  <c r="AW10"/>
  <c r="BC10" s="1"/>
  <c r="AV10"/>
  <c r="BB10" s="1"/>
  <c r="BA9"/>
  <c r="AZ9"/>
  <c r="AY9"/>
  <c r="BE9" s="1"/>
  <c r="AX9"/>
  <c r="AW9"/>
  <c r="AV9"/>
  <c r="BB9" s="1"/>
  <c r="BA7"/>
  <c r="BG7" s="1"/>
  <c r="AZ7"/>
  <c r="BF7" s="1"/>
  <c r="AY7"/>
  <c r="BE7" s="1"/>
  <c r="AX7"/>
  <c r="AW7"/>
  <c r="BC7" s="1"/>
  <c r="AV7"/>
  <c r="BB7" s="1"/>
  <c r="BA6"/>
  <c r="BG6" s="1"/>
  <c r="AZ6"/>
  <c r="AY6"/>
  <c r="BE6" s="1"/>
  <c r="AX6"/>
  <c r="BD6" s="1"/>
  <c r="AW6"/>
  <c r="AV6"/>
  <c r="BA5"/>
  <c r="AZ5"/>
  <c r="BF5" s="1"/>
  <c r="AY5"/>
  <c r="AM53"/>
  <c r="AL53"/>
  <c r="AL52"/>
  <c r="AM52"/>
  <c r="AO158"/>
  <c r="AN158"/>
  <c r="AM158"/>
  <c r="AG158" s="1"/>
  <c r="AL158"/>
  <c r="AK158"/>
  <c r="AJ158"/>
  <c r="AO157"/>
  <c r="AN157"/>
  <c r="AM157"/>
  <c r="AL157"/>
  <c r="AK157"/>
  <c r="AJ157"/>
  <c r="AO156"/>
  <c r="AN156"/>
  <c r="AM156"/>
  <c r="AL156"/>
  <c r="AK156"/>
  <c r="AJ156"/>
  <c r="AO155"/>
  <c r="AN155"/>
  <c r="AM155"/>
  <c r="AL155"/>
  <c r="AK155"/>
  <c r="AJ155"/>
  <c r="AO154"/>
  <c r="AN154"/>
  <c r="AM154"/>
  <c r="AL154"/>
  <c r="AK154"/>
  <c r="AJ154"/>
  <c r="AO153"/>
  <c r="AN153"/>
  <c r="AM153"/>
  <c r="AL153"/>
  <c r="AK153"/>
  <c r="AO152"/>
  <c r="AN152"/>
  <c r="AM152"/>
  <c r="AL152"/>
  <c r="AK152"/>
  <c r="AJ152"/>
  <c r="AO151"/>
  <c r="AN151"/>
  <c r="AM151"/>
  <c r="AL151"/>
  <c r="AK151"/>
  <c r="AJ151"/>
  <c r="AO149"/>
  <c r="AN149"/>
  <c r="AM149"/>
  <c r="AL149"/>
  <c r="AK149"/>
  <c r="AO148"/>
  <c r="AN148"/>
  <c r="AM148"/>
  <c r="AL148"/>
  <c r="AK148"/>
  <c r="AO147"/>
  <c r="AN147"/>
  <c r="AM147"/>
  <c r="AL147"/>
  <c r="AK147"/>
  <c r="AJ147"/>
  <c r="AO146"/>
  <c r="AN146"/>
  <c r="AM146"/>
  <c r="AL146"/>
  <c r="AK146"/>
  <c r="AJ146"/>
  <c r="AO145"/>
  <c r="AN145"/>
  <c r="AM145"/>
  <c r="AL145"/>
  <c r="AK145"/>
  <c r="AJ145"/>
  <c r="AO144"/>
  <c r="AN144"/>
  <c r="AM144"/>
  <c r="AL144"/>
  <c r="AK144"/>
  <c r="AJ144"/>
  <c r="AO143"/>
  <c r="AN143"/>
  <c r="AM143"/>
  <c r="AL143"/>
  <c r="AK143"/>
  <c r="AJ143"/>
  <c r="AO142"/>
  <c r="AN142"/>
  <c r="AM142"/>
  <c r="AL142"/>
  <c r="AK142"/>
  <c r="AJ142"/>
  <c r="AO141"/>
  <c r="AN141"/>
  <c r="AM141"/>
  <c r="AL141"/>
  <c r="AK141"/>
  <c r="AJ141"/>
  <c r="AO140"/>
  <c r="AN140"/>
  <c r="AM140"/>
  <c r="AL140"/>
  <c r="AK140"/>
  <c r="AJ140"/>
  <c r="AO139"/>
  <c r="AN139"/>
  <c r="AM139"/>
  <c r="AL139"/>
  <c r="AK139"/>
  <c r="AO138"/>
  <c r="AN138"/>
  <c r="AM138"/>
  <c r="AL138"/>
  <c r="AK138"/>
  <c r="AO137"/>
  <c r="AN137"/>
  <c r="AM137"/>
  <c r="AL137"/>
  <c r="AK137"/>
  <c r="AO136"/>
  <c r="AN136"/>
  <c r="AM136"/>
  <c r="AL136"/>
  <c r="AK136"/>
  <c r="AO135"/>
  <c r="AN135"/>
  <c r="AM135"/>
  <c r="AL135"/>
  <c r="AK135"/>
  <c r="AO133"/>
  <c r="AN133"/>
  <c r="AM133"/>
  <c r="AL133"/>
  <c r="AK133"/>
  <c r="AJ133"/>
  <c r="AO132"/>
  <c r="AN132"/>
  <c r="AM132"/>
  <c r="AL132"/>
  <c r="AK132"/>
  <c r="AJ132"/>
  <c r="AO131"/>
  <c r="AN131"/>
  <c r="AM131"/>
  <c r="AL131"/>
  <c r="AK131"/>
  <c r="AJ131"/>
  <c r="AO130"/>
  <c r="AN130"/>
  <c r="AM130"/>
  <c r="AL130"/>
  <c r="AK130"/>
  <c r="AJ130"/>
  <c r="AO129"/>
  <c r="AN129"/>
  <c r="AM129"/>
  <c r="AL129"/>
  <c r="AK129"/>
  <c r="AJ129"/>
  <c r="AO128"/>
  <c r="AN128"/>
  <c r="AM128"/>
  <c r="AL128"/>
  <c r="AK128"/>
  <c r="AJ128"/>
  <c r="AO127"/>
  <c r="AN127"/>
  <c r="AM127"/>
  <c r="AL127"/>
  <c r="AK127"/>
  <c r="AJ127"/>
  <c r="AO126"/>
  <c r="AN126"/>
  <c r="AM126"/>
  <c r="AL126"/>
  <c r="AK126"/>
  <c r="AO124"/>
  <c r="AN124"/>
  <c r="AM124"/>
  <c r="AL124"/>
  <c r="AK124"/>
  <c r="AJ124"/>
  <c r="AO123"/>
  <c r="AN123"/>
  <c r="AM123"/>
  <c r="AL123"/>
  <c r="AK123"/>
  <c r="AJ123"/>
  <c r="AO122"/>
  <c r="AN122"/>
  <c r="AM122"/>
  <c r="AL122"/>
  <c r="AK122"/>
  <c r="AJ122"/>
  <c r="AO121"/>
  <c r="AN121"/>
  <c r="AM121"/>
  <c r="AL121"/>
  <c r="AK121"/>
  <c r="AJ121"/>
  <c r="AO120"/>
  <c r="AN120"/>
  <c r="AM120"/>
  <c r="AL120"/>
  <c r="AK120"/>
  <c r="AJ120"/>
  <c r="AO119"/>
  <c r="AN119"/>
  <c r="AM119"/>
  <c r="AL119"/>
  <c r="AK119"/>
  <c r="AJ119"/>
  <c r="AO118"/>
  <c r="AN118"/>
  <c r="AM118"/>
  <c r="AL118"/>
  <c r="AK118"/>
  <c r="AJ118"/>
  <c r="AO117"/>
  <c r="AN117"/>
  <c r="AM117"/>
  <c r="AL117"/>
  <c r="AK117"/>
  <c r="AJ117"/>
  <c r="AO116"/>
  <c r="AN116"/>
  <c r="AM116"/>
  <c r="AL116"/>
  <c r="AK116"/>
  <c r="AJ116"/>
  <c r="AO115"/>
  <c r="AN115"/>
  <c r="AM115"/>
  <c r="AL115"/>
  <c r="AK115"/>
  <c r="AO114"/>
  <c r="AN114"/>
  <c r="AM114"/>
  <c r="AL114"/>
  <c r="AK114"/>
  <c r="AO113"/>
  <c r="AN113"/>
  <c r="AM113"/>
  <c r="AL113"/>
  <c r="AK113"/>
  <c r="AO112"/>
  <c r="AN112"/>
  <c r="AM112"/>
  <c r="AL112"/>
  <c r="AK112"/>
  <c r="AJ112"/>
  <c r="AO111"/>
  <c r="AN111"/>
  <c r="AM111"/>
  <c r="AL111"/>
  <c r="AK111"/>
  <c r="AJ111"/>
  <c r="AO110"/>
  <c r="AN110"/>
  <c r="AM110"/>
  <c r="AL110"/>
  <c r="AK110"/>
  <c r="AJ110"/>
  <c r="AO108"/>
  <c r="AN108"/>
  <c r="AM108"/>
  <c r="AL108"/>
  <c r="AK108"/>
  <c r="AJ108"/>
  <c r="AO107"/>
  <c r="AN107"/>
  <c r="AM107"/>
  <c r="AL107"/>
  <c r="AK107"/>
  <c r="AJ107"/>
  <c r="AO106"/>
  <c r="AN106"/>
  <c r="AM106"/>
  <c r="AL106"/>
  <c r="AK106"/>
  <c r="AJ106"/>
  <c r="AO105"/>
  <c r="AN105"/>
  <c r="AM105"/>
  <c r="AL105"/>
  <c r="AJ105"/>
  <c r="AO104"/>
  <c r="AN104"/>
  <c r="AM104"/>
  <c r="AL104"/>
  <c r="AK104"/>
  <c r="AJ104"/>
  <c r="AO103"/>
  <c r="AN103"/>
  <c r="AM103"/>
  <c r="AL103"/>
  <c r="AK103"/>
  <c r="AJ103"/>
  <c r="AO102"/>
  <c r="AN102"/>
  <c r="AM102"/>
  <c r="AL102"/>
  <c r="AJ102"/>
  <c r="AO101"/>
  <c r="AN101"/>
  <c r="AM101"/>
  <c r="AL101"/>
  <c r="AO100"/>
  <c r="AN100"/>
  <c r="AM100"/>
  <c r="AL100"/>
  <c r="AO99"/>
  <c r="AN99"/>
  <c r="AM99"/>
  <c r="AL99"/>
  <c r="AO98"/>
  <c r="AN98"/>
  <c r="AM98"/>
  <c r="AL98"/>
  <c r="AO97"/>
  <c r="AN97"/>
  <c r="AM97"/>
  <c r="AL97"/>
  <c r="AO96"/>
  <c r="AN96"/>
  <c r="AM96"/>
  <c r="AL96"/>
  <c r="AO94"/>
  <c r="AN94"/>
  <c r="AM94"/>
  <c r="AL94"/>
  <c r="AK94"/>
  <c r="AJ94"/>
  <c r="AO93"/>
  <c r="AN93"/>
  <c r="AM93"/>
  <c r="AL93"/>
  <c r="AK93"/>
  <c r="AJ93"/>
  <c r="AO92"/>
  <c r="AN92"/>
  <c r="AM92"/>
  <c r="AL92"/>
  <c r="AK92"/>
  <c r="AJ92"/>
  <c r="AO150"/>
  <c r="AN150"/>
  <c r="AM150"/>
  <c r="AL150"/>
  <c r="AK150"/>
  <c r="AO91"/>
  <c r="AN91"/>
  <c r="AM91"/>
  <c r="AL91"/>
  <c r="AK91"/>
  <c r="AJ91"/>
  <c r="AO90"/>
  <c r="AN90"/>
  <c r="AM90"/>
  <c r="AL90"/>
  <c r="AK90"/>
  <c r="AJ90"/>
  <c r="AO89"/>
  <c r="AN89"/>
  <c r="AM89"/>
  <c r="AL89"/>
  <c r="AK89"/>
  <c r="AO88"/>
  <c r="AN88"/>
  <c r="AM88"/>
  <c r="AL88"/>
  <c r="AK88"/>
  <c r="AO87"/>
  <c r="AN87"/>
  <c r="AM87"/>
  <c r="AL87"/>
  <c r="AK87"/>
  <c r="AO86"/>
  <c r="AN86"/>
  <c r="AM86"/>
  <c r="AL86"/>
  <c r="AK86"/>
  <c r="AO84"/>
  <c r="AN84"/>
  <c r="AM84"/>
  <c r="AL84"/>
  <c r="AK84"/>
  <c r="AJ84"/>
  <c r="AO83"/>
  <c r="AN83"/>
  <c r="AM83"/>
  <c r="AL83"/>
  <c r="AK83"/>
  <c r="AJ83"/>
  <c r="AO82"/>
  <c r="AN82"/>
  <c r="AM82"/>
  <c r="AL82"/>
  <c r="AK82"/>
  <c r="AJ82"/>
  <c r="AO81"/>
  <c r="AN81"/>
  <c r="AM81"/>
  <c r="AL81"/>
  <c r="AK81"/>
  <c r="AJ81"/>
  <c r="AO80"/>
  <c r="AN80"/>
  <c r="AM80"/>
  <c r="AL80"/>
  <c r="AK80"/>
  <c r="AJ80"/>
  <c r="AO79"/>
  <c r="AN79"/>
  <c r="AM79"/>
  <c r="AL79"/>
  <c r="AK79"/>
  <c r="AJ79"/>
  <c r="AO78"/>
  <c r="AN78"/>
  <c r="AM78"/>
  <c r="AL78"/>
  <c r="AK78"/>
  <c r="AJ78"/>
  <c r="AO76"/>
  <c r="AN76"/>
  <c r="AM76"/>
  <c r="AL76"/>
  <c r="AK76"/>
  <c r="AJ76"/>
  <c r="AO75"/>
  <c r="AN75"/>
  <c r="AM75"/>
  <c r="AL75"/>
  <c r="AK75"/>
  <c r="AJ75"/>
  <c r="AO74"/>
  <c r="AN74"/>
  <c r="AM74"/>
  <c r="AL74"/>
  <c r="AK74"/>
  <c r="AJ74"/>
  <c r="AO73"/>
  <c r="AN73"/>
  <c r="AM73"/>
  <c r="AL73"/>
  <c r="AK73"/>
  <c r="AJ73"/>
  <c r="AO72"/>
  <c r="AN72"/>
  <c r="AM72"/>
  <c r="AL72"/>
  <c r="AK72"/>
  <c r="AJ72"/>
  <c r="AO71"/>
  <c r="AN71"/>
  <c r="AM71"/>
  <c r="AL71"/>
  <c r="AK71"/>
  <c r="AJ71"/>
  <c r="AO70"/>
  <c r="AN70"/>
  <c r="AM70"/>
  <c r="AL70"/>
  <c r="AK70"/>
  <c r="AJ70"/>
  <c r="AO69"/>
  <c r="AN69"/>
  <c r="AM69"/>
  <c r="AL69"/>
  <c r="AK69"/>
  <c r="AJ69"/>
  <c r="AO68"/>
  <c r="AN68"/>
  <c r="AM68"/>
  <c r="AL68"/>
  <c r="AK68"/>
  <c r="AJ68"/>
  <c r="AO67"/>
  <c r="AN67"/>
  <c r="AM67"/>
  <c r="AL67"/>
  <c r="AK67"/>
  <c r="AJ67"/>
  <c r="AO66"/>
  <c r="AN66"/>
  <c r="AM66"/>
  <c r="AL66"/>
  <c r="AK66"/>
  <c r="AJ66"/>
  <c r="AO63"/>
  <c r="AN63"/>
  <c r="AM63"/>
  <c r="AL63"/>
  <c r="AK63"/>
  <c r="AJ63"/>
  <c r="AO62"/>
  <c r="AN62"/>
  <c r="AM62"/>
  <c r="AL62"/>
  <c r="AK62"/>
  <c r="AJ62"/>
  <c r="AO61"/>
  <c r="AN61"/>
  <c r="AM61"/>
  <c r="AL61"/>
  <c r="AK61"/>
  <c r="AJ61"/>
  <c r="AO60"/>
  <c r="AN60"/>
  <c r="AM60"/>
  <c r="AL60"/>
  <c r="AK60"/>
  <c r="AO59"/>
  <c r="AN59"/>
  <c r="AM59"/>
  <c r="AL59"/>
  <c r="AK59"/>
  <c r="AJ59"/>
  <c r="AO58"/>
  <c r="AN58"/>
  <c r="AM58"/>
  <c r="AL58"/>
  <c r="AK58"/>
  <c r="AJ58"/>
  <c r="AO57"/>
  <c r="AN57"/>
  <c r="AM57"/>
  <c r="AL57"/>
  <c r="AK57"/>
  <c r="AJ57"/>
  <c r="AO56"/>
  <c r="AN56"/>
  <c r="AM56"/>
  <c r="AL56"/>
  <c r="AK56"/>
  <c r="AO55"/>
  <c r="AN55"/>
  <c r="AM55"/>
  <c r="AL55"/>
  <c r="AK55"/>
  <c r="AO54"/>
  <c r="AN54"/>
  <c r="AM54"/>
  <c r="AL54"/>
  <c r="AK54"/>
  <c r="AO53"/>
  <c r="AN53"/>
  <c r="AK53"/>
  <c r="AO52"/>
  <c r="AN52"/>
  <c r="AK52"/>
  <c r="AO51"/>
  <c r="AN51"/>
  <c r="AM51"/>
  <c r="AL51"/>
  <c r="AK51"/>
  <c r="AO50"/>
  <c r="AN50"/>
  <c r="AM50"/>
  <c r="AL50"/>
  <c r="AK50"/>
  <c r="AO48"/>
  <c r="AN48"/>
  <c r="AM48"/>
  <c r="AL48"/>
  <c r="AK48"/>
  <c r="AJ48"/>
  <c r="AO47"/>
  <c r="AN47"/>
  <c r="AM47"/>
  <c r="AL47"/>
  <c r="AK47"/>
  <c r="AJ47"/>
  <c r="AO46"/>
  <c r="AN46"/>
  <c r="AM46"/>
  <c r="AL46"/>
  <c r="AK46"/>
  <c r="AJ46"/>
  <c r="AO45"/>
  <c r="AN45"/>
  <c r="AM45"/>
  <c r="AL45"/>
  <c r="AK45"/>
  <c r="AO44"/>
  <c r="AN44"/>
  <c r="AM44"/>
  <c r="AL44"/>
  <c r="AK44"/>
  <c r="AJ44"/>
  <c r="AO43"/>
  <c r="AN43"/>
  <c r="AM43"/>
  <c r="AL43"/>
  <c r="AK43"/>
  <c r="AJ43"/>
  <c r="AO42"/>
  <c r="AN42"/>
  <c r="AM42"/>
  <c r="AL42"/>
  <c r="AK42"/>
  <c r="AO41"/>
  <c r="AN41"/>
  <c r="AM41"/>
  <c r="AL41"/>
  <c r="AK41"/>
  <c r="AO40"/>
  <c r="AN40"/>
  <c r="AM40"/>
  <c r="AL40"/>
  <c r="AK40"/>
  <c r="AO39"/>
  <c r="AN39"/>
  <c r="AM39"/>
  <c r="AL39"/>
  <c r="AK39"/>
  <c r="AO38"/>
  <c r="AN38"/>
  <c r="AM38"/>
  <c r="AL38"/>
  <c r="AK38"/>
  <c r="AJ38"/>
  <c r="AO37"/>
  <c r="AN37"/>
  <c r="AM37"/>
  <c r="AL37"/>
  <c r="AK37"/>
  <c r="AO36"/>
  <c r="AN36"/>
  <c r="AM36"/>
  <c r="AL36"/>
  <c r="AK36"/>
  <c r="AO35"/>
  <c r="AN35"/>
  <c r="AM35"/>
  <c r="AL35"/>
  <c r="AK35"/>
  <c r="AO33"/>
  <c r="AN33"/>
  <c r="AM33"/>
  <c r="AL33"/>
  <c r="AK33"/>
  <c r="AJ33"/>
  <c r="AO32"/>
  <c r="AN32"/>
  <c r="AM32"/>
  <c r="AL32"/>
  <c r="AK32"/>
  <c r="AJ32"/>
  <c r="AO31"/>
  <c r="AN31"/>
  <c r="AM31"/>
  <c r="AL31"/>
  <c r="AK31"/>
  <c r="AJ31"/>
  <c r="AO30"/>
  <c r="AN30"/>
  <c r="AM30"/>
  <c r="AL30"/>
  <c r="AK30"/>
  <c r="AJ30"/>
  <c r="AO29"/>
  <c r="AN29"/>
  <c r="AM29"/>
  <c r="AL29"/>
  <c r="AK29"/>
  <c r="AJ29"/>
  <c r="AO28"/>
  <c r="AN28"/>
  <c r="AM28"/>
  <c r="AL28"/>
  <c r="AK28"/>
  <c r="AJ28"/>
  <c r="AO27"/>
  <c r="AN27"/>
  <c r="AM27"/>
  <c r="AL27"/>
  <c r="AK27"/>
  <c r="AJ27"/>
  <c r="AO26"/>
  <c r="AN26"/>
  <c r="AM26"/>
  <c r="AL26"/>
  <c r="AK26"/>
  <c r="AJ26"/>
  <c r="AO25"/>
  <c r="AN25"/>
  <c r="AM25"/>
  <c r="AL25"/>
  <c r="AK25"/>
  <c r="AJ25"/>
  <c r="AO24"/>
  <c r="AN24"/>
  <c r="AM24"/>
  <c r="AL24"/>
  <c r="AK24"/>
  <c r="AJ24"/>
  <c r="AO23"/>
  <c r="AN23"/>
  <c r="AM23"/>
  <c r="AL23"/>
  <c r="AK23"/>
  <c r="AJ23"/>
  <c r="AO22"/>
  <c r="AN22"/>
  <c r="AM22"/>
  <c r="AL22"/>
  <c r="AK22"/>
  <c r="AJ22"/>
  <c r="AO21"/>
  <c r="AN21"/>
  <c r="AM21"/>
  <c r="AL21"/>
  <c r="AK21"/>
  <c r="AJ21"/>
  <c r="AO20"/>
  <c r="AN20"/>
  <c r="AM20"/>
  <c r="AL20"/>
  <c r="AK20"/>
  <c r="AJ20"/>
  <c r="AO19"/>
  <c r="AN19"/>
  <c r="AM19"/>
  <c r="AL19"/>
  <c r="AK19"/>
  <c r="AJ19"/>
  <c r="AO18"/>
  <c r="AN18"/>
  <c r="AM18"/>
  <c r="AL18"/>
  <c r="AK18"/>
  <c r="AJ18"/>
  <c r="AO17"/>
  <c r="AN17"/>
  <c r="AM17"/>
  <c r="AL17"/>
  <c r="AK17"/>
  <c r="AJ17"/>
  <c r="AO16"/>
  <c r="AN16"/>
  <c r="AM16"/>
  <c r="AL16"/>
  <c r="AK16"/>
  <c r="AJ16"/>
  <c r="AO15"/>
  <c r="AN15"/>
  <c r="AM15"/>
  <c r="AL15"/>
  <c r="AK15"/>
  <c r="AJ15"/>
  <c r="AO14"/>
  <c r="AN14"/>
  <c r="AM14"/>
  <c r="AL14"/>
  <c r="AK14"/>
  <c r="AJ14"/>
  <c r="AO13"/>
  <c r="AN13"/>
  <c r="AM13"/>
  <c r="AL13"/>
  <c r="AK13"/>
  <c r="AJ13"/>
  <c r="AO11"/>
  <c r="AN11"/>
  <c r="AM11"/>
  <c r="AL11"/>
  <c r="AK11"/>
  <c r="AJ11"/>
  <c r="AO10"/>
  <c r="AN10"/>
  <c r="AM10"/>
  <c r="AL10"/>
  <c r="AK10"/>
  <c r="AJ10"/>
  <c r="AO9"/>
  <c r="AN9"/>
  <c r="AM9"/>
  <c r="AL9"/>
  <c r="AK9"/>
  <c r="AJ9"/>
  <c r="AO7"/>
  <c r="AN7"/>
  <c r="AM7"/>
  <c r="AL7"/>
  <c r="AK7"/>
  <c r="AJ7"/>
  <c r="AO6"/>
  <c r="AN6"/>
  <c r="AM6"/>
  <c r="AL6"/>
  <c r="AK6"/>
  <c r="AJ6"/>
  <c r="AM5"/>
  <c r="AN5"/>
  <c r="AO5"/>
  <c r="AL5"/>
  <c r="Y164"/>
  <c r="Z164"/>
  <c r="AA164"/>
  <c r="AA211" s="1"/>
  <c r="AB164"/>
  <c r="AB211" s="1"/>
  <c r="AC164"/>
  <c r="AC195" s="1"/>
  <c r="W164"/>
  <c r="W244" s="1"/>
  <c r="U164"/>
  <c r="U195" s="1"/>
  <c r="V164"/>
  <c r="V244" s="1"/>
  <c r="AC158"/>
  <c r="AB158"/>
  <c r="AA158"/>
  <c r="Z158"/>
  <c r="Y158"/>
  <c r="X158"/>
  <c r="AC157"/>
  <c r="AB157"/>
  <c r="AA157"/>
  <c r="Z157"/>
  <c r="Y157"/>
  <c r="X157"/>
  <c r="AC156"/>
  <c r="AB156"/>
  <c r="AA156"/>
  <c r="Z156"/>
  <c r="Y156"/>
  <c r="X156"/>
  <c r="AC155"/>
  <c r="AB155"/>
  <c r="AA155"/>
  <c r="Z155"/>
  <c r="Y155"/>
  <c r="X155"/>
  <c r="AC154"/>
  <c r="AB154"/>
  <c r="AA154"/>
  <c r="Z154"/>
  <c r="Y154"/>
  <c r="X154"/>
  <c r="AC153"/>
  <c r="AB153"/>
  <c r="AA153"/>
  <c r="Z153"/>
  <c r="Y153"/>
  <c r="AC152"/>
  <c r="AB152"/>
  <c r="AA152"/>
  <c r="Z152"/>
  <c r="Y152"/>
  <c r="X152"/>
  <c r="AC151"/>
  <c r="AB151"/>
  <c r="AA151"/>
  <c r="Z151"/>
  <c r="Y151"/>
  <c r="X151"/>
  <c r="AC149"/>
  <c r="AB149"/>
  <c r="AA149"/>
  <c r="Z149"/>
  <c r="AC148"/>
  <c r="AB148"/>
  <c r="AA148"/>
  <c r="Z148"/>
  <c r="AC147"/>
  <c r="AB147"/>
  <c r="AA147"/>
  <c r="Z147"/>
  <c r="Y147"/>
  <c r="X147"/>
  <c r="AC146"/>
  <c r="AB146"/>
  <c r="AA146"/>
  <c r="Z146"/>
  <c r="Y146"/>
  <c r="X146"/>
  <c r="AC145"/>
  <c r="AB145"/>
  <c r="AA145"/>
  <c r="Z145"/>
  <c r="Y145"/>
  <c r="X145"/>
  <c r="AC144"/>
  <c r="AB144"/>
  <c r="AA144"/>
  <c r="Z144"/>
  <c r="Y144"/>
  <c r="X144"/>
  <c r="AC143"/>
  <c r="AB143"/>
  <c r="AA143"/>
  <c r="Z143"/>
  <c r="Y143"/>
  <c r="X143"/>
  <c r="AC142"/>
  <c r="AB142"/>
  <c r="AA142"/>
  <c r="Z142"/>
  <c r="Y142"/>
  <c r="X142"/>
  <c r="AC141"/>
  <c r="AB141"/>
  <c r="AA141"/>
  <c r="Z141"/>
  <c r="Y141"/>
  <c r="X141"/>
  <c r="AC140"/>
  <c r="AB140"/>
  <c r="AA140"/>
  <c r="Z140"/>
  <c r="Y140"/>
  <c r="X140"/>
  <c r="AC139"/>
  <c r="AB139"/>
  <c r="AA139"/>
  <c r="Z139"/>
  <c r="Y139"/>
  <c r="AC138"/>
  <c r="AB138"/>
  <c r="AA138"/>
  <c r="Z138"/>
  <c r="Y138"/>
  <c r="AC137"/>
  <c r="AB137"/>
  <c r="AA137"/>
  <c r="Z137"/>
  <c r="Y137"/>
  <c r="AC136"/>
  <c r="AB136"/>
  <c r="AA136"/>
  <c r="Z136"/>
  <c r="Y136"/>
  <c r="AC135"/>
  <c r="AB135"/>
  <c r="AA135"/>
  <c r="Z135"/>
  <c r="Y135"/>
  <c r="AC133"/>
  <c r="AB133"/>
  <c r="AA133"/>
  <c r="Z133"/>
  <c r="Y133"/>
  <c r="X133"/>
  <c r="AC132"/>
  <c r="AB132"/>
  <c r="AA132"/>
  <c r="Z132"/>
  <c r="Y132"/>
  <c r="X132"/>
  <c r="AC131"/>
  <c r="AB131"/>
  <c r="AA131"/>
  <c r="Z131"/>
  <c r="Y131"/>
  <c r="X131"/>
  <c r="AC130"/>
  <c r="AB130"/>
  <c r="AA130"/>
  <c r="Z130"/>
  <c r="Y130"/>
  <c r="X130"/>
  <c r="AC129"/>
  <c r="AB129"/>
  <c r="AA129"/>
  <c r="Z129"/>
  <c r="Y129"/>
  <c r="X129"/>
  <c r="AC128"/>
  <c r="AB128"/>
  <c r="AA128"/>
  <c r="Z128"/>
  <c r="Y128"/>
  <c r="X128"/>
  <c r="AC127"/>
  <c r="AB127"/>
  <c r="AA127"/>
  <c r="Z127"/>
  <c r="Y127"/>
  <c r="X127"/>
  <c r="AC126"/>
  <c r="AB126"/>
  <c r="AA126"/>
  <c r="Z126"/>
  <c r="Y126"/>
  <c r="X126"/>
  <c r="AC124"/>
  <c r="AB124"/>
  <c r="AA124"/>
  <c r="Z124"/>
  <c r="Y124"/>
  <c r="X124"/>
  <c r="AC123"/>
  <c r="AB123"/>
  <c r="AA123"/>
  <c r="Z123"/>
  <c r="Y123"/>
  <c r="X123"/>
  <c r="AC122"/>
  <c r="AB122"/>
  <c r="AA122"/>
  <c r="Z122"/>
  <c r="Y122"/>
  <c r="X122"/>
  <c r="AC121"/>
  <c r="AB121"/>
  <c r="AA121"/>
  <c r="Z121"/>
  <c r="Y121"/>
  <c r="X121"/>
  <c r="AC120"/>
  <c r="AB120"/>
  <c r="AA120"/>
  <c r="Z120"/>
  <c r="Y120"/>
  <c r="X120"/>
  <c r="AC119"/>
  <c r="AB119"/>
  <c r="AA119"/>
  <c r="Z119"/>
  <c r="Y119"/>
  <c r="X119"/>
  <c r="AC118"/>
  <c r="AB118"/>
  <c r="AA118"/>
  <c r="Z118"/>
  <c r="Y118"/>
  <c r="X118"/>
  <c r="AC117"/>
  <c r="AB117"/>
  <c r="AA117"/>
  <c r="Z117"/>
  <c r="Y117"/>
  <c r="X117"/>
  <c r="AC116"/>
  <c r="AB116"/>
  <c r="AA116"/>
  <c r="Z116"/>
  <c r="Y116"/>
  <c r="X116"/>
  <c r="AC115"/>
  <c r="AB115"/>
  <c r="AA115"/>
  <c r="Z115"/>
  <c r="Y115"/>
  <c r="X115"/>
  <c r="AC114"/>
  <c r="AB114"/>
  <c r="AA114"/>
  <c r="Z114"/>
  <c r="Y114"/>
  <c r="X114"/>
  <c r="AC113"/>
  <c r="AB113"/>
  <c r="AA113"/>
  <c r="Z113"/>
  <c r="Y113"/>
  <c r="X113"/>
  <c r="AC112"/>
  <c r="AB112"/>
  <c r="AA112"/>
  <c r="Z112"/>
  <c r="Y112"/>
  <c r="X112"/>
  <c r="AC111"/>
  <c r="AB111"/>
  <c r="AA111"/>
  <c r="Z111"/>
  <c r="Y111"/>
  <c r="X111"/>
  <c r="AC110"/>
  <c r="AB110"/>
  <c r="AA110"/>
  <c r="Z110"/>
  <c r="Y110"/>
  <c r="X110"/>
  <c r="AC108"/>
  <c r="AB108"/>
  <c r="AA108"/>
  <c r="Z108"/>
  <c r="Y108"/>
  <c r="X108"/>
  <c r="AC107"/>
  <c r="AB107"/>
  <c r="AA107"/>
  <c r="Z107"/>
  <c r="Y107"/>
  <c r="X107"/>
  <c r="AC106"/>
  <c r="AB106"/>
  <c r="AA106"/>
  <c r="Z106"/>
  <c r="Y106"/>
  <c r="X106"/>
  <c r="AC105"/>
  <c r="AB105"/>
  <c r="AA105"/>
  <c r="Z105"/>
  <c r="X105"/>
  <c r="AC104"/>
  <c r="AB104"/>
  <c r="AA104"/>
  <c r="Z104"/>
  <c r="Y104"/>
  <c r="X104"/>
  <c r="AC103"/>
  <c r="AB103"/>
  <c r="AA103"/>
  <c r="Z103"/>
  <c r="Y103"/>
  <c r="X103"/>
  <c r="AC102"/>
  <c r="AB102"/>
  <c r="AA102"/>
  <c r="Z102"/>
  <c r="X102"/>
  <c r="AC101"/>
  <c r="AB101"/>
  <c r="AA101"/>
  <c r="Z101"/>
  <c r="AC100"/>
  <c r="AB100"/>
  <c r="AA100"/>
  <c r="Z100"/>
  <c r="AC99"/>
  <c r="AB99"/>
  <c r="AA99"/>
  <c r="Z99"/>
  <c r="AC98"/>
  <c r="AB98"/>
  <c r="AA98"/>
  <c r="Z98"/>
  <c r="AC97"/>
  <c r="AB97"/>
  <c r="AA97"/>
  <c r="Z97"/>
  <c r="AC96"/>
  <c r="AB96"/>
  <c r="AA96"/>
  <c r="Z96"/>
  <c r="AC94"/>
  <c r="AB94"/>
  <c r="AA94"/>
  <c r="Z94"/>
  <c r="Y94"/>
  <c r="X94"/>
  <c r="AC93"/>
  <c r="AB93"/>
  <c r="AA93"/>
  <c r="Z93"/>
  <c r="Y93"/>
  <c r="X93"/>
  <c r="AC92"/>
  <c r="AB92"/>
  <c r="AA92"/>
  <c r="Z92"/>
  <c r="Y92"/>
  <c r="X92"/>
  <c r="AC150"/>
  <c r="AB150"/>
  <c r="AA150"/>
  <c r="Z150"/>
  <c r="Y150"/>
  <c r="X150"/>
  <c r="AC91"/>
  <c r="AB91"/>
  <c r="AA91"/>
  <c r="Z91"/>
  <c r="Y91"/>
  <c r="X91"/>
  <c r="AC90"/>
  <c r="AB90"/>
  <c r="AA90"/>
  <c r="Z90"/>
  <c r="Y90"/>
  <c r="X90"/>
  <c r="AC89"/>
  <c r="AB89"/>
  <c r="AA89"/>
  <c r="Z89"/>
  <c r="Y89"/>
  <c r="X89"/>
  <c r="AC88"/>
  <c r="AB88"/>
  <c r="AA88"/>
  <c r="Z88"/>
  <c r="Y88"/>
  <c r="X88"/>
  <c r="AC87"/>
  <c r="AB87"/>
  <c r="AA87"/>
  <c r="Z87"/>
  <c r="Y87"/>
  <c r="X87"/>
  <c r="AC86"/>
  <c r="AB86"/>
  <c r="AA86"/>
  <c r="Z86"/>
  <c r="Y86"/>
  <c r="X86"/>
  <c r="AC84"/>
  <c r="AB84"/>
  <c r="AA84"/>
  <c r="Z84"/>
  <c r="Y84"/>
  <c r="X84"/>
  <c r="AC83"/>
  <c r="AB83"/>
  <c r="AA83"/>
  <c r="Z83"/>
  <c r="Y83"/>
  <c r="X83"/>
  <c r="AC82"/>
  <c r="AB82"/>
  <c r="AA82"/>
  <c r="Z82"/>
  <c r="Y82"/>
  <c r="X82"/>
  <c r="AC81"/>
  <c r="AB81"/>
  <c r="AA81"/>
  <c r="Z81"/>
  <c r="Y81"/>
  <c r="X81"/>
  <c r="AC80"/>
  <c r="AB80"/>
  <c r="AA80"/>
  <c r="Z80"/>
  <c r="Y80"/>
  <c r="X80"/>
  <c r="AC79"/>
  <c r="AB79"/>
  <c r="AA79"/>
  <c r="Z79"/>
  <c r="Y79"/>
  <c r="X79"/>
  <c r="AC78"/>
  <c r="AB78"/>
  <c r="AA78"/>
  <c r="Z78"/>
  <c r="Y78"/>
  <c r="X78"/>
  <c r="AC76"/>
  <c r="AB76"/>
  <c r="AA76"/>
  <c r="Z76"/>
  <c r="Y76"/>
  <c r="X76"/>
  <c r="AC75"/>
  <c r="AB75"/>
  <c r="AA75"/>
  <c r="Z75"/>
  <c r="Y75"/>
  <c r="X75"/>
  <c r="AC74"/>
  <c r="AB74"/>
  <c r="AA74"/>
  <c r="Z74"/>
  <c r="Y74"/>
  <c r="X74"/>
  <c r="AC73"/>
  <c r="AB73"/>
  <c r="AA73"/>
  <c r="Z73"/>
  <c r="Y73"/>
  <c r="X73"/>
  <c r="AC72"/>
  <c r="AB72"/>
  <c r="AA72"/>
  <c r="Z72"/>
  <c r="Y72"/>
  <c r="X72"/>
  <c r="AC71"/>
  <c r="AB71"/>
  <c r="AA71"/>
  <c r="Z71"/>
  <c r="Y71"/>
  <c r="X71"/>
  <c r="AC70"/>
  <c r="AB70"/>
  <c r="AA70"/>
  <c r="Z70"/>
  <c r="Y70"/>
  <c r="X70"/>
  <c r="AC69"/>
  <c r="AB69"/>
  <c r="AA69"/>
  <c r="Z69"/>
  <c r="Y69"/>
  <c r="X69"/>
  <c r="AC68"/>
  <c r="AB68"/>
  <c r="AA68"/>
  <c r="Z68"/>
  <c r="Y68"/>
  <c r="X68"/>
  <c r="AC67"/>
  <c r="AB67"/>
  <c r="AA67"/>
  <c r="Z67"/>
  <c r="Y67"/>
  <c r="X67"/>
  <c r="AC66"/>
  <c r="AB66"/>
  <c r="AA66"/>
  <c r="Z66"/>
  <c r="Y66"/>
  <c r="X66"/>
  <c r="AC63"/>
  <c r="AB63"/>
  <c r="AA63"/>
  <c r="Z63"/>
  <c r="Y63"/>
  <c r="X63"/>
  <c r="AC62"/>
  <c r="AB62"/>
  <c r="AA62"/>
  <c r="Z62"/>
  <c r="Y62"/>
  <c r="X62"/>
  <c r="AC61"/>
  <c r="AB61"/>
  <c r="AA61"/>
  <c r="Z61"/>
  <c r="Y61"/>
  <c r="X61"/>
  <c r="AC60"/>
  <c r="AB60"/>
  <c r="AA60"/>
  <c r="Z60"/>
  <c r="Y60"/>
  <c r="X60"/>
  <c r="AC59"/>
  <c r="AB59"/>
  <c r="AA59"/>
  <c r="Z59"/>
  <c r="Y59"/>
  <c r="X59"/>
  <c r="AC58"/>
  <c r="AB58"/>
  <c r="AA58"/>
  <c r="Z58"/>
  <c r="Y58"/>
  <c r="X58"/>
  <c r="AC57"/>
  <c r="AB57"/>
  <c r="AA57"/>
  <c r="Z57"/>
  <c r="Y57"/>
  <c r="X57"/>
  <c r="AC56"/>
  <c r="AB56"/>
  <c r="AA56"/>
  <c r="Z56"/>
  <c r="Y56"/>
  <c r="X56"/>
  <c r="AC55"/>
  <c r="AB55"/>
  <c r="AA55"/>
  <c r="Z55"/>
  <c r="Y55"/>
  <c r="X55"/>
  <c r="AC54"/>
  <c r="AB54"/>
  <c r="AA54"/>
  <c r="Z54"/>
  <c r="Y54"/>
  <c r="X54"/>
  <c r="AC53"/>
  <c r="AB53"/>
  <c r="AA53"/>
  <c r="Z53"/>
  <c r="Y53"/>
  <c r="X53"/>
  <c r="AC52"/>
  <c r="AB52"/>
  <c r="AA52"/>
  <c r="Z52"/>
  <c r="Y52"/>
  <c r="X52"/>
  <c r="AC51"/>
  <c r="AB51"/>
  <c r="AA51"/>
  <c r="Z51"/>
  <c r="Y51"/>
  <c r="X51"/>
  <c r="AC50"/>
  <c r="AB50"/>
  <c r="AA50"/>
  <c r="Z50"/>
  <c r="Y50"/>
  <c r="X50"/>
  <c r="AC48"/>
  <c r="AB48"/>
  <c r="AA48"/>
  <c r="Z48"/>
  <c r="Y48"/>
  <c r="X48"/>
  <c r="AC47"/>
  <c r="AB47"/>
  <c r="AA47"/>
  <c r="Z47"/>
  <c r="Y47"/>
  <c r="X47"/>
  <c r="AC46"/>
  <c r="AB46"/>
  <c r="AA46"/>
  <c r="Z46"/>
  <c r="Y46"/>
  <c r="X46"/>
  <c r="AC45"/>
  <c r="AB45"/>
  <c r="AA45"/>
  <c r="Z45"/>
  <c r="Y45"/>
  <c r="X45"/>
  <c r="AC44"/>
  <c r="AB44"/>
  <c r="AA44"/>
  <c r="Z44"/>
  <c r="Y44"/>
  <c r="X44"/>
  <c r="AC43"/>
  <c r="AB43"/>
  <c r="AA43"/>
  <c r="Z43"/>
  <c r="Y43"/>
  <c r="X43"/>
  <c r="AC42"/>
  <c r="AB42"/>
  <c r="AA42"/>
  <c r="Z42"/>
  <c r="Y42"/>
  <c r="X42"/>
  <c r="AC41"/>
  <c r="AB41"/>
  <c r="AA41"/>
  <c r="Z41"/>
  <c r="Y41"/>
  <c r="X41"/>
  <c r="AC40"/>
  <c r="AB40"/>
  <c r="AA40"/>
  <c r="Z40"/>
  <c r="Y40"/>
  <c r="X40"/>
  <c r="AC39"/>
  <c r="AB39"/>
  <c r="AA39"/>
  <c r="Z39"/>
  <c r="Y39"/>
  <c r="X39"/>
  <c r="AC38"/>
  <c r="AB38"/>
  <c r="AA38"/>
  <c r="Z38"/>
  <c r="Y38"/>
  <c r="X38"/>
  <c r="AC37"/>
  <c r="AB37"/>
  <c r="AA37"/>
  <c r="Z37"/>
  <c r="Y37"/>
  <c r="X37"/>
  <c r="AC36"/>
  <c r="AB36"/>
  <c r="AA36"/>
  <c r="Z36"/>
  <c r="Y36"/>
  <c r="X36"/>
  <c r="AC35"/>
  <c r="AB35"/>
  <c r="AA35"/>
  <c r="Z35"/>
  <c r="Y35"/>
  <c r="X35"/>
  <c r="AC33"/>
  <c r="AB33"/>
  <c r="AA33"/>
  <c r="Z33"/>
  <c r="Y33"/>
  <c r="X33"/>
  <c r="AC32"/>
  <c r="AB32"/>
  <c r="AA32"/>
  <c r="Z32"/>
  <c r="Y32"/>
  <c r="X32"/>
  <c r="AC31"/>
  <c r="AB31"/>
  <c r="AA31"/>
  <c r="Z31"/>
  <c r="Y31"/>
  <c r="X31"/>
  <c r="AC30"/>
  <c r="AB30"/>
  <c r="AA30"/>
  <c r="Z30"/>
  <c r="Y30"/>
  <c r="X30"/>
  <c r="AC29"/>
  <c r="AB29"/>
  <c r="AA29"/>
  <c r="Z29"/>
  <c r="Y29"/>
  <c r="X29"/>
  <c r="AC28"/>
  <c r="AB28"/>
  <c r="AA28"/>
  <c r="Y28"/>
  <c r="X28"/>
  <c r="AC27"/>
  <c r="AB27"/>
  <c r="AA27"/>
  <c r="Y27"/>
  <c r="X27"/>
  <c r="AC26"/>
  <c r="AB26"/>
  <c r="AA26"/>
  <c r="Y26"/>
  <c r="X26"/>
  <c r="AC25"/>
  <c r="AB25"/>
  <c r="AA25"/>
  <c r="Y25"/>
  <c r="X25"/>
  <c r="AC24"/>
  <c r="AB24"/>
  <c r="AA24"/>
  <c r="Y24"/>
  <c r="X24"/>
  <c r="AC23"/>
  <c r="AB23"/>
  <c r="AA23"/>
  <c r="Y23"/>
  <c r="X23"/>
  <c r="AC22"/>
  <c r="AB22"/>
  <c r="AA22"/>
  <c r="Y22"/>
  <c r="X22"/>
  <c r="AC21"/>
  <c r="AB21"/>
  <c r="AA21"/>
  <c r="Y21"/>
  <c r="X21"/>
  <c r="AC20"/>
  <c r="AB20"/>
  <c r="AA20"/>
  <c r="Y20"/>
  <c r="X20"/>
  <c r="AC19"/>
  <c r="AB19"/>
  <c r="AA19"/>
  <c r="Y19"/>
  <c r="X19"/>
  <c r="AC18"/>
  <c r="AB18"/>
  <c r="AA18"/>
  <c r="Y18"/>
  <c r="X18"/>
  <c r="AC17"/>
  <c r="AB17"/>
  <c r="AA17"/>
  <c r="Y17"/>
  <c r="X17"/>
  <c r="AC16"/>
  <c r="AB16"/>
  <c r="AA16"/>
  <c r="Y16"/>
  <c r="X16"/>
  <c r="AC15"/>
  <c r="AB15"/>
  <c r="AA15"/>
  <c r="Y15"/>
  <c r="X15"/>
  <c r="AC14"/>
  <c r="AB14"/>
  <c r="AA14"/>
  <c r="Y14"/>
  <c r="X14"/>
  <c r="AC13"/>
  <c r="AB13"/>
  <c r="AA13"/>
  <c r="Y13"/>
  <c r="X13"/>
  <c r="AC11"/>
  <c r="AB11"/>
  <c r="AA11"/>
  <c r="Z11"/>
  <c r="Y11"/>
  <c r="X11"/>
  <c r="AC10"/>
  <c r="AB10"/>
  <c r="AA10"/>
  <c r="Z10"/>
  <c r="Y10"/>
  <c r="X10"/>
  <c r="AC9"/>
  <c r="AB9"/>
  <c r="AA9"/>
  <c r="Z9"/>
  <c r="Y9"/>
  <c r="X9"/>
  <c r="AC7"/>
  <c r="AB7"/>
  <c r="AA7"/>
  <c r="Z7"/>
  <c r="Y7"/>
  <c r="X7"/>
  <c r="AC6"/>
  <c r="AB6"/>
  <c r="AA6"/>
  <c r="Z6"/>
  <c r="Y6"/>
  <c r="X6"/>
  <c r="AC5"/>
  <c r="AB5"/>
  <c r="AA5"/>
  <c r="Z5"/>
  <c r="W158"/>
  <c r="V158"/>
  <c r="U158"/>
  <c r="AS158" s="1"/>
  <c r="T158"/>
  <c r="S158"/>
  <c r="L158" s="1"/>
  <c r="CD158" s="1"/>
  <c r="R158"/>
  <c r="W157"/>
  <c r="V157"/>
  <c r="O157" s="1"/>
  <c r="CG157" s="1"/>
  <c r="U157"/>
  <c r="T157"/>
  <c r="S157"/>
  <c r="R157"/>
  <c r="W156"/>
  <c r="P156" s="1"/>
  <c r="CH156" s="1"/>
  <c r="V156"/>
  <c r="U156"/>
  <c r="T156"/>
  <c r="S156"/>
  <c r="AQ156" s="1"/>
  <c r="R156"/>
  <c r="K156" s="1"/>
  <c r="CC156" s="1"/>
  <c r="W155"/>
  <c r="V155"/>
  <c r="U155"/>
  <c r="T155"/>
  <c r="M155" s="1"/>
  <c r="CE155" s="1"/>
  <c r="S155"/>
  <c r="R155"/>
  <c r="W154"/>
  <c r="V154"/>
  <c r="U154"/>
  <c r="N154" s="1"/>
  <c r="CF154" s="1"/>
  <c r="T154"/>
  <c r="S154"/>
  <c r="R154"/>
  <c r="K154" s="1"/>
  <c r="CC154" s="1"/>
  <c r="W153"/>
  <c r="V153"/>
  <c r="U153"/>
  <c r="T153"/>
  <c r="S153"/>
  <c r="W152"/>
  <c r="P152" s="1"/>
  <c r="CH152" s="1"/>
  <c r="V152"/>
  <c r="O152" s="1"/>
  <c r="CG152" s="1"/>
  <c r="U152"/>
  <c r="T152"/>
  <c r="M152" s="1"/>
  <c r="S152"/>
  <c r="R152"/>
  <c r="W151"/>
  <c r="V151"/>
  <c r="U151"/>
  <c r="T151"/>
  <c r="S151"/>
  <c r="R151"/>
  <c r="W149"/>
  <c r="V149"/>
  <c r="U149"/>
  <c r="T149"/>
  <c r="S149"/>
  <c r="W148"/>
  <c r="V148"/>
  <c r="U148"/>
  <c r="T148"/>
  <c r="S148"/>
  <c r="W147"/>
  <c r="V147"/>
  <c r="U147"/>
  <c r="T147"/>
  <c r="AF147" s="1"/>
  <c r="S147"/>
  <c r="R147"/>
  <c r="W146"/>
  <c r="V146"/>
  <c r="AT146" s="1"/>
  <c r="U146"/>
  <c r="T146"/>
  <c r="M146" s="1"/>
  <c r="S146"/>
  <c r="R146"/>
  <c r="AD146" s="1"/>
  <c r="W145"/>
  <c r="V145"/>
  <c r="AT145" s="1"/>
  <c r="U145"/>
  <c r="T145"/>
  <c r="S145"/>
  <c r="L145" s="1"/>
  <c r="R145"/>
  <c r="W144"/>
  <c r="V144"/>
  <c r="O144" s="1"/>
  <c r="CG144" s="1"/>
  <c r="U144"/>
  <c r="T144"/>
  <c r="AF144" s="1"/>
  <c r="S144"/>
  <c r="R144"/>
  <c r="K144" s="1"/>
  <c r="W143"/>
  <c r="V143"/>
  <c r="O143" s="1"/>
  <c r="CG143" s="1"/>
  <c r="U143"/>
  <c r="T143"/>
  <c r="M143" s="1"/>
  <c r="S143"/>
  <c r="R143"/>
  <c r="AD143" s="1"/>
  <c r="W142"/>
  <c r="V142"/>
  <c r="U142"/>
  <c r="T142"/>
  <c r="M142" s="1"/>
  <c r="S142"/>
  <c r="R142"/>
  <c r="AP142" s="1"/>
  <c r="W141"/>
  <c r="V141"/>
  <c r="U141"/>
  <c r="T141"/>
  <c r="S141"/>
  <c r="R141"/>
  <c r="W140"/>
  <c r="V140"/>
  <c r="O140" s="1"/>
  <c r="CG140" s="1"/>
  <c r="U140"/>
  <c r="T140"/>
  <c r="S140"/>
  <c r="L140" s="1"/>
  <c r="R140"/>
  <c r="W139"/>
  <c r="V139"/>
  <c r="U139"/>
  <c r="T139"/>
  <c r="AF139" s="1"/>
  <c r="S139"/>
  <c r="W138"/>
  <c r="V138"/>
  <c r="AT138" s="1"/>
  <c r="U138"/>
  <c r="T138"/>
  <c r="S138"/>
  <c r="L138" s="1"/>
  <c r="W137"/>
  <c r="V137"/>
  <c r="U137"/>
  <c r="T137"/>
  <c r="S137"/>
  <c r="L137" s="1"/>
  <c r="W136"/>
  <c r="V136"/>
  <c r="U136"/>
  <c r="T136"/>
  <c r="S136"/>
  <c r="W135"/>
  <c r="V135"/>
  <c r="U135"/>
  <c r="T135"/>
  <c r="S135"/>
  <c r="W133"/>
  <c r="P133" s="1"/>
  <c r="CH133" s="1"/>
  <c r="V133"/>
  <c r="U133"/>
  <c r="T133"/>
  <c r="M133" s="1"/>
  <c r="CE133" s="1"/>
  <c r="S133"/>
  <c r="R133"/>
  <c r="W132"/>
  <c r="V132"/>
  <c r="U132"/>
  <c r="T132"/>
  <c r="AR132" s="1"/>
  <c r="S132"/>
  <c r="R132"/>
  <c r="W131"/>
  <c r="V131"/>
  <c r="U131"/>
  <c r="T131"/>
  <c r="S131"/>
  <c r="R131"/>
  <c r="W130"/>
  <c r="V130"/>
  <c r="U130"/>
  <c r="T130"/>
  <c r="M130" s="1"/>
  <c r="S130"/>
  <c r="R130"/>
  <c r="W129"/>
  <c r="P129" s="1"/>
  <c r="CH129" s="1"/>
  <c r="V129"/>
  <c r="U129"/>
  <c r="T129"/>
  <c r="S129"/>
  <c r="R129"/>
  <c r="W128"/>
  <c r="V128"/>
  <c r="U128"/>
  <c r="N128" s="1"/>
  <c r="CF128" s="1"/>
  <c r="T128"/>
  <c r="S128"/>
  <c r="R128"/>
  <c r="W127"/>
  <c r="V127"/>
  <c r="O127" s="1"/>
  <c r="CG127" s="1"/>
  <c r="U127"/>
  <c r="T127"/>
  <c r="S127"/>
  <c r="R127"/>
  <c r="W126"/>
  <c r="V126"/>
  <c r="U126"/>
  <c r="AG126" s="1"/>
  <c r="T126"/>
  <c r="S126"/>
  <c r="R126"/>
  <c r="K126" s="1"/>
  <c r="W124"/>
  <c r="P124" s="1"/>
  <c r="CH124" s="1"/>
  <c r="V124"/>
  <c r="U124"/>
  <c r="N124" s="1"/>
  <c r="CF124" s="1"/>
  <c r="T124"/>
  <c r="S124"/>
  <c r="R124"/>
  <c r="AP124" s="1"/>
  <c r="W123"/>
  <c r="V123"/>
  <c r="U123"/>
  <c r="T123"/>
  <c r="S123"/>
  <c r="L123" s="1"/>
  <c r="CD123" s="1"/>
  <c r="R123"/>
  <c r="W122"/>
  <c r="V122"/>
  <c r="U122"/>
  <c r="T122"/>
  <c r="S122"/>
  <c r="R122"/>
  <c r="W121"/>
  <c r="V121"/>
  <c r="U121"/>
  <c r="N121" s="1"/>
  <c r="CF121" s="1"/>
  <c r="T121"/>
  <c r="M121" s="1"/>
  <c r="S121"/>
  <c r="R121"/>
  <c r="W120"/>
  <c r="V120"/>
  <c r="O120" s="1"/>
  <c r="CG120" s="1"/>
  <c r="U120"/>
  <c r="T120"/>
  <c r="S120"/>
  <c r="R120"/>
  <c r="W119"/>
  <c r="V119"/>
  <c r="U119"/>
  <c r="N119" s="1"/>
  <c r="CF119" s="1"/>
  <c r="T119"/>
  <c r="S119"/>
  <c r="R119"/>
  <c r="K119" s="1"/>
  <c r="W118"/>
  <c r="V118"/>
  <c r="U118"/>
  <c r="AG118" s="1"/>
  <c r="T118"/>
  <c r="S118"/>
  <c r="L118" s="1"/>
  <c r="R118"/>
  <c r="W117"/>
  <c r="V117"/>
  <c r="O117" s="1"/>
  <c r="CG117" s="1"/>
  <c r="U117"/>
  <c r="T117"/>
  <c r="S117"/>
  <c r="R117"/>
  <c r="W116"/>
  <c r="V116"/>
  <c r="O116" s="1"/>
  <c r="CG116" s="1"/>
  <c r="U116"/>
  <c r="T116"/>
  <c r="M116" s="1"/>
  <c r="S116"/>
  <c r="R116"/>
  <c r="W115"/>
  <c r="V115"/>
  <c r="U115"/>
  <c r="T115"/>
  <c r="S115"/>
  <c r="R115"/>
  <c r="K115" s="1"/>
  <c r="W114"/>
  <c r="P114" s="1"/>
  <c r="CH114" s="1"/>
  <c r="V114"/>
  <c r="U114"/>
  <c r="T114"/>
  <c r="S114"/>
  <c r="L114" s="1"/>
  <c r="R114"/>
  <c r="W113"/>
  <c r="V113"/>
  <c r="U113"/>
  <c r="T113"/>
  <c r="M113" s="1"/>
  <c r="S113"/>
  <c r="R113"/>
  <c r="K113" s="1"/>
  <c r="W112"/>
  <c r="P112" s="1"/>
  <c r="CH112" s="1"/>
  <c r="V112"/>
  <c r="U112"/>
  <c r="T112"/>
  <c r="M112" s="1"/>
  <c r="S112"/>
  <c r="L112" s="1"/>
  <c r="R112"/>
  <c r="W111"/>
  <c r="V111"/>
  <c r="U111"/>
  <c r="T111"/>
  <c r="M111" s="1"/>
  <c r="S111"/>
  <c r="R111"/>
  <c r="W110"/>
  <c r="V110"/>
  <c r="U110"/>
  <c r="AG110" s="1"/>
  <c r="T110"/>
  <c r="S110"/>
  <c r="R110"/>
  <c r="K110" s="1"/>
  <c r="W108"/>
  <c r="V108"/>
  <c r="O108" s="1"/>
  <c r="CG108" s="1"/>
  <c r="U108"/>
  <c r="T108"/>
  <c r="S108"/>
  <c r="R108"/>
  <c r="W107"/>
  <c r="V107"/>
  <c r="U107"/>
  <c r="T107"/>
  <c r="M107" s="1"/>
  <c r="CE107" s="1"/>
  <c r="S107"/>
  <c r="R107"/>
  <c r="K107" s="1"/>
  <c r="CC107" s="1"/>
  <c r="W106"/>
  <c r="AU106" s="1"/>
  <c r="V106"/>
  <c r="U106"/>
  <c r="AG106" s="1"/>
  <c r="T106"/>
  <c r="S106"/>
  <c r="R106"/>
  <c r="W105"/>
  <c r="V105"/>
  <c r="O105" s="1"/>
  <c r="CG105" s="1"/>
  <c r="U105"/>
  <c r="T105"/>
  <c r="S105"/>
  <c r="L105" s="1"/>
  <c r="R105"/>
  <c r="W104"/>
  <c r="V104"/>
  <c r="U104"/>
  <c r="AS104" s="1"/>
  <c r="T104"/>
  <c r="S104"/>
  <c r="R104"/>
  <c r="W103"/>
  <c r="P103" s="1"/>
  <c r="CH103" s="1"/>
  <c r="V103"/>
  <c r="U103"/>
  <c r="T103"/>
  <c r="S103"/>
  <c r="AQ103" s="1"/>
  <c r="R103"/>
  <c r="W102"/>
  <c r="V102"/>
  <c r="U102"/>
  <c r="T102"/>
  <c r="AF102" s="1"/>
  <c r="S102"/>
  <c r="L102" s="1"/>
  <c r="R102"/>
  <c r="W101"/>
  <c r="AI101" s="1"/>
  <c r="V101"/>
  <c r="U101"/>
  <c r="AS101" s="1"/>
  <c r="T101"/>
  <c r="S101"/>
  <c r="R101"/>
  <c r="K101" s="1"/>
  <c r="W100"/>
  <c r="P100" s="1"/>
  <c r="CH100" s="1"/>
  <c r="V100"/>
  <c r="U100"/>
  <c r="T100"/>
  <c r="M100" s="1"/>
  <c r="S100"/>
  <c r="R100"/>
  <c r="W99"/>
  <c r="V99"/>
  <c r="U99"/>
  <c r="T99"/>
  <c r="M99" s="1"/>
  <c r="S99"/>
  <c r="R99"/>
  <c r="K99" s="1"/>
  <c r="W98"/>
  <c r="V98"/>
  <c r="U98"/>
  <c r="AG98" s="1"/>
  <c r="T98"/>
  <c r="S98"/>
  <c r="L98" s="1"/>
  <c r="R98"/>
  <c r="K98" s="1"/>
  <c r="W97"/>
  <c r="V97"/>
  <c r="U97"/>
  <c r="N97" s="1"/>
  <c r="CF97" s="1"/>
  <c r="T97"/>
  <c r="S97"/>
  <c r="R97"/>
  <c r="W96"/>
  <c r="AU96" s="1"/>
  <c r="V96"/>
  <c r="U96"/>
  <c r="T96"/>
  <c r="S96"/>
  <c r="R96"/>
  <c r="W94"/>
  <c r="V94"/>
  <c r="U94"/>
  <c r="T94"/>
  <c r="S94"/>
  <c r="AE94" s="1"/>
  <c r="R94"/>
  <c r="W93"/>
  <c r="V93"/>
  <c r="O93" s="1"/>
  <c r="CG93" s="1"/>
  <c r="U93"/>
  <c r="N93" s="1"/>
  <c r="CF93" s="1"/>
  <c r="T93"/>
  <c r="S93"/>
  <c r="R93"/>
  <c r="W92"/>
  <c r="V92"/>
  <c r="U92"/>
  <c r="T92"/>
  <c r="M92" s="1"/>
  <c r="CE92" s="1"/>
  <c r="S92"/>
  <c r="R92"/>
  <c r="AP92" s="1"/>
  <c r="W150"/>
  <c r="V150"/>
  <c r="U150"/>
  <c r="T150"/>
  <c r="S150"/>
  <c r="R150"/>
  <c r="W91"/>
  <c r="V91"/>
  <c r="U91"/>
  <c r="T91"/>
  <c r="S91"/>
  <c r="AQ91" s="1"/>
  <c r="R91"/>
  <c r="W90"/>
  <c r="V90"/>
  <c r="U90"/>
  <c r="N90" s="1"/>
  <c r="CF90" s="1"/>
  <c r="T90"/>
  <c r="S90"/>
  <c r="R90"/>
  <c r="W89"/>
  <c r="AU89" s="1"/>
  <c r="V89"/>
  <c r="U89"/>
  <c r="T89"/>
  <c r="AF89" s="1"/>
  <c r="S89"/>
  <c r="L89" s="1"/>
  <c r="R89"/>
  <c r="W88"/>
  <c r="V88"/>
  <c r="U88"/>
  <c r="T88"/>
  <c r="S88"/>
  <c r="R88"/>
  <c r="W87"/>
  <c r="V87"/>
  <c r="AH87" s="1"/>
  <c r="U87"/>
  <c r="N87" s="1"/>
  <c r="CF87" s="1"/>
  <c r="T87"/>
  <c r="M87" s="1"/>
  <c r="S87"/>
  <c r="AE87" s="1"/>
  <c r="R87"/>
  <c r="K87" s="1"/>
  <c r="W86"/>
  <c r="V86"/>
  <c r="O86" s="1"/>
  <c r="CG86" s="1"/>
  <c r="U86"/>
  <c r="T86"/>
  <c r="S86"/>
  <c r="R86"/>
  <c r="K86" s="1"/>
  <c r="W84"/>
  <c r="P84" s="1"/>
  <c r="CH84" s="1"/>
  <c r="V84"/>
  <c r="U84"/>
  <c r="T84"/>
  <c r="S84"/>
  <c r="R84"/>
  <c r="W83"/>
  <c r="V83"/>
  <c r="U83"/>
  <c r="T83"/>
  <c r="S83"/>
  <c r="R83"/>
  <c r="W82"/>
  <c r="P82" s="1"/>
  <c r="CH82" s="1"/>
  <c r="V82"/>
  <c r="U82"/>
  <c r="T82"/>
  <c r="S82"/>
  <c r="AQ82" s="1"/>
  <c r="R82"/>
  <c r="W81"/>
  <c r="V81"/>
  <c r="U81"/>
  <c r="N81" s="1"/>
  <c r="CF81" s="1"/>
  <c r="T81"/>
  <c r="S81"/>
  <c r="R81"/>
  <c r="W80"/>
  <c r="V80"/>
  <c r="U80"/>
  <c r="T80"/>
  <c r="S80"/>
  <c r="R80"/>
  <c r="W79"/>
  <c r="P79" s="1"/>
  <c r="CH79" s="1"/>
  <c r="V79"/>
  <c r="U79"/>
  <c r="T79"/>
  <c r="M79" s="1"/>
  <c r="S79"/>
  <c r="R79"/>
  <c r="W78"/>
  <c r="P78" s="1"/>
  <c r="CH78" s="1"/>
  <c r="V78"/>
  <c r="U78"/>
  <c r="T78"/>
  <c r="M78" s="1"/>
  <c r="S78"/>
  <c r="AQ78" s="1"/>
  <c r="R78"/>
  <c r="W76"/>
  <c r="V76"/>
  <c r="U76"/>
  <c r="T76"/>
  <c r="S76"/>
  <c r="R76"/>
  <c r="W75"/>
  <c r="V75"/>
  <c r="AT75" s="1"/>
  <c r="U75"/>
  <c r="T75"/>
  <c r="S75"/>
  <c r="AQ75" s="1"/>
  <c r="R75"/>
  <c r="W74"/>
  <c r="V74"/>
  <c r="U74"/>
  <c r="AS74" s="1"/>
  <c r="T74"/>
  <c r="S74"/>
  <c r="R74"/>
  <c r="W73"/>
  <c r="V73"/>
  <c r="AT73" s="1"/>
  <c r="U73"/>
  <c r="T73"/>
  <c r="M73" s="1"/>
  <c r="S73"/>
  <c r="R73"/>
  <c r="W72"/>
  <c r="V72"/>
  <c r="U72"/>
  <c r="T72"/>
  <c r="S72"/>
  <c r="R72"/>
  <c r="K72" s="1"/>
  <c r="W71"/>
  <c r="V71"/>
  <c r="U71"/>
  <c r="T71"/>
  <c r="S71"/>
  <c r="R71"/>
  <c r="W70"/>
  <c r="V70"/>
  <c r="U70"/>
  <c r="AS70" s="1"/>
  <c r="T70"/>
  <c r="S70"/>
  <c r="R70"/>
  <c r="W69"/>
  <c r="V69"/>
  <c r="AT69" s="1"/>
  <c r="U69"/>
  <c r="T69"/>
  <c r="M69" s="1"/>
  <c r="S69"/>
  <c r="R69"/>
  <c r="K69" s="1"/>
  <c r="W68"/>
  <c r="V68"/>
  <c r="U68"/>
  <c r="T68"/>
  <c r="S68"/>
  <c r="L68" s="1"/>
  <c r="R68"/>
  <c r="K68" s="1"/>
  <c r="W67"/>
  <c r="V67"/>
  <c r="AT67" s="1"/>
  <c r="U67"/>
  <c r="T67"/>
  <c r="S67"/>
  <c r="R67"/>
  <c r="W66"/>
  <c r="P66" s="1"/>
  <c r="V66"/>
  <c r="U66"/>
  <c r="T66"/>
  <c r="M66" s="1"/>
  <c r="S66"/>
  <c r="R66"/>
  <c r="I65"/>
  <c r="H65"/>
  <c r="W63"/>
  <c r="V63"/>
  <c r="U63"/>
  <c r="T63"/>
  <c r="S63"/>
  <c r="R63"/>
  <c r="K63" s="1"/>
  <c r="W62"/>
  <c r="V62"/>
  <c r="U62"/>
  <c r="T62"/>
  <c r="AF62" s="1"/>
  <c r="S62"/>
  <c r="R62"/>
  <c r="W61"/>
  <c r="V61"/>
  <c r="O61" s="1"/>
  <c r="U61"/>
  <c r="AG61" s="1"/>
  <c r="T61"/>
  <c r="M61" s="1"/>
  <c r="S61"/>
  <c r="R61"/>
  <c r="AD61" s="1"/>
  <c r="W60"/>
  <c r="AU60" s="1"/>
  <c r="V60"/>
  <c r="U60"/>
  <c r="T60"/>
  <c r="S60"/>
  <c r="R60"/>
  <c r="W59"/>
  <c r="V59"/>
  <c r="U59"/>
  <c r="T59"/>
  <c r="S59"/>
  <c r="R59"/>
  <c r="W58"/>
  <c r="V58"/>
  <c r="U58"/>
  <c r="T58"/>
  <c r="S58"/>
  <c r="R58"/>
  <c r="W57"/>
  <c r="AI57" s="1"/>
  <c r="V57"/>
  <c r="U57"/>
  <c r="T57"/>
  <c r="S57"/>
  <c r="AQ57" s="1"/>
  <c r="R57"/>
  <c r="W56"/>
  <c r="V56"/>
  <c r="U56"/>
  <c r="T56"/>
  <c r="S56"/>
  <c r="R56"/>
  <c r="W55"/>
  <c r="V55"/>
  <c r="AT55" s="1"/>
  <c r="U55"/>
  <c r="T55"/>
  <c r="S55"/>
  <c r="R55"/>
  <c r="K55" s="1"/>
  <c r="W54"/>
  <c r="V54"/>
  <c r="U54"/>
  <c r="T54"/>
  <c r="S54"/>
  <c r="R54"/>
  <c r="W53"/>
  <c r="V53"/>
  <c r="O53" s="1"/>
  <c r="U53"/>
  <c r="T53"/>
  <c r="S53"/>
  <c r="R53"/>
  <c r="K53" s="1"/>
  <c r="W52"/>
  <c r="V52"/>
  <c r="U52"/>
  <c r="T52"/>
  <c r="S52"/>
  <c r="AQ52" s="1"/>
  <c r="R52"/>
  <c r="W51"/>
  <c r="V51"/>
  <c r="U51"/>
  <c r="T51"/>
  <c r="S51"/>
  <c r="AQ51" s="1"/>
  <c r="R51"/>
  <c r="K51" s="1"/>
  <c r="W50"/>
  <c r="V50"/>
  <c r="U50"/>
  <c r="AS50" s="1"/>
  <c r="T50"/>
  <c r="S50"/>
  <c r="AQ50" s="1"/>
  <c r="R50"/>
  <c r="K50" s="1"/>
  <c r="W48"/>
  <c r="V48"/>
  <c r="U48"/>
  <c r="T48"/>
  <c r="AF48" s="1"/>
  <c r="S48"/>
  <c r="AE48" s="1"/>
  <c r="R48"/>
  <c r="W47"/>
  <c r="V47"/>
  <c r="O47" s="1"/>
  <c r="U47"/>
  <c r="T47"/>
  <c r="S47"/>
  <c r="R47"/>
  <c r="AD47" s="1"/>
  <c r="W46"/>
  <c r="V46"/>
  <c r="U46"/>
  <c r="N46" s="1"/>
  <c r="T46"/>
  <c r="S46"/>
  <c r="R46"/>
  <c r="AP46" s="1"/>
  <c r="W45"/>
  <c r="V45"/>
  <c r="AH45" s="1"/>
  <c r="U45"/>
  <c r="T45"/>
  <c r="S45"/>
  <c r="R45"/>
  <c r="K45" s="1"/>
  <c r="W44"/>
  <c r="V44"/>
  <c r="U44"/>
  <c r="T44"/>
  <c r="S44"/>
  <c r="R44"/>
  <c r="AP44" s="1"/>
  <c r="W43"/>
  <c r="V43"/>
  <c r="U43"/>
  <c r="T43"/>
  <c r="M43" s="1"/>
  <c r="S43"/>
  <c r="AQ43" s="1"/>
  <c r="R43"/>
  <c r="W42"/>
  <c r="V42"/>
  <c r="U42"/>
  <c r="N42" s="1"/>
  <c r="T42"/>
  <c r="M42" s="1"/>
  <c r="S42"/>
  <c r="R42"/>
  <c r="K42" s="1"/>
  <c r="W41"/>
  <c r="V41"/>
  <c r="U41"/>
  <c r="T41"/>
  <c r="S41"/>
  <c r="R41"/>
  <c r="K41" s="1"/>
  <c r="W40"/>
  <c r="AU40" s="1"/>
  <c r="V40"/>
  <c r="O40" s="1"/>
  <c r="U40"/>
  <c r="T40"/>
  <c r="S40"/>
  <c r="R40"/>
  <c r="K40" s="1"/>
  <c r="W39"/>
  <c r="V39"/>
  <c r="U39"/>
  <c r="N39" s="1"/>
  <c r="T39"/>
  <c r="S39"/>
  <c r="R39"/>
  <c r="W38"/>
  <c r="V38"/>
  <c r="AT38" s="1"/>
  <c r="U38"/>
  <c r="T38"/>
  <c r="M38" s="1"/>
  <c r="S38"/>
  <c r="R38"/>
  <c r="W37"/>
  <c r="V37"/>
  <c r="U37"/>
  <c r="T37"/>
  <c r="S37"/>
  <c r="R37"/>
  <c r="K37" s="1"/>
  <c r="W36"/>
  <c r="V36"/>
  <c r="AH36" s="1"/>
  <c r="U36"/>
  <c r="AS36" s="1"/>
  <c r="T36"/>
  <c r="S36"/>
  <c r="R36"/>
  <c r="K36" s="1"/>
  <c r="W35"/>
  <c r="V35"/>
  <c r="O35" s="1"/>
  <c r="U35"/>
  <c r="T35"/>
  <c r="M35" s="1"/>
  <c r="S35"/>
  <c r="R35"/>
  <c r="W33"/>
  <c r="V33"/>
  <c r="U33"/>
  <c r="T33"/>
  <c r="S33"/>
  <c r="R33"/>
  <c r="K33" s="1"/>
  <c r="R15"/>
  <c r="K15" s="1"/>
  <c r="S15"/>
  <c r="T15"/>
  <c r="AR15" s="1"/>
  <c r="U15"/>
  <c r="V15"/>
  <c r="W15"/>
  <c r="R16"/>
  <c r="S16"/>
  <c r="T16"/>
  <c r="U16"/>
  <c r="AG16" s="1"/>
  <c r="V16"/>
  <c r="AH16" s="1"/>
  <c r="W16"/>
  <c r="R17"/>
  <c r="S17"/>
  <c r="T17"/>
  <c r="U17"/>
  <c r="V17"/>
  <c r="W17"/>
  <c r="R18"/>
  <c r="S18"/>
  <c r="T18"/>
  <c r="U18"/>
  <c r="V18"/>
  <c r="W18"/>
  <c r="R19"/>
  <c r="K19" s="1"/>
  <c r="S19"/>
  <c r="AE19" s="1"/>
  <c r="T19"/>
  <c r="AF19" s="1"/>
  <c r="U19"/>
  <c r="V19"/>
  <c r="W19"/>
  <c r="R20"/>
  <c r="AP20" s="1"/>
  <c r="S20"/>
  <c r="T20"/>
  <c r="U20"/>
  <c r="AG20" s="1"/>
  <c r="V20"/>
  <c r="W20"/>
  <c r="R21"/>
  <c r="S21"/>
  <c r="T21"/>
  <c r="U21"/>
  <c r="AS21" s="1"/>
  <c r="V21"/>
  <c r="W21"/>
  <c r="R22"/>
  <c r="S22"/>
  <c r="AQ22" s="1"/>
  <c r="T22"/>
  <c r="U22"/>
  <c r="V22"/>
  <c r="W22"/>
  <c r="AU22" s="1"/>
  <c r="R23"/>
  <c r="K23" s="1"/>
  <c r="S23"/>
  <c r="T23"/>
  <c r="AF23" s="1"/>
  <c r="U23"/>
  <c r="V23"/>
  <c r="W23"/>
  <c r="R24"/>
  <c r="S24"/>
  <c r="T24"/>
  <c r="U24"/>
  <c r="AG24" s="1"/>
  <c r="V24"/>
  <c r="W24"/>
  <c r="R25"/>
  <c r="AP25" s="1"/>
  <c r="S25"/>
  <c r="T25"/>
  <c r="U25"/>
  <c r="V25"/>
  <c r="W25"/>
  <c r="R26"/>
  <c r="S26"/>
  <c r="T26"/>
  <c r="U26"/>
  <c r="V26"/>
  <c r="W26"/>
  <c r="AU26" s="1"/>
  <c r="R27"/>
  <c r="S27"/>
  <c r="T27"/>
  <c r="U27"/>
  <c r="V27"/>
  <c r="W27"/>
  <c r="R28"/>
  <c r="AP28" s="1"/>
  <c r="S28"/>
  <c r="T28"/>
  <c r="AR28" s="1"/>
  <c r="U28"/>
  <c r="AS28" s="1"/>
  <c r="V28"/>
  <c r="W28"/>
  <c r="R29"/>
  <c r="K29" s="1"/>
  <c r="S29"/>
  <c r="T29"/>
  <c r="U29"/>
  <c r="AS29" s="1"/>
  <c r="V29"/>
  <c r="W29"/>
  <c r="R30"/>
  <c r="S30"/>
  <c r="T30"/>
  <c r="U30"/>
  <c r="V30"/>
  <c r="W30"/>
  <c r="R31"/>
  <c r="K31" s="1"/>
  <c r="S31"/>
  <c r="AE31" s="1"/>
  <c r="T31"/>
  <c r="U31"/>
  <c r="V31"/>
  <c r="W31"/>
  <c r="R32"/>
  <c r="S32"/>
  <c r="T32"/>
  <c r="U32"/>
  <c r="AG32" s="1"/>
  <c r="V32"/>
  <c r="W32"/>
  <c r="W14"/>
  <c r="V14"/>
  <c r="O14" s="1"/>
  <c r="U14"/>
  <c r="T14"/>
  <c r="M14" s="1"/>
  <c r="S14"/>
  <c r="R14"/>
  <c r="AD14" s="1"/>
  <c r="W13"/>
  <c r="V13"/>
  <c r="U13"/>
  <c r="T13"/>
  <c r="M13" s="1"/>
  <c r="S13"/>
  <c r="R13"/>
  <c r="W11"/>
  <c r="V11"/>
  <c r="U11"/>
  <c r="T11"/>
  <c r="S11"/>
  <c r="R11"/>
  <c r="W10"/>
  <c r="V10"/>
  <c r="U10"/>
  <c r="T10"/>
  <c r="S10"/>
  <c r="R10"/>
  <c r="W9"/>
  <c r="AI9" s="1"/>
  <c r="V9"/>
  <c r="U9"/>
  <c r="AS9" s="1"/>
  <c r="T9"/>
  <c r="M9" s="1"/>
  <c r="S9"/>
  <c r="R9"/>
  <c r="W7"/>
  <c r="V7"/>
  <c r="U7"/>
  <c r="AS7" s="1"/>
  <c r="T7"/>
  <c r="M7" s="1"/>
  <c r="S7"/>
  <c r="R7"/>
  <c r="W6"/>
  <c r="V6"/>
  <c r="U6"/>
  <c r="T6"/>
  <c r="S6"/>
  <c r="R6"/>
  <c r="W5"/>
  <c r="V5"/>
  <c r="AB162" i="14"/>
  <c r="AB153"/>
  <c r="M153"/>
  <c r="K153"/>
  <c r="I153"/>
  <c r="AB152"/>
  <c r="M152"/>
  <c r="K152"/>
  <c r="I152"/>
  <c r="AB151"/>
  <c r="M151"/>
  <c r="K151"/>
  <c r="I151"/>
  <c r="AB149"/>
  <c r="M149"/>
  <c r="K149"/>
  <c r="I149"/>
  <c r="AB148"/>
  <c r="M148"/>
  <c r="K148"/>
  <c r="I148"/>
  <c r="AB147"/>
  <c r="M147"/>
  <c r="K147"/>
  <c r="I147"/>
  <c r="AB146"/>
  <c r="M146"/>
  <c r="K146"/>
  <c r="I146"/>
  <c r="AB145"/>
  <c r="M145"/>
  <c r="K145"/>
  <c r="I145"/>
  <c r="AB144"/>
  <c r="M144"/>
  <c r="K144"/>
  <c r="I144"/>
  <c r="AB143"/>
  <c r="M143"/>
  <c r="K143"/>
  <c r="I143"/>
  <c r="AB142"/>
  <c r="M142"/>
  <c r="K142"/>
  <c r="I142"/>
  <c r="AB141"/>
  <c r="M141"/>
  <c r="K141"/>
  <c r="I141"/>
  <c r="AB140"/>
  <c r="M140"/>
  <c r="K140"/>
  <c r="I140"/>
  <c r="AB139"/>
  <c r="M139"/>
  <c r="K139"/>
  <c r="I139"/>
  <c r="AB138"/>
  <c r="M138"/>
  <c r="K138"/>
  <c r="I138"/>
  <c r="AB137"/>
  <c r="M137"/>
  <c r="K137"/>
  <c r="I137"/>
  <c r="AB136"/>
  <c r="M136"/>
  <c r="K136"/>
  <c r="I136"/>
  <c r="AB135"/>
  <c r="M135"/>
  <c r="K135"/>
  <c r="I135"/>
  <c r="K134"/>
  <c r="AB130"/>
  <c r="M130"/>
  <c r="K130"/>
  <c r="I130"/>
  <c r="AB129"/>
  <c r="M129"/>
  <c r="K129"/>
  <c r="I129"/>
  <c r="AB128"/>
  <c r="M128"/>
  <c r="K128"/>
  <c r="I128"/>
  <c r="AB127"/>
  <c r="M127"/>
  <c r="K127"/>
  <c r="I127"/>
  <c r="AB126"/>
  <c r="M126"/>
  <c r="K126"/>
  <c r="I126"/>
  <c r="I125"/>
  <c r="AB125"/>
  <c r="AB121"/>
  <c r="M121"/>
  <c r="K121"/>
  <c r="I121"/>
  <c r="AB120"/>
  <c r="M120"/>
  <c r="K120"/>
  <c r="I120"/>
  <c r="AB119"/>
  <c r="M119"/>
  <c r="K119"/>
  <c r="I119"/>
  <c r="AB118"/>
  <c r="M118"/>
  <c r="K118"/>
  <c r="I118"/>
  <c r="AB117"/>
  <c r="M117"/>
  <c r="K117"/>
  <c r="I117"/>
  <c r="AB116"/>
  <c r="M116"/>
  <c r="K116"/>
  <c r="I116"/>
  <c r="AB115"/>
  <c r="M115"/>
  <c r="K115"/>
  <c r="I115"/>
  <c r="AB114"/>
  <c r="M114"/>
  <c r="K114"/>
  <c r="I114"/>
  <c r="AB113"/>
  <c r="M113"/>
  <c r="K113"/>
  <c r="I113"/>
  <c r="AB112"/>
  <c r="M112"/>
  <c r="K112"/>
  <c r="I112"/>
  <c r="AB111"/>
  <c r="M111"/>
  <c r="K111"/>
  <c r="I111"/>
  <c r="AB110"/>
  <c r="M110"/>
  <c r="K110"/>
  <c r="I110"/>
  <c r="AB109"/>
  <c r="AB105"/>
  <c r="M105"/>
  <c r="K105"/>
  <c r="I105"/>
  <c r="AB104"/>
  <c r="M104"/>
  <c r="K104"/>
  <c r="I104"/>
  <c r="AB103"/>
  <c r="M103"/>
  <c r="K103"/>
  <c r="I103"/>
  <c r="AB102"/>
  <c r="M102"/>
  <c r="K102"/>
  <c r="I102"/>
  <c r="AB101"/>
  <c r="M101"/>
  <c r="K101"/>
  <c r="I101"/>
  <c r="AB100"/>
  <c r="M100"/>
  <c r="K100"/>
  <c r="I100"/>
  <c r="AB99"/>
  <c r="M99"/>
  <c r="K99"/>
  <c r="I99"/>
  <c r="AB98"/>
  <c r="M98"/>
  <c r="K98"/>
  <c r="I98"/>
  <c r="AB97"/>
  <c r="M97"/>
  <c r="K97"/>
  <c r="I97"/>
  <c r="AB96"/>
  <c r="M96"/>
  <c r="K96"/>
  <c r="I96"/>
  <c r="AB150"/>
  <c r="M150"/>
  <c r="K150"/>
  <c r="I150"/>
  <c r="AB91"/>
  <c r="M91"/>
  <c r="K91"/>
  <c r="I91"/>
  <c r="AB90"/>
  <c r="M90"/>
  <c r="K90"/>
  <c r="I90"/>
  <c r="AB89"/>
  <c r="M89"/>
  <c r="K89"/>
  <c r="I89"/>
  <c r="AB88"/>
  <c r="M88"/>
  <c r="K88"/>
  <c r="I88"/>
  <c r="AB87"/>
  <c r="M87"/>
  <c r="K87"/>
  <c r="I87"/>
  <c r="AB86"/>
  <c r="M86"/>
  <c r="K86"/>
  <c r="I86"/>
  <c r="V85"/>
  <c r="V160" s="1"/>
  <c r="V161" s="1"/>
  <c r="U85"/>
  <c r="U160" s="1"/>
  <c r="U161" s="1"/>
  <c r="T85"/>
  <c r="T160" s="1"/>
  <c r="T161" s="1"/>
  <c r="S85"/>
  <c r="S160" s="1"/>
  <c r="S161" s="1"/>
  <c r="R85"/>
  <c r="R160" s="1"/>
  <c r="R161" s="1"/>
  <c r="Q85"/>
  <c r="Q160" s="1"/>
  <c r="Q161" s="1"/>
  <c r="P85"/>
  <c r="P160" s="1"/>
  <c r="P161" s="1"/>
  <c r="O85"/>
  <c r="O160" s="1"/>
  <c r="O161" s="1"/>
  <c r="N85"/>
  <c r="L85"/>
  <c r="L160" s="1"/>
  <c r="L161" s="1"/>
  <c r="J85"/>
  <c r="J160" s="1"/>
  <c r="J161" s="1"/>
  <c r="H85"/>
  <c r="H160" s="1"/>
  <c r="H161" s="1"/>
  <c r="G85"/>
  <c r="G160" s="1"/>
  <c r="AB84"/>
  <c r="M84"/>
  <c r="K84"/>
  <c r="I84"/>
  <c r="AB83"/>
  <c r="M83"/>
  <c r="K83"/>
  <c r="I83"/>
  <c r="AB82"/>
  <c r="M82"/>
  <c r="K82"/>
  <c r="I82"/>
  <c r="AB81"/>
  <c r="M81"/>
  <c r="K81"/>
  <c r="I81"/>
  <c r="AB80"/>
  <c r="M80"/>
  <c r="K80"/>
  <c r="I80"/>
  <c r="AB79"/>
  <c r="M79"/>
  <c r="K79"/>
  <c r="I79"/>
  <c r="AB78"/>
  <c r="M78"/>
  <c r="K78"/>
  <c r="I78"/>
  <c r="K77"/>
  <c r="AB77"/>
  <c r="AB73"/>
  <c r="M73"/>
  <c r="K73"/>
  <c r="I73"/>
  <c r="AB72"/>
  <c r="M72"/>
  <c r="K72"/>
  <c r="I72"/>
  <c r="AB71"/>
  <c r="M71"/>
  <c r="K71"/>
  <c r="I71"/>
  <c r="AB70"/>
  <c r="M70"/>
  <c r="K70"/>
  <c r="I70"/>
  <c r="AB69"/>
  <c r="M69"/>
  <c r="K69"/>
  <c r="I69"/>
  <c r="AB68"/>
  <c r="M68"/>
  <c r="K68"/>
  <c r="I68"/>
  <c r="AB67"/>
  <c r="M67"/>
  <c r="K67"/>
  <c r="I67"/>
  <c r="AB66"/>
  <c r="M66"/>
  <c r="K66"/>
  <c r="I66"/>
  <c r="D65"/>
  <c r="AB64"/>
  <c r="AB60"/>
  <c r="M60"/>
  <c r="K60"/>
  <c r="I60"/>
  <c r="AB59"/>
  <c r="M59"/>
  <c r="K59"/>
  <c r="I59"/>
  <c r="AB58"/>
  <c r="M58"/>
  <c r="K58"/>
  <c r="I58"/>
  <c r="AB57"/>
  <c r="M57"/>
  <c r="K57"/>
  <c r="I57"/>
  <c r="AB56"/>
  <c r="M56"/>
  <c r="K56"/>
  <c r="I56"/>
  <c r="AB55"/>
  <c r="M55"/>
  <c r="K55"/>
  <c r="I55"/>
  <c r="AB54"/>
  <c r="M54"/>
  <c r="K54"/>
  <c r="I54"/>
  <c r="AB53"/>
  <c r="M53"/>
  <c r="K53"/>
  <c r="I53"/>
  <c r="AB52"/>
  <c r="M52"/>
  <c r="K52"/>
  <c r="I52"/>
  <c r="AB51"/>
  <c r="M51"/>
  <c r="K51"/>
  <c r="I51"/>
  <c r="AB50"/>
  <c r="M50"/>
  <c r="K50"/>
  <c r="I50"/>
  <c r="M49"/>
  <c r="I49"/>
  <c r="AB49"/>
  <c r="AB45"/>
  <c r="M45"/>
  <c r="K45"/>
  <c r="I45"/>
  <c r="AB44"/>
  <c r="M44"/>
  <c r="K44"/>
  <c r="I44"/>
  <c r="AB43"/>
  <c r="M43"/>
  <c r="K43"/>
  <c r="I43"/>
  <c r="AB42"/>
  <c r="M42"/>
  <c r="K42"/>
  <c r="I42"/>
  <c r="AB41"/>
  <c r="M41"/>
  <c r="K41"/>
  <c r="I41"/>
  <c r="AB40"/>
  <c r="M40"/>
  <c r="K40"/>
  <c r="I40"/>
  <c r="AB39"/>
  <c r="M39"/>
  <c r="K39"/>
  <c r="I39"/>
  <c r="AB38"/>
  <c r="M38"/>
  <c r="K38"/>
  <c r="I38"/>
  <c r="AB37"/>
  <c r="M37"/>
  <c r="K37"/>
  <c r="I37"/>
  <c r="AB36"/>
  <c r="M36"/>
  <c r="K36"/>
  <c r="I36"/>
  <c r="AB35"/>
  <c r="M35"/>
  <c r="K35"/>
  <c r="I35"/>
  <c r="AB34"/>
  <c r="AB28"/>
  <c r="M28"/>
  <c r="K28"/>
  <c r="I28"/>
  <c r="AB27"/>
  <c r="M27"/>
  <c r="K27"/>
  <c r="I27"/>
  <c r="AB26"/>
  <c r="M26"/>
  <c r="K26"/>
  <c r="I26"/>
  <c r="AB25"/>
  <c r="M25"/>
  <c r="K25"/>
  <c r="I25"/>
  <c r="AB24"/>
  <c r="M24"/>
  <c r="K24"/>
  <c r="I24"/>
  <c r="AB23"/>
  <c r="M23"/>
  <c r="K23"/>
  <c r="I23"/>
  <c r="AB22"/>
  <c r="M22"/>
  <c r="K22"/>
  <c r="I22"/>
  <c r="AB21"/>
  <c r="M21"/>
  <c r="K21"/>
  <c r="I21"/>
  <c r="AB20"/>
  <c r="M20"/>
  <c r="K20"/>
  <c r="I20"/>
  <c r="AB19"/>
  <c r="M19"/>
  <c r="K19"/>
  <c r="I19"/>
  <c r="AB18"/>
  <c r="M18"/>
  <c r="K18"/>
  <c r="I18"/>
  <c r="AB17"/>
  <c r="M17"/>
  <c r="K17"/>
  <c r="I17"/>
  <c r="AB16"/>
  <c r="M16"/>
  <c r="K16"/>
  <c r="I16"/>
  <c r="AB15"/>
  <c r="M15"/>
  <c r="K15"/>
  <c r="I15"/>
  <c r="AB14"/>
  <c r="M14"/>
  <c r="K14"/>
  <c r="I14"/>
  <c r="AB13"/>
  <c r="M13"/>
  <c r="K13"/>
  <c r="I13"/>
  <c r="AB9"/>
  <c r="M9"/>
  <c r="K9"/>
  <c r="I9"/>
  <c r="M8"/>
  <c r="AB5"/>
  <c r="M5"/>
  <c r="K5"/>
  <c r="I5"/>
  <c r="AB162" i="13"/>
  <c r="M159"/>
  <c r="I159"/>
  <c r="AB153"/>
  <c r="M153"/>
  <c r="K153"/>
  <c r="I153"/>
  <c r="AB152"/>
  <c r="M152"/>
  <c r="K152"/>
  <c r="I152"/>
  <c r="AB151"/>
  <c r="M151"/>
  <c r="K151"/>
  <c r="I151"/>
  <c r="AB149"/>
  <c r="M149"/>
  <c r="K149"/>
  <c r="I149"/>
  <c r="AB148"/>
  <c r="M148"/>
  <c r="K148"/>
  <c r="I148"/>
  <c r="AB147"/>
  <c r="M147"/>
  <c r="K147"/>
  <c r="I147"/>
  <c r="AB146"/>
  <c r="M146"/>
  <c r="K146"/>
  <c r="I146"/>
  <c r="AB145"/>
  <c r="M145"/>
  <c r="K145"/>
  <c r="I145"/>
  <c r="AB144"/>
  <c r="M144"/>
  <c r="K144"/>
  <c r="I144"/>
  <c r="AB143"/>
  <c r="M143"/>
  <c r="K143"/>
  <c r="I143"/>
  <c r="AB142"/>
  <c r="M142"/>
  <c r="K142"/>
  <c r="I142"/>
  <c r="AB141"/>
  <c r="M141"/>
  <c r="K141"/>
  <c r="I141"/>
  <c r="AB140"/>
  <c r="M140"/>
  <c r="K140"/>
  <c r="I140"/>
  <c r="AB139"/>
  <c r="M139"/>
  <c r="K139"/>
  <c r="I139"/>
  <c r="AB138"/>
  <c r="M138"/>
  <c r="K138"/>
  <c r="I138"/>
  <c r="AB137"/>
  <c r="M137"/>
  <c r="K137"/>
  <c r="I137"/>
  <c r="AB136"/>
  <c r="M136"/>
  <c r="K136"/>
  <c r="I136"/>
  <c r="AB135"/>
  <c r="M135"/>
  <c r="K135"/>
  <c r="I135"/>
  <c r="M134"/>
  <c r="K134"/>
  <c r="I134"/>
  <c r="AB134"/>
  <c r="AB130"/>
  <c r="M130"/>
  <c r="K130"/>
  <c r="I130"/>
  <c r="AB129"/>
  <c r="M129"/>
  <c r="K129"/>
  <c r="I129"/>
  <c r="AB128"/>
  <c r="M128"/>
  <c r="K128"/>
  <c r="I128"/>
  <c r="AB127"/>
  <c r="M127"/>
  <c r="K127"/>
  <c r="I127"/>
  <c r="AB126"/>
  <c r="M126"/>
  <c r="K126"/>
  <c r="I126"/>
  <c r="M125"/>
  <c r="K125"/>
  <c r="AB121"/>
  <c r="M121"/>
  <c r="K121"/>
  <c r="I121"/>
  <c r="AB120"/>
  <c r="M120"/>
  <c r="K120"/>
  <c r="I120"/>
  <c r="AB119"/>
  <c r="M119"/>
  <c r="K119"/>
  <c r="I119"/>
  <c r="AB118"/>
  <c r="M118"/>
  <c r="K118"/>
  <c r="I118"/>
  <c r="AB117"/>
  <c r="M117"/>
  <c r="K117"/>
  <c r="I117"/>
  <c r="AB116"/>
  <c r="M116"/>
  <c r="K116"/>
  <c r="I116"/>
  <c r="AB115"/>
  <c r="M115"/>
  <c r="K115"/>
  <c r="I115"/>
  <c r="AB114"/>
  <c r="M114"/>
  <c r="K114"/>
  <c r="I114"/>
  <c r="AB113"/>
  <c r="M113"/>
  <c r="K113"/>
  <c r="I113"/>
  <c r="AB112"/>
  <c r="M112"/>
  <c r="K112"/>
  <c r="I112"/>
  <c r="AB111"/>
  <c r="M111"/>
  <c r="K111"/>
  <c r="I111"/>
  <c r="AB110"/>
  <c r="M110"/>
  <c r="K110"/>
  <c r="I110"/>
  <c r="M109"/>
  <c r="K109"/>
  <c r="AB109"/>
  <c r="AB105"/>
  <c r="M105"/>
  <c r="K105"/>
  <c r="I105"/>
  <c r="AB104"/>
  <c r="M104"/>
  <c r="K104"/>
  <c r="I104"/>
  <c r="AB103"/>
  <c r="M103"/>
  <c r="K103"/>
  <c r="I103"/>
  <c r="AB102"/>
  <c r="M102"/>
  <c r="K102"/>
  <c r="I102"/>
  <c r="AB101"/>
  <c r="M101"/>
  <c r="K101"/>
  <c r="I101"/>
  <c r="AB100"/>
  <c r="M100"/>
  <c r="K100"/>
  <c r="I100"/>
  <c r="AB99"/>
  <c r="M99"/>
  <c r="K99"/>
  <c r="I99"/>
  <c r="AB98"/>
  <c r="M98"/>
  <c r="K98"/>
  <c r="I98"/>
  <c r="AB97"/>
  <c r="M97"/>
  <c r="K97"/>
  <c r="I97"/>
  <c r="AB96"/>
  <c r="M96"/>
  <c r="K96"/>
  <c r="I96"/>
  <c r="AB150"/>
  <c r="M150"/>
  <c r="K150"/>
  <c r="I150"/>
  <c r="AB91"/>
  <c r="M91"/>
  <c r="K91"/>
  <c r="I91"/>
  <c r="AB90"/>
  <c r="M90"/>
  <c r="K90"/>
  <c r="I90"/>
  <c r="AB89"/>
  <c r="M89"/>
  <c r="K89"/>
  <c r="I89"/>
  <c r="AB88"/>
  <c r="M88"/>
  <c r="K88"/>
  <c r="I88"/>
  <c r="AB87"/>
  <c r="M87"/>
  <c r="K87"/>
  <c r="I87"/>
  <c r="AB86"/>
  <c r="M86"/>
  <c r="K86"/>
  <c r="I86"/>
  <c r="V85"/>
  <c r="V160" s="1"/>
  <c r="V161" s="1"/>
  <c r="U85"/>
  <c r="U160" s="1"/>
  <c r="U161" s="1"/>
  <c r="T85"/>
  <c r="T160" s="1"/>
  <c r="T161" s="1"/>
  <c r="S85"/>
  <c r="S160" s="1"/>
  <c r="S161" s="1"/>
  <c r="R85"/>
  <c r="R160" s="1"/>
  <c r="R161" s="1"/>
  <c r="Q85"/>
  <c r="Q160" s="1"/>
  <c r="Q161" s="1"/>
  <c r="P85"/>
  <c r="P160" s="1"/>
  <c r="P161" s="1"/>
  <c r="O85"/>
  <c r="O160" s="1"/>
  <c r="O161" s="1"/>
  <c r="N85"/>
  <c r="N160" s="1"/>
  <c r="N161" s="1"/>
  <c r="L85"/>
  <c r="J85"/>
  <c r="J160" s="1"/>
  <c r="J161" s="1"/>
  <c r="H85"/>
  <c r="H160" s="1"/>
  <c r="H161" s="1"/>
  <c r="G85"/>
  <c r="G160" s="1"/>
  <c r="AB84"/>
  <c r="M84"/>
  <c r="K84"/>
  <c r="I84"/>
  <c r="AB83"/>
  <c r="M83"/>
  <c r="K83"/>
  <c r="I83"/>
  <c r="AB82"/>
  <c r="M82"/>
  <c r="K82"/>
  <c r="I82"/>
  <c r="AB81"/>
  <c r="M81"/>
  <c r="K81"/>
  <c r="I81"/>
  <c r="AB80"/>
  <c r="M80"/>
  <c r="K80"/>
  <c r="I80"/>
  <c r="AB79"/>
  <c r="M79"/>
  <c r="K79"/>
  <c r="I79"/>
  <c r="AB78"/>
  <c r="M78"/>
  <c r="K78"/>
  <c r="I78"/>
  <c r="AB77"/>
  <c r="AB73"/>
  <c r="M73"/>
  <c r="K73"/>
  <c r="I73"/>
  <c r="AB72"/>
  <c r="M72"/>
  <c r="K72"/>
  <c r="I72"/>
  <c r="AB71"/>
  <c r="M71"/>
  <c r="K71"/>
  <c r="I71"/>
  <c r="AB70"/>
  <c r="M70"/>
  <c r="K70"/>
  <c r="I70"/>
  <c r="AB69"/>
  <c r="M69"/>
  <c r="K69"/>
  <c r="I69"/>
  <c r="AB68"/>
  <c r="M68"/>
  <c r="K68"/>
  <c r="I68"/>
  <c r="AB67"/>
  <c r="M67"/>
  <c r="K67"/>
  <c r="I67"/>
  <c r="AB66"/>
  <c r="M66"/>
  <c r="K66"/>
  <c r="I66"/>
  <c r="D65"/>
  <c r="AB64"/>
  <c r="AB60"/>
  <c r="M60"/>
  <c r="K60"/>
  <c r="I60"/>
  <c r="AB59"/>
  <c r="M59"/>
  <c r="K59"/>
  <c r="I59"/>
  <c r="AB58"/>
  <c r="M58"/>
  <c r="K58"/>
  <c r="I58"/>
  <c r="AB57"/>
  <c r="M57"/>
  <c r="K57"/>
  <c r="I57"/>
  <c r="AB56"/>
  <c r="M56"/>
  <c r="K56"/>
  <c r="I56"/>
  <c r="AB55"/>
  <c r="M55"/>
  <c r="K55"/>
  <c r="I55"/>
  <c r="AB54"/>
  <c r="M54"/>
  <c r="K54"/>
  <c r="I54"/>
  <c r="AB53"/>
  <c r="M53"/>
  <c r="K53"/>
  <c r="I53"/>
  <c r="AB52"/>
  <c r="M52"/>
  <c r="K52"/>
  <c r="I52"/>
  <c r="AB51"/>
  <c r="M51"/>
  <c r="K51"/>
  <c r="I51"/>
  <c r="AB50"/>
  <c r="M50"/>
  <c r="K50"/>
  <c r="I50"/>
  <c r="M49"/>
  <c r="AB49"/>
  <c r="AB45"/>
  <c r="M45"/>
  <c r="K45"/>
  <c r="I45"/>
  <c r="AB44"/>
  <c r="M44"/>
  <c r="K44"/>
  <c r="I44"/>
  <c r="AB43"/>
  <c r="M43"/>
  <c r="K43"/>
  <c r="I43"/>
  <c r="AB42"/>
  <c r="M42"/>
  <c r="K42"/>
  <c r="I42"/>
  <c r="AB41"/>
  <c r="M41"/>
  <c r="K41"/>
  <c r="I41"/>
  <c r="AB40"/>
  <c r="M40"/>
  <c r="K40"/>
  <c r="I40"/>
  <c r="AB39"/>
  <c r="M39"/>
  <c r="K39"/>
  <c r="I39"/>
  <c r="AB38"/>
  <c r="M38"/>
  <c r="K38"/>
  <c r="I38"/>
  <c r="AB37"/>
  <c r="M37"/>
  <c r="K37"/>
  <c r="I37"/>
  <c r="AB36"/>
  <c r="M36"/>
  <c r="K36"/>
  <c r="I36"/>
  <c r="AB35"/>
  <c r="M35"/>
  <c r="K35"/>
  <c r="I35"/>
  <c r="K34"/>
  <c r="AB34"/>
  <c r="AB28"/>
  <c r="M28"/>
  <c r="K28"/>
  <c r="I28"/>
  <c r="AB27"/>
  <c r="M27"/>
  <c r="K27"/>
  <c r="I27"/>
  <c r="AB26"/>
  <c r="M26"/>
  <c r="K26"/>
  <c r="I26"/>
  <c r="AB25"/>
  <c r="M25"/>
  <c r="K25"/>
  <c r="I25"/>
  <c r="AB24"/>
  <c r="M24"/>
  <c r="K24"/>
  <c r="I24"/>
  <c r="AB23"/>
  <c r="M23"/>
  <c r="K23"/>
  <c r="I23"/>
  <c r="AB22"/>
  <c r="M22"/>
  <c r="K22"/>
  <c r="I22"/>
  <c r="AB21"/>
  <c r="M21"/>
  <c r="K21"/>
  <c r="I21"/>
  <c r="AB20"/>
  <c r="M20"/>
  <c r="K20"/>
  <c r="I20"/>
  <c r="AB19"/>
  <c r="M19"/>
  <c r="K19"/>
  <c r="I19"/>
  <c r="AB18"/>
  <c r="M18"/>
  <c r="K18"/>
  <c r="I18"/>
  <c r="AB17"/>
  <c r="M17"/>
  <c r="K17"/>
  <c r="I17"/>
  <c r="AB16"/>
  <c r="M16"/>
  <c r="K16"/>
  <c r="I16"/>
  <c r="AB15"/>
  <c r="M15"/>
  <c r="K15"/>
  <c r="I15"/>
  <c r="AB14"/>
  <c r="M14"/>
  <c r="K14"/>
  <c r="I14"/>
  <c r="AB13"/>
  <c r="M13"/>
  <c r="K13"/>
  <c r="I13"/>
  <c r="AB9"/>
  <c r="M9"/>
  <c r="K9"/>
  <c r="I9"/>
  <c r="M8"/>
  <c r="I8"/>
  <c r="AB5"/>
  <c r="M5"/>
  <c r="K5"/>
  <c r="I5"/>
  <c r="U5" i="8"/>
  <c r="T5"/>
  <c r="I160"/>
  <c r="H160"/>
  <c r="G135"/>
  <c r="G126"/>
  <c r="G110"/>
  <c r="G96"/>
  <c r="G86"/>
  <c r="G78"/>
  <c r="F78"/>
  <c r="G66"/>
  <c r="F66"/>
  <c r="G50"/>
  <c r="F50"/>
  <c r="G35"/>
  <c r="F35"/>
  <c r="G9"/>
  <c r="F9"/>
  <c r="G5"/>
  <c r="G13"/>
  <c r="F13"/>
  <c r="M51" i="9"/>
  <c r="BE142" i="8" l="1"/>
  <c r="AI68"/>
  <c r="AE28"/>
  <c r="AE24"/>
  <c r="AF122"/>
  <c r="AD130"/>
  <c r="AG142"/>
  <c r="AI151"/>
  <c r="AF157"/>
  <c r="BC113"/>
  <c r="AG123"/>
  <c r="BD67"/>
  <c r="AF70"/>
  <c r="AG71"/>
  <c r="AE79"/>
  <c r="AJ77"/>
  <c r="AG57"/>
  <c r="AI116"/>
  <c r="AH94"/>
  <c r="AF115"/>
  <c r="AF155"/>
  <c r="AQ96"/>
  <c r="AG54"/>
  <c r="AE111"/>
  <c r="AH25"/>
  <c r="W179"/>
  <c r="U227"/>
  <c r="AR111"/>
  <c r="R175"/>
  <c r="Z174"/>
  <c r="AM173"/>
  <c r="AM12"/>
  <c r="AM181" s="1"/>
  <c r="AM34"/>
  <c r="AM182" s="1"/>
  <c r="AM175"/>
  <c r="AG47"/>
  <c r="AE75"/>
  <c r="AS90"/>
  <c r="AU129"/>
  <c r="AW175"/>
  <c r="BC117"/>
  <c r="BC121"/>
  <c r="AY174"/>
  <c r="BI173"/>
  <c r="BK174"/>
  <c r="AM179"/>
  <c r="BA195"/>
  <c r="H161"/>
  <c r="AG43"/>
  <c r="AI133"/>
  <c r="BD70"/>
  <c r="AN195"/>
  <c r="AZ195"/>
  <c r="BC78"/>
  <c r="V211"/>
  <c r="AX195"/>
  <c r="BJ211"/>
  <c r="AG132"/>
  <c r="AF129"/>
  <c r="AF133"/>
  <c r="BC150"/>
  <c r="V227"/>
  <c r="AN227"/>
  <c r="M85" i="14"/>
  <c r="N160"/>
  <c r="N161" s="1"/>
  <c r="AI153" i="8"/>
  <c r="AI138"/>
  <c r="AI104"/>
  <c r="AC173"/>
  <c r="AO64"/>
  <c r="AO184" s="1"/>
  <c r="AO216" s="1"/>
  <c r="AI102"/>
  <c r="AI29"/>
  <c r="AI17"/>
  <c r="AI146"/>
  <c r="AI42"/>
  <c r="AI37"/>
  <c r="AI54"/>
  <c r="AI99"/>
  <c r="AU112"/>
  <c r="K85" i="13"/>
  <c r="L160"/>
  <c r="L161" s="1"/>
  <c r="AH51" i="8"/>
  <c r="AH63"/>
  <c r="AH92"/>
  <c r="AH100"/>
  <c r="AH130"/>
  <c r="AH148"/>
  <c r="AH156"/>
  <c r="BL8"/>
  <c r="BL180" s="1"/>
  <c r="BL212" s="1"/>
  <c r="BM228" s="1"/>
  <c r="BL85"/>
  <c r="BL186" s="1"/>
  <c r="BL218" s="1"/>
  <c r="BM234" s="1"/>
  <c r="BL134"/>
  <c r="BL190" s="1"/>
  <c r="BM206" s="1"/>
  <c r="AH62"/>
  <c r="AH112"/>
  <c r="AN49"/>
  <c r="AN183" s="1"/>
  <c r="AA173"/>
  <c r="I49" i="13"/>
  <c r="V173" i="8"/>
  <c r="K49" i="13"/>
  <c r="W173" i="8"/>
  <c r="T174"/>
  <c r="AM174"/>
  <c r="AZ64"/>
  <c r="BF64" s="1"/>
  <c r="BA175"/>
  <c r="BM173"/>
  <c r="BK175"/>
  <c r="I85" i="13"/>
  <c r="I125"/>
  <c r="K159" i="14"/>
  <c r="U175" i="8"/>
  <c r="AF46"/>
  <c r="AF88"/>
  <c r="AD103"/>
  <c r="AD112"/>
  <c r="AH131"/>
  <c r="U174"/>
  <c r="AI142"/>
  <c r="AF156"/>
  <c r="AG28"/>
  <c r="AL173"/>
  <c r="AN77"/>
  <c r="AN185" s="1"/>
  <c r="AO201" s="1"/>
  <c r="AN174"/>
  <c r="AY95"/>
  <c r="AY187" s="1"/>
  <c r="AU133"/>
  <c r="BD68"/>
  <c r="BC88"/>
  <c r="BD111"/>
  <c r="BL175"/>
  <c r="BD53"/>
  <c r="BH174"/>
  <c r="I77" i="13"/>
  <c r="U173" i="8"/>
  <c r="AC175"/>
  <c r="K77" i="13"/>
  <c r="AG66" i="8"/>
  <c r="AI71"/>
  <c r="AG113"/>
  <c r="AO77"/>
  <c r="AO185" s="1"/>
  <c r="AO217" s="1"/>
  <c r="AM85"/>
  <c r="AM186" s="1"/>
  <c r="AI90"/>
  <c r="BM175"/>
  <c r="BI174"/>
  <c r="AE123"/>
  <c r="I109" i="14"/>
  <c r="M34" i="13"/>
  <c r="V175" i="8"/>
  <c r="I109" i="13"/>
  <c r="T175" i="8"/>
  <c r="V174"/>
  <c r="AF15"/>
  <c r="AO173"/>
  <c r="AO174"/>
  <c r="AW174"/>
  <c r="T173"/>
  <c r="T176" s="1"/>
  <c r="I34" i="13"/>
  <c r="S175" i="8"/>
  <c r="W174"/>
  <c r="AB173"/>
  <c r="AG97"/>
  <c r="AN173"/>
  <c r="AL175"/>
  <c r="AT108"/>
  <c r="BC38"/>
  <c r="BD105"/>
  <c r="BD110"/>
  <c r="BD114"/>
  <c r="BC126"/>
  <c r="BC130"/>
  <c r="AX174"/>
  <c r="AE68"/>
  <c r="AU66"/>
  <c r="M85" i="13"/>
  <c r="AF53" i="8"/>
  <c r="AA174"/>
  <c r="AN175"/>
  <c r="AZ173"/>
  <c r="AZ174"/>
  <c r="BJ173"/>
  <c r="BK64"/>
  <c r="BK184" s="1"/>
  <c r="BI77"/>
  <c r="BL174"/>
  <c r="AE153"/>
  <c r="AI155"/>
  <c r="AE157"/>
  <c r="AA175"/>
  <c r="AB174"/>
  <c r="AO175"/>
  <c r="AE39"/>
  <c r="AE60"/>
  <c r="AE118"/>
  <c r="AK174"/>
  <c r="AS81"/>
  <c r="AT117"/>
  <c r="BG5"/>
  <c r="BA173"/>
  <c r="BE18"/>
  <c r="AY175"/>
  <c r="BE51"/>
  <c r="AY173"/>
  <c r="BC69"/>
  <c r="BC73"/>
  <c r="BC96"/>
  <c r="BA174"/>
  <c r="BK173"/>
  <c r="BI175"/>
  <c r="BM174"/>
  <c r="W175"/>
  <c r="AD59"/>
  <c r="AD66"/>
  <c r="AD70"/>
  <c r="AD79"/>
  <c r="AD108"/>
  <c r="S174"/>
  <c r="AB175"/>
  <c r="AC174"/>
  <c r="AD142"/>
  <c r="AL174"/>
  <c r="AL176" s="1"/>
  <c r="AS16"/>
  <c r="AU82"/>
  <c r="AS128"/>
  <c r="AZ175"/>
  <c r="BC42"/>
  <c r="BL173"/>
  <c r="BJ175"/>
  <c r="AO85"/>
  <c r="AO186" s="1"/>
  <c r="AO218" s="1"/>
  <c r="AN95"/>
  <c r="AN187" s="1"/>
  <c r="AN219" s="1"/>
  <c r="AO235" s="1"/>
  <c r="AH105"/>
  <c r="AF108"/>
  <c r="AR66"/>
  <c r="BD40"/>
  <c r="AE7"/>
  <c r="L63"/>
  <c r="CD63" s="1"/>
  <c r="AQ63"/>
  <c r="AE66"/>
  <c r="AI76"/>
  <c r="AG80"/>
  <c r="AE83"/>
  <c r="AF17"/>
  <c r="AH22"/>
  <c r="AF25"/>
  <c r="AH26"/>
  <c r="AF29"/>
  <c r="AH30"/>
  <c r="AK49"/>
  <c r="AE54"/>
  <c r="AO95"/>
  <c r="AO187" s="1"/>
  <c r="AO219" s="1"/>
  <c r="BJ85"/>
  <c r="BJ186" s="1"/>
  <c r="BI95"/>
  <c r="AH5"/>
  <c r="AT5"/>
  <c r="P18"/>
  <c r="CH18" s="1"/>
  <c r="O44"/>
  <c r="AH44"/>
  <c r="O57"/>
  <c r="CG57" s="1"/>
  <c r="AT57"/>
  <c r="K121"/>
  <c r="AD121"/>
  <c r="O136"/>
  <c r="CG136" s="1"/>
  <c r="AH136"/>
  <c r="N149"/>
  <c r="CF149" s="1"/>
  <c r="AS149"/>
  <c r="AM8"/>
  <c r="AM180" s="1"/>
  <c r="M83"/>
  <c r="AR83"/>
  <c r="K94"/>
  <c r="CC94" s="1"/>
  <c r="AD94"/>
  <c r="O110"/>
  <c r="CG110" s="1"/>
  <c r="AT110"/>
  <c r="M117"/>
  <c r="AF117"/>
  <c r="M126"/>
  <c r="AF126"/>
  <c r="K129"/>
  <c r="AP129"/>
  <c r="N141"/>
  <c r="CF141" s="1"/>
  <c r="AS141"/>
  <c r="AH97"/>
  <c r="AS42"/>
  <c r="AR100"/>
  <c r="AQ137"/>
  <c r="L37"/>
  <c r="CD37" s="1"/>
  <c r="AQ37"/>
  <c r="P43"/>
  <c r="CH43" s="1"/>
  <c r="AU43"/>
  <c r="L120"/>
  <c r="AQ120"/>
  <c r="AS46"/>
  <c r="AI32"/>
  <c r="AI24"/>
  <c r="AQ18"/>
  <c r="AI16"/>
  <c r="AG15"/>
  <c r="O150"/>
  <c r="CG150" s="1"/>
  <c r="AT150"/>
  <c r="AF43"/>
  <c r="AG135"/>
  <c r="AO34"/>
  <c r="AO182" s="1"/>
  <c r="AO214" s="1"/>
  <c r="AR152"/>
  <c r="BC135"/>
  <c r="AG152"/>
  <c r="AG41"/>
  <c r="AT53"/>
  <c r="BD15"/>
  <c r="BB18"/>
  <c r="BD19"/>
  <c r="BD23"/>
  <c r="BD27"/>
  <c r="BC54"/>
  <c r="BE58"/>
  <c r="BH34"/>
  <c r="AF152"/>
  <c r="AI39"/>
  <c r="AI60"/>
  <c r="AE62"/>
  <c r="BC14"/>
  <c r="AW34"/>
  <c r="BC34" s="1"/>
  <c r="BC18"/>
  <c r="BD44"/>
  <c r="BC70"/>
  <c r="AG102"/>
  <c r="AG149"/>
  <c r="AT61"/>
  <c r="BL12"/>
  <c r="BL49"/>
  <c r="BL183" s="1"/>
  <c r="BM199" s="1"/>
  <c r="AG90"/>
  <c r="AH144"/>
  <c r="AU78"/>
  <c r="BD36"/>
  <c r="BC52"/>
  <c r="BE59"/>
  <c r="BK85"/>
  <c r="BK186" s="1"/>
  <c r="BL202" s="1"/>
  <c r="BC89"/>
  <c r="BL109"/>
  <c r="BL188" s="1"/>
  <c r="BM204" s="1"/>
  <c r="BD102"/>
  <c r="BI159"/>
  <c r="BK166"/>
  <c r="AD18"/>
  <c r="AE53"/>
  <c r="AG58"/>
  <c r="AG62"/>
  <c r="AG94"/>
  <c r="AI117"/>
  <c r="AG119"/>
  <c r="AE43"/>
  <c r="AG42"/>
  <c r="AI43"/>
  <c r="AH61"/>
  <c r="AF74"/>
  <c r="AD78"/>
  <c r="AF79"/>
  <c r="AH80"/>
  <c r="AD82"/>
  <c r="AF83"/>
  <c r="AK95"/>
  <c r="AE106"/>
  <c r="AI108"/>
  <c r="AK125"/>
  <c r="AG112"/>
  <c r="AK134"/>
  <c r="AM134"/>
  <c r="AM190" s="1"/>
  <c r="AM222" s="1"/>
  <c r="AN238" s="1"/>
  <c r="AG131"/>
  <c r="AL159"/>
  <c r="AG138"/>
  <c r="AF145"/>
  <c r="AE148"/>
  <c r="AI154"/>
  <c r="AG157"/>
  <c r="AS119"/>
  <c r="BI12"/>
  <c r="BM134"/>
  <c r="BM190" s="1"/>
  <c r="BM222" s="1"/>
  <c r="AR44"/>
  <c r="AD118"/>
  <c r="AG143"/>
  <c r="AG151"/>
  <c r="AD157"/>
  <c r="AI78"/>
  <c r="AK12"/>
  <c r="AE41"/>
  <c r="AF56"/>
  <c r="AL109"/>
  <c r="AF100"/>
  <c r="AS58"/>
  <c r="AQ89"/>
  <c r="AU103"/>
  <c r="AR143"/>
  <c r="BL34"/>
  <c r="BL182" s="1"/>
  <c r="BM198" s="1"/>
  <c r="BJ49"/>
  <c r="BJ183" s="1"/>
  <c r="BJ215" s="1"/>
  <c r="BK231" s="1"/>
  <c r="BM95"/>
  <c r="BM187" s="1"/>
  <c r="BM219" s="1"/>
  <c r="BI125"/>
  <c r="BH134"/>
  <c r="N158"/>
  <c r="CF158" s="1"/>
  <c r="AG48"/>
  <c r="AI124"/>
  <c r="AE52"/>
  <c r="AT45"/>
  <c r="AT120"/>
  <c r="BE56"/>
  <c r="BC86"/>
  <c r="BD89"/>
  <c r="BK12"/>
  <c r="BI34"/>
  <c r="BM34"/>
  <c r="BM182" s="1"/>
  <c r="BM214" s="1"/>
  <c r="BK167"/>
  <c r="BK49"/>
  <c r="BK183" s="1"/>
  <c r="BL199" s="1"/>
  <c r="BI64"/>
  <c r="BL64"/>
  <c r="BL184" s="1"/>
  <c r="BL216" s="1"/>
  <c r="BM232" s="1"/>
  <c r="BD56"/>
  <c r="BE60"/>
  <c r="BL77"/>
  <c r="BL185" s="1"/>
  <c r="BL217" s="1"/>
  <c r="BM233" s="1"/>
  <c r="BI85"/>
  <c r="BK109"/>
  <c r="BK188" s="1"/>
  <c r="BL204" s="1"/>
  <c r="BJ125"/>
  <c r="BJ189" s="1"/>
  <c r="BC127"/>
  <c r="BL179"/>
  <c r="U179"/>
  <c r="AZ227"/>
  <c r="BK179"/>
  <c r="BJ244"/>
  <c r="I161"/>
  <c r="V179"/>
  <c r="V195"/>
  <c r="BJ179"/>
  <c r="BK244"/>
  <c r="BA227"/>
  <c r="AA195"/>
  <c r="BL244"/>
  <c r="W211"/>
  <c r="AO195"/>
  <c r="AX179"/>
  <c r="BK211"/>
  <c r="AB195"/>
  <c r="W227"/>
  <c r="U244"/>
  <c r="AN179"/>
  <c r="AM211"/>
  <c r="AM244"/>
  <c r="AY179"/>
  <c r="AX211"/>
  <c r="AY244"/>
  <c r="BL211"/>
  <c r="BM244"/>
  <c r="AA179"/>
  <c r="AC227"/>
  <c r="AA244"/>
  <c r="AY227"/>
  <c r="AB179"/>
  <c r="W195"/>
  <c r="U211"/>
  <c r="AB227"/>
  <c r="AM195"/>
  <c r="AY195"/>
  <c r="BM195"/>
  <c r="BM227"/>
  <c r="AC244"/>
  <c r="AB244"/>
  <c r="AC179"/>
  <c r="AC211"/>
  <c r="BA244"/>
  <c r="BL195"/>
  <c r="AO211"/>
  <c r="AO244"/>
  <c r="AZ211"/>
  <c r="BK195"/>
  <c r="AA227"/>
  <c r="AN211"/>
  <c r="AZ179"/>
  <c r="BJ195"/>
  <c r="O11"/>
  <c r="CG11" s="1"/>
  <c r="AT11"/>
  <c r="AH11"/>
  <c r="L30"/>
  <c r="CD30" s="1"/>
  <c r="AG23"/>
  <c r="N23"/>
  <c r="CF23" s="1"/>
  <c r="N19"/>
  <c r="CF19" s="1"/>
  <c r="AG19"/>
  <c r="O39"/>
  <c r="CG39" s="1"/>
  <c r="AT39"/>
  <c r="O52"/>
  <c r="CG52" s="1"/>
  <c r="AT52"/>
  <c r="M59"/>
  <c r="CE59" s="1"/>
  <c r="P140"/>
  <c r="CH140" s="1"/>
  <c r="AU140"/>
  <c r="L146"/>
  <c r="AQ146"/>
  <c r="AM125"/>
  <c r="AM189" s="1"/>
  <c r="N5"/>
  <c r="CF5" s="1"/>
  <c r="AS5"/>
  <c r="I134" i="14"/>
  <c r="M6" i="8"/>
  <c r="CE6" s="1"/>
  <c r="AF6"/>
  <c r="O7"/>
  <c r="CG7" s="1"/>
  <c r="AT7"/>
  <c r="M11"/>
  <c r="CE11" s="1"/>
  <c r="AR11"/>
  <c r="O13"/>
  <c r="CG13" s="1"/>
  <c r="AT13"/>
  <c r="P31"/>
  <c r="CH31" s="1"/>
  <c r="AU31"/>
  <c r="AI31"/>
  <c r="N30"/>
  <c r="CF30" s="1"/>
  <c r="AS30"/>
  <c r="AG30"/>
  <c r="L29"/>
  <c r="CD29" s="1"/>
  <c r="AQ29"/>
  <c r="AE29"/>
  <c r="P27"/>
  <c r="CH27" s="1"/>
  <c r="AU27"/>
  <c r="AI27"/>
  <c r="N26"/>
  <c r="CF26" s="1"/>
  <c r="AS26"/>
  <c r="L25"/>
  <c r="CD25" s="1"/>
  <c r="AQ25"/>
  <c r="AE25"/>
  <c r="P23"/>
  <c r="CH23" s="1"/>
  <c r="AI23"/>
  <c r="AU23"/>
  <c r="N22"/>
  <c r="CF22" s="1"/>
  <c r="AS22"/>
  <c r="L21"/>
  <c r="CD21" s="1"/>
  <c r="AQ21"/>
  <c r="P19"/>
  <c r="CH19" s="1"/>
  <c r="AU19"/>
  <c r="N18"/>
  <c r="CF18" s="1"/>
  <c r="AG18"/>
  <c r="AS18"/>
  <c r="L17"/>
  <c r="CD17" s="1"/>
  <c r="AQ17"/>
  <c r="AE17"/>
  <c r="P15"/>
  <c r="CH15" s="1"/>
  <c r="AI15"/>
  <c r="M33"/>
  <c r="CE33" s="1"/>
  <c r="M67"/>
  <c r="CE67" s="1"/>
  <c r="AR67"/>
  <c r="AF67"/>
  <c r="O68"/>
  <c r="CG68" s="1"/>
  <c r="AT68"/>
  <c r="AH68"/>
  <c r="M71"/>
  <c r="CE71" s="1"/>
  <c r="AT72"/>
  <c r="AH72"/>
  <c r="O72"/>
  <c r="CG72" s="1"/>
  <c r="M75"/>
  <c r="CE75" s="1"/>
  <c r="AR75"/>
  <c r="O76"/>
  <c r="CG76" s="1"/>
  <c r="AT76"/>
  <c r="AH76"/>
  <c r="M80"/>
  <c r="AR80"/>
  <c r="O81"/>
  <c r="CG81" s="1"/>
  <c r="AH81"/>
  <c r="AT81"/>
  <c r="K83"/>
  <c r="AP83"/>
  <c r="M84"/>
  <c r="AR84"/>
  <c r="AF84"/>
  <c r="M89"/>
  <c r="AR89"/>
  <c r="O90"/>
  <c r="CG90" s="1"/>
  <c r="AT90"/>
  <c r="AH90"/>
  <c r="M97"/>
  <c r="AF97"/>
  <c r="O98"/>
  <c r="CG98" s="1"/>
  <c r="AT98"/>
  <c r="AH98"/>
  <c r="M101"/>
  <c r="AF101"/>
  <c r="O102"/>
  <c r="CG102" s="1"/>
  <c r="AT102"/>
  <c r="AH102"/>
  <c r="M105"/>
  <c r="AF105"/>
  <c r="O106"/>
  <c r="CG106" s="1"/>
  <c r="AT106"/>
  <c r="M110"/>
  <c r="AR110"/>
  <c r="O111"/>
  <c r="AH111"/>
  <c r="AT111"/>
  <c r="M114"/>
  <c r="AR114"/>
  <c r="AF114"/>
  <c r="O115"/>
  <c r="CG115" s="1"/>
  <c r="AT115"/>
  <c r="AH115"/>
  <c r="AD117"/>
  <c r="M118"/>
  <c r="AF118"/>
  <c r="AR118"/>
  <c r="O119"/>
  <c r="CG119" s="1"/>
  <c r="AH119"/>
  <c r="AT119"/>
  <c r="M122"/>
  <c r="CE122" s="1"/>
  <c r="AR122"/>
  <c r="O123"/>
  <c r="CG123" s="1"/>
  <c r="AH123"/>
  <c r="M127"/>
  <c r="AR127"/>
  <c r="O128"/>
  <c r="CG128" s="1"/>
  <c r="AT128"/>
  <c r="AH128"/>
  <c r="M131"/>
  <c r="CE131" s="1"/>
  <c r="AR131"/>
  <c r="AF131"/>
  <c r="O132"/>
  <c r="CG132" s="1"/>
  <c r="AT132"/>
  <c r="AH132"/>
  <c r="M136"/>
  <c r="AR136"/>
  <c r="AF136"/>
  <c r="O137"/>
  <c r="CG137" s="1"/>
  <c r="AT137"/>
  <c r="AH137"/>
  <c r="L139"/>
  <c r="AE139"/>
  <c r="AQ139"/>
  <c r="N140"/>
  <c r="CF140" s="1"/>
  <c r="AG140"/>
  <c r="P141"/>
  <c r="CH141" s="1"/>
  <c r="AU141"/>
  <c r="AI141"/>
  <c r="L143"/>
  <c r="AQ143"/>
  <c r="N144"/>
  <c r="CF144" s="1"/>
  <c r="AS144"/>
  <c r="AG144"/>
  <c r="P145"/>
  <c r="CH145" s="1"/>
  <c r="AU145"/>
  <c r="L147"/>
  <c r="AE147"/>
  <c r="N148"/>
  <c r="CF148" s="1"/>
  <c r="AS148"/>
  <c r="AG148"/>
  <c r="AF75"/>
  <c r="AH7"/>
  <c r="AH86"/>
  <c r="AH93"/>
  <c r="AR6"/>
  <c r="AR33"/>
  <c r="AT47"/>
  <c r="AU71"/>
  <c r="AU79"/>
  <c r="AS87"/>
  <c r="AT93"/>
  <c r="AU152"/>
  <c r="AX159"/>
  <c r="AX166"/>
  <c r="BD135"/>
  <c r="K8" i="13"/>
  <c r="K34" i="14"/>
  <c r="K85"/>
  <c r="M159"/>
  <c r="N6" i="8"/>
  <c r="AS6"/>
  <c r="AG6"/>
  <c r="P7"/>
  <c r="CH7" s="1"/>
  <c r="AU7"/>
  <c r="AI7"/>
  <c r="L10"/>
  <c r="CD10" s="1"/>
  <c r="AQ10"/>
  <c r="AE10"/>
  <c r="N11"/>
  <c r="CF11" s="1"/>
  <c r="P13"/>
  <c r="CH13" s="1"/>
  <c r="AU13"/>
  <c r="O31"/>
  <c r="CG31" s="1"/>
  <c r="AH31"/>
  <c r="AT31"/>
  <c r="M30"/>
  <c r="CE30" s="1"/>
  <c r="AR30"/>
  <c r="AF30"/>
  <c r="O27"/>
  <c r="CG27" s="1"/>
  <c r="AT27"/>
  <c r="AH27"/>
  <c r="N35"/>
  <c r="CF35" s="1"/>
  <c r="AS35"/>
  <c r="AG35"/>
  <c r="P36"/>
  <c r="CH36" s="1"/>
  <c r="AU36"/>
  <c r="AI36"/>
  <c r="L38"/>
  <c r="AQ38"/>
  <c r="AE38"/>
  <c r="P40"/>
  <c r="CH40" s="1"/>
  <c r="AI40"/>
  <c r="L42"/>
  <c r="CD42" s="1"/>
  <c r="AQ42"/>
  <c r="N43"/>
  <c r="CF43" s="1"/>
  <c r="AS43"/>
  <c r="P44"/>
  <c r="CH44" s="1"/>
  <c r="AU44"/>
  <c r="AI44"/>
  <c r="L46"/>
  <c r="CD46" s="1"/>
  <c r="AE46"/>
  <c r="AQ46"/>
  <c r="N47"/>
  <c r="CF47" s="1"/>
  <c r="AS47"/>
  <c r="P48"/>
  <c r="CH48" s="1"/>
  <c r="AU48"/>
  <c r="AI48"/>
  <c r="L51"/>
  <c r="CD51" s="1"/>
  <c r="AE51"/>
  <c r="N52"/>
  <c r="CF52" s="1"/>
  <c r="AS52"/>
  <c r="P53"/>
  <c r="CH53" s="1"/>
  <c r="AU53"/>
  <c r="L55"/>
  <c r="CD55" s="1"/>
  <c r="AE55"/>
  <c r="N56"/>
  <c r="AS56"/>
  <c r="AG56"/>
  <c r="P57"/>
  <c r="CH57" s="1"/>
  <c r="AU57"/>
  <c r="L59"/>
  <c r="CD59" s="1"/>
  <c r="AE59"/>
  <c r="N60"/>
  <c r="CF60" s="1"/>
  <c r="AS60"/>
  <c r="AG60"/>
  <c r="P61"/>
  <c r="CH61" s="1"/>
  <c r="AU61"/>
  <c r="AI61"/>
  <c r="L66"/>
  <c r="AQ66"/>
  <c r="N67"/>
  <c r="CF67" s="1"/>
  <c r="AG67"/>
  <c r="AS67"/>
  <c r="P68"/>
  <c r="CH68" s="1"/>
  <c r="AU68"/>
  <c r="L70"/>
  <c r="CD70" s="1"/>
  <c r="AQ70"/>
  <c r="N71"/>
  <c r="CF71" s="1"/>
  <c r="AS71"/>
  <c r="P72"/>
  <c r="CH72" s="1"/>
  <c r="AU72"/>
  <c r="L74"/>
  <c r="CD74" s="1"/>
  <c r="AQ74"/>
  <c r="N75"/>
  <c r="CF75" s="1"/>
  <c r="AS75"/>
  <c r="P76"/>
  <c r="CH76" s="1"/>
  <c r="AU76"/>
  <c r="L79"/>
  <c r="AQ79"/>
  <c r="N80"/>
  <c r="CF80" s="1"/>
  <c r="AS80"/>
  <c r="P81"/>
  <c r="CH81" s="1"/>
  <c r="AU81"/>
  <c r="L83"/>
  <c r="AQ83"/>
  <c r="N84"/>
  <c r="CF84" s="1"/>
  <c r="AS84"/>
  <c r="P86"/>
  <c r="AU86"/>
  <c r="AI86"/>
  <c r="L88"/>
  <c r="AQ88"/>
  <c r="AE88"/>
  <c r="N89"/>
  <c r="CF89" s="1"/>
  <c r="AS89"/>
  <c r="AG89"/>
  <c r="P90"/>
  <c r="CH90" s="1"/>
  <c r="AU90"/>
  <c r="L150"/>
  <c r="AQ150"/>
  <c r="N92"/>
  <c r="CF92" s="1"/>
  <c r="AS92"/>
  <c r="P93"/>
  <c r="CH93" s="1"/>
  <c r="AU93"/>
  <c r="AI93"/>
  <c r="L96"/>
  <c r="P98"/>
  <c r="CH98" s="1"/>
  <c r="AU98"/>
  <c r="L100"/>
  <c r="AQ100"/>
  <c r="N101"/>
  <c r="CF101" s="1"/>
  <c r="AG101"/>
  <c r="P102"/>
  <c r="CH102" s="1"/>
  <c r="AU102"/>
  <c r="L104"/>
  <c r="AQ104"/>
  <c r="N105"/>
  <c r="CF105" s="1"/>
  <c r="AG105"/>
  <c r="AS105"/>
  <c r="P106"/>
  <c r="CH106" s="1"/>
  <c r="AI106"/>
  <c r="L108"/>
  <c r="CD108" s="1"/>
  <c r="AE108"/>
  <c r="N110"/>
  <c r="AS110"/>
  <c r="P111"/>
  <c r="CH111" s="1"/>
  <c r="AU111"/>
  <c r="AI111"/>
  <c r="L113"/>
  <c r="AQ113"/>
  <c r="N114"/>
  <c r="CF114" s="1"/>
  <c r="AS114"/>
  <c r="P115"/>
  <c r="CH115" s="1"/>
  <c r="AI115"/>
  <c r="L117"/>
  <c r="AE117"/>
  <c r="AQ117"/>
  <c r="N118"/>
  <c r="CF118" s="1"/>
  <c r="AS118"/>
  <c r="P119"/>
  <c r="CH119" s="1"/>
  <c r="AU119"/>
  <c r="AI119"/>
  <c r="L121"/>
  <c r="AE121"/>
  <c r="AQ121"/>
  <c r="N122"/>
  <c r="CF122" s="1"/>
  <c r="AS122"/>
  <c r="P123"/>
  <c r="CH123" s="1"/>
  <c r="AU123"/>
  <c r="AI123"/>
  <c r="L126"/>
  <c r="AQ126"/>
  <c r="AE126"/>
  <c r="N127"/>
  <c r="CF127" s="1"/>
  <c r="AG127"/>
  <c r="P128"/>
  <c r="CH128" s="1"/>
  <c r="AU128"/>
  <c r="L130"/>
  <c r="AQ130"/>
  <c r="AE130"/>
  <c r="N131"/>
  <c r="CF131" s="1"/>
  <c r="AS131"/>
  <c r="P132"/>
  <c r="CH132" s="1"/>
  <c r="AU132"/>
  <c r="AI132"/>
  <c r="L135"/>
  <c r="AQ135"/>
  <c r="N136"/>
  <c r="CF136" s="1"/>
  <c r="AG136"/>
  <c r="P137"/>
  <c r="CH137" s="1"/>
  <c r="AU137"/>
  <c r="L151"/>
  <c r="AE151"/>
  <c r="N152"/>
  <c r="CF152" s="1"/>
  <c r="AS152"/>
  <c r="P153"/>
  <c r="CH153" s="1"/>
  <c r="AU153"/>
  <c r="L155"/>
  <c r="CD155" s="1"/>
  <c r="AE155"/>
  <c r="N156"/>
  <c r="CF156" s="1"/>
  <c r="AG156"/>
  <c r="AS156"/>
  <c r="AU157"/>
  <c r="P157"/>
  <c r="CH157" s="1"/>
  <c r="AI157"/>
  <c r="AF11"/>
  <c r="AF80"/>
  <c r="AI53"/>
  <c r="AG70"/>
  <c r="AG87"/>
  <c r="AE21"/>
  <c r="AE42"/>
  <c r="AE63"/>
  <c r="AD83"/>
  <c r="AE104"/>
  <c r="AE120"/>
  <c r="AE143"/>
  <c r="AO165"/>
  <c r="AO8"/>
  <c r="AO180" s="1"/>
  <c r="AL49"/>
  <c r="AF38"/>
  <c r="AH56"/>
  <c r="AF59"/>
  <c r="AI66"/>
  <c r="AG69"/>
  <c r="AG73"/>
  <c r="AI74"/>
  <c r="AG78"/>
  <c r="AI79"/>
  <c r="AE81"/>
  <c r="AG82"/>
  <c r="AI83"/>
  <c r="AL95"/>
  <c r="AM109"/>
  <c r="AM188" s="1"/>
  <c r="BA8"/>
  <c r="AO109"/>
  <c r="AO188" s="1"/>
  <c r="AO220" s="1"/>
  <c r="AT14"/>
  <c r="AS127"/>
  <c r="AS136"/>
  <c r="AQ145"/>
  <c r="AQ155"/>
  <c r="BD7"/>
  <c r="AZ12"/>
  <c r="BF9"/>
  <c r="AR13"/>
  <c r="AZ34"/>
  <c r="BF14"/>
  <c r="AR17"/>
  <c r="BD17"/>
  <c r="AZ167"/>
  <c r="BF18"/>
  <c r="AR21"/>
  <c r="AR25"/>
  <c r="AY49"/>
  <c r="BE37"/>
  <c r="BC50"/>
  <c r="AW64"/>
  <c r="AZ77"/>
  <c r="BF66"/>
  <c r="AR69"/>
  <c r="BD69"/>
  <c r="AR73"/>
  <c r="AR78"/>
  <c r="BD78"/>
  <c r="BF79"/>
  <c r="AZ85"/>
  <c r="N31"/>
  <c r="CF31" s="1"/>
  <c r="N27"/>
  <c r="CF27" s="1"/>
  <c r="AG27"/>
  <c r="AS27"/>
  <c r="L22"/>
  <c r="CD22" s="1"/>
  <c r="N15"/>
  <c r="CF15" s="1"/>
  <c r="AS15"/>
  <c r="O43"/>
  <c r="CG43" s="1"/>
  <c r="AT43"/>
  <c r="M46"/>
  <c r="CE46" s="1"/>
  <c r="AR46"/>
  <c r="M51"/>
  <c r="M63"/>
  <c r="CE63" s="1"/>
  <c r="AR63"/>
  <c r="N139"/>
  <c r="CF139" s="1"/>
  <c r="AS139"/>
  <c r="P144"/>
  <c r="CH144" s="1"/>
  <c r="AI144"/>
  <c r="AU144"/>
  <c r="AT35"/>
  <c r="AB65" i="13"/>
  <c r="AB85"/>
  <c r="M34" i="14"/>
  <c r="P6" i="8"/>
  <c r="CH6" s="1"/>
  <c r="AU6"/>
  <c r="AI6"/>
  <c r="L14"/>
  <c r="CD14" s="1"/>
  <c r="AQ14"/>
  <c r="O20"/>
  <c r="CG20" s="1"/>
  <c r="AT20"/>
  <c r="M15"/>
  <c r="L69"/>
  <c r="CD69" s="1"/>
  <c r="AQ69"/>
  <c r="AE69"/>
  <c r="N88"/>
  <c r="CF88" s="1"/>
  <c r="AS88"/>
  <c r="N150"/>
  <c r="CF150" s="1"/>
  <c r="AS150"/>
  <c r="AG150"/>
  <c r="N96"/>
  <c r="AS96"/>
  <c r="AG96"/>
  <c r="N100"/>
  <c r="CF100" s="1"/>
  <c r="AS100"/>
  <c r="AG100"/>
  <c r="P101"/>
  <c r="CH101" s="1"/>
  <c r="AU101"/>
  <c r="P105"/>
  <c r="CH105" s="1"/>
  <c r="AU105"/>
  <c r="AI105"/>
  <c r="L107"/>
  <c r="CD107" s="1"/>
  <c r="AQ107"/>
  <c r="N108"/>
  <c r="CF108" s="1"/>
  <c r="AG108"/>
  <c r="AS108"/>
  <c r="P110"/>
  <c r="AU110"/>
  <c r="L116"/>
  <c r="AQ116"/>
  <c r="L124"/>
  <c r="CD124" s="1"/>
  <c r="AQ124"/>
  <c r="AE124"/>
  <c r="P127"/>
  <c r="CH127" s="1"/>
  <c r="AU127"/>
  <c r="L129"/>
  <c r="AQ129"/>
  <c r="N130"/>
  <c r="CF130" s="1"/>
  <c r="AG130"/>
  <c r="AS130"/>
  <c r="P131"/>
  <c r="CH131" s="1"/>
  <c r="AI131"/>
  <c r="N135"/>
  <c r="AS135"/>
  <c r="P136"/>
  <c r="CH136" s="1"/>
  <c r="AU136"/>
  <c r="AI136"/>
  <c r="M138"/>
  <c r="AR138"/>
  <c r="O139"/>
  <c r="CG139" s="1"/>
  <c r="AT139"/>
  <c r="L149"/>
  <c r="AQ149"/>
  <c r="N151"/>
  <c r="CF151" s="1"/>
  <c r="AS151"/>
  <c r="L154"/>
  <c r="CD154" s="1"/>
  <c r="AQ154"/>
  <c r="N155"/>
  <c r="CF155" s="1"/>
  <c r="AS155"/>
  <c r="AG26"/>
  <c r="AG88"/>
  <c r="AI110"/>
  <c r="AI127"/>
  <c r="AE107"/>
  <c r="AE146"/>
  <c r="AN215"/>
  <c r="AO231" s="1"/>
  <c r="AO199"/>
  <c r="AU15"/>
  <c r="AQ112"/>
  <c r="AQ138"/>
  <c r="AU156"/>
  <c r="AY109"/>
  <c r="BE98"/>
  <c r="AZ134"/>
  <c r="BF126"/>
  <c r="AX134"/>
  <c r="BD129"/>
  <c r="BA159"/>
  <c r="BA166"/>
  <c r="BG135"/>
  <c r="BC139"/>
  <c r="AW159"/>
  <c r="M77" i="13"/>
  <c r="K159"/>
  <c r="K49" i="14"/>
  <c r="M77"/>
  <c r="M37" i="8"/>
  <c r="CE37" s="1"/>
  <c r="AR37"/>
  <c r="O38"/>
  <c r="CG38" s="1"/>
  <c r="M41"/>
  <c r="CE41" s="1"/>
  <c r="AR41"/>
  <c r="O42"/>
  <c r="CG42" s="1"/>
  <c r="AT42"/>
  <c r="M45"/>
  <c r="CE45" s="1"/>
  <c r="AR45"/>
  <c r="AF45"/>
  <c r="O46"/>
  <c r="CG46" s="1"/>
  <c r="AT46"/>
  <c r="K48"/>
  <c r="CC48" s="1"/>
  <c r="AD48"/>
  <c r="M50"/>
  <c r="CE50" s="1"/>
  <c r="AR50"/>
  <c r="AT51"/>
  <c r="O51"/>
  <c r="CG51" s="1"/>
  <c r="M54"/>
  <c r="CE54" s="1"/>
  <c r="AF54"/>
  <c r="O55"/>
  <c r="CG55" s="1"/>
  <c r="AH55"/>
  <c r="K57"/>
  <c r="CC57" s="1"/>
  <c r="AP57"/>
  <c r="M58"/>
  <c r="CE58" s="1"/>
  <c r="AR58"/>
  <c r="O59"/>
  <c r="CG59" s="1"/>
  <c r="AT59"/>
  <c r="AH59"/>
  <c r="M62"/>
  <c r="CE62" s="1"/>
  <c r="O63"/>
  <c r="CG63" s="1"/>
  <c r="AT63"/>
  <c r="O66"/>
  <c r="AT66"/>
  <c r="O70"/>
  <c r="CG70" s="1"/>
  <c r="AT70"/>
  <c r="O74"/>
  <c r="CG74" s="1"/>
  <c r="AT74"/>
  <c r="O79"/>
  <c r="CG79" s="1"/>
  <c r="AT79"/>
  <c r="M82"/>
  <c r="AR82"/>
  <c r="O83"/>
  <c r="CG83" s="1"/>
  <c r="AT83"/>
  <c r="O88"/>
  <c r="CG88" s="1"/>
  <c r="AT88"/>
  <c r="M91"/>
  <c r="AR91"/>
  <c r="M94"/>
  <c r="CE94" s="1"/>
  <c r="AR94"/>
  <c r="O96"/>
  <c r="AT96"/>
  <c r="O100"/>
  <c r="CG100" s="1"/>
  <c r="AT100"/>
  <c r="M103"/>
  <c r="AR103"/>
  <c r="O104"/>
  <c r="CG104" s="1"/>
  <c r="AT104"/>
  <c r="O113"/>
  <c r="CG113" s="1"/>
  <c r="AT113"/>
  <c r="M120"/>
  <c r="AR120"/>
  <c r="O121"/>
  <c r="CG121" s="1"/>
  <c r="AT121"/>
  <c r="M124"/>
  <c r="CE124" s="1"/>
  <c r="AR124"/>
  <c r="O126"/>
  <c r="AT126"/>
  <c r="M129"/>
  <c r="AR129"/>
  <c r="O130"/>
  <c r="CG130" s="1"/>
  <c r="AT130"/>
  <c r="K132"/>
  <c r="CC132" s="1"/>
  <c r="AP132"/>
  <c r="O135"/>
  <c r="AT135"/>
  <c r="N138"/>
  <c r="CF138" s="1"/>
  <c r="AS138"/>
  <c r="P139"/>
  <c r="CH139" s="1"/>
  <c r="AU139"/>
  <c r="L141"/>
  <c r="AQ141"/>
  <c r="N142"/>
  <c r="CF142" s="1"/>
  <c r="AS142"/>
  <c r="P143"/>
  <c r="CH143" s="1"/>
  <c r="AU143"/>
  <c r="N146"/>
  <c r="CF146" s="1"/>
  <c r="AS146"/>
  <c r="P147"/>
  <c r="CH147" s="1"/>
  <c r="AU147"/>
  <c r="M149"/>
  <c r="AR149"/>
  <c r="AF149"/>
  <c r="AT151"/>
  <c r="O151"/>
  <c r="CG151" s="1"/>
  <c r="AH151"/>
  <c r="M154"/>
  <c r="CE154" s="1"/>
  <c r="AR154"/>
  <c r="AT155"/>
  <c r="O155"/>
  <c r="CG155" s="1"/>
  <c r="AH155"/>
  <c r="M158"/>
  <c r="CE158" s="1"/>
  <c r="AR158"/>
  <c r="AF158"/>
  <c r="AF58"/>
  <c r="AF92"/>
  <c r="AF127"/>
  <c r="AG11"/>
  <c r="AI19"/>
  <c r="AI72"/>
  <c r="AI81"/>
  <c r="AH96"/>
  <c r="AH120"/>
  <c r="AI128"/>
  <c r="AI137"/>
  <c r="AI145"/>
  <c r="AE70"/>
  <c r="AE150"/>
  <c r="AE129"/>
  <c r="AF7"/>
  <c r="AH9"/>
  <c r="AN12"/>
  <c r="AF13"/>
  <c r="AL34"/>
  <c r="AH14"/>
  <c r="AH18"/>
  <c r="AN167"/>
  <c r="AF33"/>
  <c r="AI35"/>
  <c r="AO49"/>
  <c r="AH47"/>
  <c r="AE50"/>
  <c r="AK64"/>
  <c r="AF91"/>
  <c r="AI150"/>
  <c r="AE93"/>
  <c r="AH103"/>
  <c r="AL134"/>
  <c r="AS23"/>
  <c r="AQ30"/>
  <c r="AQ59"/>
  <c r="AS97"/>
  <c r="AR105"/>
  <c r="AS121"/>
  <c r="AQ147"/>
  <c r="AQ158"/>
  <c r="BA34"/>
  <c r="BG13"/>
  <c r="BG53"/>
  <c r="BA64"/>
  <c r="BG78"/>
  <c r="BA85"/>
  <c r="AW85"/>
  <c r="BC80"/>
  <c r="BG96"/>
  <c r="BA109"/>
  <c r="BC148"/>
  <c r="M132"/>
  <c r="CE132" s="1"/>
  <c r="AB125" i="13"/>
  <c r="O6" i="8"/>
  <c r="CG6" s="1"/>
  <c r="AT6"/>
  <c r="M10"/>
  <c r="CE10" s="1"/>
  <c r="AR10"/>
  <c r="AF10"/>
  <c r="P32"/>
  <c r="CH32" s="1"/>
  <c r="AU32"/>
  <c r="P28"/>
  <c r="CH28" s="1"/>
  <c r="P24"/>
  <c r="CH24" s="1"/>
  <c r="P20"/>
  <c r="CH20" s="1"/>
  <c r="AU20"/>
  <c r="P16"/>
  <c r="CH16" s="1"/>
  <c r="AU16"/>
  <c r="O33"/>
  <c r="CG33" s="1"/>
  <c r="AT33"/>
  <c r="O56"/>
  <c r="CG56" s="1"/>
  <c r="AT56"/>
  <c r="O60"/>
  <c r="CG60" s="1"/>
  <c r="AT60"/>
  <c r="L142"/>
  <c r="AE142"/>
  <c r="N147"/>
  <c r="CF147" s="1"/>
  <c r="AS147"/>
  <c r="AH33"/>
  <c r="AU28"/>
  <c r="M125" i="14"/>
  <c r="N10" i="8"/>
  <c r="CF10" s="1"/>
  <c r="AS10"/>
  <c r="AG10"/>
  <c r="M31"/>
  <c r="CE31" s="1"/>
  <c r="AR31"/>
  <c r="M27"/>
  <c r="CE27" s="1"/>
  <c r="AR27"/>
  <c r="AF27"/>
  <c r="M23"/>
  <c r="CE23" s="1"/>
  <c r="AR23"/>
  <c r="P67"/>
  <c r="AU67"/>
  <c r="P71"/>
  <c r="CH71" s="1"/>
  <c r="L73"/>
  <c r="CD73" s="1"/>
  <c r="AQ73"/>
  <c r="P75"/>
  <c r="CH75" s="1"/>
  <c r="AU75"/>
  <c r="N79"/>
  <c r="CF79" s="1"/>
  <c r="AS79"/>
  <c r="AG79"/>
  <c r="N83"/>
  <c r="CF83" s="1"/>
  <c r="AS83"/>
  <c r="P89"/>
  <c r="CH89" s="1"/>
  <c r="AI89"/>
  <c r="P92"/>
  <c r="CH92" s="1"/>
  <c r="AI92"/>
  <c r="P97"/>
  <c r="CH97" s="1"/>
  <c r="AI97"/>
  <c r="AU97"/>
  <c r="L103"/>
  <c r="AE103"/>
  <c r="P122"/>
  <c r="CH122" s="1"/>
  <c r="AU122"/>
  <c r="AI122"/>
  <c r="L133"/>
  <c r="CD133" s="1"/>
  <c r="AQ133"/>
  <c r="L7"/>
  <c r="CD7" s="1"/>
  <c r="AQ7"/>
  <c r="L13"/>
  <c r="AQ13"/>
  <c r="L36"/>
  <c r="CD36" s="1"/>
  <c r="AE36"/>
  <c r="P38"/>
  <c r="AI38"/>
  <c r="AU38"/>
  <c r="N41"/>
  <c r="CF41" s="1"/>
  <c r="AS41"/>
  <c r="L44"/>
  <c r="CD44" s="1"/>
  <c r="AQ44"/>
  <c r="AE44"/>
  <c r="N45"/>
  <c r="CF45" s="1"/>
  <c r="AS45"/>
  <c r="AG45"/>
  <c r="AQ48"/>
  <c r="L48"/>
  <c r="CD48" s="1"/>
  <c r="P51"/>
  <c r="CH51" s="1"/>
  <c r="AU51"/>
  <c r="AI51"/>
  <c r="N54"/>
  <c r="CF54" s="1"/>
  <c r="AS54"/>
  <c r="L57"/>
  <c r="CD57" s="1"/>
  <c r="P59"/>
  <c r="CH59" s="1"/>
  <c r="AU59"/>
  <c r="AI59"/>
  <c r="N62"/>
  <c r="CF62" s="1"/>
  <c r="AS62"/>
  <c r="N69"/>
  <c r="CF69" s="1"/>
  <c r="AS69"/>
  <c r="L72"/>
  <c r="CD72" s="1"/>
  <c r="AE72"/>
  <c r="AQ72"/>
  <c r="N73"/>
  <c r="CF73" s="1"/>
  <c r="AS73"/>
  <c r="P74"/>
  <c r="CH74" s="1"/>
  <c r="AU74"/>
  <c r="L76"/>
  <c r="CD76" s="1"/>
  <c r="AQ76"/>
  <c r="AE76"/>
  <c r="N78"/>
  <c r="AS78"/>
  <c r="L81"/>
  <c r="AQ81"/>
  <c r="P88"/>
  <c r="CH88" s="1"/>
  <c r="AU88"/>
  <c r="N91"/>
  <c r="CF91" s="1"/>
  <c r="AS91"/>
  <c r="P150"/>
  <c r="CH150" s="1"/>
  <c r="AU150"/>
  <c r="L93"/>
  <c r="CD93" s="1"/>
  <c r="AQ93"/>
  <c r="N94"/>
  <c r="CF94" s="1"/>
  <c r="AS94"/>
  <c r="P96"/>
  <c r="CH96" s="1"/>
  <c r="AI96"/>
  <c r="N99"/>
  <c r="CF99" s="1"/>
  <c r="AG99"/>
  <c r="N103"/>
  <c r="CF103" s="1"/>
  <c r="AS103"/>
  <c r="P104"/>
  <c r="CH104" s="1"/>
  <c r="AU104"/>
  <c r="N107"/>
  <c r="CF107" s="1"/>
  <c r="AS107"/>
  <c r="L111"/>
  <c r="AQ111"/>
  <c r="P113"/>
  <c r="CH113" s="1"/>
  <c r="AU113"/>
  <c r="N116"/>
  <c r="CF116" s="1"/>
  <c r="AS116"/>
  <c r="L119"/>
  <c r="AQ119"/>
  <c r="AE119"/>
  <c r="N120"/>
  <c r="CF120" s="1"/>
  <c r="AS120"/>
  <c r="N129"/>
  <c r="CF129" s="1"/>
  <c r="AS129"/>
  <c r="O146"/>
  <c r="CG146" s="1"/>
  <c r="AH146"/>
  <c r="AF135"/>
  <c r="AI28"/>
  <c r="AG83"/>
  <c r="AE13"/>
  <c r="AE73"/>
  <c r="AE112"/>
  <c r="AE133"/>
  <c r="AL125"/>
  <c r="AH126"/>
  <c r="AN134"/>
  <c r="AN190" s="1"/>
  <c r="AI135"/>
  <c r="AO166"/>
  <c r="AM159"/>
  <c r="AM191" s="1"/>
  <c r="AG137"/>
  <c r="BA134"/>
  <c r="AU24"/>
  <c r="AS31"/>
  <c r="AU84"/>
  <c r="AQ123"/>
  <c r="AU131"/>
  <c r="AS140"/>
  <c r="AQ102"/>
  <c r="BC102"/>
  <c r="BC111"/>
  <c r="AW125"/>
  <c r="AQ115"/>
  <c r="BC115"/>
  <c r="I64" i="14"/>
  <c r="CE7" i="8"/>
  <c r="AR7"/>
  <c r="O9"/>
  <c r="AT9"/>
  <c r="L32"/>
  <c r="CD32" s="1"/>
  <c r="AE32"/>
  <c r="P30"/>
  <c r="CH30" s="1"/>
  <c r="AU30"/>
  <c r="AI30"/>
  <c r="N29"/>
  <c r="CF29" s="1"/>
  <c r="L28"/>
  <c r="CD28" s="1"/>
  <c r="AQ28"/>
  <c r="P26"/>
  <c r="CH26" s="1"/>
  <c r="N25"/>
  <c r="CF25" s="1"/>
  <c r="L24"/>
  <c r="CD24" s="1"/>
  <c r="AQ24"/>
  <c r="P22"/>
  <c r="CH22" s="1"/>
  <c r="AI22"/>
  <c r="N21"/>
  <c r="CF21" s="1"/>
  <c r="L20"/>
  <c r="CD20" s="1"/>
  <c r="AQ20"/>
  <c r="AE20"/>
  <c r="N17"/>
  <c r="CF17" s="1"/>
  <c r="AS17"/>
  <c r="L16"/>
  <c r="CD16" s="1"/>
  <c r="AQ16"/>
  <c r="M36"/>
  <c r="CE36" s="1"/>
  <c r="AR36"/>
  <c r="O37"/>
  <c r="CG37" s="1"/>
  <c r="AH37"/>
  <c r="AT37"/>
  <c r="M40"/>
  <c r="CE40" s="1"/>
  <c r="AF40"/>
  <c r="O41"/>
  <c r="CG41" s="1"/>
  <c r="AT41"/>
  <c r="AH41"/>
  <c r="M44"/>
  <c r="CE44" s="1"/>
  <c r="AF44"/>
  <c r="O45"/>
  <c r="CG45" s="1"/>
  <c r="M48"/>
  <c r="CE48" s="1"/>
  <c r="AR48"/>
  <c r="O50"/>
  <c r="CG50" s="1"/>
  <c r="AT50"/>
  <c r="AH50"/>
  <c r="M53"/>
  <c r="CE53" s="1"/>
  <c r="AR53"/>
  <c r="O54"/>
  <c r="CG54" s="1"/>
  <c r="AT54"/>
  <c r="AH54"/>
  <c r="M57"/>
  <c r="CE57" s="1"/>
  <c r="AR57"/>
  <c r="O58"/>
  <c r="CG58" s="1"/>
  <c r="AT58"/>
  <c r="AH58"/>
  <c r="CE61"/>
  <c r="AR61"/>
  <c r="AF61"/>
  <c r="O62"/>
  <c r="CG62" s="1"/>
  <c r="AT62"/>
  <c r="M68"/>
  <c r="CE68" s="1"/>
  <c r="AF68"/>
  <c r="AR68"/>
  <c r="O69"/>
  <c r="CG69" s="1"/>
  <c r="M72"/>
  <c r="CE72" s="1"/>
  <c r="AR72"/>
  <c r="AF72"/>
  <c r="O73"/>
  <c r="CG73" s="1"/>
  <c r="AH73"/>
  <c r="K75"/>
  <c r="CC75" s="1"/>
  <c r="AD75"/>
  <c r="M76"/>
  <c r="CE76" s="1"/>
  <c r="AR76"/>
  <c r="AF76"/>
  <c r="O78"/>
  <c r="CG78" s="1"/>
  <c r="AT78"/>
  <c r="M81"/>
  <c r="AR81"/>
  <c r="O82"/>
  <c r="CG82" s="1"/>
  <c r="AT82"/>
  <c r="M86"/>
  <c r="AR86"/>
  <c r="AF86"/>
  <c r="O87"/>
  <c r="CG87" s="1"/>
  <c r="AT87"/>
  <c r="M90"/>
  <c r="AR90"/>
  <c r="O91"/>
  <c r="CG91" s="1"/>
  <c r="AT91"/>
  <c r="M93"/>
  <c r="CE93" s="1"/>
  <c r="AR93"/>
  <c r="AF93"/>
  <c r="O94"/>
  <c r="CG94" s="1"/>
  <c r="AT94"/>
  <c r="M98"/>
  <c r="O99"/>
  <c r="CG99" s="1"/>
  <c r="AH99"/>
  <c r="AT99"/>
  <c r="M102"/>
  <c r="AR102"/>
  <c r="O103"/>
  <c r="CG103" s="1"/>
  <c r="AT103"/>
  <c r="M106"/>
  <c r="CE106" s="1"/>
  <c r="AR106"/>
  <c r="O107"/>
  <c r="CG107" s="1"/>
  <c r="AT107"/>
  <c r="AH107"/>
  <c r="O112"/>
  <c r="CG112" s="1"/>
  <c r="AT112"/>
  <c r="M115"/>
  <c r="AR115"/>
  <c r="M119"/>
  <c r="AR119"/>
  <c r="AF119"/>
  <c r="M123"/>
  <c r="CE123" s="1"/>
  <c r="AR123"/>
  <c r="AF123"/>
  <c r="O124"/>
  <c r="CG124" s="1"/>
  <c r="AT124"/>
  <c r="AD127"/>
  <c r="AP127"/>
  <c r="M128"/>
  <c r="AR128"/>
  <c r="O129"/>
  <c r="CG129" s="1"/>
  <c r="AT129"/>
  <c r="O133"/>
  <c r="CG133" s="1"/>
  <c r="AT133"/>
  <c r="M137"/>
  <c r="AR137"/>
  <c r="O149"/>
  <c r="CG149" s="1"/>
  <c r="AH149"/>
  <c r="AT149"/>
  <c r="K152"/>
  <c r="AD152"/>
  <c r="M153"/>
  <c r="AR153"/>
  <c r="AF153"/>
  <c r="O154"/>
  <c r="CG154" s="1"/>
  <c r="AT154"/>
  <c r="AH154"/>
  <c r="M157"/>
  <c r="CE157" s="1"/>
  <c r="AR157"/>
  <c r="O158"/>
  <c r="CG158" s="1"/>
  <c r="AT158"/>
  <c r="AH158"/>
  <c r="AF36"/>
  <c r="AF110"/>
  <c r="AI20"/>
  <c r="AG75"/>
  <c r="AG84"/>
  <c r="AH91"/>
  <c r="AH106"/>
  <c r="AG114"/>
  <c r="AG122"/>
  <c r="AG139"/>
  <c r="AG147"/>
  <c r="AE14"/>
  <c r="AE74"/>
  <c r="AE113"/>
  <c r="AE135"/>
  <c r="AL8"/>
  <c r="AD10"/>
  <c r="AH13"/>
  <c r="AN34"/>
  <c r="AN182" s="1"/>
  <c r="AF16"/>
  <c r="AD19"/>
  <c r="AF20"/>
  <c r="AH21"/>
  <c r="AD23"/>
  <c r="AF24"/>
  <c r="AD27"/>
  <c r="AF28"/>
  <c r="AH29"/>
  <c r="AF32"/>
  <c r="AH46"/>
  <c r="AF66"/>
  <c r="AL77"/>
  <c r="AF87"/>
  <c r="AI88"/>
  <c r="AF90"/>
  <c r="AI100"/>
  <c r="AO159"/>
  <c r="AO191" s="1"/>
  <c r="AO223" s="1"/>
  <c r="AS11"/>
  <c r="AU18"/>
  <c r="AS25"/>
  <c r="AQ32"/>
  <c r="AS39"/>
  <c r="AR54"/>
  <c r="AR92"/>
  <c r="AR107"/>
  <c r="AU115"/>
  <c r="AT123"/>
  <c r="AQ151"/>
  <c r="AY165"/>
  <c r="AY8"/>
  <c r="BE5"/>
  <c r="BC9"/>
  <c r="AW12"/>
  <c r="BE10"/>
  <c r="AY12"/>
  <c r="AR35"/>
  <c r="BD35"/>
  <c r="AX49"/>
  <c r="BD38"/>
  <c r="BC66"/>
  <c r="AW77"/>
  <c r="BE67"/>
  <c r="AY77"/>
  <c r="AZ95"/>
  <c r="BF88"/>
  <c r="L26"/>
  <c r="CD26" s="1"/>
  <c r="AE26"/>
  <c r="L18"/>
  <c r="CD18" s="1"/>
  <c r="AE18"/>
  <c r="M55"/>
  <c r="CE55" s="1"/>
  <c r="AR55"/>
  <c r="N143"/>
  <c r="CF143" s="1"/>
  <c r="AS143"/>
  <c r="P148"/>
  <c r="CH148" s="1"/>
  <c r="AU148"/>
  <c r="AI148"/>
  <c r="AE22"/>
  <c r="L9"/>
  <c r="AE9"/>
  <c r="AQ9"/>
  <c r="P11"/>
  <c r="CH11" s="1"/>
  <c r="AU11"/>
  <c r="AI11"/>
  <c r="O32"/>
  <c r="CG32" s="1"/>
  <c r="AH32"/>
  <c r="O28"/>
  <c r="CG28" s="1"/>
  <c r="AT28"/>
  <c r="AH28"/>
  <c r="O24"/>
  <c r="CG24" s="1"/>
  <c r="AT24"/>
  <c r="AH24"/>
  <c r="M19"/>
  <c r="CE19" s="1"/>
  <c r="AR19"/>
  <c r="O16"/>
  <c r="CG16" s="1"/>
  <c r="AT16"/>
  <c r="P33"/>
  <c r="CH33" s="1"/>
  <c r="AI33"/>
  <c r="AU33"/>
  <c r="N66"/>
  <c r="AS66"/>
  <c r="N70"/>
  <c r="CF70" s="1"/>
  <c r="N74"/>
  <c r="CF74" s="1"/>
  <c r="L78"/>
  <c r="AE78"/>
  <c r="P80"/>
  <c r="CH80" s="1"/>
  <c r="AU80"/>
  <c r="AI80"/>
  <c r="L82"/>
  <c r="AE82"/>
  <c r="L87"/>
  <c r="AQ87"/>
  <c r="L91"/>
  <c r="AE91"/>
  <c r="L94"/>
  <c r="CD94" s="1"/>
  <c r="AQ94"/>
  <c r="L99"/>
  <c r="AQ99"/>
  <c r="N104"/>
  <c r="CF104" s="1"/>
  <c r="AG104"/>
  <c r="N113"/>
  <c r="CF113" s="1"/>
  <c r="AS113"/>
  <c r="N117"/>
  <c r="CF117" s="1"/>
  <c r="AS117"/>
  <c r="AG117"/>
  <c r="P118"/>
  <c r="CH118" s="1"/>
  <c r="AI118"/>
  <c r="AU118"/>
  <c r="N126"/>
  <c r="AS126"/>
  <c r="I64" i="13"/>
  <c r="AI5" i="8"/>
  <c r="AU5"/>
  <c r="N9"/>
  <c r="AG9"/>
  <c r="P10"/>
  <c r="CH10" s="1"/>
  <c r="AI10"/>
  <c r="N14"/>
  <c r="CF14" s="1"/>
  <c r="AS14"/>
  <c r="AG14"/>
  <c r="M32"/>
  <c r="CE32" s="1"/>
  <c r="AR32"/>
  <c r="O29"/>
  <c r="CG29" s="1"/>
  <c r="AT29"/>
  <c r="M28"/>
  <c r="CE28" s="1"/>
  <c r="O25"/>
  <c r="CG25" s="1"/>
  <c r="AT25"/>
  <c r="M24"/>
  <c r="CE24" s="1"/>
  <c r="AR24"/>
  <c r="O21"/>
  <c r="CG21" s="1"/>
  <c r="AT21"/>
  <c r="M20"/>
  <c r="CE20" s="1"/>
  <c r="AR20"/>
  <c r="O17"/>
  <c r="CG17" s="1"/>
  <c r="AT17"/>
  <c r="AH17"/>
  <c r="M16"/>
  <c r="CE16" s="1"/>
  <c r="AR16"/>
  <c r="N37"/>
  <c r="CF37" s="1"/>
  <c r="AS37"/>
  <c r="L40"/>
  <c r="CD40" s="1"/>
  <c r="AE40"/>
  <c r="P42"/>
  <c r="CH42" s="1"/>
  <c r="AU42"/>
  <c r="P46"/>
  <c r="CH46" s="1"/>
  <c r="AU46"/>
  <c r="AI46"/>
  <c r="N50"/>
  <c r="AG50"/>
  <c r="L53"/>
  <c r="CD53" s="1"/>
  <c r="AQ53"/>
  <c r="P55"/>
  <c r="CH55" s="1"/>
  <c r="AI55"/>
  <c r="AU55"/>
  <c r="N58"/>
  <c r="CF58" s="1"/>
  <c r="L61"/>
  <c r="CD61" s="1"/>
  <c r="AQ61"/>
  <c r="AE61"/>
  <c r="P63"/>
  <c r="CH63" s="1"/>
  <c r="AU63"/>
  <c r="AI63"/>
  <c r="P70"/>
  <c r="CH70" s="1"/>
  <c r="AU70"/>
  <c r="AI70"/>
  <c r="N82"/>
  <c r="CF82" s="1"/>
  <c r="AS82"/>
  <c r="P83"/>
  <c r="CH83" s="1"/>
  <c r="AU83"/>
  <c r="L86"/>
  <c r="AQ86"/>
  <c r="L90"/>
  <c r="AQ90"/>
  <c r="L106"/>
  <c r="CD106" s="1"/>
  <c r="AQ106"/>
  <c r="P108"/>
  <c r="CH108" s="1"/>
  <c r="AU108"/>
  <c r="N112"/>
  <c r="CF112" s="1"/>
  <c r="AS112"/>
  <c r="L115"/>
  <c r="AE115"/>
  <c r="P117"/>
  <c r="CH117" s="1"/>
  <c r="AU117"/>
  <c r="P121"/>
  <c r="CH121" s="1"/>
  <c r="AU121"/>
  <c r="P126"/>
  <c r="AU126"/>
  <c r="L128"/>
  <c r="AQ128"/>
  <c r="P130"/>
  <c r="CH130" s="1"/>
  <c r="AU130"/>
  <c r="L132"/>
  <c r="CD132" s="1"/>
  <c r="AQ132"/>
  <c r="N133"/>
  <c r="CF133" s="1"/>
  <c r="AS133"/>
  <c r="P135"/>
  <c r="CH135" s="1"/>
  <c r="AU135"/>
  <c r="O138"/>
  <c r="CG138" s="1"/>
  <c r="AH138"/>
  <c r="M141"/>
  <c r="AR141"/>
  <c r="O142"/>
  <c r="CG142" s="1"/>
  <c r="AT142"/>
  <c r="AH142"/>
  <c r="M145"/>
  <c r="AR145"/>
  <c r="AF31"/>
  <c r="AG5"/>
  <c r="AH20"/>
  <c r="AG37"/>
  <c r="AG74"/>
  <c r="AG121"/>
  <c r="AE30"/>
  <c r="AU10"/>
  <c r="AS99"/>
  <c r="AU114"/>
  <c r="BE112"/>
  <c r="AY125"/>
  <c r="K64" i="13"/>
  <c r="K8" i="14"/>
  <c r="L6" i="8"/>
  <c r="AQ6"/>
  <c r="N7"/>
  <c r="CF7" s="1"/>
  <c r="AG7"/>
  <c r="P9"/>
  <c r="CH9" s="1"/>
  <c r="AU9"/>
  <c r="L11"/>
  <c r="CD11" s="1"/>
  <c r="AQ11"/>
  <c r="N13"/>
  <c r="CF13" s="1"/>
  <c r="AS13"/>
  <c r="P14"/>
  <c r="CH14" s="1"/>
  <c r="AI14"/>
  <c r="AU14"/>
  <c r="AT30"/>
  <c r="O30"/>
  <c r="CG30" s="1"/>
  <c r="M29"/>
  <c r="CE29" s="1"/>
  <c r="AR29"/>
  <c r="O26"/>
  <c r="CG26" s="1"/>
  <c r="AT26"/>
  <c r="M25"/>
  <c r="CE25" s="1"/>
  <c r="O22"/>
  <c r="CG22" s="1"/>
  <c r="AT22"/>
  <c r="M21"/>
  <c r="CE21" s="1"/>
  <c r="AF21"/>
  <c r="O18"/>
  <c r="CG18" s="1"/>
  <c r="AT18"/>
  <c r="M17"/>
  <c r="CE17" s="1"/>
  <c r="L33"/>
  <c r="CD33" s="1"/>
  <c r="AQ33"/>
  <c r="L35"/>
  <c r="CD35" s="1"/>
  <c r="AE35"/>
  <c r="AQ35"/>
  <c r="N36"/>
  <c r="CF36" s="1"/>
  <c r="AG36"/>
  <c r="P37"/>
  <c r="CH37" s="1"/>
  <c r="AU37"/>
  <c r="L39"/>
  <c r="CD39" s="1"/>
  <c r="AQ39"/>
  <c r="N40"/>
  <c r="CF40" s="1"/>
  <c r="AS40"/>
  <c r="AG40"/>
  <c r="P41"/>
  <c r="CH41" s="1"/>
  <c r="AI41"/>
  <c r="AU41"/>
  <c r="L43"/>
  <c r="CD43" s="1"/>
  <c r="N44"/>
  <c r="CF44" s="1"/>
  <c r="AS44"/>
  <c r="AG44"/>
  <c r="P45"/>
  <c r="CH45" s="1"/>
  <c r="AI45"/>
  <c r="AU45"/>
  <c r="L47"/>
  <c r="CD47" s="1"/>
  <c r="AE47"/>
  <c r="N48"/>
  <c r="CF48" s="1"/>
  <c r="AS48"/>
  <c r="P50"/>
  <c r="CH50" s="1"/>
  <c r="AU50"/>
  <c r="AI50"/>
  <c r="L52"/>
  <c r="CD52" s="1"/>
  <c r="N53"/>
  <c r="CF53" s="1"/>
  <c r="AS53"/>
  <c r="P54"/>
  <c r="CH54" s="1"/>
  <c r="AU54"/>
  <c r="L56"/>
  <c r="CD56" s="1"/>
  <c r="AQ56"/>
  <c r="AE56"/>
  <c r="N57"/>
  <c r="CF57" s="1"/>
  <c r="AS57"/>
  <c r="P58"/>
  <c r="CH58" s="1"/>
  <c r="AU58"/>
  <c r="L60"/>
  <c r="CD60" s="1"/>
  <c r="AQ60"/>
  <c r="N61"/>
  <c r="CF61" s="1"/>
  <c r="AS61"/>
  <c r="P62"/>
  <c r="CH62" s="1"/>
  <c r="AU62"/>
  <c r="AI62"/>
  <c r="M140"/>
  <c r="AR140"/>
  <c r="AF140"/>
  <c r="O141"/>
  <c r="CG141" s="1"/>
  <c r="AH141"/>
  <c r="AT141"/>
  <c r="M144"/>
  <c r="AR144"/>
  <c r="AH145"/>
  <c r="O145"/>
  <c r="CG145" s="1"/>
  <c r="K147"/>
  <c r="AD147"/>
  <c r="AP147"/>
  <c r="M148"/>
  <c r="AR148"/>
  <c r="AF148"/>
  <c r="P149"/>
  <c r="CH149" s="1"/>
  <c r="AU149"/>
  <c r="AI149"/>
  <c r="L152"/>
  <c r="AQ152"/>
  <c r="AE152"/>
  <c r="N153"/>
  <c r="CF153" s="1"/>
  <c r="AG153"/>
  <c r="AS153"/>
  <c r="P154"/>
  <c r="CH154" s="1"/>
  <c r="AU154"/>
  <c r="L156"/>
  <c r="CD156" s="1"/>
  <c r="AE156"/>
  <c r="N157"/>
  <c r="CF157" s="1"/>
  <c r="AS157"/>
  <c r="P158"/>
  <c r="CH158" s="1"/>
  <c r="AU158"/>
  <c r="AI158"/>
  <c r="AF37"/>
  <c r="AF71"/>
  <c r="AF111"/>
  <c r="AF141"/>
  <c r="AH6"/>
  <c r="AI13"/>
  <c r="AG22"/>
  <c r="AG31"/>
  <c r="AG39"/>
  <c r="AI58"/>
  <c r="AI67"/>
  <c r="AI75"/>
  <c r="AI84"/>
  <c r="AG92"/>
  <c r="AI98"/>
  <c r="AG107"/>
  <c r="AI114"/>
  <c r="AI140"/>
  <c r="AE16"/>
  <c r="AE33"/>
  <c r="AE57"/>
  <c r="AE116"/>
  <c r="AE138"/>
  <c r="AH42"/>
  <c r="AN64"/>
  <c r="AN184" s="1"/>
  <c r="AH52"/>
  <c r="AM77"/>
  <c r="AK85"/>
  <c r="AF99"/>
  <c r="AN125"/>
  <c r="AN189" s="1"/>
  <c r="AG116"/>
  <c r="AG120"/>
  <c r="AI121"/>
  <c r="AG124"/>
  <c r="AF128"/>
  <c r="AH129"/>
  <c r="AF132"/>
  <c r="AH133"/>
  <c r="AE149"/>
  <c r="AI152"/>
  <c r="AF154"/>
  <c r="BA49"/>
  <c r="AW95"/>
  <c r="AS19"/>
  <c r="AQ26"/>
  <c r="AT32"/>
  <c r="AR40"/>
  <c r="AQ47"/>
  <c r="AQ55"/>
  <c r="AR62"/>
  <c r="AR71"/>
  <c r="AT86"/>
  <c r="AU92"/>
  <c r="AU100"/>
  <c r="AQ108"/>
  <c r="AT116"/>
  <c r="AS124"/>
  <c r="AR133"/>
  <c r="AQ142"/>
  <c r="BD73"/>
  <c r="BK215"/>
  <c r="BL231" s="1"/>
  <c r="BK220"/>
  <c r="BL236" s="1"/>
  <c r="M26"/>
  <c r="CE26" s="1"/>
  <c r="O23"/>
  <c r="CG23" s="1"/>
  <c r="AT23"/>
  <c r="M22"/>
  <c r="CE22" s="1"/>
  <c r="AF22"/>
  <c r="O19"/>
  <c r="CG19" s="1"/>
  <c r="AH19"/>
  <c r="AT19"/>
  <c r="M18"/>
  <c r="CE18" s="1"/>
  <c r="AP17"/>
  <c r="K17"/>
  <c r="CC17" s="1"/>
  <c r="O15"/>
  <c r="CG15" s="1"/>
  <c r="AT15"/>
  <c r="N33"/>
  <c r="CF33" s="1"/>
  <c r="AS33"/>
  <c r="O36"/>
  <c r="CG36" s="1"/>
  <c r="AT36"/>
  <c r="M39"/>
  <c r="CE39" s="1"/>
  <c r="AF39"/>
  <c r="M47"/>
  <c r="CE47" s="1"/>
  <c r="AR47"/>
  <c r="O48"/>
  <c r="CG48" s="1"/>
  <c r="AT48"/>
  <c r="M52"/>
  <c r="CE52" s="1"/>
  <c r="AF52"/>
  <c r="AR52"/>
  <c r="M56"/>
  <c r="CE56" s="1"/>
  <c r="AR56"/>
  <c r="M60"/>
  <c r="CE60" s="1"/>
  <c r="AR60"/>
  <c r="L67"/>
  <c r="AQ67"/>
  <c r="N68"/>
  <c r="CF68" s="1"/>
  <c r="AS68"/>
  <c r="P69"/>
  <c r="CH69" s="1"/>
  <c r="L71"/>
  <c r="CD71" s="1"/>
  <c r="AQ71"/>
  <c r="N72"/>
  <c r="CF72" s="1"/>
  <c r="AS72"/>
  <c r="P73"/>
  <c r="CH73" s="1"/>
  <c r="AI73"/>
  <c r="L75"/>
  <c r="CD75" s="1"/>
  <c r="N76"/>
  <c r="CF76" s="1"/>
  <c r="AS76"/>
  <c r="L80"/>
  <c r="AE80"/>
  <c r="AQ80"/>
  <c r="L84"/>
  <c r="AQ84"/>
  <c r="N86"/>
  <c r="AS86"/>
  <c r="P87"/>
  <c r="CH87" s="1"/>
  <c r="AU87"/>
  <c r="P91"/>
  <c r="CH91" s="1"/>
  <c r="AU91"/>
  <c r="L92"/>
  <c r="CD92" s="1"/>
  <c r="AQ92"/>
  <c r="P94"/>
  <c r="CH94" s="1"/>
  <c r="AI94"/>
  <c r="AU94"/>
  <c r="L97"/>
  <c r="AQ97"/>
  <c r="N98"/>
  <c r="CF98" s="1"/>
  <c r="AS98"/>
  <c r="P99"/>
  <c r="AU99"/>
  <c r="L101"/>
  <c r="AQ101"/>
  <c r="N102"/>
  <c r="CF102" s="1"/>
  <c r="AS102"/>
  <c r="N106"/>
  <c r="CF106" s="1"/>
  <c r="AS106"/>
  <c r="P107"/>
  <c r="CH107" s="1"/>
  <c r="AU107"/>
  <c r="L110"/>
  <c r="AQ110"/>
  <c r="N111"/>
  <c r="CF111" s="1"/>
  <c r="AS111"/>
  <c r="N115"/>
  <c r="CF115" s="1"/>
  <c r="AS115"/>
  <c r="AG115"/>
  <c r="P116"/>
  <c r="CH116" s="1"/>
  <c r="AU116"/>
  <c r="P120"/>
  <c r="CH120" s="1"/>
  <c r="AU120"/>
  <c r="L122"/>
  <c r="CD122" s="1"/>
  <c r="AQ122"/>
  <c r="N123"/>
  <c r="CF123" s="1"/>
  <c r="AS123"/>
  <c r="L127"/>
  <c r="AE127"/>
  <c r="L131"/>
  <c r="CD131" s="1"/>
  <c r="AQ131"/>
  <c r="AE131"/>
  <c r="N132"/>
  <c r="CF132" s="1"/>
  <c r="AS132"/>
  <c r="L136"/>
  <c r="AQ136"/>
  <c r="N137"/>
  <c r="CF137" s="1"/>
  <c r="AS137"/>
  <c r="P138"/>
  <c r="CH138" s="1"/>
  <c r="AU138"/>
  <c r="P142"/>
  <c r="CH142" s="1"/>
  <c r="AU142"/>
  <c r="L144"/>
  <c r="AQ144"/>
  <c r="N145"/>
  <c r="CF145" s="1"/>
  <c r="AS145"/>
  <c r="P146"/>
  <c r="CH146" s="1"/>
  <c r="AU146"/>
  <c r="L148"/>
  <c r="AQ148"/>
  <c r="P151"/>
  <c r="CH151" s="1"/>
  <c r="AU151"/>
  <c r="L153"/>
  <c r="AQ153"/>
  <c r="P155"/>
  <c r="CH155" s="1"/>
  <c r="AU155"/>
  <c r="L157"/>
  <c r="CD157" s="1"/>
  <c r="AQ157"/>
  <c r="AF14"/>
  <c r="AF35"/>
  <c r="AF47"/>
  <c r="AF143"/>
  <c r="AH57"/>
  <c r="AI69"/>
  <c r="AI82"/>
  <c r="AI112"/>
  <c r="AI120"/>
  <c r="AI129"/>
  <c r="AE71"/>
  <c r="AE92"/>
  <c r="AE144"/>
  <c r="AO12"/>
  <c r="AK77"/>
  <c r="AG103"/>
  <c r="AF106"/>
  <c r="AU69"/>
  <c r="AU73"/>
  <c r="AP107"/>
  <c r="AT127"/>
  <c r="AT136"/>
  <c r="AT140"/>
  <c r="AR155"/>
  <c r="AZ8"/>
  <c r="M134" i="14"/>
  <c r="AD7" i="8"/>
  <c r="K7"/>
  <c r="CC7" s="1"/>
  <c r="AP7"/>
  <c r="O10"/>
  <c r="CG10" s="1"/>
  <c r="AT10"/>
  <c r="AP13"/>
  <c r="K13"/>
  <c r="N32"/>
  <c r="CF32" s="1"/>
  <c r="AS32"/>
  <c r="L31"/>
  <c r="CD31" s="1"/>
  <c r="P29"/>
  <c r="CH29" s="1"/>
  <c r="N28"/>
  <c r="CF28" s="1"/>
  <c r="L27"/>
  <c r="CD27" s="1"/>
  <c r="AQ27"/>
  <c r="P25"/>
  <c r="CH25" s="1"/>
  <c r="AU25"/>
  <c r="N24"/>
  <c r="CF24" s="1"/>
  <c r="L23"/>
  <c r="CD23" s="1"/>
  <c r="AQ23"/>
  <c r="P21"/>
  <c r="CH21" s="1"/>
  <c r="AU21"/>
  <c r="N20"/>
  <c r="CF20" s="1"/>
  <c r="AS20"/>
  <c r="L19"/>
  <c r="CD19" s="1"/>
  <c r="AQ19"/>
  <c r="P17"/>
  <c r="CH17" s="1"/>
  <c r="AU17"/>
  <c r="N16"/>
  <c r="CF16" s="1"/>
  <c r="L15"/>
  <c r="CD15" s="1"/>
  <c r="AQ15"/>
  <c r="P35"/>
  <c r="CH35" s="1"/>
  <c r="AU35"/>
  <c r="N38"/>
  <c r="CF38" s="1"/>
  <c r="AS38"/>
  <c r="P39"/>
  <c r="CH39" s="1"/>
  <c r="AU39"/>
  <c r="L41"/>
  <c r="CD41" s="1"/>
  <c r="AQ41"/>
  <c r="L45"/>
  <c r="CD45" s="1"/>
  <c r="AQ45"/>
  <c r="P47"/>
  <c r="CH47" s="1"/>
  <c r="AU47"/>
  <c r="L50"/>
  <c r="N51"/>
  <c r="CF51" s="1"/>
  <c r="AS51"/>
  <c r="P52"/>
  <c r="CH52" s="1"/>
  <c r="AU52"/>
  <c r="L54"/>
  <c r="CD54" s="1"/>
  <c r="AQ54"/>
  <c r="N55"/>
  <c r="CF55" s="1"/>
  <c r="P56"/>
  <c r="CH56" s="1"/>
  <c r="L58"/>
  <c r="CD58" s="1"/>
  <c r="AQ58"/>
  <c r="N59"/>
  <c r="CF59" s="1"/>
  <c r="AS59"/>
  <c r="P60"/>
  <c r="CH60" s="1"/>
  <c r="L62"/>
  <c r="CD62" s="1"/>
  <c r="AQ62"/>
  <c r="N63"/>
  <c r="CF63" s="1"/>
  <c r="AG63"/>
  <c r="O67"/>
  <c r="CG67" s="1"/>
  <c r="M70"/>
  <c r="CE70" s="1"/>
  <c r="O71"/>
  <c r="CG71" s="1"/>
  <c r="AD73"/>
  <c r="M74"/>
  <c r="CE74" s="1"/>
  <c r="AR74"/>
  <c r="O75"/>
  <c r="CG75" s="1"/>
  <c r="K78"/>
  <c r="AP78"/>
  <c r="O80"/>
  <c r="CG80" s="1"/>
  <c r="AT80"/>
  <c r="AP82"/>
  <c r="K82"/>
  <c r="O84"/>
  <c r="CG84" s="1"/>
  <c r="AT84"/>
  <c r="M88"/>
  <c r="AR88"/>
  <c r="O89"/>
  <c r="CG89" s="1"/>
  <c r="AT89"/>
  <c r="K91"/>
  <c r="AP91"/>
  <c r="M150"/>
  <c r="AR150"/>
  <c r="O92"/>
  <c r="CG92" s="1"/>
  <c r="AT92"/>
  <c r="M96"/>
  <c r="O97"/>
  <c r="CG97" s="1"/>
  <c r="AT97"/>
  <c r="O101"/>
  <c r="CG101" s="1"/>
  <c r="AT101"/>
  <c r="K103"/>
  <c r="AP103"/>
  <c r="M104"/>
  <c r="AR104"/>
  <c r="M108"/>
  <c r="CE108" s="1"/>
  <c r="AR108"/>
  <c r="AP112"/>
  <c r="K112"/>
  <c r="O114"/>
  <c r="CG114" s="1"/>
  <c r="AT114"/>
  <c r="AP116"/>
  <c r="K116"/>
  <c r="O118"/>
  <c r="CG118" s="1"/>
  <c r="AT118"/>
  <c r="AP120"/>
  <c r="K120"/>
  <c r="O122"/>
  <c r="CG122" s="1"/>
  <c r="AH122"/>
  <c r="O131"/>
  <c r="CG131" s="1"/>
  <c r="AT131"/>
  <c r="AP133"/>
  <c r="K133"/>
  <c r="CC133" s="1"/>
  <c r="M135"/>
  <c r="AR135"/>
  <c r="M139"/>
  <c r="AR139"/>
  <c r="K146"/>
  <c r="AP146"/>
  <c r="M147"/>
  <c r="AR147"/>
  <c r="O148"/>
  <c r="CG148" s="1"/>
  <c r="AT148"/>
  <c r="AP151"/>
  <c r="K151"/>
  <c r="O153"/>
  <c r="CG153" s="1"/>
  <c r="AT153"/>
  <c r="AP155"/>
  <c r="K155"/>
  <c r="CC155" s="1"/>
  <c r="M156"/>
  <c r="CE156" s="1"/>
  <c r="AR156"/>
  <c r="AF150"/>
  <c r="AI21"/>
  <c r="AI25"/>
  <c r="AH67"/>
  <c r="AH71"/>
  <c r="AH75"/>
  <c r="AH84"/>
  <c r="AI87"/>
  <c r="AI91"/>
  <c r="AH110"/>
  <c r="AH114"/>
  <c r="AH118"/>
  <c r="AH153"/>
  <c r="AE15"/>
  <c r="AE23"/>
  <c r="AE67"/>
  <c r="AE84"/>
  <c r="AD107"/>
  <c r="AE114"/>
  <c r="AE122"/>
  <c r="AE136"/>
  <c r="AF113"/>
  <c r="AF116"/>
  <c r="AK159"/>
  <c r="AR9"/>
  <c r="AU29"/>
  <c r="AT40"/>
  <c r="AS55"/>
  <c r="AT71"/>
  <c r="AS93"/>
  <c r="AQ105"/>
  <c r="AR121"/>
  <c r="AU124"/>
  <c r="AT152"/>
  <c r="AT157"/>
  <c r="O147"/>
  <c r="CG147" s="1"/>
  <c r="AT147"/>
  <c r="M151"/>
  <c r="AR151"/>
  <c r="O156"/>
  <c r="CG156" s="1"/>
  <c r="AT156"/>
  <c r="AF60"/>
  <c r="AG68"/>
  <c r="AG72"/>
  <c r="AG76"/>
  <c r="AH89"/>
  <c r="AI103"/>
  <c r="AG111"/>
  <c r="AG128"/>
  <c r="AG141"/>
  <c r="AG145"/>
  <c r="AG154"/>
  <c r="AE140"/>
  <c r="AN165"/>
  <c r="AF9"/>
  <c r="AL12"/>
  <c r="AH10"/>
  <c r="AH15"/>
  <c r="AF18"/>
  <c r="AH23"/>
  <c r="AF26"/>
  <c r="AM49"/>
  <c r="AE37"/>
  <c r="AG38"/>
  <c r="AD46"/>
  <c r="AH48"/>
  <c r="AF51"/>
  <c r="AH53"/>
  <c r="AL64"/>
  <c r="AI56"/>
  <c r="AE58"/>
  <c r="AG59"/>
  <c r="AH69"/>
  <c r="AH78"/>
  <c r="AN85"/>
  <c r="AN186" s="1"/>
  <c r="AF81"/>
  <c r="AH82"/>
  <c r="AM95"/>
  <c r="AM187" s="1"/>
  <c r="AD91"/>
  <c r="AN109"/>
  <c r="AN188" s="1"/>
  <c r="AF98"/>
  <c r="AH101"/>
  <c r="AF104"/>
  <c r="AO125"/>
  <c r="AO189" s="1"/>
  <c r="AO221" s="1"/>
  <c r="AH113"/>
  <c r="AH116"/>
  <c r="AH124"/>
  <c r="AH139"/>
  <c r="AF142"/>
  <c r="AH143"/>
  <c r="AF146"/>
  <c r="AH147"/>
  <c r="AT44"/>
  <c r="AS63"/>
  <c r="AP94"/>
  <c r="AT105"/>
  <c r="AT143"/>
  <c r="AG81"/>
  <c r="AG86"/>
  <c r="AG93"/>
  <c r="AI107"/>
  <c r="AE27"/>
  <c r="AE89"/>
  <c r="AE110"/>
  <c r="AM165"/>
  <c r="AK34"/>
  <c r="AM167"/>
  <c r="AH35"/>
  <c r="AH38"/>
  <c r="AG51"/>
  <c r="AH150"/>
  <c r="AF94"/>
  <c r="AN159"/>
  <c r="AN191" s="1"/>
  <c r="AN8"/>
  <c r="AN180" s="1"/>
  <c r="AS24"/>
  <c r="AQ31"/>
  <c r="AU56"/>
  <c r="AT122"/>
  <c r="AQ140"/>
  <c r="AT144"/>
  <c r="AS154"/>
  <c r="AR39"/>
  <c r="AY64"/>
  <c r="BF96"/>
  <c r="AZ109"/>
  <c r="AZ125"/>
  <c r="BF110"/>
  <c r="AR113"/>
  <c r="BD113"/>
  <c r="AR117"/>
  <c r="BD117"/>
  <c r="AZ159"/>
  <c r="BF135"/>
  <c r="AZ166"/>
  <c r="BL159"/>
  <c r="BL191" s="1"/>
  <c r="AH117"/>
  <c r="AF120"/>
  <c r="AH121"/>
  <c r="AF124"/>
  <c r="AI126"/>
  <c r="AE128"/>
  <c r="AG129"/>
  <c r="AI130"/>
  <c r="AE132"/>
  <c r="AG133"/>
  <c r="AH140"/>
  <c r="AF151"/>
  <c r="AH152"/>
  <c r="AE154"/>
  <c r="AG155"/>
  <c r="AI156"/>
  <c r="AE158"/>
  <c r="BC6"/>
  <c r="BA12"/>
  <c r="AY34"/>
  <c r="BE13"/>
  <c r="BA167"/>
  <c r="AQ36"/>
  <c r="AR42"/>
  <c r="BD42"/>
  <c r="AR59"/>
  <c r="BA77"/>
  <c r="BG66"/>
  <c r="AQ68"/>
  <c r="BC68"/>
  <c r="AY85"/>
  <c r="BA95"/>
  <c r="BG87"/>
  <c r="AQ98"/>
  <c r="AR126"/>
  <c r="AR130"/>
  <c r="AY166"/>
  <c r="BE135"/>
  <c r="BG18"/>
  <c r="BC98"/>
  <c r="AE6"/>
  <c r="AE11"/>
  <c r="AG13"/>
  <c r="AG17"/>
  <c r="AI18"/>
  <c r="AO167"/>
  <c r="AG21"/>
  <c r="AG25"/>
  <c r="AI26"/>
  <c r="AG29"/>
  <c r="AG33"/>
  <c r="AH40"/>
  <c r="AF42"/>
  <c r="AH43"/>
  <c r="AE45"/>
  <c r="AG46"/>
  <c r="AI47"/>
  <c r="AF50"/>
  <c r="AH88"/>
  <c r="AE90"/>
  <c r="AG91"/>
  <c r="AF103"/>
  <c r="AH104"/>
  <c r="AF107"/>
  <c r="AH108"/>
  <c r="AF112"/>
  <c r="AI113"/>
  <c r="AF138"/>
  <c r="AI139"/>
  <c r="AE141"/>
  <c r="AI143"/>
  <c r="AE145"/>
  <c r="AG146"/>
  <c r="AI147"/>
  <c r="AW109"/>
  <c r="AX125"/>
  <c r="BD112"/>
  <c r="AR116"/>
  <c r="BM85"/>
  <c r="BM186" s="1"/>
  <c r="BM218" s="1"/>
  <c r="BM109"/>
  <c r="BM188" s="1"/>
  <c r="BM220" s="1"/>
  <c r="AH127"/>
  <c r="AD129"/>
  <c r="AF130"/>
  <c r="AD133"/>
  <c r="AM166"/>
  <c r="AE137"/>
  <c r="AH157"/>
  <c r="AO134"/>
  <c r="AO190" s="1"/>
  <c r="AO222" s="1"/>
  <c r="BF6"/>
  <c r="BM165"/>
  <c r="BM8"/>
  <c r="BM180" s="1"/>
  <c r="BC140"/>
  <c r="AH39"/>
  <c r="AF41"/>
  <c r="AI52"/>
  <c r="AH60"/>
  <c r="AF63"/>
  <c r="AH66"/>
  <c r="AF69"/>
  <c r="AH70"/>
  <c r="AF73"/>
  <c r="AH74"/>
  <c r="AF78"/>
  <c r="AH79"/>
  <c r="AF82"/>
  <c r="AH83"/>
  <c r="AE86"/>
  <c r="AF96"/>
  <c r="AF121"/>
  <c r="AH135"/>
  <c r="AN166"/>
  <c r="AF137"/>
  <c r="AL85"/>
  <c r="AY159"/>
  <c r="BG9"/>
  <c r="BC53"/>
  <c r="BD116"/>
  <c r="BM77"/>
  <c r="BL165"/>
  <c r="BD9"/>
  <c r="BJ167"/>
  <c r="BK199"/>
  <c r="BD51"/>
  <c r="BD60"/>
  <c r="BK77"/>
  <c r="BK185" s="1"/>
  <c r="BC97"/>
  <c r="BM125"/>
  <c r="BM189" s="1"/>
  <c r="BM221" s="1"/>
  <c r="BD147"/>
  <c r="BM12"/>
  <c r="BK34"/>
  <c r="BK182" s="1"/>
  <c r="BM167"/>
  <c r="BM49"/>
  <c r="BM183" s="1"/>
  <c r="BM215" s="1"/>
  <c r="BJ64"/>
  <c r="BJ184" s="1"/>
  <c r="BD59"/>
  <c r="BK95"/>
  <c r="BK187" s="1"/>
  <c r="BI109"/>
  <c r="BI134"/>
  <c r="BK134"/>
  <c r="BK190" s="1"/>
  <c r="BK159"/>
  <c r="BK191" s="1"/>
  <c r="AZ165"/>
  <c r="AX12"/>
  <c r="AR14"/>
  <c r="AR18"/>
  <c r="AR22"/>
  <c r="AR26"/>
  <c r="AQ40"/>
  <c r="AR51"/>
  <c r="AX77"/>
  <c r="AX185" s="1"/>
  <c r="AR70"/>
  <c r="AR79"/>
  <c r="AR87"/>
  <c r="BJ12"/>
  <c r="BA125"/>
  <c r="AQ114"/>
  <c r="AQ118"/>
  <c r="BC118"/>
  <c r="BD66"/>
  <c r="BJ165"/>
  <c r="BM64"/>
  <c r="BM184" s="1"/>
  <c r="BM216" s="1"/>
  <c r="BH85"/>
  <c r="BK125"/>
  <c r="BJ8"/>
  <c r="BJ180" s="1"/>
  <c r="BK165"/>
  <c r="BI49"/>
  <c r="BD54"/>
  <c r="BJ77"/>
  <c r="BJ185" s="1"/>
  <c r="BL95"/>
  <c r="BL187" s="1"/>
  <c r="BL125"/>
  <c r="BL189" s="1"/>
  <c r="BM166"/>
  <c r="BM159"/>
  <c r="BM191" s="1"/>
  <c r="BM223" s="1"/>
  <c r="BK8"/>
  <c r="BK180" s="1"/>
  <c r="BD13"/>
  <c r="BJ34"/>
  <c r="BJ182" s="1"/>
  <c r="BL167"/>
  <c r="BD21"/>
  <c r="BD25"/>
  <c r="BD79"/>
  <c r="BD87"/>
  <c r="BD90"/>
  <c r="BD16"/>
  <c r="BD20"/>
  <c r="BD24"/>
  <c r="BD28"/>
  <c r="BD37"/>
  <c r="BD41"/>
  <c r="BE50"/>
  <c r="BJ109"/>
  <c r="BJ188" s="1"/>
  <c r="BK204" s="1"/>
  <c r="BC101"/>
  <c r="BC105"/>
  <c r="BD126"/>
  <c r="BD130"/>
  <c r="BJ134"/>
  <c r="BJ190" s="1"/>
  <c r="BJ95"/>
  <c r="BA165"/>
  <c r="AY167"/>
  <c r="AZ49"/>
  <c r="AR43"/>
  <c r="AW134"/>
  <c r="AY134"/>
  <c r="AR142"/>
  <c r="AR146"/>
  <c r="BI8"/>
  <c r="BC36"/>
  <c r="BC40"/>
  <c r="BD86"/>
  <c r="BL166"/>
  <c r="BD146"/>
  <c r="D161" i="13"/>
  <c r="AD26" i="8"/>
  <c r="K92"/>
  <c r="CC92" s="1"/>
  <c r="K127"/>
  <c r="BB6"/>
  <c r="AP76"/>
  <c r="K76"/>
  <c r="CC76" s="1"/>
  <c r="K81"/>
  <c r="AP81"/>
  <c r="AP90"/>
  <c r="K90"/>
  <c r="AP93"/>
  <c r="K93"/>
  <c r="CC93" s="1"/>
  <c r="AP102"/>
  <c r="K102"/>
  <c r="K106"/>
  <c r="CC106" s="1"/>
  <c r="AP106"/>
  <c r="K111"/>
  <c r="AP111"/>
  <c r="K123"/>
  <c r="CC123" s="1"/>
  <c r="AP123"/>
  <c r="AP128"/>
  <c r="K128"/>
  <c r="AP141"/>
  <c r="K141"/>
  <c r="AP145"/>
  <c r="K145"/>
  <c r="K158"/>
  <c r="CC158" s="1"/>
  <c r="AP158"/>
  <c r="AD92"/>
  <c r="AJ12"/>
  <c r="AD105"/>
  <c r="AP119"/>
  <c r="K32"/>
  <c r="CC32" s="1"/>
  <c r="AP32"/>
  <c r="K28"/>
  <c r="CC28" s="1"/>
  <c r="K24"/>
  <c r="CC24" s="1"/>
  <c r="AP24"/>
  <c r="K20"/>
  <c r="CC20" s="1"/>
  <c r="AP16"/>
  <c r="K16"/>
  <c r="CC16" s="1"/>
  <c r="K35"/>
  <c r="K39"/>
  <c r="CC39" s="1"/>
  <c r="K43"/>
  <c r="CC43" s="1"/>
  <c r="AP43"/>
  <c r="AD43"/>
  <c r="K47"/>
  <c r="CC47" s="1"/>
  <c r="AP47"/>
  <c r="K52"/>
  <c r="CC52" s="1"/>
  <c r="K56"/>
  <c r="CC56" s="1"/>
  <c r="K60"/>
  <c r="CC60" s="1"/>
  <c r="AD24"/>
  <c r="K46"/>
  <c r="CC46" s="1"/>
  <c r="K10"/>
  <c r="CC10" s="1"/>
  <c r="AP10"/>
  <c r="AP67"/>
  <c r="K67"/>
  <c r="CC67" s="1"/>
  <c r="AP71"/>
  <c r="K71"/>
  <c r="CC71" s="1"/>
  <c r="AP80"/>
  <c r="K80"/>
  <c r="AD80"/>
  <c r="AP84"/>
  <c r="AD84"/>
  <c r="K84"/>
  <c r="K89"/>
  <c r="K97"/>
  <c r="AP105"/>
  <c r="K105"/>
  <c r="AP110"/>
  <c r="AD110"/>
  <c r="K114"/>
  <c r="AP118"/>
  <c r="K118"/>
  <c r="AP122"/>
  <c r="K122"/>
  <c r="CC122" s="1"/>
  <c r="AP131"/>
  <c r="K131"/>
  <c r="CC131" s="1"/>
  <c r="AD131"/>
  <c r="AP140"/>
  <c r="K140"/>
  <c r="AD144"/>
  <c r="AP157"/>
  <c r="K157"/>
  <c r="CC157" s="1"/>
  <c r="AD71"/>
  <c r="AP75"/>
  <c r="AP154"/>
  <c r="AP68"/>
  <c r="AV77"/>
  <c r="CC29"/>
  <c r="AP29"/>
  <c r="K25"/>
  <c r="CC25" s="1"/>
  <c r="AP21"/>
  <c r="K21"/>
  <c r="CC21" s="1"/>
  <c r="K38"/>
  <c r="CC38" s="1"/>
  <c r="AP38"/>
  <c r="AP59"/>
  <c r="K59"/>
  <c r="CC59" s="1"/>
  <c r="AP63"/>
  <c r="AD63"/>
  <c r="AD122"/>
  <c r="AP72"/>
  <c r="AP114"/>
  <c r="AP144"/>
  <c r="AV12"/>
  <c r="BB11"/>
  <c r="AP9"/>
  <c r="K9"/>
  <c r="CC9" s="1"/>
  <c r="AD9"/>
  <c r="K14"/>
  <c r="CC14" s="1"/>
  <c r="AP14"/>
  <c r="AD67"/>
  <c r="AD140"/>
  <c r="AJ85"/>
  <c r="BH12"/>
  <c r="BH49"/>
  <c r="K30"/>
  <c r="CC30" s="1"/>
  <c r="K66"/>
  <c r="AP66"/>
  <c r="K96"/>
  <c r="K104"/>
  <c r="AP104"/>
  <c r="K117"/>
  <c r="AP117"/>
  <c r="K54"/>
  <c r="CC54" s="1"/>
  <c r="K58"/>
  <c r="CC58" s="1"/>
  <c r="AP58"/>
  <c r="K62"/>
  <c r="AD15"/>
  <c r="AD124"/>
  <c r="AD155"/>
  <c r="AD13"/>
  <c r="AD17"/>
  <c r="AD21"/>
  <c r="AD25"/>
  <c r="AD29"/>
  <c r="AD33"/>
  <c r="AD58"/>
  <c r="AJ34"/>
  <c r="AV125"/>
  <c r="BB111"/>
  <c r="AP115"/>
  <c r="BB128"/>
  <c r="AP22"/>
  <c r="K22"/>
  <c r="CC22" s="1"/>
  <c r="K79"/>
  <c r="AP79"/>
  <c r="K88"/>
  <c r="K150"/>
  <c r="K108"/>
  <c r="CC108" s="1"/>
  <c r="AP108"/>
  <c r="AP121"/>
  <c r="CC31"/>
  <c r="AP31"/>
  <c r="AP27"/>
  <c r="CC23"/>
  <c r="CC19"/>
  <c r="AP19"/>
  <c r="CC15"/>
  <c r="CC36"/>
  <c r="CC40"/>
  <c r="CC69"/>
  <c r="AD31"/>
  <c r="AD44"/>
  <c r="AD69"/>
  <c r="AD104"/>
  <c r="AD120"/>
  <c r="AP113"/>
  <c r="AP152"/>
  <c r="K73"/>
  <c r="CC73" s="1"/>
  <c r="K124"/>
  <c r="CC124" s="1"/>
  <c r="K142"/>
  <c r="K26"/>
  <c r="CC26" s="1"/>
  <c r="K18"/>
  <c r="CC18" s="1"/>
  <c r="K70"/>
  <c r="CC70" s="1"/>
  <c r="AP70"/>
  <c r="K74"/>
  <c r="CC74" s="1"/>
  <c r="AP74"/>
  <c r="K100"/>
  <c r="K130"/>
  <c r="AP130"/>
  <c r="K143"/>
  <c r="AP143"/>
  <c r="AD30"/>
  <c r="AD38"/>
  <c r="AP30"/>
  <c r="AP156"/>
  <c r="AP6"/>
  <c r="K6"/>
  <c r="CC6" s="1"/>
  <c r="AP11"/>
  <c r="K11"/>
  <c r="CC11" s="1"/>
  <c r="CC33"/>
  <c r="AP33"/>
  <c r="CC53"/>
  <c r="AP61"/>
  <c r="AD22"/>
  <c r="AD57"/>
  <c r="AD74"/>
  <c r="AD116"/>
  <c r="AD151"/>
  <c r="AD156"/>
  <c r="AD6"/>
  <c r="AD11"/>
  <c r="AD16"/>
  <c r="AD20"/>
  <c r="AD28"/>
  <c r="AD32"/>
  <c r="AP15"/>
  <c r="AP18"/>
  <c r="AP23"/>
  <c r="AP26"/>
  <c r="AP48"/>
  <c r="AP62"/>
  <c r="K27"/>
  <c r="CC27" s="1"/>
  <c r="K44"/>
  <c r="CC44" s="1"/>
  <c r="K61"/>
  <c r="CC61" s="1"/>
  <c r="AD62"/>
  <c r="AD68"/>
  <c r="AD72"/>
  <c r="AD76"/>
  <c r="AD81"/>
  <c r="AD90"/>
  <c r="AD93"/>
  <c r="AD102"/>
  <c r="AD106"/>
  <c r="AD111"/>
  <c r="AD119"/>
  <c r="AD123"/>
  <c r="AD128"/>
  <c r="AD132"/>
  <c r="AD141"/>
  <c r="AD145"/>
  <c r="AD154"/>
  <c r="AD158"/>
  <c r="AV34"/>
  <c r="BB34" s="1"/>
  <c r="AP69"/>
  <c r="AP73"/>
  <c r="AV85"/>
  <c r="BB85" s="1"/>
  <c r="BB13"/>
  <c r="D161" i="14"/>
  <c r="CG40" i="8"/>
  <c r="CC42"/>
  <c r="CE43"/>
  <c r="CG44"/>
  <c r="CE69"/>
  <c r="CC72"/>
  <c r="CE73"/>
  <c r="CF96"/>
  <c r="CD38"/>
  <c r="CF39"/>
  <c r="CH66"/>
  <c r="CD68"/>
  <c r="CE14"/>
  <c r="CG35"/>
  <c r="CC37"/>
  <c r="CE38"/>
  <c r="CC41"/>
  <c r="CE42"/>
  <c r="CC45"/>
  <c r="CG47"/>
  <c r="CC51"/>
  <c r="CG53"/>
  <c r="CC55"/>
  <c r="CG61"/>
  <c r="CC63"/>
  <c r="CC68"/>
  <c r="CF42"/>
  <c r="CF46"/>
  <c r="CF56"/>
  <c r="AX85"/>
  <c r="AR38"/>
  <c r="AX34"/>
  <c r="AR112"/>
  <c r="AW49"/>
  <c r="AX95"/>
  <c r="AQ127"/>
  <c r="AF55"/>
  <c r="AF57"/>
  <c r="AG55"/>
  <c r="AG53"/>
  <c r="AM64"/>
  <c r="AM184" s="1"/>
  <c r="AG52"/>
  <c r="AB8"/>
  <c r="AB180" s="1"/>
  <c r="W49"/>
  <c r="T12"/>
  <c r="AB167"/>
  <c r="Z8"/>
  <c r="X12"/>
  <c r="X49"/>
  <c r="Z125"/>
  <c r="AA167"/>
  <c r="AC125"/>
  <c r="AC189" s="1"/>
  <c r="AC221" s="1"/>
  <c r="AB85"/>
  <c r="AB186" s="1"/>
  <c r="W12"/>
  <c r="Z49"/>
  <c r="AB64"/>
  <c r="AB184" s="1"/>
  <c r="AB95"/>
  <c r="AB187" s="1"/>
  <c r="X95"/>
  <c r="Z109"/>
  <c r="AB109"/>
  <c r="AB188" s="1"/>
  <c r="AB125"/>
  <c r="AB189" s="1"/>
  <c r="X134"/>
  <c r="AB134"/>
  <c r="AB190" s="1"/>
  <c r="U85"/>
  <c r="S95"/>
  <c r="W125"/>
  <c r="AA165"/>
  <c r="AC8"/>
  <c r="AC180" s="1"/>
  <c r="AC212" s="1"/>
  <c r="AC64"/>
  <c r="AC184" s="1"/>
  <c r="AC216" s="1"/>
  <c r="Y77"/>
  <c r="AA109"/>
  <c r="AA188" s="1"/>
  <c r="AB49"/>
  <c r="AB183" s="1"/>
  <c r="X77"/>
  <c r="V95"/>
  <c r="V134"/>
  <c r="V159"/>
  <c r="X34"/>
  <c r="Z77"/>
  <c r="Z95"/>
  <c r="U64"/>
  <c r="U184" s="1"/>
  <c r="CH38"/>
  <c r="AC12"/>
  <c r="AA34"/>
  <c r="AA182" s="1"/>
  <c r="Y34"/>
  <c r="AC167"/>
  <c r="AC49"/>
  <c r="AC183" s="1"/>
  <c r="AC215" s="1"/>
  <c r="Y64"/>
  <c r="AA64"/>
  <c r="AA184" s="1"/>
  <c r="AC77"/>
  <c r="AC185" s="1"/>
  <c r="AC217" s="1"/>
  <c r="AA77"/>
  <c r="AA185" s="1"/>
  <c r="AA85"/>
  <c r="AA186" s="1"/>
  <c r="Y95"/>
  <c r="AC109"/>
  <c r="AC188" s="1"/>
  <c r="AC220" s="1"/>
  <c r="AC134"/>
  <c r="AC190" s="1"/>
  <c r="AC222" s="1"/>
  <c r="S77"/>
  <c r="T8"/>
  <c r="V12"/>
  <c r="U49"/>
  <c r="S85"/>
  <c r="W95"/>
  <c r="S109"/>
  <c r="U109"/>
  <c r="W109"/>
  <c r="U125"/>
  <c r="S134"/>
  <c r="W159"/>
  <c r="R64"/>
  <c r="R184" s="1"/>
  <c r="T85"/>
  <c r="T109"/>
  <c r="V125"/>
  <c r="T125"/>
  <c r="T134"/>
  <c r="R134"/>
  <c r="V167"/>
  <c r="U77"/>
  <c r="W77"/>
  <c r="T165"/>
  <c r="U134"/>
  <c r="V166"/>
  <c r="AC85"/>
  <c r="AC186" s="1"/>
  <c r="AC218" s="1"/>
  <c r="G65"/>
  <c r="V64"/>
  <c r="S64"/>
  <c r="Z159"/>
  <c r="Z166"/>
  <c r="T64"/>
  <c r="R77"/>
  <c r="V77"/>
  <c r="V85"/>
  <c r="Y12"/>
  <c r="Y49"/>
  <c r="AA49"/>
  <c r="AA183" s="1"/>
  <c r="AC95"/>
  <c r="AC187" s="1"/>
  <c r="AC219" s="1"/>
  <c r="AA125"/>
  <c r="AA189" s="1"/>
  <c r="Y134"/>
  <c r="AA134"/>
  <c r="AA190" s="1"/>
  <c r="AA166"/>
  <c r="U167"/>
  <c r="T167"/>
  <c r="U95"/>
  <c r="S125"/>
  <c r="V34"/>
  <c r="CG14"/>
  <c r="S167"/>
  <c r="T95"/>
  <c r="V109"/>
  <c r="R125"/>
  <c r="S49"/>
  <c r="CD67"/>
  <c r="Z12"/>
  <c r="Z134"/>
  <c r="AA8"/>
  <c r="AA180" s="1"/>
  <c r="S12"/>
  <c r="S166"/>
  <c r="S159"/>
  <c r="R49"/>
  <c r="T166"/>
  <c r="T159"/>
  <c r="AC166"/>
  <c r="AC159"/>
  <c r="AC191" s="1"/>
  <c r="AC223" s="1"/>
  <c r="U166"/>
  <c r="V49"/>
  <c r="R95"/>
  <c r="V165"/>
  <c r="V8"/>
  <c r="O5"/>
  <c r="U8"/>
  <c r="W8"/>
  <c r="W167"/>
  <c r="S34"/>
  <c r="AQ34" s="1"/>
  <c r="CE35"/>
  <c r="T49"/>
  <c r="U159"/>
  <c r="AA12"/>
  <c r="AA159"/>
  <c r="AA191" s="1"/>
  <c r="AC165"/>
  <c r="U165"/>
  <c r="U12"/>
  <c r="CE66"/>
  <c r="T77"/>
  <c r="W134"/>
  <c r="W166"/>
  <c r="AB12"/>
  <c r="X64"/>
  <c r="AB77"/>
  <c r="AB185" s="1"/>
  <c r="AB159"/>
  <c r="AB191" s="1"/>
  <c r="P5"/>
  <c r="W165"/>
  <c r="R167"/>
  <c r="W85"/>
  <c r="AB34"/>
  <c r="AB182" s="1"/>
  <c r="Z64"/>
  <c r="X125"/>
  <c r="R109"/>
  <c r="AC34"/>
  <c r="AC182" s="1"/>
  <c r="AC214" s="1"/>
  <c r="AA95"/>
  <c r="AA187" s="1"/>
  <c r="Y125"/>
  <c r="AB165"/>
  <c r="AB166"/>
  <c r="M64" i="14"/>
  <c r="M64" i="13"/>
  <c r="W64" i="8"/>
  <c r="W34"/>
  <c r="R34"/>
  <c r="T34"/>
  <c r="U34"/>
  <c r="R12"/>
  <c r="M109" i="14"/>
  <c r="I8"/>
  <c r="I85"/>
  <c r="I34"/>
  <c r="I77"/>
  <c r="K109"/>
  <c r="AB85"/>
  <c r="I159"/>
  <c r="K64"/>
  <c r="AB134"/>
  <c r="K125"/>
  <c r="G160" i="8"/>
  <c r="AB162" i="12"/>
  <c r="AB153"/>
  <c r="M153"/>
  <c r="K153"/>
  <c r="I153"/>
  <c r="AB152"/>
  <c r="M152"/>
  <c r="K152"/>
  <c r="I152"/>
  <c r="AB151"/>
  <c r="M151"/>
  <c r="K151"/>
  <c r="I151"/>
  <c r="AB149"/>
  <c r="M149"/>
  <c r="K149"/>
  <c r="I149"/>
  <c r="AB148"/>
  <c r="M148"/>
  <c r="K148"/>
  <c r="I148"/>
  <c r="AB147"/>
  <c r="M147"/>
  <c r="K147"/>
  <c r="I147"/>
  <c r="AB146"/>
  <c r="M146"/>
  <c r="K146"/>
  <c r="I146"/>
  <c r="AB145"/>
  <c r="M145"/>
  <c r="K145"/>
  <c r="I145"/>
  <c r="AB144"/>
  <c r="M144"/>
  <c r="K144"/>
  <c r="I144"/>
  <c r="AB143"/>
  <c r="K143"/>
  <c r="I143"/>
  <c r="AB142"/>
  <c r="M142"/>
  <c r="K142"/>
  <c r="I142"/>
  <c r="AB141"/>
  <c r="M141"/>
  <c r="K141"/>
  <c r="I141"/>
  <c r="AB140"/>
  <c r="M140"/>
  <c r="K140"/>
  <c r="I140"/>
  <c r="AB139"/>
  <c r="M139"/>
  <c r="K139"/>
  <c r="I139"/>
  <c r="AB138"/>
  <c r="M138"/>
  <c r="K138"/>
  <c r="I138"/>
  <c r="AB137"/>
  <c r="M137"/>
  <c r="K137"/>
  <c r="I137"/>
  <c r="AB136"/>
  <c r="M136"/>
  <c r="K136"/>
  <c r="I136"/>
  <c r="AB135"/>
  <c r="M135"/>
  <c r="K135"/>
  <c r="I135"/>
  <c r="AB134"/>
  <c r="AB130"/>
  <c r="M130"/>
  <c r="K130"/>
  <c r="I130"/>
  <c r="AB129"/>
  <c r="M129"/>
  <c r="K129"/>
  <c r="I129"/>
  <c r="AB128"/>
  <c r="M128"/>
  <c r="K128"/>
  <c r="I128"/>
  <c r="AB127"/>
  <c r="M127"/>
  <c r="K127"/>
  <c r="I127"/>
  <c r="AB126"/>
  <c r="M126"/>
  <c r="K126"/>
  <c r="I126"/>
  <c r="AB121"/>
  <c r="M121"/>
  <c r="K121"/>
  <c r="I121"/>
  <c r="AB120"/>
  <c r="M120"/>
  <c r="K120"/>
  <c r="I120"/>
  <c r="AB119"/>
  <c r="M119"/>
  <c r="K119"/>
  <c r="I119"/>
  <c r="AB118"/>
  <c r="M118"/>
  <c r="K118"/>
  <c r="I118"/>
  <c r="AB117"/>
  <c r="M117"/>
  <c r="K117"/>
  <c r="I117"/>
  <c r="AB116"/>
  <c r="M116"/>
  <c r="K116"/>
  <c r="I116"/>
  <c r="AB115"/>
  <c r="M115"/>
  <c r="K115"/>
  <c r="I115"/>
  <c r="AB114"/>
  <c r="M114"/>
  <c r="K114"/>
  <c r="I114"/>
  <c r="AB113"/>
  <c r="M113"/>
  <c r="K113"/>
  <c r="I113"/>
  <c r="AB112"/>
  <c r="M112"/>
  <c r="K112"/>
  <c r="I112"/>
  <c r="AB111"/>
  <c r="M111"/>
  <c r="K111"/>
  <c r="I111"/>
  <c r="AB110"/>
  <c r="M110"/>
  <c r="K110"/>
  <c r="I110"/>
  <c r="AB109"/>
  <c r="AB105"/>
  <c r="M105"/>
  <c r="K105"/>
  <c r="I105"/>
  <c r="AB104"/>
  <c r="M104"/>
  <c r="K104"/>
  <c r="I104"/>
  <c r="AB103"/>
  <c r="M103"/>
  <c r="K103"/>
  <c r="I103"/>
  <c r="AB102"/>
  <c r="M102"/>
  <c r="K102"/>
  <c r="I102"/>
  <c r="AB101"/>
  <c r="M101"/>
  <c r="K101"/>
  <c r="I101"/>
  <c r="AB100"/>
  <c r="M100"/>
  <c r="K100"/>
  <c r="I100"/>
  <c r="AB99"/>
  <c r="K99"/>
  <c r="I99"/>
  <c r="AB98"/>
  <c r="M98"/>
  <c r="K98"/>
  <c r="I98"/>
  <c r="AB97"/>
  <c r="M97"/>
  <c r="K97"/>
  <c r="I97"/>
  <c r="AB96"/>
  <c r="M96"/>
  <c r="K96"/>
  <c r="I96"/>
  <c r="AB150"/>
  <c r="M150"/>
  <c r="K150"/>
  <c r="I150"/>
  <c r="AB91"/>
  <c r="M91"/>
  <c r="K91"/>
  <c r="I91"/>
  <c r="AB90"/>
  <c r="M90"/>
  <c r="K90"/>
  <c r="I90"/>
  <c r="AB89"/>
  <c r="M89"/>
  <c r="K89"/>
  <c r="I89"/>
  <c r="AB88"/>
  <c r="M88"/>
  <c r="K88"/>
  <c r="I88"/>
  <c r="AB87"/>
  <c r="M87"/>
  <c r="K87"/>
  <c r="I87"/>
  <c r="AB86"/>
  <c r="M86"/>
  <c r="K86"/>
  <c r="I86"/>
  <c r="V85"/>
  <c r="U85"/>
  <c r="T85"/>
  <c r="S85"/>
  <c r="R85"/>
  <c r="Q85"/>
  <c r="P85"/>
  <c r="O85"/>
  <c r="N85"/>
  <c r="L85"/>
  <c r="J85"/>
  <c r="H85"/>
  <c r="G85"/>
  <c r="AB85" s="1"/>
  <c r="AB84"/>
  <c r="M84"/>
  <c r="K84"/>
  <c r="I84"/>
  <c r="AB83"/>
  <c r="M83"/>
  <c r="K83"/>
  <c r="I83"/>
  <c r="AB82"/>
  <c r="M82"/>
  <c r="K82"/>
  <c r="I82"/>
  <c r="AB81"/>
  <c r="M81"/>
  <c r="K81"/>
  <c r="I81"/>
  <c r="AB80"/>
  <c r="M80"/>
  <c r="K80"/>
  <c r="I80"/>
  <c r="AB79"/>
  <c r="M79"/>
  <c r="K79"/>
  <c r="I79"/>
  <c r="AB78"/>
  <c r="M78"/>
  <c r="K78"/>
  <c r="I78"/>
  <c r="AB73"/>
  <c r="M73"/>
  <c r="K73"/>
  <c r="I73"/>
  <c r="AB72"/>
  <c r="M72"/>
  <c r="K72"/>
  <c r="I72"/>
  <c r="AB71"/>
  <c r="M71"/>
  <c r="K71"/>
  <c r="I71"/>
  <c r="AB70"/>
  <c r="M70"/>
  <c r="K70"/>
  <c r="I70"/>
  <c r="AB69"/>
  <c r="M69"/>
  <c r="K69"/>
  <c r="I69"/>
  <c r="AB68"/>
  <c r="M68"/>
  <c r="K68"/>
  <c r="I68"/>
  <c r="AB67"/>
  <c r="M67"/>
  <c r="K67"/>
  <c r="I67"/>
  <c r="AB66"/>
  <c r="M66"/>
  <c r="K66"/>
  <c r="I66"/>
  <c r="D65"/>
  <c r="AB64"/>
  <c r="AB60"/>
  <c r="M60"/>
  <c r="K60"/>
  <c r="I60"/>
  <c r="AB59"/>
  <c r="M59"/>
  <c r="K59"/>
  <c r="I59"/>
  <c r="AB58"/>
  <c r="M58"/>
  <c r="K58"/>
  <c r="I58"/>
  <c r="AB57"/>
  <c r="M57"/>
  <c r="K57"/>
  <c r="I57"/>
  <c r="AB56"/>
  <c r="M56"/>
  <c r="K56"/>
  <c r="I56"/>
  <c r="AB55"/>
  <c r="M55"/>
  <c r="K55"/>
  <c r="I55"/>
  <c r="AB54"/>
  <c r="M54"/>
  <c r="K54"/>
  <c r="I54"/>
  <c r="AB53"/>
  <c r="M53"/>
  <c r="K53"/>
  <c r="I53"/>
  <c r="AB52"/>
  <c r="M52"/>
  <c r="K52"/>
  <c r="I52"/>
  <c r="AB51"/>
  <c r="M51"/>
  <c r="K51"/>
  <c r="I51"/>
  <c r="AB50"/>
  <c r="M50"/>
  <c r="K50"/>
  <c r="I50"/>
  <c r="AB45"/>
  <c r="M45"/>
  <c r="K45"/>
  <c r="I45"/>
  <c r="AB44"/>
  <c r="M44"/>
  <c r="K44"/>
  <c r="I44"/>
  <c r="AB43"/>
  <c r="M43"/>
  <c r="K43"/>
  <c r="I43"/>
  <c r="AB42"/>
  <c r="M42"/>
  <c r="K42"/>
  <c r="I42"/>
  <c r="AB41"/>
  <c r="M41"/>
  <c r="K41"/>
  <c r="I41"/>
  <c r="AB40"/>
  <c r="M40"/>
  <c r="K40"/>
  <c r="I40"/>
  <c r="AB39"/>
  <c r="M39"/>
  <c r="K39"/>
  <c r="I39"/>
  <c r="AB38"/>
  <c r="M38"/>
  <c r="K38"/>
  <c r="I38"/>
  <c r="AB37"/>
  <c r="M37"/>
  <c r="K37"/>
  <c r="I37"/>
  <c r="AB36"/>
  <c r="M36"/>
  <c r="K36"/>
  <c r="I36"/>
  <c r="AB35"/>
  <c r="M35"/>
  <c r="K35"/>
  <c r="I35"/>
  <c r="AB28"/>
  <c r="M28"/>
  <c r="K28"/>
  <c r="I28"/>
  <c r="AB27"/>
  <c r="M27"/>
  <c r="K27"/>
  <c r="I27"/>
  <c r="AB26"/>
  <c r="M26"/>
  <c r="K26"/>
  <c r="I26"/>
  <c r="AB25"/>
  <c r="M25"/>
  <c r="K25"/>
  <c r="I25"/>
  <c r="AB24"/>
  <c r="M24"/>
  <c r="K24"/>
  <c r="I24"/>
  <c r="AB23"/>
  <c r="M23"/>
  <c r="K23"/>
  <c r="I23"/>
  <c r="AB22"/>
  <c r="M22"/>
  <c r="K22"/>
  <c r="I22"/>
  <c r="AB21"/>
  <c r="M21"/>
  <c r="K21"/>
  <c r="I21"/>
  <c r="AB20"/>
  <c r="M20"/>
  <c r="K20"/>
  <c r="I20"/>
  <c r="AB19"/>
  <c r="M19"/>
  <c r="K19"/>
  <c r="I19"/>
  <c r="AB18"/>
  <c r="M18"/>
  <c r="K18"/>
  <c r="I18"/>
  <c r="AB17"/>
  <c r="M17"/>
  <c r="K17"/>
  <c r="I17"/>
  <c r="AB16"/>
  <c r="M16"/>
  <c r="K16"/>
  <c r="I16"/>
  <c r="AB15"/>
  <c r="M15"/>
  <c r="K15"/>
  <c r="I15"/>
  <c r="AB14"/>
  <c r="M14"/>
  <c r="K14"/>
  <c r="I14"/>
  <c r="AB13"/>
  <c r="M13"/>
  <c r="K13"/>
  <c r="I13"/>
  <c r="AB9"/>
  <c r="M9"/>
  <c r="K9"/>
  <c r="I9"/>
  <c r="AB5"/>
  <c r="M5"/>
  <c r="K5"/>
  <c r="I5"/>
  <c r="BK168" i="8" l="1"/>
  <c r="U176"/>
  <c r="AM213"/>
  <c r="AN229" s="1"/>
  <c r="AN197"/>
  <c r="BK200"/>
  <c r="BK176"/>
  <c r="BM196"/>
  <c r="BL222"/>
  <c r="BM238" s="1"/>
  <c r="AO203"/>
  <c r="AY176"/>
  <c r="CD66"/>
  <c r="BM202"/>
  <c r="CG66"/>
  <c r="AN206"/>
  <c r="BM201"/>
  <c r="BM200"/>
  <c r="AN217"/>
  <c r="AO233" s="1"/>
  <c r="AO176"/>
  <c r="AB176"/>
  <c r="AC176"/>
  <c r="BM176"/>
  <c r="BL215"/>
  <c r="BM231" s="1"/>
  <c r="BL176"/>
  <c r="AZ184"/>
  <c r="BA200" s="1"/>
  <c r="AZ176"/>
  <c r="AN176"/>
  <c r="BL214"/>
  <c r="BM230" s="1"/>
  <c r="V176"/>
  <c r="AZ177" s="1"/>
  <c r="AA176"/>
  <c r="K65" i="13"/>
  <c r="BL220" i="8"/>
  <c r="BM236" s="1"/>
  <c r="M65" i="14"/>
  <c r="AM212" i="8"/>
  <c r="BE95"/>
  <c r="P8"/>
  <c r="CH8" s="1"/>
  <c r="AC181"/>
  <c r="AC213" s="1"/>
  <c r="AN196"/>
  <c r="AA181"/>
  <c r="AB197" s="1"/>
  <c r="BC12"/>
  <c r="W176"/>
  <c r="AO177" s="1"/>
  <c r="AB181"/>
  <c r="AB213" s="1"/>
  <c r="AC229" s="1"/>
  <c r="BL200"/>
  <c r="BK202"/>
  <c r="BK218"/>
  <c r="BL234" s="1"/>
  <c r="AN181"/>
  <c r="AN213" s="1"/>
  <c r="AO229" s="1"/>
  <c r="AM176"/>
  <c r="BL181"/>
  <c r="BL192" s="1"/>
  <c r="AO181"/>
  <c r="AO213" s="1"/>
  <c r="BK181"/>
  <c r="BB12"/>
  <c r="AL177"/>
  <c r="BA176"/>
  <c r="AP12"/>
  <c r="BM181"/>
  <c r="BM213" s="1"/>
  <c r="AQ12"/>
  <c r="BJ181"/>
  <c r="AW160"/>
  <c r="AY160"/>
  <c r="AY161" s="1"/>
  <c r="BI176"/>
  <c r="BL160"/>
  <c r="BL161" s="1"/>
  <c r="AR77"/>
  <c r="AQ49"/>
  <c r="BJ221"/>
  <c r="N8"/>
  <c r="CF8" s="1"/>
  <c r="AY168"/>
  <c r="BA160"/>
  <c r="BG160" s="1"/>
  <c r="AQ95"/>
  <c r="AQ85"/>
  <c r="CF6"/>
  <c r="AP77"/>
  <c r="BJ218"/>
  <c r="AM168"/>
  <c r="BJ220"/>
  <c r="BK236" s="1"/>
  <c r="BI160"/>
  <c r="AC201"/>
  <c r="AB217"/>
  <c r="AC233" s="1"/>
  <c r="V183"/>
  <c r="AH49"/>
  <c r="AT49"/>
  <c r="AA221"/>
  <c r="AB237" s="1"/>
  <c r="AB205"/>
  <c r="U189"/>
  <c r="AG125"/>
  <c r="AS125"/>
  <c r="T180"/>
  <c r="AB200"/>
  <c r="AA216"/>
  <c r="U216"/>
  <c r="AZ168"/>
  <c r="AZ189"/>
  <c r="BF125"/>
  <c r="AN220"/>
  <c r="AO236" s="1"/>
  <c r="AO204"/>
  <c r="BG49"/>
  <c r="BA183"/>
  <c r="BA215" s="1"/>
  <c r="AS134"/>
  <c r="AG134"/>
  <c r="U190"/>
  <c r="AY182"/>
  <c r="BE34"/>
  <c r="AZ188"/>
  <c r="BF109"/>
  <c r="AZ180"/>
  <c r="BF8"/>
  <c r="CH99"/>
  <c r="P109"/>
  <c r="CH109" s="1"/>
  <c r="AY189"/>
  <c r="BE125"/>
  <c r="BK216"/>
  <c r="BL232" s="1"/>
  <c r="CF126"/>
  <c r="N134"/>
  <c r="CF134" s="1"/>
  <c r="AO160"/>
  <c r="AO161" s="1"/>
  <c r="O159"/>
  <c r="CG159" s="1"/>
  <c r="CG135"/>
  <c r="CG126"/>
  <c r="O134"/>
  <c r="CG134" s="1"/>
  <c r="N159"/>
  <c r="CF159" s="1"/>
  <c r="CF135"/>
  <c r="CH110"/>
  <c r="P125"/>
  <c r="CH125" s="1"/>
  <c r="N109"/>
  <c r="CF109" s="1"/>
  <c r="BA186"/>
  <c r="BA218" s="1"/>
  <c r="BG85"/>
  <c r="AI49"/>
  <c r="AO183"/>
  <c r="AO215" s="1"/>
  <c r="BL207"/>
  <c r="BK223"/>
  <c r="BL239" s="1"/>
  <c r="CD6"/>
  <c r="AR134"/>
  <c r="AX190"/>
  <c r="BJ214"/>
  <c r="CF110"/>
  <c r="N125"/>
  <c r="CF125" s="1"/>
  <c r="U182"/>
  <c r="AS34"/>
  <c r="AG34"/>
  <c r="P64"/>
  <c r="CH64" s="1"/>
  <c r="AB220"/>
  <c r="AC236" s="1"/>
  <c r="AC204"/>
  <c r="W183"/>
  <c r="W215" s="1"/>
  <c r="AU49"/>
  <c r="R216"/>
  <c r="BJ212"/>
  <c r="BK228" s="1"/>
  <c r="BK196"/>
  <c r="BK222"/>
  <c r="BL238" s="1"/>
  <c r="BL206"/>
  <c r="BK214"/>
  <c r="BL230" s="1"/>
  <c r="BL198"/>
  <c r="BM185"/>
  <c r="BM217" s="1"/>
  <c r="BM160"/>
  <c r="BM161" s="1"/>
  <c r="AY191"/>
  <c r="BE159"/>
  <c r="CD50"/>
  <c r="O95"/>
  <c r="CG95" s="1"/>
  <c r="AA215"/>
  <c r="AB231" s="1"/>
  <c r="AB199"/>
  <c r="BG77"/>
  <c r="BA185"/>
  <c r="BA217" s="1"/>
  <c r="CH67"/>
  <c r="P77"/>
  <c r="CH77" s="1"/>
  <c r="V190"/>
  <c r="AT134"/>
  <c r="AH134"/>
  <c r="AB212"/>
  <c r="AC228" s="1"/>
  <c r="AC196"/>
  <c r="AR95"/>
  <c r="AX187"/>
  <c r="AY190"/>
  <c r="BE134"/>
  <c r="BK206"/>
  <c r="BJ222"/>
  <c r="BK189"/>
  <c r="BK192" s="1"/>
  <c r="BK160"/>
  <c r="BK161" s="1"/>
  <c r="BA189"/>
  <c r="BA221" s="1"/>
  <c r="BG125"/>
  <c r="AU159"/>
  <c r="W191"/>
  <c r="W223" s="1"/>
  <c r="AI159"/>
  <c r="U183"/>
  <c r="AS49"/>
  <c r="AA217"/>
  <c r="AB233" s="1"/>
  <c r="AB201"/>
  <c r="V187"/>
  <c r="AT95"/>
  <c r="AH95"/>
  <c r="W189"/>
  <c r="W221" s="1"/>
  <c r="AI125"/>
  <c r="AU125"/>
  <c r="P159"/>
  <c r="CH159" s="1"/>
  <c r="O49"/>
  <c r="CG49" s="1"/>
  <c r="M65" i="13"/>
  <c r="BA181" i="8"/>
  <c r="BA213" s="1"/>
  <c r="BG12"/>
  <c r="BF159"/>
  <c r="AZ191"/>
  <c r="O109"/>
  <c r="CG109" s="1"/>
  <c r="CG96"/>
  <c r="O85"/>
  <c r="CG85" s="1"/>
  <c r="BJ187"/>
  <c r="BL196"/>
  <c r="BK212"/>
  <c r="BL228" s="1"/>
  <c r="AB223"/>
  <c r="AC239" s="1"/>
  <c r="AC207"/>
  <c r="U181"/>
  <c r="AS12"/>
  <c r="AG12"/>
  <c r="V181"/>
  <c r="AT12"/>
  <c r="AH12"/>
  <c r="P85"/>
  <c r="CH85" s="1"/>
  <c r="AM185"/>
  <c r="AM160"/>
  <c r="AM161" s="1"/>
  <c r="BA190"/>
  <c r="BA222" s="1"/>
  <c r="BG134"/>
  <c r="A65" i="13"/>
  <c r="I65"/>
  <c r="AO198" i="8"/>
  <c r="AN214"/>
  <c r="AO230" s="1"/>
  <c r="AN207"/>
  <c r="AM223"/>
  <c r="AN239" s="1"/>
  <c r="AQ159"/>
  <c r="AZ190"/>
  <c r="BF134"/>
  <c r="AY183"/>
  <c r="BE49"/>
  <c r="AZ182"/>
  <c r="BF34"/>
  <c r="CF50"/>
  <c r="V182"/>
  <c r="AT34"/>
  <c r="AH34"/>
  <c r="V189"/>
  <c r="AT125"/>
  <c r="AH125"/>
  <c r="W188"/>
  <c r="W220" s="1"/>
  <c r="AU109"/>
  <c r="AI109"/>
  <c r="AQ77"/>
  <c r="AB215"/>
  <c r="AC231" s="1"/>
  <c r="AC199"/>
  <c r="AC203"/>
  <c r="AB219"/>
  <c r="AC235" s="1"/>
  <c r="AN200"/>
  <c r="AM216"/>
  <c r="BJ216"/>
  <c r="AX217"/>
  <c r="AQ134"/>
  <c r="BL221"/>
  <c r="BM237" s="1"/>
  <c r="BM205"/>
  <c r="AS64"/>
  <c r="AY184"/>
  <c r="BE64"/>
  <c r="AN203"/>
  <c r="AM219"/>
  <c r="AN235" s="1"/>
  <c r="AG49"/>
  <c r="AM183"/>
  <c r="AR49"/>
  <c r="AX183"/>
  <c r="AY180"/>
  <c r="BE8"/>
  <c r="BA184"/>
  <c r="BA216" s="1"/>
  <c r="BG64"/>
  <c r="AN198"/>
  <c r="AM214"/>
  <c r="AN230" s="1"/>
  <c r="CE15"/>
  <c r="CE51"/>
  <c r="AB214"/>
  <c r="AC230" s="1"/>
  <c r="AC198"/>
  <c r="AA223"/>
  <c r="AB239" s="1"/>
  <c r="AB207"/>
  <c r="W180"/>
  <c r="AU8"/>
  <c r="AI8"/>
  <c r="AB216"/>
  <c r="AC232" s="1"/>
  <c r="AC200"/>
  <c r="AN212"/>
  <c r="AO228" s="1"/>
  <c r="AO196"/>
  <c r="AY188"/>
  <c r="BE109"/>
  <c r="CG111"/>
  <c r="O125"/>
  <c r="CG125" s="1"/>
  <c r="N49"/>
  <c r="CF49" s="1"/>
  <c r="AB203"/>
  <c r="AA219"/>
  <c r="AB235" s="1"/>
  <c r="W186"/>
  <c r="W218" s="1"/>
  <c r="AI85"/>
  <c r="AU85"/>
  <c r="AS8"/>
  <c r="U180"/>
  <c r="AG8"/>
  <c r="U185"/>
  <c r="AG77"/>
  <c r="AS77"/>
  <c r="AB222"/>
  <c r="AC238" s="1"/>
  <c r="AC206"/>
  <c r="BF49"/>
  <c r="AZ183"/>
  <c r="BJ217"/>
  <c r="BK233" s="1"/>
  <c r="BK201"/>
  <c r="BK219"/>
  <c r="BL235" s="1"/>
  <c r="BL203"/>
  <c r="AN168"/>
  <c r="BM212"/>
  <c r="AR125"/>
  <c r="AX189"/>
  <c r="AY186"/>
  <c r="BE85"/>
  <c r="BL223"/>
  <c r="BM239" s="1"/>
  <c r="BM207"/>
  <c r="AO207"/>
  <c r="AN223"/>
  <c r="AO239" s="1"/>
  <c r="AN221"/>
  <c r="AO237" s="1"/>
  <c r="AO205"/>
  <c r="AM218"/>
  <c r="AN234" s="1"/>
  <c r="AN202"/>
  <c r="BF95"/>
  <c r="AZ187"/>
  <c r="AL160"/>
  <c r="AN222"/>
  <c r="AO238" s="1"/>
  <c r="AO206"/>
  <c r="CF78"/>
  <c r="N85"/>
  <c r="CF85" s="1"/>
  <c r="BA188"/>
  <c r="BA220" s="1"/>
  <c r="BG109"/>
  <c r="BA168"/>
  <c r="AZ181"/>
  <c r="BF12"/>
  <c r="AN160"/>
  <c r="AN161" s="1"/>
  <c r="AM221"/>
  <c r="AN237" s="1"/>
  <c r="AN205"/>
  <c r="CH126"/>
  <c r="P134"/>
  <c r="CH134" s="1"/>
  <c r="W185"/>
  <c r="W217" s="1"/>
  <c r="AU77"/>
  <c r="AI77"/>
  <c r="U186"/>
  <c r="AS85"/>
  <c r="AR34"/>
  <c r="AX182"/>
  <c r="BL219"/>
  <c r="BM235" s="1"/>
  <c r="BM203"/>
  <c r="BA187"/>
  <c r="BA219" s="1"/>
  <c r="BG95"/>
  <c r="AR159"/>
  <c r="AX191"/>
  <c r="I65" i="14"/>
  <c r="W190" i="8"/>
  <c r="W222" s="1"/>
  <c r="AU134"/>
  <c r="AI134"/>
  <c r="U191"/>
  <c r="AS159"/>
  <c r="AG159"/>
  <c r="V188"/>
  <c r="AT109"/>
  <c r="AH109"/>
  <c r="U187"/>
  <c r="AG95"/>
  <c r="AS95"/>
  <c r="AA222"/>
  <c r="AB238" s="1"/>
  <c r="AB206"/>
  <c r="AT85"/>
  <c r="V186"/>
  <c r="AH85"/>
  <c r="V184"/>
  <c r="AT64"/>
  <c r="AH64"/>
  <c r="W187"/>
  <c r="W219" s="1"/>
  <c r="AU95"/>
  <c r="AI95"/>
  <c r="W181"/>
  <c r="W213" s="1"/>
  <c r="AI12"/>
  <c r="AU12"/>
  <c r="BK198"/>
  <c r="BL168"/>
  <c r="BM168"/>
  <c r="AQ109"/>
  <c r="AN218"/>
  <c r="AO234" s="1"/>
  <c r="AO202"/>
  <c r="AG85"/>
  <c r="AY185"/>
  <c r="AY201" s="1"/>
  <c r="BE77"/>
  <c r="AY181"/>
  <c r="BE12"/>
  <c r="AQ125"/>
  <c r="BA182"/>
  <c r="BA214" s="1"/>
  <c r="BG34"/>
  <c r="BA191"/>
  <c r="BA223" s="1"/>
  <c r="BG159"/>
  <c r="AZ186"/>
  <c r="BF85"/>
  <c r="AZ160"/>
  <c r="AZ185"/>
  <c r="BF77"/>
  <c r="BA180"/>
  <c r="BG8"/>
  <c r="AO212"/>
  <c r="A65" i="14"/>
  <c r="AO200" i="8"/>
  <c r="AN216"/>
  <c r="AO232" s="1"/>
  <c r="K8" i="12"/>
  <c r="W182" i="8"/>
  <c r="W214" s="1"/>
  <c r="AI34"/>
  <c r="AU34"/>
  <c r="U188"/>
  <c r="AS109"/>
  <c r="AG109"/>
  <c r="AB204"/>
  <c r="AA220"/>
  <c r="AB236" s="1"/>
  <c r="M159" i="12"/>
  <c r="W184" i="8"/>
  <c r="W216" s="1"/>
  <c r="AU64"/>
  <c r="AI64"/>
  <c r="V180"/>
  <c r="AT8"/>
  <c r="AH8"/>
  <c r="AA212"/>
  <c r="AB228" s="1"/>
  <c r="AB196"/>
  <c r="V185"/>
  <c r="AT77"/>
  <c r="AH77"/>
  <c r="AA218"/>
  <c r="AB234" s="1"/>
  <c r="AB202"/>
  <c r="AA214"/>
  <c r="AB230" s="1"/>
  <c r="AB198"/>
  <c r="V191"/>
  <c r="AT159"/>
  <c r="AH159"/>
  <c r="AB221"/>
  <c r="AC237" s="1"/>
  <c r="AC205"/>
  <c r="AB218"/>
  <c r="AC234" s="1"/>
  <c r="AC202"/>
  <c r="AR85"/>
  <c r="AX186"/>
  <c r="AR12"/>
  <c r="AX181"/>
  <c r="BL201"/>
  <c r="BK217"/>
  <c r="BL233" s="1"/>
  <c r="CF86"/>
  <c r="N95"/>
  <c r="CF95" s="1"/>
  <c r="AQ64"/>
  <c r="AM220"/>
  <c r="AN236" s="1"/>
  <c r="AN204"/>
  <c r="AO168"/>
  <c r="P95"/>
  <c r="CH95" s="1"/>
  <c r="CH86"/>
  <c r="AY219"/>
  <c r="AZ235" s="1"/>
  <c r="AZ203"/>
  <c r="R182"/>
  <c r="R214" s="1"/>
  <c r="AP34"/>
  <c r="K12"/>
  <c r="CC12" s="1"/>
  <c r="CC62"/>
  <c r="AP125"/>
  <c r="AA168"/>
  <c r="AG64"/>
  <c r="O64"/>
  <c r="CG64" s="1"/>
  <c r="P49"/>
  <c r="CH49" s="1"/>
  <c r="AC65"/>
  <c r="N34"/>
  <c r="CF34" s="1"/>
  <c r="AC160"/>
  <c r="AB168"/>
  <c r="U168"/>
  <c r="V65"/>
  <c r="AB65"/>
  <c r="N64"/>
  <c r="CF64" s="1"/>
  <c r="T65"/>
  <c r="AA160"/>
  <c r="O77"/>
  <c r="CG77" s="1"/>
  <c r="P12"/>
  <c r="CH12" s="1"/>
  <c r="S160"/>
  <c r="R185"/>
  <c r="R217" s="1"/>
  <c r="AC168"/>
  <c r="AA65"/>
  <c r="N12"/>
  <c r="CF9"/>
  <c r="CH5"/>
  <c r="U65"/>
  <c r="L12"/>
  <c r="CD12" s="1"/>
  <c r="CD9"/>
  <c r="AB160"/>
  <c r="W160"/>
  <c r="V160"/>
  <c r="U160"/>
  <c r="CG5"/>
  <c r="O8"/>
  <c r="CG8" s="1"/>
  <c r="O12"/>
  <c r="CG12" s="1"/>
  <c r="CG9"/>
  <c r="O34"/>
  <c r="CG34" s="1"/>
  <c r="V168"/>
  <c r="W65"/>
  <c r="M12"/>
  <c r="CE12" s="1"/>
  <c r="CE9"/>
  <c r="P34"/>
  <c r="CH34" s="1"/>
  <c r="W168"/>
  <c r="T160"/>
  <c r="N77"/>
  <c r="CF66"/>
  <c r="AB65" i="14"/>
  <c r="K65"/>
  <c r="G161" i="8"/>
  <c r="D161" i="12"/>
  <c r="M85"/>
  <c r="K134"/>
  <c r="M8"/>
  <c r="I159"/>
  <c r="M125"/>
  <c r="I34"/>
  <c r="I8"/>
  <c r="M49"/>
  <c r="K159"/>
  <c r="M134"/>
  <c r="I85"/>
  <c r="K85"/>
  <c r="I125"/>
  <c r="I134"/>
  <c r="K125"/>
  <c r="I109"/>
  <c r="I64"/>
  <c r="K49"/>
  <c r="K34"/>
  <c r="M34"/>
  <c r="M109"/>
  <c r="K109"/>
  <c r="AB34"/>
  <c r="M64"/>
  <c r="AB77"/>
  <c r="AB49"/>
  <c r="I77"/>
  <c r="K77"/>
  <c r="M99"/>
  <c r="I49"/>
  <c r="K64"/>
  <c r="A65"/>
  <c r="M77"/>
  <c r="AB125"/>
  <c r="X246" i="8"/>
  <c r="B222"/>
  <c r="B221"/>
  <c r="B220"/>
  <c r="B219"/>
  <c r="B218"/>
  <c r="B217"/>
  <c r="B216"/>
  <c r="B215"/>
  <c r="B214"/>
  <c r="B213"/>
  <c r="B212"/>
  <c r="B191"/>
  <c r="B180"/>
  <c r="B223" s="1"/>
  <c r="B181"/>
  <c r="B182"/>
  <c r="B183"/>
  <c r="B184"/>
  <c r="B185"/>
  <c r="B186"/>
  <c r="B187"/>
  <c r="B188"/>
  <c r="B189"/>
  <c r="B190"/>
  <c r="N160" l="1"/>
  <c r="AM177"/>
  <c r="AY177"/>
  <c r="P160"/>
  <c r="O160"/>
  <c r="AC192"/>
  <c r="AC245" s="1"/>
  <c r="BA177"/>
  <c r="AN177"/>
  <c r="BM208"/>
  <c r="BM246" s="1"/>
  <c r="BL245"/>
  <c r="AZ216"/>
  <c r="BA232" s="1"/>
  <c r="AA192"/>
  <c r="AA245" s="1"/>
  <c r="BK234"/>
  <c r="BE160"/>
  <c r="AA213"/>
  <c r="AB229" s="1"/>
  <c r="AQ160"/>
  <c r="BL224"/>
  <c r="BL247" s="1"/>
  <c r="AO197"/>
  <c r="AN192"/>
  <c r="AN224" s="1"/>
  <c r="AC197"/>
  <c r="AB192"/>
  <c r="AB224" s="1"/>
  <c r="BK197"/>
  <c r="BJ213"/>
  <c r="BM197"/>
  <c r="BL213"/>
  <c r="BM229" s="1"/>
  <c r="BK213"/>
  <c r="BL229" s="1"/>
  <c r="BL197"/>
  <c r="AN228"/>
  <c r="AY169"/>
  <c r="BA161"/>
  <c r="BG161" s="1"/>
  <c r="BK238"/>
  <c r="BK232"/>
  <c r="AO192"/>
  <c r="AO245" s="1"/>
  <c r="AY202"/>
  <c r="AX218"/>
  <c r="V215"/>
  <c r="W231" s="1"/>
  <c r="W199"/>
  <c r="AI160"/>
  <c r="AU160"/>
  <c r="BA201"/>
  <c r="AZ217"/>
  <c r="BA233" s="1"/>
  <c r="AY207"/>
  <c r="AX223"/>
  <c r="AZ202"/>
  <c r="AY218"/>
  <c r="AZ234" s="1"/>
  <c r="AZ204"/>
  <c r="AY220"/>
  <c r="AZ236" s="1"/>
  <c r="W192"/>
  <c r="W212"/>
  <c r="AY192"/>
  <c r="AY212"/>
  <c r="AZ196"/>
  <c r="V214"/>
  <c r="W230" s="1"/>
  <c r="W198"/>
  <c r="BA206"/>
  <c r="AZ222"/>
  <c r="BA238" s="1"/>
  <c r="AY203"/>
  <c r="AX219"/>
  <c r="AY235" s="1"/>
  <c r="AY221"/>
  <c r="AZ237" s="1"/>
  <c r="AZ205"/>
  <c r="AZ198"/>
  <c r="AY214"/>
  <c r="AZ230" s="1"/>
  <c r="V217"/>
  <c r="W233" s="1"/>
  <c r="W201"/>
  <c r="AZ161"/>
  <c r="BF161" s="1"/>
  <c r="BF160"/>
  <c r="U218"/>
  <c r="V234" s="1"/>
  <c r="V202"/>
  <c r="AY205"/>
  <c r="AX221"/>
  <c r="V201"/>
  <c r="U217"/>
  <c r="V233" s="1"/>
  <c r="AY199"/>
  <c r="AX215"/>
  <c r="AZ200"/>
  <c r="AY216"/>
  <c r="AN232"/>
  <c r="BL205"/>
  <c r="BK221"/>
  <c r="BK205"/>
  <c r="BE161"/>
  <c r="U214"/>
  <c r="V230" s="1"/>
  <c r="V198"/>
  <c r="U222"/>
  <c r="V238" s="1"/>
  <c r="V206"/>
  <c r="U220"/>
  <c r="V236" s="1"/>
  <c r="V204"/>
  <c r="AZ218"/>
  <c r="BA234" s="1"/>
  <c r="BA202"/>
  <c r="AZ213"/>
  <c r="BA229" s="1"/>
  <c r="BA197"/>
  <c r="AZ215"/>
  <c r="BA231" s="1"/>
  <c r="BA199"/>
  <c r="U192"/>
  <c r="V196"/>
  <c r="U212"/>
  <c r="AM169"/>
  <c r="AZ214"/>
  <c r="BA230" s="1"/>
  <c r="BA198"/>
  <c r="BK203"/>
  <c r="BJ219"/>
  <c r="BK235" s="1"/>
  <c r="BA205"/>
  <c r="AZ221"/>
  <c r="BA237" s="1"/>
  <c r="AG65"/>
  <c r="AS65"/>
  <c r="AH65"/>
  <c r="AT65"/>
  <c r="AB232"/>
  <c r="AY217"/>
  <c r="AZ233" s="1"/>
  <c r="AZ201"/>
  <c r="W200"/>
  <c r="V216"/>
  <c r="W232" s="1"/>
  <c r="U219"/>
  <c r="V235" s="1"/>
  <c r="V203"/>
  <c r="BA169"/>
  <c r="BM192"/>
  <c r="AM215"/>
  <c r="AN231" s="1"/>
  <c r="AN199"/>
  <c r="AM192"/>
  <c r="W203"/>
  <c r="V219"/>
  <c r="W235" s="1"/>
  <c r="BK230"/>
  <c r="AZ192"/>
  <c r="AZ212"/>
  <c r="BA228" s="1"/>
  <c r="BA196"/>
  <c r="AZ169"/>
  <c r="AZ197"/>
  <c r="AY213"/>
  <c r="AZ229" s="1"/>
  <c r="V207"/>
  <c r="U223"/>
  <c r="V239" s="1"/>
  <c r="AZ219"/>
  <c r="BA235" s="1"/>
  <c r="BA203"/>
  <c r="AN169"/>
  <c r="V221"/>
  <c r="W237" s="1"/>
  <c r="W205"/>
  <c r="AY215"/>
  <c r="AZ231" s="1"/>
  <c r="AZ199"/>
  <c r="AM217"/>
  <c r="AN233" s="1"/>
  <c r="AN201"/>
  <c r="V197"/>
  <c r="U213"/>
  <c r="V229" s="1"/>
  <c r="AZ206"/>
  <c r="AY222"/>
  <c r="AZ238" s="1"/>
  <c r="AY206"/>
  <c r="AX222"/>
  <c r="V205"/>
  <c r="U221"/>
  <c r="V237" s="1"/>
  <c r="AS160"/>
  <c r="AG160"/>
  <c r="BA192"/>
  <c r="BA245" s="1"/>
  <c r="BA212"/>
  <c r="W202"/>
  <c r="V218"/>
  <c r="W234" s="1"/>
  <c r="AY198"/>
  <c r="AX214"/>
  <c r="BK245"/>
  <c r="BL208"/>
  <c r="BL246" s="1"/>
  <c r="AY223"/>
  <c r="AZ239" s="1"/>
  <c r="AZ207"/>
  <c r="AZ220"/>
  <c r="BA236" s="1"/>
  <c r="BA204"/>
  <c r="V200"/>
  <c r="V223"/>
  <c r="W239" s="1"/>
  <c r="W207"/>
  <c r="W197"/>
  <c r="V213"/>
  <c r="W229" s="1"/>
  <c r="U215"/>
  <c r="V231" s="1"/>
  <c r="V199"/>
  <c r="BM240"/>
  <c r="BM248" s="1"/>
  <c r="U196"/>
  <c r="AU65"/>
  <c r="AI65"/>
  <c r="AT160"/>
  <c r="AH160"/>
  <c r="AO169"/>
  <c r="AY197"/>
  <c r="AX213"/>
  <c r="V192"/>
  <c r="V212"/>
  <c r="W228" s="1"/>
  <c r="W196"/>
  <c r="W204"/>
  <c r="V220"/>
  <c r="W236" s="1"/>
  <c r="AZ223"/>
  <c r="BA239" s="1"/>
  <c r="BA207"/>
  <c r="W206"/>
  <c r="V222"/>
  <c r="W238" s="1"/>
  <c r="AA161"/>
  <c r="AC161"/>
  <c r="U161"/>
  <c r="AG161" s="1"/>
  <c r="AB161"/>
  <c r="O65"/>
  <c r="CG65" s="1"/>
  <c r="O174" s="1"/>
  <c r="P65"/>
  <c r="CH65" s="1"/>
  <c r="P166" s="1"/>
  <c r="V161"/>
  <c r="T161"/>
  <c r="CF77"/>
  <c r="W161"/>
  <c r="CF12"/>
  <c r="N65"/>
  <c r="CF65" s="1"/>
  <c r="K65" i="12"/>
  <c r="M65"/>
  <c r="AB65"/>
  <c r="I65"/>
  <c r="D5" i="8"/>
  <c r="E5"/>
  <c r="D9"/>
  <c r="E9"/>
  <c r="D13"/>
  <c r="E13"/>
  <c r="CD13"/>
  <c r="CE13"/>
  <c r="BI164"/>
  <c r="BH164"/>
  <c r="AW164"/>
  <c r="AV164"/>
  <c r="AC224" l="1"/>
  <c r="AC247" s="1"/>
  <c r="N175"/>
  <c r="AN245"/>
  <c r="AZ232"/>
  <c r="AB208"/>
  <c r="AB246" s="1"/>
  <c r="AB245"/>
  <c r="AC208"/>
  <c r="AC246" s="1"/>
  <c r="AY233"/>
  <c r="AO208"/>
  <c r="AO246" s="1"/>
  <c r="O175"/>
  <c r="O165"/>
  <c r="O166"/>
  <c r="O173"/>
  <c r="O167"/>
  <c r="BK229"/>
  <c r="P165"/>
  <c r="AZ228"/>
  <c r="P167"/>
  <c r="V228"/>
  <c r="N173"/>
  <c r="N166"/>
  <c r="N165"/>
  <c r="N167"/>
  <c r="N174"/>
  <c r="P173"/>
  <c r="P175"/>
  <c r="P174"/>
  <c r="AO224"/>
  <c r="AO247" s="1"/>
  <c r="AY238"/>
  <c r="AY237"/>
  <c r="AY234"/>
  <c r="AZ245"/>
  <c r="AZ224"/>
  <c r="BA208"/>
  <c r="BA246" s="1"/>
  <c r="V208"/>
  <c r="V246" s="1"/>
  <c r="U245"/>
  <c r="V232"/>
  <c r="BL237"/>
  <c r="BK237"/>
  <c r="W245"/>
  <c r="W224"/>
  <c r="W247" s="1"/>
  <c r="AT161"/>
  <c r="AH161"/>
  <c r="V245"/>
  <c r="V224"/>
  <c r="W208"/>
  <c r="W246" s="1"/>
  <c r="AC240"/>
  <c r="AC248" s="1"/>
  <c r="AB247"/>
  <c r="BM224"/>
  <c r="BM247" s="1"/>
  <c r="BM245"/>
  <c r="AY229"/>
  <c r="AO240"/>
  <c r="AO248" s="1"/>
  <c r="AN247"/>
  <c r="AY239"/>
  <c r="AU161"/>
  <c r="AI161"/>
  <c r="AY230"/>
  <c r="AN208"/>
  <c r="AN246" s="1"/>
  <c r="AM245"/>
  <c r="AS161"/>
  <c r="AY231"/>
  <c r="AY245"/>
  <c r="AZ208"/>
  <c r="AZ246" s="1"/>
  <c r="N161"/>
  <c r="O161"/>
  <c r="P161"/>
  <c r="M8" i="9"/>
  <c r="I8" i="3"/>
  <c r="I8" i="9"/>
  <c r="K8"/>
  <c r="K8" i="3"/>
  <c r="M8"/>
  <c r="AW244" i="8"/>
  <c r="AW179"/>
  <c r="AW195"/>
  <c r="AW227"/>
  <c r="AW211"/>
  <c r="BH211"/>
  <c r="BH227"/>
  <c r="BH195"/>
  <c r="BH179"/>
  <c r="BH244"/>
  <c r="BI179"/>
  <c r="BI227"/>
  <c r="BI195"/>
  <c r="BI244"/>
  <c r="BI211"/>
  <c r="AV244"/>
  <c r="AV211"/>
  <c r="AV195"/>
  <c r="AV227"/>
  <c r="AV179"/>
  <c r="CC13"/>
  <c r="AW182"/>
  <c r="Y182"/>
  <c r="Y214" s="1"/>
  <c r="X182"/>
  <c r="X214" s="1"/>
  <c r="AV182"/>
  <c r="AV214" s="1"/>
  <c r="BI182"/>
  <c r="BH182"/>
  <c r="BH214" s="1"/>
  <c r="T182"/>
  <c r="S182"/>
  <c r="S214" s="1"/>
  <c r="AL164"/>
  <c r="AK164"/>
  <c r="AJ164"/>
  <c r="T164"/>
  <c r="S164"/>
  <c r="R164"/>
  <c r="X164"/>
  <c r="O176" l="1"/>
  <c r="P168"/>
  <c r="N176"/>
  <c r="P176"/>
  <c r="AL195"/>
  <c r="AL227"/>
  <c r="AL244"/>
  <c r="AL211"/>
  <c r="O168"/>
  <c r="V247"/>
  <c r="W240"/>
  <c r="W248" s="1"/>
  <c r="U198"/>
  <c r="T214"/>
  <c r="U230" s="1"/>
  <c r="BA240"/>
  <c r="BA248" s="1"/>
  <c r="AZ247"/>
  <c r="BI214"/>
  <c r="BJ230" s="1"/>
  <c r="BJ198"/>
  <c r="AX198"/>
  <c r="AW214"/>
  <c r="AX230" s="1"/>
  <c r="BD34"/>
  <c r="AJ182"/>
  <c r="AJ214" s="1"/>
  <c r="AK230" s="1"/>
  <c r="AD34"/>
  <c r="AL182"/>
  <c r="AF34"/>
  <c r="AK182"/>
  <c r="AE34"/>
  <c r="N168"/>
  <c r="K34"/>
  <c r="CC34" s="1"/>
  <c r="M34"/>
  <c r="CE34" s="1"/>
  <c r="L34"/>
  <c r="CD34" s="1"/>
  <c r="Y211"/>
  <c r="Y227"/>
  <c r="Y244"/>
  <c r="Y179"/>
  <c r="Y195"/>
  <c r="AJ195"/>
  <c r="AJ244"/>
  <c r="AJ211"/>
  <c r="AJ179"/>
  <c r="AJ227"/>
  <c r="Y198"/>
  <c r="AK211"/>
  <c r="AK244"/>
  <c r="AK179"/>
  <c r="AK227"/>
  <c r="AK195"/>
  <c r="T198"/>
  <c r="T230"/>
  <c r="BI230"/>
  <c r="BH230"/>
  <c r="Z198"/>
  <c r="Z230"/>
  <c r="X195"/>
  <c r="X179"/>
  <c r="X227"/>
  <c r="X244"/>
  <c r="X211"/>
  <c r="AL179"/>
  <c r="Z179"/>
  <c r="Z227"/>
  <c r="Z244"/>
  <c r="Z211"/>
  <c r="Z195"/>
  <c r="AV230"/>
  <c r="AW230"/>
  <c r="R227"/>
  <c r="R195"/>
  <c r="R244"/>
  <c r="R211"/>
  <c r="R179"/>
  <c r="S244"/>
  <c r="S227"/>
  <c r="S195"/>
  <c r="S211"/>
  <c r="S179"/>
  <c r="T244"/>
  <c r="T179"/>
  <c r="T195"/>
  <c r="T227"/>
  <c r="T211"/>
  <c r="AW198"/>
  <c r="AV198"/>
  <c r="BI198"/>
  <c r="BH198"/>
  <c r="M78" i="3"/>
  <c r="K78"/>
  <c r="I78"/>
  <c r="AK198" i="8" l="1"/>
  <c r="AJ198"/>
  <c r="AM198"/>
  <c r="AL214"/>
  <c r="AM230" s="1"/>
  <c r="AJ230"/>
  <c r="AL198"/>
  <c r="AK214"/>
  <c r="AL230" s="1"/>
  <c r="Y230"/>
  <c r="X230"/>
  <c r="R230"/>
  <c r="S230"/>
  <c r="S198"/>
  <c r="R198"/>
  <c r="L101" i="9"/>
  <c r="L99"/>
  <c r="L98"/>
  <c r="L97"/>
  <c r="L96"/>
  <c r="AX97" i="8" l="1"/>
  <c r="AX98"/>
  <c r="AX99"/>
  <c r="AX101"/>
  <c r="AX96"/>
  <c r="AX175" s="1"/>
  <c r="AB9" i="9"/>
  <c r="AB13"/>
  <c r="AB14"/>
  <c r="AB15"/>
  <c r="AB16"/>
  <c r="AB17"/>
  <c r="AB18"/>
  <c r="AB19"/>
  <c r="AB20"/>
  <c r="AB21"/>
  <c r="AB22"/>
  <c r="AB23"/>
  <c r="AB24"/>
  <c r="AB25"/>
  <c r="AB26"/>
  <c r="AB27"/>
  <c r="AB28"/>
  <c r="AB35"/>
  <c r="AB36"/>
  <c r="AB37"/>
  <c r="AB38"/>
  <c r="AB39"/>
  <c r="AB40"/>
  <c r="AB41"/>
  <c r="AB42"/>
  <c r="AB43"/>
  <c r="AB44"/>
  <c r="AB45"/>
  <c r="AB66"/>
  <c r="AB67"/>
  <c r="AB68"/>
  <c r="AB69"/>
  <c r="AB70"/>
  <c r="AB71"/>
  <c r="AB72"/>
  <c r="AB73"/>
  <c r="AB78"/>
  <c r="AB79"/>
  <c r="AB80"/>
  <c r="AB81"/>
  <c r="AB82"/>
  <c r="AB83"/>
  <c r="AB84"/>
  <c r="AB86"/>
  <c r="AB87"/>
  <c r="AB88"/>
  <c r="AB89"/>
  <c r="AB90"/>
  <c r="AB91"/>
  <c r="AB150"/>
  <c r="AB96"/>
  <c r="AB97"/>
  <c r="AB98"/>
  <c r="AB99"/>
  <c r="AB100"/>
  <c r="AB101"/>
  <c r="AB102"/>
  <c r="AB103"/>
  <c r="AB104"/>
  <c r="AB105"/>
  <c r="AB110"/>
  <c r="AB111"/>
  <c r="AB112"/>
  <c r="AB113"/>
  <c r="AB114"/>
  <c r="AB115"/>
  <c r="AB116"/>
  <c r="AB117"/>
  <c r="AB118"/>
  <c r="AB119"/>
  <c r="AB120"/>
  <c r="AB121"/>
  <c r="AB126"/>
  <c r="AB127"/>
  <c r="AB128"/>
  <c r="AB129"/>
  <c r="AB130"/>
  <c r="AB135"/>
  <c r="AB136"/>
  <c r="AB137"/>
  <c r="AB138"/>
  <c r="AB139"/>
  <c r="AB140"/>
  <c r="AB141"/>
  <c r="AB142"/>
  <c r="AB143"/>
  <c r="AB144"/>
  <c r="AB145"/>
  <c r="AB146"/>
  <c r="AB147"/>
  <c r="AB148"/>
  <c r="AB149"/>
  <c r="AB151"/>
  <c r="AB152"/>
  <c r="AB153"/>
  <c r="AB5"/>
  <c r="AB162"/>
  <c r="AB162" i="3"/>
  <c r="AB153"/>
  <c r="AB152"/>
  <c r="AB151"/>
  <c r="AB149"/>
  <c r="AB148"/>
  <c r="AB147"/>
  <c r="AB146"/>
  <c r="AB145"/>
  <c r="AB144"/>
  <c r="AB143"/>
  <c r="AB142"/>
  <c r="AB141"/>
  <c r="AB140"/>
  <c r="AB139"/>
  <c r="AB138"/>
  <c r="AB137"/>
  <c r="AB136"/>
  <c r="AB135"/>
  <c r="AB130"/>
  <c r="AB129"/>
  <c r="AB128"/>
  <c r="AB127"/>
  <c r="AB126"/>
  <c r="AB121"/>
  <c r="AB120"/>
  <c r="AB119"/>
  <c r="AB118"/>
  <c r="AB117"/>
  <c r="AB116"/>
  <c r="AB115"/>
  <c r="AB114"/>
  <c r="AB113"/>
  <c r="AB112"/>
  <c r="AB111"/>
  <c r="AB110"/>
  <c r="AB105"/>
  <c r="AB104"/>
  <c r="AB103"/>
  <c r="AB102"/>
  <c r="AB101"/>
  <c r="AB100"/>
  <c r="AB99"/>
  <c r="AB98"/>
  <c r="AB97"/>
  <c r="AB96"/>
  <c r="AB150"/>
  <c r="AB91"/>
  <c r="AB90"/>
  <c r="AB89"/>
  <c r="AB88"/>
  <c r="AB87"/>
  <c r="AB86"/>
  <c r="AB84"/>
  <c r="AB83"/>
  <c r="AB82"/>
  <c r="AB81"/>
  <c r="AB80"/>
  <c r="AB79"/>
  <c r="AB78"/>
  <c r="AB73"/>
  <c r="AB72"/>
  <c r="AB71"/>
  <c r="AB70"/>
  <c r="AB69"/>
  <c r="AB68"/>
  <c r="AB67"/>
  <c r="AB66"/>
  <c r="AB60"/>
  <c r="AB59"/>
  <c r="AB58"/>
  <c r="AB57"/>
  <c r="AB56"/>
  <c r="AB55"/>
  <c r="AB54"/>
  <c r="AB53"/>
  <c r="AB52"/>
  <c r="AB51"/>
  <c r="AB50"/>
  <c r="AB45"/>
  <c r="AB44"/>
  <c r="AB43"/>
  <c r="AB42"/>
  <c r="AB41"/>
  <c r="AB40"/>
  <c r="AB39"/>
  <c r="AB38"/>
  <c r="AB37"/>
  <c r="AB36"/>
  <c r="AB35"/>
  <c r="AB28"/>
  <c r="AB27"/>
  <c r="AB26"/>
  <c r="AB25"/>
  <c r="AB24"/>
  <c r="AB23"/>
  <c r="AB22"/>
  <c r="AB21"/>
  <c r="AB20"/>
  <c r="AB19"/>
  <c r="AB18"/>
  <c r="AB17"/>
  <c r="AB16"/>
  <c r="AB15"/>
  <c r="AB14"/>
  <c r="AB13"/>
  <c r="AB9"/>
  <c r="AB5"/>
  <c r="AB14" i="1"/>
  <c r="AB15"/>
  <c r="AB16"/>
  <c r="AB17"/>
  <c r="AB18"/>
  <c r="AB19"/>
  <c r="AB20"/>
  <c r="AB21"/>
  <c r="AB22"/>
  <c r="AB23"/>
  <c r="AB24"/>
  <c r="AB25"/>
  <c r="AB26"/>
  <c r="AB27"/>
  <c r="AB28"/>
  <c r="AB35"/>
  <c r="AB36"/>
  <c r="AB37"/>
  <c r="AB38"/>
  <c r="AB39"/>
  <c r="AB40"/>
  <c r="AB41"/>
  <c r="AB42"/>
  <c r="AB43"/>
  <c r="AB44"/>
  <c r="AB45"/>
  <c r="AB50"/>
  <c r="AB51"/>
  <c r="AB52"/>
  <c r="AB53"/>
  <c r="AB54"/>
  <c r="AB55"/>
  <c r="AB56"/>
  <c r="AB57"/>
  <c r="AB58"/>
  <c r="AB59"/>
  <c r="AB60"/>
  <c r="AB66"/>
  <c r="AB67"/>
  <c r="AB68"/>
  <c r="AB69"/>
  <c r="AB70"/>
  <c r="AB71"/>
  <c r="AB72"/>
  <c r="AB73"/>
  <c r="AB78"/>
  <c r="AB79"/>
  <c r="AB80"/>
  <c r="AB81"/>
  <c r="AB82"/>
  <c r="AB83"/>
  <c r="AB84"/>
  <c r="AB86"/>
  <c r="AB87"/>
  <c r="AB88"/>
  <c r="AB89"/>
  <c r="AB90"/>
  <c r="AB91"/>
  <c r="AB150"/>
  <c r="AB96"/>
  <c r="AB97"/>
  <c r="AB98"/>
  <c r="AB99"/>
  <c r="AB100"/>
  <c r="AB101"/>
  <c r="AB102"/>
  <c r="AB103"/>
  <c r="AB104"/>
  <c r="AB105"/>
  <c r="AB110"/>
  <c r="AB111"/>
  <c r="AB112"/>
  <c r="AB113"/>
  <c r="AB114"/>
  <c r="AB115"/>
  <c r="AB116"/>
  <c r="AB117"/>
  <c r="AB118"/>
  <c r="AB119"/>
  <c r="AB120"/>
  <c r="AB121"/>
  <c r="AB126"/>
  <c r="AB127"/>
  <c r="AB128"/>
  <c r="AB129"/>
  <c r="AB130"/>
  <c r="AB140"/>
  <c r="AB141"/>
  <c r="AB142"/>
  <c r="AB143"/>
  <c r="AB144"/>
  <c r="AB145"/>
  <c r="AB146"/>
  <c r="AB147"/>
  <c r="AB151"/>
  <c r="AB152"/>
  <c r="AB162"/>
  <c r="AB9"/>
  <c r="AB13"/>
  <c r="BD101" i="8" l="1"/>
  <c r="AR101"/>
  <c r="AR99"/>
  <c r="BD99"/>
  <c r="AR98"/>
  <c r="BD98"/>
  <c r="BD96"/>
  <c r="AX167"/>
  <c r="AX109"/>
  <c r="AR96"/>
  <c r="BD97"/>
  <c r="AR97"/>
  <c r="F5"/>
  <c r="F65" s="1"/>
  <c r="E35"/>
  <c r="D35"/>
  <c r="E50"/>
  <c r="D50"/>
  <c r="E66"/>
  <c r="D66"/>
  <c r="E78"/>
  <c r="D78"/>
  <c r="E86"/>
  <c r="F86"/>
  <c r="D86"/>
  <c r="F96"/>
  <c r="E96"/>
  <c r="D96"/>
  <c r="F110"/>
  <c r="E110"/>
  <c r="D110"/>
  <c r="F126"/>
  <c r="E126"/>
  <c r="D126"/>
  <c r="F135"/>
  <c r="E135"/>
  <c r="D135"/>
  <c r="BU159"/>
  <c r="BT159"/>
  <c r="BS159"/>
  <c r="BR159"/>
  <c r="BQ159"/>
  <c r="BP159"/>
  <c r="BO159"/>
  <c r="BN159"/>
  <c r="BU134"/>
  <c r="BT134"/>
  <c r="BS134"/>
  <c r="BR134"/>
  <c r="BQ134"/>
  <c r="BP134"/>
  <c r="BO134"/>
  <c r="BN134"/>
  <c r="BU77"/>
  <c r="BT77"/>
  <c r="BS77"/>
  <c r="BR77"/>
  <c r="BQ77"/>
  <c r="BP77"/>
  <c r="BO77"/>
  <c r="BN77"/>
  <c r="BU85"/>
  <c r="BT85"/>
  <c r="BS85"/>
  <c r="BR85"/>
  <c r="BQ85"/>
  <c r="BP85"/>
  <c r="BO85"/>
  <c r="BN85"/>
  <c r="BU109"/>
  <c r="BT109"/>
  <c r="BS109"/>
  <c r="BR109"/>
  <c r="BQ109"/>
  <c r="BP109"/>
  <c r="BO109"/>
  <c r="BN109"/>
  <c r="BU125"/>
  <c r="BT125"/>
  <c r="BS125"/>
  <c r="BR125"/>
  <c r="BQ125"/>
  <c r="BP125"/>
  <c r="BO125"/>
  <c r="BN125"/>
  <c r="CD153"/>
  <c r="CD152"/>
  <c r="CC152"/>
  <c r="CE149"/>
  <c r="CD149"/>
  <c r="CE148"/>
  <c r="CD148"/>
  <c r="CD146"/>
  <c r="CC146"/>
  <c r="CE145"/>
  <c r="CD145"/>
  <c r="CC145"/>
  <c r="CE143"/>
  <c r="CD143"/>
  <c r="CC143"/>
  <c r="CE142"/>
  <c r="CD142"/>
  <c r="CC142"/>
  <c r="CD141"/>
  <c r="CC141"/>
  <c r="CD140"/>
  <c r="CC140"/>
  <c r="CE139"/>
  <c r="CD139"/>
  <c r="CD138"/>
  <c r="CD137"/>
  <c r="CE130"/>
  <c r="CD130"/>
  <c r="CC130"/>
  <c r="CD129"/>
  <c r="CC129"/>
  <c r="CD127"/>
  <c r="CC127"/>
  <c r="CD126"/>
  <c r="CC126"/>
  <c r="CE121"/>
  <c r="CD121"/>
  <c r="CC121"/>
  <c r="CD120"/>
  <c r="CC120"/>
  <c r="CD119"/>
  <c r="CC119"/>
  <c r="CD118"/>
  <c r="CC118"/>
  <c r="CD117"/>
  <c r="CC117"/>
  <c r="CD116"/>
  <c r="CC116"/>
  <c r="CD115"/>
  <c r="CC115"/>
  <c r="CD113"/>
  <c r="CC113"/>
  <c r="CD112"/>
  <c r="CC112"/>
  <c r="CD111"/>
  <c r="CC111"/>
  <c r="CD110"/>
  <c r="CC110"/>
  <c r="CE105"/>
  <c r="CD105"/>
  <c r="CD104"/>
  <c r="CC104"/>
  <c r="CE102"/>
  <c r="CD102"/>
  <c r="CD100"/>
  <c r="CC100"/>
  <c r="CE99"/>
  <c r="CD99"/>
  <c r="CC99"/>
  <c r="CD98"/>
  <c r="CC98"/>
  <c r="CD97"/>
  <c r="CC97"/>
  <c r="CD96"/>
  <c r="CC96"/>
  <c r="CE150"/>
  <c r="CD150"/>
  <c r="CD91"/>
  <c r="CE90"/>
  <c r="CD90"/>
  <c r="CD89"/>
  <c r="CC89"/>
  <c r="CE88"/>
  <c r="CD88"/>
  <c r="CC88"/>
  <c r="CD86"/>
  <c r="CC86"/>
  <c r="CD84"/>
  <c r="CC84"/>
  <c r="CD82"/>
  <c r="CC82"/>
  <c r="CD81"/>
  <c r="CC81"/>
  <c r="CD80"/>
  <c r="CC80"/>
  <c r="CE79"/>
  <c r="CD79"/>
  <c r="CC79"/>
  <c r="CE78"/>
  <c r="CD78"/>
  <c r="CC78"/>
  <c r="BI181"/>
  <c r="BH181"/>
  <c r="BH213" s="1"/>
  <c r="AX5"/>
  <c r="AX173" s="1"/>
  <c r="AW5"/>
  <c r="M153" i="9"/>
  <c r="M152"/>
  <c r="M151"/>
  <c r="M147"/>
  <c r="M146"/>
  <c r="M144"/>
  <c r="M141"/>
  <c r="M140"/>
  <c r="M139"/>
  <c r="M138"/>
  <c r="M137"/>
  <c r="M136"/>
  <c r="M135"/>
  <c r="M130"/>
  <c r="M129"/>
  <c r="M128"/>
  <c r="M127"/>
  <c r="M126"/>
  <c r="M121"/>
  <c r="M120"/>
  <c r="M119"/>
  <c r="M118"/>
  <c r="M117"/>
  <c r="M116"/>
  <c r="M115"/>
  <c r="M114"/>
  <c r="M113"/>
  <c r="M112"/>
  <c r="M111"/>
  <c r="M110"/>
  <c r="M105"/>
  <c r="M104"/>
  <c r="M103"/>
  <c r="M102"/>
  <c r="M101"/>
  <c r="M100"/>
  <c r="M99"/>
  <c r="M98"/>
  <c r="M97"/>
  <c r="M96"/>
  <c r="M150"/>
  <c r="M91"/>
  <c r="M90"/>
  <c r="M89"/>
  <c r="M88"/>
  <c r="M87"/>
  <c r="M86"/>
  <c r="M84"/>
  <c r="M83"/>
  <c r="M82"/>
  <c r="M81"/>
  <c r="M80"/>
  <c r="M79"/>
  <c r="M78"/>
  <c r="M73"/>
  <c r="M72"/>
  <c r="M71"/>
  <c r="M70"/>
  <c r="M69"/>
  <c r="M68"/>
  <c r="M67"/>
  <c r="M66"/>
  <c r="K153"/>
  <c r="K152"/>
  <c r="K151"/>
  <c r="K149"/>
  <c r="K148"/>
  <c r="K147"/>
  <c r="K146"/>
  <c r="K145"/>
  <c r="K144"/>
  <c r="K143"/>
  <c r="K142"/>
  <c r="K141"/>
  <c r="K140"/>
  <c r="K139"/>
  <c r="K138"/>
  <c r="K137"/>
  <c r="K136"/>
  <c r="K135"/>
  <c r="K130"/>
  <c r="K129"/>
  <c r="K128"/>
  <c r="K127"/>
  <c r="K126"/>
  <c r="K121"/>
  <c r="K120"/>
  <c r="K119"/>
  <c r="K118"/>
  <c r="K117"/>
  <c r="K116"/>
  <c r="K115"/>
  <c r="K114"/>
  <c r="K113"/>
  <c r="K112"/>
  <c r="K111"/>
  <c r="K110"/>
  <c r="K105"/>
  <c r="K104"/>
  <c r="K103"/>
  <c r="K102"/>
  <c r="K101"/>
  <c r="K100"/>
  <c r="K99"/>
  <c r="K98"/>
  <c r="K97"/>
  <c r="K96"/>
  <c r="K150"/>
  <c r="K91"/>
  <c r="K90"/>
  <c r="K89"/>
  <c r="K88"/>
  <c r="K87"/>
  <c r="K86"/>
  <c r="K84"/>
  <c r="K83"/>
  <c r="K82"/>
  <c r="K81"/>
  <c r="K80"/>
  <c r="K79"/>
  <c r="K78"/>
  <c r="K73"/>
  <c r="K72"/>
  <c r="K71"/>
  <c r="K70"/>
  <c r="K69"/>
  <c r="K68"/>
  <c r="K67"/>
  <c r="K66"/>
  <c r="I153"/>
  <c r="I152"/>
  <c r="I151"/>
  <c r="I149"/>
  <c r="I148"/>
  <c r="I147"/>
  <c r="I146"/>
  <c r="I145"/>
  <c r="I144"/>
  <c r="I143"/>
  <c r="I142"/>
  <c r="I141"/>
  <c r="I140"/>
  <c r="I139"/>
  <c r="I138"/>
  <c r="I137"/>
  <c r="I136"/>
  <c r="I135"/>
  <c r="I130"/>
  <c r="I129"/>
  <c r="I128"/>
  <c r="I127"/>
  <c r="I126"/>
  <c r="I121"/>
  <c r="I120"/>
  <c r="I119"/>
  <c r="I118"/>
  <c r="I117"/>
  <c r="I116"/>
  <c r="I115"/>
  <c r="I114"/>
  <c r="I113"/>
  <c r="I112"/>
  <c r="I111"/>
  <c r="I110"/>
  <c r="I105"/>
  <c r="I104"/>
  <c r="I103"/>
  <c r="I102"/>
  <c r="I101"/>
  <c r="I100"/>
  <c r="I99"/>
  <c r="I98"/>
  <c r="I97"/>
  <c r="I96"/>
  <c r="I150"/>
  <c r="I91"/>
  <c r="I90"/>
  <c r="I89"/>
  <c r="I88"/>
  <c r="I87"/>
  <c r="I86"/>
  <c r="I84"/>
  <c r="I83"/>
  <c r="I82"/>
  <c r="I81"/>
  <c r="I80"/>
  <c r="I79"/>
  <c r="I78"/>
  <c r="I73"/>
  <c r="I72"/>
  <c r="I71"/>
  <c r="I70"/>
  <c r="I69"/>
  <c r="I68"/>
  <c r="I67"/>
  <c r="I66"/>
  <c r="M45"/>
  <c r="M44"/>
  <c r="M43"/>
  <c r="M42"/>
  <c r="M41"/>
  <c r="M40"/>
  <c r="M39"/>
  <c r="M38"/>
  <c r="M37"/>
  <c r="M36"/>
  <c r="M35"/>
  <c r="M28"/>
  <c r="M27"/>
  <c r="M26"/>
  <c r="M25"/>
  <c r="M24"/>
  <c r="M23"/>
  <c r="M22"/>
  <c r="M21"/>
  <c r="M20"/>
  <c r="M19"/>
  <c r="M18"/>
  <c r="M17"/>
  <c r="M16"/>
  <c r="M15"/>
  <c r="M14"/>
  <c r="M13"/>
  <c r="M9"/>
  <c r="M5"/>
  <c r="K45"/>
  <c r="K44"/>
  <c r="K43"/>
  <c r="K42"/>
  <c r="K41"/>
  <c r="K40"/>
  <c r="K39"/>
  <c r="K38"/>
  <c r="K37"/>
  <c r="K36"/>
  <c r="K35"/>
  <c r="K28"/>
  <c r="K27"/>
  <c r="K26"/>
  <c r="K25"/>
  <c r="K24"/>
  <c r="K23"/>
  <c r="K22"/>
  <c r="K21"/>
  <c r="K20"/>
  <c r="K19"/>
  <c r="K18"/>
  <c r="K17"/>
  <c r="K16"/>
  <c r="K15"/>
  <c r="K14"/>
  <c r="K13"/>
  <c r="K9"/>
  <c r="K5"/>
  <c r="I45"/>
  <c r="I44"/>
  <c r="I43"/>
  <c r="I42"/>
  <c r="I41"/>
  <c r="I40"/>
  <c r="I39"/>
  <c r="I38"/>
  <c r="I37"/>
  <c r="I36"/>
  <c r="I35"/>
  <c r="I28"/>
  <c r="I27"/>
  <c r="I26"/>
  <c r="I25"/>
  <c r="I24"/>
  <c r="I23"/>
  <c r="I22"/>
  <c r="I21"/>
  <c r="I20"/>
  <c r="I19"/>
  <c r="I18"/>
  <c r="I17"/>
  <c r="I16"/>
  <c r="I15"/>
  <c r="I14"/>
  <c r="I13"/>
  <c r="I9"/>
  <c r="I5"/>
  <c r="M58" i="3"/>
  <c r="K58"/>
  <c r="I58"/>
  <c r="AW173" i="8" l="1"/>
  <c r="AW176" s="1"/>
  <c r="AX176"/>
  <c r="AX177" s="1"/>
  <c r="AR5"/>
  <c r="BC5"/>
  <c r="AW8"/>
  <c r="BC8" s="1"/>
  <c r="AX165"/>
  <c r="AX168" s="1"/>
  <c r="BD5"/>
  <c r="AX8"/>
  <c r="AR8" s="1"/>
  <c r="BJ197"/>
  <c r="BI213"/>
  <c r="BJ229" s="1"/>
  <c r="AR109"/>
  <c r="AX188"/>
  <c r="AX160"/>
  <c r="AR160" s="1"/>
  <c r="BD12"/>
  <c r="BI180"/>
  <c r="E65"/>
  <c r="D65"/>
  <c r="F160"/>
  <c r="D160"/>
  <c r="E160"/>
  <c r="BI229"/>
  <c r="BH229"/>
  <c r="CE147"/>
  <c r="CC101"/>
  <c r="CD101"/>
  <c r="CE101"/>
  <c r="BH197"/>
  <c r="BI197"/>
  <c r="CD136"/>
  <c r="CC147"/>
  <c r="CE87"/>
  <c r="CD87"/>
  <c r="CD147"/>
  <c r="CC144"/>
  <c r="CD144"/>
  <c r="CC83"/>
  <c r="CC114"/>
  <c r="CD83"/>
  <c r="CD114"/>
  <c r="CD128"/>
  <c r="CC128"/>
  <c r="CD151"/>
  <c r="CC151"/>
  <c r="AV181"/>
  <c r="AV213" s="1"/>
  <c r="AW181"/>
  <c r="AL166"/>
  <c r="BI165"/>
  <c r="AW166"/>
  <c r="BH166"/>
  <c r="AL167"/>
  <c r="CD135"/>
  <c r="AW165"/>
  <c r="BI167"/>
  <c r="AW167"/>
  <c r="BI166"/>
  <c r="AK166"/>
  <c r="CE119"/>
  <c r="CE152"/>
  <c r="CE84"/>
  <c r="CC91"/>
  <c r="CE96"/>
  <c r="CC103"/>
  <c r="CE118"/>
  <c r="CE151"/>
  <c r="CC150"/>
  <c r="CE97"/>
  <c r="CE135"/>
  <c r="CE83"/>
  <c r="CC90"/>
  <c r="CC102"/>
  <c r="CD103"/>
  <c r="CE104"/>
  <c r="CE117"/>
  <c r="CE129"/>
  <c r="CE141"/>
  <c r="CE82"/>
  <c r="CE91"/>
  <c r="CE103"/>
  <c r="CE116"/>
  <c r="CE128"/>
  <c r="CE140"/>
  <c r="CE80"/>
  <c r="CC87"/>
  <c r="CE89"/>
  <c r="CE100"/>
  <c r="CE114"/>
  <c r="CE126"/>
  <c r="CE138"/>
  <c r="CE146"/>
  <c r="CE110"/>
  <c r="CE115"/>
  <c r="CE127"/>
  <c r="CE112"/>
  <c r="CE113"/>
  <c r="CE137"/>
  <c r="CE86"/>
  <c r="CE81"/>
  <c r="CE98"/>
  <c r="CC105"/>
  <c r="CE111"/>
  <c r="CE120"/>
  <c r="CE136"/>
  <c r="CE144"/>
  <c r="CE153"/>
  <c r="AW190"/>
  <c r="BC95"/>
  <c r="BD95"/>
  <c r="BC125"/>
  <c r="BH186"/>
  <c r="BH218" s="1"/>
  <c r="AW188"/>
  <c r="AW191"/>
  <c r="BD125"/>
  <c r="AW186"/>
  <c r="AW183"/>
  <c r="AW185"/>
  <c r="AW184"/>
  <c r="AW216" l="1"/>
  <c r="AX199"/>
  <c r="AW215"/>
  <c r="AX231" s="1"/>
  <c r="AW218"/>
  <c r="AX234" s="1"/>
  <c r="AX202"/>
  <c r="AX206"/>
  <c r="AW222"/>
  <c r="AX238" s="1"/>
  <c r="AX180"/>
  <c r="BD8"/>
  <c r="AX201"/>
  <c r="AW217"/>
  <c r="AX233" s="1"/>
  <c r="AX207"/>
  <c r="AW223"/>
  <c r="AX239" s="1"/>
  <c r="AW213"/>
  <c r="AX229" s="1"/>
  <c r="AX197"/>
  <c r="AY204"/>
  <c r="AX220"/>
  <c r="AY236" s="1"/>
  <c r="AX204"/>
  <c r="AW220"/>
  <c r="BJ196"/>
  <c r="AW180"/>
  <c r="BI188"/>
  <c r="BC109"/>
  <c r="BI186"/>
  <c r="BC85"/>
  <c r="BI190"/>
  <c r="BC134"/>
  <c r="BI183"/>
  <c r="BC49"/>
  <c r="BH183"/>
  <c r="BD85"/>
  <c r="BD77"/>
  <c r="BI184"/>
  <c r="BC64"/>
  <c r="BD49"/>
  <c r="BI185"/>
  <c r="BC77"/>
  <c r="BD134"/>
  <c r="BD109"/>
  <c r="BI191"/>
  <c r="BC159"/>
  <c r="BH190"/>
  <c r="BH206" s="1"/>
  <c r="L134"/>
  <c r="CD134" s="1"/>
  <c r="L95"/>
  <c r="CD95" s="1"/>
  <c r="K134"/>
  <c r="CC134" s="1"/>
  <c r="K125"/>
  <c r="CC125" s="1"/>
  <c r="M159"/>
  <c r="CE159" s="1"/>
  <c r="L125"/>
  <c r="CD125" s="1"/>
  <c r="M125"/>
  <c r="CE125" s="1"/>
  <c r="K85"/>
  <c r="CC85" s="1"/>
  <c r="M95"/>
  <c r="CE95" s="1"/>
  <c r="K95"/>
  <c r="CC95" s="1"/>
  <c r="L109"/>
  <c r="CD109" s="1"/>
  <c r="L85"/>
  <c r="CD85" s="1"/>
  <c r="K109"/>
  <c r="CC109" s="1"/>
  <c r="L159"/>
  <c r="CD159" s="1"/>
  <c r="M134"/>
  <c r="CE134" s="1"/>
  <c r="M109"/>
  <c r="CE109" s="1"/>
  <c r="M85"/>
  <c r="CE85" s="1"/>
  <c r="AV229"/>
  <c r="AW229"/>
  <c r="BH234"/>
  <c r="BI234"/>
  <c r="AW189"/>
  <c r="BI189"/>
  <c r="AW197"/>
  <c r="AV197"/>
  <c r="BH202"/>
  <c r="BI202"/>
  <c r="AV189"/>
  <c r="AV221" s="1"/>
  <c r="AW187"/>
  <c r="BI187"/>
  <c r="BI168"/>
  <c r="F161"/>
  <c r="AW168"/>
  <c r="E161"/>
  <c r="AW65"/>
  <c r="AX236" l="1"/>
  <c r="BJ203"/>
  <c r="BI219"/>
  <c r="BJ235" s="1"/>
  <c r="AX205"/>
  <c r="AW221"/>
  <c r="AX237" s="1"/>
  <c r="BJ200"/>
  <c r="BI216"/>
  <c r="BJ232" s="1"/>
  <c r="BI223"/>
  <c r="BI218"/>
  <c r="BJ234" s="1"/>
  <c r="BJ202"/>
  <c r="AY196"/>
  <c r="AX212"/>
  <c r="AY228" s="1"/>
  <c r="BJ201"/>
  <c r="BI217"/>
  <c r="BJ233" s="1"/>
  <c r="BJ199"/>
  <c r="BI215"/>
  <c r="BJ231" s="1"/>
  <c r="BJ205"/>
  <c r="BI221"/>
  <c r="BJ237" s="1"/>
  <c r="BJ206"/>
  <c r="BI222"/>
  <c r="BJ238" s="1"/>
  <c r="AX203"/>
  <c r="AW219"/>
  <c r="AX235" s="1"/>
  <c r="BI220"/>
  <c r="BJ236" s="1"/>
  <c r="BJ204"/>
  <c r="AX196"/>
  <c r="BH222"/>
  <c r="BH238" s="1"/>
  <c r="BH215"/>
  <c r="BH231" s="1"/>
  <c r="BH199"/>
  <c r="BI206"/>
  <c r="BI199"/>
  <c r="AW161"/>
  <c r="AV237"/>
  <c r="AW205"/>
  <c r="AV205"/>
  <c r="AW192"/>
  <c r="BI192"/>
  <c r="AW237" l="1"/>
  <c r="BI238"/>
  <c r="BI231"/>
  <c r="AW245"/>
  <c r="BI245"/>
  <c r="N149" i="9"/>
  <c r="N148"/>
  <c r="N145"/>
  <c r="N143"/>
  <c r="N142"/>
  <c r="BJ143" i="8" l="1"/>
  <c r="BD143" s="1"/>
  <c r="BJ142"/>
  <c r="BJ145"/>
  <c r="BD145" s="1"/>
  <c r="BJ148"/>
  <c r="BD148" s="1"/>
  <c r="BJ149"/>
  <c r="BD149" s="1"/>
  <c r="M142" i="9"/>
  <c r="M143"/>
  <c r="M149"/>
  <c r="M145"/>
  <c r="M148"/>
  <c r="BJ174" i="8" l="1"/>
  <c r="BJ176" s="1"/>
  <c r="BD142"/>
  <c r="BJ159"/>
  <c r="BJ166"/>
  <c r="BJ168" s="1"/>
  <c r="I15" i="3"/>
  <c r="K15"/>
  <c r="M15"/>
  <c r="I16"/>
  <c r="K16"/>
  <c r="M16"/>
  <c r="I17"/>
  <c r="K17"/>
  <c r="M17"/>
  <c r="I18"/>
  <c r="K18"/>
  <c r="M18"/>
  <c r="I19"/>
  <c r="K19"/>
  <c r="M19"/>
  <c r="I20"/>
  <c r="K20"/>
  <c r="M20"/>
  <c r="I21"/>
  <c r="K21"/>
  <c r="M21"/>
  <c r="I22"/>
  <c r="K22"/>
  <c r="M22"/>
  <c r="I23"/>
  <c r="K23"/>
  <c r="M23"/>
  <c r="I24"/>
  <c r="K24"/>
  <c r="M24"/>
  <c r="I25"/>
  <c r="K25"/>
  <c r="M25"/>
  <c r="I26"/>
  <c r="K26"/>
  <c r="M26"/>
  <c r="I27"/>
  <c r="K27"/>
  <c r="M27"/>
  <c r="H15" i="9"/>
  <c r="Z15" i="8" s="1"/>
  <c r="H23" i="9"/>
  <c r="Z23" i="8" s="1"/>
  <c r="H26" i="9"/>
  <c r="Z26" i="8" s="1"/>
  <c r="H24" i="9"/>
  <c r="Z24" i="8" s="1"/>
  <c r="H22" i="9"/>
  <c r="Z22" i="8" s="1"/>
  <c r="H18" i="9"/>
  <c r="Z18" i="8" s="1"/>
  <c r="H16" i="9"/>
  <c r="Z16" i="8" s="1"/>
  <c r="H14" i="9"/>
  <c r="Z14" i="8" s="1"/>
  <c r="Z181"/>
  <c r="Y181"/>
  <c r="Y213" s="1"/>
  <c r="X181"/>
  <c r="X213" s="1"/>
  <c r="AA197" l="1"/>
  <c r="Z213"/>
  <c r="AA229" s="1"/>
  <c r="Z167"/>
  <c r="BJ191"/>
  <c r="BJ160"/>
  <c r="BD159"/>
  <c r="AJ181"/>
  <c r="AD12"/>
  <c r="AK181"/>
  <c r="AE12"/>
  <c r="AL181"/>
  <c r="AF12"/>
  <c r="Y197"/>
  <c r="Z197"/>
  <c r="Z229"/>
  <c r="R181"/>
  <c r="R213" s="1"/>
  <c r="S181"/>
  <c r="S213" s="1"/>
  <c r="H20" i="9"/>
  <c r="Z20" i="8" s="1"/>
  <c r="H28" i="9"/>
  <c r="Z28" i="8" s="1"/>
  <c r="Z175" s="1"/>
  <c r="H19" i="9"/>
  <c r="Z19" i="8" s="1"/>
  <c r="H27" i="9"/>
  <c r="Z27" i="8" s="1"/>
  <c r="H13" i="9"/>
  <c r="Z13" i="8" s="1"/>
  <c r="H17" i="9"/>
  <c r="Z17" i="8" s="1"/>
  <c r="H21" i="9"/>
  <c r="Z21" i="8" s="1"/>
  <c r="H25" i="9"/>
  <c r="Z25" i="8" s="1"/>
  <c r="Z173" l="1"/>
  <c r="Z176" s="1"/>
  <c r="Z34"/>
  <c r="Z65" s="1"/>
  <c r="Z165"/>
  <c r="BK207"/>
  <c r="BJ223"/>
  <c r="BJ192"/>
  <c r="BJ207"/>
  <c r="AL213"/>
  <c r="AM229" s="1"/>
  <c r="AM197"/>
  <c r="AL197"/>
  <c r="AK213"/>
  <c r="AL229" s="1"/>
  <c r="AJ213"/>
  <c r="AJ229" s="1"/>
  <c r="AJ197"/>
  <c r="AK197"/>
  <c r="S229"/>
  <c r="R229"/>
  <c r="T197"/>
  <c r="T229"/>
  <c r="Y229"/>
  <c r="X229"/>
  <c r="S197"/>
  <c r="R197"/>
  <c r="T181"/>
  <c r="AK229" l="1"/>
  <c r="T213"/>
  <c r="U229" s="1"/>
  <c r="U197"/>
  <c r="BJ245"/>
  <c r="BK208"/>
  <c r="BK246" s="1"/>
  <c r="BJ208"/>
  <c r="BJ246" s="1"/>
  <c r="BK239"/>
  <c r="BJ239"/>
  <c r="Z182"/>
  <c r="G58" i="6"/>
  <c r="H58"/>
  <c r="I58"/>
  <c r="J58" s="1"/>
  <c r="L58"/>
  <c r="M58"/>
  <c r="N58"/>
  <c r="P58"/>
  <c r="U58"/>
  <c r="V58"/>
  <c r="W58"/>
  <c r="X58"/>
  <c r="G59"/>
  <c r="H59"/>
  <c r="I59"/>
  <c r="J59" s="1"/>
  <c r="L59"/>
  <c r="N59"/>
  <c r="P59"/>
  <c r="U59"/>
  <c r="V59"/>
  <c r="W59"/>
  <c r="X59"/>
  <c r="O58"/>
  <c r="O59"/>
  <c r="K59"/>
  <c r="V85" i="3"/>
  <c r="U85"/>
  <c r="T85"/>
  <c r="S85"/>
  <c r="R85"/>
  <c r="Q85"/>
  <c r="P85"/>
  <c r="O85"/>
  <c r="N85"/>
  <c r="L85"/>
  <c r="J85"/>
  <c r="H85"/>
  <c r="G85"/>
  <c r="AB85" s="1"/>
  <c r="M84"/>
  <c r="K84"/>
  <c r="I84"/>
  <c r="M83"/>
  <c r="K83"/>
  <c r="I83"/>
  <c r="M82"/>
  <c r="K82"/>
  <c r="I82"/>
  <c r="M81"/>
  <c r="K81"/>
  <c r="I81"/>
  <c r="M80"/>
  <c r="K80"/>
  <c r="I80"/>
  <c r="M79"/>
  <c r="K79"/>
  <c r="I79"/>
  <c r="V85" i="9"/>
  <c r="U85"/>
  <c r="T85"/>
  <c r="S85"/>
  <c r="R85"/>
  <c r="Q85"/>
  <c r="P85"/>
  <c r="O85"/>
  <c r="N85"/>
  <c r="L85"/>
  <c r="J85"/>
  <c r="H85"/>
  <c r="G85"/>
  <c r="AB85" s="1"/>
  <c r="AV186" i="8"/>
  <c r="AV218" s="1"/>
  <c r="X60" i="6"/>
  <c r="W60"/>
  <c r="V60"/>
  <c r="U60"/>
  <c r="I60"/>
  <c r="J60" s="1"/>
  <c r="H60"/>
  <c r="G60"/>
  <c r="X57"/>
  <c r="W57"/>
  <c r="V57"/>
  <c r="U57"/>
  <c r="I57"/>
  <c r="J57" s="1"/>
  <c r="H57"/>
  <c r="G57"/>
  <c r="X56"/>
  <c r="W56"/>
  <c r="V56"/>
  <c r="U56"/>
  <c r="I56"/>
  <c r="J56" s="1"/>
  <c r="H56"/>
  <c r="G56"/>
  <c r="X55"/>
  <c r="W55"/>
  <c r="V55"/>
  <c r="U55"/>
  <c r="I55"/>
  <c r="J55" s="1"/>
  <c r="H55"/>
  <c r="G55"/>
  <c r="X54"/>
  <c r="W54"/>
  <c r="V54"/>
  <c r="U54"/>
  <c r="N54"/>
  <c r="L54"/>
  <c r="I54"/>
  <c r="H54"/>
  <c r="G54"/>
  <c r="D54"/>
  <c r="V85" i="1"/>
  <c r="U85"/>
  <c r="T85"/>
  <c r="S85"/>
  <c r="H85"/>
  <c r="G85"/>
  <c r="AB85" s="1"/>
  <c r="L60" i="6"/>
  <c r="M57"/>
  <c r="L57"/>
  <c r="N55"/>
  <c r="L55"/>
  <c r="M54"/>
  <c r="AA198" i="8" l="1"/>
  <c r="Z214"/>
  <c r="AA230" s="1"/>
  <c r="AW234"/>
  <c r="AV234"/>
  <c r="AW202"/>
  <c r="AV202"/>
  <c r="I85" i="3"/>
  <c r="K85" i="9"/>
  <c r="M85"/>
  <c r="K85" i="3"/>
  <c r="I85" i="9"/>
  <c r="M85" i="3"/>
  <c r="W61" i="6"/>
  <c r="K58"/>
  <c r="M59"/>
  <c r="M56"/>
  <c r="N57"/>
  <c r="G61"/>
  <c r="H61" s="1"/>
  <c r="Y85" i="8"/>
  <c r="Z85"/>
  <c r="I61" i="6"/>
  <c r="J61" s="1"/>
  <c r="X85" i="8"/>
  <c r="U61" i="6"/>
  <c r="P55"/>
  <c r="K55"/>
  <c r="L56"/>
  <c r="P56"/>
  <c r="O56"/>
  <c r="P60"/>
  <c r="O60"/>
  <c r="J85" i="1"/>
  <c r="O55" i="6"/>
  <c r="K57"/>
  <c r="M60"/>
  <c r="J54"/>
  <c r="N56"/>
  <c r="K54"/>
  <c r="M55"/>
  <c r="K60"/>
  <c r="N60"/>
  <c r="R85" i="8"/>
  <c r="AP85" s="1"/>
  <c r="L85" i="1"/>
  <c r="K56" i="6"/>
  <c r="M19"/>
  <c r="K19"/>
  <c r="I19"/>
  <c r="J19" s="1"/>
  <c r="H19"/>
  <c r="G19"/>
  <c r="M16"/>
  <c r="K16"/>
  <c r="I16"/>
  <c r="J16" s="1"/>
  <c r="H16"/>
  <c r="G16"/>
  <c r="M15"/>
  <c r="K15"/>
  <c r="I15"/>
  <c r="J15" s="1"/>
  <c r="H15"/>
  <c r="G15"/>
  <c r="M14"/>
  <c r="K14"/>
  <c r="I14"/>
  <c r="J14" s="1"/>
  <c r="H14"/>
  <c r="G14"/>
  <c r="M13"/>
  <c r="K13"/>
  <c r="I13"/>
  <c r="J13" s="1"/>
  <c r="H13"/>
  <c r="G13"/>
  <c r="M12"/>
  <c r="K12"/>
  <c r="I12"/>
  <c r="J12" s="1"/>
  <c r="H12"/>
  <c r="G12"/>
  <c r="M11"/>
  <c r="K11"/>
  <c r="I11"/>
  <c r="J11" s="1"/>
  <c r="H11"/>
  <c r="G11"/>
  <c r="M10"/>
  <c r="K10"/>
  <c r="I10"/>
  <c r="J10" s="1"/>
  <c r="H10"/>
  <c r="G10"/>
  <c r="M9"/>
  <c r="K9"/>
  <c r="I9"/>
  <c r="J9" s="1"/>
  <c r="H9"/>
  <c r="G9"/>
  <c r="M8"/>
  <c r="K8"/>
  <c r="I8"/>
  <c r="J8" s="1"/>
  <c r="H8"/>
  <c r="G8"/>
  <c r="M7"/>
  <c r="K7"/>
  <c r="J7"/>
  <c r="I7"/>
  <c r="H7"/>
  <c r="G7"/>
  <c r="L15"/>
  <c r="N15"/>
  <c r="L16"/>
  <c r="N16"/>
  <c r="AB34" i="1"/>
  <c r="AB34" i="9"/>
  <c r="AB34" i="3"/>
  <c r="M28"/>
  <c r="K28"/>
  <c r="N19" i="6" s="1"/>
  <c r="I28" i="3"/>
  <c r="L19" i="6" s="1"/>
  <c r="N14"/>
  <c r="L14"/>
  <c r="N13"/>
  <c r="L13"/>
  <c r="N12"/>
  <c r="L12"/>
  <c r="N11"/>
  <c r="L11"/>
  <c r="N10"/>
  <c r="L10"/>
  <c r="N9"/>
  <c r="L9"/>
  <c r="M14" i="3"/>
  <c r="K14"/>
  <c r="N8" i="6" s="1"/>
  <c r="I14" i="3"/>
  <c r="L8" i="6" s="1"/>
  <c r="M13" i="3"/>
  <c r="K13"/>
  <c r="N7" i="6" s="1"/>
  <c r="I13" i="3"/>
  <c r="L7" i="6" s="1"/>
  <c r="M151" i="3"/>
  <c r="M152"/>
  <c r="M141"/>
  <c r="K151" i="1"/>
  <c r="K152"/>
  <c r="K151" i="3"/>
  <c r="K152"/>
  <c r="I141"/>
  <c r="I148"/>
  <c r="I149"/>
  <c r="I151"/>
  <c r="I152"/>
  <c r="M128"/>
  <c r="M129"/>
  <c r="K128"/>
  <c r="K129"/>
  <c r="I128"/>
  <c r="I129"/>
  <c r="M116"/>
  <c r="M117"/>
  <c r="M118"/>
  <c r="M119"/>
  <c r="M120"/>
  <c r="K116"/>
  <c r="K117"/>
  <c r="K118"/>
  <c r="K119"/>
  <c r="K120"/>
  <c r="I116"/>
  <c r="I117"/>
  <c r="I118"/>
  <c r="I119"/>
  <c r="I120"/>
  <c r="M103"/>
  <c r="M104"/>
  <c r="K103"/>
  <c r="K104"/>
  <c r="I103"/>
  <c r="I104"/>
  <c r="M90"/>
  <c r="M91"/>
  <c r="K90"/>
  <c r="K91"/>
  <c r="I90"/>
  <c r="I91"/>
  <c r="M71"/>
  <c r="M72"/>
  <c r="K71"/>
  <c r="K72"/>
  <c r="I71"/>
  <c r="I72"/>
  <c r="M57"/>
  <c r="M59"/>
  <c r="K57"/>
  <c r="K59"/>
  <c r="I57"/>
  <c r="I59"/>
  <c r="M43"/>
  <c r="M44"/>
  <c r="M38"/>
  <c r="I38"/>
  <c r="K38"/>
  <c r="K43"/>
  <c r="K44"/>
  <c r="I43"/>
  <c r="I44"/>
  <c r="M9" i="1"/>
  <c r="K9"/>
  <c r="M9" i="3"/>
  <c r="K9"/>
  <c r="I9"/>
  <c r="O6" i="6"/>
  <c r="J6"/>
  <c r="I6"/>
  <c r="H6"/>
  <c r="G6"/>
  <c r="D6"/>
  <c r="AL186" i="8" l="1"/>
  <c r="AF85"/>
  <c r="AK186"/>
  <c r="AE85"/>
  <c r="Y186"/>
  <c r="Y218" s="1"/>
  <c r="X186"/>
  <c r="Z186"/>
  <c r="Z160"/>
  <c r="Z161" s="1"/>
  <c r="R186"/>
  <c r="R218" s="1"/>
  <c r="S186"/>
  <c r="S218" s="1"/>
  <c r="T186"/>
  <c r="I34" i="9"/>
  <c r="K85" i="1"/>
  <c r="I85"/>
  <c r="K34" i="9"/>
  <c r="M34"/>
  <c r="K34" i="3"/>
  <c r="K61" i="6"/>
  <c r="L61" s="1"/>
  <c r="P57"/>
  <c r="O57"/>
  <c r="M61"/>
  <c r="N61" s="1"/>
  <c r="N85" i="1"/>
  <c r="O54" i="6"/>
  <c r="O61" s="1"/>
  <c r="P61" s="1"/>
  <c r="P54"/>
  <c r="M20"/>
  <c r="N20" s="1"/>
  <c r="G20"/>
  <c r="H20" s="1"/>
  <c r="K20"/>
  <c r="L20" s="1"/>
  <c r="I20"/>
  <c r="J20" s="1"/>
  <c r="M34" i="3"/>
  <c r="I34"/>
  <c r="K34" i="1"/>
  <c r="I9"/>
  <c r="AK5" i="8"/>
  <c r="AK173" s="1"/>
  <c r="Z180"/>
  <c r="Y5"/>
  <c r="Y173" s="1"/>
  <c r="X5"/>
  <c r="X173" s="1"/>
  <c r="AB134" i="9"/>
  <c r="AB125"/>
  <c r="AB109"/>
  <c r="AB77"/>
  <c r="D65"/>
  <c r="AB49"/>
  <c r="L77" i="8"/>
  <c r="S5"/>
  <c r="AV185"/>
  <c r="AV217" s="1"/>
  <c r="CD77" l="1"/>
  <c r="L160"/>
  <c r="S173"/>
  <c r="S176" s="1"/>
  <c r="AW177" s="1"/>
  <c r="AL202"/>
  <c r="AK218"/>
  <c r="AM202"/>
  <c r="AL218"/>
  <c r="AM234" s="1"/>
  <c r="AA202"/>
  <c r="Z218"/>
  <c r="AA234" s="1"/>
  <c r="AE5"/>
  <c r="AQ5"/>
  <c r="AA196"/>
  <c r="AK8"/>
  <c r="U202"/>
  <c r="T218"/>
  <c r="U234" s="1"/>
  <c r="Y202"/>
  <c r="X218"/>
  <c r="Y234" s="1"/>
  <c r="AJ186"/>
  <c r="AJ218" s="1"/>
  <c r="AK234" s="1"/>
  <c r="AD85"/>
  <c r="AL180"/>
  <c r="AF8"/>
  <c r="X165"/>
  <c r="X8"/>
  <c r="X65" s="1"/>
  <c r="Z202"/>
  <c r="S165"/>
  <c r="S168" s="1"/>
  <c r="AW169" s="1"/>
  <c r="S8"/>
  <c r="Y8"/>
  <c r="Y65" s="1"/>
  <c r="Y165"/>
  <c r="S234"/>
  <c r="R234"/>
  <c r="R202"/>
  <c r="S202"/>
  <c r="AW201"/>
  <c r="AV201"/>
  <c r="T202"/>
  <c r="L5"/>
  <c r="AK165"/>
  <c r="K49" i="9"/>
  <c r="K125"/>
  <c r="I109"/>
  <c r="K109"/>
  <c r="K134"/>
  <c r="K77"/>
  <c r="I159"/>
  <c r="K159"/>
  <c r="M49"/>
  <c r="I77"/>
  <c r="I134"/>
  <c r="M49" i="8"/>
  <c r="CE49" s="1"/>
  <c r="CC35"/>
  <c r="CC50"/>
  <c r="M5"/>
  <c r="T212" s="1"/>
  <c r="U228" s="1"/>
  <c r="L49"/>
  <c r="CD49" s="1"/>
  <c r="M125" i="9"/>
  <c r="M159"/>
  <c r="M134"/>
  <c r="I125"/>
  <c r="M109"/>
  <c r="M77"/>
  <c r="M85" i="1"/>
  <c r="AF5" i="8"/>
  <c r="I34" i="1"/>
  <c r="M34"/>
  <c r="D161" i="9"/>
  <c r="AE125" i="8"/>
  <c r="X190"/>
  <c r="X222" s="1"/>
  <c r="AE95"/>
  <c r="AF125"/>
  <c r="AF95"/>
  <c r="X185"/>
  <c r="X217" s="1"/>
  <c r="Y185"/>
  <c r="Y217" s="1"/>
  <c r="X184"/>
  <c r="X216" s="1"/>
  <c r="Z185"/>
  <c r="Z190"/>
  <c r="R183"/>
  <c r="S185"/>
  <c r="S217" s="1"/>
  <c r="Z183"/>
  <c r="Y184"/>
  <c r="Y216" s="1"/>
  <c r="S183"/>
  <c r="S215" s="1"/>
  <c r="S184"/>
  <c r="S216" s="1"/>
  <c r="T185"/>
  <c r="Z188"/>
  <c r="X183"/>
  <c r="X215" s="1"/>
  <c r="Y183"/>
  <c r="Y215" s="1"/>
  <c r="Y190"/>
  <c r="Y222" s="1"/>
  <c r="Z191"/>
  <c r="T190"/>
  <c r="I49" i="9"/>
  <c r="R188" i="8"/>
  <c r="R220" s="1"/>
  <c r="R190"/>
  <c r="R222" s="1"/>
  <c r="D161"/>
  <c r="E113" i="6"/>
  <c r="E44"/>
  <c r="D5"/>
  <c r="D33"/>
  <c r="D21"/>
  <c r="R99"/>
  <c r="S99"/>
  <c r="T99"/>
  <c r="Q99"/>
  <c r="R93"/>
  <c r="S93"/>
  <c r="T93"/>
  <c r="Q93"/>
  <c r="N24"/>
  <c r="L24"/>
  <c r="AB77" i="3"/>
  <c r="G94" i="6"/>
  <c r="G99" s="1"/>
  <c r="H99" s="1"/>
  <c r="M127" i="3"/>
  <c r="M130"/>
  <c r="K127"/>
  <c r="K130"/>
  <c r="I127"/>
  <c r="I130"/>
  <c r="M114"/>
  <c r="M115"/>
  <c r="M121"/>
  <c r="K114"/>
  <c r="K115"/>
  <c r="K121"/>
  <c r="I114"/>
  <c r="I115"/>
  <c r="I121"/>
  <c r="M113"/>
  <c r="K113"/>
  <c r="I113"/>
  <c r="AB134"/>
  <c r="AB134" i="1"/>
  <c r="AB125" i="3"/>
  <c r="AB125" i="1"/>
  <c r="Z212" i="8" l="1"/>
  <c r="AA228" s="1"/>
  <c r="AE8"/>
  <c r="Z234"/>
  <c r="AJ202"/>
  <c r="U201"/>
  <c r="T217"/>
  <c r="U233" s="1"/>
  <c r="AA201"/>
  <c r="Z217"/>
  <c r="AA233" s="1"/>
  <c r="S65"/>
  <c r="AQ8"/>
  <c r="AK180"/>
  <c r="AA207"/>
  <c r="Z223"/>
  <c r="AA239" s="1"/>
  <c r="AL234"/>
  <c r="AA204"/>
  <c r="Z220"/>
  <c r="AA236" s="1"/>
  <c r="AA206"/>
  <c r="Z222"/>
  <c r="AA238" s="1"/>
  <c r="AM196"/>
  <c r="AL212"/>
  <c r="AM228" s="1"/>
  <c r="BI212"/>
  <c r="BJ228" s="1"/>
  <c r="AW212"/>
  <c r="AX228" s="1"/>
  <c r="U206"/>
  <c r="T222"/>
  <c r="U238" s="1"/>
  <c r="Z215"/>
  <c r="AA231" s="1"/>
  <c r="AA199"/>
  <c r="T234"/>
  <c r="R215"/>
  <c r="R231" s="1"/>
  <c r="S199"/>
  <c r="AJ234"/>
  <c r="AK202"/>
  <c r="X234"/>
  <c r="AJ185"/>
  <c r="AJ217" s="1"/>
  <c r="AD77"/>
  <c r="AL190"/>
  <c r="AF134"/>
  <c r="AL185"/>
  <c r="AF77"/>
  <c r="AK185"/>
  <c r="AE77"/>
  <c r="AK190"/>
  <c r="AE134"/>
  <c r="AK184"/>
  <c r="AE64"/>
  <c r="AL191"/>
  <c r="AF159"/>
  <c r="AL188"/>
  <c r="AF109"/>
  <c r="AL183"/>
  <c r="AF49"/>
  <c r="AK191"/>
  <c r="AE159"/>
  <c r="AK183"/>
  <c r="AE49"/>
  <c r="Y180"/>
  <c r="X180"/>
  <c r="K77"/>
  <c r="CC66"/>
  <c r="S180"/>
  <c r="S212" s="1"/>
  <c r="T228" s="1"/>
  <c r="CE5"/>
  <c r="M8"/>
  <c r="CE8" s="1"/>
  <c r="L64"/>
  <c r="CD64" s="1"/>
  <c r="M77"/>
  <c r="L8"/>
  <c r="CD8" s="1"/>
  <c r="K49"/>
  <c r="CC49" s="1"/>
  <c r="K64"/>
  <c r="CC64" s="1"/>
  <c r="R233"/>
  <c r="T201"/>
  <c r="R236"/>
  <c r="CD5"/>
  <c r="Y200"/>
  <c r="Y199"/>
  <c r="Y201"/>
  <c r="R238"/>
  <c r="Z206"/>
  <c r="X238"/>
  <c r="X189"/>
  <c r="X221" s="1"/>
  <c r="R206"/>
  <c r="R204"/>
  <c r="Z199"/>
  <c r="Z201"/>
  <c r="Z189"/>
  <c r="R199"/>
  <c r="R200"/>
  <c r="S200"/>
  <c r="T189"/>
  <c r="Y189"/>
  <c r="Y221" s="1"/>
  <c r="S201"/>
  <c r="R201"/>
  <c r="Y206"/>
  <c r="AL189"/>
  <c r="AK189"/>
  <c r="Z187"/>
  <c r="X187"/>
  <c r="X219" s="1"/>
  <c r="AL187"/>
  <c r="AK187"/>
  <c r="R187"/>
  <c r="R219" s="1"/>
  <c r="S187"/>
  <c r="S219" s="1"/>
  <c r="Y187"/>
  <c r="Y219" s="1"/>
  <c r="T191"/>
  <c r="T183"/>
  <c r="S190"/>
  <c r="S222" s="1"/>
  <c r="R189"/>
  <c r="R221" s="1"/>
  <c r="T187"/>
  <c r="T188"/>
  <c r="S189"/>
  <c r="S221" s="1"/>
  <c r="S191"/>
  <c r="S223" s="1"/>
  <c r="S188"/>
  <c r="CD160"/>
  <c r="AK65"/>
  <c r="AF160"/>
  <c r="BD160"/>
  <c r="V93" i="6"/>
  <c r="V99"/>
  <c r="X99"/>
  <c r="X93"/>
  <c r="K77" i="3"/>
  <c r="K125" i="1"/>
  <c r="E114" i="6"/>
  <c r="K134" i="3"/>
  <c r="M125"/>
  <c r="K125"/>
  <c r="I125"/>
  <c r="M134"/>
  <c r="I134"/>
  <c r="CC77" i="8" l="1"/>
  <c r="T196"/>
  <c r="CE77"/>
  <c r="M160"/>
  <c r="CE160" s="1"/>
  <c r="Z233"/>
  <c r="AM205"/>
  <c r="AL221"/>
  <c r="AM237" s="1"/>
  <c r="AM199"/>
  <c r="AL215"/>
  <c r="AM231" s="1"/>
  <c r="AL206"/>
  <c r="AK222"/>
  <c r="AE65"/>
  <c r="U199"/>
  <c r="T215"/>
  <c r="U231" s="1"/>
  <c r="AA203"/>
  <c r="Z219"/>
  <c r="AA235" s="1"/>
  <c r="AK201"/>
  <c r="AL207"/>
  <c r="AK223"/>
  <c r="AK216"/>
  <c r="AM206"/>
  <c r="AL222"/>
  <c r="AM238" s="1"/>
  <c r="S204"/>
  <c r="S220"/>
  <c r="U207"/>
  <c r="T223"/>
  <c r="U239" s="1"/>
  <c r="AL205"/>
  <c r="AK221"/>
  <c r="AJ201"/>
  <c r="AL196"/>
  <c r="AK212"/>
  <c r="AL228" s="1"/>
  <c r="S161"/>
  <c r="AQ161" s="1"/>
  <c r="AQ65"/>
  <c r="U204"/>
  <c r="T220"/>
  <c r="U236" s="1"/>
  <c r="Z238"/>
  <c r="Z196"/>
  <c r="Y212"/>
  <c r="Z228" s="1"/>
  <c r="AM204"/>
  <c r="AL220"/>
  <c r="AM236" s="1"/>
  <c r="AL201"/>
  <c r="AK217"/>
  <c r="T219"/>
  <c r="U235" s="1"/>
  <c r="U203"/>
  <c r="AL203"/>
  <c r="AK219"/>
  <c r="AM203"/>
  <c r="AL219"/>
  <c r="AM235" s="1"/>
  <c r="AL199"/>
  <c r="AK215"/>
  <c r="AM207"/>
  <c r="AL223"/>
  <c r="AM239" s="1"/>
  <c r="AM201"/>
  <c r="AL217"/>
  <c r="AM233" s="1"/>
  <c r="AA205"/>
  <c r="Z221"/>
  <c r="AA237" s="1"/>
  <c r="U205"/>
  <c r="T221"/>
  <c r="U237" s="1"/>
  <c r="Y196"/>
  <c r="L65"/>
  <c r="CD65" s="1"/>
  <c r="L165" s="1"/>
  <c r="Z231"/>
  <c r="Y238"/>
  <c r="T233"/>
  <c r="T205"/>
  <c r="T206"/>
  <c r="S233"/>
  <c r="T199"/>
  <c r="X237"/>
  <c r="AJ233"/>
  <c r="Z205"/>
  <c r="X233"/>
  <c r="Y233"/>
  <c r="Y231"/>
  <c r="X231"/>
  <c r="X232"/>
  <c r="Y232"/>
  <c r="R232"/>
  <c r="S232"/>
  <c r="T204"/>
  <c r="R237"/>
  <c r="R235"/>
  <c r="AW233"/>
  <c r="AV233"/>
  <c r="Y203"/>
  <c r="T203"/>
  <c r="S231"/>
  <c r="R203"/>
  <c r="S203"/>
  <c r="S206"/>
  <c r="T207"/>
  <c r="S205"/>
  <c r="R205"/>
  <c r="Z203"/>
  <c r="Y205"/>
  <c r="S192"/>
  <c r="D100" i="6"/>
  <c r="D94"/>
  <c r="D81"/>
  <c r="D70"/>
  <c r="D62"/>
  <c r="D45"/>
  <c r="Z235" i="8" l="1"/>
  <c r="L166"/>
  <c r="L167"/>
  <c r="L174"/>
  <c r="L173"/>
  <c r="T231"/>
  <c r="L175"/>
  <c r="AL237"/>
  <c r="AL239"/>
  <c r="AL238"/>
  <c r="AL231"/>
  <c r="AL233"/>
  <c r="T235"/>
  <c r="AL235"/>
  <c r="Z237"/>
  <c r="AK233"/>
  <c r="T239"/>
  <c r="T237"/>
  <c r="L161"/>
  <c r="BI224" s="1"/>
  <c r="S237"/>
  <c r="Y237"/>
  <c r="S235"/>
  <c r="T238"/>
  <c r="S238"/>
  <c r="T236"/>
  <c r="S236"/>
  <c r="S245"/>
  <c r="Y235"/>
  <c r="X235"/>
  <c r="D113" i="6"/>
  <c r="L168" i="8" l="1"/>
  <c r="L176"/>
  <c r="S224"/>
  <c r="BJ224"/>
  <c r="BK224"/>
  <c r="AM224"/>
  <c r="AY224"/>
  <c r="CD161"/>
  <c r="AW224"/>
  <c r="BI247"/>
  <c r="S247"/>
  <c r="M102" i="3"/>
  <c r="M105"/>
  <c r="M99"/>
  <c r="K102"/>
  <c r="K105"/>
  <c r="J105"/>
  <c r="AK105" i="8" s="1"/>
  <c r="AE105" s="1"/>
  <c r="J102" i="3"/>
  <c r="AK102" i="8" s="1"/>
  <c r="AE102" s="1"/>
  <c r="J101" i="3"/>
  <c r="AK101" i="8" s="1"/>
  <c r="AE101" s="1"/>
  <c r="J100" i="3"/>
  <c r="AK100" i="8" s="1"/>
  <c r="AE100" s="1"/>
  <c r="J99" i="3"/>
  <c r="AK99" i="8" s="1"/>
  <c r="AE99" s="1"/>
  <c r="J98" i="3"/>
  <c r="AK98" i="8" s="1"/>
  <c r="AE98" s="1"/>
  <c r="J97" i="3"/>
  <c r="AK97" i="8" s="1"/>
  <c r="AE97" s="1"/>
  <c r="J96" i="3"/>
  <c r="AK96" i="8" s="1"/>
  <c r="H105" i="3"/>
  <c r="Y105" i="8" s="1"/>
  <c r="H102" i="3"/>
  <c r="Y102" i="8" s="1"/>
  <c r="X80" i="6"/>
  <c r="V80"/>
  <c r="W94"/>
  <c r="U94"/>
  <c r="X94"/>
  <c r="V94"/>
  <c r="X86"/>
  <c r="W86"/>
  <c r="V86"/>
  <c r="U86"/>
  <c r="X85"/>
  <c r="W85"/>
  <c r="V85"/>
  <c r="U85"/>
  <c r="X84"/>
  <c r="W84"/>
  <c r="V84"/>
  <c r="U84"/>
  <c r="U74"/>
  <c r="V74"/>
  <c r="W74"/>
  <c r="X74"/>
  <c r="U75"/>
  <c r="V75"/>
  <c r="W75"/>
  <c r="X75"/>
  <c r="X73"/>
  <c r="W73"/>
  <c r="V73"/>
  <c r="U73"/>
  <c r="X72"/>
  <c r="W72"/>
  <c r="V72"/>
  <c r="U72"/>
  <c r="X71"/>
  <c r="W71"/>
  <c r="V71"/>
  <c r="U71"/>
  <c r="X70"/>
  <c r="W70"/>
  <c r="V70"/>
  <c r="U70"/>
  <c r="AK175" i="8" l="1"/>
  <c r="AK176" s="1"/>
  <c r="AK177" s="1"/>
  <c r="AK109"/>
  <c r="AK160" s="1"/>
  <c r="AK161" s="1"/>
  <c r="AE96"/>
  <c r="AZ240"/>
  <c r="AZ248" s="1"/>
  <c r="AY247"/>
  <c r="BK247"/>
  <c r="BL240"/>
  <c r="BL248" s="1"/>
  <c r="BK240"/>
  <c r="BK248" s="1"/>
  <c r="BJ247"/>
  <c r="AW247"/>
  <c r="AN240"/>
  <c r="AN248" s="1"/>
  <c r="AM247"/>
  <c r="BJ240"/>
  <c r="BJ248" s="1"/>
  <c r="AB109" i="3"/>
  <c r="V61" i="6"/>
  <c r="X61"/>
  <c r="I105" i="3"/>
  <c r="I102"/>
  <c r="W80" i="6"/>
  <c r="W93" s="1"/>
  <c r="W99" s="1"/>
  <c r="U80"/>
  <c r="U93" s="1"/>
  <c r="U99" s="1"/>
  <c r="P107"/>
  <c r="P108"/>
  <c r="G68"/>
  <c r="H68"/>
  <c r="I68"/>
  <c r="J68" s="1"/>
  <c r="U68"/>
  <c r="V68"/>
  <c r="W68"/>
  <c r="X68"/>
  <c r="O108"/>
  <c r="O107"/>
  <c r="M140" i="3"/>
  <c r="K140"/>
  <c r="I140"/>
  <c r="AK167" i="8" l="1"/>
  <c r="AK168" s="1"/>
  <c r="AK169" s="1"/>
  <c r="O112" i="6"/>
  <c r="P112" s="1"/>
  <c r="K141" i="3"/>
  <c r="H149"/>
  <c r="Y149" i="8" s="1"/>
  <c r="H148" i="3"/>
  <c r="Y148" i="8" s="1"/>
  <c r="Y174" s="1"/>
  <c r="M150" i="3"/>
  <c r="K150"/>
  <c r="I150"/>
  <c r="Y166" i="8" l="1"/>
  <c r="Y159"/>
  <c r="AK188"/>
  <c r="AK192" s="1"/>
  <c r="AE109"/>
  <c r="V62" i="6"/>
  <c r="V64"/>
  <c r="V65"/>
  <c r="X62"/>
  <c r="X64"/>
  <c r="X65"/>
  <c r="X63"/>
  <c r="V63"/>
  <c r="W65"/>
  <c r="W64"/>
  <c r="W62"/>
  <c r="W63"/>
  <c r="U62"/>
  <c r="U64"/>
  <c r="U65"/>
  <c r="U63"/>
  <c r="AK245" i="8" l="1"/>
  <c r="AL204"/>
  <c r="AK220"/>
  <c r="AL236" s="1"/>
  <c r="AE161"/>
  <c r="AE160"/>
  <c r="Y191"/>
  <c r="AK224"/>
  <c r="U69" i="6"/>
  <c r="W69"/>
  <c r="M89" i="3"/>
  <c r="K89"/>
  <c r="I89"/>
  <c r="M88"/>
  <c r="K88"/>
  <c r="I88"/>
  <c r="M86"/>
  <c r="K86"/>
  <c r="I86"/>
  <c r="M87"/>
  <c r="K87"/>
  <c r="I87"/>
  <c r="Z207" i="8" l="1"/>
  <c r="Y223"/>
  <c r="Z239" s="1"/>
  <c r="AK247"/>
  <c r="G63" i="6"/>
  <c r="H63"/>
  <c r="I63"/>
  <c r="J63" s="1"/>
  <c r="G62"/>
  <c r="H62"/>
  <c r="I62"/>
  <c r="G64"/>
  <c r="H64"/>
  <c r="I64"/>
  <c r="J64" s="1"/>
  <c r="G65"/>
  <c r="H65"/>
  <c r="I65"/>
  <c r="J65" s="1"/>
  <c r="G70"/>
  <c r="H70"/>
  <c r="G71"/>
  <c r="H71"/>
  <c r="G72"/>
  <c r="H72"/>
  <c r="G73"/>
  <c r="H73"/>
  <c r="G74"/>
  <c r="H74"/>
  <c r="G75"/>
  <c r="H75"/>
  <c r="G84"/>
  <c r="H84"/>
  <c r="I84"/>
  <c r="G85"/>
  <c r="H85"/>
  <c r="I85"/>
  <c r="J85" s="1"/>
  <c r="G86"/>
  <c r="H86"/>
  <c r="I86"/>
  <c r="J86" s="1"/>
  <c r="H94"/>
  <c r="I94"/>
  <c r="K109" i="3"/>
  <c r="AB109" i="1"/>
  <c r="AB77"/>
  <c r="I52" i="6"/>
  <c r="J52" s="1"/>
  <c r="H52"/>
  <c r="G52"/>
  <c r="I49"/>
  <c r="J49" s="1"/>
  <c r="H49"/>
  <c r="G49"/>
  <c r="I48"/>
  <c r="J48" s="1"/>
  <c r="H48"/>
  <c r="G48"/>
  <c r="I47"/>
  <c r="H47"/>
  <c r="G47"/>
  <c r="I28"/>
  <c r="J28" s="1"/>
  <c r="H28"/>
  <c r="G28"/>
  <c r="I27"/>
  <c r="J27" s="1"/>
  <c r="H27"/>
  <c r="G27"/>
  <c r="I26"/>
  <c r="J26" s="1"/>
  <c r="H26"/>
  <c r="G26"/>
  <c r="I25"/>
  <c r="J25" s="1"/>
  <c r="H25"/>
  <c r="G25"/>
  <c r="I23"/>
  <c r="J23" s="1"/>
  <c r="H23"/>
  <c r="G23"/>
  <c r="I22"/>
  <c r="J22" s="1"/>
  <c r="H22"/>
  <c r="G22"/>
  <c r="J21"/>
  <c r="I21"/>
  <c r="H21"/>
  <c r="G21"/>
  <c r="J5"/>
  <c r="I5"/>
  <c r="BC160" i="8" l="1"/>
  <c r="I77" i="3"/>
  <c r="G93" i="6"/>
  <c r="H93" s="1"/>
  <c r="G53"/>
  <c r="H53" s="1"/>
  <c r="J62"/>
  <c r="I69"/>
  <c r="G32"/>
  <c r="H32" s="1"/>
  <c r="J47"/>
  <c r="I53"/>
  <c r="J53" s="1"/>
  <c r="G80"/>
  <c r="H80" s="1"/>
  <c r="G69"/>
  <c r="I32"/>
  <c r="J32" s="1"/>
  <c r="J94"/>
  <c r="I99"/>
  <c r="J99" s="1"/>
  <c r="J84"/>
  <c r="I93"/>
  <c r="J93" s="1"/>
  <c r="M77" i="3"/>
  <c r="M109"/>
  <c r="K159"/>
  <c r="I159"/>
  <c r="M159"/>
  <c r="I109"/>
  <c r="AB49"/>
  <c r="AB64"/>
  <c r="BI65" i="8"/>
  <c r="AB64" i="1"/>
  <c r="AB49"/>
  <c r="H34" i="6"/>
  <c r="H35"/>
  <c r="H36"/>
  <c r="H37"/>
  <c r="H38"/>
  <c r="H39"/>
  <c r="H42"/>
  <c r="H33"/>
  <c r="J33"/>
  <c r="BC65" i="8" l="1"/>
  <c r="BI161"/>
  <c r="BC161" s="1"/>
  <c r="AB65" i="3"/>
  <c r="M64"/>
  <c r="M49"/>
  <c r="K64"/>
  <c r="I64"/>
  <c r="K49"/>
  <c r="I49"/>
  <c r="I33" i="6"/>
  <c r="I34"/>
  <c r="J34" s="1"/>
  <c r="I35"/>
  <c r="J35" s="1"/>
  <c r="I36"/>
  <c r="J36" s="1"/>
  <c r="I37"/>
  <c r="J37" s="1"/>
  <c r="I38"/>
  <c r="J38" s="1"/>
  <c r="I39"/>
  <c r="J39" s="1"/>
  <c r="I42"/>
  <c r="J42" s="1"/>
  <c r="G34"/>
  <c r="G35"/>
  <c r="G36"/>
  <c r="G37"/>
  <c r="G38"/>
  <c r="G39"/>
  <c r="G42"/>
  <c r="G33"/>
  <c r="D44"/>
  <c r="D114" s="1"/>
  <c r="L52" i="1"/>
  <c r="J52"/>
  <c r="AJ52" i="8" s="1"/>
  <c r="AD52" s="1"/>
  <c r="M52" i="3"/>
  <c r="P35" i="6" s="1"/>
  <c r="K52" i="3"/>
  <c r="N35" i="6" s="1"/>
  <c r="I52" i="3"/>
  <c r="L35" i="6" s="1"/>
  <c r="AV52" i="8" l="1"/>
  <c r="N52" i="1"/>
  <c r="M65" i="3"/>
  <c r="G43" i="6"/>
  <c r="H43" s="1"/>
  <c r="I43"/>
  <c r="J43" s="1"/>
  <c r="K65" i="3"/>
  <c r="I65"/>
  <c r="M35" i="6"/>
  <c r="K35"/>
  <c r="M67" i="3"/>
  <c r="M68"/>
  <c r="M69"/>
  <c r="M70"/>
  <c r="M73"/>
  <c r="M96"/>
  <c r="M97"/>
  <c r="M98"/>
  <c r="M100"/>
  <c r="M101"/>
  <c r="M126"/>
  <c r="M148"/>
  <c r="M149"/>
  <c r="M5"/>
  <c r="M36"/>
  <c r="M37"/>
  <c r="M39"/>
  <c r="M40"/>
  <c r="M41"/>
  <c r="M42"/>
  <c r="M45"/>
  <c r="M50"/>
  <c r="P33" i="6" s="1"/>
  <c r="M51" i="3"/>
  <c r="P34" i="6" s="1"/>
  <c r="M53" i="3"/>
  <c r="P36" i="6" s="1"/>
  <c r="M54" i="3"/>
  <c r="P37" i="6" s="1"/>
  <c r="M55" i="3"/>
  <c r="P38" i="6" s="1"/>
  <c r="M56" i="3"/>
  <c r="P39" i="6" s="1"/>
  <c r="M60" i="3"/>
  <c r="P42" i="6" s="1"/>
  <c r="M35" i="3"/>
  <c r="P6" i="6" s="1"/>
  <c r="I67" i="3"/>
  <c r="I68"/>
  <c r="I69"/>
  <c r="I70"/>
  <c r="I73"/>
  <c r="I96"/>
  <c r="I97"/>
  <c r="I98"/>
  <c r="I99"/>
  <c r="I100"/>
  <c r="I101"/>
  <c r="I126"/>
  <c r="I66"/>
  <c r="K67"/>
  <c r="K68"/>
  <c r="K69"/>
  <c r="K70"/>
  <c r="K73"/>
  <c r="K96"/>
  <c r="K97"/>
  <c r="K98"/>
  <c r="K99"/>
  <c r="K100"/>
  <c r="K101"/>
  <c r="K126"/>
  <c r="K149"/>
  <c r="K66"/>
  <c r="K35"/>
  <c r="K36"/>
  <c r="N22" i="6" s="1"/>
  <c r="K37" i="3"/>
  <c r="N23" i="6" s="1"/>
  <c r="K39" i="3"/>
  <c r="N25" i="6" s="1"/>
  <c r="K40" i="3"/>
  <c r="N26" i="6" s="1"/>
  <c r="K41" i="3"/>
  <c r="N27" i="6" s="1"/>
  <c r="K42" i="3"/>
  <c r="N28" i="6" s="1"/>
  <c r="K45" i="3"/>
  <c r="K50"/>
  <c r="N33" i="6" s="1"/>
  <c r="K51" i="3"/>
  <c r="N34" i="6" s="1"/>
  <c r="K53" i="3"/>
  <c r="N36" i="6" s="1"/>
  <c r="K54" i="3"/>
  <c r="N37" i="6" s="1"/>
  <c r="K55" i="3"/>
  <c r="N38" i="6" s="1"/>
  <c r="K56" i="3"/>
  <c r="N39" i="6" s="1"/>
  <c r="K60" i="3"/>
  <c r="N42" i="6" s="1"/>
  <c r="K5" i="3"/>
  <c r="I35"/>
  <c r="I36"/>
  <c r="L22" i="6" s="1"/>
  <c r="I37" i="3"/>
  <c r="L23" i="6" s="1"/>
  <c r="I39" i="3"/>
  <c r="L25" i="6" s="1"/>
  <c r="I40" i="3"/>
  <c r="L26" i="6" s="1"/>
  <c r="I41" i="3"/>
  <c r="L27" i="6" s="1"/>
  <c r="I42" i="3"/>
  <c r="L28" i="6" s="1"/>
  <c r="I45" i="3"/>
  <c r="I50"/>
  <c r="L33" i="6" s="1"/>
  <c r="I51" i="3"/>
  <c r="L34" i="6" s="1"/>
  <c r="I53" i="3"/>
  <c r="L36" i="6" s="1"/>
  <c r="I54" i="3"/>
  <c r="L37" i="6" s="1"/>
  <c r="I55" i="3"/>
  <c r="L38" i="6" s="1"/>
  <c r="I56" i="3"/>
  <c r="L39" i="6" s="1"/>
  <c r="I60" i="3"/>
  <c r="L42" i="6" s="1"/>
  <c r="K148" i="3"/>
  <c r="H101"/>
  <c r="Y101" i="8" s="1"/>
  <c r="H100" i="3"/>
  <c r="Y100" i="8" s="1"/>
  <c r="H99" i="3"/>
  <c r="Y99" i="8" s="1"/>
  <c r="H98" i="3"/>
  <c r="Y98" i="8" s="1"/>
  <c r="H97" i="3"/>
  <c r="Y97" i="8" s="1"/>
  <c r="H96" i="3"/>
  <c r="Y96" i="8" s="1"/>
  <c r="D65" i="3"/>
  <c r="A65" s="1"/>
  <c r="Y175" i="8" l="1"/>
  <c r="Y176" s="1"/>
  <c r="Y167"/>
  <c r="Y168" s="1"/>
  <c r="Y109"/>
  <c r="Y160" s="1"/>
  <c r="Y161" s="1"/>
  <c r="BH52"/>
  <c r="BB52"/>
  <c r="AP52"/>
  <c r="O35" i="6"/>
  <c r="L21"/>
  <c r="L6"/>
  <c r="N21"/>
  <c r="N6"/>
  <c r="I44"/>
  <c r="J44" s="1"/>
  <c r="D161" i="3"/>
  <c r="G5" i="1"/>
  <c r="A5" s="1"/>
  <c r="M5"/>
  <c r="P5" i="6" s="1"/>
  <c r="J35" i="1"/>
  <c r="L35"/>
  <c r="J36"/>
  <c r="AJ36" i="8" s="1"/>
  <c r="AD36" s="1"/>
  <c r="L36" i="1"/>
  <c r="AV36" i="8" s="1"/>
  <c r="J37" i="1"/>
  <c r="AJ37" i="8" s="1"/>
  <c r="AD37" s="1"/>
  <c r="L37" i="1"/>
  <c r="AV37" i="8" s="1"/>
  <c r="J39" i="1"/>
  <c r="AJ39" i="8" s="1"/>
  <c r="AD39" s="1"/>
  <c r="L39" i="1"/>
  <c r="AV39" i="8" s="1"/>
  <c r="L40" i="1"/>
  <c r="AV40" i="8" s="1"/>
  <c r="J41" i="1"/>
  <c r="AJ41" i="8" s="1"/>
  <c r="AD41" s="1"/>
  <c r="L41" i="1"/>
  <c r="AV41" i="8" s="1"/>
  <c r="J42" i="1"/>
  <c r="AJ42" i="8" s="1"/>
  <c r="AD42" s="1"/>
  <c r="L42" i="1"/>
  <c r="AV42" i="8" s="1"/>
  <c r="J45" i="1"/>
  <c r="AJ45" i="8" s="1"/>
  <c r="AD45" s="1"/>
  <c r="L45" i="1"/>
  <c r="AV45" i="8" s="1"/>
  <c r="J50" i="1"/>
  <c r="AJ50" i="8" s="1"/>
  <c r="L50" i="1"/>
  <c r="AV50" i="8" s="1"/>
  <c r="J51" i="1"/>
  <c r="AJ51" i="8" s="1"/>
  <c r="AD51" s="1"/>
  <c r="L51" i="1"/>
  <c r="AV51" i="8" s="1"/>
  <c r="AP51" s="1"/>
  <c r="J53" i="1"/>
  <c r="AJ53" i="8" s="1"/>
  <c r="AD53" s="1"/>
  <c r="L53" i="1"/>
  <c r="AV53" i="8" s="1"/>
  <c r="AP53" s="1"/>
  <c r="J54" i="1"/>
  <c r="AJ54" i="8" s="1"/>
  <c r="AD54" s="1"/>
  <c r="L54" i="1"/>
  <c r="J55"/>
  <c r="AJ55" i="8" s="1"/>
  <c r="AD55" s="1"/>
  <c r="L55" i="1"/>
  <c r="AV55" i="8" s="1"/>
  <c r="AP55" s="1"/>
  <c r="J56" i="1"/>
  <c r="AJ56" i="8" s="1"/>
  <c r="AD56" s="1"/>
  <c r="L56" i="1"/>
  <c r="J60"/>
  <c r="AJ60" i="8" s="1"/>
  <c r="AD60" s="1"/>
  <c r="L60" i="1"/>
  <c r="AV60" i="8" s="1"/>
  <c r="AV35" l="1"/>
  <c r="AV49" s="1"/>
  <c r="BB40"/>
  <c r="AP40"/>
  <c r="AD50"/>
  <c r="AJ64"/>
  <c r="AV54"/>
  <c r="AP54" s="1"/>
  <c r="BB37"/>
  <c r="AP37"/>
  <c r="AP36"/>
  <c r="BB36"/>
  <c r="AP50"/>
  <c r="AJ35"/>
  <c r="BB39"/>
  <c r="AP39"/>
  <c r="AP45"/>
  <c r="BB45"/>
  <c r="AP60"/>
  <c r="AP42"/>
  <c r="BB42"/>
  <c r="AV56"/>
  <c r="AP41"/>
  <c r="BB41"/>
  <c r="Y188"/>
  <c r="AB5" i="1"/>
  <c r="M6" i="6"/>
  <c r="N54" i="1"/>
  <c r="R5" i="8"/>
  <c r="R173" s="1"/>
  <c r="AB65" i="1"/>
  <c r="N56"/>
  <c r="K6" i="6"/>
  <c r="K27"/>
  <c r="I5" i="1"/>
  <c r="J5" s="1"/>
  <c r="H5" i="6"/>
  <c r="G5"/>
  <c r="G44" s="1"/>
  <c r="K21"/>
  <c r="N55" i="1"/>
  <c r="BH55" i="8" s="1"/>
  <c r="BB55" s="1"/>
  <c r="M38" i="6"/>
  <c r="K38"/>
  <c r="M23"/>
  <c r="N60" i="1"/>
  <c r="BH60" i="8" s="1"/>
  <c r="BB60" s="1"/>
  <c r="M42" i="6"/>
  <c r="N53" i="1"/>
  <c r="BH53" i="8" s="1"/>
  <c r="BB53" s="1"/>
  <c r="M36" i="6"/>
  <c r="M26"/>
  <c r="M22"/>
  <c r="M27"/>
  <c r="K23"/>
  <c r="K37"/>
  <c r="K42"/>
  <c r="K36"/>
  <c r="K22"/>
  <c r="M39"/>
  <c r="N51" i="1"/>
  <c r="BH51" i="8" s="1"/>
  <c r="BB51" s="1"/>
  <c r="M34" i="6"/>
  <c r="M28"/>
  <c r="M25"/>
  <c r="N50" i="1"/>
  <c r="BH50" i="8" s="1"/>
  <c r="BB50" s="1"/>
  <c r="M33" i="6"/>
  <c r="K33"/>
  <c r="M37"/>
  <c r="K39"/>
  <c r="K34"/>
  <c r="K28"/>
  <c r="K25"/>
  <c r="M21"/>
  <c r="K5" i="1"/>
  <c r="G148"/>
  <c r="G137"/>
  <c r="AV64" i="8" l="1"/>
  <c r="AP64" s="1"/>
  <c r="R148"/>
  <c r="K148" s="1"/>
  <c r="A148" i="1"/>
  <c r="Y220" i="8"/>
  <c r="Z236" s="1"/>
  <c r="A137" i="1"/>
  <c r="R137" i="8"/>
  <c r="K137" s="1"/>
  <c r="BH56"/>
  <c r="AD35"/>
  <c r="BB35"/>
  <c r="AP35"/>
  <c r="BH54"/>
  <c r="BB54" s="1"/>
  <c r="BB56"/>
  <c r="AP56"/>
  <c r="AP49"/>
  <c r="BB49"/>
  <c r="R165"/>
  <c r="R8"/>
  <c r="I8" i="1"/>
  <c r="AB148"/>
  <c r="AB137"/>
  <c r="Y192" i="8"/>
  <c r="Z204"/>
  <c r="K5"/>
  <c r="X212" s="1"/>
  <c r="AV184"/>
  <c r="AV216" s="1"/>
  <c r="O39" i="6"/>
  <c r="AV183" i="8"/>
  <c r="AV215" s="1"/>
  <c r="O37" i="6"/>
  <c r="AJ5" i="8"/>
  <c r="H137" i="1"/>
  <c r="X137" i="8" s="1"/>
  <c r="H148" i="1"/>
  <c r="X148" i="8" s="1"/>
  <c r="H44" i="6"/>
  <c r="L5" i="1"/>
  <c r="N5" i="6"/>
  <c r="K43"/>
  <c r="L43" s="1"/>
  <c r="M32"/>
  <c r="N32" s="1"/>
  <c r="M43"/>
  <c r="N43" s="1"/>
  <c r="G107"/>
  <c r="H107"/>
  <c r="J148" i="1"/>
  <c r="AJ148" i="8" s="1"/>
  <c r="K148" i="1"/>
  <c r="L148" s="1"/>
  <c r="AV148" i="8" s="1"/>
  <c r="I137" i="1"/>
  <c r="J137" s="1"/>
  <c r="AJ137" i="8" s="1"/>
  <c r="K5" i="6"/>
  <c r="M49" i="1"/>
  <c r="O34" i="6"/>
  <c r="K49" i="1"/>
  <c r="I64"/>
  <c r="O42" i="6"/>
  <c r="O38"/>
  <c r="K64" i="1"/>
  <c r="O33" i="6"/>
  <c r="O36"/>
  <c r="K137" i="1"/>
  <c r="L137" s="1"/>
  <c r="AV137" i="8" s="1"/>
  <c r="AD148" l="1"/>
  <c r="BH64"/>
  <c r="AD137"/>
  <c r="AJ8"/>
  <c r="AD8" s="1"/>
  <c r="AP137"/>
  <c r="BB137"/>
  <c r="AP148"/>
  <c r="BB148"/>
  <c r="AD5"/>
  <c r="AJ184"/>
  <c r="AD64"/>
  <c r="R65"/>
  <c r="R180"/>
  <c r="Y228"/>
  <c r="K8"/>
  <c r="CC8" s="1"/>
  <c r="K8" i="1"/>
  <c r="CC5" i="8"/>
  <c r="AW232"/>
  <c r="AV232"/>
  <c r="AV231"/>
  <c r="AW231"/>
  <c r="Y245"/>
  <c r="Y224"/>
  <c r="AV199"/>
  <c r="AW199"/>
  <c r="AV200"/>
  <c r="AW200"/>
  <c r="M5" i="6"/>
  <c r="M44" s="1"/>
  <c r="AV5" i="8"/>
  <c r="AV173" s="1"/>
  <c r="CC148"/>
  <c r="CC137"/>
  <c r="I107" i="6"/>
  <c r="J107" s="1"/>
  <c r="N5" i="1"/>
  <c r="BH5" i="8" s="1"/>
  <c r="O43" i="6"/>
  <c r="P43" s="1"/>
  <c r="K107"/>
  <c r="L107"/>
  <c r="N107"/>
  <c r="M107"/>
  <c r="M64" i="1"/>
  <c r="BB5" i="8" l="1"/>
  <c r="BH8"/>
  <c r="S196"/>
  <c r="R196"/>
  <c r="R212"/>
  <c r="R228" s="1"/>
  <c r="AV165"/>
  <c r="AV8"/>
  <c r="AP8" s="1"/>
  <c r="AJ216"/>
  <c r="AK232" s="1"/>
  <c r="AJ180"/>
  <c r="BH184"/>
  <c r="BH200" s="1"/>
  <c r="BB64"/>
  <c r="AJ200"/>
  <c r="AK200"/>
  <c r="K65"/>
  <c r="CC65" s="1"/>
  <c r="X228"/>
  <c r="M8" i="1"/>
  <c r="Y247" i="8"/>
  <c r="BI200"/>
  <c r="AV65"/>
  <c r="AP5"/>
  <c r="N44" i="6"/>
  <c r="O5"/>
  <c r="O44" s="1"/>
  <c r="D65" i="1"/>
  <c r="A65" s="1"/>
  <c r="G138"/>
  <c r="AV180" i="8" l="1"/>
  <c r="AW196" s="1"/>
  <c r="A138" i="1"/>
  <c r="R138" i="8"/>
  <c r="K138" s="1"/>
  <c r="AJ232"/>
  <c r="AJ212"/>
  <c r="AK196"/>
  <c r="AJ196"/>
  <c r="S228"/>
  <c r="BH216"/>
  <c r="BH232" s="1"/>
  <c r="BH180"/>
  <c r="BH196" s="1"/>
  <c r="BB8"/>
  <c r="AP65"/>
  <c r="AB138" i="1"/>
  <c r="BH65" i="8"/>
  <c r="K138" i="1"/>
  <c r="P44" i="6"/>
  <c r="D161" i="1"/>
  <c r="K65"/>
  <c r="I138"/>
  <c r="BI196" i="8" l="1"/>
  <c r="AV212"/>
  <c r="AV196"/>
  <c r="BI232"/>
  <c r="AJ228"/>
  <c r="AK228"/>
  <c r="BH212"/>
  <c r="BH228" s="1"/>
  <c r="BB65"/>
  <c r="CC138"/>
  <c r="H101" i="1"/>
  <c r="X101" i="8" s="1"/>
  <c r="H98" i="1"/>
  <c r="X98" i="8" s="1"/>
  <c r="H99" i="1"/>
  <c r="X99" i="8" s="1"/>
  <c r="H100" i="1"/>
  <c r="X100" i="8" s="1"/>
  <c r="H97" i="1"/>
  <c r="X97" i="8" s="1"/>
  <c r="H96" i="1"/>
  <c r="X96" i="8" s="1"/>
  <c r="X175" s="1"/>
  <c r="AV228" l="1"/>
  <c r="AW228"/>
  <c r="BI228"/>
  <c r="X167"/>
  <c r="X109"/>
  <c r="I74" i="6"/>
  <c r="J74" s="1"/>
  <c r="I73"/>
  <c r="J73" s="1"/>
  <c r="I72"/>
  <c r="J72" s="1"/>
  <c r="I75"/>
  <c r="J75" s="1"/>
  <c r="I71"/>
  <c r="J71" s="1"/>
  <c r="I70"/>
  <c r="N66" i="1"/>
  <c r="BH66" i="8" s="1"/>
  <c r="N67" i="1"/>
  <c r="BH67" i="8" s="1"/>
  <c r="BB67" s="1"/>
  <c r="N68" i="1"/>
  <c r="BH68" i="8" s="1"/>
  <c r="BB68" s="1"/>
  <c r="N69" i="1"/>
  <c r="BH69" i="8" s="1"/>
  <c r="N70" i="1"/>
  <c r="BH70" i="8" s="1"/>
  <c r="BB70" s="1"/>
  <c r="N73" i="1"/>
  <c r="BH73" i="8" s="1"/>
  <c r="BB73" s="1"/>
  <c r="N100" i="1"/>
  <c r="BH100" i="8" s="1"/>
  <c r="N113" i="1"/>
  <c r="BH113" i="8" s="1"/>
  <c r="N114" i="1"/>
  <c r="BH114" i="8" s="1"/>
  <c r="BB114" s="1"/>
  <c r="N115" i="1"/>
  <c r="BH115" i="8" s="1"/>
  <c r="BB115" s="1"/>
  <c r="L87" i="1"/>
  <c r="AV87" i="8" s="1"/>
  <c r="L86" i="1"/>
  <c r="AV86" i="8" s="1"/>
  <c r="L88" i="1"/>
  <c r="AV88" i="8" s="1"/>
  <c r="L89" i="1"/>
  <c r="L150"/>
  <c r="AV150" i="8" s="1"/>
  <c r="L96" i="1"/>
  <c r="AV96" i="8" s="1"/>
  <c r="L97" i="1"/>
  <c r="AV97" i="8" s="1"/>
  <c r="AP97" s="1"/>
  <c r="L98" i="1"/>
  <c r="AV98" i="8" s="1"/>
  <c r="L99" i="1"/>
  <c r="AV99" i="8" s="1"/>
  <c r="L100" i="1"/>
  <c r="AV100" i="8" s="1"/>
  <c r="L101" i="1"/>
  <c r="AV101" i="8" s="1"/>
  <c r="AP101" s="1"/>
  <c r="L126" i="1"/>
  <c r="L138"/>
  <c r="AV138" i="8" s="1"/>
  <c r="J87" i="1"/>
  <c r="AJ87" i="8" s="1"/>
  <c r="AD87" s="1"/>
  <c r="J86" i="1"/>
  <c r="AJ86" i="8" s="1"/>
  <c r="AJ175" s="1"/>
  <c r="J88" i="1"/>
  <c r="AJ88" i="8" s="1"/>
  <c r="AD88" s="1"/>
  <c r="J89" i="1"/>
  <c r="AJ89" i="8" s="1"/>
  <c r="AD89" s="1"/>
  <c r="J150" i="1"/>
  <c r="AJ150" i="8" s="1"/>
  <c r="AD150" s="1"/>
  <c r="J96" i="1"/>
  <c r="AJ96" i="8" s="1"/>
  <c r="J97" i="1"/>
  <c r="AJ97" i="8" s="1"/>
  <c r="AD97" s="1"/>
  <c r="J98" i="1"/>
  <c r="AJ98" i="8" s="1"/>
  <c r="AD98" s="1"/>
  <c r="J99" i="1"/>
  <c r="AJ99" i="8" s="1"/>
  <c r="AD99" s="1"/>
  <c r="J100" i="1"/>
  <c r="AJ100" i="8" s="1"/>
  <c r="AD100" s="1"/>
  <c r="J101" i="1"/>
  <c r="AJ101" i="8" s="1"/>
  <c r="AD101" s="1"/>
  <c r="J113" i="1"/>
  <c r="AJ113" i="8" s="1"/>
  <c r="J114" i="1"/>
  <c r="AJ114" i="8" s="1"/>
  <c r="AD114" s="1"/>
  <c r="J115" i="1"/>
  <c r="AJ115" i="8" s="1"/>
  <c r="AD115" s="1"/>
  <c r="J126" i="1"/>
  <c r="AJ126" i="8" s="1"/>
  <c r="J138" i="1"/>
  <c r="AJ138" i="8" s="1"/>
  <c r="AD138" s="1"/>
  <c r="BH173" l="1"/>
  <c r="BB69"/>
  <c r="AP99"/>
  <c r="BH125"/>
  <c r="BB113"/>
  <c r="AJ134"/>
  <c r="AD126"/>
  <c r="AJ109"/>
  <c r="AD96"/>
  <c r="AP88"/>
  <c r="AP96"/>
  <c r="BB138"/>
  <c r="AP138"/>
  <c r="AP150"/>
  <c r="AV126"/>
  <c r="AV89"/>
  <c r="AP89" s="1"/>
  <c r="BB100"/>
  <c r="AP100"/>
  <c r="AP86"/>
  <c r="AV95"/>
  <c r="AD113"/>
  <c r="AJ125"/>
  <c r="AP87"/>
  <c r="AV109"/>
  <c r="AP109" s="1"/>
  <c r="AP98"/>
  <c r="AD86"/>
  <c r="AJ95"/>
  <c r="BH77"/>
  <c r="BB66"/>
  <c r="K134" i="1"/>
  <c r="N89"/>
  <c r="BH89" i="8" s="1"/>
  <c r="X188"/>
  <c r="X220" s="1"/>
  <c r="L85" i="6"/>
  <c r="I134" i="1"/>
  <c r="L86" i="6"/>
  <c r="L84"/>
  <c r="I125" i="1"/>
  <c r="J70" i="6"/>
  <c r="I80"/>
  <c r="J80" s="1"/>
  <c r="M74"/>
  <c r="N74"/>
  <c r="K74"/>
  <c r="L74"/>
  <c r="M68"/>
  <c r="N68"/>
  <c r="K68"/>
  <c r="L68"/>
  <c r="K72"/>
  <c r="L72"/>
  <c r="K63"/>
  <c r="L63"/>
  <c r="M94"/>
  <c r="M99" s="1"/>
  <c r="N99" s="1"/>
  <c r="N94"/>
  <c r="N71"/>
  <c r="M71"/>
  <c r="O74"/>
  <c r="P74"/>
  <c r="K71"/>
  <c r="L71"/>
  <c r="M86"/>
  <c r="N86"/>
  <c r="L70"/>
  <c r="K70"/>
  <c r="O86"/>
  <c r="P86"/>
  <c r="K94"/>
  <c r="K99" s="1"/>
  <c r="L99" s="1"/>
  <c r="L94"/>
  <c r="M70"/>
  <c r="N70"/>
  <c r="K86"/>
  <c r="N85"/>
  <c r="M85"/>
  <c r="M75"/>
  <c r="N75"/>
  <c r="N65"/>
  <c r="M65"/>
  <c r="O85"/>
  <c r="P85"/>
  <c r="K85"/>
  <c r="M84"/>
  <c r="N84"/>
  <c r="K84"/>
  <c r="O94"/>
  <c r="O99" s="1"/>
  <c r="P99" s="1"/>
  <c r="P94"/>
  <c r="K75"/>
  <c r="L75"/>
  <c r="K65"/>
  <c r="L65"/>
  <c r="M64"/>
  <c r="N64"/>
  <c r="K64"/>
  <c r="L64"/>
  <c r="M73"/>
  <c r="N73"/>
  <c r="M62"/>
  <c r="N62"/>
  <c r="K73"/>
  <c r="L73"/>
  <c r="L62"/>
  <c r="K62"/>
  <c r="N72"/>
  <c r="M72"/>
  <c r="M63"/>
  <c r="N63"/>
  <c r="P84"/>
  <c r="O84"/>
  <c r="L49"/>
  <c r="K49"/>
  <c r="N97" i="1"/>
  <c r="BH97" i="8" s="1"/>
  <c r="BB97" s="1"/>
  <c r="N52" i="6"/>
  <c r="M52"/>
  <c r="L52"/>
  <c r="K52"/>
  <c r="N96" i="1"/>
  <c r="BH96" i="8" s="1"/>
  <c r="BB96" s="1"/>
  <c r="N48" i="6"/>
  <c r="M48"/>
  <c r="P52"/>
  <c r="O52"/>
  <c r="L48"/>
  <c r="K48"/>
  <c r="N150" i="1"/>
  <c r="N47" i="6"/>
  <c r="M47"/>
  <c r="P49"/>
  <c r="O49"/>
  <c r="L47"/>
  <c r="K47"/>
  <c r="N101" i="1"/>
  <c r="BH101" i="8" s="1"/>
  <c r="BB101" s="1"/>
  <c r="O48" i="6"/>
  <c r="P48"/>
  <c r="N88" i="1"/>
  <c r="BH88" i="8" s="1"/>
  <c r="BB88" s="1"/>
  <c r="O47" i="6"/>
  <c r="P47"/>
  <c r="N99" i="1"/>
  <c r="BH99" i="8" s="1"/>
  <c r="BB99" s="1"/>
  <c r="N86" i="1"/>
  <c r="BH86" i="8" s="1"/>
  <c r="N49" i="6"/>
  <c r="M49"/>
  <c r="N98" i="1"/>
  <c r="BH98" i="8" s="1"/>
  <c r="BB98" s="1"/>
  <c r="N87" i="1"/>
  <c r="BH87" i="8" s="1"/>
  <c r="BB87" s="1"/>
  <c r="G139" i="1"/>
  <c r="G136"/>
  <c r="G153"/>
  <c r="G149"/>
  <c r="H138"/>
  <c r="X138" i="8" s="1"/>
  <c r="G135" i="1"/>
  <c r="BH175" i="8" l="1"/>
  <c r="BH176" s="1"/>
  <c r="BH150"/>
  <c r="AV175"/>
  <c r="A135" i="1"/>
  <c r="R135" i="8"/>
  <c r="A139" i="1"/>
  <c r="R139" i="8"/>
  <c r="K139" s="1"/>
  <c r="A149" i="1"/>
  <c r="R149" i="8"/>
  <c r="K149" s="1"/>
  <c r="A153" i="1"/>
  <c r="R153" i="8"/>
  <c r="K153" s="1"/>
  <c r="A136" i="1"/>
  <c r="R136" i="8"/>
  <c r="K136" s="1"/>
  <c r="BB126"/>
  <c r="AP126"/>
  <c r="AV134"/>
  <c r="AV190" s="1"/>
  <c r="AV222" s="1"/>
  <c r="AP95"/>
  <c r="BH109"/>
  <c r="BB86"/>
  <c r="BH95"/>
  <c r="BB89"/>
  <c r="BH165"/>
  <c r="AB149" i="1"/>
  <c r="AB153"/>
  <c r="AB136"/>
  <c r="AB139"/>
  <c r="AV188" i="8"/>
  <c r="AD95"/>
  <c r="AJ167"/>
  <c r="M134" i="1"/>
  <c r="AV167" i="8"/>
  <c r="Y204"/>
  <c r="P65" i="6"/>
  <c r="AB135" i="1"/>
  <c r="O65" i="6"/>
  <c r="K77" i="1"/>
  <c r="M125"/>
  <c r="M93" i="6"/>
  <c r="N93" s="1"/>
  <c r="G116"/>
  <c r="AD125" i="8"/>
  <c r="K153" i="1"/>
  <c r="L153" s="1"/>
  <c r="AV153" i="8" s="1"/>
  <c r="H136" i="1"/>
  <c r="X136" i="8" s="1"/>
  <c r="I139" i="1"/>
  <c r="J139" s="1"/>
  <c r="AJ139" i="8" s="1"/>
  <c r="M69" i="6"/>
  <c r="O53"/>
  <c r="M53"/>
  <c r="N53" s="1"/>
  <c r="K69"/>
  <c r="K80"/>
  <c r="L80" s="1"/>
  <c r="O93"/>
  <c r="P93" s="1"/>
  <c r="K93"/>
  <c r="L93" s="1"/>
  <c r="M80"/>
  <c r="N80" s="1"/>
  <c r="K53"/>
  <c r="L53" s="1"/>
  <c r="K149" i="1"/>
  <c r="L149" s="1"/>
  <c r="H108" i="6"/>
  <c r="G108"/>
  <c r="G112" s="1"/>
  <c r="H112" s="1"/>
  <c r="O68"/>
  <c r="P68"/>
  <c r="O72"/>
  <c r="P72"/>
  <c r="P75"/>
  <c r="O75"/>
  <c r="O73"/>
  <c r="P73"/>
  <c r="P62"/>
  <c r="O62"/>
  <c r="P64"/>
  <c r="O64"/>
  <c r="O63"/>
  <c r="P63"/>
  <c r="P71"/>
  <c r="O71"/>
  <c r="M109" i="1"/>
  <c r="O70" i="6"/>
  <c r="P70"/>
  <c r="M77" i="1"/>
  <c r="I77"/>
  <c r="I109"/>
  <c r="K109"/>
  <c r="K135"/>
  <c r="L135" s="1"/>
  <c r="AV135" i="8" s="1"/>
  <c r="H149" i="1"/>
  <c r="X149" i="8" s="1"/>
  <c r="K139" i="1"/>
  <c r="L139" s="1"/>
  <c r="AV139" i="8" s="1"/>
  <c r="H139" i="1"/>
  <c r="X139" i="8" s="1"/>
  <c r="H153" i="1"/>
  <c r="X153" i="8" s="1"/>
  <c r="I153" i="1"/>
  <c r="J153" s="1"/>
  <c r="AJ153" i="8" s="1"/>
  <c r="I136" i="1"/>
  <c r="J136" s="1"/>
  <c r="AJ136" i="8" s="1"/>
  <c r="K136" i="1"/>
  <c r="L136" s="1"/>
  <c r="AV136" i="8" s="1"/>
  <c r="J149" i="1"/>
  <c r="AJ149" i="8" s="1"/>
  <c r="I135" i="1"/>
  <c r="J135" s="1"/>
  <c r="AJ135" i="8" s="1"/>
  <c r="H135" i="1"/>
  <c r="X135" i="8" s="1"/>
  <c r="AJ174" l="1"/>
  <c r="BB150"/>
  <c r="BH159"/>
  <c r="BH191" s="1"/>
  <c r="R174"/>
  <c r="R176" s="1"/>
  <c r="AD153"/>
  <c r="X174"/>
  <c r="X176" s="1"/>
  <c r="AD136"/>
  <c r="AD149"/>
  <c r="AD139"/>
  <c r="K135"/>
  <c r="R166"/>
  <c r="R159"/>
  <c r="R160" s="1"/>
  <c r="AP153"/>
  <c r="BB153"/>
  <c r="BB139"/>
  <c r="AP139"/>
  <c r="AJ159"/>
  <c r="AJ160" s="1"/>
  <c r="AD135"/>
  <c r="AP136"/>
  <c r="BB136"/>
  <c r="AV149"/>
  <c r="AV159" s="1"/>
  <c r="AV220"/>
  <c r="AV236" s="1"/>
  <c r="AP134"/>
  <c r="BB134"/>
  <c r="X166"/>
  <c r="X159"/>
  <c r="X160" s="1"/>
  <c r="BB135"/>
  <c r="AP135"/>
  <c r="BH185"/>
  <c r="BB77"/>
  <c r="BH189"/>
  <c r="BH221" s="1"/>
  <c r="BH237" s="1"/>
  <c r="BB125"/>
  <c r="AJ188"/>
  <c r="AD109"/>
  <c r="AJ190"/>
  <c r="AK206" s="1"/>
  <c r="AD134"/>
  <c r="BH201"/>
  <c r="AJ187"/>
  <c r="AV204"/>
  <c r="AW204"/>
  <c r="AV187"/>
  <c r="BH167"/>
  <c r="BH168" s="1"/>
  <c r="AV238"/>
  <c r="AW238"/>
  <c r="Y236"/>
  <c r="X236"/>
  <c r="AV206"/>
  <c r="AW206"/>
  <c r="AJ189"/>
  <c r="AJ221" s="1"/>
  <c r="CC136"/>
  <c r="CC139"/>
  <c r="CC153"/>
  <c r="N108" i="6"/>
  <c r="CC149" i="8"/>
  <c r="I108" i="6"/>
  <c r="J108" s="1"/>
  <c r="P53"/>
  <c r="O80"/>
  <c r="P80" s="1"/>
  <c r="O69"/>
  <c r="M108"/>
  <c r="M112" s="1"/>
  <c r="N112" s="1"/>
  <c r="G113"/>
  <c r="K108"/>
  <c r="K112" s="1"/>
  <c r="L112" s="1"/>
  <c r="L108"/>
  <c r="M65" i="1"/>
  <c r="I5" i="3"/>
  <c r="L5" i="6" s="1"/>
  <c r="BI205" i="8" l="1"/>
  <c r="CC135"/>
  <c r="K175" s="1"/>
  <c r="K160"/>
  <c r="BH160"/>
  <c r="BH161" s="1"/>
  <c r="AV174"/>
  <c r="AV176" s="1"/>
  <c r="AV177" s="1"/>
  <c r="BI237"/>
  <c r="BH207"/>
  <c r="BH223"/>
  <c r="BI207"/>
  <c r="K167"/>
  <c r="K166"/>
  <c r="AW236"/>
  <c r="R191"/>
  <c r="S207" s="1"/>
  <c r="AJ220"/>
  <c r="AK236" s="1"/>
  <c r="AJ204"/>
  <c r="BH217"/>
  <c r="BH233" s="1"/>
  <c r="AV219"/>
  <c r="AW235" s="1"/>
  <c r="AJ222"/>
  <c r="AK238" s="1"/>
  <c r="AP149"/>
  <c r="BB149"/>
  <c r="AK204"/>
  <c r="BH205"/>
  <c r="AJ219"/>
  <c r="AK235" s="1"/>
  <c r="BI201"/>
  <c r="AP159"/>
  <c r="BB159"/>
  <c r="AV160"/>
  <c r="BH188"/>
  <c r="BI204" s="1"/>
  <c r="BB109"/>
  <c r="BH187"/>
  <c r="BH203" s="1"/>
  <c r="BB95"/>
  <c r="AJ203"/>
  <c r="AJ206"/>
  <c r="AK203"/>
  <c r="K159"/>
  <c r="CC159" s="1"/>
  <c r="X168"/>
  <c r="X161"/>
  <c r="AV203"/>
  <c r="AW203"/>
  <c r="AJ166"/>
  <c r="AK237"/>
  <c r="AJ237"/>
  <c r="R168"/>
  <c r="BI203"/>
  <c r="AJ205"/>
  <c r="AK205"/>
  <c r="AV166"/>
  <c r="AV191"/>
  <c r="AV223" s="1"/>
  <c r="R161"/>
  <c r="I112" i="6"/>
  <c r="J112" s="1"/>
  <c r="G114"/>
  <c r="O113"/>
  <c r="O114" s="1"/>
  <c r="K159" i="1"/>
  <c r="M113" i="6"/>
  <c r="M159" i="1"/>
  <c r="K113" i="6"/>
  <c r="I159" i="1"/>
  <c r="F113" i="6"/>
  <c r="M66" i="3"/>
  <c r="J40" i="1"/>
  <c r="AJ40" i="8" s="1"/>
  <c r="K165" l="1"/>
  <c r="K173"/>
  <c r="K176" s="1"/>
  <c r="R192"/>
  <c r="K174"/>
  <c r="BI239"/>
  <c r="BH239"/>
  <c r="R207"/>
  <c r="AJ173"/>
  <c r="AJ176" s="1"/>
  <c r="AJ177" s="1"/>
  <c r="R223"/>
  <c r="R239" s="1"/>
  <c r="AJ235"/>
  <c r="AJ236"/>
  <c r="AV235"/>
  <c r="BH219"/>
  <c r="BI235" s="1"/>
  <c r="BH220"/>
  <c r="BI236" s="1"/>
  <c r="BI233"/>
  <c r="BH192"/>
  <c r="BI208" s="1"/>
  <c r="BI246" s="1"/>
  <c r="AJ238"/>
  <c r="AP160"/>
  <c r="AV161"/>
  <c r="AP161" s="1"/>
  <c r="AD40"/>
  <c r="AJ49"/>
  <c r="AJ165"/>
  <c r="AJ168" s="1"/>
  <c r="AJ169" s="1"/>
  <c r="BH204"/>
  <c r="BB160"/>
  <c r="AJ191"/>
  <c r="AK207" s="1"/>
  <c r="AD159"/>
  <c r="X191"/>
  <c r="AD160"/>
  <c r="R245"/>
  <c r="AV239"/>
  <c r="AW239"/>
  <c r="AV168"/>
  <c r="AV169" s="1"/>
  <c r="AV192"/>
  <c r="AW207"/>
  <c r="AV207"/>
  <c r="S208"/>
  <c r="S246" s="1"/>
  <c r="R208"/>
  <c r="R246" s="1"/>
  <c r="K161"/>
  <c r="CC160"/>
  <c r="M114" i="6"/>
  <c r="K26"/>
  <c r="K32" s="1"/>
  <c r="L32" s="1"/>
  <c r="BH235" i="8" l="1"/>
  <c r="S239"/>
  <c r="BB161"/>
  <c r="BH208"/>
  <c r="BH246" s="1"/>
  <c r="BH245"/>
  <c r="X223"/>
  <c r="Y239" s="1"/>
  <c r="BH236"/>
  <c r="AJ207"/>
  <c r="AJ223"/>
  <c r="AJ239" s="1"/>
  <c r="CC161"/>
  <c r="R224"/>
  <c r="R240" s="1"/>
  <c r="R248" s="1"/>
  <c r="Y207"/>
  <c r="X192"/>
  <c r="Y208" s="1"/>
  <c r="Y246" s="1"/>
  <c r="AV224"/>
  <c r="AV245"/>
  <c r="BH224"/>
  <c r="AV208"/>
  <c r="AV246" s="1"/>
  <c r="AW208"/>
  <c r="AW246" s="1"/>
  <c r="K168"/>
  <c r="I49" i="1"/>
  <c r="K44" i="6"/>
  <c r="X239" i="8" l="1"/>
  <c r="AK239"/>
  <c r="AJ183"/>
  <c r="AJ192" s="1"/>
  <c r="AJ245" s="1"/>
  <c r="AD49"/>
  <c r="X224"/>
  <c r="X247" s="1"/>
  <c r="X245"/>
  <c r="AJ65"/>
  <c r="AJ161" s="1"/>
  <c r="S240"/>
  <c r="S248" s="1"/>
  <c r="R247"/>
  <c r="BH240"/>
  <c r="BH248" s="1"/>
  <c r="BH247"/>
  <c r="BI240"/>
  <c r="BI248" s="1"/>
  <c r="AV247"/>
  <c r="AW240"/>
  <c r="AW248" s="1"/>
  <c r="AV240"/>
  <c r="AV248" s="1"/>
  <c r="K114" i="6"/>
  <c r="L44"/>
  <c r="I65" i="1"/>
  <c r="F44" i="6"/>
  <c r="AJ199" i="8" l="1"/>
  <c r="AK199"/>
  <c r="AJ215"/>
  <c r="AJ231" s="1"/>
  <c r="AD161"/>
  <c r="AD65"/>
  <c r="Y240"/>
  <c r="Y248" s="1"/>
  <c r="X240"/>
  <c r="X248" s="1"/>
  <c r="AJ208"/>
  <c r="AJ246" s="1"/>
  <c r="AJ224"/>
  <c r="AK240" s="1"/>
  <c r="AK248" s="1"/>
  <c r="AK208"/>
  <c r="AK246" s="1"/>
  <c r="F117" i="6"/>
  <c r="F114"/>
  <c r="F119"/>
  <c r="F118"/>
  <c r="I113"/>
  <c r="AK231" i="8" l="1"/>
  <c r="AJ247"/>
  <c r="AJ240"/>
  <c r="AJ248" s="1"/>
  <c r="I114" i="6"/>
  <c r="AB60" i="9" l="1"/>
  <c r="AB57"/>
  <c r="AB52"/>
  <c r="AB54" l="1"/>
  <c r="AB55"/>
  <c r="I58"/>
  <c r="AB58"/>
  <c r="M55"/>
  <c r="K55"/>
  <c r="AB53"/>
  <c r="I57"/>
  <c r="Z168" i="8" l="1"/>
  <c r="K59" i="9"/>
  <c r="AB50"/>
  <c r="A65"/>
  <c r="M58"/>
  <c r="I55"/>
  <c r="AB56"/>
  <c r="AB51"/>
  <c r="K58"/>
  <c r="I52"/>
  <c r="AB59"/>
  <c r="Z184" i="8" l="1"/>
  <c r="T168"/>
  <c r="AX169" s="1"/>
  <c r="M52" i="9"/>
  <c r="K57"/>
  <c r="AB64"/>
  <c r="M59"/>
  <c r="K52"/>
  <c r="T184" i="8"/>
  <c r="M57" i="9"/>
  <c r="U200" i="8" l="1"/>
  <c r="T216"/>
  <c r="U232" s="1"/>
  <c r="AA200"/>
  <c r="Z216"/>
  <c r="AA232" s="1"/>
  <c r="AX64"/>
  <c r="M64"/>
  <c r="Z192"/>
  <c r="AA208" s="1"/>
  <c r="AA246" s="1"/>
  <c r="Z200"/>
  <c r="T192"/>
  <c r="U208" s="1"/>
  <c r="U246" s="1"/>
  <c r="T200"/>
  <c r="AB65" i="9"/>
  <c r="Z232" i="8" l="1"/>
  <c r="T232"/>
  <c r="AR64"/>
  <c r="AX184"/>
  <c r="CE64"/>
  <c r="M65"/>
  <c r="T208"/>
  <c r="T246" s="1"/>
  <c r="T245"/>
  <c r="Z208"/>
  <c r="Z246" s="1"/>
  <c r="Z245"/>
  <c r="M165" l="1"/>
  <c r="M173"/>
  <c r="AY200"/>
  <c r="AX216"/>
  <c r="AX200"/>
  <c r="AX192"/>
  <c r="CE65"/>
  <c r="M166" s="1"/>
  <c r="M161"/>
  <c r="T224" s="1"/>
  <c r="M174" l="1"/>
  <c r="M176" s="1"/>
  <c r="M175"/>
  <c r="M167"/>
  <c r="M168" s="1"/>
  <c r="AX245"/>
  <c r="AY208"/>
  <c r="AY246" s="1"/>
  <c r="AX208"/>
  <c r="AX246" s="1"/>
  <c r="AX224"/>
  <c r="AY232"/>
  <c r="AX232"/>
  <c r="T240"/>
  <c r="T248" s="1"/>
  <c r="CE161"/>
  <c r="U224"/>
  <c r="AA224"/>
  <c r="Z224"/>
  <c r="Z240" s="1"/>
  <c r="Z248" s="1"/>
  <c r="T247"/>
  <c r="I56" i="9"/>
  <c r="AX240" i="8" l="1"/>
  <c r="AX248" s="1"/>
  <c r="AX247"/>
  <c r="AY240"/>
  <c r="AY248" s="1"/>
  <c r="U247"/>
  <c r="V240"/>
  <c r="V248" s="1"/>
  <c r="Z247"/>
  <c r="AA240"/>
  <c r="AA248" s="1"/>
  <c r="U240"/>
  <c r="U248" s="1"/>
  <c r="AB240"/>
  <c r="AB248" s="1"/>
  <c r="AA247"/>
  <c r="K56" i="9"/>
  <c r="M56"/>
  <c r="I59"/>
  <c r="I54" l="1"/>
  <c r="M54" l="1"/>
  <c r="K54"/>
  <c r="I53" l="1"/>
  <c r="M53" l="1"/>
  <c r="I60"/>
  <c r="K53"/>
  <c r="K50" l="1"/>
  <c r="M60"/>
  <c r="I50"/>
  <c r="K60"/>
  <c r="M50" l="1"/>
  <c r="I51" l="1"/>
  <c r="K51"/>
  <c r="AL165" i="8" l="1"/>
  <c r="AL168" s="1"/>
  <c r="AL169" s="1"/>
  <c r="K64" i="9"/>
  <c r="I64"/>
  <c r="AL184" i="8" l="1"/>
  <c r="AF64"/>
  <c r="AL192"/>
  <c r="I65" i="9"/>
  <c r="M64"/>
  <c r="K65"/>
  <c r="AX65" i="8"/>
  <c r="AL65"/>
  <c r="AL245" l="1"/>
  <c r="AM208"/>
  <c r="AM246" s="1"/>
  <c r="AL224"/>
  <c r="AL208"/>
  <c r="AL246" s="1"/>
  <c r="AM200"/>
  <c r="AL216"/>
  <c r="AL200"/>
  <c r="BD64"/>
  <c r="AX161"/>
  <c r="AR161" s="1"/>
  <c r="AR65"/>
  <c r="AF65"/>
  <c r="AL161"/>
  <c r="AF161" s="1"/>
  <c r="BJ65"/>
  <c r="BJ161" s="1"/>
  <c r="M65" i="9"/>
  <c r="AM232" i="8" l="1"/>
  <c r="AL232"/>
  <c r="AM240"/>
  <c r="AM248" s="1"/>
  <c r="AL247"/>
  <c r="AL240"/>
  <c r="AL248" s="1"/>
  <c r="BD161"/>
  <c r="BD65"/>
  <c r="H69" i="6" l="1"/>
  <c r="G164" i="1"/>
  <c r="H113" i="6"/>
  <c r="F166" i="14"/>
  <c r="AB95" i="9"/>
  <c r="F167" s="1"/>
  <c r="F167" i="3"/>
  <c r="F166"/>
  <c r="F166" i="1"/>
  <c r="G161" i="14"/>
  <c r="G161" i="12"/>
  <c r="AB95" i="13"/>
  <c r="F165" s="1"/>
  <c r="AB95" i="14"/>
  <c r="F167" s="1"/>
  <c r="F165"/>
  <c r="AB95" i="12"/>
  <c r="F167" s="1"/>
  <c r="AB95" i="3"/>
  <c r="F165"/>
  <c r="G161" i="13"/>
  <c r="AB95" i="1"/>
  <c r="F167" s="1"/>
  <c r="F165"/>
  <c r="G161" i="3"/>
  <c r="G161" i="9"/>
  <c r="G161" i="1" l="1"/>
  <c r="H114" i="6" s="1"/>
  <c r="F168" i="3"/>
  <c r="F168" i="14"/>
  <c r="F168" i="1"/>
  <c r="F166" i="9"/>
  <c r="F165" i="12"/>
  <c r="F166"/>
  <c r="F166" i="13"/>
  <c r="F167"/>
  <c r="F165" i="9"/>
  <c r="F168" i="13" l="1"/>
  <c r="F168" i="9"/>
  <c r="F168" i="12"/>
  <c r="I95" i="14"/>
  <c r="I95" i="3"/>
  <c r="K95"/>
  <c r="K95" i="12"/>
  <c r="I95"/>
  <c r="K95" i="14"/>
  <c r="P69" i="6"/>
  <c r="M95" i="1"/>
  <c r="J69" i="6"/>
  <c r="I95" i="9"/>
  <c r="M95" i="12"/>
  <c r="X69" i="6"/>
  <c r="M95" i="9"/>
  <c r="M95" i="13"/>
  <c r="N69" i="6"/>
  <c r="K95" i="1"/>
  <c r="M160"/>
  <c r="I95"/>
  <c r="L69" i="6"/>
  <c r="L113"/>
  <c r="I95" i="13"/>
  <c r="I160" i="12"/>
  <c r="K95" i="13"/>
  <c r="I161"/>
  <c r="M161" i="1"/>
  <c r="K160" i="12"/>
  <c r="K161" i="14"/>
  <c r="M95"/>
  <c r="J113" i="6"/>
  <c r="K95" i="9"/>
  <c r="K160"/>
  <c r="I161"/>
  <c r="M160" i="12"/>
  <c r="I161" i="3"/>
  <c r="K160"/>
  <c r="V69" i="6"/>
  <c r="M95" i="3"/>
  <c r="I160" i="14"/>
  <c r="K160" i="13"/>
  <c r="M160" i="9"/>
  <c r="K161" i="12" l="1"/>
  <c r="M160" i="13"/>
  <c r="K161"/>
  <c r="I160" i="3"/>
  <c r="K161"/>
  <c r="K161" i="9"/>
  <c r="I160" i="13"/>
  <c r="M160" i="3"/>
  <c r="I161" i="14"/>
  <c r="M161"/>
  <c r="N114" i="6"/>
  <c r="K161" i="1"/>
  <c r="I160" i="9"/>
  <c r="M161" i="12"/>
  <c r="I161"/>
  <c r="K160" i="1"/>
  <c r="N113" i="6"/>
  <c r="M161" i="13"/>
  <c r="J114" i="6"/>
  <c r="M160" i="14"/>
  <c r="K160"/>
  <c r="P113" i="6"/>
  <c r="I160" i="1"/>
  <c r="L114" i="6" l="1"/>
  <c r="I161" i="1"/>
  <c r="M161" i="9"/>
  <c r="M161" i="3"/>
  <c r="P114" i="6"/>
  <c r="BO95" i="8"/>
  <c r="BU161"/>
  <c r="BP95"/>
  <c r="BR95"/>
  <c r="BR160"/>
  <c r="BR161"/>
  <c r="BQ95"/>
  <c r="BS95"/>
  <c r="BS160"/>
  <c r="BS161"/>
  <c r="BU160"/>
  <c r="BU95"/>
  <c r="BT95"/>
  <c r="BT160"/>
  <c r="BT161"/>
  <c r="BN95"/>
</calcChain>
</file>

<file path=xl/sharedStrings.xml><?xml version="1.0" encoding="utf-8"?>
<sst xmlns="http://schemas.openxmlformats.org/spreadsheetml/2006/main" count="5288" uniqueCount="231">
  <si>
    <t>AERE</t>
  </si>
  <si>
    <t>Salève Vivant</t>
  </si>
  <si>
    <t>APICY</t>
  </si>
  <si>
    <t>ProVélo GE</t>
  </si>
  <si>
    <t>EVAV</t>
  </si>
  <si>
    <t>AMANCY_Giratoire Coriandre</t>
  </si>
  <si>
    <t>PERS-JUSSY_Giratoire Casino</t>
  </si>
  <si>
    <t>REIGNIER_Giratoire église</t>
  </si>
  <si>
    <t>REIGNIER_Giratoire La Forge</t>
  </si>
  <si>
    <t>ARTHAZ_Giratoire lavage auto</t>
  </si>
  <si>
    <t>ETREMBIERES_Giratoire ex PN93</t>
  </si>
  <si>
    <t>ETREMBIERES_Carrefour sous Château</t>
  </si>
  <si>
    <t>SCIENTRIER_Carrefour Tour de Bellecombe</t>
  </si>
  <si>
    <t>LA ROCHE_Carrefour Biocoop</t>
  </si>
  <si>
    <t>LA ROCHE_Giratoire La Poste</t>
  </si>
  <si>
    <t>LA ROCHE_Giratoire ENILV</t>
  </si>
  <si>
    <t>ARENTHON_La Papeterie</t>
  </si>
  <si>
    <t>ST-PIERRE_Franchissement Borne-Dessy</t>
  </si>
  <si>
    <t>BONNEVILLE_Franchissement Borne-Tucinge</t>
  </si>
  <si>
    <t>ST-PIERRE_Pont principal sur le Borne</t>
  </si>
  <si>
    <t>NatEnv &amp; Fabrique à Biclou</t>
  </si>
  <si>
    <t>-</t>
  </si>
  <si>
    <t>GAILLARD_Douane de Moïllesullaz</t>
  </si>
  <si>
    <t>ANNEMASSE_Clos Fleury</t>
  </si>
  <si>
    <t>GAILLARD_Douane de Fossard</t>
  </si>
  <si>
    <t>AMBILLY_Voie verte Pont Noir</t>
  </si>
  <si>
    <t>ANNEMASSE_Voie verte Jura</t>
  </si>
  <si>
    <t>ARCHAMPS_Douane de Landecy</t>
  </si>
  <si>
    <t>COLLONGES_Douane de Croix de Rozon</t>
  </si>
  <si>
    <t>BOSSEY_Douane de Pierre-Grand</t>
  </si>
  <si>
    <t>BOSSEY_Douane de Troinex/Bossey</t>
  </si>
  <si>
    <t>VEYRIER_Douane du Pas de l'Echelle</t>
  </si>
  <si>
    <t>ST-JULIEN_Douane de Perly</t>
  </si>
  <si>
    <t>ST-JULIEN_Passage douanier des Crottes</t>
  </si>
  <si>
    <t>VIRY_Douane de Soral 2</t>
  </si>
  <si>
    <t>ST-JULIEN_Douane de Soral 1</t>
  </si>
  <si>
    <t>DIVONNE_Douane de Crassy / Crassier</t>
  </si>
  <si>
    <t>ST-GENIS_Giratoire Porte de France</t>
  </si>
  <si>
    <t>FERNEY_Douane de Mategnin</t>
  </si>
  <si>
    <t>Autres modes</t>
  </si>
  <si>
    <t>Piétons</t>
  </si>
  <si>
    <t>&gt; Suisse</t>
  </si>
  <si>
    <t>&gt; France</t>
  </si>
  <si>
    <t>total</t>
  </si>
  <si>
    <t>HP</t>
  </si>
  <si>
    <t>Groupe St-Julien</t>
  </si>
  <si>
    <t>ST-JULIEN_Douane de Certoux (rte Thérens)</t>
  </si>
  <si>
    <t>ST-JULIEN_Paguette (chemin de l'Aire)</t>
  </si>
  <si>
    <t>GENEVE_Rue du XXXI Décembre</t>
  </si>
  <si>
    <t>GENEVE_Bd Georges Favon</t>
  </si>
  <si>
    <t>GENEVE_Av. Pictet de Rochemont</t>
  </si>
  <si>
    <t>GENEVE_Voie Verte / Av. Frank Thomas</t>
  </si>
  <si>
    <t>GENEVE_Bd des Tranchées</t>
  </si>
  <si>
    <t>Association(s)</t>
  </si>
  <si>
    <t>Nombre de vélos</t>
  </si>
  <si>
    <t>% VAE dans le total</t>
  </si>
  <si>
    <t>% femmes dans le total</t>
  </si>
  <si>
    <t>% de VAE chez les femmes</t>
  </si>
  <si>
    <t>ANNEMASSE_Devant l'agglo</t>
  </si>
  <si>
    <t>France / Suisse / Frontière</t>
  </si>
  <si>
    <t>France</t>
  </si>
  <si>
    <t>Suisse</t>
  </si>
  <si>
    <t>Frontière</t>
  </si>
  <si>
    <t>NB VAE dans le total</t>
  </si>
  <si>
    <t>NB de VAE chez les femmes</t>
  </si>
  <si>
    <t>NB de femmes dans le total</t>
  </si>
  <si>
    <t>TOTAL</t>
  </si>
  <si>
    <t>Localisation des postes de comptage :</t>
  </si>
  <si>
    <t>données partielles</t>
  </si>
  <si>
    <t>Nombre de bénévoles</t>
  </si>
  <si>
    <t>UP Cluses</t>
  </si>
  <si>
    <t>CLUSES_Passerelle de Messy</t>
  </si>
  <si>
    <t>ATE Vaud / ProVélo La Côte</t>
  </si>
  <si>
    <t>GENEVE_Rue Ferdinand Hodler</t>
  </si>
  <si>
    <t>Arrière-pays</t>
  </si>
  <si>
    <t>OUI</t>
  </si>
  <si>
    <t>NON</t>
  </si>
  <si>
    <t>Sous-total périmètre urbain</t>
  </si>
  <si>
    <t>Sous-total périmètre "arrière-pays"</t>
  </si>
  <si>
    <t>Postes de comptage</t>
  </si>
  <si>
    <t>GENEVE_Voie Verte / Av. Bel-Air</t>
  </si>
  <si>
    <t>GENEVE_Arquebuse</t>
  </si>
  <si>
    <t>NatEnv (Nature Environnement en Pays rochois)
Fabrique à Biclou
Pays rochois en Transition</t>
  </si>
  <si>
    <t>AERE (Association Environnement Reignier-Esery)</t>
  </si>
  <si>
    <t>EVAV (En Ville A Vélo)</t>
  </si>
  <si>
    <t>APiCy (Association des Piétons et Cyclistes du Pays de Gex)</t>
  </si>
  <si>
    <t>Université Populaire de Cluses</t>
  </si>
  <si>
    <t>nombre total de cyclistes comptés sur toute la période</t>
  </si>
  <si>
    <t>Colonne</t>
  </si>
  <si>
    <t>D</t>
  </si>
  <si>
    <t>G</t>
  </si>
  <si>
    <t>H</t>
  </si>
  <si>
    <t>nombre de bénévoles par poste de comptage</t>
  </si>
  <si>
    <t>E</t>
  </si>
  <si>
    <t>nom/localisation du poste de comptage</t>
  </si>
  <si>
    <t>F</t>
  </si>
  <si>
    <t>implantation : France / Suisse / Frontière</t>
  </si>
  <si>
    <t>I</t>
  </si>
  <si>
    <t>J</t>
  </si>
  <si>
    <t>K</t>
  </si>
  <si>
    <t>L</t>
  </si>
  <si>
    <t>M</t>
  </si>
  <si>
    <t>N</t>
  </si>
  <si>
    <t>nombre de VAE dans le total (référence à la colonne G)</t>
  </si>
  <si>
    <t>nombre de femmes dans le total (référence à la colonne G)</t>
  </si>
  <si>
    <t>nombre de cyclistes comptés sur l'heure de pointe (7h30 - 8h30) uniquement</t>
  </si>
  <si>
    <t>S</t>
  </si>
  <si>
    <t>T</t>
  </si>
  <si>
    <t>U</t>
  </si>
  <si>
    <t>V</t>
  </si>
  <si>
    <t>FRONTIERE</t>
  </si>
  <si>
    <t xml:space="preserve">Eléments obligatoires pour les postes frontières et carrefours proches frontière               </t>
  </si>
  <si>
    <t>nombre total de cyclistes comptés sur toute la période - Direction Suisse</t>
  </si>
  <si>
    <t>nombre de cyclistes comptés sur l'heure de pointe (7h30 - 8h30) uniquement - Direction Suisse</t>
  </si>
  <si>
    <t>nombre total de cyclistes comptés sur toute la période - Direction France</t>
  </si>
  <si>
    <t>nombre de cyclistes comptés sur l'heure de pointe (7h30 - 8h30) uniquement - Direction France</t>
  </si>
  <si>
    <t>Ce qu'il faut renseigner</t>
  </si>
  <si>
    <t>O</t>
  </si>
  <si>
    <t>P</t>
  </si>
  <si>
    <t>Q</t>
  </si>
  <si>
    <t>R</t>
  </si>
  <si>
    <t>calcul automatique (du nombre de femmes dans le total)</t>
  </si>
  <si>
    <t>calcul automatique (du nombre de VAE dans le total)</t>
  </si>
  <si>
    <t>nombre total de VAE chez les femmes (valeur spécifique à relever)</t>
  </si>
  <si>
    <t>calcul automatique (du nombre total de VAE chez les femmes)</t>
  </si>
  <si>
    <t>DONNEES GENERALES</t>
  </si>
  <si>
    <t>AUTRES DONNEES</t>
  </si>
  <si>
    <t>nombre total de personnes comptées sur toute la période en "autre mode" (trottinette, gyropode…)</t>
  </si>
  <si>
    <t>nombre total de piétons comptés sur toute la période</t>
  </si>
  <si>
    <t>nombre total de piétons comptés en HPM (7h30 - 8h30)</t>
  </si>
  <si>
    <t>nombre total de personnes comptées en HPM (7h30 - 8h30) en "autre mode" (trottinette, gyropode…)</t>
  </si>
  <si>
    <t>Toutes les cellules blanches ne sont pas à renseigner (formule de calcul ou NC)</t>
  </si>
  <si>
    <t>REIGNIER_Giratoire Foron</t>
  </si>
  <si>
    <t>#</t>
  </si>
  <si>
    <t>%</t>
  </si>
  <si>
    <t>Evolution des vélos 2020-2021</t>
  </si>
  <si>
    <t>Evolution des VAE 2020-2021</t>
  </si>
  <si>
    <t>Evolution des femmes  2020-2021</t>
  </si>
  <si>
    <t>Sous-total</t>
  </si>
  <si>
    <t>Evolution des VAE chez les femmes 2020-2021</t>
  </si>
  <si>
    <t>LA ROCHE_Gare Passage à niveau (new2021)</t>
  </si>
  <si>
    <t>LA ROCHE_Gare Passage à niveau (new 2021)</t>
  </si>
  <si>
    <t>en HP</t>
  </si>
  <si>
    <t>THÔNEX_Ch. de la Mousse/Rte de Jussy</t>
  </si>
  <si>
    <t>CHÊNE-BOURG_Ecole de Haller</t>
  </si>
  <si>
    <t>Compté par ProVélo en 2021 (Salève Vivant en 2020)</t>
  </si>
  <si>
    <t>VALLEIRY_La Joux</t>
  </si>
  <si>
    <t>VIRY_Malagny</t>
  </si>
  <si>
    <t>VERSONNEX_Douane de Collex-Bossy</t>
  </si>
  <si>
    <t>SAUVERNY_Douane de Sauverny</t>
  </si>
  <si>
    <t>DIVONNE_Douane de Chavanne</t>
  </si>
  <si>
    <t>APiCy (Association des Piétons et Cyclistes du Pays de Gex)
+ ProVélo La Côte et ATE Vaud</t>
  </si>
  <si>
    <t>GRILLY_Douane du Pont</t>
  </si>
  <si>
    <t>DIVONNE-CRASSIER_Voie verte</t>
  </si>
  <si>
    <t>STJEAN_Douane de Dardagny</t>
  </si>
  <si>
    <t>CHALLEX_Douane de La Plaine</t>
  </si>
  <si>
    <t>POUGNY_Douane de Chancy</t>
  </si>
  <si>
    <t>FERNEY_Douane du GdSaconnex</t>
  </si>
  <si>
    <t>FERNEY_Douane de Vireloup</t>
  </si>
  <si>
    <t>Total</t>
  </si>
  <si>
    <t>VAE dans le total</t>
  </si>
  <si>
    <t>[en %]</t>
  </si>
  <si>
    <t>[en valeur]</t>
  </si>
  <si>
    <t>L'Abeille (Contamine)</t>
  </si>
  <si>
    <t>BONNE_Loëx (sous voie rapide)</t>
  </si>
  <si>
    <t>ACMB (Chablais)</t>
  </si>
  <si>
    <t>COMMUNE_Carrefour</t>
  </si>
  <si>
    <t>Le Préau</t>
  </si>
  <si>
    <t>AMDC (Chablais)</t>
  </si>
  <si>
    <t>AMANCY Sous-terrain Vozerier (new 2022)</t>
  </si>
  <si>
    <t>ST-PIERRE M. Bricolage</t>
  </si>
  <si>
    <t>ST-JULIEN_Douane piét. (chemin de Chécande)</t>
  </si>
  <si>
    <t>Compté par Salève Vivant en 2021 sous le nom Charrot</t>
  </si>
  <si>
    <t>ST-JULIEN_Douane piét. (chemin de Lathoy)</t>
  </si>
  <si>
    <t>Y compris comptage France-France carrefour Sous Lathoy</t>
  </si>
  <si>
    <t>COLLONGES_Passage parking du Marché</t>
  </si>
  <si>
    <t>GENEVE_Route de Lausanne</t>
  </si>
  <si>
    <t>GENEVE_Route de Chancy</t>
  </si>
  <si>
    <t>GENEVE_Rue de Lyon</t>
  </si>
  <si>
    <t>GENEVE_Rue de la Servette</t>
  </si>
  <si>
    <t>THONEX/GAILLARD_hameau de Fossard</t>
  </si>
  <si>
    <t>THONEX/GAILLARD_Pont de Souville</t>
  </si>
  <si>
    <t>ALLINGES_Rond point des Fleysets</t>
  </si>
  <si>
    <t>BONS_Gare</t>
  </si>
  <si>
    <t>DOUVAINE_Mairie</t>
  </si>
  <si>
    <t>EVIAN_Gare</t>
  </si>
  <si>
    <t>PERRIGNIER_Gare</t>
  </si>
  <si>
    <t>THONON_Embarcadère CGN</t>
  </si>
  <si>
    <t>THONON_Entrée côté place de Crête</t>
  </si>
  <si>
    <t>THONON_Parvis de la gare</t>
  </si>
  <si>
    <t>THONON_Avenue d’Evian</t>
  </si>
  <si>
    <t>THONON_Carrefour Libération</t>
  </si>
  <si>
    <t>THONON_Collège Champagne</t>
  </si>
  <si>
    <t>THONON_Ecole Jule Ferry</t>
  </si>
  <si>
    <t>THONON_Rond point J. Ferry G Andrier Pl des Arts Bld du Canal</t>
  </si>
  <si>
    <t>THONON/ANTHY_Pont de Marclaz</t>
  </si>
  <si>
    <t>THONON/MARIN_Pont de Dranse</t>
  </si>
  <si>
    <t>VEIGY_Douane</t>
  </si>
  <si>
    <t>REIGNIER_Carrefour Marsinge / Viaison</t>
  </si>
  <si>
    <t>Compté par Salève Vivant en 2020 (sinon ProVélo ou EVAV ?)</t>
  </si>
  <si>
    <t>Femmes dans le total</t>
  </si>
  <si>
    <t>VAE chez les femmes</t>
  </si>
  <si>
    <t>NB de bénévoles</t>
  </si>
  <si>
    <t/>
  </si>
  <si>
    <t>NB postes</t>
  </si>
  <si>
    <t>Localisation des postes de comptage</t>
  </si>
  <si>
    <t>OK</t>
  </si>
  <si>
    <t>VAE-Femmes</t>
  </si>
  <si>
    <t>Femmes</t>
  </si>
  <si>
    <t>VAE</t>
  </si>
  <si>
    <t>L'Abeille</t>
  </si>
  <si>
    <t>AMDC</t>
  </si>
  <si>
    <t>NatEnv</t>
  </si>
  <si>
    <t>ATE VD</t>
  </si>
  <si>
    <t>APiCy</t>
  </si>
  <si>
    <t>Evolution en %</t>
  </si>
  <si>
    <t>RECAPITULATIF PAR ASSOCIATION (en NB)</t>
  </si>
  <si>
    <t>RECAPITULATIF PAR ASSOCIATION (en %)</t>
  </si>
  <si>
    <r>
      <t xml:space="preserve">RECAPITULATIF PAR ASSOCIATION (en NB)
</t>
    </r>
    <r>
      <rPr>
        <b/>
        <i/>
        <sz val="11.5"/>
        <color theme="0"/>
        <rFont val="Calibri"/>
        <family val="2"/>
        <scheme val="minor"/>
      </rPr>
      <t>en moyenne par carrefour</t>
    </r>
  </si>
  <si>
    <r>
      <t xml:space="preserve">RECAPITULATIF PAR ASSOCIATION (en %)
</t>
    </r>
    <r>
      <rPr>
        <b/>
        <i/>
        <sz val="11.5"/>
        <color theme="0"/>
        <rFont val="Calibri"/>
        <family val="2"/>
        <scheme val="minor"/>
      </rPr>
      <t>en moyenne par carrefour</t>
    </r>
  </si>
  <si>
    <t>en NB</t>
  </si>
  <si>
    <t>en %</t>
  </si>
  <si>
    <t>MOY.</t>
  </si>
  <si>
    <t>SYNTHESE</t>
  </si>
  <si>
    <t>Eléments à renseigner par chaque association dans l'onglet "2023"</t>
  </si>
  <si>
    <t>&gt;&gt; cellules en bleu dans l'onglet "2023"</t>
  </si>
  <si>
    <t>Eléments obligatoires &gt;&gt; cellules en vert dans l'onglet "2023"</t>
  </si>
  <si>
    <t>Eléments facultatifs &gt;&gt; cellules en rose dans l'onglet "2023"</t>
  </si>
  <si>
    <t>REIGNIER_Giratoire ex gendarmerie</t>
  </si>
  <si>
    <t>REIGNIER_Carrefour Gare - Tour d'Ivoire</t>
  </si>
  <si>
    <t>MOYENNE</t>
  </si>
</sst>
</file>

<file path=xl/styles.xml><?xml version="1.0" encoding="utf-8"?>
<styleSheet xmlns="http://schemas.openxmlformats.org/spreadsheetml/2006/main">
  <numFmts count="4">
    <numFmt numFmtId="164" formatCode="_-* #,##0\ _€_-;\-* #,##0\ _€_-;_-* &quot;-&quot;\ _€_-;_-@_-"/>
    <numFmt numFmtId="165" formatCode="0&quot; postes de comptages&quot;"/>
    <numFmt numFmtId="166" formatCode="0&quot; &quot;%"/>
    <numFmt numFmtId="167" formatCode="0.0%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strike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.5"/>
      <color theme="0"/>
      <name val="Calibri"/>
      <family val="2"/>
      <scheme val="minor"/>
    </font>
    <font>
      <b/>
      <i/>
      <sz val="11.5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DFF8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rgb="FF92D050"/>
      </patternFill>
    </fill>
    <fill>
      <patternFill patternType="solid">
        <fgColor rgb="FF00B0F0"/>
        <bgColor indexed="64"/>
      </patternFill>
    </fill>
    <fill>
      <patternFill patternType="solid">
        <fgColor theme="1" tint="0.34998626667073579"/>
        <bgColor indexed="64"/>
      </patternFill>
    </fill>
  </fills>
  <borders count="23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dotted">
        <color theme="1" tint="0.499984740745262"/>
      </bottom>
      <diagonal/>
    </border>
    <border>
      <left style="thin">
        <color auto="1"/>
      </left>
      <right style="medium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thin">
        <color auto="1"/>
      </left>
      <right style="medium">
        <color auto="1"/>
      </right>
      <top style="dotted">
        <color theme="1" tint="0.499984740745262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/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dotted">
        <color theme="1" tint="0.499984740745262"/>
      </bottom>
      <diagonal/>
    </border>
    <border>
      <left style="thin">
        <color auto="1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thin">
        <color auto="1"/>
      </left>
      <right style="dotted">
        <color theme="1" tint="0.499984740745262"/>
      </right>
      <top style="dotted">
        <color theme="1" tint="0.499984740745262"/>
      </top>
      <bottom style="thin">
        <color auto="1"/>
      </bottom>
      <diagonal/>
    </border>
    <border>
      <left style="dotted">
        <color theme="1" tint="0.499984740745262"/>
      </left>
      <right style="medium">
        <color auto="1"/>
      </right>
      <top style="dotted">
        <color theme="1" tint="0.499984740745262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thin">
        <color auto="1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/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thin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thin">
        <color auto="1"/>
      </right>
      <top style="dotted">
        <color theme="1" tint="0.499984740745262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/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dotted">
        <color theme="1" tint="0.499984740745262"/>
      </bottom>
      <diagonal/>
    </border>
    <border>
      <left style="medium">
        <color auto="1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medium">
        <color auto="1"/>
      </left>
      <right style="dotted">
        <color theme="1" tint="0.499984740745262"/>
      </right>
      <top style="dotted">
        <color theme="1" tint="0.499984740745262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/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/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/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theme="1" tint="0.499984740745262"/>
      </bottom>
      <diagonal/>
    </border>
    <border>
      <left/>
      <right style="thin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/>
      <right style="thin">
        <color auto="1"/>
      </right>
      <top style="dotted">
        <color theme="1" tint="0.499984740745262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dotted">
        <color theme="1" tint="0.499984740745262"/>
      </bottom>
      <diagonal/>
    </border>
    <border>
      <left/>
      <right/>
      <top style="dotted">
        <color theme="1" tint="0.499984740745262"/>
      </top>
      <bottom style="dotted">
        <color theme="1" tint="0.499984740745262"/>
      </bottom>
      <diagonal/>
    </border>
    <border>
      <left/>
      <right/>
      <top style="dotted">
        <color theme="1" tint="0.49998474074526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ck">
        <color rgb="FF7030A0"/>
      </bottom>
      <diagonal/>
    </border>
    <border>
      <left/>
      <right/>
      <top style="thick">
        <color rgb="FF7030A0"/>
      </top>
      <bottom/>
      <diagonal/>
    </border>
    <border>
      <left/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/>
      <right style="thick">
        <color rgb="FF7030A0"/>
      </right>
      <top/>
      <bottom/>
      <diagonal/>
    </border>
    <border>
      <left/>
      <right style="thick">
        <color rgb="FF7030A0"/>
      </right>
      <top/>
      <bottom style="thick">
        <color rgb="FF7030A0"/>
      </bottom>
      <diagonal/>
    </border>
    <border>
      <left style="thick">
        <color rgb="FF7030A0"/>
      </left>
      <right/>
      <top style="thick">
        <color rgb="FF7030A0"/>
      </top>
      <bottom/>
      <diagonal/>
    </border>
    <border>
      <left style="thick">
        <color rgb="FF7030A0"/>
      </left>
      <right/>
      <top/>
      <bottom style="thick">
        <color rgb="FF7030A0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otted">
        <color theme="1" tint="0.499984740745262"/>
      </right>
      <top/>
      <bottom/>
      <diagonal/>
    </border>
    <border>
      <left style="dotted">
        <color theme="1" tint="0.499984740745262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thin">
        <color auto="1"/>
      </right>
      <top/>
      <bottom/>
      <diagonal/>
    </border>
    <border>
      <left style="medium">
        <color auto="1"/>
      </left>
      <right style="dotted">
        <color theme="1" tint="0.499984740745262"/>
      </right>
      <top/>
      <bottom/>
      <diagonal/>
    </border>
    <border>
      <left style="medium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auto="1"/>
      </left>
      <right style="thin">
        <color auto="1"/>
      </right>
      <top/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 style="dotted">
        <color theme="1" tint="0.499984740745262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 style="dotted">
        <color theme="1" tint="0.499984740745262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dotted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dotted">
        <color theme="1" tint="0.499984740745262"/>
      </left>
      <right style="dotted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dotted">
        <color theme="1" tint="0.499984740745262"/>
      </right>
      <top style="medium">
        <color auto="1"/>
      </top>
      <bottom style="thin">
        <color auto="1"/>
      </bottom>
      <diagonal/>
    </border>
    <border>
      <left style="dotted">
        <color theme="1" tint="0.499984740745262"/>
      </left>
      <right style="dotted">
        <color auto="1"/>
      </right>
      <top style="thin">
        <color auto="1"/>
      </top>
      <bottom style="dotted">
        <color theme="1" tint="0.499984740745262"/>
      </bottom>
      <diagonal/>
    </border>
    <border>
      <left style="dotted">
        <color auto="1"/>
      </left>
      <right style="dotted">
        <color theme="1" tint="0.499984740745262"/>
      </right>
      <top style="thin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auto="1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auto="1"/>
      </right>
      <top style="dotted">
        <color theme="1" tint="0.499984740745262"/>
      </top>
      <bottom style="thin">
        <color auto="1"/>
      </bottom>
      <diagonal/>
    </border>
    <border>
      <left style="dotted">
        <color auto="1"/>
      </left>
      <right style="dotted">
        <color theme="1" tint="0.499984740745262"/>
      </right>
      <top style="dotted">
        <color theme="1" tint="0.499984740745262"/>
      </top>
      <bottom style="thin">
        <color auto="1"/>
      </bottom>
      <diagonal/>
    </border>
    <border>
      <left style="dotted">
        <color theme="1" tint="0.499984740745262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theme="1" tint="0.499984740745262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medium">
        <color auto="1"/>
      </bottom>
      <diagonal/>
    </border>
    <border>
      <left style="dotted">
        <color theme="1" tint="0.499984740745262"/>
      </left>
      <right style="dotted">
        <color auto="1"/>
      </right>
      <top style="thin">
        <color auto="1"/>
      </top>
      <bottom style="medium">
        <color auto="1"/>
      </bottom>
      <diagonal/>
    </border>
    <border>
      <left style="dotted">
        <color auto="1"/>
      </left>
      <right style="dotted">
        <color theme="1" tint="0.499984740745262"/>
      </right>
      <top style="thin">
        <color auto="1"/>
      </top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otted">
        <color theme="1" tint="0.499984740745262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 style="medium">
        <color auto="1"/>
      </top>
      <bottom style="dotted">
        <color theme="1" tint="0.499984740745262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tted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tted">
        <color theme="1" tint="0.499984740745262"/>
      </bottom>
      <diagonal/>
    </border>
    <border>
      <left/>
      <right style="thin">
        <color auto="1"/>
      </right>
      <top/>
      <bottom style="dotted">
        <color theme="1" tint="0.499984740745262"/>
      </bottom>
      <diagonal/>
    </border>
    <border>
      <left style="medium">
        <color auto="1"/>
      </left>
      <right/>
      <top/>
      <bottom style="dotted">
        <color theme="1" tint="0.499984740745262"/>
      </bottom>
      <diagonal/>
    </border>
    <border>
      <left style="medium">
        <color auto="1"/>
      </left>
      <right/>
      <top style="dotted">
        <color theme="1" tint="0.499984740745262"/>
      </top>
      <bottom style="dotted">
        <color theme="1" tint="0.499984740745262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dotted">
        <color auto="1"/>
      </bottom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dotted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thin">
        <color auto="1"/>
      </top>
      <bottom style="dotted">
        <color auto="1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theme="1" tint="0.499984740745262"/>
      </right>
      <top style="dotted">
        <color auto="1"/>
      </top>
      <bottom style="dotted">
        <color auto="1"/>
      </bottom>
      <diagonal/>
    </border>
    <border>
      <left style="dotted">
        <color theme="1" tint="0.499984740745262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theme="1" tint="0.499984740745262"/>
      </right>
      <top style="dotted">
        <color auto="1"/>
      </top>
      <bottom style="dotted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auto="1"/>
      </top>
      <bottom style="dotted">
        <color auto="1"/>
      </bottom>
      <diagonal/>
    </border>
    <border>
      <left style="dotted">
        <color theme="1" tint="0.499984740745262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dotted">
        <color auto="1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dotted">
        <color auto="1"/>
      </top>
      <bottom style="thin">
        <color auto="1"/>
      </bottom>
      <diagonal/>
    </border>
    <border>
      <left style="dotted">
        <color theme="1" tint="0.499984740745262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dotted">
        <color theme="1" tint="0.499984740745262"/>
      </top>
      <bottom/>
      <diagonal/>
    </border>
    <border>
      <left/>
      <right/>
      <top style="dotted">
        <color theme="1" tint="0.499984740745262"/>
      </top>
      <bottom/>
      <diagonal/>
    </border>
    <border>
      <left style="thin">
        <color auto="1"/>
      </left>
      <right style="dotted">
        <color theme="1" tint="0.499984740745262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medium">
        <color auto="1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dotted">
        <color theme="1" tint="0.499984740745262"/>
      </right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dotted">
        <color theme="1" tint="0.499984740745262"/>
      </top>
      <bottom/>
      <diagonal/>
    </border>
    <border>
      <left style="thin">
        <color auto="1"/>
      </left>
      <right style="medium">
        <color auto="1"/>
      </right>
      <top style="dotted">
        <color theme="1" tint="0.499984740745262"/>
      </top>
      <bottom/>
      <diagonal/>
    </border>
    <border>
      <left style="medium">
        <color auto="1"/>
      </left>
      <right style="dotted">
        <color theme="1" tint="0.499984740745262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dotted">
        <color auto="1"/>
      </right>
      <top style="dotted">
        <color theme="1" tint="0.499984740745262"/>
      </top>
      <bottom/>
      <diagonal/>
    </border>
    <border>
      <left style="dotted">
        <color auto="1"/>
      </left>
      <right style="dotted">
        <color theme="1" tint="0.499984740745262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thin">
        <color auto="1"/>
      </right>
      <top style="dotted">
        <color theme="1" tint="0.499984740745262"/>
      </top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 style="medium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/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 style="dotted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medium">
        <color auto="1"/>
      </top>
      <bottom style="dotted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theme="1" tint="0.499984740745262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dotted">
        <color theme="1" tint="0.499984740745262"/>
      </right>
      <top style="dotted">
        <color auto="1"/>
      </top>
      <bottom style="dotted">
        <color auto="1"/>
      </bottom>
      <diagonal/>
    </border>
    <border>
      <left/>
      <right style="dotted">
        <color theme="1" tint="0.499984740745262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dotted">
        <color rgb="FF7F7F7F"/>
      </right>
      <top style="dotted">
        <color auto="1"/>
      </top>
      <bottom style="dotted">
        <color auto="1"/>
      </bottom>
      <diagonal/>
    </border>
    <border>
      <left style="dotted">
        <color rgb="FF7F7F7F"/>
      </left>
      <right style="thin">
        <color rgb="FF000000"/>
      </right>
      <top style="dotted">
        <color auto="1"/>
      </top>
      <bottom style="dotted">
        <color auto="1"/>
      </bottom>
      <diagonal/>
    </border>
    <border>
      <left style="dotted">
        <color rgb="FF7F7F7F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rgb="FF7F7F7F"/>
      </right>
      <top style="thin">
        <color auto="1"/>
      </top>
      <bottom style="dotted">
        <color auto="1"/>
      </bottom>
      <diagonal/>
    </border>
    <border>
      <left style="dotted">
        <color rgb="FF7F7F7F"/>
      </left>
      <right style="thin">
        <color rgb="FF000000"/>
      </right>
      <top style="thin">
        <color auto="1"/>
      </top>
      <bottom style="dotted">
        <color auto="1"/>
      </bottom>
      <diagonal/>
    </border>
    <border>
      <left style="dotted">
        <color rgb="FF7F7F7F"/>
      </left>
      <right style="thin">
        <color auto="1"/>
      </right>
      <top style="thin">
        <color auto="1"/>
      </top>
      <bottom style="dotted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6" fontId="17" fillId="0" borderId="0" applyFont="0" applyBorder="0" applyProtection="0"/>
  </cellStyleXfs>
  <cellXfs count="114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0" xfId="0" applyFont="1" applyAlignment="1">
      <alignment vertical="center" wrapText="1"/>
    </xf>
    <xf numFmtId="0" fontId="0" fillId="3" borderId="26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9" fontId="0" fillId="3" borderId="15" xfId="1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3" borderId="7" xfId="0" applyFill="1" applyBorder="1" applyAlignment="1">
      <alignment horizontal="center" vertical="center"/>
    </xf>
    <xf numFmtId="0" fontId="4" fillId="0" borderId="59" xfId="0" applyFont="1" applyBorder="1" applyAlignment="1">
      <alignment vertical="center" wrapText="1"/>
    </xf>
    <xf numFmtId="0" fontId="0" fillId="0" borderId="59" xfId="0" applyBorder="1" applyAlignment="1">
      <alignment vertical="center"/>
    </xf>
    <xf numFmtId="0" fontId="4" fillId="0" borderId="59" xfId="0" applyFont="1" applyBorder="1" applyAlignment="1">
      <alignment vertical="center"/>
    </xf>
    <xf numFmtId="0" fontId="0" fillId="3" borderId="0" xfId="0" applyFill="1" applyAlignment="1">
      <alignment vertical="center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/>
    </xf>
    <xf numFmtId="0" fontId="0" fillId="3" borderId="0" xfId="0" applyFill="1" applyAlignment="1">
      <alignment horizontal="center" vertical="center"/>
    </xf>
    <xf numFmtId="9" fontId="0" fillId="3" borderId="0" xfId="1" applyFont="1" applyFill="1" applyAlignment="1">
      <alignment horizontal="center" vertical="center"/>
    </xf>
    <xf numFmtId="9" fontId="2" fillId="3" borderId="0" xfId="1" applyFont="1" applyFill="1" applyAlignment="1">
      <alignment horizontal="center" vertical="center"/>
    </xf>
    <xf numFmtId="0" fontId="7" fillId="0" borderId="60" xfId="0" applyFont="1" applyBorder="1" applyAlignment="1">
      <alignment vertical="center"/>
    </xf>
    <xf numFmtId="0" fontId="0" fillId="0" borderId="60" xfId="0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4" fillId="6" borderId="0" xfId="0" applyFont="1" applyFill="1" applyAlignment="1">
      <alignment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vertical="center"/>
    </xf>
    <xf numFmtId="0" fontId="7" fillId="0" borderId="0" xfId="0" applyFont="1" applyFill="1" applyAlignment="1">
      <alignment vertical="center"/>
    </xf>
    <xf numFmtId="9" fontId="13" fillId="3" borderId="33" xfId="1" applyNumberFormat="1" applyFont="1" applyFill="1" applyBorder="1" applyAlignment="1">
      <alignment horizontal="center" vertical="center"/>
    </xf>
    <xf numFmtId="3" fontId="13" fillId="3" borderId="35" xfId="1" applyNumberFormat="1" applyFont="1" applyFill="1" applyBorder="1" applyAlignment="1">
      <alignment horizontal="center" vertical="center"/>
    </xf>
    <xf numFmtId="3" fontId="13" fillId="3" borderId="33" xfId="0" applyNumberFormat="1" applyFont="1" applyFill="1" applyBorder="1" applyAlignment="1">
      <alignment horizontal="center" vertical="center"/>
    </xf>
    <xf numFmtId="3" fontId="13" fillId="3" borderId="35" xfId="0" applyNumberFormat="1" applyFont="1" applyFill="1" applyBorder="1" applyAlignment="1">
      <alignment horizontal="center" vertical="center"/>
    </xf>
    <xf numFmtId="3" fontId="13" fillId="3" borderId="41" xfId="0" applyNumberFormat="1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9" fontId="6" fillId="3" borderId="15" xfId="1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6" fillId="5" borderId="21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3" fontId="13" fillId="3" borderId="40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6" fillId="0" borderId="1" xfId="1" applyFont="1" applyBorder="1" applyAlignment="1">
      <alignment horizontal="center" vertical="center"/>
    </xf>
    <xf numFmtId="0" fontId="4" fillId="3" borderId="28" xfId="0" applyFont="1" applyFill="1" applyBorder="1" applyAlignment="1">
      <alignment vertical="center"/>
    </xf>
    <xf numFmtId="0" fontId="6" fillId="3" borderId="36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7" borderId="36" xfId="0" applyFont="1" applyFill="1" applyBorder="1" applyAlignment="1">
      <alignment horizontal="center" vertical="center"/>
    </xf>
    <xf numFmtId="0" fontId="6" fillId="7" borderId="32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9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7" borderId="21" xfId="0" applyFont="1" applyFill="1" applyBorder="1" applyAlignment="1">
      <alignment horizontal="center" vertical="center"/>
    </xf>
    <xf numFmtId="0" fontId="4" fillId="7" borderId="0" xfId="0" applyFont="1" applyFill="1" applyAlignment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vertical="center"/>
    </xf>
    <xf numFmtId="0" fontId="14" fillId="0" borderId="0" xfId="0" applyFont="1" applyAlignment="1">
      <alignment vertical="center"/>
    </xf>
    <xf numFmtId="0" fontId="10" fillId="9" borderId="0" xfId="0" applyFont="1" applyFill="1" applyAlignment="1">
      <alignment vertical="center"/>
    </xf>
    <xf numFmtId="0" fontId="7" fillId="9" borderId="0" xfId="0" applyFont="1" applyFill="1" applyAlignment="1">
      <alignment vertical="center"/>
    </xf>
    <xf numFmtId="0" fontId="9" fillId="9" borderId="0" xfId="0" applyFont="1" applyFill="1" applyAlignment="1">
      <alignment vertical="center"/>
    </xf>
    <xf numFmtId="0" fontId="0" fillId="9" borderId="0" xfId="0" applyFill="1" applyAlignment="1">
      <alignment vertical="center"/>
    </xf>
    <xf numFmtId="0" fontId="14" fillId="9" borderId="0" xfId="0" applyFont="1" applyFill="1" applyAlignment="1">
      <alignment vertical="center"/>
    </xf>
    <xf numFmtId="0" fontId="15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 vertical="center"/>
    </xf>
    <xf numFmtId="0" fontId="0" fillId="9" borderId="0" xfId="0" applyFill="1" applyAlignment="1">
      <alignment horizontal="center" vertical="center"/>
    </xf>
    <xf numFmtId="0" fontId="6" fillId="9" borderId="0" xfId="0" applyFont="1" applyFill="1" applyAlignment="1">
      <alignment vertical="center"/>
    </xf>
    <xf numFmtId="0" fontId="0" fillId="9" borderId="64" xfId="0" applyFill="1" applyBorder="1" applyAlignment="1">
      <alignment vertical="center"/>
    </xf>
    <xf numFmtId="0" fontId="0" fillId="9" borderId="64" xfId="0" applyFill="1" applyBorder="1" applyAlignment="1">
      <alignment horizontal="center" vertical="center"/>
    </xf>
    <xf numFmtId="0" fontId="0" fillId="9" borderId="65" xfId="0" applyFill="1" applyBorder="1" applyAlignment="1">
      <alignment vertical="center"/>
    </xf>
    <xf numFmtId="0" fontId="0" fillId="9" borderId="65" xfId="0" applyFill="1" applyBorder="1" applyAlignment="1">
      <alignment horizontal="center" vertical="center"/>
    </xf>
    <xf numFmtId="0" fontId="0" fillId="9" borderId="66" xfId="0" applyFill="1" applyBorder="1" applyAlignment="1">
      <alignment vertical="center"/>
    </xf>
    <xf numFmtId="0" fontId="0" fillId="9" borderId="67" xfId="0" applyFill="1" applyBorder="1" applyAlignment="1">
      <alignment vertical="center"/>
    </xf>
    <xf numFmtId="0" fontId="0" fillId="9" borderId="68" xfId="0" applyFill="1" applyBorder="1" applyAlignment="1">
      <alignment vertical="center"/>
    </xf>
    <xf numFmtId="0" fontId="7" fillId="9" borderId="68" xfId="0" applyFont="1" applyFill="1" applyBorder="1" applyAlignment="1">
      <alignment vertical="center"/>
    </xf>
    <xf numFmtId="0" fontId="7" fillId="9" borderId="67" xfId="0" applyFont="1" applyFill="1" applyBorder="1" applyAlignment="1">
      <alignment vertical="center"/>
    </xf>
    <xf numFmtId="0" fontId="14" fillId="9" borderId="68" xfId="0" applyFont="1" applyFill="1" applyBorder="1" applyAlignment="1">
      <alignment vertical="center"/>
    </xf>
    <xf numFmtId="0" fontId="14" fillId="9" borderId="67" xfId="0" applyFont="1" applyFill="1" applyBorder="1" applyAlignment="1">
      <alignment vertical="center"/>
    </xf>
    <xf numFmtId="0" fontId="0" fillId="9" borderId="69" xfId="0" applyFill="1" applyBorder="1" applyAlignment="1">
      <alignment vertical="center"/>
    </xf>
    <xf numFmtId="0" fontId="0" fillId="9" borderId="70" xfId="0" applyFill="1" applyBorder="1" applyAlignment="1">
      <alignment vertical="center"/>
    </xf>
    <xf numFmtId="0" fontId="0" fillId="9" borderId="71" xfId="0" applyFill="1" applyBorder="1" applyAlignment="1">
      <alignment vertical="center"/>
    </xf>
    <xf numFmtId="0" fontId="8" fillId="8" borderId="0" xfId="0" applyFont="1" applyFill="1" applyAlignment="1">
      <alignment vertical="center"/>
    </xf>
    <xf numFmtId="0" fontId="4" fillId="3" borderId="27" xfId="0" applyFont="1" applyFill="1" applyBorder="1" applyAlignment="1">
      <alignment vertical="center"/>
    </xf>
    <xf numFmtId="0" fontId="4" fillId="3" borderId="51" xfId="0" applyFont="1" applyFill="1" applyBorder="1" applyAlignment="1">
      <alignment horizontal="center" vertical="center"/>
    </xf>
    <xf numFmtId="0" fontId="4" fillId="3" borderId="51" xfId="0" applyFont="1" applyFill="1" applyBorder="1" applyAlignment="1">
      <alignment horizontal="center" vertical="center"/>
    </xf>
    <xf numFmtId="0" fontId="3" fillId="2" borderId="77" xfId="0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0" fontId="3" fillId="2" borderId="79" xfId="0" applyFont="1" applyFill="1" applyBorder="1" applyAlignment="1">
      <alignment horizontal="center" vertical="center" wrapText="1"/>
    </xf>
    <xf numFmtId="0" fontId="3" fillId="2" borderId="80" xfId="0" applyFont="1" applyFill="1" applyBorder="1" applyAlignment="1">
      <alignment horizontal="center" vertical="center" wrapText="1"/>
    </xf>
    <xf numFmtId="0" fontId="3" fillId="2" borderId="84" xfId="0" applyFont="1" applyFill="1" applyBorder="1" applyAlignment="1">
      <alignment horizontal="center" vertical="center" wrapText="1"/>
    </xf>
    <xf numFmtId="0" fontId="3" fillId="2" borderId="83" xfId="0" applyFont="1" applyFill="1" applyBorder="1" applyAlignment="1">
      <alignment horizontal="center" vertical="center" wrapText="1"/>
    </xf>
    <xf numFmtId="0" fontId="3" fillId="2" borderId="85" xfId="0" applyFont="1" applyFill="1" applyBorder="1" applyAlignment="1">
      <alignment horizontal="center" vertical="center" wrapText="1"/>
    </xf>
    <xf numFmtId="0" fontId="3" fillId="2" borderId="86" xfId="0" applyFont="1" applyFill="1" applyBorder="1" applyAlignment="1">
      <alignment horizontal="center" vertical="center" wrapText="1"/>
    </xf>
    <xf numFmtId="0" fontId="3" fillId="2" borderId="87" xfId="0" applyFont="1" applyFill="1" applyBorder="1" applyAlignment="1">
      <alignment horizontal="center" vertical="center" wrapText="1"/>
    </xf>
    <xf numFmtId="0" fontId="6" fillId="5" borderId="88" xfId="0" applyFont="1" applyFill="1" applyBorder="1" applyAlignment="1">
      <alignment horizontal="center" vertical="center"/>
    </xf>
    <xf numFmtId="0" fontId="3" fillId="2" borderId="92" xfId="0" applyFont="1" applyFill="1" applyBorder="1" applyAlignment="1">
      <alignment horizontal="center" vertical="center" wrapText="1"/>
    </xf>
    <xf numFmtId="9" fontId="3" fillId="2" borderId="93" xfId="1" applyFont="1" applyFill="1" applyBorder="1" applyAlignment="1">
      <alignment horizontal="center" vertical="center" wrapText="1"/>
    </xf>
    <xf numFmtId="9" fontId="3" fillId="2" borderId="87" xfId="1" applyFont="1" applyFill="1" applyBorder="1" applyAlignment="1">
      <alignment horizontal="center" vertical="center" wrapText="1"/>
    </xf>
    <xf numFmtId="0" fontId="3" fillId="2" borderId="93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7" borderId="111" xfId="0" applyFont="1" applyFill="1" applyBorder="1" applyAlignment="1">
      <alignment horizontal="center" vertical="center"/>
    </xf>
    <xf numFmtId="3" fontId="6" fillId="7" borderId="9" xfId="1" applyNumberFormat="1" applyFont="1" applyFill="1" applyBorder="1" applyAlignment="1">
      <alignment horizontal="center" vertical="center"/>
    </xf>
    <xf numFmtId="3" fontId="6" fillId="7" borderId="11" xfId="1" applyNumberFormat="1" applyFont="1" applyFill="1" applyBorder="1" applyAlignment="1">
      <alignment horizontal="center" vertical="center"/>
    </xf>
    <xf numFmtId="3" fontId="6" fillId="7" borderId="13" xfId="1" applyNumberFormat="1" applyFont="1" applyFill="1" applyBorder="1" applyAlignment="1">
      <alignment horizontal="center" vertical="center"/>
    </xf>
    <xf numFmtId="3" fontId="6" fillId="7" borderId="111" xfId="1" applyNumberFormat="1" applyFont="1" applyFill="1" applyBorder="1" applyAlignment="1">
      <alignment horizontal="center" vertical="center"/>
    </xf>
    <xf numFmtId="3" fontId="6" fillId="7" borderId="36" xfId="1" applyNumberFormat="1" applyFont="1" applyFill="1" applyBorder="1" applyAlignment="1">
      <alignment horizontal="center" vertical="center"/>
    </xf>
    <xf numFmtId="3" fontId="6" fillId="7" borderId="15" xfId="1" applyNumberFormat="1" applyFont="1" applyFill="1" applyBorder="1" applyAlignment="1">
      <alignment horizontal="center" vertical="center"/>
    </xf>
    <xf numFmtId="0" fontId="6" fillId="7" borderId="110" xfId="0" applyFont="1" applyFill="1" applyBorder="1" applyAlignment="1">
      <alignment horizontal="center" vertical="center"/>
    </xf>
    <xf numFmtId="0" fontId="6" fillId="3" borderId="111" xfId="0" applyFont="1" applyFill="1" applyBorder="1" applyAlignment="1">
      <alignment horizontal="center" vertical="center"/>
    </xf>
    <xf numFmtId="0" fontId="6" fillId="3" borderId="110" xfId="0" applyFont="1" applyFill="1" applyBorder="1" applyAlignment="1">
      <alignment horizontal="center" vertical="center"/>
    </xf>
    <xf numFmtId="0" fontId="6" fillId="3" borderId="112" xfId="0" applyFont="1" applyFill="1" applyBorder="1" applyAlignment="1">
      <alignment horizontal="center" vertical="center"/>
    </xf>
    <xf numFmtId="3" fontId="16" fillId="7" borderId="33" xfId="1" applyNumberFormat="1" applyFont="1" applyFill="1" applyBorder="1" applyAlignment="1">
      <alignment horizontal="center" vertical="center"/>
    </xf>
    <xf numFmtId="0" fontId="16" fillId="7" borderId="33" xfId="0" applyFont="1" applyFill="1" applyBorder="1" applyAlignment="1">
      <alignment horizontal="center" vertical="center"/>
    </xf>
    <xf numFmtId="0" fontId="16" fillId="7" borderId="35" xfId="0" applyFont="1" applyFill="1" applyBorder="1" applyAlignment="1">
      <alignment horizontal="center" vertical="center"/>
    </xf>
    <xf numFmtId="0" fontId="16" fillId="3" borderId="33" xfId="0" applyFont="1" applyFill="1" applyBorder="1" applyAlignment="1">
      <alignment horizontal="center" vertical="center"/>
    </xf>
    <xf numFmtId="0" fontId="16" fillId="3" borderId="35" xfId="0" applyFont="1" applyFill="1" applyBorder="1" applyAlignment="1">
      <alignment horizontal="center" vertical="center"/>
    </xf>
    <xf numFmtId="0" fontId="16" fillId="3" borderId="41" xfId="0" applyFont="1" applyFill="1" applyBorder="1" applyAlignment="1">
      <alignment horizontal="center" vertical="center"/>
    </xf>
    <xf numFmtId="0" fontId="6" fillId="7" borderId="89" xfId="0" applyFont="1" applyFill="1" applyBorder="1" applyAlignment="1">
      <alignment horizontal="center" vertical="center"/>
    </xf>
    <xf numFmtId="0" fontId="6" fillId="7" borderId="88" xfId="0" applyFont="1" applyFill="1" applyBorder="1" applyAlignment="1">
      <alignment horizontal="center" vertical="center"/>
    </xf>
    <xf numFmtId="0" fontId="6" fillId="5" borderId="89" xfId="0" applyFont="1" applyFill="1" applyBorder="1" applyAlignment="1">
      <alignment horizontal="center" vertical="center"/>
    </xf>
    <xf numFmtId="0" fontId="6" fillId="5" borderId="115" xfId="0" applyFont="1" applyFill="1" applyBorder="1" applyAlignment="1">
      <alignment horizontal="center" vertical="center"/>
    </xf>
    <xf numFmtId="0" fontId="3" fillId="2" borderId="117" xfId="0" applyFont="1" applyFill="1" applyBorder="1" applyAlignment="1">
      <alignment horizontal="center" vertical="center" wrapText="1"/>
    </xf>
    <xf numFmtId="0" fontId="0" fillId="7" borderId="44" xfId="0" applyFill="1" applyBorder="1" applyAlignment="1">
      <alignment vertical="center"/>
    </xf>
    <xf numFmtId="0" fontId="0" fillId="7" borderId="45" xfId="0" applyFill="1" applyBorder="1" applyAlignment="1">
      <alignment horizontal="center" vertical="center"/>
    </xf>
    <xf numFmtId="0" fontId="6" fillId="7" borderId="31" xfId="0" applyFont="1" applyFill="1" applyBorder="1" applyAlignment="1">
      <alignment horizontal="center" vertical="center"/>
    </xf>
    <xf numFmtId="0" fontId="0" fillId="7" borderId="46" xfId="0" applyFill="1" applyBorder="1" applyAlignment="1">
      <alignment vertical="center"/>
    </xf>
    <xf numFmtId="0" fontId="0" fillId="7" borderId="4" xfId="0" applyFill="1" applyBorder="1" applyAlignment="1">
      <alignment horizontal="center" vertical="center"/>
    </xf>
    <xf numFmtId="0" fontId="6" fillId="7" borderId="23" xfId="0" applyFont="1" applyFill="1" applyBorder="1" applyAlignment="1">
      <alignment horizontal="center" vertical="center"/>
    </xf>
    <xf numFmtId="0" fontId="0" fillId="7" borderId="47" xfId="0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6" fillId="7" borderId="24" xfId="0" applyFont="1" applyFill="1" applyBorder="1" applyAlignment="1">
      <alignment horizontal="center" vertical="center"/>
    </xf>
    <xf numFmtId="0" fontId="0" fillId="7" borderId="48" xfId="0" applyFill="1" applyBorder="1" applyAlignment="1">
      <alignment vertical="center"/>
    </xf>
    <xf numFmtId="0" fontId="0" fillId="7" borderId="6" xfId="0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0" fontId="4" fillId="7" borderId="56" xfId="0" applyFont="1" applyFill="1" applyBorder="1" applyAlignment="1">
      <alignment horizontal="center" vertical="center" wrapText="1"/>
    </xf>
    <xf numFmtId="0" fontId="0" fillId="7" borderId="49" xfId="0" applyFill="1" applyBorder="1" applyAlignment="1">
      <alignment vertical="center"/>
    </xf>
    <xf numFmtId="0" fontId="0" fillId="7" borderId="7" xfId="0" applyFill="1" applyBorder="1" applyAlignment="1">
      <alignment horizontal="center" vertical="center"/>
    </xf>
    <xf numFmtId="0" fontId="6" fillId="7" borderId="26" xfId="0" applyFont="1" applyFill="1" applyBorder="1" applyAlignment="1">
      <alignment horizontal="center" vertical="center"/>
    </xf>
    <xf numFmtId="0" fontId="4" fillId="7" borderId="94" xfId="0" applyFont="1" applyFill="1" applyBorder="1" applyAlignment="1">
      <alignment horizontal="center" vertical="center"/>
    </xf>
    <xf numFmtId="0" fontId="0" fillId="7" borderId="95" xfId="0" applyFill="1" applyBorder="1" applyAlignment="1">
      <alignment vertical="center"/>
    </xf>
    <xf numFmtId="0" fontId="0" fillId="7" borderId="96" xfId="0" applyFill="1" applyBorder="1" applyAlignment="1">
      <alignment horizontal="center" vertical="center"/>
    </xf>
    <xf numFmtId="0" fontId="6" fillId="7" borderId="107" xfId="0" applyFont="1" applyFill="1" applyBorder="1" applyAlignment="1">
      <alignment horizontal="center" vertical="center"/>
    </xf>
    <xf numFmtId="0" fontId="4" fillId="7" borderId="51" xfId="0" applyFont="1" applyFill="1" applyBorder="1" applyAlignment="1">
      <alignment horizontal="center" vertical="center"/>
    </xf>
    <xf numFmtId="165" fontId="4" fillId="7" borderId="42" xfId="0" applyNumberFormat="1" applyFont="1" applyFill="1" applyBorder="1" applyAlignment="1">
      <alignment horizontal="left" vertical="center"/>
    </xf>
    <xf numFmtId="0" fontId="4" fillId="7" borderId="50" xfId="0" applyFont="1" applyFill="1" applyBorder="1" applyAlignment="1">
      <alignment horizontal="center" vertical="center"/>
    </xf>
    <xf numFmtId="0" fontId="16" fillId="7" borderId="40" xfId="0" applyFont="1" applyFill="1" applyBorder="1" applyAlignment="1">
      <alignment horizontal="center" vertical="center"/>
    </xf>
    <xf numFmtId="0" fontId="0" fillId="7" borderId="47" xfId="0" applyFont="1" applyFill="1" applyBorder="1" applyAlignment="1">
      <alignment vertical="center"/>
    </xf>
    <xf numFmtId="0" fontId="0" fillId="7" borderId="5" xfId="0" applyFont="1" applyFill="1" applyBorder="1" applyAlignment="1">
      <alignment horizontal="center" vertical="center"/>
    </xf>
    <xf numFmtId="0" fontId="0" fillId="7" borderId="6" xfId="0" applyFont="1" applyFill="1" applyBorder="1" applyAlignment="1">
      <alignment horizontal="center" vertical="center"/>
    </xf>
    <xf numFmtId="0" fontId="6" fillId="7" borderId="46" xfId="0" applyFont="1" applyFill="1" applyBorder="1" applyAlignment="1">
      <alignment vertical="center"/>
    </xf>
    <xf numFmtId="0" fontId="0" fillId="7" borderId="4" xfId="0" applyFont="1" applyFill="1" applyBorder="1" applyAlignment="1">
      <alignment horizontal="center" vertical="center"/>
    </xf>
    <xf numFmtId="0" fontId="6" fillId="7" borderId="47" xfId="0" applyFont="1" applyFill="1" applyBorder="1" applyAlignment="1">
      <alignment vertical="center"/>
    </xf>
    <xf numFmtId="0" fontId="6" fillId="7" borderId="48" xfId="0" applyFont="1" applyFill="1" applyBorder="1" applyAlignment="1">
      <alignment vertical="center"/>
    </xf>
    <xf numFmtId="0" fontId="4" fillId="7" borderId="56" xfId="0" applyFont="1" applyFill="1" applyBorder="1" applyAlignment="1">
      <alignment horizontal="center" vertical="center"/>
    </xf>
    <xf numFmtId="3" fontId="13" fillId="7" borderId="40" xfId="0" applyNumberFormat="1" applyFont="1" applyFill="1" applyBorder="1" applyAlignment="1">
      <alignment horizontal="center" vertical="center"/>
    </xf>
    <xf numFmtId="0" fontId="6" fillId="7" borderId="98" xfId="0" applyFont="1" applyFill="1" applyBorder="1" applyAlignment="1">
      <alignment horizontal="center" vertical="center"/>
    </xf>
    <xf numFmtId="0" fontId="6" fillId="7" borderId="100" xfId="0" applyFont="1" applyFill="1" applyBorder="1" applyAlignment="1">
      <alignment horizontal="center" vertical="center"/>
    </xf>
    <xf numFmtId="0" fontId="6" fillId="7" borderId="102" xfId="0" applyFont="1" applyFill="1" applyBorder="1" applyAlignment="1">
      <alignment horizontal="center" vertical="center"/>
    </xf>
    <xf numFmtId="0" fontId="6" fillId="7" borderId="104" xfId="0" applyFont="1" applyFill="1" applyBorder="1" applyAlignment="1">
      <alignment horizontal="center" vertical="center"/>
    </xf>
    <xf numFmtId="0" fontId="6" fillId="7" borderId="106" xfId="0" applyFont="1" applyFill="1" applyBorder="1" applyAlignment="1">
      <alignment horizontal="center" vertical="center"/>
    </xf>
    <xf numFmtId="0" fontId="6" fillId="7" borderId="109" xfId="0" applyFont="1" applyFill="1" applyBorder="1" applyAlignment="1">
      <alignment horizontal="center" vertical="center"/>
    </xf>
    <xf numFmtId="0" fontId="16" fillId="7" borderId="114" xfId="0" applyFont="1" applyFill="1" applyBorder="1" applyAlignment="1">
      <alignment horizontal="center" vertical="center"/>
    </xf>
    <xf numFmtId="3" fontId="13" fillId="7" borderId="34" xfId="0" applyNumberFormat="1" applyFont="1" applyFill="1" applyBorder="1" applyAlignment="1">
      <alignment horizontal="center" vertical="center"/>
    </xf>
    <xf numFmtId="3" fontId="13" fillId="7" borderId="33" xfId="1" applyNumberFormat="1" applyFont="1" applyFill="1" applyBorder="1" applyAlignment="1">
      <alignment horizontal="center" vertical="center"/>
    </xf>
    <xf numFmtId="9" fontId="6" fillId="11" borderId="97" xfId="1" applyFont="1" applyFill="1" applyBorder="1" applyAlignment="1">
      <alignment horizontal="center" vertical="center"/>
    </xf>
    <xf numFmtId="9" fontId="6" fillId="11" borderId="99" xfId="1" applyFont="1" applyFill="1" applyBorder="1" applyAlignment="1">
      <alignment horizontal="center" vertical="center"/>
    </xf>
    <xf numFmtId="9" fontId="6" fillId="11" borderId="101" xfId="1" applyFont="1" applyFill="1" applyBorder="1" applyAlignment="1">
      <alignment horizontal="center" vertical="center"/>
    </xf>
    <xf numFmtId="9" fontId="6" fillId="11" borderId="103" xfId="1" applyFont="1" applyFill="1" applyBorder="1" applyAlignment="1">
      <alignment horizontal="center" vertical="center"/>
    </xf>
    <xf numFmtId="9" fontId="6" fillId="11" borderId="105" xfId="1" applyFont="1" applyFill="1" applyBorder="1" applyAlignment="1">
      <alignment horizontal="center" vertical="center"/>
    </xf>
    <xf numFmtId="9" fontId="6" fillId="11" borderId="108" xfId="1" applyFont="1" applyFill="1" applyBorder="1" applyAlignment="1">
      <alignment horizontal="center" vertical="center"/>
    </xf>
    <xf numFmtId="9" fontId="16" fillId="11" borderId="113" xfId="1" applyFont="1" applyFill="1" applyBorder="1" applyAlignment="1">
      <alignment horizontal="center" vertical="center"/>
    </xf>
    <xf numFmtId="9" fontId="6" fillId="11" borderId="32" xfId="1" applyFont="1" applyFill="1" applyBorder="1" applyAlignment="1">
      <alignment horizontal="center" vertical="center"/>
    </xf>
    <xf numFmtId="9" fontId="6" fillId="11" borderId="18" xfId="1" applyFont="1" applyFill="1" applyBorder="1" applyAlignment="1">
      <alignment horizontal="center" vertical="center"/>
    </xf>
    <xf numFmtId="9" fontId="6" fillId="11" borderId="19" xfId="1" applyFont="1" applyFill="1" applyBorder="1" applyAlignment="1">
      <alignment horizontal="center" vertical="center"/>
    </xf>
    <xf numFmtId="9" fontId="6" fillId="11" borderId="20" xfId="1" applyFont="1" applyFill="1" applyBorder="1" applyAlignment="1">
      <alignment horizontal="center" vertical="center"/>
    </xf>
    <xf numFmtId="9" fontId="6" fillId="11" borderId="21" xfId="1" applyFont="1" applyFill="1" applyBorder="1" applyAlignment="1">
      <alignment horizontal="center" vertical="center"/>
    </xf>
    <xf numFmtId="9" fontId="6" fillId="11" borderId="110" xfId="1" applyFont="1" applyFill="1" applyBorder="1" applyAlignment="1">
      <alignment horizontal="center" vertical="center"/>
    </xf>
    <xf numFmtId="9" fontId="16" fillId="11" borderId="35" xfId="1" applyFont="1" applyFill="1" applyBorder="1" applyAlignment="1">
      <alignment horizontal="center" vertical="center"/>
    </xf>
    <xf numFmtId="0" fontId="4" fillId="7" borderId="57" xfId="0" applyFont="1" applyFill="1" applyBorder="1" applyAlignment="1">
      <alignment horizontal="center" vertical="center"/>
    </xf>
    <xf numFmtId="0" fontId="0" fillId="7" borderId="118" xfId="0" applyFill="1" applyBorder="1" applyAlignment="1">
      <alignment vertical="center"/>
    </xf>
    <xf numFmtId="0" fontId="0" fillId="7" borderId="116" xfId="0" applyFill="1" applyBorder="1" applyAlignment="1">
      <alignment horizontal="center" vertical="center"/>
    </xf>
    <xf numFmtId="0" fontId="0" fillId="3" borderId="116" xfId="0" applyFill="1" applyBorder="1" applyAlignment="1">
      <alignment horizontal="center" vertical="center"/>
    </xf>
    <xf numFmtId="0" fontId="0" fillId="3" borderId="107" xfId="0" applyFill="1" applyBorder="1" applyAlignment="1">
      <alignment horizontal="center" vertical="center"/>
    </xf>
    <xf numFmtId="0" fontId="0" fillId="3" borderId="110" xfId="0" applyFill="1" applyBorder="1" applyAlignment="1">
      <alignment horizontal="center" vertical="center"/>
    </xf>
    <xf numFmtId="0" fontId="0" fillId="7" borderId="49" xfId="0" applyFont="1" applyFill="1" applyBorder="1" applyAlignment="1">
      <alignment vertical="center"/>
    </xf>
    <xf numFmtId="0" fontId="0" fillId="7" borderId="7" xfId="0" applyFont="1" applyFill="1" applyBorder="1" applyAlignment="1">
      <alignment horizontal="center" vertical="center"/>
    </xf>
    <xf numFmtId="0" fontId="6" fillId="7" borderId="49" xfId="0" applyFont="1" applyFill="1" applyBorder="1" applyAlignment="1">
      <alignment vertical="center"/>
    </xf>
    <xf numFmtId="0" fontId="0" fillId="3" borderId="7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0" borderId="0" xfId="0" applyFont="1" applyBorder="1" applyAlignment="1">
      <alignment vertical="center"/>
    </xf>
    <xf numFmtId="3" fontId="6" fillId="3" borderId="21" xfId="1" applyNumberFormat="1" applyFont="1" applyFill="1" applyBorder="1" applyAlignment="1">
      <alignment horizontal="center" vertical="center"/>
    </xf>
    <xf numFmtId="3" fontId="6" fillId="3" borderId="110" xfId="1" applyNumberFormat="1" applyFont="1" applyFill="1" applyBorder="1" applyAlignment="1">
      <alignment horizontal="center" vertical="center"/>
    </xf>
    <xf numFmtId="0" fontId="4" fillId="0" borderId="59" xfId="0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9" fontId="6" fillId="5" borderId="18" xfId="1" applyFont="1" applyFill="1" applyBorder="1" applyAlignment="1">
      <alignment horizontal="center" vertical="center"/>
    </xf>
    <xf numFmtId="9" fontId="6" fillId="5" borderId="10" xfId="1" applyFont="1" applyFill="1" applyBorder="1" applyAlignment="1">
      <alignment horizontal="center" vertical="center"/>
    </xf>
    <xf numFmtId="9" fontId="6" fillId="5" borderId="19" xfId="1" applyFont="1" applyFill="1" applyBorder="1" applyAlignment="1">
      <alignment horizontal="center" vertical="center"/>
    </xf>
    <xf numFmtId="9" fontId="6" fillId="5" borderId="20" xfId="1" applyFont="1" applyFill="1" applyBorder="1" applyAlignment="1">
      <alignment horizontal="center" vertical="center"/>
    </xf>
    <xf numFmtId="9" fontId="6" fillId="5" borderId="12" xfId="1" applyFont="1" applyFill="1" applyBorder="1" applyAlignment="1">
      <alignment horizontal="center" vertical="center"/>
    </xf>
    <xf numFmtId="9" fontId="6" fillId="5" borderId="14" xfId="1" applyFont="1" applyFill="1" applyBorder="1" applyAlignment="1">
      <alignment horizontal="center" vertical="center"/>
    </xf>
    <xf numFmtId="9" fontId="6" fillId="5" borderId="21" xfId="1" applyFont="1" applyFill="1" applyBorder="1" applyAlignment="1">
      <alignment horizontal="center" vertical="center"/>
    </xf>
    <xf numFmtId="9" fontId="6" fillId="5" borderId="16" xfId="1" applyFont="1" applyFill="1" applyBorder="1" applyAlignment="1">
      <alignment horizontal="center" vertical="center"/>
    </xf>
    <xf numFmtId="9" fontId="13" fillId="11" borderId="35" xfId="1" applyFont="1" applyFill="1" applyBorder="1" applyAlignment="1">
      <alignment horizontal="center" vertical="center"/>
    </xf>
    <xf numFmtId="9" fontId="13" fillId="11" borderId="51" xfId="1" applyFont="1" applyFill="1" applyBorder="1" applyAlignment="1">
      <alignment horizontal="center" vertical="center"/>
    </xf>
    <xf numFmtId="3" fontId="13" fillId="4" borderId="33" xfId="1" applyNumberFormat="1" applyFont="1" applyFill="1" applyBorder="1" applyAlignment="1">
      <alignment horizontal="center" vertical="center"/>
    </xf>
    <xf numFmtId="9" fontId="13" fillId="4" borderId="35" xfId="1" applyFont="1" applyFill="1" applyBorder="1" applyAlignment="1">
      <alignment horizontal="center" vertical="center"/>
    </xf>
    <xf numFmtId="9" fontId="13" fillId="3" borderId="33" xfId="1" applyFont="1" applyFill="1" applyBorder="1" applyAlignment="1">
      <alignment horizontal="center" vertical="center"/>
    </xf>
    <xf numFmtId="0" fontId="0" fillId="3" borderId="96" xfId="0" applyFill="1" applyBorder="1" applyAlignment="1">
      <alignment horizontal="center" vertical="center"/>
    </xf>
    <xf numFmtId="0" fontId="0" fillId="7" borderId="120" xfId="0" applyFill="1" applyBorder="1" applyAlignment="1">
      <alignment vertical="center"/>
    </xf>
    <xf numFmtId="0" fontId="0" fillId="0" borderId="119" xfId="0" applyBorder="1" applyAlignment="1">
      <alignment vertical="center"/>
    </xf>
    <xf numFmtId="0" fontId="0" fillId="0" borderId="54" xfId="0" applyBorder="1" applyAlignment="1">
      <alignment vertical="center"/>
    </xf>
    <xf numFmtId="0" fontId="0" fillId="0" borderId="94" xfId="0" applyBorder="1" applyAlignment="1">
      <alignment vertical="center"/>
    </xf>
    <xf numFmtId="0" fontId="4" fillId="7" borderId="56" xfId="0" applyFont="1" applyFill="1" applyBorder="1" applyAlignment="1">
      <alignment horizontal="center" vertical="center"/>
    </xf>
    <xf numFmtId="0" fontId="4" fillId="7" borderId="56" xfId="0" applyFont="1" applyFill="1" applyBorder="1" applyAlignment="1">
      <alignment horizontal="center" vertical="center" wrapText="1"/>
    </xf>
    <xf numFmtId="9" fontId="0" fillId="3" borderId="126" xfId="1" applyFont="1" applyFill="1" applyBorder="1" applyAlignment="1">
      <alignment horizontal="center" vertical="center"/>
    </xf>
    <xf numFmtId="9" fontId="0" fillId="3" borderId="134" xfId="1" applyFont="1" applyFill="1" applyBorder="1" applyAlignment="1">
      <alignment horizontal="center" vertical="center"/>
    </xf>
    <xf numFmtId="0" fontId="6" fillId="7" borderId="126" xfId="0" applyFont="1" applyFill="1" applyBorder="1" applyAlignment="1">
      <alignment horizontal="center" vertical="center"/>
    </xf>
    <xf numFmtId="0" fontId="6" fillId="7" borderId="125" xfId="0" applyFont="1" applyFill="1" applyBorder="1" applyAlignment="1">
      <alignment horizontal="center" vertical="center"/>
    </xf>
    <xf numFmtId="0" fontId="6" fillId="7" borderId="134" xfId="0" applyFont="1" applyFill="1" applyBorder="1" applyAlignment="1">
      <alignment horizontal="center" vertical="center"/>
    </xf>
    <xf numFmtId="0" fontId="6" fillId="7" borderId="133" xfId="0" applyFont="1" applyFill="1" applyBorder="1" applyAlignment="1">
      <alignment horizontal="center" vertical="center"/>
    </xf>
    <xf numFmtId="0" fontId="6" fillId="7" borderId="140" xfId="0" applyFont="1" applyFill="1" applyBorder="1" applyAlignment="1">
      <alignment horizontal="center" vertical="center"/>
    </xf>
    <xf numFmtId="0" fontId="6" fillId="7" borderId="139" xfId="0" applyFont="1" applyFill="1" applyBorder="1" applyAlignment="1">
      <alignment horizontal="center" vertical="center"/>
    </xf>
    <xf numFmtId="0" fontId="0" fillId="5" borderId="123" xfId="0" applyFill="1" applyBorder="1" applyAlignment="1">
      <alignment horizontal="center" vertical="center"/>
    </xf>
    <xf numFmtId="0" fontId="6" fillId="5" borderId="124" xfId="0" applyFont="1" applyFill="1" applyBorder="1" applyAlignment="1">
      <alignment horizontal="center" vertical="center"/>
    </xf>
    <xf numFmtId="0" fontId="6" fillId="5" borderId="125" xfId="0" applyFont="1" applyFill="1" applyBorder="1" applyAlignment="1">
      <alignment horizontal="center" vertical="center"/>
    </xf>
    <xf numFmtId="9" fontId="6" fillId="3" borderId="126" xfId="1" applyFont="1" applyFill="1" applyBorder="1" applyAlignment="1">
      <alignment horizontal="center" vertical="center"/>
    </xf>
    <xf numFmtId="3" fontId="6" fillId="5" borderId="125" xfId="1" applyNumberFormat="1" applyFont="1" applyFill="1" applyBorder="1" applyAlignment="1">
      <alignment horizontal="center" vertical="center"/>
    </xf>
    <xf numFmtId="0" fontId="0" fillId="5" borderId="131" xfId="0" applyFill="1" applyBorder="1" applyAlignment="1">
      <alignment horizontal="center" vertical="center"/>
    </xf>
    <xf numFmtId="0" fontId="6" fillId="5" borderId="132" xfId="0" applyFont="1" applyFill="1" applyBorder="1" applyAlignment="1">
      <alignment horizontal="center" vertical="center"/>
    </xf>
    <xf numFmtId="0" fontId="6" fillId="5" borderId="133" xfId="0" applyFont="1" applyFill="1" applyBorder="1" applyAlignment="1">
      <alignment horizontal="center" vertical="center"/>
    </xf>
    <xf numFmtId="9" fontId="6" fillId="3" borderId="134" xfId="1" applyFont="1" applyFill="1" applyBorder="1" applyAlignment="1">
      <alignment horizontal="center" vertical="center"/>
    </xf>
    <xf numFmtId="3" fontId="6" fillId="5" borderId="133" xfId="1" applyNumberFormat="1" applyFont="1" applyFill="1" applyBorder="1" applyAlignment="1">
      <alignment horizontal="center" vertical="center"/>
    </xf>
    <xf numFmtId="0" fontId="0" fillId="5" borderId="137" xfId="0" applyFont="1" applyFill="1" applyBorder="1" applyAlignment="1">
      <alignment horizontal="center" vertical="center"/>
    </xf>
    <xf numFmtId="0" fontId="6" fillId="5" borderId="138" xfId="0" applyFont="1" applyFill="1" applyBorder="1" applyAlignment="1">
      <alignment horizontal="center" vertical="center"/>
    </xf>
    <xf numFmtId="0" fontId="6" fillId="5" borderId="139" xfId="0" applyFont="1" applyFill="1" applyBorder="1" applyAlignment="1">
      <alignment horizontal="center" vertical="center"/>
    </xf>
    <xf numFmtId="9" fontId="6" fillId="3" borderId="140" xfId="1" applyFont="1" applyFill="1" applyBorder="1" applyAlignment="1">
      <alignment horizontal="center" vertical="center"/>
    </xf>
    <xf numFmtId="3" fontId="6" fillId="5" borderId="139" xfId="1" applyNumberFormat="1" applyFont="1" applyFill="1" applyBorder="1" applyAlignment="1">
      <alignment horizontal="center" vertical="center"/>
    </xf>
    <xf numFmtId="0" fontId="6" fillId="0" borderId="59" xfId="0" applyFont="1" applyBorder="1" applyAlignment="1">
      <alignment horizontal="center" vertical="center"/>
    </xf>
    <xf numFmtId="0" fontId="0" fillId="7" borderId="142" xfId="0" applyFill="1" applyBorder="1" applyAlignment="1">
      <alignment vertical="center"/>
    </xf>
    <xf numFmtId="0" fontId="0" fillId="0" borderId="144" xfId="0" applyBorder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5" borderId="145" xfId="0" applyFont="1" applyFill="1" applyBorder="1" applyAlignment="1">
      <alignment horizontal="center" vertical="center"/>
    </xf>
    <xf numFmtId="9" fontId="6" fillId="5" borderId="146" xfId="1" applyFont="1" applyFill="1" applyBorder="1" applyAlignment="1">
      <alignment horizontal="center" vertical="center"/>
    </xf>
    <xf numFmtId="0" fontId="4" fillId="7" borderId="56" xfId="0" applyFont="1" applyFill="1" applyBorder="1" applyAlignment="1">
      <alignment vertical="center"/>
    </xf>
    <xf numFmtId="9" fontId="16" fillId="11" borderId="35" xfId="1" applyNumberFormat="1" applyFont="1" applyFill="1" applyBorder="1" applyAlignment="1">
      <alignment horizontal="center" vertical="center"/>
    </xf>
    <xf numFmtId="0" fontId="0" fillId="7" borderId="48" xfId="0" applyFont="1" applyFill="1" applyBorder="1" applyAlignment="1">
      <alignment vertical="center"/>
    </xf>
    <xf numFmtId="0" fontId="0" fillId="0" borderId="0" xfId="0" quotePrefix="1" applyAlignment="1">
      <alignment vertical="center"/>
    </xf>
    <xf numFmtId="0" fontId="3" fillId="2" borderId="79" xfId="0" applyFont="1" applyFill="1" applyBorder="1" applyAlignment="1">
      <alignment horizontal="center" vertical="center" wrapText="1"/>
    </xf>
    <xf numFmtId="0" fontId="3" fillId="2" borderId="80" xfId="0" applyFont="1" applyFill="1" applyBorder="1" applyAlignment="1">
      <alignment horizontal="center" vertical="center" wrapText="1"/>
    </xf>
    <xf numFmtId="0" fontId="13" fillId="7" borderId="55" xfId="0" applyFont="1" applyFill="1" applyBorder="1" applyAlignment="1">
      <alignment horizontal="center" vertical="center"/>
    </xf>
    <xf numFmtId="0" fontId="0" fillId="0" borderId="121" xfId="0" applyBorder="1" applyAlignment="1">
      <alignment horizontal="center" vertical="center"/>
    </xf>
    <xf numFmtId="0" fontId="0" fillId="0" borderId="122" xfId="0" applyBorder="1" applyAlignment="1">
      <alignment horizontal="center" vertical="center"/>
    </xf>
    <xf numFmtId="0" fontId="0" fillId="0" borderId="143" xfId="0" applyBorder="1" applyAlignment="1">
      <alignment horizontal="center" vertical="center"/>
    </xf>
    <xf numFmtId="0" fontId="3" fillId="2" borderId="84" xfId="0" applyFont="1" applyFill="1" applyBorder="1" applyAlignment="1">
      <alignment horizontal="centerContinuous" vertical="center" wrapText="1"/>
    </xf>
    <xf numFmtId="0" fontId="3" fillId="2" borderId="147" xfId="0" applyFont="1" applyFill="1" applyBorder="1" applyAlignment="1">
      <alignment horizontal="centerContinuous" vertical="center" wrapText="1"/>
    </xf>
    <xf numFmtId="0" fontId="3" fillId="2" borderId="78" xfId="0" applyFont="1" applyFill="1" applyBorder="1" applyAlignment="1">
      <alignment horizontal="centerContinuous" vertical="center" wrapText="1"/>
    </xf>
    <xf numFmtId="0" fontId="3" fillId="2" borderId="77" xfId="0" applyFont="1" applyFill="1" applyBorder="1" applyAlignment="1">
      <alignment horizontal="centerContinuous" vertical="center" wrapText="1"/>
    </xf>
    <xf numFmtId="164" fontId="13" fillId="3" borderId="35" xfId="0" applyNumberFormat="1" applyFont="1" applyFill="1" applyBorder="1" applyAlignment="1">
      <alignment horizontal="center" vertical="center"/>
    </xf>
    <xf numFmtId="164" fontId="13" fillId="3" borderId="33" xfId="0" applyNumberFormat="1" applyFont="1" applyFill="1" applyBorder="1" applyAlignment="1">
      <alignment horizontal="center" vertical="center"/>
    </xf>
    <xf numFmtId="9" fontId="3" fillId="2" borderId="78" xfId="1" applyFont="1" applyFill="1" applyBorder="1" applyAlignment="1">
      <alignment horizontal="centerContinuous" vertical="center" wrapText="1"/>
    </xf>
    <xf numFmtId="0" fontId="3" fillId="2" borderId="73" xfId="0" applyFont="1" applyFill="1" applyBorder="1" applyAlignment="1">
      <alignment horizontal="centerContinuous" vertical="center" wrapText="1"/>
    </xf>
    <xf numFmtId="0" fontId="3" fillId="2" borderId="1" xfId="0" applyFont="1" applyFill="1" applyBorder="1" applyAlignment="1">
      <alignment horizontal="centerContinuous" vertical="center" wrapText="1"/>
    </xf>
    <xf numFmtId="0" fontId="3" fillId="2" borderId="74" xfId="0" applyFont="1" applyFill="1" applyBorder="1" applyAlignment="1">
      <alignment horizontal="centerContinuous" vertical="center" wrapText="1"/>
    </xf>
    <xf numFmtId="9" fontId="3" fillId="2" borderId="1" xfId="1" applyFont="1" applyFill="1" applyBorder="1" applyAlignment="1">
      <alignment horizontal="centerContinuous" vertical="center" wrapText="1"/>
    </xf>
    <xf numFmtId="9" fontId="3" fillId="2" borderId="74" xfId="1" applyFont="1" applyFill="1" applyBorder="1" applyAlignment="1">
      <alignment horizontal="centerContinuous" vertical="center" wrapText="1"/>
    </xf>
    <xf numFmtId="9" fontId="3" fillId="2" borderId="77" xfId="1" applyFont="1" applyFill="1" applyBorder="1" applyAlignment="1">
      <alignment horizontal="centerContinuous" vertical="center" wrapText="1"/>
    </xf>
    <xf numFmtId="9" fontId="3" fillId="2" borderId="147" xfId="1" applyFont="1" applyFill="1" applyBorder="1" applyAlignment="1">
      <alignment horizontal="centerContinuous" vertical="center" wrapText="1"/>
    </xf>
    <xf numFmtId="9" fontId="3" fillId="2" borderId="148" xfId="1" applyFont="1" applyFill="1" applyBorder="1" applyAlignment="1">
      <alignment horizontal="centerContinuous" vertical="center" wrapText="1"/>
    </xf>
    <xf numFmtId="0" fontId="4" fillId="3" borderId="56" xfId="0" applyFont="1" applyFill="1" applyBorder="1" applyAlignment="1">
      <alignment horizontal="center" vertical="center"/>
    </xf>
    <xf numFmtId="0" fontId="4" fillId="3" borderId="52" xfId="0" applyFont="1" applyFill="1" applyBorder="1" applyAlignment="1">
      <alignment horizontal="center" vertical="center"/>
    </xf>
    <xf numFmtId="0" fontId="4" fillId="7" borderId="56" xfId="0" applyFont="1" applyFill="1" applyBorder="1" applyAlignment="1">
      <alignment horizontal="center" vertical="center" wrapText="1"/>
    </xf>
    <xf numFmtId="0" fontId="4" fillId="7" borderId="56" xfId="0" applyFont="1" applyFill="1" applyBorder="1" applyAlignment="1">
      <alignment horizontal="center" vertical="center"/>
    </xf>
    <xf numFmtId="0" fontId="4" fillId="7" borderId="52" xfId="0" applyFont="1" applyFill="1" applyBorder="1" applyAlignment="1">
      <alignment horizontal="center" vertical="center"/>
    </xf>
    <xf numFmtId="0" fontId="4" fillId="13" borderId="0" xfId="0" applyFont="1" applyFill="1" applyAlignment="1">
      <alignment vertical="center"/>
    </xf>
    <xf numFmtId="0" fontId="11" fillId="13" borderId="0" xfId="0" applyFont="1" applyFill="1" applyAlignment="1">
      <alignment vertical="center"/>
    </xf>
    <xf numFmtId="0" fontId="0" fillId="13" borderId="0" xfId="0" applyFill="1" applyAlignment="1">
      <alignment horizontal="center" vertical="center"/>
    </xf>
    <xf numFmtId="0" fontId="0" fillId="13" borderId="0" xfId="0" applyFill="1" applyAlignment="1">
      <alignment vertical="center"/>
    </xf>
    <xf numFmtId="0" fontId="6" fillId="13" borderId="126" xfId="0" applyFont="1" applyFill="1" applyBorder="1" applyAlignment="1">
      <alignment horizontal="center" vertical="center"/>
    </xf>
    <xf numFmtId="0" fontId="6" fillId="13" borderId="125" xfId="0" applyFont="1" applyFill="1" applyBorder="1" applyAlignment="1">
      <alignment horizontal="center" vertical="center"/>
    </xf>
    <xf numFmtId="0" fontId="6" fillId="13" borderId="128" xfId="0" applyFont="1" applyFill="1" applyBorder="1" applyAlignment="1">
      <alignment horizontal="center" vertical="center"/>
    </xf>
    <xf numFmtId="0" fontId="6" fillId="13" borderId="134" xfId="0" applyFont="1" applyFill="1" applyBorder="1" applyAlignment="1">
      <alignment horizontal="center" vertical="center"/>
    </xf>
    <xf numFmtId="0" fontId="6" fillId="13" borderId="133" xfId="0" applyFont="1" applyFill="1" applyBorder="1" applyAlignment="1">
      <alignment horizontal="center" vertical="center"/>
    </xf>
    <xf numFmtId="0" fontId="6" fillId="13" borderId="136" xfId="0" applyFont="1" applyFill="1" applyBorder="1" applyAlignment="1">
      <alignment horizontal="center" vertical="center"/>
    </xf>
    <xf numFmtId="0" fontId="6" fillId="13" borderId="140" xfId="0" applyFont="1" applyFill="1" applyBorder="1" applyAlignment="1">
      <alignment horizontal="center" vertical="center"/>
    </xf>
    <xf numFmtId="0" fontId="6" fillId="13" borderId="139" xfId="0" applyFont="1" applyFill="1" applyBorder="1" applyAlignment="1">
      <alignment horizontal="center" vertical="center"/>
    </xf>
    <xf numFmtId="0" fontId="6" fillId="13" borderId="141" xfId="0" applyFont="1" applyFill="1" applyBorder="1" applyAlignment="1">
      <alignment horizontal="center" vertical="center"/>
    </xf>
    <xf numFmtId="0" fontId="0" fillId="7" borderId="149" xfId="0" applyFill="1" applyBorder="1" applyAlignment="1">
      <alignment vertical="center"/>
    </xf>
    <xf numFmtId="0" fontId="0" fillId="7" borderId="150" xfId="0" applyFill="1" applyBorder="1" applyAlignment="1">
      <alignment horizontal="center" vertical="center"/>
    </xf>
    <xf numFmtId="0" fontId="6" fillId="7" borderId="151" xfId="0" applyFont="1" applyFill="1" applyBorder="1" applyAlignment="1">
      <alignment horizontal="center" vertical="center"/>
    </xf>
    <xf numFmtId="9" fontId="6" fillId="11" borderId="152" xfId="1" applyFont="1" applyFill="1" applyBorder="1" applyAlignment="1">
      <alignment horizontal="center" vertical="center"/>
    </xf>
    <xf numFmtId="0" fontId="6" fillId="7" borderId="153" xfId="0" applyFont="1" applyFill="1" applyBorder="1" applyAlignment="1">
      <alignment horizontal="center" vertical="center"/>
    </xf>
    <xf numFmtId="9" fontId="6" fillId="11" borderId="154" xfId="1" applyFont="1" applyFill="1" applyBorder="1" applyAlignment="1">
      <alignment horizontal="center" vertical="center"/>
    </xf>
    <xf numFmtId="3" fontId="6" fillId="7" borderId="145" xfId="1" applyNumberFormat="1" applyFont="1" applyFill="1" applyBorder="1" applyAlignment="1">
      <alignment horizontal="center" vertical="center"/>
    </xf>
    <xf numFmtId="0" fontId="6" fillId="7" borderId="145" xfId="0" applyFont="1" applyFill="1" applyBorder="1" applyAlignment="1">
      <alignment horizontal="center" vertical="center"/>
    </xf>
    <xf numFmtId="0" fontId="6" fillId="7" borderId="154" xfId="0" applyFont="1" applyFill="1" applyBorder="1" applyAlignment="1">
      <alignment horizontal="center" vertical="center"/>
    </xf>
    <xf numFmtId="0" fontId="6" fillId="3" borderId="145" xfId="0" applyFont="1" applyFill="1" applyBorder="1" applyAlignment="1">
      <alignment horizontal="center" vertical="center"/>
    </xf>
    <xf numFmtId="0" fontId="6" fillId="3" borderId="154" xfId="0" applyFont="1" applyFill="1" applyBorder="1" applyAlignment="1">
      <alignment horizontal="center" vertical="center"/>
    </xf>
    <xf numFmtId="0" fontId="6" fillId="3" borderId="146" xfId="0" applyFont="1" applyFill="1" applyBorder="1" applyAlignment="1">
      <alignment horizontal="center" vertical="center"/>
    </xf>
    <xf numFmtId="9" fontId="6" fillId="5" borderId="154" xfId="1" applyFont="1" applyFill="1" applyBorder="1" applyAlignment="1">
      <alignment horizontal="center" vertical="center"/>
    </xf>
    <xf numFmtId="0" fontId="6" fillId="7" borderId="149" xfId="0" applyFont="1" applyFill="1" applyBorder="1" applyAlignment="1">
      <alignment vertical="center"/>
    </xf>
    <xf numFmtId="0" fontId="0" fillId="7" borderId="150" xfId="0" applyFont="1" applyFill="1" applyBorder="1" applyAlignment="1">
      <alignment horizontal="center" vertical="center"/>
    </xf>
    <xf numFmtId="0" fontId="0" fillId="7" borderId="76" xfId="0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7" borderId="56" xfId="0" applyFont="1" applyFill="1" applyBorder="1" applyAlignment="1">
      <alignment horizontal="center" vertical="center"/>
    </xf>
    <xf numFmtId="0" fontId="4" fillId="3" borderId="51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left" vertical="center"/>
    </xf>
    <xf numFmtId="0" fontId="13" fillId="3" borderId="56" xfId="0" applyFont="1" applyFill="1" applyBorder="1" applyAlignment="1">
      <alignment horizontal="left" vertical="center"/>
    </xf>
    <xf numFmtId="0" fontId="4" fillId="3" borderId="57" xfId="0" applyFont="1" applyFill="1" applyBorder="1" applyAlignment="1">
      <alignment horizontal="left" vertical="center"/>
    </xf>
    <xf numFmtId="1" fontId="3" fillId="2" borderId="93" xfId="1" applyNumberFormat="1" applyFont="1" applyFill="1" applyBorder="1" applyAlignment="1">
      <alignment horizontal="centerContinuous" vertical="center" wrapText="1"/>
    </xf>
    <xf numFmtId="1" fontId="3" fillId="2" borderId="86" xfId="1" applyNumberFormat="1" applyFont="1" applyFill="1" applyBorder="1" applyAlignment="1">
      <alignment horizontal="centerContinuous" vertical="center" wrapText="1"/>
    </xf>
    <xf numFmtId="0" fontId="3" fillId="2" borderId="86" xfId="0" applyFont="1" applyFill="1" applyBorder="1" applyAlignment="1">
      <alignment horizontal="centerContinuous" vertical="center" wrapText="1"/>
    </xf>
    <xf numFmtId="9" fontId="6" fillId="3" borderId="155" xfId="1" applyFont="1" applyFill="1" applyBorder="1" applyAlignment="1">
      <alignment horizontal="center" vertical="center"/>
    </xf>
    <xf numFmtId="9" fontId="6" fillId="3" borderId="156" xfId="1" applyFont="1" applyFill="1" applyBorder="1" applyAlignment="1">
      <alignment horizontal="center" vertical="center"/>
    </xf>
    <xf numFmtId="9" fontId="0" fillId="3" borderId="155" xfId="1" applyFont="1" applyFill="1" applyBorder="1" applyAlignment="1">
      <alignment horizontal="center" vertical="center"/>
    </xf>
    <xf numFmtId="9" fontId="0" fillId="3" borderId="156" xfId="1" applyFont="1" applyFill="1" applyBorder="1" applyAlignment="1">
      <alignment horizontal="center" vertical="center"/>
    </xf>
    <xf numFmtId="9" fontId="0" fillId="3" borderId="161" xfId="1" applyFont="1" applyFill="1" applyBorder="1" applyAlignment="1">
      <alignment horizontal="center" vertical="center"/>
    </xf>
    <xf numFmtId="0" fontId="3" fillId="2" borderId="93" xfId="0" applyFont="1" applyFill="1" applyBorder="1" applyAlignment="1">
      <alignment horizontal="centerContinuous" vertical="center" wrapText="1"/>
    </xf>
    <xf numFmtId="9" fontId="6" fillId="3" borderId="157" xfId="1" applyFont="1" applyFill="1" applyBorder="1" applyAlignment="1">
      <alignment horizontal="center" vertical="center"/>
    </xf>
    <xf numFmtId="9" fontId="0" fillId="3" borderId="157" xfId="1" applyFont="1" applyFill="1" applyBorder="1" applyAlignment="1">
      <alignment horizontal="center" vertical="center"/>
    </xf>
    <xf numFmtId="9" fontId="0" fillId="3" borderId="164" xfId="1" applyFont="1" applyFill="1" applyBorder="1" applyAlignment="1">
      <alignment horizontal="center" vertical="center"/>
    </xf>
    <xf numFmtId="0" fontId="5" fillId="2" borderId="77" xfId="0" applyFont="1" applyFill="1" applyBorder="1" applyAlignment="1">
      <alignment horizontal="center" vertical="center" wrapText="1"/>
    </xf>
    <xf numFmtId="0" fontId="5" fillId="2" borderId="78" xfId="0" applyFont="1" applyFill="1" applyBorder="1" applyAlignment="1">
      <alignment horizontal="center" vertical="center" wrapText="1"/>
    </xf>
    <xf numFmtId="0" fontId="5" fillId="2" borderId="79" xfId="0" applyFont="1" applyFill="1" applyBorder="1" applyAlignment="1">
      <alignment horizontal="center" vertical="center" wrapText="1"/>
    </xf>
    <xf numFmtId="0" fontId="5" fillId="2" borderId="80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11" xfId="0" applyFont="1" applyFill="1" applyBorder="1" applyAlignment="1">
      <alignment horizontal="center" vertical="center"/>
    </xf>
    <xf numFmtId="0" fontId="2" fillId="3" borderId="110" xfId="0" applyFont="1" applyFill="1" applyBorder="1" applyAlignment="1">
      <alignment horizontal="center" vertical="center"/>
    </xf>
    <xf numFmtId="0" fontId="2" fillId="3" borderId="11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64" fontId="13" fillId="3" borderId="41" xfId="0" applyNumberFormat="1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9" fontId="4" fillId="3" borderId="33" xfId="1" applyFont="1" applyFill="1" applyBorder="1" applyAlignment="1">
      <alignment horizontal="center" vertical="center"/>
    </xf>
    <xf numFmtId="0" fontId="18" fillId="0" borderId="59" xfId="0" applyFont="1" applyBorder="1" applyAlignment="1">
      <alignment horizontal="center" vertical="center"/>
    </xf>
    <xf numFmtId="0" fontId="9" fillId="3" borderId="27" xfId="0" applyFont="1" applyFill="1" applyBorder="1" applyAlignment="1">
      <alignment vertical="center"/>
    </xf>
    <xf numFmtId="0" fontId="9" fillId="3" borderId="51" xfId="0" applyFont="1" applyFill="1" applyBorder="1" applyAlignment="1">
      <alignment horizontal="center" vertical="center"/>
    </xf>
    <xf numFmtId="3" fontId="19" fillId="3" borderId="40" xfId="0" applyNumberFormat="1" applyFont="1" applyFill="1" applyBorder="1" applyAlignment="1">
      <alignment horizontal="center" vertical="center"/>
    </xf>
    <xf numFmtId="3" fontId="19" fillId="3" borderId="35" xfId="0" applyNumberFormat="1" applyFont="1" applyFill="1" applyBorder="1" applyAlignment="1">
      <alignment horizontal="center" vertical="center"/>
    </xf>
    <xf numFmtId="9" fontId="19" fillId="3" borderId="33" xfId="1" applyNumberFormat="1" applyFont="1" applyFill="1" applyBorder="1" applyAlignment="1">
      <alignment horizontal="center" vertical="center"/>
    </xf>
    <xf numFmtId="3" fontId="19" fillId="3" borderId="35" xfId="1" applyNumberFormat="1" applyFont="1" applyFill="1" applyBorder="1" applyAlignment="1">
      <alignment horizontal="center" vertical="center"/>
    </xf>
    <xf numFmtId="9" fontId="19" fillId="3" borderId="33" xfId="1" applyFont="1" applyFill="1" applyBorder="1" applyAlignment="1">
      <alignment horizontal="center" vertical="center"/>
    </xf>
    <xf numFmtId="3" fontId="19" fillId="3" borderId="33" xfId="0" applyNumberFormat="1" applyFont="1" applyFill="1" applyBorder="1" applyAlignment="1">
      <alignment horizontal="center" vertical="center"/>
    </xf>
    <xf numFmtId="3" fontId="19" fillId="3" borderId="41" xfId="0" applyNumberFormat="1" applyFont="1" applyFill="1" applyBorder="1" applyAlignment="1">
      <alignment horizontal="center" vertical="center"/>
    </xf>
    <xf numFmtId="0" fontId="9" fillId="0" borderId="5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20" fillId="3" borderId="27" xfId="0" applyFont="1" applyFill="1" applyBorder="1" applyAlignment="1">
      <alignment vertical="center"/>
    </xf>
    <xf numFmtId="9" fontId="21" fillId="3" borderId="158" xfId="1" applyFont="1" applyFill="1" applyBorder="1" applyAlignment="1">
      <alignment horizontal="center" vertical="center"/>
    </xf>
    <xf numFmtId="9" fontId="21" fillId="3" borderId="159" xfId="1" applyFont="1" applyFill="1" applyBorder="1" applyAlignment="1">
      <alignment horizontal="center" vertical="center"/>
    </xf>
    <xf numFmtId="9" fontId="21" fillId="3" borderId="160" xfId="1" applyFont="1" applyFill="1" applyBorder="1" applyAlignment="1">
      <alignment horizontal="center" vertical="center"/>
    </xf>
    <xf numFmtId="3" fontId="22" fillId="3" borderId="33" xfId="0" applyNumberFormat="1" applyFont="1" applyFill="1" applyBorder="1" applyAlignment="1">
      <alignment horizontal="center" vertical="center"/>
    </xf>
    <xf numFmtId="3" fontId="22" fillId="3" borderId="35" xfId="0" applyNumberFormat="1" applyFont="1" applyFill="1" applyBorder="1" applyAlignment="1">
      <alignment horizontal="center" vertical="center"/>
    </xf>
    <xf numFmtId="3" fontId="22" fillId="3" borderId="41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3" fillId="3" borderId="27" xfId="0" applyFont="1" applyFill="1" applyBorder="1" applyAlignment="1">
      <alignment vertical="center"/>
    </xf>
    <xf numFmtId="3" fontId="23" fillId="3" borderId="50" xfId="0" applyNumberFormat="1" applyFont="1" applyFill="1" applyBorder="1" applyAlignment="1">
      <alignment horizontal="center" vertical="center"/>
    </xf>
    <xf numFmtId="9" fontId="24" fillId="3" borderId="158" xfId="1" applyFont="1" applyFill="1" applyBorder="1" applyAlignment="1">
      <alignment horizontal="center" vertical="center"/>
    </xf>
    <xf numFmtId="9" fontId="24" fillId="3" borderId="159" xfId="1" applyFont="1" applyFill="1" applyBorder="1" applyAlignment="1">
      <alignment horizontal="center" vertical="center"/>
    </xf>
    <xf numFmtId="9" fontId="24" fillId="3" borderId="160" xfId="1" applyFont="1" applyFill="1" applyBorder="1" applyAlignment="1">
      <alignment horizontal="center" vertical="center"/>
    </xf>
    <xf numFmtId="3" fontId="25" fillId="3" borderId="33" xfId="0" applyNumberFormat="1" applyFont="1" applyFill="1" applyBorder="1" applyAlignment="1">
      <alignment horizontal="center" vertical="center"/>
    </xf>
    <xf numFmtId="3" fontId="25" fillId="3" borderId="35" xfId="0" applyNumberFormat="1" applyFont="1" applyFill="1" applyBorder="1" applyAlignment="1">
      <alignment horizontal="center" vertical="center"/>
    </xf>
    <xf numFmtId="3" fontId="25" fillId="3" borderId="41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3" fontId="20" fillId="3" borderId="50" xfId="0" applyNumberFormat="1" applyFont="1" applyFill="1" applyBorder="1" applyAlignment="1">
      <alignment horizontal="center" vertical="center"/>
    </xf>
    <xf numFmtId="3" fontId="21" fillId="3" borderId="158" xfId="1" applyNumberFormat="1" applyFont="1" applyFill="1" applyBorder="1" applyAlignment="1">
      <alignment horizontal="center" vertical="center"/>
    </xf>
    <xf numFmtId="3" fontId="21" fillId="3" borderId="159" xfId="1" applyNumberFormat="1" applyFont="1" applyFill="1" applyBorder="1" applyAlignment="1">
      <alignment horizontal="center" vertical="center"/>
    </xf>
    <xf numFmtId="3" fontId="21" fillId="3" borderId="160" xfId="1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4" fillId="3" borderId="156" xfId="0" applyFont="1" applyFill="1" applyBorder="1" applyAlignment="1">
      <alignment horizontal="left" vertical="center"/>
    </xf>
    <xf numFmtId="0" fontId="20" fillId="3" borderId="159" xfId="0" applyFont="1" applyFill="1" applyBorder="1" applyAlignment="1">
      <alignment horizontal="center" vertical="center"/>
    </xf>
    <xf numFmtId="0" fontId="13" fillId="3" borderId="156" xfId="0" applyFont="1" applyFill="1" applyBorder="1" applyAlignment="1">
      <alignment horizontal="left" vertical="center"/>
    </xf>
    <xf numFmtId="0" fontId="4" fillId="3" borderId="155" xfId="0" applyFont="1" applyFill="1" applyBorder="1" applyAlignment="1">
      <alignment horizontal="left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158" xfId="0" applyFont="1" applyFill="1" applyBorder="1" applyAlignment="1">
      <alignment horizontal="center" vertical="center"/>
    </xf>
    <xf numFmtId="0" fontId="13" fillId="3" borderId="155" xfId="0" applyFont="1" applyFill="1" applyBorder="1" applyAlignment="1">
      <alignment horizontal="left" vertical="center"/>
    </xf>
    <xf numFmtId="0" fontId="23" fillId="3" borderId="42" xfId="0" applyFont="1" applyFill="1" applyBorder="1" applyAlignment="1">
      <alignment horizontal="center" vertical="center"/>
    </xf>
    <xf numFmtId="0" fontId="4" fillId="3" borderId="157" xfId="0" applyFont="1" applyFill="1" applyBorder="1" applyAlignment="1">
      <alignment horizontal="left" vertical="center"/>
    </xf>
    <xf numFmtId="0" fontId="20" fillId="3" borderId="160" xfId="0" applyFont="1" applyFill="1" applyBorder="1" applyAlignment="1">
      <alignment horizontal="center" vertical="center"/>
    </xf>
    <xf numFmtId="0" fontId="13" fillId="3" borderId="157" xfId="0" applyFont="1" applyFill="1" applyBorder="1" applyAlignment="1">
      <alignment horizontal="left" vertical="center"/>
    </xf>
    <xf numFmtId="0" fontId="0" fillId="3" borderId="170" xfId="0" applyFill="1" applyBorder="1" applyAlignment="1">
      <alignment vertical="center"/>
    </xf>
    <xf numFmtId="0" fontId="7" fillId="0" borderId="60" xfId="0" applyFont="1" applyBorder="1" applyAlignment="1">
      <alignment horizontal="center" vertical="center"/>
    </xf>
    <xf numFmtId="0" fontId="0" fillId="3" borderId="156" xfId="0" applyFill="1" applyBorder="1" applyAlignment="1">
      <alignment horizontal="center" vertical="center"/>
    </xf>
    <xf numFmtId="0" fontId="0" fillId="3" borderId="157" xfId="0" applyFill="1" applyBorder="1" applyAlignment="1">
      <alignment horizontal="center" vertical="center"/>
    </xf>
    <xf numFmtId="0" fontId="0" fillId="3" borderId="156" xfId="0" applyFont="1" applyFill="1" applyBorder="1" applyAlignment="1">
      <alignment horizontal="center" vertical="center"/>
    </xf>
    <xf numFmtId="0" fontId="0" fillId="3" borderId="157" xfId="0" applyFont="1" applyFill="1" applyBorder="1" applyAlignment="1">
      <alignment horizontal="center" vertical="center"/>
    </xf>
    <xf numFmtId="0" fontId="6" fillId="3" borderId="156" xfId="0" applyFont="1" applyFill="1" applyBorder="1" applyAlignment="1">
      <alignment horizontal="center" vertical="center"/>
    </xf>
    <xf numFmtId="0" fontId="6" fillId="3" borderId="157" xfId="0" applyFont="1" applyFill="1" applyBorder="1" applyAlignment="1">
      <alignment horizontal="center" vertical="center"/>
    </xf>
    <xf numFmtId="0" fontId="0" fillId="3" borderId="162" xfId="0" applyFill="1" applyBorder="1" applyAlignment="1">
      <alignment horizontal="center" vertical="center"/>
    </xf>
    <xf numFmtId="0" fontId="0" fillId="3" borderId="163" xfId="0" applyFill="1" applyBorder="1" applyAlignment="1">
      <alignment horizontal="center" vertical="center"/>
    </xf>
    <xf numFmtId="3" fontId="20" fillId="3" borderId="159" xfId="0" applyNumberFormat="1" applyFont="1" applyFill="1" applyBorder="1" applyAlignment="1">
      <alignment horizontal="center" vertical="center"/>
    </xf>
    <xf numFmtId="3" fontId="20" fillId="3" borderId="160" xfId="0" applyNumberFormat="1" applyFont="1" applyFill="1" applyBorder="1" applyAlignment="1">
      <alignment horizontal="center" vertical="center"/>
    </xf>
    <xf numFmtId="0" fontId="0" fillId="5" borderId="175" xfId="0" applyFill="1" applyBorder="1" applyAlignment="1">
      <alignment horizontal="center" vertical="center"/>
    </xf>
    <xf numFmtId="0" fontId="0" fillId="5" borderId="176" xfId="0" applyFill="1" applyBorder="1" applyAlignment="1">
      <alignment horizontal="center" vertical="center"/>
    </xf>
    <xf numFmtId="0" fontId="0" fillId="5" borderId="178" xfId="0" applyFill="1" applyBorder="1" applyAlignment="1">
      <alignment horizontal="center" vertical="center"/>
    </xf>
    <xf numFmtId="0" fontId="0" fillId="5" borderId="179" xfId="0" applyFill="1" applyBorder="1" applyAlignment="1">
      <alignment horizontal="center" vertical="center"/>
    </xf>
    <xf numFmtId="0" fontId="0" fillId="5" borderId="181" xfId="0" applyFont="1" applyFill="1" applyBorder="1" applyAlignment="1">
      <alignment horizontal="center" vertical="center"/>
    </xf>
    <xf numFmtId="0" fontId="0" fillId="5" borderId="182" xfId="0" applyFont="1" applyFill="1" applyBorder="1" applyAlignment="1">
      <alignment horizontal="center" vertical="center"/>
    </xf>
    <xf numFmtId="0" fontId="6" fillId="5" borderId="175" xfId="0" applyFont="1" applyFill="1" applyBorder="1" applyAlignment="1">
      <alignment horizontal="center" vertical="center"/>
    </xf>
    <xf numFmtId="0" fontId="6" fillId="5" borderId="176" xfId="0" applyFont="1" applyFill="1" applyBorder="1" applyAlignment="1">
      <alignment horizontal="center" vertical="center"/>
    </xf>
    <xf numFmtId="0" fontId="0" fillId="5" borderId="123" xfId="0" applyFont="1" applyFill="1" applyBorder="1" applyAlignment="1">
      <alignment horizontal="center" vertical="center"/>
    </xf>
    <xf numFmtId="0" fontId="6" fillId="5" borderId="178" xfId="0" applyFont="1" applyFill="1" applyBorder="1" applyAlignment="1">
      <alignment horizontal="center" vertical="center"/>
    </xf>
    <xf numFmtId="0" fontId="6" fillId="5" borderId="179" xfId="0" applyFont="1" applyFill="1" applyBorder="1" applyAlignment="1">
      <alignment horizontal="center" vertical="center"/>
    </xf>
    <xf numFmtId="0" fontId="0" fillId="5" borderId="131" xfId="0" applyFont="1" applyFill="1" applyBorder="1" applyAlignment="1">
      <alignment horizontal="center" vertical="center"/>
    </xf>
    <xf numFmtId="0" fontId="6" fillId="5" borderId="181" xfId="0" applyFont="1" applyFill="1" applyBorder="1" applyAlignment="1">
      <alignment horizontal="center" vertical="center"/>
    </xf>
    <xf numFmtId="0" fontId="6" fillId="5" borderId="182" xfId="0" applyFont="1" applyFill="1" applyBorder="1" applyAlignment="1">
      <alignment horizontal="center" vertical="center"/>
    </xf>
    <xf numFmtId="0" fontId="6" fillId="5" borderId="131" xfId="0" applyFont="1" applyFill="1" applyBorder="1" applyAlignment="1">
      <alignment horizontal="center" vertical="center"/>
    </xf>
    <xf numFmtId="9" fontId="6" fillId="3" borderId="127" xfId="1" applyFont="1" applyFill="1" applyBorder="1" applyAlignment="1">
      <alignment horizontal="center" vertical="center"/>
    </xf>
    <xf numFmtId="9" fontId="6" fillId="3" borderId="174" xfId="1" applyFont="1" applyFill="1" applyBorder="1" applyAlignment="1">
      <alignment horizontal="center" vertical="center"/>
    </xf>
    <xf numFmtId="9" fontId="6" fillId="3" borderId="175" xfId="1" applyFont="1" applyFill="1" applyBorder="1" applyAlignment="1">
      <alignment horizontal="center" vertical="center"/>
    </xf>
    <xf numFmtId="9" fontId="6" fillId="3" borderId="176" xfId="1" applyFont="1" applyFill="1" applyBorder="1" applyAlignment="1">
      <alignment horizontal="center" vertical="center"/>
    </xf>
    <xf numFmtId="0" fontId="2" fillId="7" borderId="126" xfId="0" applyFont="1" applyFill="1" applyBorder="1" applyAlignment="1">
      <alignment horizontal="center" vertical="center"/>
    </xf>
    <xf numFmtId="0" fontId="2" fillId="7" borderId="125" xfId="0" applyFont="1" applyFill="1" applyBorder="1" applyAlignment="1">
      <alignment horizontal="center" vertical="center"/>
    </xf>
    <xf numFmtId="0" fontId="2" fillId="3" borderId="126" xfId="0" applyFont="1" applyFill="1" applyBorder="1" applyAlignment="1">
      <alignment horizontal="center" vertical="center"/>
    </xf>
    <xf numFmtId="0" fontId="2" fillId="3" borderId="125" xfId="0" applyFont="1" applyFill="1" applyBorder="1" applyAlignment="1">
      <alignment horizontal="center" vertical="center"/>
    </xf>
    <xf numFmtId="0" fontId="2" fillId="3" borderId="128" xfId="0" applyFont="1" applyFill="1" applyBorder="1" applyAlignment="1">
      <alignment horizontal="center" vertical="center"/>
    </xf>
    <xf numFmtId="9" fontId="6" fillId="3" borderId="135" xfId="1" applyFont="1" applyFill="1" applyBorder="1" applyAlignment="1">
      <alignment horizontal="center" vertical="center"/>
    </xf>
    <xf numFmtId="9" fontId="6" fillId="3" borderId="177" xfId="1" applyFont="1" applyFill="1" applyBorder="1" applyAlignment="1">
      <alignment horizontal="center" vertical="center"/>
    </xf>
    <xf numFmtId="9" fontId="6" fillId="3" borderId="178" xfId="1" applyFont="1" applyFill="1" applyBorder="1" applyAlignment="1">
      <alignment horizontal="center" vertical="center"/>
    </xf>
    <xf numFmtId="9" fontId="6" fillId="3" borderId="179" xfId="1" applyFont="1" applyFill="1" applyBorder="1" applyAlignment="1">
      <alignment horizontal="center" vertical="center"/>
    </xf>
    <xf numFmtId="0" fontId="2" fillId="7" borderId="134" xfId="0" applyFont="1" applyFill="1" applyBorder="1" applyAlignment="1">
      <alignment horizontal="center" vertical="center"/>
    </xf>
    <xf numFmtId="0" fontId="2" fillId="7" borderId="133" xfId="0" applyFont="1" applyFill="1" applyBorder="1" applyAlignment="1">
      <alignment horizontal="center" vertical="center"/>
    </xf>
    <xf numFmtId="0" fontId="2" fillId="3" borderId="134" xfId="0" applyFont="1" applyFill="1" applyBorder="1" applyAlignment="1">
      <alignment horizontal="center" vertical="center"/>
    </xf>
    <xf numFmtId="0" fontId="2" fillId="3" borderId="133" xfId="0" applyFont="1" applyFill="1" applyBorder="1" applyAlignment="1">
      <alignment horizontal="center" vertical="center"/>
    </xf>
    <xf numFmtId="0" fontId="2" fillId="3" borderId="136" xfId="0" applyFont="1" applyFill="1" applyBorder="1" applyAlignment="1">
      <alignment horizontal="center" vertical="center"/>
    </xf>
    <xf numFmtId="0" fontId="0" fillId="5" borderId="181" xfId="0" applyFill="1" applyBorder="1" applyAlignment="1">
      <alignment horizontal="center" vertical="center"/>
    </xf>
    <xf numFmtId="0" fontId="0" fillId="5" borderId="182" xfId="0" applyFill="1" applyBorder="1" applyAlignment="1">
      <alignment horizontal="center" vertical="center"/>
    </xf>
    <xf numFmtId="0" fontId="0" fillId="5" borderId="137" xfId="0" applyFill="1" applyBorder="1" applyAlignment="1">
      <alignment horizontal="center" vertical="center"/>
    </xf>
    <xf numFmtId="9" fontId="6" fillId="3" borderId="180" xfId="1" applyFont="1" applyFill="1" applyBorder="1" applyAlignment="1">
      <alignment horizontal="center" vertical="center"/>
    </xf>
    <xf numFmtId="9" fontId="6" fillId="3" borderId="181" xfId="1" applyFont="1" applyFill="1" applyBorder="1" applyAlignment="1">
      <alignment horizontal="center" vertical="center"/>
    </xf>
    <xf numFmtId="9" fontId="6" fillId="3" borderId="182" xfId="1" applyFont="1" applyFill="1" applyBorder="1" applyAlignment="1">
      <alignment horizontal="center" vertical="center"/>
    </xf>
    <xf numFmtId="0" fontId="2" fillId="7" borderId="140" xfId="0" applyFont="1" applyFill="1" applyBorder="1" applyAlignment="1">
      <alignment horizontal="center" vertical="center"/>
    </xf>
    <xf numFmtId="0" fontId="2" fillId="7" borderId="139" xfId="0" applyFont="1" applyFill="1" applyBorder="1" applyAlignment="1">
      <alignment horizontal="center" vertical="center"/>
    </xf>
    <xf numFmtId="0" fontId="2" fillId="3" borderId="140" xfId="0" applyFont="1" applyFill="1" applyBorder="1" applyAlignment="1">
      <alignment horizontal="center" vertical="center"/>
    </xf>
    <xf numFmtId="0" fontId="2" fillId="3" borderId="139" xfId="0" applyFont="1" applyFill="1" applyBorder="1" applyAlignment="1">
      <alignment horizontal="center" vertical="center"/>
    </xf>
    <xf numFmtId="0" fontId="2" fillId="3" borderId="141" xfId="0" applyFont="1" applyFill="1" applyBorder="1" applyAlignment="1">
      <alignment horizontal="center" vertical="center"/>
    </xf>
    <xf numFmtId="0" fontId="2" fillId="3" borderId="184" xfId="0" applyFont="1" applyFill="1" applyBorder="1" applyAlignment="1">
      <alignment horizontal="center" vertical="center"/>
    </xf>
    <xf numFmtId="0" fontId="2" fillId="3" borderId="183" xfId="0" applyFont="1" applyFill="1" applyBorder="1" applyAlignment="1">
      <alignment horizontal="center" vertical="center"/>
    </xf>
    <xf numFmtId="0" fontId="2" fillId="3" borderId="185" xfId="0" applyFont="1" applyFill="1" applyBorder="1" applyAlignment="1">
      <alignment horizontal="center" vertical="center"/>
    </xf>
    <xf numFmtId="0" fontId="0" fillId="3" borderId="161" xfId="0" applyFill="1" applyBorder="1" applyAlignment="1">
      <alignment horizontal="center" vertical="center"/>
    </xf>
    <xf numFmtId="0" fontId="0" fillId="3" borderId="164" xfId="0" applyFill="1" applyBorder="1" applyAlignment="1">
      <alignment horizontal="center" vertical="center"/>
    </xf>
    <xf numFmtId="0" fontId="6" fillId="5" borderId="123" xfId="0" applyFont="1" applyFill="1" applyBorder="1" applyAlignment="1">
      <alignment horizontal="center" vertical="center"/>
    </xf>
    <xf numFmtId="0" fontId="2" fillId="13" borderId="126" xfId="0" applyFont="1" applyFill="1" applyBorder="1" applyAlignment="1">
      <alignment horizontal="center" vertical="center"/>
    </xf>
    <xf numFmtId="0" fontId="2" fillId="13" borderId="125" xfId="0" applyFont="1" applyFill="1" applyBorder="1" applyAlignment="1">
      <alignment horizontal="center" vertical="center"/>
    </xf>
    <xf numFmtId="0" fontId="2" fillId="13" borderId="128" xfId="0" applyFont="1" applyFill="1" applyBorder="1" applyAlignment="1">
      <alignment horizontal="center" vertical="center"/>
    </xf>
    <xf numFmtId="0" fontId="2" fillId="13" borderId="134" xfId="0" applyFont="1" applyFill="1" applyBorder="1" applyAlignment="1">
      <alignment horizontal="center" vertical="center"/>
    </xf>
    <xf numFmtId="0" fontId="2" fillId="13" borderId="133" xfId="0" applyFont="1" applyFill="1" applyBorder="1" applyAlignment="1">
      <alignment horizontal="center" vertical="center"/>
    </xf>
    <xf numFmtId="0" fontId="2" fillId="13" borderId="136" xfId="0" applyFont="1" applyFill="1" applyBorder="1" applyAlignment="1">
      <alignment horizontal="center" vertical="center"/>
    </xf>
    <xf numFmtId="0" fontId="6" fillId="5" borderId="137" xfId="0" applyFont="1" applyFill="1" applyBorder="1" applyAlignment="1">
      <alignment horizontal="center" vertical="center"/>
    </xf>
    <xf numFmtId="0" fontId="2" fillId="13" borderId="140" xfId="0" applyFont="1" applyFill="1" applyBorder="1" applyAlignment="1">
      <alignment horizontal="center" vertical="center"/>
    </xf>
    <xf numFmtId="0" fontId="2" fillId="13" borderId="139" xfId="0" applyFont="1" applyFill="1" applyBorder="1" applyAlignment="1">
      <alignment horizontal="center" vertical="center"/>
    </xf>
    <xf numFmtId="0" fontId="2" fillId="13" borderId="141" xfId="0" applyFont="1" applyFill="1" applyBorder="1" applyAlignment="1">
      <alignment horizontal="center" vertical="center"/>
    </xf>
    <xf numFmtId="9" fontId="0" fillId="3" borderId="174" xfId="1" applyFont="1" applyFill="1" applyBorder="1" applyAlignment="1">
      <alignment horizontal="center" vertical="center"/>
    </xf>
    <xf numFmtId="9" fontId="0" fillId="3" borderId="175" xfId="1" applyFont="1" applyFill="1" applyBorder="1" applyAlignment="1">
      <alignment horizontal="center" vertical="center"/>
    </xf>
    <xf numFmtId="9" fontId="0" fillId="3" borderId="176" xfId="1" applyFont="1" applyFill="1" applyBorder="1" applyAlignment="1">
      <alignment horizontal="center" vertical="center"/>
    </xf>
    <xf numFmtId="9" fontId="0" fillId="3" borderId="177" xfId="1" applyFont="1" applyFill="1" applyBorder="1" applyAlignment="1">
      <alignment horizontal="center" vertical="center"/>
    </xf>
    <xf numFmtId="9" fontId="0" fillId="3" borderId="178" xfId="1" applyFont="1" applyFill="1" applyBorder="1" applyAlignment="1">
      <alignment horizontal="center" vertical="center"/>
    </xf>
    <xf numFmtId="9" fontId="0" fillId="3" borderId="179" xfId="1" applyFont="1" applyFill="1" applyBorder="1" applyAlignment="1">
      <alignment horizontal="center" vertical="center"/>
    </xf>
    <xf numFmtId="0" fontId="4" fillId="3" borderId="165" xfId="0" applyFont="1" applyFill="1" applyBorder="1" applyAlignment="1">
      <alignment horizontal="left" vertical="center"/>
    </xf>
    <xf numFmtId="0" fontId="4" fillId="3" borderId="162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20" fillId="0" borderId="0" xfId="0" applyFont="1" applyFill="1" applyBorder="1" applyAlignment="1">
      <alignment vertical="center"/>
    </xf>
    <xf numFmtId="0" fontId="0" fillId="0" borderId="119" xfId="0" applyFill="1" applyBorder="1" applyAlignment="1">
      <alignment vertical="center"/>
    </xf>
    <xf numFmtId="0" fontId="0" fillId="0" borderId="54" xfId="0" applyFill="1" applyBorder="1" applyAlignment="1">
      <alignment vertical="center"/>
    </xf>
    <xf numFmtId="0" fontId="0" fillId="0" borderId="144" xfId="0" applyFill="1" applyBorder="1" applyAlignment="1">
      <alignment vertical="center"/>
    </xf>
    <xf numFmtId="0" fontId="23" fillId="0" borderId="0" xfId="0" applyFont="1" applyFill="1" applyBorder="1" applyAlignment="1">
      <alignment vertical="center"/>
    </xf>
    <xf numFmtId="0" fontId="23" fillId="3" borderId="158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5" borderId="188" xfId="0" applyFont="1" applyFill="1" applyBorder="1" applyAlignment="1">
      <alignment horizontal="center" vertical="center"/>
    </xf>
    <xf numFmtId="0" fontId="6" fillId="5" borderId="189" xfId="0" applyFont="1" applyFill="1" applyBorder="1" applyAlignment="1">
      <alignment horizontal="center" vertical="center"/>
    </xf>
    <xf numFmtId="0" fontId="6" fillId="5" borderId="190" xfId="0" applyFont="1" applyFill="1" applyBorder="1" applyAlignment="1">
      <alignment horizontal="center" vertical="center"/>
    </xf>
    <xf numFmtId="9" fontId="6" fillId="3" borderId="194" xfId="1" applyFont="1" applyFill="1" applyBorder="1" applyAlignment="1">
      <alignment horizontal="center" vertical="center"/>
    </xf>
    <xf numFmtId="9" fontId="6" fillId="3" borderId="192" xfId="1" applyFont="1" applyFill="1" applyBorder="1" applyAlignment="1">
      <alignment horizontal="center" vertical="center"/>
    </xf>
    <xf numFmtId="9" fontId="6" fillId="3" borderId="195" xfId="1" applyFont="1" applyFill="1" applyBorder="1" applyAlignment="1">
      <alignment horizontal="center" vertical="center"/>
    </xf>
    <xf numFmtId="9" fontId="6" fillId="3" borderId="188" xfId="1" applyFont="1" applyFill="1" applyBorder="1" applyAlignment="1">
      <alignment horizontal="center" vertical="center"/>
    </xf>
    <xf numFmtId="9" fontId="6" fillId="3" borderId="189" xfId="1" applyFont="1" applyFill="1" applyBorder="1" applyAlignment="1">
      <alignment horizontal="center" vertical="center"/>
    </xf>
    <xf numFmtId="0" fontId="2" fillId="7" borderId="194" xfId="0" applyFont="1" applyFill="1" applyBorder="1" applyAlignment="1">
      <alignment horizontal="center" vertical="center"/>
    </xf>
    <xf numFmtId="0" fontId="2" fillId="7" borderId="193" xfId="0" applyFont="1" applyFill="1" applyBorder="1" applyAlignment="1">
      <alignment horizontal="center" vertical="center"/>
    </xf>
    <xf numFmtId="0" fontId="2" fillId="3" borderId="194" xfId="0" applyFont="1" applyFill="1" applyBorder="1" applyAlignment="1">
      <alignment horizontal="center" vertical="center"/>
    </xf>
    <xf numFmtId="0" fontId="2" fillId="3" borderId="193" xfId="0" applyFont="1" applyFill="1" applyBorder="1" applyAlignment="1">
      <alignment horizontal="center" vertical="center"/>
    </xf>
    <xf numFmtId="0" fontId="2" fillId="3" borderId="196" xfId="0" applyFont="1" applyFill="1" applyBorder="1" applyAlignment="1">
      <alignment horizontal="center" vertical="center"/>
    </xf>
    <xf numFmtId="9" fontId="6" fillId="4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59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9" fontId="6" fillId="0" borderId="0" xfId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8" fillId="14" borderId="197" xfId="0" applyFont="1" applyFill="1" applyBorder="1" applyAlignment="1">
      <alignment horizontal="centerContinuous" vertical="center"/>
    </xf>
    <xf numFmtId="0" fontId="28" fillId="14" borderId="198" xfId="0" applyFont="1" applyFill="1" applyBorder="1" applyAlignment="1">
      <alignment horizontal="centerContinuous" vertical="center"/>
    </xf>
    <xf numFmtId="0" fontId="28" fillId="14" borderId="45" xfId="0" applyFont="1" applyFill="1" applyBorder="1" applyAlignment="1">
      <alignment horizontal="centerContinuous" vertical="center"/>
    </xf>
    <xf numFmtId="0" fontId="8" fillId="14" borderId="199" xfId="0" applyFont="1" applyFill="1" applyBorder="1" applyAlignment="1">
      <alignment horizontal="center" vertical="center"/>
    </xf>
    <xf numFmtId="0" fontId="8" fillId="14" borderId="200" xfId="0" applyFont="1" applyFill="1" applyBorder="1" applyAlignment="1">
      <alignment horizontal="center" vertical="center"/>
    </xf>
    <xf numFmtId="0" fontId="8" fillId="14" borderId="7" xfId="0" applyFont="1" applyFill="1" applyBorder="1" applyAlignment="1">
      <alignment horizontal="center" vertical="center"/>
    </xf>
    <xf numFmtId="3" fontId="0" fillId="0" borderId="199" xfId="0" applyNumberFormat="1" applyBorder="1" applyAlignment="1">
      <alignment horizontal="center" vertical="center"/>
    </xf>
    <xf numFmtId="3" fontId="0" fillId="0" borderId="200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201" xfId="0" applyNumberFormat="1" applyBorder="1" applyAlignment="1">
      <alignment horizontal="center" vertical="center"/>
    </xf>
    <xf numFmtId="3" fontId="0" fillId="0" borderId="202" xfId="0" applyNumberFormat="1" applyBorder="1" applyAlignment="1">
      <alignment horizontal="center" vertical="center"/>
    </xf>
    <xf numFmtId="3" fontId="0" fillId="0" borderId="116" xfId="0" applyNumberFormat="1" applyBorder="1" applyAlignment="1">
      <alignment horizontal="center" vertical="center"/>
    </xf>
    <xf numFmtId="3" fontId="7" fillId="0" borderId="203" xfId="0" applyNumberFormat="1" applyFont="1" applyBorder="1" applyAlignment="1">
      <alignment horizontal="center" vertical="center"/>
    </xf>
    <xf numFmtId="3" fontId="7" fillId="0" borderId="204" xfId="0" applyNumberFormat="1" applyFont="1" applyBorder="1" applyAlignment="1">
      <alignment horizontal="center" vertical="center"/>
    </xf>
    <xf numFmtId="3" fontId="7" fillId="0" borderId="50" xfId="0" applyNumberFormat="1" applyFont="1" applyBorder="1" applyAlignment="1">
      <alignment horizontal="center" vertical="center"/>
    </xf>
    <xf numFmtId="0" fontId="7" fillId="0" borderId="205" xfId="0" applyFont="1" applyBorder="1" applyAlignment="1">
      <alignment vertical="center"/>
    </xf>
    <xf numFmtId="0" fontId="0" fillId="0" borderId="206" xfId="0" applyBorder="1" applyAlignment="1">
      <alignment horizontal="center" vertical="center"/>
    </xf>
    <xf numFmtId="0" fontId="0" fillId="0" borderId="207" xfId="0" applyBorder="1" applyAlignment="1">
      <alignment vertical="center"/>
    </xf>
    <xf numFmtId="0" fontId="0" fillId="0" borderId="208" xfId="0" applyBorder="1" applyAlignment="1">
      <alignment vertical="center"/>
    </xf>
    <xf numFmtId="9" fontId="2" fillId="0" borderId="206" xfId="1" applyFont="1" applyBorder="1" applyAlignment="1">
      <alignment horizontal="center" vertical="center"/>
    </xf>
    <xf numFmtId="0" fontId="6" fillId="3" borderId="184" xfId="0" applyFont="1" applyFill="1" applyBorder="1" applyAlignment="1">
      <alignment horizontal="center" vertical="center"/>
    </xf>
    <xf numFmtId="0" fontId="6" fillId="3" borderId="183" xfId="0" applyFont="1" applyFill="1" applyBorder="1" applyAlignment="1">
      <alignment horizontal="center" vertical="center"/>
    </xf>
    <xf numFmtId="0" fontId="6" fillId="3" borderId="185" xfId="0" applyFont="1" applyFill="1" applyBorder="1" applyAlignment="1">
      <alignment horizontal="center" vertical="center"/>
    </xf>
    <xf numFmtId="0" fontId="4" fillId="3" borderId="211" xfId="0" applyFont="1" applyFill="1" applyBorder="1" applyAlignment="1">
      <alignment horizontal="center" vertical="center"/>
    </xf>
    <xf numFmtId="0" fontId="4" fillId="3" borderId="212" xfId="0" applyFont="1" applyFill="1" applyBorder="1" applyAlignment="1">
      <alignment horizontal="center" vertical="center"/>
    </xf>
    <xf numFmtId="0" fontId="4" fillId="3" borderId="161" xfId="0" applyFont="1" applyFill="1" applyBorder="1" applyAlignment="1">
      <alignment horizontal="center" vertical="center"/>
    </xf>
    <xf numFmtId="0" fontId="4" fillId="3" borderId="164" xfId="0" applyFont="1" applyFill="1" applyBorder="1" applyAlignment="1">
      <alignment horizontal="center" vertical="center"/>
    </xf>
    <xf numFmtId="0" fontId="4" fillId="3" borderId="209" xfId="0" applyFont="1" applyFill="1" applyBorder="1" applyAlignment="1">
      <alignment vertical="center"/>
    </xf>
    <xf numFmtId="0" fontId="4" fillId="3" borderId="210" xfId="0" applyFont="1" applyFill="1" applyBorder="1" applyAlignment="1">
      <alignment vertical="center"/>
    </xf>
    <xf numFmtId="0" fontId="0" fillId="0" borderId="72" xfId="0" applyBorder="1" applyAlignment="1">
      <alignment vertical="center"/>
    </xf>
    <xf numFmtId="0" fontId="0" fillId="0" borderId="72" xfId="0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Continuous" vertical="center"/>
    </xf>
    <xf numFmtId="0" fontId="28" fillId="0" borderId="0" xfId="0" applyFont="1" applyFill="1" applyBorder="1" applyAlignment="1">
      <alignment horizontal="centerContinuous" vertical="center"/>
    </xf>
    <xf numFmtId="9" fontId="2" fillId="0" borderId="0" xfId="1" applyFont="1" applyFill="1" applyBorder="1" applyAlignment="1">
      <alignment horizontal="center" vertical="center"/>
    </xf>
    <xf numFmtId="9" fontId="0" fillId="0" borderId="0" xfId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167" fontId="0" fillId="0" borderId="0" xfId="1" applyNumberFormat="1" applyFont="1" applyAlignment="1">
      <alignment horizontal="center" vertical="center"/>
    </xf>
    <xf numFmtId="0" fontId="4" fillId="3" borderId="51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/>
    </xf>
    <xf numFmtId="0" fontId="3" fillId="2" borderId="79" xfId="0" applyFont="1" applyFill="1" applyBorder="1" applyAlignment="1">
      <alignment horizontal="center" vertical="center" wrapText="1"/>
    </xf>
    <xf numFmtId="0" fontId="3" fillId="2" borderId="80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3" fontId="0" fillId="0" borderId="0" xfId="0" applyNumberFormat="1" applyFill="1" applyBorder="1" applyAlignment="1">
      <alignment vertical="center"/>
    </xf>
    <xf numFmtId="3" fontId="7" fillId="0" borderId="0" xfId="0" applyNumberFormat="1" applyFont="1" applyFill="1" applyBorder="1" applyAlignment="1">
      <alignment vertical="center"/>
    </xf>
    <xf numFmtId="0" fontId="8" fillId="14" borderId="214" xfId="0" applyFont="1" applyFill="1" applyBorder="1" applyAlignment="1">
      <alignment horizontal="center" vertical="center"/>
    </xf>
    <xf numFmtId="0" fontId="8" fillId="14" borderId="215" xfId="0" applyFont="1" applyFill="1" applyBorder="1" applyAlignment="1">
      <alignment horizontal="center" vertical="center"/>
    </xf>
    <xf numFmtId="0" fontId="8" fillId="14" borderId="96" xfId="0" applyFont="1" applyFill="1" applyBorder="1" applyAlignment="1">
      <alignment horizontal="center" vertical="center"/>
    </xf>
    <xf numFmtId="3" fontId="0" fillId="0" borderId="198" xfId="0" applyNumberFormat="1" applyFill="1" applyBorder="1" applyAlignment="1">
      <alignment vertical="center"/>
    </xf>
    <xf numFmtId="3" fontId="0" fillId="0" borderId="45" xfId="0" applyNumberFormat="1" applyFill="1" applyBorder="1" applyAlignment="1">
      <alignment vertical="center"/>
    </xf>
    <xf numFmtId="3" fontId="0" fillId="0" borderId="200" xfId="0" applyNumberFormat="1" applyFill="1" applyBorder="1" applyAlignment="1">
      <alignment vertical="center"/>
    </xf>
    <xf numFmtId="3" fontId="0" fillId="0" borderId="7" xfId="0" applyNumberFormat="1" applyFill="1" applyBorder="1" applyAlignment="1">
      <alignment vertical="center"/>
    </xf>
    <xf numFmtId="0" fontId="29" fillId="0" borderId="216" xfId="0" applyFont="1" applyBorder="1" applyAlignment="1">
      <alignment vertical="center"/>
    </xf>
    <xf numFmtId="3" fontId="0" fillId="0" borderId="197" xfId="0" applyNumberFormat="1" applyFill="1" applyBorder="1" applyAlignment="1">
      <alignment vertical="center"/>
    </xf>
    <xf numFmtId="0" fontId="29" fillId="0" borderId="217" xfId="0" applyFont="1" applyBorder="1" applyAlignment="1">
      <alignment vertical="center"/>
    </xf>
    <xf numFmtId="3" fontId="0" fillId="0" borderId="199" xfId="0" applyNumberFormat="1" applyFill="1" applyBorder="1" applyAlignment="1">
      <alignment vertical="center"/>
    </xf>
    <xf numFmtId="0" fontId="29" fillId="0" borderId="217" xfId="0" applyFont="1" applyBorder="1" applyAlignment="1">
      <alignment vertical="center" wrapText="1"/>
    </xf>
    <xf numFmtId="0" fontId="29" fillId="0" borderId="218" xfId="0" applyFont="1" applyBorder="1" applyAlignment="1">
      <alignment vertical="center"/>
    </xf>
    <xf numFmtId="3" fontId="0" fillId="0" borderId="201" xfId="0" applyNumberFormat="1" applyFill="1" applyBorder="1" applyAlignment="1">
      <alignment vertical="center"/>
    </xf>
    <xf numFmtId="3" fontId="0" fillId="0" borderId="202" xfId="0" applyNumberFormat="1" applyFill="1" applyBorder="1" applyAlignment="1">
      <alignment vertical="center"/>
    </xf>
    <xf numFmtId="3" fontId="0" fillId="0" borderId="116" xfId="0" applyNumberFormat="1" applyFill="1" applyBorder="1" applyAlignment="1">
      <alignment vertical="center"/>
    </xf>
    <xf numFmtId="0" fontId="7" fillId="0" borderId="213" xfId="0" applyFont="1" applyBorder="1" applyAlignment="1">
      <alignment vertical="center"/>
    </xf>
    <xf numFmtId="3" fontId="7" fillId="0" borderId="203" xfId="0" applyNumberFormat="1" applyFont="1" applyFill="1" applyBorder="1" applyAlignment="1">
      <alignment vertical="center"/>
    </xf>
    <xf numFmtId="3" fontId="7" fillId="0" borderId="204" xfId="0" applyNumberFormat="1" applyFont="1" applyFill="1" applyBorder="1" applyAlignment="1">
      <alignment vertical="center"/>
    </xf>
    <xf numFmtId="3" fontId="7" fillId="0" borderId="50" xfId="0" applyNumberFormat="1" applyFont="1" applyFill="1" applyBorder="1" applyAlignment="1">
      <alignment vertical="center"/>
    </xf>
    <xf numFmtId="9" fontId="0" fillId="0" borderId="200" xfId="1" applyFont="1" applyFill="1" applyBorder="1" applyAlignment="1">
      <alignment vertical="center"/>
    </xf>
    <xf numFmtId="9" fontId="0" fillId="0" borderId="7" xfId="1" applyFont="1" applyFill="1" applyBorder="1" applyAlignment="1">
      <alignment vertical="center"/>
    </xf>
    <xf numFmtId="9" fontId="0" fillId="0" borderId="198" xfId="1" applyFont="1" applyFill="1" applyBorder="1" applyAlignment="1">
      <alignment horizontal="right" vertical="center"/>
    </xf>
    <xf numFmtId="9" fontId="0" fillId="0" borderId="45" xfId="1" applyFont="1" applyFill="1" applyBorder="1" applyAlignment="1">
      <alignment horizontal="right" vertical="center"/>
    </xf>
    <xf numFmtId="9" fontId="0" fillId="0" borderId="200" xfId="1" applyFont="1" applyFill="1" applyBorder="1" applyAlignment="1">
      <alignment horizontal="right" vertical="center"/>
    </xf>
    <xf numFmtId="9" fontId="0" fillId="0" borderId="7" xfId="1" applyFont="1" applyFill="1" applyBorder="1" applyAlignment="1">
      <alignment horizontal="right" vertical="center"/>
    </xf>
    <xf numFmtId="9" fontId="0" fillId="0" borderId="202" xfId="1" applyFont="1" applyFill="1" applyBorder="1" applyAlignment="1">
      <alignment horizontal="right" vertical="center"/>
    </xf>
    <xf numFmtId="9" fontId="0" fillId="0" borderId="116" xfId="1" applyFont="1" applyFill="1" applyBorder="1" applyAlignment="1">
      <alignment horizontal="right" vertical="center"/>
    </xf>
    <xf numFmtId="9" fontId="7" fillId="0" borderId="204" xfId="1" applyFont="1" applyFill="1" applyBorder="1" applyAlignment="1">
      <alignment horizontal="right" vertical="center"/>
    </xf>
    <xf numFmtId="9" fontId="7" fillId="0" borderId="50" xfId="1" applyFont="1" applyFill="1" applyBorder="1" applyAlignment="1">
      <alignment horizontal="right" vertical="center"/>
    </xf>
    <xf numFmtId="9" fontId="0" fillId="0" borderId="197" xfId="1" applyFont="1" applyFill="1" applyBorder="1" applyAlignment="1">
      <alignment horizontal="right" vertical="center"/>
    </xf>
    <xf numFmtId="9" fontId="0" fillId="0" borderId="199" xfId="1" applyFont="1" applyFill="1" applyBorder="1" applyAlignment="1">
      <alignment horizontal="right" vertical="center"/>
    </xf>
    <xf numFmtId="9" fontId="0" fillId="0" borderId="201" xfId="1" applyFont="1" applyFill="1" applyBorder="1" applyAlignment="1">
      <alignment horizontal="right" vertical="center"/>
    </xf>
    <xf numFmtId="9" fontId="7" fillId="0" borderId="203" xfId="1" applyFont="1" applyFill="1" applyBorder="1" applyAlignment="1">
      <alignment horizontal="right" vertical="center"/>
    </xf>
    <xf numFmtId="0" fontId="8" fillId="14" borderId="28" xfId="0" applyFont="1" applyFill="1" applyBorder="1" applyAlignment="1">
      <alignment horizontal="centerContinuous" vertical="center"/>
    </xf>
    <xf numFmtId="0" fontId="28" fillId="14" borderId="52" xfId="0" applyFont="1" applyFill="1" applyBorder="1" applyAlignment="1">
      <alignment horizontal="centerContinuous" vertical="center"/>
    </xf>
    <xf numFmtId="0" fontId="28" fillId="14" borderId="219" xfId="0" applyFont="1" applyFill="1" applyBorder="1" applyAlignment="1">
      <alignment horizontal="centerContinuous" vertical="center"/>
    </xf>
    <xf numFmtId="3" fontId="0" fillId="0" borderId="197" xfId="0" applyNumberFormat="1" applyBorder="1" applyAlignment="1">
      <alignment horizontal="center" vertical="center"/>
    </xf>
    <xf numFmtId="3" fontId="0" fillId="0" borderId="198" xfId="0" applyNumberFormat="1" applyBorder="1" applyAlignment="1">
      <alignment horizontal="center" vertical="center"/>
    </xf>
    <xf numFmtId="3" fontId="0" fillId="0" borderId="45" xfId="0" applyNumberFormat="1" applyBorder="1" applyAlignment="1">
      <alignment horizontal="center" vertical="center"/>
    </xf>
    <xf numFmtId="9" fontId="0" fillId="0" borderId="201" xfId="0" applyNumberFormat="1" applyBorder="1" applyAlignment="1">
      <alignment horizontal="center" vertical="center"/>
    </xf>
    <xf numFmtId="9" fontId="0" fillId="0" borderId="202" xfId="0" applyNumberFormat="1" applyBorder="1" applyAlignment="1">
      <alignment horizontal="center" vertical="center"/>
    </xf>
    <xf numFmtId="9" fontId="0" fillId="0" borderId="116" xfId="0" applyNumberFormat="1" applyBorder="1" applyAlignment="1">
      <alignment horizontal="center" vertical="center"/>
    </xf>
    <xf numFmtId="0" fontId="7" fillId="0" borderId="208" xfId="0" applyFont="1" applyBorder="1" applyAlignment="1">
      <alignment vertical="center"/>
    </xf>
    <xf numFmtId="0" fontId="7" fillId="0" borderId="219" xfId="0" applyFont="1" applyBorder="1" applyAlignment="1">
      <alignment vertical="center"/>
    </xf>
    <xf numFmtId="0" fontId="4" fillId="3" borderId="51" xfId="0" applyFont="1" applyFill="1" applyBorder="1" applyAlignment="1">
      <alignment horizontal="center" vertical="center"/>
    </xf>
    <xf numFmtId="9" fontId="6" fillId="4" borderId="1" xfId="1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74" xfId="0" applyFont="1" applyFill="1" applyBorder="1" applyAlignment="1">
      <alignment horizontal="center" vertical="center" wrapText="1"/>
    </xf>
    <xf numFmtId="0" fontId="3" fillId="2" borderId="76" xfId="0" applyFont="1" applyFill="1" applyBorder="1" applyAlignment="1">
      <alignment horizontal="center" vertical="center" wrapText="1"/>
    </xf>
    <xf numFmtId="0" fontId="4" fillId="3" borderId="161" xfId="0" applyFont="1" applyFill="1" applyBorder="1" applyAlignment="1">
      <alignment horizontal="left" vertical="center"/>
    </xf>
    <xf numFmtId="0" fontId="4" fillId="3" borderId="164" xfId="0" applyFont="1" applyFill="1" applyBorder="1" applyAlignment="1">
      <alignment horizontal="left" vertical="center"/>
    </xf>
    <xf numFmtId="0" fontId="23" fillId="3" borderId="159" xfId="0" applyFont="1" applyFill="1" applyBorder="1" applyAlignment="1">
      <alignment horizontal="center" vertical="center"/>
    </xf>
    <xf numFmtId="0" fontId="23" fillId="3" borderId="160" xfId="0" applyFont="1" applyFill="1" applyBorder="1" applyAlignment="1">
      <alignment horizontal="center" vertical="center"/>
    </xf>
    <xf numFmtId="0" fontId="0" fillId="5" borderId="187" xfId="0" applyFill="1" applyBorder="1" applyAlignment="1">
      <alignment vertical="center"/>
    </xf>
    <xf numFmtId="0" fontId="0" fillId="5" borderId="188" xfId="0" applyFill="1" applyBorder="1" applyAlignment="1">
      <alignment horizontal="center" vertical="center"/>
    </xf>
    <xf numFmtId="0" fontId="0" fillId="5" borderId="189" xfId="0" applyFill="1" applyBorder="1" applyAlignment="1">
      <alignment horizontal="center" vertical="center"/>
    </xf>
    <xf numFmtId="0" fontId="0" fillId="5" borderId="190" xfId="0" applyFill="1" applyBorder="1" applyAlignment="1">
      <alignment horizontal="center" vertical="center"/>
    </xf>
    <xf numFmtId="0" fontId="0" fillId="5" borderId="172" xfId="0" applyFont="1" applyFill="1" applyBorder="1" applyAlignment="1">
      <alignment vertical="center"/>
    </xf>
    <xf numFmtId="0" fontId="0" fillId="5" borderId="178" xfId="0" applyFont="1" applyFill="1" applyBorder="1" applyAlignment="1">
      <alignment horizontal="center" vertical="center"/>
    </xf>
    <xf numFmtId="0" fontId="0" fillId="5" borderId="179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Continuous" vertical="center" wrapText="1"/>
    </xf>
    <xf numFmtId="0" fontId="3" fillId="2" borderId="85" xfId="0" applyFont="1" applyFill="1" applyBorder="1" applyAlignment="1">
      <alignment horizontal="centerContinuous" vertical="center" wrapText="1"/>
    </xf>
    <xf numFmtId="164" fontId="6" fillId="5" borderId="220" xfId="0" applyNumberFormat="1" applyFont="1" applyFill="1" applyBorder="1" applyAlignment="1">
      <alignment horizontal="center" vertical="center"/>
    </xf>
    <xf numFmtId="164" fontId="6" fillId="5" borderId="188" xfId="0" applyNumberFormat="1" applyFont="1" applyFill="1" applyBorder="1" applyAlignment="1">
      <alignment horizontal="center" vertical="center"/>
    </xf>
    <xf numFmtId="164" fontId="6" fillId="5" borderId="189" xfId="0" applyNumberFormat="1" applyFont="1" applyFill="1" applyBorder="1" applyAlignment="1">
      <alignment horizontal="center" vertical="center"/>
    </xf>
    <xf numFmtId="164" fontId="6" fillId="5" borderId="221" xfId="0" applyNumberFormat="1" applyFont="1" applyFill="1" applyBorder="1" applyAlignment="1">
      <alignment horizontal="center" vertical="center"/>
    </xf>
    <xf numFmtId="164" fontId="6" fillId="5" borderId="178" xfId="0" applyNumberFormat="1" applyFont="1" applyFill="1" applyBorder="1" applyAlignment="1">
      <alignment horizontal="center" vertical="center"/>
    </xf>
    <xf numFmtId="164" fontId="6" fillId="5" borderId="179" xfId="0" applyNumberFormat="1" applyFont="1" applyFill="1" applyBorder="1" applyAlignment="1">
      <alignment horizontal="center" vertical="center"/>
    </xf>
    <xf numFmtId="164" fontId="6" fillId="5" borderId="222" xfId="0" applyNumberFormat="1" applyFont="1" applyFill="1" applyBorder="1" applyAlignment="1">
      <alignment horizontal="center" vertical="center"/>
    </xf>
    <xf numFmtId="164" fontId="6" fillId="5" borderId="181" xfId="0" applyNumberFormat="1" applyFont="1" applyFill="1" applyBorder="1" applyAlignment="1">
      <alignment horizontal="center" vertical="center"/>
    </xf>
    <xf numFmtId="164" fontId="6" fillId="5" borderId="182" xfId="0" applyNumberFormat="1" applyFont="1" applyFill="1" applyBorder="1" applyAlignment="1">
      <alignment horizontal="center" vertical="center"/>
    </xf>
    <xf numFmtId="164" fontId="6" fillId="3" borderId="223" xfId="0" applyNumberFormat="1" applyFont="1" applyFill="1" applyBorder="1" applyAlignment="1">
      <alignment horizontal="center" vertical="center"/>
    </xf>
    <xf numFmtId="164" fontId="6" fillId="3" borderId="156" xfId="0" applyNumberFormat="1" applyFont="1" applyFill="1" applyBorder="1" applyAlignment="1">
      <alignment horizontal="center" vertical="center"/>
    </xf>
    <xf numFmtId="164" fontId="6" fillId="3" borderId="157" xfId="0" applyNumberFormat="1" applyFont="1" applyFill="1" applyBorder="1" applyAlignment="1">
      <alignment horizontal="center" vertical="center"/>
    </xf>
    <xf numFmtId="164" fontId="6" fillId="5" borderId="224" xfId="0" applyNumberFormat="1" applyFont="1" applyFill="1" applyBorder="1" applyAlignment="1">
      <alignment horizontal="center" vertical="center"/>
    </xf>
    <xf numFmtId="164" fontId="6" fillId="5" borderId="175" xfId="0" applyNumberFormat="1" applyFont="1" applyFill="1" applyBorder="1" applyAlignment="1">
      <alignment horizontal="center" vertical="center"/>
    </xf>
    <xf numFmtId="164" fontId="6" fillId="5" borderId="176" xfId="0" applyNumberFormat="1" applyFont="1" applyFill="1" applyBorder="1" applyAlignment="1">
      <alignment horizontal="center" vertical="center"/>
    </xf>
    <xf numFmtId="164" fontId="0" fillId="10" borderId="175" xfId="0" applyNumberFormat="1" applyFill="1" applyBorder="1" applyAlignment="1">
      <alignment horizontal="center" vertical="center"/>
    </xf>
    <xf numFmtId="164" fontId="0" fillId="10" borderId="176" xfId="0" applyNumberFormat="1" applyFill="1" applyBorder="1" applyAlignment="1">
      <alignment horizontal="center" vertical="center"/>
    </xf>
    <xf numFmtId="164" fontId="0" fillId="10" borderId="221" xfId="0" applyNumberFormat="1" applyFill="1" applyBorder="1" applyAlignment="1">
      <alignment horizontal="center" vertical="center"/>
    </xf>
    <xf numFmtId="164" fontId="0" fillId="10" borderId="178" xfId="0" applyNumberFormat="1" applyFill="1" applyBorder="1" applyAlignment="1">
      <alignment horizontal="center" vertical="center"/>
    </xf>
    <xf numFmtId="164" fontId="0" fillId="10" borderId="179" xfId="0" applyNumberFormat="1" applyFill="1" applyBorder="1" applyAlignment="1">
      <alignment horizontal="center" vertical="center"/>
    </xf>
    <xf numFmtId="164" fontId="0" fillId="3" borderId="223" xfId="0" applyNumberFormat="1" applyFill="1" applyBorder="1" applyAlignment="1">
      <alignment horizontal="center" vertical="center"/>
    </xf>
    <xf numFmtId="164" fontId="0" fillId="3" borderId="156" xfId="0" applyNumberFormat="1" applyFill="1" applyBorder="1" applyAlignment="1">
      <alignment horizontal="center" vertical="center"/>
    </xf>
    <xf numFmtId="164" fontId="0" fillId="3" borderId="157" xfId="0" applyNumberFormat="1" applyFill="1" applyBorder="1" applyAlignment="1">
      <alignment horizontal="center" vertical="center"/>
    </xf>
    <xf numFmtId="3" fontId="21" fillId="3" borderId="225" xfId="0" applyNumberFormat="1" applyFont="1" applyFill="1" applyBorder="1" applyAlignment="1">
      <alignment horizontal="center" vertical="center"/>
    </xf>
    <xf numFmtId="3" fontId="21" fillId="3" borderId="159" xfId="0" applyNumberFormat="1" applyFont="1" applyFill="1" applyBorder="1" applyAlignment="1">
      <alignment horizontal="center" vertical="center"/>
    </xf>
    <xf numFmtId="3" fontId="21" fillId="3" borderId="160" xfId="0" applyNumberFormat="1" applyFont="1" applyFill="1" applyBorder="1" applyAlignment="1">
      <alignment horizontal="center" vertical="center"/>
    </xf>
    <xf numFmtId="164" fontId="0" fillId="5" borderId="224" xfId="0" applyNumberFormat="1" applyFill="1" applyBorder="1" applyAlignment="1">
      <alignment horizontal="center" vertical="center"/>
    </xf>
    <xf numFmtId="164" fontId="0" fillId="5" borderId="175" xfId="0" applyNumberFormat="1" applyFill="1" applyBorder="1" applyAlignment="1">
      <alignment horizontal="center" vertical="center"/>
    </xf>
    <xf numFmtId="164" fontId="0" fillId="5" borderId="176" xfId="0" applyNumberFormat="1" applyFill="1" applyBorder="1" applyAlignment="1">
      <alignment horizontal="center" vertical="center"/>
    </xf>
    <xf numFmtId="164" fontId="0" fillId="5" borderId="221" xfId="0" applyNumberFormat="1" applyFill="1" applyBorder="1" applyAlignment="1">
      <alignment horizontal="center" vertical="center"/>
    </xf>
    <xf numFmtId="164" fontId="0" fillId="5" borderId="178" xfId="0" applyNumberFormat="1" applyFill="1" applyBorder="1" applyAlignment="1">
      <alignment horizontal="center" vertical="center"/>
    </xf>
    <xf numFmtId="164" fontId="0" fillId="5" borderId="179" xfId="0" applyNumberFormat="1" applyFill="1" applyBorder="1" applyAlignment="1">
      <alignment horizontal="center" vertical="center"/>
    </xf>
    <xf numFmtId="164" fontId="0" fillId="3" borderId="226" xfId="0" applyNumberFormat="1" applyFill="1" applyBorder="1" applyAlignment="1">
      <alignment horizontal="center" vertical="center"/>
    </xf>
    <xf numFmtId="164" fontId="0" fillId="3" borderId="162" xfId="0" applyNumberFormat="1" applyFill="1" applyBorder="1" applyAlignment="1">
      <alignment horizontal="center" vertical="center"/>
    </xf>
    <xf numFmtId="164" fontId="0" fillId="3" borderId="163" xfId="0" applyNumberFormat="1" applyFill="1" applyBorder="1" applyAlignment="1">
      <alignment horizontal="center" vertical="center"/>
    </xf>
    <xf numFmtId="3" fontId="24" fillId="3" borderId="225" xfId="0" applyNumberFormat="1" applyFont="1" applyFill="1" applyBorder="1" applyAlignment="1">
      <alignment horizontal="center" vertical="center"/>
    </xf>
    <xf numFmtId="3" fontId="24" fillId="3" borderId="159" xfId="0" applyNumberFormat="1" applyFont="1" applyFill="1" applyBorder="1" applyAlignment="1">
      <alignment horizontal="center" vertical="center"/>
    </xf>
    <xf numFmtId="3" fontId="24" fillId="3" borderId="160" xfId="0" applyNumberFormat="1" applyFont="1" applyFill="1" applyBorder="1" applyAlignment="1">
      <alignment horizontal="center" vertical="center"/>
    </xf>
    <xf numFmtId="164" fontId="6" fillId="5" borderId="195" xfId="0" applyNumberFormat="1" applyFont="1" applyFill="1" applyBorder="1" applyAlignment="1">
      <alignment horizontal="center" vertical="center"/>
    </xf>
    <xf numFmtId="164" fontId="6" fillId="5" borderId="177" xfId="0" applyNumberFormat="1" applyFont="1" applyFill="1" applyBorder="1" applyAlignment="1">
      <alignment horizontal="center" vertical="center"/>
    </xf>
    <xf numFmtId="164" fontId="6" fillId="5" borderId="180" xfId="0" applyNumberFormat="1" applyFont="1" applyFill="1" applyBorder="1" applyAlignment="1">
      <alignment horizontal="center" vertical="center"/>
    </xf>
    <xf numFmtId="164" fontId="6" fillId="3" borderId="155" xfId="0" applyNumberFormat="1" applyFont="1" applyFill="1" applyBorder="1" applyAlignment="1">
      <alignment horizontal="center" vertical="center"/>
    </xf>
    <xf numFmtId="164" fontId="6" fillId="5" borderId="174" xfId="0" applyNumberFormat="1" applyFont="1" applyFill="1" applyBorder="1" applyAlignment="1">
      <alignment horizontal="center" vertical="center"/>
    </xf>
    <xf numFmtId="164" fontId="0" fillId="10" borderId="174" xfId="0" applyNumberFormat="1" applyFill="1" applyBorder="1" applyAlignment="1">
      <alignment horizontal="center" vertical="center"/>
    </xf>
    <xf numFmtId="164" fontId="0" fillId="10" borderId="177" xfId="0" applyNumberFormat="1" applyFill="1" applyBorder="1" applyAlignment="1">
      <alignment horizontal="center" vertical="center"/>
    </xf>
    <xf numFmtId="164" fontId="0" fillId="3" borderId="155" xfId="0" applyNumberFormat="1" applyFill="1" applyBorder="1" applyAlignment="1">
      <alignment horizontal="center" vertical="center"/>
    </xf>
    <xf numFmtId="3" fontId="21" fillId="3" borderId="158" xfId="0" applyNumberFormat="1" applyFont="1" applyFill="1" applyBorder="1" applyAlignment="1">
      <alignment horizontal="center" vertical="center"/>
    </xf>
    <xf numFmtId="164" fontId="0" fillId="5" borderId="174" xfId="0" applyNumberFormat="1" applyFill="1" applyBorder="1" applyAlignment="1">
      <alignment horizontal="center" vertical="center"/>
    </xf>
    <xf numFmtId="164" fontId="0" fillId="5" borderId="177" xfId="0" applyNumberFormat="1" applyFill="1" applyBorder="1" applyAlignment="1">
      <alignment horizontal="center" vertical="center"/>
    </xf>
    <xf numFmtId="164" fontId="0" fillId="3" borderId="165" xfId="0" applyNumberFormat="1" applyFill="1" applyBorder="1" applyAlignment="1">
      <alignment horizontal="center" vertical="center"/>
    </xf>
    <xf numFmtId="3" fontId="24" fillId="3" borderId="158" xfId="0" applyNumberFormat="1" applyFont="1" applyFill="1" applyBorder="1" applyAlignment="1">
      <alignment horizontal="center" vertical="center"/>
    </xf>
    <xf numFmtId="165" fontId="21" fillId="3" borderId="168" xfId="0" applyNumberFormat="1" applyFont="1" applyFill="1" applyBorder="1" applyAlignment="1">
      <alignment horizontal="left" vertical="center"/>
    </xf>
    <xf numFmtId="165" fontId="24" fillId="3" borderId="168" xfId="0" applyNumberFormat="1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centerContinuous" vertical="center" wrapText="1"/>
    </xf>
    <xf numFmtId="9" fontId="2" fillId="0" borderId="60" xfId="1" applyFont="1" applyBorder="1" applyAlignment="1">
      <alignment horizontal="center" vertical="center"/>
    </xf>
    <xf numFmtId="0" fontId="0" fillId="0" borderId="56" xfId="0" applyBorder="1" applyAlignment="1">
      <alignment vertical="center"/>
    </xf>
    <xf numFmtId="0" fontId="0" fillId="0" borderId="57" xfId="0" applyBorder="1" applyAlignment="1">
      <alignment vertical="center"/>
    </xf>
    <xf numFmtId="0" fontId="29" fillId="0" borderId="28" xfId="0" applyFont="1" applyBorder="1" applyAlignment="1">
      <alignment vertical="center"/>
    </xf>
    <xf numFmtId="0" fontId="29" fillId="0" borderId="2" xfId="0" applyFont="1" applyBorder="1" applyAlignment="1">
      <alignment vertical="center"/>
    </xf>
    <xf numFmtId="0" fontId="29" fillId="0" borderId="2" xfId="0" applyFont="1" applyBorder="1" applyAlignment="1">
      <alignment vertical="center" wrapText="1"/>
    </xf>
    <xf numFmtId="0" fontId="29" fillId="0" borderId="186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7" xfId="0" applyFont="1" applyBorder="1" applyAlignment="1">
      <alignment vertical="center"/>
    </xf>
    <xf numFmtId="9" fontId="0" fillId="12" borderId="174" xfId="1" applyFont="1" applyFill="1" applyBorder="1" applyAlignment="1" applyProtection="1">
      <alignment horizontal="center" vertical="center"/>
    </xf>
    <xf numFmtId="9" fontId="0" fillId="12" borderId="175" xfId="1" applyFont="1" applyFill="1" applyBorder="1" applyAlignment="1" applyProtection="1">
      <alignment horizontal="center" vertical="center"/>
    </xf>
    <xf numFmtId="9" fontId="0" fillId="12" borderId="176" xfId="1" applyFont="1" applyFill="1" applyBorder="1" applyAlignment="1" applyProtection="1">
      <alignment horizontal="center" vertical="center"/>
    </xf>
    <xf numFmtId="9" fontId="0" fillId="12" borderId="177" xfId="1" applyFont="1" applyFill="1" applyBorder="1" applyAlignment="1" applyProtection="1">
      <alignment horizontal="center" vertical="center"/>
    </xf>
    <xf numFmtId="9" fontId="0" fillId="12" borderId="178" xfId="1" applyFont="1" applyFill="1" applyBorder="1" applyAlignment="1" applyProtection="1">
      <alignment horizontal="center" vertical="center"/>
    </xf>
    <xf numFmtId="9" fontId="0" fillId="12" borderId="179" xfId="1" applyFont="1" applyFill="1" applyBorder="1" applyAlignment="1" applyProtection="1">
      <alignment horizontal="center" vertical="center"/>
    </xf>
    <xf numFmtId="9" fontId="6" fillId="3" borderId="165" xfId="1" applyFont="1" applyFill="1" applyBorder="1" applyAlignment="1">
      <alignment horizontal="center" vertical="center"/>
    </xf>
    <xf numFmtId="9" fontId="6" fillId="3" borderId="162" xfId="1" applyFont="1" applyFill="1" applyBorder="1" applyAlignment="1">
      <alignment horizontal="center" vertical="center"/>
    </xf>
    <xf numFmtId="9" fontId="6" fillId="3" borderId="163" xfId="1" applyFont="1" applyFill="1" applyBorder="1" applyAlignment="1">
      <alignment horizontal="center" vertical="center"/>
    </xf>
    <xf numFmtId="9" fontId="2" fillId="0" borderId="0" xfId="1" applyFont="1" applyBorder="1" applyAlignment="1">
      <alignment horizontal="center" vertical="center"/>
    </xf>
    <xf numFmtId="0" fontId="29" fillId="0" borderId="0" xfId="0" applyFont="1" applyBorder="1" applyAlignment="1">
      <alignment vertical="center"/>
    </xf>
    <xf numFmtId="0" fontId="29" fillId="0" borderId="0" xfId="0" applyFont="1" applyBorder="1" applyAlignment="1">
      <alignment vertical="center" wrapText="1"/>
    </xf>
    <xf numFmtId="0" fontId="29" fillId="0" borderId="219" xfId="0" applyFont="1" applyBorder="1" applyAlignment="1">
      <alignment vertical="center"/>
    </xf>
    <xf numFmtId="0" fontId="29" fillId="0" borderId="207" xfId="0" applyFont="1" applyBorder="1" applyAlignment="1">
      <alignment vertical="center"/>
    </xf>
    <xf numFmtId="0" fontId="29" fillId="0" borderId="207" xfId="0" applyFont="1" applyBorder="1" applyAlignment="1">
      <alignment vertical="center" wrapText="1"/>
    </xf>
    <xf numFmtId="0" fontId="29" fillId="0" borderId="208" xfId="0" applyFont="1" applyBorder="1" applyAlignment="1">
      <alignment vertical="center"/>
    </xf>
    <xf numFmtId="0" fontId="7" fillId="0" borderId="227" xfId="0" applyFont="1" applyBorder="1" applyAlignment="1">
      <alignment vertical="center"/>
    </xf>
    <xf numFmtId="0" fontId="28" fillId="14" borderId="1" xfId="0" applyFont="1" applyFill="1" applyBorder="1" applyAlignment="1">
      <alignment horizontal="centerContinuous" vertical="center"/>
    </xf>
    <xf numFmtId="0" fontId="28" fillId="14" borderId="205" xfId="0" applyFont="1" applyFill="1" applyBorder="1" applyAlignment="1">
      <alignment horizontal="centerContinuous" vertical="center"/>
    </xf>
    <xf numFmtId="0" fontId="28" fillId="14" borderId="166" xfId="0" applyFont="1" applyFill="1" applyBorder="1" applyAlignment="1">
      <alignment horizontal="centerContinuous" vertical="center"/>
    </xf>
    <xf numFmtId="0" fontId="6" fillId="3" borderId="126" xfId="0" applyFont="1" applyFill="1" applyBorder="1" applyAlignment="1">
      <alignment horizontal="center" vertical="center"/>
    </xf>
    <xf numFmtId="0" fontId="6" fillId="3" borderId="125" xfId="0" applyFont="1" applyFill="1" applyBorder="1" applyAlignment="1">
      <alignment horizontal="center" vertical="center"/>
    </xf>
    <xf numFmtId="0" fontId="6" fillId="3" borderId="128" xfId="0" applyFont="1" applyFill="1" applyBorder="1" applyAlignment="1">
      <alignment horizontal="center" vertical="center"/>
    </xf>
    <xf numFmtId="0" fontId="6" fillId="3" borderId="134" xfId="0" applyFont="1" applyFill="1" applyBorder="1" applyAlignment="1">
      <alignment horizontal="center" vertical="center"/>
    </xf>
    <xf numFmtId="0" fontId="6" fillId="3" borderId="133" xfId="0" applyFont="1" applyFill="1" applyBorder="1" applyAlignment="1">
      <alignment horizontal="center" vertical="center"/>
    </xf>
    <xf numFmtId="0" fontId="6" fillId="3" borderId="136" xfId="0" applyFont="1" applyFill="1" applyBorder="1" applyAlignment="1">
      <alignment horizontal="center" vertical="center"/>
    </xf>
    <xf numFmtId="0" fontId="6" fillId="3" borderId="140" xfId="0" applyFont="1" applyFill="1" applyBorder="1" applyAlignment="1">
      <alignment horizontal="center" vertical="center"/>
    </xf>
    <xf numFmtId="0" fontId="6" fillId="3" borderId="139" xfId="0" applyFont="1" applyFill="1" applyBorder="1" applyAlignment="1">
      <alignment horizontal="center" vertical="center"/>
    </xf>
    <xf numFmtId="0" fontId="6" fillId="3" borderId="141" xfId="0" applyFont="1" applyFill="1" applyBorder="1" applyAlignment="1">
      <alignment horizontal="center" vertical="center"/>
    </xf>
    <xf numFmtId="0" fontId="4" fillId="3" borderId="51" xfId="0" applyFont="1" applyFill="1" applyBorder="1" applyAlignment="1">
      <alignment horizontal="center" vertical="center"/>
    </xf>
    <xf numFmtId="0" fontId="3" fillId="2" borderId="79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vertical="center"/>
    </xf>
    <xf numFmtId="0" fontId="3" fillId="2" borderId="80" xfId="0" applyFont="1" applyFill="1" applyBorder="1" applyAlignment="1">
      <alignment horizontal="center" vertical="center" wrapText="1"/>
    </xf>
    <xf numFmtId="0" fontId="0" fillId="5" borderId="124" xfId="0" applyFill="1" applyBorder="1" applyAlignment="1">
      <alignment horizontal="center" vertical="center"/>
    </xf>
    <xf numFmtId="0" fontId="0" fillId="5" borderId="125" xfId="0" applyFill="1" applyBorder="1" applyAlignment="1">
      <alignment horizontal="center" vertical="center"/>
    </xf>
    <xf numFmtId="0" fontId="0" fillId="5" borderId="132" xfId="0" applyFill="1" applyBorder="1" applyAlignment="1">
      <alignment horizontal="center" vertical="center"/>
    </xf>
    <xf numFmtId="0" fontId="0" fillId="5" borderId="133" xfId="0" applyFill="1" applyBorder="1" applyAlignment="1">
      <alignment horizontal="center" vertical="center"/>
    </xf>
    <xf numFmtId="0" fontId="27" fillId="5" borderId="132" xfId="0" applyFont="1" applyFill="1" applyBorder="1" applyAlignment="1">
      <alignment horizontal="center" vertical="center"/>
    </xf>
    <xf numFmtId="0" fontId="27" fillId="5" borderId="133" xfId="0" applyFont="1" applyFill="1" applyBorder="1" applyAlignment="1">
      <alignment horizontal="center" vertical="center"/>
    </xf>
    <xf numFmtId="9" fontId="27" fillId="3" borderId="134" xfId="1" applyFont="1" applyFill="1" applyBorder="1" applyAlignment="1">
      <alignment horizontal="center" vertical="center"/>
    </xf>
    <xf numFmtId="3" fontId="27" fillId="5" borderId="133" xfId="1" applyNumberFormat="1" applyFont="1" applyFill="1" applyBorder="1" applyAlignment="1">
      <alignment horizontal="center" vertical="center"/>
    </xf>
    <xf numFmtId="0" fontId="27" fillId="7" borderId="134" xfId="0" applyFont="1" applyFill="1" applyBorder="1" applyAlignment="1">
      <alignment horizontal="center" vertical="center"/>
    </xf>
    <xf numFmtId="0" fontId="27" fillId="7" borderId="133" xfId="0" applyFont="1" applyFill="1" applyBorder="1" applyAlignment="1">
      <alignment horizontal="center" vertical="center"/>
    </xf>
    <xf numFmtId="0" fontId="27" fillId="13" borderId="134" xfId="0" applyFont="1" applyFill="1" applyBorder="1" applyAlignment="1">
      <alignment horizontal="center" vertical="center"/>
    </xf>
    <xf numFmtId="0" fontId="27" fillId="13" borderId="133" xfId="0" applyFont="1" applyFill="1" applyBorder="1" applyAlignment="1">
      <alignment horizontal="center" vertical="center"/>
    </xf>
    <xf numFmtId="0" fontId="27" fillId="13" borderId="136" xfId="0" applyFont="1" applyFill="1" applyBorder="1" applyAlignment="1">
      <alignment horizontal="center" vertical="center"/>
    </xf>
    <xf numFmtId="9" fontId="6" fillId="3" borderId="228" xfId="1" applyFont="1" applyFill="1" applyBorder="1" applyAlignment="1">
      <alignment horizontal="center" vertical="center"/>
    </xf>
    <xf numFmtId="9" fontId="6" fillId="3" borderId="229" xfId="1" applyFont="1" applyFill="1" applyBorder="1" applyAlignment="1">
      <alignment horizontal="center" vertical="center"/>
    </xf>
    <xf numFmtId="0" fontId="0" fillId="10" borderId="230" xfId="0" applyFill="1" applyBorder="1" applyAlignment="1">
      <alignment horizontal="center" vertical="center"/>
    </xf>
    <xf numFmtId="0" fontId="0" fillId="10" borderId="231" xfId="0" applyFill="1" applyBorder="1" applyAlignment="1">
      <alignment horizontal="center" vertical="center"/>
    </xf>
    <xf numFmtId="3" fontId="0" fillId="10" borderId="232" xfId="2" applyNumberFormat="1" applyFont="1" applyFill="1" applyBorder="1" applyAlignment="1" applyProtection="1">
      <alignment horizontal="center" vertical="center"/>
    </xf>
    <xf numFmtId="0" fontId="6" fillId="5" borderId="191" xfId="0" applyFont="1" applyFill="1" applyBorder="1" applyAlignment="1">
      <alignment horizontal="center" vertical="center"/>
    </xf>
    <xf numFmtId="0" fontId="6" fillId="5" borderId="193" xfId="0" applyFont="1" applyFill="1" applyBorder="1" applyAlignment="1">
      <alignment horizontal="center" vertical="center"/>
    </xf>
    <xf numFmtId="3" fontId="6" fillId="5" borderId="193" xfId="1" applyNumberFormat="1" applyFont="1" applyFill="1" applyBorder="1" applyAlignment="1">
      <alignment horizontal="center" vertical="center"/>
    </xf>
    <xf numFmtId="0" fontId="6" fillId="7" borderId="194" xfId="0" applyFont="1" applyFill="1" applyBorder="1" applyAlignment="1">
      <alignment horizontal="center" vertical="center"/>
    </xf>
    <xf numFmtId="0" fontId="6" fillId="7" borderId="193" xfId="0" applyFont="1" applyFill="1" applyBorder="1" applyAlignment="1">
      <alignment horizontal="center" vertical="center"/>
    </xf>
    <xf numFmtId="0" fontId="6" fillId="3" borderId="194" xfId="0" applyFont="1" applyFill="1" applyBorder="1" applyAlignment="1">
      <alignment horizontal="center" vertical="center"/>
    </xf>
    <xf numFmtId="0" fontId="6" fillId="3" borderId="193" xfId="0" applyFont="1" applyFill="1" applyBorder="1" applyAlignment="1">
      <alignment horizontal="center" vertical="center"/>
    </xf>
    <xf numFmtId="0" fontId="6" fillId="3" borderId="196" xfId="0" applyFont="1" applyFill="1" applyBorder="1" applyAlignment="1">
      <alignment horizontal="center" vertical="center"/>
    </xf>
    <xf numFmtId="0" fontId="0" fillId="10" borderId="233" xfId="0" applyFill="1" applyBorder="1" applyAlignment="1">
      <alignment horizontal="center" vertical="center"/>
    </xf>
    <xf numFmtId="0" fontId="0" fillId="10" borderId="129" xfId="0" applyFill="1" applyBorder="1" applyAlignment="1">
      <alignment horizontal="center" vertical="center"/>
    </xf>
    <xf numFmtId="3" fontId="0" fillId="10" borderId="130" xfId="2" applyNumberFormat="1" applyFont="1" applyFill="1" applyBorder="1" applyAlignment="1" applyProtection="1">
      <alignment horizontal="center" vertical="center"/>
    </xf>
    <xf numFmtId="0" fontId="0" fillId="10" borderId="234" xfId="0" applyFill="1" applyBorder="1" applyAlignment="1">
      <alignment horizontal="center" vertical="center"/>
    </xf>
    <xf numFmtId="0" fontId="0" fillId="10" borderId="235" xfId="0" applyFill="1" applyBorder="1" applyAlignment="1">
      <alignment horizontal="center" vertical="center"/>
    </xf>
    <xf numFmtId="3" fontId="0" fillId="10" borderId="236" xfId="2" applyNumberFormat="1" applyFont="1" applyFill="1" applyBorder="1" applyAlignment="1" applyProtection="1">
      <alignment horizontal="center" vertical="center"/>
    </xf>
    <xf numFmtId="0" fontId="27" fillId="5" borderId="138" xfId="0" applyFont="1" applyFill="1" applyBorder="1" applyAlignment="1">
      <alignment horizontal="center" vertical="center"/>
    </xf>
    <xf numFmtId="0" fontId="27" fillId="5" borderId="139" xfId="0" applyFont="1" applyFill="1" applyBorder="1" applyAlignment="1">
      <alignment horizontal="center" vertical="center"/>
    </xf>
    <xf numFmtId="9" fontId="27" fillId="3" borderId="140" xfId="1" applyFont="1" applyFill="1" applyBorder="1" applyAlignment="1">
      <alignment horizontal="center" vertical="center"/>
    </xf>
    <xf numFmtId="3" fontId="27" fillId="5" borderId="139" xfId="1" applyNumberFormat="1" applyFont="1" applyFill="1" applyBorder="1" applyAlignment="1">
      <alignment horizontal="center" vertical="center"/>
    </xf>
    <xf numFmtId="0" fontId="27" fillId="7" borderId="140" xfId="0" applyFont="1" applyFill="1" applyBorder="1" applyAlignment="1">
      <alignment horizontal="center" vertical="center"/>
    </xf>
    <xf numFmtId="0" fontId="27" fillId="7" borderId="139" xfId="0" applyFont="1" applyFill="1" applyBorder="1" applyAlignment="1">
      <alignment horizontal="center" vertical="center"/>
    </xf>
    <xf numFmtId="0" fontId="27" fillId="13" borderId="140" xfId="0" applyFont="1" applyFill="1" applyBorder="1" applyAlignment="1">
      <alignment horizontal="center" vertical="center"/>
    </xf>
    <xf numFmtId="0" fontId="27" fillId="13" borderId="139" xfId="0" applyFont="1" applyFill="1" applyBorder="1" applyAlignment="1">
      <alignment horizontal="center" vertical="center"/>
    </xf>
    <xf numFmtId="0" fontId="27" fillId="13" borderId="141" xfId="0" applyFont="1" applyFill="1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0" xfId="0" applyFont="1" applyAlignment="1">
      <alignment vertical="center" wrapText="1"/>
    </xf>
    <xf numFmtId="0" fontId="0" fillId="3" borderId="26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9" fontId="0" fillId="3" borderId="15" xfId="1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3" borderId="7" xfId="0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4" fillId="3" borderId="0" xfId="0" applyFont="1" applyFill="1" applyAlignment="1">
      <alignment vertical="center" wrapText="1"/>
    </xf>
    <xf numFmtId="0" fontId="0" fillId="3" borderId="0" xfId="0" applyFill="1" applyAlignment="1">
      <alignment horizontal="center" vertical="center"/>
    </xf>
    <xf numFmtId="9" fontId="0" fillId="3" borderId="0" xfId="1" applyFont="1" applyFill="1" applyAlignment="1">
      <alignment horizontal="center" vertical="center"/>
    </xf>
    <xf numFmtId="9" fontId="2" fillId="3" borderId="0" xfId="1" applyFont="1" applyFill="1" applyAlignment="1">
      <alignment horizontal="center" vertical="center"/>
    </xf>
    <xf numFmtId="0" fontId="7" fillId="0" borderId="60" xfId="0" applyFont="1" applyBorder="1" applyAlignment="1">
      <alignment vertical="center"/>
    </xf>
    <xf numFmtId="9" fontId="13" fillId="3" borderId="33" xfId="1" applyNumberFormat="1" applyFont="1" applyFill="1" applyBorder="1" applyAlignment="1">
      <alignment horizontal="center" vertical="center"/>
    </xf>
    <xf numFmtId="3" fontId="13" fillId="3" borderId="35" xfId="1" applyNumberFormat="1" applyFont="1" applyFill="1" applyBorder="1" applyAlignment="1">
      <alignment horizontal="center" vertical="center"/>
    </xf>
    <xf numFmtId="3" fontId="13" fillId="3" borderId="33" xfId="0" applyNumberFormat="1" applyFont="1" applyFill="1" applyBorder="1" applyAlignment="1">
      <alignment horizontal="center" vertical="center"/>
    </xf>
    <xf numFmtId="3" fontId="13" fillId="3" borderId="35" xfId="0" applyNumberFormat="1" applyFont="1" applyFill="1" applyBorder="1" applyAlignment="1">
      <alignment horizontal="center" vertical="center"/>
    </xf>
    <xf numFmtId="3" fontId="13" fillId="3" borderId="41" xfId="0" applyNumberFormat="1" applyFont="1" applyFill="1" applyBorder="1" applyAlignment="1">
      <alignment horizontal="center" vertical="center"/>
    </xf>
    <xf numFmtId="9" fontId="6" fillId="3" borderId="15" xfId="1" applyFont="1" applyFill="1" applyBorder="1" applyAlignment="1">
      <alignment horizontal="center" vertical="center"/>
    </xf>
    <xf numFmtId="3" fontId="13" fillId="3" borderId="40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6" fillId="0" borderId="1" xfId="1" applyFont="1" applyBorder="1" applyAlignment="1">
      <alignment horizontal="center" vertical="center"/>
    </xf>
    <xf numFmtId="0" fontId="4" fillId="3" borderId="27" xfId="0" applyFont="1" applyFill="1" applyBorder="1" applyAlignment="1">
      <alignment vertical="center"/>
    </xf>
    <xf numFmtId="0" fontId="4" fillId="3" borderId="51" xfId="0" applyFont="1" applyFill="1" applyBorder="1" applyAlignment="1">
      <alignment horizontal="center" vertical="center"/>
    </xf>
    <xf numFmtId="0" fontId="3" fillId="2" borderId="77" xfId="0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0" fontId="3" fillId="2" borderId="79" xfId="0" applyFont="1" applyFill="1" applyBorder="1" applyAlignment="1">
      <alignment horizontal="center" vertical="center" wrapText="1"/>
    </xf>
    <xf numFmtId="0" fontId="3" fillId="2" borderId="80" xfId="0" applyFont="1" applyFill="1" applyBorder="1" applyAlignment="1">
      <alignment horizontal="center" vertical="center" wrapText="1"/>
    </xf>
    <xf numFmtId="0" fontId="3" fillId="2" borderId="84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11" xfId="0" applyFont="1" applyFill="1" applyBorder="1" applyAlignment="1">
      <alignment horizontal="center" vertical="center"/>
    </xf>
    <xf numFmtId="0" fontId="6" fillId="3" borderId="110" xfId="0" applyFont="1" applyFill="1" applyBorder="1" applyAlignment="1">
      <alignment horizontal="center" vertical="center"/>
    </xf>
    <xf numFmtId="0" fontId="6" fillId="3" borderId="112" xfId="0" applyFont="1" applyFill="1" applyBorder="1" applyAlignment="1">
      <alignment horizontal="center" vertical="center"/>
    </xf>
    <xf numFmtId="0" fontId="0" fillId="3" borderId="116" xfId="0" applyFill="1" applyBorder="1" applyAlignment="1">
      <alignment horizontal="center" vertical="center"/>
    </xf>
    <xf numFmtId="0" fontId="0" fillId="3" borderId="107" xfId="0" applyFill="1" applyBorder="1" applyAlignment="1">
      <alignment horizontal="center" vertical="center"/>
    </xf>
    <xf numFmtId="0" fontId="0" fillId="3" borderId="110" xfId="0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0" borderId="0" xfId="0" applyFont="1" applyBorder="1" applyAlignment="1">
      <alignment vertical="center"/>
    </xf>
    <xf numFmtId="3" fontId="6" fillId="3" borderId="21" xfId="1" applyNumberFormat="1" applyFont="1" applyFill="1" applyBorder="1" applyAlignment="1">
      <alignment horizontal="center" vertical="center"/>
    </xf>
    <xf numFmtId="3" fontId="6" fillId="3" borderId="110" xfId="1" applyNumberFormat="1" applyFont="1" applyFill="1" applyBorder="1" applyAlignment="1">
      <alignment horizontal="center" vertical="center"/>
    </xf>
    <xf numFmtId="0" fontId="4" fillId="0" borderId="59" xfId="0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/>
    </xf>
    <xf numFmtId="9" fontId="13" fillId="3" borderId="33" xfId="1" applyFont="1" applyFill="1" applyBorder="1" applyAlignment="1">
      <alignment horizontal="center" vertical="center"/>
    </xf>
    <xf numFmtId="0" fontId="0" fillId="3" borderId="96" xfId="0" applyFill="1" applyBorder="1" applyAlignment="1">
      <alignment horizontal="center" vertical="center"/>
    </xf>
    <xf numFmtId="0" fontId="0" fillId="0" borderId="94" xfId="0" applyBorder="1" applyAlignment="1">
      <alignment vertical="center"/>
    </xf>
    <xf numFmtId="9" fontId="0" fillId="3" borderId="126" xfId="1" applyFont="1" applyFill="1" applyBorder="1" applyAlignment="1">
      <alignment horizontal="center" vertical="center"/>
    </xf>
    <xf numFmtId="9" fontId="0" fillId="3" borderId="134" xfId="1" applyFont="1" applyFill="1" applyBorder="1" applyAlignment="1">
      <alignment horizontal="center" vertical="center"/>
    </xf>
    <xf numFmtId="0" fontId="6" fillId="7" borderId="126" xfId="0" applyFont="1" applyFill="1" applyBorder="1" applyAlignment="1">
      <alignment horizontal="center" vertical="center"/>
    </xf>
    <xf numFmtId="0" fontId="6" fillId="7" borderId="125" xfId="0" applyFont="1" applyFill="1" applyBorder="1" applyAlignment="1">
      <alignment horizontal="center" vertical="center"/>
    </xf>
    <xf numFmtId="0" fontId="6" fillId="7" borderId="134" xfId="0" applyFont="1" applyFill="1" applyBorder="1" applyAlignment="1">
      <alignment horizontal="center" vertical="center"/>
    </xf>
    <xf numFmtId="0" fontId="6" fillId="7" borderId="133" xfId="0" applyFont="1" applyFill="1" applyBorder="1" applyAlignment="1">
      <alignment horizontal="center" vertical="center"/>
    </xf>
    <xf numFmtId="0" fontId="6" fillId="7" borderId="140" xfId="0" applyFont="1" applyFill="1" applyBorder="1" applyAlignment="1">
      <alignment horizontal="center" vertical="center"/>
    </xf>
    <xf numFmtId="0" fontId="6" fillId="7" borderId="139" xfId="0" applyFont="1" applyFill="1" applyBorder="1" applyAlignment="1">
      <alignment horizontal="center" vertical="center"/>
    </xf>
    <xf numFmtId="0" fontId="0" fillId="5" borderId="123" xfId="0" applyFill="1" applyBorder="1" applyAlignment="1">
      <alignment horizontal="center" vertical="center"/>
    </xf>
    <xf numFmtId="0" fontId="6" fillId="5" borderId="124" xfId="0" applyFont="1" applyFill="1" applyBorder="1" applyAlignment="1">
      <alignment horizontal="center" vertical="center"/>
    </xf>
    <xf numFmtId="0" fontId="6" fillId="5" borderId="125" xfId="0" applyFont="1" applyFill="1" applyBorder="1" applyAlignment="1">
      <alignment horizontal="center" vertical="center"/>
    </xf>
    <xf numFmtId="9" fontId="6" fillId="3" borderId="126" xfId="1" applyFont="1" applyFill="1" applyBorder="1" applyAlignment="1">
      <alignment horizontal="center" vertical="center"/>
    </xf>
    <xf numFmtId="3" fontId="6" fillId="5" borderId="125" xfId="1" applyNumberFormat="1" applyFont="1" applyFill="1" applyBorder="1" applyAlignment="1">
      <alignment horizontal="center" vertical="center"/>
    </xf>
    <xf numFmtId="0" fontId="0" fillId="5" borderId="131" xfId="0" applyFill="1" applyBorder="1" applyAlignment="1">
      <alignment horizontal="center" vertical="center"/>
    </xf>
    <xf numFmtId="0" fontId="6" fillId="5" borderId="132" xfId="0" applyFont="1" applyFill="1" applyBorder="1" applyAlignment="1">
      <alignment horizontal="center" vertical="center"/>
    </xf>
    <xf numFmtId="0" fontId="6" fillId="5" borderId="133" xfId="0" applyFont="1" applyFill="1" applyBorder="1" applyAlignment="1">
      <alignment horizontal="center" vertical="center"/>
    </xf>
    <xf numFmtId="9" fontId="6" fillId="3" borderId="134" xfId="1" applyFont="1" applyFill="1" applyBorder="1" applyAlignment="1">
      <alignment horizontal="center" vertical="center"/>
    </xf>
    <xf numFmtId="3" fontId="6" fillId="5" borderId="133" xfId="1" applyNumberFormat="1" applyFont="1" applyFill="1" applyBorder="1" applyAlignment="1">
      <alignment horizontal="center" vertical="center"/>
    </xf>
    <xf numFmtId="0" fontId="0" fillId="5" borderId="137" xfId="0" applyFont="1" applyFill="1" applyBorder="1" applyAlignment="1">
      <alignment horizontal="center" vertical="center"/>
    </xf>
    <xf numFmtId="0" fontId="6" fillId="5" borderId="138" xfId="0" applyFont="1" applyFill="1" applyBorder="1" applyAlignment="1">
      <alignment horizontal="center" vertical="center"/>
    </xf>
    <xf numFmtId="0" fontId="6" fillId="5" borderId="139" xfId="0" applyFont="1" applyFill="1" applyBorder="1" applyAlignment="1">
      <alignment horizontal="center" vertical="center"/>
    </xf>
    <xf numFmtId="9" fontId="6" fillId="3" borderId="140" xfId="1" applyFont="1" applyFill="1" applyBorder="1" applyAlignment="1">
      <alignment horizontal="center" vertical="center"/>
    </xf>
    <xf numFmtId="3" fontId="6" fillId="5" borderId="139" xfId="1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0" fillId="0" borderId="121" xfId="0" applyBorder="1" applyAlignment="1">
      <alignment horizontal="center" vertical="center"/>
    </xf>
    <xf numFmtId="0" fontId="0" fillId="0" borderId="122" xfId="0" applyBorder="1" applyAlignment="1">
      <alignment horizontal="center" vertical="center"/>
    </xf>
    <xf numFmtId="0" fontId="0" fillId="0" borderId="143" xfId="0" applyBorder="1" applyAlignment="1">
      <alignment horizontal="center" vertical="center"/>
    </xf>
    <xf numFmtId="164" fontId="13" fillId="3" borderId="35" xfId="0" applyNumberFormat="1" applyFont="1" applyFill="1" applyBorder="1" applyAlignment="1">
      <alignment horizontal="center" vertical="center"/>
    </xf>
    <xf numFmtId="164" fontId="13" fillId="3" borderId="33" xfId="0" applyNumberFormat="1" applyFont="1" applyFill="1" applyBorder="1" applyAlignment="1">
      <alignment horizontal="center" vertical="center"/>
    </xf>
    <xf numFmtId="0" fontId="6" fillId="13" borderId="126" xfId="0" applyFont="1" applyFill="1" applyBorder="1" applyAlignment="1">
      <alignment horizontal="center" vertical="center"/>
    </xf>
    <xf numFmtId="0" fontId="6" fillId="13" borderId="125" xfId="0" applyFont="1" applyFill="1" applyBorder="1" applyAlignment="1">
      <alignment horizontal="center" vertical="center"/>
    </xf>
    <xf numFmtId="0" fontId="6" fillId="13" borderId="128" xfId="0" applyFont="1" applyFill="1" applyBorder="1" applyAlignment="1">
      <alignment horizontal="center" vertical="center"/>
    </xf>
    <xf numFmtId="0" fontId="6" fillId="13" borderId="134" xfId="0" applyFont="1" applyFill="1" applyBorder="1" applyAlignment="1">
      <alignment horizontal="center" vertical="center"/>
    </xf>
    <xf numFmtId="0" fontId="6" fillId="13" borderId="133" xfId="0" applyFont="1" applyFill="1" applyBorder="1" applyAlignment="1">
      <alignment horizontal="center" vertical="center"/>
    </xf>
    <xf numFmtId="0" fontId="6" fillId="13" borderId="136" xfId="0" applyFont="1" applyFill="1" applyBorder="1" applyAlignment="1">
      <alignment horizontal="center" vertical="center"/>
    </xf>
    <xf numFmtId="0" fontId="6" fillId="13" borderId="140" xfId="0" applyFont="1" applyFill="1" applyBorder="1" applyAlignment="1">
      <alignment horizontal="center" vertical="center"/>
    </xf>
    <xf numFmtId="0" fontId="6" fillId="13" borderId="139" xfId="0" applyFont="1" applyFill="1" applyBorder="1" applyAlignment="1">
      <alignment horizontal="center" vertical="center"/>
    </xf>
    <xf numFmtId="0" fontId="6" fillId="13" borderId="141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left" vertical="center"/>
    </xf>
    <xf numFmtId="0" fontId="13" fillId="3" borderId="56" xfId="0" applyFont="1" applyFill="1" applyBorder="1" applyAlignment="1">
      <alignment horizontal="left" vertical="center"/>
    </xf>
    <xf numFmtId="0" fontId="4" fillId="3" borderId="57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64" fontId="13" fillId="3" borderId="41" xfId="0" applyNumberFormat="1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9" fontId="4" fillId="3" borderId="33" xfId="1" applyFont="1" applyFill="1" applyBorder="1" applyAlignment="1">
      <alignment horizontal="center" vertical="center"/>
    </xf>
    <xf numFmtId="0" fontId="9" fillId="3" borderId="27" xfId="0" applyFont="1" applyFill="1" applyBorder="1" applyAlignment="1">
      <alignment vertical="center"/>
    </xf>
    <xf numFmtId="0" fontId="9" fillId="3" borderId="51" xfId="0" applyFont="1" applyFill="1" applyBorder="1" applyAlignment="1">
      <alignment horizontal="center" vertical="center"/>
    </xf>
    <xf numFmtId="3" fontId="19" fillId="3" borderId="40" xfId="0" applyNumberFormat="1" applyFont="1" applyFill="1" applyBorder="1" applyAlignment="1">
      <alignment horizontal="center" vertical="center"/>
    </xf>
    <xf numFmtId="3" fontId="19" fillId="3" borderId="35" xfId="0" applyNumberFormat="1" applyFont="1" applyFill="1" applyBorder="1" applyAlignment="1">
      <alignment horizontal="center" vertical="center"/>
    </xf>
    <xf numFmtId="9" fontId="19" fillId="3" borderId="33" xfId="1" applyNumberFormat="1" applyFont="1" applyFill="1" applyBorder="1" applyAlignment="1">
      <alignment horizontal="center" vertical="center"/>
    </xf>
    <xf numFmtId="3" fontId="19" fillId="3" borderId="35" xfId="1" applyNumberFormat="1" applyFont="1" applyFill="1" applyBorder="1" applyAlignment="1">
      <alignment horizontal="center" vertical="center"/>
    </xf>
    <xf numFmtId="9" fontId="19" fillId="3" borderId="33" xfId="1" applyFont="1" applyFill="1" applyBorder="1" applyAlignment="1">
      <alignment horizontal="center" vertical="center"/>
    </xf>
    <xf numFmtId="3" fontId="19" fillId="3" borderId="33" xfId="0" applyNumberFormat="1" applyFont="1" applyFill="1" applyBorder="1" applyAlignment="1">
      <alignment horizontal="center" vertical="center"/>
    </xf>
    <xf numFmtId="3" fontId="19" fillId="3" borderId="4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3" fontId="23" fillId="3" borderId="50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3" fontId="20" fillId="3" borderId="50" xfId="0" applyNumberFormat="1" applyFont="1" applyFill="1" applyBorder="1" applyAlignment="1">
      <alignment horizontal="center" vertical="center"/>
    </xf>
    <xf numFmtId="165" fontId="20" fillId="3" borderId="168" xfId="0" applyNumberFormat="1" applyFont="1" applyFill="1" applyBorder="1" applyAlignment="1">
      <alignment horizontal="left" vertical="center"/>
    </xf>
    <xf numFmtId="0" fontId="0" fillId="3" borderId="167" xfId="0" applyFill="1" applyBorder="1" applyAlignment="1">
      <alignment vertical="center"/>
    </xf>
    <xf numFmtId="0" fontId="0" fillId="3" borderId="167" xfId="0" applyFont="1" applyFill="1" applyBorder="1" applyAlignment="1">
      <alignment vertical="center"/>
    </xf>
    <xf numFmtId="0" fontId="6" fillId="3" borderId="167" xfId="0" applyFont="1" applyFill="1" applyBorder="1" applyAlignment="1">
      <alignment vertical="center"/>
    </xf>
    <xf numFmtId="0" fontId="0" fillId="3" borderId="170" xfId="0" applyFill="1" applyBorder="1" applyAlignment="1">
      <alignment vertical="center"/>
    </xf>
    <xf numFmtId="0" fontId="7" fillId="0" borderId="60" xfId="0" applyFont="1" applyBorder="1" applyAlignment="1">
      <alignment horizontal="center" vertical="center"/>
    </xf>
    <xf numFmtId="0" fontId="0" fillId="5" borderId="171" xfId="0" applyFill="1" applyBorder="1" applyAlignment="1">
      <alignment vertical="center"/>
    </xf>
    <xf numFmtId="0" fontId="0" fillId="5" borderId="172" xfId="0" applyFill="1" applyBorder="1" applyAlignment="1">
      <alignment vertical="center"/>
    </xf>
    <xf numFmtId="0" fontId="6" fillId="5" borderId="171" xfId="0" applyFont="1" applyFill="1" applyBorder="1" applyAlignment="1">
      <alignment vertical="center"/>
    </xf>
    <xf numFmtId="0" fontId="0" fillId="5" borderId="123" xfId="0" applyFont="1" applyFill="1" applyBorder="1" applyAlignment="1">
      <alignment horizontal="center" vertical="center"/>
    </xf>
    <xf numFmtId="0" fontId="6" fillId="5" borderId="172" xfId="0" applyFont="1" applyFill="1" applyBorder="1" applyAlignment="1">
      <alignment vertical="center"/>
    </xf>
    <xf numFmtId="0" fontId="0" fillId="5" borderId="131" xfId="0" applyFont="1" applyFill="1" applyBorder="1" applyAlignment="1">
      <alignment horizontal="center" vertical="center"/>
    </xf>
    <xf numFmtId="0" fontId="6" fillId="5" borderId="173" xfId="0" applyFont="1" applyFill="1" applyBorder="1" applyAlignment="1">
      <alignment vertical="center"/>
    </xf>
    <xf numFmtId="0" fontId="6" fillId="5" borderId="131" xfId="0" applyFont="1" applyFill="1" applyBorder="1" applyAlignment="1">
      <alignment horizontal="center" vertical="center"/>
    </xf>
    <xf numFmtId="9" fontId="6" fillId="3" borderId="127" xfId="1" applyFont="1" applyFill="1" applyBorder="1" applyAlignment="1">
      <alignment horizontal="center" vertical="center"/>
    </xf>
    <xf numFmtId="9" fontId="6" fillId="3" borderId="135" xfId="1" applyFont="1" applyFill="1" applyBorder="1" applyAlignment="1">
      <alignment horizontal="center" vertical="center"/>
    </xf>
    <xf numFmtId="0" fontId="0" fillId="5" borderId="173" xfId="0" applyFill="1" applyBorder="1" applyAlignment="1">
      <alignment vertical="center"/>
    </xf>
    <xf numFmtId="0" fontId="0" fillId="5" borderId="137" xfId="0" applyFill="1" applyBorder="1" applyAlignment="1">
      <alignment horizontal="center" vertical="center"/>
    </xf>
    <xf numFmtId="0" fontId="0" fillId="3" borderId="169" xfId="0" applyFill="1" applyBorder="1" applyAlignment="1">
      <alignment vertical="center"/>
    </xf>
    <xf numFmtId="0" fontId="6" fillId="5" borderId="123" xfId="0" applyFont="1" applyFill="1" applyBorder="1" applyAlignment="1">
      <alignment horizontal="center" vertical="center"/>
    </xf>
    <xf numFmtId="0" fontId="6" fillId="5" borderId="137" xfId="0" applyFont="1" applyFill="1" applyBorder="1" applyAlignment="1">
      <alignment horizontal="center" vertical="center"/>
    </xf>
    <xf numFmtId="0" fontId="4" fillId="3" borderId="165" xfId="0" applyFont="1" applyFill="1" applyBorder="1" applyAlignment="1">
      <alignment horizontal="left" vertical="center"/>
    </xf>
    <xf numFmtId="0" fontId="4" fillId="3" borderId="162" xfId="0" applyFont="1" applyFill="1" applyBorder="1" applyAlignment="1">
      <alignment horizontal="left" vertical="center"/>
    </xf>
    <xf numFmtId="0" fontId="4" fillId="3" borderId="163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6" fillId="5" borderId="187" xfId="0" applyFont="1" applyFill="1" applyBorder="1" applyAlignment="1">
      <alignment vertical="center"/>
    </xf>
    <xf numFmtId="0" fontId="6" fillId="5" borderId="190" xfId="0" applyFont="1" applyFill="1" applyBorder="1" applyAlignment="1">
      <alignment horizontal="center" vertical="center"/>
    </xf>
    <xf numFmtId="9" fontId="6" fillId="3" borderId="194" xfId="1" applyFont="1" applyFill="1" applyBorder="1" applyAlignment="1">
      <alignment horizontal="center" vertical="center"/>
    </xf>
    <xf numFmtId="9" fontId="6" fillId="3" borderId="192" xfId="1" applyFont="1" applyFill="1" applyBorder="1" applyAlignment="1">
      <alignment horizontal="center" vertical="center"/>
    </xf>
    <xf numFmtId="0" fontId="0" fillId="0" borderId="59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9" fontId="6" fillId="0" borderId="0" xfId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8" fillId="14" borderId="197" xfId="0" applyFont="1" applyFill="1" applyBorder="1" applyAlignment="1">
      <alignment horizontal="centerContinuous" vertical="center"/>
    </xf>
    <xf numFmtId="0" fontId="28" fillId="14" borderId="198" xfId="0" applyFont="1" applyFill="1" applyBorder="1" applyAlignment="1">
      <alignment horizontal="centerContinuous" vertical="center"/>
    </xf>
    <xf numFmtId="0" fontId="28" fillId="14" borderId="45" xfId="0" applyFont="1" applyFill="1" applyBorder="1" applyAlignment="1">
      <alignment horizontal="centerContinuous" vertical="center"/>
    </xf>
    <xf numFmtId="0" fontId="8" fillId="14" borderId="199" xfId="0" applyFont="1" applyFill="1" applyBorder="1" applyAlignment="1">
      <alignment horizontal="center" vertical="center"/>
    </xf>
    <xf numFmtId="0" fontId="8" fillId="14" borderId="200" xfId="0" applyFont="1" applyFill="1" applyBorder="1" applyAlignment="1">
      <alignment horizontal="center" vertical="center"/>
    </xf>
    <xf numFmtId="0" fontId="8" fillId="14" borderId="7" xfId="0" applyFont="1" applyFill="1" applyBorder="1" applyAlignment="1">
      <alignment horizontal="center" vertical="center"/>
    </xf>
    <xf numFmtId="3" fontId="0" fillId="0" borderId="199" xfId="0" applyNumberFormat="1" applyBorder="1" applyAlignment="1">
      <alignment horizontal="center" vertical="center"/>
    </xf>
    <xf numFmtId="3" fontId="0" fillId="0" borderId="200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201" xfId="0" applyNumberFormat="1" applyBorder="1" applyAlignment="1">
      <alignment horizontal="center" vertical="center"/>
    </xf>
    <xf numFmtId="3" fontId="0" fillId="0" borderId="202" xfId="0" applyNumberFormat="1" applyBorder="1" applyAlignment="1">
      <alignment horizontal="center" vertical="center"/>
    </xf>
    <xf numFmtId="3" fontId="0" fillId="0" borderId="116" xfId="0" applyNumberFormat="1" applyBorder="1" applyAlignment="1">
      <alignment horizontal="center" vertical="center"/>
    </xf>
    <xf numFmtId="3" fontId="7" fillId="0" borderId="203" xfId="0" applyNumberFormat="1" applyFont="1" applyBorder="1" applyAlignment="1">
      <alignment horizontal="center" vertical="center"/>
    </xf>
    <xf numFmtId="3" fontId="7" fillId="0" borderId="204" xfId="0" applyNumberFormat="1" applyFont="1" applyBorder="1" applyAlignment="1">
      <alignment horizontal="center" vertical="center"/>
    </xf>
    <xf numFmtId="3" fontId="7" fillId="0" borderId="50" xfId="0" applyNumberFormat="1" applyFont="1" applyBorder="1" applyAlignment="1">
      <alignment horizontal="center" vertical="center"/>
    </xf>
    <xf numFmtId="0" fontId="7" fillId="0" borderId="205" xfId="0" applyFont="1" applyBorder="1" applyAlignment="1">
      <alignment vertical="center"/>
    </xf>
    <xf numFmtId="0" fontId="0" fillId="0" borderId="206" xfId="0" applyBorder="1" applyAlignment="1">
      <alignment horizontal="center" vertical="center"/>
    </xf>
    <xf numFmtId="0" fontId="0" fillId="0" borderId="207" xfId="0" applyBorder="1" applyAlignment="1">
      <alignment vertical="center"/>
    </xf>
    <xf numFmtId="0" fontId="0" fillId="0" borderId="208" xfId="0" applyBorder="1" applyAlignment="1">
      <alignment vertical="center"/>
    </xf>
    <xf numFmtId="9" fontId="2" fillId="0" borderId="206" xfId="1" applyFont="1" applyBorder="1" applyAlignment="1">
      <alignment horizontal="center" vertical="center"/>
    </xf>
    <xf numFmtId="0" fontId="6" fillId="3" borderId="184" xfId="0" applyFont="1" applyFill="1" applyBorder="1" applyAlignment="1">
      <alignment horizontal="center" vertical="center"/>
    </xf>
    <xf numFmtId="0" fontId="6" fillId="3" borderId="183" xfId="0" applyFont="1" applyFill="1" applyBorder="1" applyAlignment="1">
      <alignment horizontal="center" vertical="center"/>
    </xf>
    <xf numFmtId="0" fontId="6" fillId="3" borderId="185" xfId="0" applyFont="1" applyFill="1" applyBorder="1" applyAlignment="1">
      <alignment horizontal="center" vertical="center"/>
    </xf>
    <xf numFmtId="0" fontId="0" fillId="0" borderId="72" xfId="0" applyBorder="1" applyAlignment="1">
      <alignment vertical="center"/>
    </xf>
    <xf numFmtId="0" fontId="0" fillId="0" borderId="72" xfId="0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167" fontId="0" fillId="0" borderId="0" xfId="1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28" fillId="14" borderId="52" xfId="0" applyFont="1" applyFill="1" applyBorder="1" applyAlignment="1">
      <alignment horizontal="centerContinuous" vertical="center"/>
    </xf>
    <xf numFmtId="0" fontId="33" fillId="5" borderId="172" xfId="0" applyFont="1" applyFill="1" applyBorder="1" applyAlignment="1">
      <alignment vertical="center"/>
    </xf>
    <xf numFmtId="0" fontId="33" fillId="5" borderId="173" xfId="0" applyFont="1" applyFill="1" applyBorder="1" applyAlignment="1">
      <alignment vertical="center"/>
    </xf>
    <xf numFmtId="164" fontId="6" fillId="5" borderId="195" xfId="1" applyNumberFormat="1" applyFont="1" applyFill="1" applyBorder="1" applyAlignment="1">
      <alignment horizontal="center" vertical="center"/>
    </xf>
    <xf numFmtId="164" fontId="6" fillId="5" borderId="188" xfId="1" applyNumberFormat="1" applyFont="1" applyFill="1" applyBorder="1" applyAlignment="1">
      <alignment horizontal="center" vertical="center"/>
    </xf>
    <xf numFmtId="164" fontId="6" fillId="5" borderId="189" xfId="1" applyNumberFormat="1" applyFont="1" applyFill="1" applyBorder="1" applyAlignment="1">
      <alignment horizontal="center" vertical="center"/>
    </xf>
    <xf numFmtId="164" fontId="6" fillId="5" borderId="177" xfId="1" applyNumberFormat="1" applyFont="1" applyFill="1" applyBorder="1" applyAlignment="1">
      <alignment horizontal="center" vertical="center"/>
    </xf>
    <xf numFmtId="164" fontId="6" fillId="5" borderId="178" xfId="1" applyNumberFormat="1" applyFont="1" applyFill="1" applyBorder="1" applyAlignment="1">
      <alignment horizontal="center" vertical="center"/>
    </xf>
    <xf numFmtId="164" fontId="6" fillId="5" borderId="179" xfId="1" applyNumberFormat="1" applyFont="1" applyFill="1" applyBorder="1" applyAlignment="1">
      <alignment horizontal="center" vertical="center"/>
    </xf>
    <xf numFmtId="164" fontId="6" fillId="5" borderId="180" xfId="1" applyNumberFormat="1" applyFont="1" applyFill="1" applyBorder="1" applyAlignment="1">
      <alignment horizontal="center" vertical="center"/>
    </xf>
    <xf numFmtId="164" fontId="6" fillId="5" borderId="181" xfId="1" applyNumberFormat="1" applyFont="1" applyFill="1" applyBorder="1" applyAlignment="1">
      <alignment horizontal="center" vertical="center"/>
    </xf>
    <xf numFmtId="164" fontId="6" fillId="5" borderId="182" xfId="1" applyNumberFormat="1" applyFont="1" applyFill="1" applyBorder="1" applyAlignment="1">
      <alignment horizontal="center" vertical="center"/>
    </xf>
    <xf numFmtId="164" fontId="6" fillId="5" borderId="174" xfId="1" applyNumberFormat="1" applyFont="1" applyFill="1" applyBorder="1" applyAlignment="1">
      <alignment horizontal="center" vertical="center"/>
    </xf>
    <xf numFmtId="164" fontId="6" fillId="5" borderId="175" xfId="1" applyNumberFormat="1" applyFont="1" applyFill="1" applyBorder="1" applyAlignment="1">
      <alignment horizontal="center" vertical="center"/>
    </xf>
    <xf numFmtId="164" fontId="6" fillId="5" borderId="176" xfId="1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vertical="center"/>
    </xf>
    <xf numFmtId="0" fontId="6" fillId="3" borderId="169" xfId="0" applyFont="1" applyFill="1" applyBorder="1" applyAlignment="1">
      <alignment vertical="center"/>
    </xf>
    <xf numFmtId="0" fontId="12" fillId="8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 textRotation="90"/>
    </xf>
    <xf numFmtId="0" fontId="8" fillId="8" borderId="0" xfId="0" applyFont="1" applyFill="1" applyAlignment="1">
      <alignment horizontal="center" vertical="center"/>
    </xf>
    <xf numFmtId="0" fontId="4" fillId="3" borderId="61" xfId="0" applyFont="1" applyFill="1" applyBorder="1" applyAlignment="1">
      <alignment vertical="center"/>
    </xf>
    <xf numFmtId="0" fontId="4" fillId="3" borderId="59" xfId="0" applyFont="1" applyFill="1" applyBorder="1" applyAlignment="1">
      <alignment vertical="center"/>
    </xf>
    <xf numFmtId="0" fontId="4" fillId="3" borderId="62" xfId="0" applyFont="1" applyFill="1" applyBorder="1" applyAlignment="1">
      <alignment vertical="center"/>
    </xf>
    <xf numFmtId="0" fontId="4" fillId="3" borderId="94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72" xfId="0" applyFont="1" applyFill="1" applyBorder="1" applyAlignment="1">
      <alignment horizontal="center" vertical="center"/>
    </xf>
    <xf numFmtId="0" fontId="4" fillId="3" borderId="60" xfId="0" applyFont="1" applyFill="1" applyBorder="1" applyAlignment="1">
      <alignment horizontal="center" vertical="center"/>
    </xf>
    <xf numFmtId="0" fontId="4" fillId="3" borderId="63" xfId="0" applyFont="1" applyFill="1" applyBorder="1" applyAlignment="1">
      <alignment vertical="center"/>
    </xf>
    <xf numFmtId="0" fontId="4" fillId="5" borderId="95" xfId="0" applyFont="1" applyFill="1" applyBorder="1" applyAlignment="1">
      <alignment horizontal="center" vertical="center"/>
    </xf>
    <xf numFmtId="0" fontId="4" fillId="5" borderId="76" xfId="0" applyFont="1" applyFill="1" applyBorder="1" applyAlignment="1">
      <alignment horizontal="center" vertical="center"/>
    </xf>
    <xf numFmtId="0" fontId="4" fillId="5" borderId="142" xfId="0" applyFont="1" applyFill="1" applyBorder="1" applyAlignment="1">
      <alignment horizontal="center" vertical="center"/>
    </xf>
    <xf numFmtId="0" fontId="4" fillId="5" borderId="56" xfId="0" applyFont="1" applyFill="1" applyBorder="1" applyAlignment="1">
      <alignment horizontal="center" vertical="center"/>
    </xf>
    <xf numFmtId="9" fontId="6" fillId="4" borderId="1" xfId="1" applyFont="1" applyFill="1" applyBorder="1" applyAlignment="1">
      <alignment horizontal="center" vertical="center"/>
    </xf>
    <xf numFmtId="0" fontId="13" fillId="5" borderId="56" xfId="0" applyFont="1" applyFill="1" applyBorder="1" applyAlignment="1">
      <alignment horizontal="center" vertical="center" wrapText="1"/>
    </xf>
    <xf numFmtId="0" fontId="13" fillId="5" borderId="5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75" xfId="0" applyFont="1" applyFill="1" applyBorder="1" applyAlignment="1">
      <alignment horizontal="center" vertical="center" wrapText="1"/>
    </xf>
    <xf numFmtId="0" fontId="3" fillId="2" borderId="43" xfId="0" applyFont="1" applyFill="1" applyBorder="1" applyAlignment="1">
      <alignment horizontal="center" vertical="center" wrapText="1"/>
    </xf>
    <xf numFmtId="9" fontId="3" fillId="2" borderId="35" xfId="1" applyFont="1" applyFill="1" applyBorder="1" applyAlignment="1">
      <alignment horizontal="center" vertical="center" wrapText="1"/>
    </xf>
    <xf numFmtId="0" fontId="3" fillId="2" borderId="168" xfId="0" applyFont="1" applyFill="1" applyBorder="1" applyAlignment="1">
      <alignment vertical="center" wrapText="1"/>
    </xf>
    <xf numFmtId="0" fontId="4" fillId="5" borderId="52" xfId="0" applyFont="1" applyFill="1" applyBorder="1" applyAlignment="1">
      <alignment horizontal="center" vertical="center"/>
    </xf>
    <xf numFmtId="0" fontId="4" fillId="5" borderId="56" xfId="0" applyFont="1" applyFill="1" applyBorder="1" applyAlignment="1">
      <alignment horizontal="center" vertical="center" wrapText="1"/>
    </xf>
    <xf numFmtId="0" fontId="13" fillId="5" borderId="52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5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0" fillId="0" borderId="186" xfId="0" applyBorder="1" applyAlignment="1">
      <alignment vertical="center" wrapText="1"/>
    </xf>
    <xf numFmtId="0" fontId="4" fillId="3" borderId="56" xfId="0" applyFont="1" applyFill="1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4" fillId="3" borderId="28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4" fillId="3" borderId="52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0" fillId="3" borderId="56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2" borderId="58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9" fontId="3" fillId="2" borderId="33" xfId="1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vertical="center" wrapText="1"/>
    </xf>
    <xf numFmtId="0" fontId="4" fillId="5" borderId="164" xfId="0" applyFont="1" applyFill="1" applyBorder="1" applyAlignment="1">
      <alignment horizontal="center" vertical="center"/>
    </xf>
    <xf numFmtId="0" fontId="4" fillId="5" borderId="83" xfId="0" applyFont="1" applyFill="1" applyBorder="1" applyAlignment="1">
      <alignment horizontal="center" vertical="center"/>
    </xf>
    <xf numFmtId="0" fontId="4" fillId="5" borderId="212" xfId="0" applyFont="1" applyFill="1" applyBorder="1" applyAlignment="1">
      <alignment horizontal="center" vertical="center"/>
    </xf>
    <xf numFmtId="0" fontId="4" fillId="5" borderId="209" xfId="0" applyFont="1" applyFill="1" applyBorder="1" applyAlignment="1">
      <alignment horizontal="center" vertical="center"/>
    </xf>
    <xf numFmtId="0" fontId="4" fillId="5" borderId="117" xfId="0" applyFont="1" applyFill="1" applyBorder="1" applyAlignment="1">
      <alignment horizontal="center" vertical="center"/>
    </xf>
    <xf numFmtId="0" fontId="4" fillId="5" borderId="210" xfId="0" applyFont="1" applyFill="1" applyBorder="1" applyAlignment="1">
      <alignment horizontal="center" vertical="center"/>
    </xf>
    <xf numFmtId="0" fontId="4" fillId="5" borderId="161" xfId="0" applyFont="1" applyFill="1" applyBorder="1" applyAlignment="1">
      <alignment horizontal="center" vertical="center"/>
    </xf>
    <xf numFmtId="0" fontId="4" fillId="5" borderId="82" xfId="0" applyFont="1" applyFill="1" applyBorder="1" applyAlignment="1">
      <alignment horizontal="center" vertical="center"/>
    </xf>
    <xf numFmtId="0" fontId="4" fillId="5" borderId="211" xfId="0" applyFont="1" applyFill="1" applyBorder="1" applyAlignment="1">
      <alignment horizontal="center" vertical="center"/>
    </xf>
    <xf numFmtId="0" fontId="13" fillId="5" borderId="188" xfId="0" applyFont="1" applyFill="1" applyBorder="1" applyAlignment="1">
      <alignment horizontal="center" vertical="center"/>
    </xf>
    <xf numFmtId="0" fontId="13" fillId="5" borderId="178" xfId="0" applyFont="1" applyFill="1" applyBorder="1" applyAlignment="1">
      <alignment horizontal="center" vertical="center"/>
    </xf>
    <xf numFmtId="0" fontId="13" fillId="5" borderId="181" xfId="0" applyFont="1" applyFill="1" applyBorder="1" applyAlignment="1">
      <alignment horizontal="center" vertical="center"/>
    </xf>
    <xf numFmtId="0" fontId="28" fillId="14" borderId="0" xfId="0" applyFont="1" applyFill="1" applyAlignment="1">
      <alignment horizontal="center" vertical="center" textRotation="90"/>
    </xf>
    <xf numFmtId="0" fontId="4" fillId="3" borderId="95" xfId="0" applyFont="1" applyFill="1" applyBorder="1" applyAlignment="1">
      <alignment horizontal="center" vertical="center"/>
    </xf>
    <xf numFmtId="0" fontId="4" fillId="3" borderId="76" xfId="0" applyFont="1" applyFill="1" applyBorder="1" applyAlignment="1">
      <alignment horizontal="center" vertical="center"/>
    </xf>
    <xf numFmtId="0" fontId="4" fillId="3" borderId="142" xfId="0" applyFont="1" applyFill="1" applyBorder="1" applyAlignment="1">
      <alignment horizontal="center" vertical="center"/>
    </xf>
    <xf numFmtId="0" fontId="4" fillId="3" borderId="237" xfId="0" applyFont="1" applyFill="1" applyBorder="1" applyAlignment="1">
      <alignment horizontal="center" vertical="center"/>
    </xf>
    <xf numFmtId="0" fontId="4" fillId="5" borderId="175" xfId="0" applyFont="1" applyFill="1" applyBorder="1" applyAlignment="1">
      <alignment horizontal="center" vertical="center"/>
    </xf>
    <xf numFmtId="0" fontId="4" fillId="5" borderId="178" xfId="0" applyFont="1" applyFill="1" applyBorder="1" applyAlignment="1">
      <alignment horizontal="center" vertical="center"/>
    </xf>
    <xf numFmtId="0" fontId="4" fillId="5" borderId="181" xfId="0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4" fillId="5" borderId="176" xfId="0" applyFont="1" applyFill="1" applyBorder="1" applyAlignment="1">
      <alignment horizontal="center" vertical="center"/>
    </xf>
    <xf numFmtId="0" fontId="4" fillId="5" borderId="179" xfId="0" applyFont="1" applyFill="1" applyBorder="1" applyAlignment="1">
      <alignment horizontal="center" vertical="center"/>
    </xf>
    <xf numFmtId="0" fontId="4" fillId="5" borderId="182" xfId="0" applyFont="1" applyFill="1" applyBorder="1" applyAlignment="1">
      <alignment horizontal="center" vertical="center"/>
    </xf>
    <xf numFmtId="0" fontId="4" fillId="5" borderId="195" xfId="0" applyFont="1" applyFill="1" applyBorder="1" applyAlignment="1">
      <alignment horizontal="center" vertical="center"/>
    </xf>
    <xf numFmtId="0" fontId="4" fillId="5" borderId="177" xfId="0" applyFont="1" applyFill="1" applyBorder="1" applyAlignment="1">
      <alignment horizontal="center" vertical="center"/>
    </xf>
    <xf numFmtId="0" fontId="4" fillId="5" borderId="180" xfId="0" applyFont="1" applyFill="1" applyBorder="1" applyAlignment="1">
      <alignment horizontal="center" vertical="center"/>
    </xf>
    <xf numFmtId="0" fontId="4" fillId="5" borderId="188" xfId="0" applyFont="1" applyFill="1" applyBorder="1" applyAlignment="1">
      <alignment horizontal="center" vertical="center"/>
    </xf>
    <xf numFmtId="0" fontId="4" fillId="5" borderId="189" xfId="0" applyFont="1" applyFill="1" applyBorder="1" applyAlignment="1">
      <alignment horizontal="center" vertical="center"/>
    </xf>
    <xf numFmtId="0" fontId="4" fillId="5" borderId="174" xfId="0" applyFont="1" applyFill="1" applyBorder="1" applyAlignment="1">
      <alignment horizontal="center" vertical="center" wrapText="1"/>
    </xf>
    <xf numFmtId="0" fontId="4" fillId="5" borderId="177" xfId="0" applyFont="1" applyFill="1" applyBorder="1" applyAlignment="1">
      <alignment horizontal="center" vertical="center" wrapText="1"/>
    </xf>
    <xf numFmtId="0" fontId="4" fillId="5" borderId="180" xfId="0" applyFont="1" applyFill="1" applyBorder="1" applyAlignment="1">
      <alignment horizontal="center" vertical="center" wrapText="1"/>
    </xf>
    <xf numFmtId="0" fontId="4" fillId="5" borderId="175" xfId="0" applyFont="1" applyFill="1" applyBorder="1" applyAlignment="1">
      <alignment horizontal="center" vertical="center" wrapText="1"/>
    </xf>
    <xf numFmtId="0" fontId="4" fillId="5" borderId="178" xfId="0" applyFont="1" applyFill="1" applyBorder="1" applyAlignment="1">
      <alignment horizontal="center" vertical="center" wrapText="1"/>
    </xf>
    <xf numFmtId="0" fontId="4" fillId="5" borderId="181" xfId="0" applyFont="1" applyFill="1" applyBorder="1" applyAlignment="1">
      <alignment horizontal="center" vertical="center" wrapText="1"/>
    </xf>
    <xf numFmtId="0" fontId="4" fillId="5" borderId="176" xfId="0" applyFont="1" applyFill="1" applyBorder="1" applyAlignment="1">
      <alignment horizontal="center" vertical="center" wrapText="1"/>
    </xf>
    <xf numFmtId="0" fontId="4" fillId="5" borderId="179" xfId="0" applyFont="1" applyFill="1" applyBorder="1" applyAlignment="1">
      <alignment horizontal="center" vertical="center" wrapText="1"/>
    </xf>
    <xf numFmtId="0" fontId="4" fillId="5" borderId="182" xfId="0" applyFont="1" applyFill="1" applyBorder="1" applyAlignment="1">
      <alignment horizontal="center" vertical="center" wrapText="1"/>
    </xf>
    <xf numFmtId="0" fontId="13" fillId="5" borderId="195" xfId="0" applyFont="1" applyFill="1" applyBorder="1" applyAlignment="1">
      <alignment horizontal="center" vertical="center"/>
    </xf>
    <xf numFmtId="0" fontId="13" fillId="5" borderId="177" xfId="0" applyFont="1" applyFill="1" applyBorder="1" applyAlignment="1">
      <alignment horizontal="center" vertical="center"/>
    </xf>
    <xf numFmtId="0" fontId="13" fillId="5" borderId="180" xfId="0" applyFont="1" applyFill="1" applyBorder="1" applyAlignment="1">
      <alignment horizontal="center" vertical="center"/>
    </xf>
    <xf numFmtId="0" fontId="10" fillId="14" borderId="0" xfId="0" applyFont="1" applyFill="1" applyAlignment="1">
      <alignment horizontal="center" vertical="center" textRotation="90"/>
    </xf>
    <xf numFmtId="0" fontId="31" fillId="14" borderId="0" xfId="0" applyFont="1" applyFill="1" applyBorder="1" applyAlignment="1">
      <alignment horizontal="center" vertical="center" textRotation="90"/>
    </xf>
    <xf numFmtId="0" fontId="31" fillId="14" borderId="0" xfId="0" applyFont="1" applyFill="1" applyBorder="1" applyAlignment="1">
      <alignment horizontal="center" vertical="center" textRotation="90" wrapText="1"/>
    </xf>
    <xf numFmtId="0" fontId="13" fillId="5" borderId="175" xfId="0" applyFont="1" applyFill="1" applyBorder="1" applyAlignment="1">
      <alignment horizontal="center" vertical="center"/>
    </xf>
    <xf numFmtId="0" fontId="13" fillId="5" borderId="189" xfId="0" applyFont="1" applyFill="1" applyBorder="1" applyAlignment="1">
      <alignment horizontal="center" vertical="center"/>
    </xf>
    <xf numFmtId="0" fontId="13" fillId="5" borderId="179" xfId="0" applyFont="1" applyFill="1" applyBorder="1" applyAlignment="1">
      <alignment horizontal="center" vertical="center"/>
    </xf>
    <xf numFmtId="0" fontId="13" fillId="5" borderId="182" xfId="0" applyFont="1" applyFill="1" applyBorder="1" applyAlignment="1">
      <alignment horizontal="center" vertical="center"/>
    </xf>
    <xf numFmtId="0" fontId="13" fillId="5" borderId="175" xfId="0" applyFont="1" applyFill="1" applyBorder="1" applyAlignment="1">
      <alignment horizontal="center" vertical="center" wrapText="1"/>
    </xf>
    <xf numFmtId="0" fontId="13" fillId="5" borderId="178" xfId="0" applyFont="1" applyFill="1" applyBorder="1" applyAlignment="1">
      <alignment horizontal="center" vertical="center" wrapText="1"/>
    </xf>
    <xf numFmtId="0" fontId="13" fillId="5" borderId="181" xfId="0" applyFont="1" applyFill="1" applyBorder="1" applyAlignment="1">
      <alignment horizontal="center" vertical="center" wrapText="1"/>
    </xf>
    <xf numFmtId="0" fontId="13" fillId="5" borderId="176" xfId="0" applyFont="1" applyFill="1" applyBorder="1" applyAlignment="1">
      <alignment horizontal="center" vertical="center"/>
    </xf>
    <xf numFmtId="0" fontId="13" fillId="5" borderId="174" xfId="0" applyFont="1" applyFill="1" applyBorder="1" applyAlignment="1">
      <alignment horizontal="center" vertical="center"/>
    </xf>
    <xf numFmtId="0" fontId="13" fillId="5" borderId="176" xfId="0" applyFont="1" applyFill="1" applyBorder="1" applyAlignment="1">
      <alignment horizontal="center" vertical="center" wrapText="1"/>
    </xf>
    <xf numFmtId="0" fontId="13" fillId="5" borderId="179" xfId="0" applyFont="1" applyFill="1" applyBorder="1" applyAlignment="1">
      <alignment horizontal="center" vertical="center" wrapText="1"/>
    </xf>
    <xf numFmtId="0" fontId="13" fillId="5" borderId="182" xfId="0" applyFont="1" applyFill="1" applyBorder="1" applyAlignment="1">
      <alignment horizontal="center" vertical="center" wrapText="1"/>
    </xf>
    <xf numFmtId="0" fontId="4" fillId="3" borderId="49" xfId="0" applyFont="1" applyFill="1" applyBorder="1" applyAlignment="1">
      <alignment horizontal="center" vertical="center" wrapText="1"/>
    </xf>
    <xf numFmtId="0" fontId="13" fillId="5" borderId="174" xfId="0" applyFont="1" applyFill="1" applyBorder="1" applyAlignment="1">
      <alignment horizontal="center" vertical="center" wrapText="1"/>
    </xf>
    <xf numFmtId="0" fontId="13" fillId="5" borderId="177" xfId="0" applyFont="1" applyFill="1" applyBorder="1" applyAlignment="1">
      <alignment horizontal="center" vertical="center" wrapText="1"/>
    </xf>
    <xf numFmtId="0" fontId="13" fillId="5" borderId="180" xfId="0" applyFont="1" applyFill="1" applyBorder="1" applyAlignment="1">
      <alignment horizontal="center" vertical="center" wrapText="1"/>
    </xf>
    <xf numFmtId="0" fontId="4" fillId="3" borderId="73" xfId="0" applyFont="1" applyFill="1" applyBorder="1" applyAlignment="1">
      <alignment vertical="center"/>
    </xf>
    <xf numFmtId="0" fontId="4" fillId="3" borderId="4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60" xfId="0" applyFill="1" applyBorder="1" applyAlignment="1">
      <alignment horizontal="center" vertical="center"/>
    </xf>
    <xf numFmtId="0" fontId="0" fillId="3" borderId="63" xfId="0" applyFill="1" applyBorder="1" applyAlignment="1">
      <alignment vertical="center"/>
    </xf>
    <xf numFmtId="0" fontId="4" fillId="3" borderId="61" xfId="0" applyFont="1" applyFill="1" applyBorder="1" applyAlignment="1">
      <alignment vertical="center" wrapText="1"/>
    </xf>
    <xf numFmtId="0" fontId="4" fillId="3" borderId="95" xfId="0" applyFont="1" applyFill="1" applyBorder="1" applyAlignment="1">
      <alignment horizontal="center" vertical="center" wrapText="1"/>
    </xf>
    <xf numFmtId="0" fontId="0" fillId="0" borderId="118" xfId="0" applyBorder="1" applyAlignment="1">
      <alignment horizontal="center" vertical="center" wrapText="1"/>
    </xf>
    <xf numFmtId="0" fontId="4" fillId="3" borderId="27" xfId="0" applyFont="1" applyFill="1" applyBorder="1" applyAlignment="1">
      <alignment vertical="center"/>
    </xf>
    <xf numFmtId="0" fontId="0" fillId="0" borderId="28" xfId="0" applyBorder="1" applyAlignment="1">
      <alignment vertical="center"/>
    </xf>
    <xf numFmtId="0" fontId="4" fillId="5" borderId="174" xfId="0" applyFont="1" applyFill="1" applyBorder="1" applyAlignment="1">
      <alignment horizontal="center" vertical="center"/>
    </xf>
    <xf numFmtId="0" fontId="4" fillId="3" borderId="42" xfId="0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 vertical="center"/>
    </xf>
    <xf numFmtId="0" fontId="4" fillId="3" borderId="4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58" xfId="0" applyFont="1" applyFill="1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3" fillId="2" borderId="14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74" xfId="0" applyFont="1" applyFill="1" applyBorder="1" applyAlignment="1">
      <alignment horizontal="center" vertical="center" wrapText="1"/>
    </xf>
    <xf numFmtId="0" fontId="3" fillId="2" borderId="7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76" xfId="0" applyFont="1" applyFill="1" applyBorder="1" applyAlignment="1">
      <alignment horizontal="center" vertical="center" wrapText="1"/>
    </xf>
    <xf numFmtId="0" fontId="0" fillId="0" borderId="63" xfId="0" applyBorder="1" applyAlignment="1">
      <alignment vertical="center"/>
    </xf>
    <xf numFmtId="0" fontId="4" fillId="7" borderId="53" xfId="0" applyFont="1" applyFill="1" applyBorder="1" applyAlignment="1">
      <alignment horizontal="center" vertical="center"/>
    </xf>
    <xf numFmtId="0" fontId="4" fillId="7" borderId="54" xfId="0" applyFont="1" applyFill="1" applyBorder="1" applyAlignment="1">
      <alignment horizontal="center" vertical="center"/>
    </xf>
    <xf numFmtId="0" fontId="4" fillId="7" borderId="144" xfId="0" applyFont="1" applyFill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4" fillId="7" borderId="56" xfId="0" applyFont="1" applyFill="1" applyBorder="1" applyAlignment="1">
      <alignment horizontal="center" vertical="center" wrapText="1"/>
    </xf>
    <xf numFmtId="0" fontId="4" fillId="7" borderId="56" xfId="0" applyFont="1" applyFill="1" applyBorder="1" applyAlignment="1">
      <alignment horizontal="center" vertical="center"/>
    </xf>
    <xf numFmtId="0" fontId="4" fillId="7" borderId="52" xfId="0" applyFont="1" applyFill="1" applyBorder="1" applyAlignment="1">
      <alignment horizontal="center" vertical="center"/>
    </xf>
    <xf numFmtId="0" fontId="4" fillId="3" borderId="59" xfId="0" applyFont="1" applyFill="1" applyBorder="1" applyAlignment="1">
      <alignment vertical="center" wrapText="1"/>
    </xf>
    <xf numFmtId="0" fontId="0" fillId="0" borderId="62" xfId="0" applyBorder="1" applyAlignment="1">
      <alignment vertical="center" wrapText="1"/>
    </xf>
    <xf numFmtId="0" fontId="4" fillId="3" borderId="94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0" fillId="0" borderId="72" xfId="0" applyBorder="1" applyAlignment="1">
      <alignment horizontal="center" vertical="center" wrapText="1"/>
    </xf>
    <xf numFmtId="0" fontId="3" fillId="2" borderId="90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vertical="center" wrapText="1"/>
    </xf>
    <xf numFmtId="0" fontId="3" fillId="2" borderId="73" xfId="0" applyFont="1" applyFill="1" applyBorder="1" applyAlignment="1">
      <alignment horizontal="center" vertical="center" wrapText="1"/>
    </xf>
    <xf numFmtId="0" fontId="3" fillId="2" borderId="81" xfId="0" applyFont="1" applyFill="1" applyBorder="1" applyAlignment="1">
      <alignment horizontal="center" vertical="center" wrapText="1"/>
    </xf>
    <xf numFmtId="0" fontId="3" fillId="2" borderId="82" xfId="0" applyFont="1" applyFill="1" applyBorder="1" applyAlignment="1">
      <alignment horizontal="center" vertical="center" wrapText="1"/>
    </xf>
    <xf numFmtId="0" fontId="3" fillId="2" borderId="83" xfId="0" applyFont="1" applyFill="1" applyBorder="1" applyAlignment="1">
      <alignment horizontal="center" vertical="center" wrapText="1"/>
    </xf>
    <xf numFmtId="0" fontId="3" fillId="2" borderId="80" xfId="0" applyFont="1" applyFill="1" applyBorder="1" applyAlignment="1">
      <alignment horizontal="center" vertical="center" wrapText="1"/>
    </xf>
    <xf numFmtId="9" fontId="3" fillId="2" borderId="90" xfId="1" applyFont="1" applyFill="1" applyBorder="1" applyAlignment="1">
      <alignment horizontal="center" vertical="center" wrapText="1"/>
    </xf>
    <xf numFmtId="9" fontId="3" fillId="2" borderId="91" xfId="1" applyFont="1" applyFill="1" applyBorder="1" applyAlignment="1">
      <alignment horizontal="center" vertical="center" wrapText="1"/>
    </xf>
    <xf numFmtId="0" fontId="4" fillId="3" borderId="60" xfId="0" applyFont="1" applyFill="1" applyBorder="1" applyAlignment="1">
      <alignment horizontal="center" vertical="center" wrapText="1"/>
    </xf>
    <xf numFmtId="0" fontId="4" fillId="7" borderId="53" xfId="0" applyFont="1" applyFill="1" applyBorder="1" applyAlignment="1">
      <alignment horizontal="center" vertical="center" wrapText="1"/>
    </xf>
    <xf numFmtId="0" fontId="4" fillId="7" borderId="54" xfId="0" applyFont="1" applyFill="1" applyBorder="1" applyAlignment="1">
      <alignment horizontal="center" vertical="center" wrapText="1"/>
    </xf>
    <xf numFmtId="0" fontId="4" fillId="7" borderId="144" xfId="0" applyFont="1" applyFill="1" applyBorder="1" applyAlignment="1">
      <alignment horizontal="center" vertical="center" wrapText="1"/>
    </xf>
    <xf numFmtId="0" fontId="4" fillId="7" borderId="55" xfId="0" applyFont="1" applyFill="1" applyBorder="1" applyAlignment="1">
      <alignment horizontal="center" vertical="center" wrapText="1"/>
    </xf>
    <xf numFmtId="0" fontId="4" fillId="3" borderId="57" xfId="0" applyFont="1" applyFill="1" applyBorder="1" applyAlignment="1">
      <alignment horizontal="center" vertical="center"/>
    </xf>
    <xf numFmtId="0" fontId="4" fillId="3" borderId="51" xfId="0" applyFont="1" applyFill="1" applyBorder="1" applyAlignment="1">
      <alignment horizontal="center" vertical="center"/>
    </xf>
    <xf numFmtId="0" fontId="4" fillId="3" borderId="63" xfId="0" applyFont="1" applyFill="1" applyBorder="1" applyAlignment="1">
      <alignment vertical="center" wrapText="1"/>
    </xf>
    <xf numFmtId="0" fontId="4" fillId="3" borderId="53" xfId="0" applyFont="1" applyFill="1" applyBorder="1" applyAlignment="1">
      <alignment horizontal="center" vertical="center"/>
    </xf>
    <xf numFmtId="0" fontId="4" fillId="3" borderId="54" xfId="0" applyFont="1" applyFill="1" applyBorder="1" applyAlignment="1">
      <alignment horizontal="center" vertical="center"/>
    </xf>
    <xf numFmtId="0" fontId="4" fillId="3" borderId="55" xfId="0" applyFont="1" applyFill="1" applyBorder="1" applyAlignment="1">
      <alignment horizontal="center" vertical="center"/>
    </xf>
    <xf numFmtId="0" fontId="13" fillId="7" borderId="94" xfId="0" applyFont="1" applyFill="1" applyBorder="1" applyAlignment="1">
      <alignment horizontal="center" vertical="center"/>
    </xf>
    <xf numFmtId="0" fontId="13" fillId="7" borderId="0" xfId="0" applyFont="1" applyFill="1" applyBorder="1" applyAlignment="1">
      <alignment horizontal="center" vertical="center"/>
    </xf>
    <xf numFmtId="0" fontId="13" fillId="7" borderId="119" xfId="0" applyFont="1" applyFill="1" applyBorder="1" applyAlignment="1">
      <alignment horizontal="center" vertical="center"/>
    </xf>
  </cellXfs>
  <cellStyles count="3">
    <cellStyle name="Excel Built-in Percent" xfId="2"/>
    <cellStyle name="Normal" xfId="0" builtinId="0"/>
    <cellStyle name="Pourcentage" xfId="1" builtinId="5"/>
  </cellStyles>
  <dxfs count="47">
    <dxf>
      <font>
        <color theme="0" tint="-4.9989318521683403E-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rgb="FF92D050"/>
      </font>
    </dxf>
    <dxf>
      <font>
        <color theme="0" tint="-4.9989318521683403E-2"/>
      </font>
    </dxf>
    <dxf>
      <font>
        <color rgb="FF92D050"/>
      </font>
    </dxf>
    <dxf>
      <font>
        <color theme="0" tint="-4.9989318521683403E-2"/>
      </font>
    </dxf>
    <dxf>
      <font>
        <color rgb="FF92D050"/>
      </font>
    </dxf>
    <dxf>
      <font>
        <color theme="0" tint="-4.9989318521683403E-2"/>
      </font>
    </dxf>
    <dxf>
      <font>
        <color rgb="FF92D050"/>
      </font>
    </dxf>
    <dxf>
      <font>
        <color rgb="FF92D050"/>
      </font>
    </dxf>
  </dxfs>
  <tableStyles count="0" defaultTableStyle="TableStyleMedium2" defaultPivotStyle="PivotStyleLight16"/>
  <colors>
    <mruColors>
      <color rgb="FFFF33CC"/>
      <color rgb="FFFF99CC"/>
      <color rgb="FF2DFF8C"/>
      <color rgb="FFFFCCCC"/>
      <color rgb="FFCC99FF"/>
      <color rgb="FFA9DA7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030A0"/>
  </sheetPr>
  <dimension ref="A1:H35"/>
  <sheetViews>
    <sheetView workbookViewId="0">
      <selection activeCell="F25" sqref="F25"/>
    </sheetView>
  </sheetViews>
  <sheetFormatPr baseColWidth="10" defaultRowHeight="15"/>
  <cols>
    <col min="1" max="2" width="1.140625" style="1" customWidth="1"/>
    <col min="3" max="4" width="2.140625" style="1" customWidth="1"/>
    <col min="5" max="5" width="6.5703125" style="2" customWidth="1"/>
    <col min="6" max="6" width="91.7109375" style="1" customWidth="1"/>
    <col min="7" max="8" width="1.140625" style="1" customWidth="1"/>
    <col min="9" max="16384" width="11.42578125" style="1"/>
  </cols>
  <sheetData>
    <row r="1" spans="1:8" ht="7.5" customHeight="1" thickBot="1">
      <c r="A1" s="82"/>
      <c r="B1" s="88"/>
      <c r="C1" s="88"/>
      <c r="D1" s="88"/>
      <c r="E1" s="89"/>
      <c r="F1" s="88"/>
      <c r="G1" s="88"/>
      <c r="H1" s="82"/>
    </row>
    <row r="2" spans="1:8" ht="7.5" customHeight="1" thickTop="1">
      <c r="A2" s="94"/>
      <c r="B2" s="100"/>
      <c r="C2" s="90"/>
      <c r="D2" s="90"/>
      <c r="E2" s="91"/>
      <c r="F2" s="90"/>
      <c r="G2" s="92"/>
      <c r="H2" s="93"/>
    </row>
    <row r="3" spans="1:8" ht="24.75" customHeight="1">
      <c r="A3" s="94"/>
      <c r="B3" s="93"/>
      <c r="C3" s="977" t="s">
        <v>224</v>
      </c>
      <c r="D3" s="977"/>
      <c r="E3" s="977"/>
      <c r="F3" s="977"/>
      <c r="G3" s="94"/>
      <c r="H3" s="93"/>
    </row>
    <row r="4" spans="1:8" s="28" customFormat="1" ht="6.75" customHeight="1">
      <c r="A4" s="94"/>
      <c r="B4" s="93"/>
      <c r="C4" s="79"/>
      <c r="D4" s="79"/>
      <c r="E4" s="79"/>
      <c r="F4" s="79"/>
      <c r="G4" s="94"/>
      <c r="H4" s="93"/>
    </row>
    <row r="5" spans="1:8" s="32" customFormat="1" ht="17.25" customHeight="1">
      <c r="A5" s="95"/>
      <c r="B5" s="96"/>
      <c r="C5" s="80"/>
      <c r="D5" s="979" t="s">
        <v>88</v>
      </c>
      <c r="E5" s="979"/>
      <c r="F5" s="102" t="s">
        <v>116</v>
      </c>
      <c r="G5" s="95"/>
      <c r="H5" s="96"/>
    </row>
    <row r="6" spans="1:8" s="28" customFormat="1" ht="6.75" customHeight="1">
      <c r="A6" s="94"/>
      <c r="B6" s="93"/>
      <c r="C6" s="79"/>
      <c r="D6" s="79"/>
      <c r="E6" s="79"/>
      <c r="F6" s="79"/>
      <c r="G6" s="94"/>
      <c r="H6" s="93"/>
    </row>
    <row r="7" spans="1:8" ht="18.75">
      <c r="A7" s="94"/>
      <c r="B7" s="93"/>
      <c r="C7" s="81"/>
      <c r="D7" s="22" t="s">
        <v>131</v>
      </c>
      <c r="E7" s="23"/>
      <c r="F7" s="20"/>
      <c r="G7" s="94"/>
      <c r="H7" s="93"/>
    </row>
    <row r="8" spans="1:8" s="28" customFormat="1" ht="6.75" customHeight="1">
      <c r="A8" s="94"/>
      <c r="B8" s="93"/>
      <c r="C8" s="79"/>
      <c r="D8" s="79"/>
      <c r="E8" s="79"/>
      <c r="F8" s="79"/>
      <c r="G8" s="94"/>
      <c r="H8" s="93"/>
    </row>
    <row r="9" spans="1:8" ht="18.75">
      <c r="A9" s="94"/>
      <c r="B9" s="93"/>
      <c r="C9" s="81"/>
      <c r="D9" s="29" t="s">
        <v>226</v>
      </c>
      <c r="E9" s="30"/>
      <c r="F9" s="31"/>
      <c r="G9" s="94"/>
      <c r="H9" s="93"/>
    </row>
    <row r="10" spans="1:8">
      <c r="A10" s="94"/>
      <c r="B10" s="93"/>
      <c r="C10" s="82"/>
      <c r="D10" s="978" t="s">
        <v>125</v>
      </c>
      <c r="E10" s="86" t="s">
        <v>89</v>
      </c>
      <c r="F10" s="82" t="s">
        <v>92</v>
      </c>
      <c r="G10" s="94"/>
      <c r="H10" s="93"/>
    </row>
    <row r="11" spans="1:8">
      <c r="A11" s="94"/>
      <c r="B11" s="93"/>
      <c r="C11" s="82"/>
      <c r="D11" s="978"/>
      <c r="E11" s="86" t="s">
        <v>93</v>
      </c>
      <c r="F11" s="82" t="s">
        <v>94</v>
      </c>
      <c r="G11" s="94"/>
      <c r="H11" s="93"/>
    </row>
    <row r="12" spans="1:8">
      <c r="A12" s="94"/>
      <c r="B12" s="93"/>
      <c r="C12" s="82"/>
      <c r="D12" s="978"/>
      <c r="E12" s="86" t="s">
        <v>95</v>
      </c>
      <c r="F12" s="82" t="s">
        <v>96</v>
      </c>
      <c r="G12" s="94"/>
      <c r="H12" s="93"/>
    </row>
    <row r="13" spans="1:8">
      <c r="A13" s="94"/>
      <c r="B13" s="93"/>
      <c r="C13" s="82"/>
      <c r="D13" s="978"/>
      <c r="E13" s="86" t="s">
        <v>90</v>
      </c>
      <c r="F13" s="82" t="s">
        <v>87</v>
      </c>
      <c r="G13" s="94"/>
      <c r="H13" s="93"/>
    </row>
    <row r="14" spans="1:8">
      <c r="A14" s="94"/>
      <c r="B14" s="93"/>
      <c r="C14" s="82"/>
      <c r="D14" s="978"/>
      <c r="E14" s="86" t="s">
        <v>91</v>
      </c>
      <c r="F14" s="82" t="s">
        <v>105</v>
      </c>
      <c r="G14" s="94"/>
      <c r="H14" s="93"/>
    </row>
    <row r="15" spans="1:8" s="78" customFormat="1">
      <c r="A15" s="97"/>
      <c r="B15" s="98"/>
      <c r="C15" s="83"/>
      <c r="D15" s="978"/>
      <c r="E15" s="84" t="s">
        <v>97</v>
      </c>
      <c r="F15" s="85" t="s">
        <v>122</v>
      </c>
      <c r="G15" s="97"/>
      <c r="H15" s="98"/>
    </row>
    <row r="16" spans="1:8">
      <c r="A16" s="94"/>
      <c r="B16" s="93"/>
      <c r="C16" s="82"/>
      <c r="D16" s="978"/>
      <c r="E16" s="86" t="s">
        <v>98</v>
      </c>
      <c r="F16" s="82" t="s">
        <v>103</v>
      </c>
      <c r="G16" s="94"/>
      <c r="H16" s="93"/>
    </row>
    <row r="17" spans="1:8" s="78" customFormat="1">
      <c r="A17" s="97"/>
      <c r="B17" s="98"/>
      <c r="C17" s="83"/>
      <c r="D17" s="978"/>
      <c r="E17" s="84" t="s">
        <v>99</v>
      </c>
      <c r="F17" s="85" t="s">
        <v>121</v>
      </c>
      <c r="G17" s="97"/>
      <c r="H17" s="98"/>
    </row>
    <row r="18" spans="1:8">
      <c r="A18" s="94"/>
      <c r="B18" s="93"/>
      <c r="C18" s="82"/>
      <c r="D18" s="978"/>
      <c r="E18" s="86" t="s">
        <v>100</v>
      </c>
      <c r="F18" s="82" t="s">
        <v>104</v>
      </c>
      <c r="G18" s="94"/>
      <c r="H18" s="93"/>
    </row>
    <row r="19" spans="1:8" ht="6.75" customHeight="1">
      <c r="A19" s="94"/>
      <c r="B19" s="93"/>
      <c r="C19" s="82"/>
      <c r="D19" s="82"/>
      <c r="E19" s="86"/>
      <c r="F19" s="82"/>
      <c r="G19" s="94"/>
      <c r="H19" s="93"/>
    </row>
    <row r="20" spans="1:8" ht="15.75" customHeight="1">
      <c r="A20" s="94"/>
      <c r="B20" s="93"/>
      <c r="C20" s="82"/>
      <c r="D20" s="300" t="s">
        <v>111</v>
      </c>
      <c r="E20" s="300"/>
      <c r="F20" s="300"/>
      <c r="G20" s="94"/>
      <c r="H20" s="93"/>
    </row>
    <row r="21" spans="1:8" ht="15.75">
      <c r="A21" s="94"/>
      <c r="B21" s="93"/>
      <c r="C21" s="82"/>
      <c r="D21" s="301" t="s">
        <v>225</v>
      </c>
      <c r="E21" s="302"/>
      <c r="F21" s="303"/>
      <c r="G21" s="94"/>
      <c r="H21" s="93"/>
    </row>
    <row r="22" spans="1:8">
      <c r="A22" s="94"/>
      <c r="B22" s="93"/>
      <c r="C22" s="82"/>
      <c r="D22" s="978" t="s">
        <v>110</v>
      </c>
      <c r="E22" s="86" t="s">
        <v>106</v>
      </c>
      <c r="F22" s="87" t="s">
        <v>112</v>
      </c>
      <c r="G22" s="94"/>
      <c r="H22" s="93"/>
    </row>
    <row r="23" spans="1:8">
      <c r="A23" s="94"/>
      <c r="B23" s="93"/>
      <c r="C23" s="82"/>
      <c r="D23" s="978"/>
      <c r="E23" s="86" t="s">
        <v>107</v>
      </c>
      <c r="F23" s="82" t="s">
        <v>113</v>
      </c>
      <c r="G23" s="94"/>
      <c r="H23" s="93"/>
    </row>
    <row r="24" spans="1:8">
      <c r="A24" s="94"/>
      <c r="B24" s="93"/>
      <c r="C24" s="82"/>
      <c r="D24" s="978"/>
      <c r="E24" s="86" t="s">
        <v>108</v>
      </c>
      <c r="F24" s="87" t="s">
        <v>114</v>
      </c>
      <c r="G24" s="94"/>
      <c r="H24" s="93"/>
    </row>
    <row r="25" spans="1:8">
      <c r="A25" s="94"/>
      <c r="B25" s="93"/>
      <c r="C25" s="82"/>
      <c r="D25" s="978"/>
      <c r="E25" s="86" t="s">
        <v>109</v>
      </c>
      <c r="F25" s="82" t="s">
        <v>115</v>
      </c>
      <c r="G25" s="94"/>
      <c r="H25" s="93"/>
    </row>
    <row r="26" spans="1:8" s="28" customFormat="1" ht="6.75" customHeight="1">
      <c r="A26" s="94"/>
      <c r="B26" s="93"/>
      <c r="C26" s="79"/>
      <c r="D26" s="79"/>
      <c r="E26" s="79"/>
      <c r="F26" s="79"/>
      <c r="G26" s="94"/>
      <c r="H26" s="93"/>
    </row>
    <row r="27" spans="1:8" ht="18.75">
      <c r="A27" s="94"/>
      <c r="B27" s="93"/>
      <c r="C27" s="81"/>
      <c r="D27" s="75" t="s">
        <v>227</v>
      </c>
      <c r="E27" s="76"/>
      <c r="F27" s="77"/>
      <c r="G27" s="94"/>
      <c r="H27" s="93"/>
    </row>
    <row r="28" spans="1:8" s="78" customFormat="1" ht="15" customHeight="1">
      <c r="A28" s="97"/>
      <c r="B28" s="98"/>
      <c r="C28" s="83"/>
      <c r="D28" s="978" t="s">
        <v>126</v>
      </c>
      <c r="E28" s="84" t="s">
        <v>101</v>
      </c>
      <c r="F28" s="85" t="s">
        <v>124</v>
      </c>
      <c r="G28" s="97"/>
      <c r="H28" s="98"/>
    </row>
    <row r="29" spans="1:8">
      <c r="A29" s="94"/>
      <c r="B29" s="93"/>
      <c r="C29" s="82"/>
      <c r="D29" s="978"/>
      <c r="E29" s="86" t="s">
        <v>102</v>
      </c>
      <c r="F29" s="82" t="s">
        <v>123</v>
      </c>
      <c r="G29" s="94"/>
      <c r="H29" s="93"/>
    </row>
    <row r="30" spans="1:8">
      <c r="A30" s="94"/>
      <c r="B30" s="93"/>
      <c r="C30" s="82"/>
      <c r="D30" s="978"/>
      <c r="E30" s="86" t="s">
        <v>117</v>
      </c>
      <c r="F30" s="82" t="s">
        <v>127</v>
      </c>
      <c r="G30" s="94"/>
      <c r="H30" s="93"/>
    </row>
    <row r="31" spans="1:8">
      <c r="A31" s="94"/>
      <c r="B31" s="93"/>
      <c r="C31" s="82"/>
      <c r="D31" s="978"/>
      <c r="E31" s="86" t="s">
        <v>118</v>
      </c>
      <c r="F31" s="82" t="s">
        <v>130</v>
      </c>
      <c r="G31" s="94"/>
      <c r="H31" s="93"/>
    </row>
    <row r="32" spans="1:8">
      <c r="A32" s="94"/>
      <c r="B32" s="93"/>
      <c r="C32" s="82"/>
      <c r="D32" s="978"/>
      <c r="E32" s="86" t="s">
        <v>119</v>
      </c>
      <c r="F32" s="82" t="s">
        <v>128</v>
      </c>
      <c r="G32" s="94"/>
      <c r="H32" s="93"/>
    </row>
    <row r="33" spans="1:8">
      <c r="A33" s="94"/>
      <c r="B33" s="93"/>
      <c r="C33" s="82"/>
      <c r="D33" s="978"/>
      <c r="E33" s="86" t="s">
        <v>120</v>
      </c>
      <c r="F33" s="82" t="s">
        <v>129</v>
      </c>
      <c r="G33" s="94"/>
      <c r="H33" s="93"/>
    </row>
    <row r="34" spans="1:8" ht="7.5" customHeight="1" thickBot="1">
      <c r="A34" s="94"/>
      <c r="B34" s="101"/>
      <c r="C34" s="88"/>
      <c r="D34" s="88"/>
      <c r="E34" s="89"/>
      <c r="F34" s="88"/>
      <c r="G34" s="99"/>
      <c r="H34" s="93"/>
    </row>
    <row r="35" spans="1:8" ht="7.5" customHeight="1" thickTop="1">
      <c r="A35" s="82"/>
      <c r="B35" s="90"/>
      <c r="C35" s="90"/>
      <c r="D35" s="90"/>
      <c r="E35" s="91"/>
      <c r="F35" s="90"/>
      <c r="G35" s="90"/>
      <c r="H35" s="82"/>
    </row>
  </sheetData>
  <sheetProtection password="D0CE" sheet="1" objects="1" scenarios="1"/>
  <mergeCells count="5">
    <mergeCell ref="C3:F3"/>
    <mergeCell ref="D22:D25"/>
    <mergeCell ref="D5:E5"/>
    <mergeCell ref="D10:D18"/>
    <mergeCell ref="D28:D3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B233"/>
  <sheetViews>
    <sheetView zoomScale="90" zoomScaleNormal="90" workbookViewId="0">
      <pane xSplit="6" ySplit="4" topLeftCell="G128" activePane="bottomRight" state="frozen"/>
      <selection activeCell="B2" sqref="B2:B4"/>
      <selection pane="topRight" activeCell="B2" sqref="B2:B4"/>
      <selection pane="bottomLeft" activeCell="B2" sqref="B2:B4"/>
      <selection pane="bottomRight" activeCell="B2" sqref="B2:B4"/>
    </sheetView>
  </sheetViews>
  <sheetFormatPr baseColWidth="10" defaultRowHeight="15"/>
  <cols>
    <col min="1" max="1" width="3" style="20" customWidth="1"/>
    <col min="2" max="2" width="33.7109375" style="1" customWidth="1"/>
    <col min="3" max="3" width="11.5703125" style="2" customWidth="1"/>
    <col min="4" max="4" width="8.42578125" style="2" customWidth="1"/>
    <col min="5" max="5" width="44.85546875" style="1" customWidth="1"/>
    <col min="6" max="6" width="11.140625" style="2" customWidth="1"/>
    <col min="7" max="7" width="11.42578125" style="2"/>
    <col min="8" max="8" width="11.42578125" style="2" customWidth="1"/>
    <col min="9" max="9" width="11.42578125" style="3" customWidth="1"/>
    <col min="10" max="10" width="11.42578125" style="4" customWidth="1"/>
    <col min="11" max="11" width="11.42578125" style="3" customWidth="1"/>
    <col min="12" max="12" width="11.42578125" style="4" customWidth="1"/>
    <col min="13" max="13" width="11.42578125" style="3" customWidth="1"/>
    <col min="14" max="14" width="11.42578125" style="4" customWidth="1"/>
    <col min="15" max="22" width="7.5703125" style="2" customWidth="1"/>
    <col min="23" max="23" width="5.28515625" style="2" customWidth="1"/>
    <col min="24" max="24" width="11.42578125" style="1" customWidth="1"/>
    <col min="25" max="27" width="11.42578125" style="1"/>
    <col min="28" max="28" width="11.42578125" style="2"/>
    <col min="29" max="16384" width="11.42578125" style="1"/>
  </cols>
  <sheetData>
    <row r="1" spans="1:28" s="20" customFormat="1" ht="17.25" customHeight="1" thickBot="1">
      <c r="C1" s="23"/>
      <c r="D1" s="23"/>
      <c r="E1" s="23">
        <v>7</v>
      </c>
      <c r="F1" s="23"/>
      <c r="G1" s="23"/>
      <c r="H1" s="23"/>
      <c r="I1" s="24"/>
      <c r="J1" s="25"/>
      <c r="K1" s="24"/>
      <c r="L1" s="25"/>
      <c r="M1" s="24"/>
      <c r="N1" s="25"/>
      <c r="O1" s="23"/>
      <c r="P1" s="23"/>
      <c r="Q1" s="23"/>
      <c r="R1" s="23"/>
      <c r="S1" s="23"/>
      <c r="T1" s="23"/>
      <c r="U1" s="23"/>
      <c r="V1" s="23"/>
      <c r="W1" s="23"/>
      <c r="AB1" s="23"/>
    </row>
    <row r="2" spans="1:28" s="6" customFormat="1" ht="30" customHeight="1" thickBot="1">
      <c r="A2" s="21" t="s">
        <v>106</v>
      </c>
      <c r="B2" s="1003" t="s">
        <v>53</v>
      </c>
      <c r="C2" s="1006" t="s">
        <v>74</v>
      </c>
      <c r="D2" s="1006" t="s">
        <v>69</v>
      </c>
      <c r="E2" s="999" t="s">
        <v>79</v>
      </c>
      <c r="F2" s="995" t="s">
        <v>59</v>
      </c>
      <c r="G2" s="1020" t="s">
        <v>54</v>
      </c>
      <c r="H2" s="1005"/>
      <c r="I2" s="1021" t="s">
        <v>55</v>
      </c>
      <c r="J2" s="998" t="s">
        <v>63</v>
      </c>
      <c r="K2" s="1021" t="s">
        <v>56</v>
      </c>
      <c r="L2" s="998" t="s">
        <v>65</v>
      </c>
      <c r="M2" s="1021" t="s">
        <v>57</v>
      </c>
      <c r="N2" s="998" t="s">
        <v>64</v>
      </c>
      <c r="O2" s="1004" t="s">
        <v>39</v>
      </c>
      <c r="P2" s="1005"/>
      <c r="Q2" s="1004" t="s">
        <v>40</v>
      </c>
      <c r="R2" s="1005"/>
      <c r="S2" s="1004" t="s">
        <v>41</v>
      </c>
      <c r="T2" s="1005"/>
      <c r="U2" s="995" t="s">
        <v>42</v>
      </c>
      <c r="V2" s="1019"/>
      <c r="W2" s="215"/>
      <c r="AB2" s="500"/>
    </row>
    <row r="3" spans="1:28" s="6" customFormat="1" ht="30" customHeight="1" thickBot="1">
      <c r="A3" s="21" t="s">
        <v>106</v>
      </c>
      <c r="B3" s="1003"/>
      <c r="C3" s="1006"/>
      <c r="D3" s="1006"/>
      <c r="E3" s="999"/>
      <c r="F3" s="996"/>
      <c r="G3" s="110"/>
      <c r="H3" s="107"/>
      <c r="I3" s="1021"/>
      <c r="J3" s="998"/>
      <c r="K3" s="1021"/>
      <c r="L3" s="998"/>
      <c r="M3" s="1021"/>
      <c r="N3" s="998"/>
      <c r="O3" s="106"/>
      <c r="P3" s="107"/>
      <c r="Q3" s="106"/>
      <c r="R3" s="107"/>
      <c r="S3" s="106"/>
      <c r="T3" s="107"/>
      <c r="U3" s="731"/>
      <c r="V3" s="733"/>
      <c r="W3" s="215"/>
      <c r="AB3" s="500"/>
    </row>
    <row r="4" spans="1:28" s="6" customFormat="1" ht="30" customHeight="1" thickBot="1">
      <c r="A4" s="21" t="s">
        <v>106</v>
      </c>
      <c r="B4" s="1003"/>
      <c r="C4" s="1006"/>
      <c r="D4" s="1006"/>
      <c r="E4" s="999"/>
      <c r="F4" s="997"/>
      <c r="G4" s="10" t="s">
        <v>43</v>
      </c>
      <c r="H4" s="11" t="s">
        <v>44</v>
      </c>
      <c r="I4" s="1021"/>
      <c r="J4" s="998"/>
      <c r="K4" s="1021"/>
      <c r="L4" s="998"/>
      <c r="M4" s="1021"/>
      <c r="N4" s="998"/>
      <c r="O4" s="12" t="s">
        <v>43</v>
      </c>
      <c r="P4" s="11" t="s">
        <v>44</v>
      </c>
      <c r="Q4" s="12" t="s">
        <v>43</v>
      </c>
      <c r="R4" s="11" t="s">
        <v>44</v>
      </c>
      <c r="S4" s="12" t="s">
        <v>43</v>
      </c>
      <c r="T4" s="11" t="s">
        <v>44</v>
      </c>
      <c r="U4" s="12" t="s">
        <v>43</v>
      </c>
      <c r="V4" s="13" t="s">
        <v>44</v>
      </c>
      <c r="W4" s="215"/>
      <c r="AB4" s="500">
        <v>2020</v>
      </c>
    </row>
    <row r="5" spans="1:28" ht="15.75" customHeight="1">
      <c r="A5" s="20" t="str">
        <f t="shared" ref="A5:A49" si="0">IF(D5="Sous-total","S",IF(G5="","","X"))</f>
        <v>X</v>
      </c>
      <c r="B5" s="1012" t="s">
        <v>70</v>
      </c>
      <c r="C5" s="1015" t="s">
        <v>75</v>
      </c>
      <c r="D5" s="1000">
        <v>2</v>
      </c>
      <c r="E5" s="628" t="s">
        <v>71</v>
      </c>
      <c r="F5" s="631" t="s">
        <v>60</v>
      </c>
      <c r="G5" s="752">
        <f>27+11+2+15+8</f>
        <v>63</v>
      </c>
      <c r="H5" s="753">
        <v>29</v>
      </c>
      <c r="I5" s="505">
        <f>2/G5</f>
        <v>3.1746031746031744E-2</v>
      </c>
      <c r="J5" s="754">
        <f>I5*G5</f>
        <v>2</v>
      </c>
      <c r="K5" s="504">
        <f>(2+15)/G5</f>
        <v>0.26984126984126983</v>
      </c>
      <c r="L5" s="754">
        <f>K5*G5</f>
        <v>17</v>
      </c>
      <c r="M5" s="504">
        <f>2/17</f>
        <v>0.11764705882352941</v>
      </c>
      <c r="N5" s="754">
        <f>IF(M5="-","-",M5*L5)</f>
        <v>2</v>
      </c>
      <c r="O5" s="755"/>
      <c r="P5" s="756"/>
      <c r="Q5" s="755"/>
      <c r="R5" s="756"/>
      <c r="S5" s="757"/>
      <c r="T5" s="758"/>
      <c r="U5" s="757"/>
      <c r="V5" s="759"/>
      <c r="W5" s="216"/>
      <c r="AB5" s="2" t="str">
        <f t="shared" ref="AB5:AB50" si="1">IF(G5&gt;0,$F5,"")</f>
        <v>France</v>
      </c>
    </row>
    <row r="6" spans="1:28" ht="15.75" customHeight="1">
      <c r="A6" s="20" t="str">
        <f t="shared" si="0"/>
        <v/>
      </c>
      <c r="B6" s="1013"/>
      <c r="C6" s="1016"/>
      <c r="D6" s="991"/>
      <c r="E6" s="961" t="s">
        <v>166</v>
      </c>
      <c r="F6" s="251"/>
      <c r="G6" s="252"/>
      <c r="H6" s="253"/>
      <c r="I6" s="747"/>
      <c r="J6" s="255"/>
      <c r="K6" s="254"/>
      <c r="L6" s="255"/>
      <c r="M6" s="254"/>
      <c r="N6" s="851"/>
      <c r="O6" s="242"/>
      <c r="P6" s="243"/>
      <c r="Q6" s="242"/>
      <c r="R6" s="243"/>
      <c r="S6" s="724"/>
      <c r="T6" s="725"/>
      <c r="U6" s="724"/>
      <c r="V6" s="726"/>
      <c r="W6" s="216"/>
    </row>
    <row r="7" spans="1:28" ht="15.75" customHeight="1">
      <c r="A7" s="20" t="str">
        <f t="shared" si="0"/>
        <v/>
      </c>
      <c r="B7" s="1013"/>
      <c r="C7" s="1016"/>
      <c r="D7" s="991"/>
      <c r="E7" s="962" t="s">
        <v>166</v>
      </c>
      <c r="F7" s="459"/>
      <c r="G7" s="257"/>
      <c r="H7" s="258"/>
      <c r="I7" s="748"/>
      <c r="J7" s="260"/>
      <c r="K7" s="259"/>
      <c r="L7" s="260"/>
      <c r="M7" s="259"/>
      <c r="N7" s="856"/>
      <c r="O7" s="244"/>
      <c r="P7" s="245"/>
      <c r="Q7" s="244"/>
      <c r="R7" s="245"/>
      <c r="S7" s="727"/>
      <c r="T7" s="728"/>
      <c r="U7" s="727"/>
      <c r="V7" s="729"/>
      <c r="W7" s="216"/>
    </row>
    <row r="8" spans="1:28" ht="15.75">
      <c r="A8" s="20" t="str">
        <f t="shared" si="0"/>
        <v>S</v>
      </c>
      <c r="B8" s="1013"/>
      <c r="C8" s="1017"/>
      <c r="D8" s="332" t="s">
        <v>138</v>
      </c>
      <c r="E8" s="896"/>
      <c r="F8" s="16"/>
      <c r="G8" s="265">
        <f>SUM(G5:G7)</f>
        <v>63</v>
      </c>
      <c r="H8" s="121">
        <f>SUM(H5:H7)</f>
        <v>29</v>
      </c>
      <c r="I8" s="9">
        <f>J8/G8</f>
        <v>3.1746031746031744E-2</v>
      </c>
      <c r="J8" s="213">
        <f>SUM(J5:J7)</f>
        <v>2</v>
      </c>
      <c r="K8" s="9">
        <f>L8/G8</f>
        <v>0.26984126984126983</v>
      </c>
      <c r="L8" s="213">
        <f>SUM(L5:L7)</f>
        <v>17</v>
      </c>
      <c r="M8" s="9">
        <f>N8/L8</f>
        <v>0.11764705882352941</v>
      </c>
      <c r="N8" s="213">
        <f t="shared" ref="N8:V8" si="2">SUM(N5:N7)</f>
        <v>2</v>
      </c>
      <c r="O8" s="120">
        <f t="shared" si="2"/>
        <v>0</v>
      </c>
      <c r="P8" s="121">
        <f t="shared" si="2"/>
        <v>0</v>
      </c>
      <c r="Q8" s="120">
        <f t="shared" si="2"/>
        <v>0</v>
      </c>
      <c r="R8" s="121">
        <f t="shared" si="2"/>
        <v>0</v>
      </c>
      <c r="S8" s="120">
        <f t="shared" si="2"/>
        <v>0</v>
      </c>
      <c r="T8" s="121">
        <f t="shared" si="2"/>
        <v>0</v>
      </c>
      <c r="U8" s="120">
        <f t="shared" si="2"/>
        <v>0</v>
      </c>
      <c r="V8" s="122">
        <f t="shared" si="2"/>
        <v>0</v>
      </c>
      <c r="W8" s="216"/>
    </row>
    <row r="9" spans="1:28" ht="15.75" customHeight="1">
      <c r="A9" s="20" t="str">
        <f t="shared" si="0"/>
        <v/>
      </c>
      <c r="B9" s="1013" t="s">
        <v>163</v>
      </c>
      <c r="C9" s="1016" t="s">
        <v>75</v>
      </c>
      <c r="D9" s="991"/>
      <c r="E9" s="901" t="s">
        <v>164</v>
      </c>
      <c r="F9" s="246" t="s">
        <v>60</v>
      </c>
      <c r="G9" s="247"/>
      <c r="H9" s="248"/>
      <c r="I9" s="439" t="e">
        <f>2/G9</f>
        <v>#DIV/0!</v>
      </c>
      <c r="J9" s="250"/>
      <c r="K9" s="249" t="e">
        <f>(2+15)/G9</f>
        <v>#DIV/0!</v>
      </c>
      <c r="L9" s="250"/>
      <c r="M9" s="249">
        <f>2/17</f>
        <v>0.11764705882352941</v>
      </c>
      <c r="N9" s="846"/>
      <c r="O9" s="240"/>
      <c r="P9" s="241"/>
      <c r="Q9" s="240"/>
      <c r="R9" s="241"/>
      <c r="S9" s="721"/>
      <c r="T9" s="722"/>
      <c r="U9" s="721"/>
      <c r="V9" s="723"/>
      <c r="W9" s="216"/>
      <c r="AB9" s="2" t="str">
        <f t="shared" si="1"/>
        <v/>
      </c>
    </row>
    <row r="10" spans="1:28" ht="15.75" customHeight="1">
      <c r="A10" s="20" t="str">
        <f t="shared" si="0"/>
        <v/>
      </c>
      <c r="B10" s="1013"/>
      <c r="C10" s="1016"/>
      <c r="D10" s="991"/>
      <c r="E10" s="902"/>
      <c r="F10" s="251"/>
      <c r="G10" s="252"/>
      <c r="H10" s="253"/>
      <c r="I10" s="747"/>
      <c r="J10" s="851"/>
      <c r="K10" s="254"/>
      <c r="L10" s="255"/>
      <c r="M10" s="254"/>
      <c r="N10" s="851"/>
      <c r="O10" s="242"/>
      <c r="P10" s="243"/>
      <c r="Q10" s="242"/>
      <c r="R10" s="243"/>
      <c r="S10" s="724"/>
      <c r="T10" s="725"/>
      <c r="U10" s="724"/>
      <c r="V10" s="726"/>
      <c r="W10" s="216"/>
    </row>
    <row r="11" spans="1:28" ht="15.75" customHeight="1">
      <c r="A11" s="20" t="str">
        <f t="shared" si="0"/>
        <v/>
      </c>
      <c r="B11" s="1013"/>
      <c r="C11" s="1016"/>
      <c r="D11" s="991"/>
      <c r="E11" s="911"/>
      <c r="F11" s="459"/>
      <c r="G11" s="257"/>
      <c r="H11" s="258"/>
      <c r="I11" s="748"/>
      <c r="J11" s="856"/>
      <c r="K11" s="259"/>
      <c r="L11" s="260"/>
      <c r="M11" s="259"/>
      <c r="N11" s="856"/>
      <c r="O11" s="244"/>
      <c r="P11" s="245"/>
      <c r="Q11" s="244"/>
      <c r="R11" s="245"/>
      <c r="S11" s="727"/>
      <c r="T11" s="728"/>
      <c r="U11" s="727"/>
      <c r="V11" s="729"/>
      <c r="W11" s="216"/>
    </row>
    <row r="12" spans="1:28" ht="15.75">
      <c r="A12" s="20" t="str">
        <f t="shared" si="0"/>
        <v>S</v>
      </c>
      <c r="B12" s="1014"/>
      <c r="C12" s="1017"/>
      <c r="D12" s="332" t="s">
        <v>138</v>
      </c>
      <c r="E12" s="896"/>
      <c r="F12" s="16"/>
      <c r="G12" s="858">
        <f>SUM(G9:G11)</f>
        <v>0</v>
      </c>
      <c r="H12" s="816">
        <f>SUM(H9:H11)</f>
        <v>0</v>
      </c>
      <c r="I12" s="785" t="e">
        <f>J12/G12</f>
        <v>#DIV/0!</v>
      </c>
      <c r="J12" s="827">
        <f>SUM(J9:J11)</f>
        <v>0</v>
      </c>
      <c r="K12" s="785" t="e">
        <f>L12/G12</f>
        <v>#DIV/0!</v>
      </c>
      <c r="L12" s="827">
        <f>SUM(L9:L11)</f>
        <v>0</v>
      </c>
      <c r="M12" s="785" t="e">
        <f>N12/L12</f>
        <v>#DIV/0!</v>
      </c>
      <c r="N12" s="827">
        <f t="shared" ref="N12" si="3">SUM(N9:N11)</f>
        <v>0</v>
      </c>
      <c r="O12" s="815">
        <f t="shared" ref="O12" si="4">SUM(O9:O11)</f>
        <v>0</v>
      </c>
      <c r="P12" s="816">
        <f t="shared" ref="P12" si="5">SUM(P9:P11)</f>
        <v>0</v>
      </c>
      <c r="Q12" s="815">
        <f t="shared" ref="Q12" si="6">SUM(Q9:Q11)</f>
        <v>0</v>
      </c>
      <c r="R12" s="816">
        <f t="shared" ref="R12" si="7">SUM(R9:R11)</f>
        <v>0</v>
      </c>
      <c r="S12" s="815">
        <f t="shared" ref="S12" si="8">SUM(S9:S11)</f>
        <v>0</v>
      </c>
      <c r="T12" s="816">
        <f t="shared" ref="T12" si="9">SUM(T9:T11)</f>
        <v>0</v>
      </c>
      <c r="U12" s="815">
        <f t="shared" ref="U12" si="10">SUM(U9:U11)</f>
        <v>0</v>
      </c>
      <c r="V12" s="817">
        <f t="shared" ref="V12" si="11">SUM(V9:V11)</f>
        <v>0</v>
      </c>
      <c r="W12" s="216"/>
    </row>
    <row r="13" spans="1:28" ht="15" customHeight="1">
      <c r="A13" s="20" t="str">
        <f t="shared" si="0"/>
        <v/>
      </c>
      <c r="B13" s="1007" t="s">
        <v>168</v>
      </c>
      <c r="C13" s="1009" t="s">
        <v>75</v>
      </c>
      <c r="D13" s="1001"/>
      <c r="E13" s="901" t="s">
        <v>182</v>
      </c>
      <c r="F13" s="246" t="s">
        <v>60</v>
      </c>
      <c r="G13" s="763"/>
      <c r="H13" s="764"/>
      <c r="I13" s="439">
        <v>0.32258064516129031</v>
      </c>
      <c r="J13" s="765"/>
      <c r="K13" s="249">
        <v>0.32258064516129031</v>
      </c>
      <c r="L13" s="765"/>
      <c r="M13" s="249" t="s">
        <v>21</v>
      </c>
      <c r="N13" s="846" t="s">
        <v>21</v>
      </c>
      <c r="O13" s="240" t="s">
        <v>21</v>
      </c>
      <c r="P13" s="241" t="s">
        <v>21</v>
      </c>
      <c r="Q13" s="240" t="s">
        <v>21</v>
      </c>
      <c r="R13" s="241" t="s">
        <v>21</v>
      </c>
      <c r="S13" s="721"/>
      <c r="T13" s="722"/>
      <c r="U13" s="721"/>
      <c r="V13" s="723"/>
      <c r="W13" s="216"/>
      <c r="AB13" s="2" t="str">
        <f t="shared" si="1"/>
        <v/>
      </c>
    </row>
    <row r="14" spans="1:28" ht="15" customHeight="1">
      <c r="A14" s="20" t="str">
        <f t="shared" si="0"/>
        <v/>
      </c>
      <c r="B14" s="1007"/>
      <c r="C14" s="1009"/>
      <c r="D14" s="1001"/>
      <c r="E14" s="902" t="s">
        <v>183</v>
      </c>
      <c r="F14" s="251" t="s">
        <v>60</v>
      </c>
      <c r="G14" s="749"/>
      <c r="H14" s="750"/>
      <c r="I14" s="448">
        <v>0.48</v>
      </c>
      <c r="J14" s="751"/>
      <c r="K14" s="254">
        <v>0.36</v>
      </c>
      <c r="L14" s="751"/>
      <c r="M14" s="254" t="s">
        <v>21</v>
      </c>
      <c r="N14" s="851" t="s">
        <v>21</v>
      </c>
      <c r="O14" s="242" t="s">
        <v>21</v>
      </c>
      <c r="P14" s="243" t="s">
        <v>21</v>
      </c>
      <c r="Q14" s="242" t="s">
        <v>21</v>
      </c>
      <c r="R14" s="243" t="s">
        <v>21</v>
      </c>
      <c r="S14" s="724"/>
      <c r="T14" s="725"/>
      <c r="U14" s="724"/>
      <c r="V14" s="726"/>
      <c r="W14" s="216"/>
      <c r="AB14" s="2" t="str">
        <f t="shared" si="1"/>
        <v/>
      </c>
    </row>
    <row r="15" spans="1:28" ht="15" customHeight="1">
      <c r="A15" s="20" t="str">
        <f t="shared" si="0"/>
        <v/>
      </c>
      <c r="B15" s="1007"/>
      <c r="C15" s="1009"/>
      <c r="D15" s="1001"/>
      <c r="E15" s="902" t="s">
        <v>184</v>
      </c>
      <c r="F15" s="251" t="s">
        <v>60</v>
      </c>
      <c r="G15" s="749"/>
      <c r="H15" s="750"/>
      <c r="I15" s="448">
        <v>0.48</v>
      </c>
      <c r="J15" s="751"/>
      <c r="K15" s="254">
        <v>0.36</v>
      </c>
      <c r="L15" s="751"/>
      <c r="M15" s="254" t="s">
        <v>21</v>
      </c>
      <c r="N15" s="851" t="s">
        <v>21</v>
      </c>
      <c r="O15" s="242" t="s">
        <v>21</v>
      </c>
      <c r="P15" s="243" t="s">
        <v>21</v>
      </c>
      <c r="Q15" s="242" t="s">
        <v>21</v>
      </c>
      <c r="R15" s="243" t="s">
        <v>21</v>
      </c>
      <c r="S15" s="724"/>
      <c r="T15" s="725"/>
      <c r="U15" s="724"/>
      <c r="V15" s="726"/>
      <c r="W15" s="216"/>
      <c r="AB15" s="2" t="str">
        <f t="shared" si="1"/>
        <v/>
      </c>
    </row>
    <row r="16" spans="1:28" ht="15" customHeight="1">
      <c r="A16" s="20" t="str">
        <f t="shared" si="0"/>
        <v/>
      </c>
      <c r="B16" s="1007"/>
      <c r="C16" s="1009"/>
      <c r="D16" s="1001"/>
      <c r="E16" s="902" t="s">
        <v>185</v>
      </c>
      <c r="F16" s="251" t="s">
        <v>60</v>
      </c>
      <c r="G16" s="749"/>
      <c r="H16" s="750"/>
      <c r="I16" s="448">
        <v>0.48</v>
      </c>
      <c r="J16" s="751"/>
      <c r="K16" s="254">
        <v>0.36</v>
      </c>
      <c r="L16" s="751"/>
      <c r="M16" s="254" t="s">
        <v>21</v>
      </c>
      <c r="N16" s="851" t="s">
        <v>21</v>
      </c>
      <c r="O16" s="242" t="s">
        <v>21</v>
      </c>
      <c r="P16" s="243" t="s">
        <v>21</v>
      </c>
      <c r="Q16" s="242" t="s">
        <v>21</v>
      </c>
      <c r="R16" s="243" t="s">
        <v>21</v>
      </c>
      <c r="S16" s="724"/>
      <c r="T16" s="725"/>
      <c r="U16" s="724"/>
      <c r="V16" s="726"/>
      <c r="W16" s="216"/>
      <c r="AB16" s="2" t="str">
        <f t="shared" si="1"/>
        <v/>
      </c>
    </row>
    <row r="17" spans="1:28" ht="15" customHeight="1">
      <c r="A17" s="20" t="str">
        <f t="shared" si="0"/>
        <v/>
      </c>
      <c r="B17" s="1007"/>
      <c r="C17" s="1009"/>
      <c r="D17" s="1001"/>
      <c r="E17" s="902" t="s">
        <v>186</v>
      </c>
      <c r="F17" s="251" t="s">
        <v>60</v>
      </c>
      <c r="G17" s="749"/>
      <c r="H17" s="750"/>
      <c r="I17" s="448">
        <v>0.48</v>
      </c>
      <c r="J17" s="751"/>
      <c r="K17" s="254">
        <v>0.36</v>
      </c>
      <c r="L17" s="751"/>
      <c r="M17" s="254" t="s">
        <v>21</v>
      </c>
      <c r="N17" s="851" t="s">
        <v>21</v>
      </c>
      <c r="O17" s="242" t="s">
        <v>21</v>
      </c>
      <c r="P17" s="243" t="s">
        <v>21</v>
      </c>
      <c r="Q17" s="242" t="s">
        <v>21</v>
      </c>
      <c r="R17" s="243" t="s">
        <v>21</v>
      </c>
      <c r="S17" s="724"/>
      <c r="T17" s="725"/>
      <c r="U17" s="724"/>
      <c r="V17" s="726"/>
      <c r="W17" s="216"/>
      <c r="AB17" s="2" t="str">
        <f t="shared" si="1"/>
        <v/>
      </c>
    </row>
    <row r="18" spans="1:28" ht="15" customHeight="1">
      <c r="A18" s="20" t="str">
        <f t="shared" si="0"/>
        <v/>
      </c>
      <c r="B18" s="1007"/>
      <c r="C18" s="1009"/>
      <c r="D18" s="1001"/>
      <c r="E18" s="902" t="s">
        <v>187</v>
      </c>
      <c r="F18" s="251" t="s">
        <v>62</v>
      </c>
      <c r="G18" s="749"/>
      <c r="H18" s="750"/>
      <c r="I18" s="448">
        <v>0.48</v>
      </c>
      <c r="J18" s="751"/>
      <c r="K18" s="254">
        <v>0.36</v>
      </c>
      <c r="L18" s="751"/>
      <c r="M18" s="254" t="s">
        <v>21</v>
      </c>
      <c r="N18" s="851" t="s">
        <v>21</v>
      </c>
      <c r="O18" s="242" t="s">
        <v>21</v>
      </c>
      <c r="P18" s="243" t="s">
        <v>21</v>
      </c>
      <c r="Q18" s="242" t="s">
        <v>21</v>
      </c>
      <c r="R18" s="243" t="s">
        <v>21</v>
      </c>
      <c r="S18" s="724"/>
      <c r="T18" s="725"/>
      <c r="U18" s="724"/>
      <c r="V18" s="726"/>
      <c r="W18" s="216"/>
      <c r="AB18" s="2" t="str">
        <f t="shared" si="1"/>
        <v/>
      </c>
    </row>
    <row r="19" spans="1:28" ht="15" customHeight="1">
      <c r="A19" s="20" t="str">
        <f t="shared" si="0"/>
        <v/>
      </c>
      <c r="B19" s="1007"/>
      <c r="C19" s="1009"/>
      <c r="D19" s="1001"/>
      <c r="E19" s="902" t="s">
        <v>188</v>
      </c>
      <c r="F19" s="251" t="s">
        <v>60</v>
      </c>
      <c r="G19" s="749"/>
      <c r="H19" s="750"/>
      <c r="I19" s="448">
        <v>0.48</v>
      </c>
      <c r="J19" s="751"/>
      <c r="K19" s="254">
        <v>0.36</v>
      </c>
      <c r="L19" s="751"/>
      <c r="M19" s="254" t="s">
        <v>21</v>
      </c>
      <c r="N19" s="851" t="s">
        <v>21</v>
      </c>
      <c r="O19" s="242" t="s">
        <v>21</v>
      </c>
      <c r="P19" s="243" t="s">
        <v>21</v>
      </c>
      <c r="Q19" s="242" t="s">
        <v>21</v>
      </c>
      <c r="R19" s="243" t="s">
        <v>21</v>
      </c>
      <c r="S19" s="724"/>
      <c r="T19" s="725"/>
      <c r="U19" s="724"/>
      <c r="V19" s="726"/>
      <c r="W19" s="216"/>
      <c r="AB19" s="2" t="str">
        <f t="shared" si="1"/>
        <v/>
      </c>
    </row>
    <row r="20" spans="1:28" ht="15" customHeight="1">
      <c r="A20" s="20" t="str">
        <f t="shared" si="0"/>
        <v/>
      </c>
      <c r="B20" s="1007"/>
      <c r="C20" s="1009"/>
      <c r="D20" s="1001"/>
      <c r="E20" s="902" t="s">
        <v>189</v>
      </c>
      <c r="F20" s="251" t="s">
        <v>60</v>
      </c>
      <c r="G20" s="749"/>
      <c r="H20" s="750"/>
      <c r="I20" s="448">
        <v>0.48</v>
      </c>
      <c r="J20" s="751"/>
      <c r="K20" s="254">
        <v>0.36</v>
      </c>
      <c r="L20" s="751"/>
      <c r="M20" s="254" t="s">
        <v>21</v>
      </c>
      <c r="N20" s="851" t="s">
        <v>21</v>
      </c>
      <c r="O20" s="242" t="s">
        <v>21</v>
      </c>
      <c r="P20" s="243" t="s">
        <v>21</v>
      </c>
      <c r="Q20" s="242" t="s">
        <v>21</v>
      </c>
      <c r="R20" s="243" t="s">
        <v>21</v>
      </c>
      <c r="S20" s="724"/>
      <c r="T20" s="725"/>
      <c r="U20" s="724"/>
      <c r="V20" s="726"/>
      <c r="W20" s="216"/>
      <c r="AB20" s="2" t="str">
        <f t="shared" si="1"/>
        <v/>
      </c>
    </row>
    <row r="21" spans="1:28" ht="15" customHeight="1">
      <c r="A21" s="20" t="str">
        <f t="shared" si="0"/>
        <v/>
      </c>
      <c r="B21" s="1007"/>
      <c r="C21" s="1009"/>
      <c r="D21" s="1001"/>
      <c r="E21" s="902" t="s">
        <v>190</v>
      </c>
      <c r="F21" s="251" t="s">
        <v>60</v>
      </c>
      <c r="G21" s="749"/>
      <c r="H21" s="750"/>
      <c r="I21" s="448">
        <v>0.48</v>
      </c>
      <c r="J21" s="751"/>
      <c r="K21" s="254">
        <v>0.36</v>
      </c>
      <c r="L21" s="751"/>
      <c r="M21" s="254" t="s">
        <v>21</v>
      </c>
      <c r="N21" s="851" t="s">
        <v>21</v>
      </c>
      <c r="O21" s="242" t="s">
        <v>21</v>
      </c>
      <c r="P21" s="243" t="s">
        <v>21</v>
      </c>
      <c r="Q21" s="242" t="s">
        <v>21</v>
      </c>
      <c r="R21" s="243" t="s">
        <v>21</v>
      </c>
      <c r="S21" s="724"/>
      <c r="T21" s="725"/>
      <c r="U21" s="724"/>
      <c r="V21" s="726"/>
      <c r="W21" s="216"/>
      <c r="AB21" s="2" t="str">
        <f t="shared" si="1"/>
        <v/>
      </c>
    </row>
    <row r="22" spans="1:28" ht="15" customHeight="1">
      <c r="A22" s="20" t="str">
        <f t="shared" si="0"/>
        <v/>
      </c>
      <c r="B22" s="1007"/>
      <c r="C22" s="1009"/>
      <c r="D22" s="1001"/>
      <c r="E22" s="902" t="s">
        <v>191</v>
      </c>
      <c r="F22" s="251" t="s">
        <v>60</v>
      </c>
      <c r="G22" s="749"/>
      <c r="H22" s="750"/>
      <c r="I22" s="448">
        <v>0.48</v>
      </c>
      <c r="J22" s="751"/>
      <c r="K22" s="254">
        <v>0.36</v>
      </c>
      <c r="L22" s="751"/>
      <c r="M22" s="254" t="s">
        <v>21</v>
      </c>
      <c r="N22" s="851" t="s">
        <v>21</v>
      </c>
      <c r="O22" s="242" t="s">
        <v>21</v>
      </c>
      <c r="P22" s="243" t="s">
        <v>21</v>
      </c>
      <c r="Q22" s="242" t="s">
        <v>21</v>
      </c>
      <c r="R22" s="243" t="s">
        <v>21</v>
      </c>
      <c r="S22" s="724"/>
      <c r="T22" s="725"/>
      <c r="U22" s="724"/>
      <c r="V22" s="726"/>
      <c r="W22" s="216"/>
      <c r="AB22" s="2" t="str">
        <f t="shared" si="1"/>
        <v/>
      </c>
    </row>
    <row r="23" spans="1:28" ht="15" customHeight="1">
      <c r="A23" s="20" t="str">
        <f t="shared" si="0"/>
        <v/>
      </c>
      <c r="B23" s="1007"/>
      <c r="C23" s="1009"/>
      <c r="D23" s="1001"/>
      <c r="E23" s="902" t="s">
        <v>192</v>
      </c>
      <c r="F23" s="251" t="s">
        <v>60</v>
      </c>
      <c r="G23" s="749"/>
      <c r="H23" s="750"/>
      <c r="I23" s="448">
        <v>0.48</v>
      </c>
      <c r="J23" s="751"/>
      <c r="K23" s="254">
        <v>0.36</v>
      </c>
      <c r="L23" s="751"/>
      <c r="M23" s="254" t="s">
        <v>21</v>
      </c>
      <c r="N23" s="851" t="s">
        <v>21</v>
      </c>
      <c r="O23" s="242" t="s">
        <v>21</v>
      </c>
      <c r="P23" s="243" t="s">
        <v>21</v>
      </c>
      <c r="Q23" s="242" t="s">
        <v>21</v>
      </c>
      <c r="R23" s="243" t="s">
        <v>21</v>
      </c>
      <c r="S23" s="724"/>
      <c r="T23" s="725"/>
      <c r="U23" s="724"/>
      <c r="V23" s="726"/>
      <c r="W23" s="216"/>
      <c r="AB23" s="2" t="str">
        <f t="shared" si="1"/>
        <v/>
      </c>
    </row>
    <row r="24" spans="1:28" ht="15" customHeight="1">
      <c r="A24" s="20" t="str">
        <f t="shared" si="0"/>
        <v/>
      </c>
      <c r="B24" s="1007"/>
      <c r="C24" s="1009"/>
      <c r="D24" s="1001"/>
      <c r="E24" s="902" t="s">
        <v>193</v>
      </c>
      <c r="F24" s="251" t="s">
        <v>60</v>
      </c>
      <c r="G24" s="749"/>
      <c r="H24" s="750"/>
      <c r="I24" s="448">
        <v>0.48</v>
      </c>
      <c r="J24" s="751"/>
      <c r="K24" s="254">
        <v>0.36</v>
      </c>
      <c r="L24" s="751"/>
      <c r="M24" s="254" t="s">
        <v>21</v>
      </c>
      <c r="N24" s="851" t="s">
        <v>21</v>
      </c>
      <c r="O24" s="242" t="s">
        <v>21</v>
      </c>
      <c r="P24" s="243" t="s">
        <v>21</v>
      </c>
      <c r="Q24" s="242" t="s">
        <v>21</v>
      </c>
      <c r="R24" s="243" t="s">
        <v>21</v>
      </c>
      <c r="S24" s="724"/>
      <c r="T24" s="725"/>
      <c r="U24" s="724"/>
      <c r="V24" s="726"/>
      <c r="W24" s="216"/>
      <c r="AB24" s="2" t="str">
        <f t="shared" si="1"/>
        <v/>
      </c>
    </row>
    <row r="25" spans="1:28" ht="15" customHeight="1">
      <c r="A25" s="20" t="str">
        <f t="shared" si="0"/>
        <v/>
      </c>
      <c r="B25" s="1007"/>
      <c r="C25" s="1009"/>
      <c r="D25" s="1001"/>
      <c r="E25" s="902" t="s">
        <v>194</v>
      </c>
      <c r="F25" s="251" t="s">
        <v>60</v>
      </c>
      <c r="G25" s="749"/>
      <c r="H25" s="750"/>
      <c r="I25" s="448">
        <v>0.48</v>
      </c>
      <c r="J25" s="751"/>
      <c r="K25" s="254">
        <v>0.36</v>
      </c>
      <c r="L25" s="751"/>
      <c r="M25" s="254" t="s">
        <v>21</v>
      </c>
      <c r="N25" s="851" t="s">
        <v>21</v>
      </c>
      <c r="O25" s="242" t="s">
        <v>21</v>
      </c>
      <c r="P25" s="243" t="s">
        <v>21</v>
      </c>
      <c r="Q25" s="242" t="s">
        <v>21</v>
      </c>
      <c r="R25" s="243" t="s">
        <v>21</v>
      </c>
      <c r="S25" s="724"/>
      <c r="T25" s="725"/>
      <c r="U25" s="724"/>
      <c r="V25" s="726"/>
      <c r="W25" s="216"/>
      <c r="AB25" s="2" t="str">
        <f t="shared" si="1"/>
        <v/>
      </c>
    </row>
    <row r="26" spans="1:28" ht="15" customHeight="1">
      <c r="A26" s="20" t="str">
        <f t="shared" si="0"/>
        <v/>
      </c>
      <c r="B26" s="1007"/>
      <c r="C26" s="1009"/>
      <c r="D26" s="1001"/>
      <c r="E26" s="902" t="s">
        <v>195</v>
      </c>
      <c r="F26" s="251" t="s">
        <v>60</v>
      </c>
      <c r="G26" s="749"/>
      <c r="H26" s="750"/>
      <c r="I26" s="448">
        <v>0.48</v>
      </c>
      <c r="J26" s="751"/>
      <c r="K26" s="254">
        <v>0.36</v>
      </c>
      <c r="L26" s="751"/>
      <c r="M26" s="254" t="s">
        <v>21</v>
      </c>
      <c r="N26" s="851" t="s">
        <v>21</v>
      </c>
      <c r="O26" s="242" t="s">
        <v>21</v>
      </c>
      <c r="P26" s="243" t="s">
        <v>21</v>
      </c>
      <c r="Q26" s="242" t="s">
        <v>21</v>
      </c>
      <c r="R26" s="243" t="s">
        <v>21</v>
      </c>
      <c r="S26" s="724"/>
      <c r="T26" s="725"/>
      <c r="U26" s="724"/>
      <c r="V26" s="726"/>
      <c r="W26" s="216"/>
      <c r="AB26" s="2" t="str">
        <f t="shared" si="1"/>
        <v/>
      </c>
    </row>
    <row r="27" spans="1:28" ht="15" customHeight="1">
      <c r="A27" s="20" t="str">
        <f t="shared" si="0"/>
        <v/>
      </c>
      <c r="B27" s="1007"/>
      <c r="C27" s="1009"/>
      <c r="D27" s="1001"/>
      <c r="E27" s="902" t="s">
        <v>196</v>
      </c>
      <c r="F27" s="251" t="s">
        <v>60</v>
      </c>
      <c r="G27" s="749"/>
      <c r="H27" s="750"/>
      <c r="I27" s="448">
        <v>0.48</v>
      </c>
      <c r="J27" s="751"/>
      <c r="K27" s="254">
        <v>0.36</v>
      </c>
      <c r="L27" s="751"/>
      <c r="M27" s="254" t="s">
        <v>21</v>
      </c>
      <c r="N27" s="851" t="s">
        <v>21</v>
      </c>
      <c r="O27" s="242" t="s">
        <v>21</v>
      </c>
      <c r="P27" s="243" t="s">
        <v>21</v>
      </c>
      <c r="Q27" s="242" t="s">
        <v>21</v>
      </c>
      <c r="R27" s="243" t="s">
        <v>21</v>
      </c>
      <c r="S27" s="724"/>
      <c r="T27" s="725"/>
      <c r="U27" s="724"/>
      <c r="V27" s="726"/>
      <c r="W27" s="216"/>
      <c r="AB27" s="2" t="str">
        <f t="shared" si="1"/>
        <v/>
      </c>
    </row>
    <row r="28" spans="1:28" ht="15" customHeight="1">
      <c r="A28" s="20" t="str">
        <f t="shared" si="0"/>
        <v/>
      </c>
      <c r="B28" s="1007"/>
      <c r="C28" s="1009"/>
      <c r="D28" s="1001"/>
      <c r="E28" s="902" t="s">
        <v>197</v>
      </c>
      <c r="F28" s="251" t="s">
        <v>62</v>
      </c>
      <c r="G28" s="252"/>
      <c r="H28" s="253"/>
      <c r="I28" s="448">
        <v>0.5</v>
      </c>
      <c r="J28" s="255"/>
      <c r="K28" s="254">
        <v>0</v>
      </c>
      <c r="L28" s="255"/>
      <c r="M28" s="254" t="s">
        <v>21</v>
      </c>
      <c r="N28" s="851" t="s">
        <v>21</v>
      </c>
      <c r="O28" s="242" t="s">
        <v>21</v>
      </c>
      <c r="P28" s="243" t="s">
        <v>21</v>
      </c>
      <c r="Q28" s="242" t="s">
        <v>21</v>
      </c>
      <c r="R28" s="243" t="s">
        <v>21</v>
      </c>
      <c r="S28" s="724"/>
      <c r="T28" s="725"/>
      <c r="U28" s="724"/>
      <c r="V28" s="726"/>
      <c r="W28" s="216"/>
      <c r="AB28" s="2" t="str">
        <f t="shared" si="1"/>
        <v/>
      </c>
    </row>
    <row r="29" spans="1:28" ht="15" customHeight="1">
      <c r="A29" s="20" t="str">
        <f t="shared" si="0"/>
        <v/>
      </c>
      <c r="B29" s="1007"/>
      <c r="C29" s="1009"/>
      <c r="D29" s="1001"/>
      <c r="E29" s="961" t="s">
        <v>166</v>
      </c>
      <c r="F29" s="251"/>
      <c r="G29" s="252"/>
      <c r="H29" s="253"/>
      <c r="I29" s="747"/>
      <c r="J29" s="255"/>
      <c r="K29" s="254"/>
      <c r="L29" s="255"/>
      <c r="M29" s="254"/>
      <c r="N29" s="851"/>
      <c r="O29" s="242"/>
      <c r="P29" s="243"/>
      <c r="Q29" s="242"/>
      <c r="R29" s="243"/>
      <c r="S29" s="724"/>
      <c r="T29" s="725"/>
      <c r="U29" s="724"/>
      <c r="V29" s="726"/>
      <c r="W29" s="216"/>
    </row>
    <row r="30" spans="1:28" ht="15" customHeight="1">
      <c r="A30" s="20" t="str">
        <f t="shared" si="0"/>
        <v/>
      </c>
      <c r="B30" s="1007"/>
      <c r="C30" s="1009"/>
      <c r="D30" s="1001"/>
      <c r="E30" s="961" t="s">
        <v>166</v>
      </c>
      <c r="F30" s="251"/>
      <c r="G30" s="252"/>
      <c r="H30" s="253"/>
      <c r="I30" s="747"/>
      <c r="J30" s="255"/>
      <c r="K30" s="254"/>
      <c r="L30" s="255"/>
      <c r="M30" s="254"/>
      <c r="N30" s="851"/>
      <c r="O30" s="242"/>
      <c r="P30" s="243"/>
      <c r="Q30" s="242"/>
      <c r="R30" s="243"/>
      <c r="S30" s="724"/>
      <c r="T30" s="725"/>
      <c r="U30" s="724"/>
      <c r="V30" s="726"/>
      <c r="W30" s="216"/>
    </row>
    <row r="31" spans="1:28" ht="15" customHeight="1">
      <c r="A31" s="20" t="str">
        <f t="shared" si="0"/>
        <v/>
      </c>
      <c r="B31" s="1007"/>
      <c r="C31" s="1009"/>
      <c r="D31" s="1001"/>
      <c r="E31" s="961" t="s">
        <v>166</v>
      </c>
      <c r="F31" s="251"/>
      <c r="G31" s="252"/>
      <c r="H31" s="253"/>
      <c r="I31" s="747"/>
      <c r="J31" s="255"/>
      <c r="K31" s="254"/>
      <c r="L31" s="255"/>
      <c r="M31" s="254"/>
      <c r="N31" s="851"/>
      <c r="O31" s="242"/>
      <c r="P31" s="243"/>
      <c r="Q31" s="242"/>
      <c r="R31" s="243"/>
      <c r="S31" s="724"/>
      <c r="T31" s="725"/>
      <c r="U31" s="724"/>
      <c r="V31" s="726"/>
      <c r="W31" s="216"/>
    </row>
    <row r="32" spans="1:28" ht="15" customHeight="1">
      <c r="A32" s="20" t="str">
        <f t="shared" si="0"/>
        <v/>
      </c>
      <c r="B32" s="1007"/>
      <c r="C32" s="1009"/>
      <c r="D32" s="1001"/>
      <c r="E32" s="961" t="s">
        <v>166</v>
      </c>
      <c r="F32" s="251"/>
      <c r="G32" s="252"/>
      <c r="H32" s="253"/>
      <c r="I32" s="747"/>
      <c r="J32" s="255"/>
      <c r="K32" s="254"/>
      <c r="L32" s="255"/>
      <c r="M32" s="254"/>
      <c r="N32" s="851"/>
      <c r="O32" s="242"/>
      <c r="P32" s="243"/>
      <c r="Q32" s="242"/>
      <c r="R32" s="243"/>
      <c r="S32" s="724"/>
      <c r="T32" s="725"/>
      <c r="U32" s="724"/>
      <c r="V32" s="726"/>
      <c r="W32" s="216"/>
    </row>
    <row r="33" spans="1:28" ht="15" customHeight="1">
      <c r="A33" s="20" t="str">
        <f t="shared" si="0"/>
        <v/>
      </c>
      <c r="B33" s="1007"/>
      <c r="C33" s="1009"/>
      <c r="D33" s="1001"/>
      <c r="E33" s="962" t="s">
        <v>166</v>
      </c>
      <c r="F33" s="459"/>
      <c r="G33" s="257"/>
      <c r="H33" s="258"/>
      <c r="I33" s="748"/>
      <c r="J33" s="260"/>
      <c r="K33" s="259"/>
      <c r="L33" s="260"/>
      <c r="M33" s="259"/>
      <c r="N33" s="856"/>
      <c r="O33" s="244"/>
      <c r="P33" s="245"/>
      <c r="Q33" s="244"/>
      <c r="R33" s="245"/>
      <c r="S33" s="727"/>
      <c r="T33" s="728"/>
      <c r="U33" s="727"/>
      <c r="V33" s="729"/>
      <c r="W33" s="216"/>
    </row>
    <row r="34" spans="1:28" ht="15.75">
      <c r="A34" s="20" t="str">
        <f t="shared" si="0"/>
        <v>S</v>
      </c>
      <c r="B34" s="1007"/>
      <c r="C34" s="1010"/>
      <c r="D34" s="332" t="s">
        <v>138</v>
      </c>
      <c r="E34" s="896"/>
      <c r="F34" s="16"/>
      <c r="G34" s="7">
        <f>SUM(G13:G33)</f>
        <v>0</v>
      </c>
      <c r="H34" s="8">
        <f>SUM(H13:H33)</f>
        <v>0</v>
      </c>
      <c r="I34" s="9" t="e">
        <f>J34/G34</f>
        <v>#DIV/0!</v>
      </c>
      <c r="J34" s="213">
        <f>SUM(J13:J33)</f>
        <v>0</v>
      </c>
      <c r="K34" s="9" t="e">
        <f>L34/G34</f>
        <v>#DIV/0!</v>
      </c>
      <c r="L34" s="213">
        <f>SUM(L13:L33)</f>
        <v>0</v>
      </c>
      <c r="M34" s="9" t="e">
        <f>N34/L34</f>
        <v>#DIV/0!</v>
      </c>
      <c r="N34" s="213">
        <f t="shared" ref="N34:V34" si="12">SUM(N13:N33)</f>
        <v>0</v>
      </c>
      <c r="O34" s="120">
        <f t="shared" si="12"/>
        <v>0</v>
      </c>
      <c r="P34" s="121">
        <f t="shared" si="12"/>
        <v>0</v>
      </c>
      <c r="Q34" s="120">
        <f t="shared" si="12"/>
        <v>0</v>
      </c>
      <c r="R34" s="121">
        <f t="shared" si="12"/>
        <v>0</v>
      </c>
      <c r="S34" s="120">
        <f t="shared" si="12"/>
        <v>0</v>
      </c>
      <c r="T34" s="121">
        <f t="shared" si="12"/>
        <v>0</v>
      </c>
      <c r="U34" s="120">
        <f t="shared" si="12"/>
        <v>0</v>
      </c>
      <c r="V34" s="122">
        <f t="shared" si="12"/>
        <v>0</v>
      </c>
      <c r="W34" s="216"/>
      <c r="AB34" s="2" t="str">
        <f t="shared" si="1"/>
        <v/>
      </c>
    </row>
    <row r="35" spans="1:28" ht="15" customHeight="1">
      <c r="A35" s="20" t="str">
        <f t="shared" si="0"/>
        <v>X</v>
      </c>
      <c r="B35" s="1007" t="s">
        <v>20</v>
      </c>
      <c r="C35" s="1009" t="s">
        <v>75</v>
      </c>
      <c r="D35" s="1001">
        <v>8</v>
      </c>
      <c r="E35" s="901" t="s">
        <v>13</v>
      </c>
      <c r="F35" s="246" t="s">
        <v>60</v>
      </c>
      <c r="G35" s="763">
        <v>31</v>
      </c>
      <c r="H35" s="764">
        <v>23</v>
      </c>
      <c r="I35" s="439">
        <v>0.32258064516129031</v>
      </c>
      <c r="J35" s="765">
        <f t="shared" ref="J35:J153" si="13">I35*G35</f>
        <v>10</v>
      </c>
      <c r="K35" s="249">
        <v>0.32258064516129031</v>
      </c>
      <c r="L35" s="765">
        <f t="shared" ref="L35:L153" si="14">K35*G35</f>
        <v>10</v>
      </c>
      <c r="M35" s="249" t="s">
        <v>21</v>
      </c>
      <c r="N35" s="846" t="s">
        <v>21</v>
      </c>
      <c r="O35" s="240" t="s">
        <v>21</v>
      </c>
      <c r="P35" s="241" t="s">
        <v>21</v>
      </c>
      <c r="Q35" s="240" t="s">
        <v>21</v>
      </c>
      <c r="R35" s="241" t="s">
        <v>21</v>
      </c>
      <c r="S35" s="721"/>
      <c r="T35" s="722"/>
      <c r="U35" s="721"/>
      <c r="V35" s="723"/>
      <c r="W35" s="216"/>
      <c r="AB35" s="2" t="str">
        <f t="shared" si="1"/>
        <v>France</v>
      </c>
    </row>
    <row r="36" spans="1:28" ht="15" customHeight="1">
      <c r="A36" s="20" t="str">
        <f t="shared" si="0"/>
        <v>X</v>
      </c>
      <c r="B36" s="1007"/>
      <c r="C36" s="1009"/>
      <c r="D36" s="1001"/>
      <c r="E36" s="902" t="s">
        <v>14</v>
      </c>
      <c r="F36" s="251" t="s">
        <v>60</v>
      </c>
      <c r="G36" s="749">
        <v>25</v>
      </c>
      <c r="H36" s="750">
        <v>13</v>
      </c>
      <c r="I36" s="448">
        <v>0.48</v>
      </c>
      <c r="J36" s="751">
        <f t="shared" si="13"/>
        <v>12</v>
      </c>
      <c r="K36" s="254">
        <v>0.36</v>
      </c>
      <c r="L36" s="751">
        <f t="shared" si="14"/>
        <v>9</v>
      </c>
      <c r="M36" s="254" t="s">
        <v>21</v>
      </c>
      <c r="N36" s="851" t="s">
        <v>21</v>
      </c>
      <c r="O36" s="242" t="s">
        <v>21</v>
      </c>
      <c r="P36" s="243" t="s">
        <v>21</v>
      </c>
      <c r="Q36" s="242" t="s">
        <v>21</v>
      </c>
      <c r="R36" s="243" t="s">
        <v>21</v>
      </c>
      <c r="S36" s="724"/>
      <c r="T36" s="725"/>
      <c r="U36" s="724"/>
      <c r="V36" s="726"/>
      <c r="W36" s="216"/>
      <c r="AB36" s="2" t="str">
        <f t="shared" si="1"/>
        <v>France</v>
      </c>
    </row>
    <row r="37" spans="1:28" ht="15" customHeight="1">
      <c r="A37" s="20" t="str">
        <f t="shared" si="0"/>
        <v>X</v>
      </c>
      <c r="B37" s="1007"/>
      <c r="C37" s="1009"/>
      <c r="D37" s="1001"/>
      <c r="E37" s="902" t="s">
        <v>15</v>
      </c>
      <c r="F37" s="251" t="s">
        <v>60</v>
      </c>
      <c r="G37" s="749">
        <v>18</v>
      </c>
      <c r="H37" s="750">
        <v>10</v>
      </c>
      <c r="I37" s="448">
        <v>0.5</v>
      </c>
      <c r="J37" s="751">
        <f t="shared" si="13"/>
        <v>9</v>
      </c>
      <c r="K37" s="254">
        <v>0.16666666666666666</v>
      </c>
      <c r="L37" s="751">
        <f t="shared" si="14"/>
        <v>3</v>
      </c>
      <c r="M37" s="254" t="s">
        <v>21</v>
      </c>
      <c r="N37" s="851" t="s">
        <v>21</v>
      </c>
      <c r="O37" s="242" t="s">
        <v>21</v>
      </c>
      <c r="P37" s="243" t="s">
        <v>21</v>
      </c>
      <c r="Q37" s="242" t="s">
        <v>21</v>
      </c>
      <c r="R37" s="243" t="s">
        <v>21</v>
      </c>
      <c r="S37" s="724"/>
      <c r="T37" s="725"/>
      <c r="U37" s="724"/>
      <c r="V37" s="726"/>
      <c r="W37" s="216"/>
      <c r="AB37" s="2" t="str">
        <f t="shared" si="1"/>
        <v>France</v>
      </c>
    </row>
    <row r="38" spans="1:28" ht="15" customHeight="1">
      <c r="A38" s="20" t="str">
        <f t="shared" si="0"/>
        <v/>
      </c>
      <c r="B38" s="1007"/>
      <c r="C38" s="1009"/>
      <c r="D38" s="1001"/>
      <c r="E38" s="902" t="s">
        <v>141</v>
      </c>
      <c r="F38" s="251" t="s">
        <v>60</v>
      </c>
      <c r="G38" s="749"/>
      <c r="H38" s="750"/>
      <c r="I38" s="448">
        <v>0.5</v>
      </c>
      <c r="J38" s="751"/>
      <c r="K38" s="254">
        <v>0.16666666666666666</v>
      </c>
      <c r="L38" s="751"/>
      <c r="M38" s="254" t="s">
        <v>21</v>
      </c>
      <c r="N38" s="851" t="s">
        <v>21</v>
      </c>
      <c r="O38" s="242" t="s">
        <v>21</v>
      </c>
      <c r="P38" s="243" t="s">
        <v>21</v>
      </c>
      <c r="Q38" s="242" t="s">
        <v>21</v>
      </c>
      <c r="R38" s="243" t="s">
        <v>21</v>
      </c>
      <c r="S38" s="724"/>
      <c r="T38" s="725"/>
      <c r="U38" s="724"/>
      <c r="V38" s="726"/>
      <c r="W38" s="216"/>
      <c r="AB38" s="2" t="str">
        <f t="shared" si="1"/>
        <v/>
      </c>
    </row>
    <row r="39" spans="1:28" ht="15" customHeight="1">
      <c r="A39" s="20" t="str">
        <f t="shared" si="0"/>
        <v>X</v>
      </c>
      <c r="B39" s="1007"/>
      <c r="C39" s="1009"/>
      <c r="D39" s="1001"/>
      <c r="E39" s="902" t="s">
        <v>16</v>
      </c>
      <c r="F39" s="251" t="s">
        <v>60</v>
      </c>
      <c r="G39" s="749">
        <v>14</v>
      </c>
      <c r="H39" s="750">
        <v>9</v>
      </c>
      <c r="I39" s="448">
        <v>7.1428571428571425E-2</v>
      </c>
      <c r="J39" s="751">
        <f t="shared" si="13"/>
        <v>1</v>
      </c>
      <c r="K39" s="254">
        <v>7.1428571428571425E-2</v>
      </c>
      <c r="L39" s="751">
        <f t="shared" si="14"/>
        <v>1</v>
      </c>
      <c r="M39" s="254" t="s">
        <v>21</v>
      </c>
      <c r="N39" s="851" t="s">
        <v>21</v>
      </c>
      <c r="O39" s="242" t="s">
        <v>21</v>
      </c>
      <c r="P39" s="243" t="s">
        <v>21</v>
      </c>
      <c r="Q39" s="242" t="s">
        <v>21</v>
      </c>
      <c r="R39" s="243" t="s">
        <v>21</v>
      </c>
      <c r="S39" s="724"/>
      <c r="T39" s="725"/>
      <c r="U39" s="724"/>
      <c r="V39" s="726"/>
      <c r="W39" s="216"/>
      <c r="AB39" s="2" t="str">
        <f t="shared" si="1"/>
        <v>France</v>
      </c>
    </row>
    <row r="40" spans="1:28" ht="15" customHeight="1">
      <c r="A40" s="20" t="str">
        <f t="shared" si="0"/>
        <v>X</v>
      </c>
      <c r="B40" s="1007"/>
      <c r="C40" s="1009"/>
      <c r="D40" s="1001"/>
      <c r="E40" s="902" t="s">
        <v>17</v>
      </c>
      <c r="F40" s="251" t="s">
        <v>60</v>
      </c>
      <c r="G40" s="749">
        <v>24</v>
      </c>
      <c r="H40" s="750">
        <v>16</v>
      </c>
      <c r="I40" s="448">
        <v>4.1666666666666664E-2</v>
      </c>
      <c r="J40" s="751">
        <f t="shared" si="13"/>
        <v>1</v>
      </c>
      <c r="K40" s="254">
        <v>0.20833333333333334</v>
      </c>
      <c r="L40" s="751">
        <f t="shared" si="14"/>
        <v>5</v>
      </c>
      <c r="M40" s="254" t="s">
        <v>21</v>
      </c>
      <c r="N40" s="851" t="s">
        <v>21</v>
      </c>
      <c r="O40" s="242" t="s">
        <v>21</v>
      </c>
      <c r="P40" s="243" t="s">
        <v>21</v>
      </c>
      <c r="Q40" s="242" t="s">
        <v>21</v>
      </c>
      <c r="R40" s="243" t="s">
        <v>21</v>
      </c>
      <c r="S40" s="724"/>
      <c r="T40" s="725"/>
      <c r="U40" s="724"/>
      <c r="V40" s="726"/>
      <c r="W40" s="216"/>
      <c r="AB40" s="2" t="str">
        <f t="shared" si="1"/>
        <v>France</v>
      </c>
    </row>
    <row r="41" spans="1:28" ht="15" customHeight="1">
      <c r="A41" s="20" t="str">
        <f t="shared" si="0"/>
        <v>X</v>
      </c>
      <c r="B41" s="1007"/>
      <c r="C41" s="1009"/>
      <c r="D41" s="1001"/>
      <c r="E41" s="902" t="s">
        <v>18</v>
      </c>
      <c r="F41" s="251" t="s">
        <v>60</v>
      </c>
      <c r="G41" s="749">
        <v>29</v>
      </c>
      <c r="H41" s="750">
        <v>21</v>
      </c>
      <c r="I41" s="448">
        <v>0</v>
      </c>
      <c r="J41" s="751">
        <f t="shared" si="13"/>
        <v>0</v>
      </c>
      <c r="K41" s="254">
        <v>0.41379310344827586</v>
      </c>
      <c r="L41" s="751">
        <f t="shared" si="14"/>
        <v>12</v>
      </c>
      <c r="M41" s="254" t="s">
        <v>21</v>
      </c>
      <c r="N41" s="851" t="s">
        <v>21</v>
      </c>
      <c r="O41" s="242" t="s">
        <v>21</v>
      </c>
      <c r="P41" s="243" t="s">
        <v>21</v>
      </c>
      <c r="Q41" s="242" t="s">
        <v>21</v>
      </c>
      <c r="R41" s="243" t="s">
        <v>21</v>
      </c>
      <c r="S41" s="724"/>
      <c r="T41" s="725"/>
      <c r="U41" s="724"/>
      <c r="V41" s="726"/>
      <c r="W41" s="216"/>
      <c r="AB41" s="2" t="str">
        <f t="shared" si="1"/>
        <v>France</v>
      </c>
    </row>
    <row r="42" spans="1:28" ht="15" customHeight="1">
      <c r="A42" s="20" t="str">
        <f t="shared" si="0"/>
        <v>X</v>
      </c>
      <c r="B42" s="1007"/>
      <c r="C42" s="1009"/>
      <c r="D42" s="1001"/>
      <c r="E42" s="902" t="s">
        <v>19</v>
      </c>
      <c r="F42" s="251" t="s">
        <v>60</v>
      </c>
      <c r="G42" s="749">
        <v>27</v>
      </c>
      <c r="H42" s="750">
        <v>17</v>
      </c>
      <c r="I42" s="448">
        <v>0.25925925925925924</v>
      </c>
      <c r="J42" s="751">
        <f t="shared" si="13"/>
        <v>7</v>
      </c>
      <c r="K42" s="254">
        <v>0.48148148148148145</v>
      </c>
      <c r="L42" s="751">
        <f t="shared" si="14"/>
        <v>13</v>
      </c>
      <c r="M42" s="254" t="s">
        <v>21</v>
      </c>
      <c r="N42" s="851" t="s">
        <v>21</v>
      </c>
      <c r="O42" s="242" t="s">
        <v>21</v>
      </c>
      <c r="P42" s="243" t="s">
        <v>21</v>
      </c>
      <c r="Q42" s="242" t="s">
        <v>21</v>
      </c>
      <c r="R42" s="243" t="s">
        <v>21</v>
      </c>
      <c r="S42" s="724"/>
      <c r="T42" s="725"/>
      <c r="U42" s="724"/>
      <c r="V42" s="726"/>
      <c r="W42" s="216"/>
      <c r="AB42" s="2" t="str">
        <f t="shared" si="1"/>
        <v>France</v>
      </c>
    </row>
    <row r="43" spans="1:28" ht="15" customHeight="1">
      <c r="A43" s="20" t="str">
        <f t="shared" si="0"/>
        <v/>
      </c>
      <c r="B43" s="1007"/>
      <c r="C43" s="1009"/>
      <c r="D43" s="1001"/>
      <c r="E43" s="902" t="s">
        <v>169</v>
      </c>
      <c r="F43" s="251" t="s">
        <v>60</v>
      </c>
      <c r="G43" s="760"/>
      <c r="H43" s="761"/>
      <c r="I43" s="448">
        <v>0.25925925925925924</v>
      </c>
      <c r="J43" s="762"/>
      <c r="K43" s="254">
        <v>0.48148148148148145</v>
      </c>
      <c r="L43" s="762"/>
      <c r="M43" s="254" t="s">
        <v>21</v>
      </c>
      <c r="N43" s="851" t="s">
        <v>21</v>
      </c>
      <c r="O43" s="242" t="s">
        <v>21</v>
      </c>
      <c r="P43" s="243" t="s">
        <v>21</v>
      </c>
      <c r="Q43" s="242" t="s">
        <v>21</v>
      </c>
      <c r="R43" s="243" t="s">
        <v>21</v>
      </c>
      <c r="S43" s="724"/>
      <c r="T43" s="725"/>
      <c r="U43" s="724"/>
      <c r="V43" s="726"/>
      <c r="W43" s="216"/>
      <c r="AB43" s="2" t="str">
        <f t="shared" si="1"/>
        <v/>
      </c>
    </row>
    <row r="44" spans="1:28" ht="15" customHeight="1">
      <c r="A44" s="20" t="str">
        <f t="shared" si="0"/>
        <v/>
      </c>
      <c r="B44" s="1007"/>
      <c r="C44" s="1009"/>
      <c r="D44" s="1001"/>
      <c r="E44" s="902" t="s">
        <v>170</v>
      </c>
      <c r="F44" s="251" t="s">
        <v>60</v>
      </c>
      <c r="G44" s="760"/>
      <c r="H44" s="761"/>
      <c r="I44" s="448">
        <v>0.25925925925925924</v>
      </c>
      <c r="J44" s="762"/>
      <c r="K44" s="254">
        <v>0.48148148148148145</v>
      </c>
      <c r="L44" s="762"/>
      <c r="M44" s="254" t="s">
        <v>21</v>
      </c>
      <c r="N44" s="851" t="s">
        <v>21</v>
      </c>
      <c r="O44" s="242" t="s">
        <v>21</v>
      </c>
      <c r="P44" s="243" t="s">
        <v>21</v>
      </c>
      <c r="Q44" s="242" t="s">
        <v>21</v>
      </c>
      <c r="R44" s="243" t="s">
        <v>21</v>
      </c>
      <c r="S44" s="724"/>
      <c r="T44" s="725"/>
      <c r="U44" s="724"/>
      <c r="V44" s="726"/>
      <c r="W44" s="216"/>
      <c r="AB44" s="2" t="str">
        <f t="shared" si="1"/>
        <v/>
      </c>
    </row>
    <row r="45" spans="1:28" ht="15" customHeight="1">
      <c r="A45" s="20" t="str">
        <f t="shared" si="0"/>
        <v>X</v>
      </c>
      <c r="B45" s="1007"/>
      <c r="C45" s="1009"/>
      <c r="D45" s="1001"/>
      <c r="E45" s="902" t="s">
        <v>5</v>
      </c>
      <c r="F45" s="251" t="s">
        <v>60</v>
      </c>
      <c r="G45" s="252">
        <v>4</v>
      </c>
      <c r="H45" s="253">
        <v>2</v>
      </c>
      <c r="I45" s="448">
        <v>0.5</v>
      </c>
      <c r="J45" s="255">
        <f t="shared" si="13"/>
        <v>2</v>
      </c>
      <c r="K45" s="254">
        <v>0</v>
      </c>
      <c r="L45" s="255">
        <f t="shared" si="14"/>
        <v>0</v>
      </c>
      <c r="M45" s="254" t="s">
        <v>21</v>
      </c>
      <c r="N45" s="851" t="s">
        <v>21</v>
      </c>
      <c r="O45" s="242" t="s">
        <v>21</v>
      </c>
      <c r="P45" s="243" t="s">
        <v>21</v>
      </c>
      <c r="Q45" s="242" t="s">
        <v>21</v>
      </c>
      <c r="R45" s="243" t="s">
        <v>21</v>
      </c>
      <c r="S45" s="724"/>
      <c r="T45" s="725"/>
      <c r="U45" s="724"/>
      <c r="V45" s="726"/>
      <c r="W45" s="216"/>
      <c r="AB45" s="2" t="str">
        <f t="shared" si="1"/>
        <v>France</v>
      </c>
    </row>
    <row r="46" spans="1:28" ht="15" customHeight="1">
      <c r="A46" s="20" t="str">
        <f t="shared" si="0"/>
        <v/>
      </c>
      <c r="B46" s="1007"/>
      <c r="C46" s="1009"/>
      <c r="D46" s="1001"/>
      <c r="E46" s="961" t="s">
        <v>166</v>
      </c>
      <c r="F46" s="251"/>
      <c r="G46" s="252"/>
      <c r="H46" s="253"/>
      <c r="I46" s="747"/>
      <c r="J46" s="255"/>
      <c r="K46" s="254"/>
      <c r="L46" s="255"/>
      <c r="M46" s="254"/>
      <c r="N46" s="851"/>
      <c r="O46" s="242"/>
      <c r="P46" s="243"/>
      <c r="Q46" s="242"/>
      <c r="R46" s="243"/>
      <c r="S46" s="724"/>
      <c r="T46" s="725"/>
      <c r="U46" s="724"/>
      <c r="V46" s="726"/>
      <c r="W46" s="216"/>
    </row>
    <row r="47" spans="1:28" ht="15" customHeight="1">
      <c r="A47" s="20" t="str">
        <f t="shared" si="0"/>
        <v/>
      </c>
      <c r="B47" s="1007"/>
      <c r="C47" s="1009"/>
      <c r="D47" s="1001"/>
      <c r="E47" s="961" t="s">
        <v>166</v>
      </c>
      <c r="F47" s="251"/>
      <c r="G47" s="252"/>
      <c r="H47" s="253"/>
      <c r="I47" s="747"/>
      <c r="J47" s="255"/>
      <c r="K47" s="254"/>
      <c r="L47" s="255"/>
      <c r="M47" s="254"/>
      <c r="N47" s="851"/>
      <c r="O47" s="242"/>
      <c r="P47" s="243"/>
      <c r="Q47" s="242"/>
      <c r="R47" s="243"/>
      <c r="S47" s="724"/>
      <c r="T47" s="725"/>
      <c r="U47" s="724"/>
      <c r="V47" s="726"/>
      <c r="W47" s="216"/>
    </row>
    <row r="48" spans="1:28" ht="15" customHeight="1">
      <c r="A48" s="20" t="str">
        <f t="shared" si="0"/>
        <v/>
      </c>
      <c r="B48" s="1007"/>
      <c r="C48" s="1009"/>
      <c r="D48" s="1001"/>
      <c r="E48" s="962" t="s">
        <v>166</v>
      </c>
      <c r="F48" s="459"/>
      <c r="G48" s="257"/>
      <c r="H48" s="258"/>
      <c r="I48" s="748"/>
      <c r="J48" s="260"/>
      <c r="K48" s="259"/>
      <c r="L48" s="260"/>
      <c r="M48" s="259"/>
      <c r="N48" s="856"/>
      <c r="O48" s="244"/>
      <c r="P48" s="245"/>
      <c r="Q48" s="244"/>
      <c r="R48" s="245"/>
      <c r="S48" s="727"/>
      <c r="T48" s="728"/>
      <c r="U48" s="727"/>
      <c r="V48" s="729"/>
      <c r="W48" s="216"/>
    </row>
    <row r="49" spans="1:28" ht="15.75">
      <c r="A49" s="20" t="str">
        <f t="shared" si="0"/>
        <v>S</v>
      </c>
      <c r="B49" s="1007"/>
      <c r="C49" s="1010"/>
      <c r="D49" s="332" t="s">
        <v>138</v>
      </c>
      <c r="E49" s="896"/>
      <c r="F49" s="16"/>
      <c r="G49" s="7">
        <f>SUM(G35:G48)</f>
        <v>172</v>
      </c>
      <c r="H49" s="8">
        <f>SUM(H35:H48)</f>
        <v>111</v>
      </c>
      <c r="I49" s="9">
        <f>J49/G49</f>
        <v>0.2441860465116279</v>
      </c>
      <c r="J49" s="213">
        <f>SUM(J35:J48)</f>
        <v>42</v>
      </c>
      <c r="K49" s="9">
        <f>L49/G49</f>
        <v>0.30813953488372092</v>
      </c>
      <c r="L49" s="213">
        <f>SUM(L35:L48)</f>
        <v>53</v>
      </c>
      <c r="M49" s="9">
        <f>N49/L49</f>
        <v>0</v>
      </c>
      <c r="N49" s="213">
        <f t="shared" ref="N49:V49" si="15">SUM(N35:N48)</f>
        <v>0</v>
      </c>
      <c r="O49" s="120">
        <f t="shared" si="15"/>
        <v>0</v>
      </c>
      <c r="P49" s="121">
        <f t="shared" si="15"/>
        <v>0</v>
      </c>
      <c r="Q49" s="120">
        <f t="shared" si="15"/>
        <v>0</v>
      </c>
      <c r="R49" s="121">
        <f t="shared" si="15"/>
        <v>0</v>
      </c>
      <c r="S49" s="120">
        <f t="shared" si="15"/>
        <v>0</v>
      </c>
      <c r="T49" s="121">
        <f t="shared" si="15"/>
        <v>0</v>
      </c>
      <c r="U49" s="120">
        <f t="shared" si="15"/>
        <v>0</v>
      </c>
      <c r="V49" s="122">
        <f t="shared" si="15"/>
        <v>0</v>
      </c>
      <c r="W49" s="216"/>
      <c r="AB49" s="2">
        <f t="shared" si="1"/>
        <v>0</v>
      </c>
    </row>
    <row r="50" spans="1:28">
      <c r="A50" s="20" t="str">
        <f>IF(D50="Sous-total","S",IF(G50="","","X"))</f>
        <v>X</v>
      </c>
      <c r="B50" s="1007" t="s">
        <v>0</v>
      </c>
      <c r="C50" s="1009" t="s">
        <v>75</v>
      </c>
      <c r="D50" s="991">
        <v>9</v>
      </c>
      <c r="E50" s="901" t="s">
        <v>10</v>
      </c>
      <c r="F50" s="246" t="s">
        <v>60</v>
      </c>
      <c r="G50" s="247">
        <v>37</v>
      </c>
      <c r="H50" s="248">
        <v>23</v>
      </c>
      <c r="I50" s="439">
        <v>0.38</v>
      </c>
      <c r="J50" s="250">
        <f t="shared" si="13"/>
        <v>14.06</v>
      </c>
      <c r="K50" s="249">
        <v>0.16</v>
      </c>
      <c r="L50" s="250">
        <f t="shared" si="14"/>
        <v>5.92</v>
      </c>
      <c r="M50" s="249">
        <v>1</v>
      </c>
      <c r="N50" s="846">
        <f t="shared" ref="N50:N51" si="16">IF(M50="-","-",M50*L50)</f>
        <v>5.92</v>
      </c>
      <c r="O50" s="240"/>
      <c r="P50" s="241"/>
      <c r="Q50" s="240"/>
      <c r="R50" s="241"/>
      <c r="S50" s="721" t="s">
        <v>21</v>
      </c>
      <c r="T50" s="722" t="s">
        <v>21</v>
      </c>
      <c r="U50" s="721" t="s">
        <v>21</v>
      </c>
      <c r="V50" s="723" t="s">
        <v>21</v>
      </c>
      <c r="W50" s="216"/>
      <c r="AB50" s="2" t="str">
        <f t="shared" si="1"/>
        <v>France</v>
      </c>
    </row>
    <row r="51" spans="1:28">
      <c r="A51" s="20" t="str">
        <f t="shared" ref="A51:A113" si="17">IF(D51="Sous-total","S",IF(G51="","","X"))</f>
        <v>X</v>
      </c>
      <c r="B51" s="1007"/>
      <c r="C51" s="1009"/>
      <c r="D51" s="991"/>
      <c r="E51" s="902" t="s">
        <v>11</v>
      </c>
      <c r="F51" s="251" t="s">
        <v>60</v>
      </c>
      <c r="G51" s="252">
        <v>33</v>
      </c>
      <c r="H51" s="253">
        <v>15</v>
      </c>
      <c r="I51" s="448">
        <v>0.3</v>
      </c>
      <c r="J51" s="255">
        <f t="shared" si="13"/>
        <v>9.9</v>
      </c>
      <c r="K51" s="254">
        <v>0.09</v>
      </c>
      <c r="L51" s="255">
        <f t="shared" si="14"/>
        <v>2.9699999999999998</v>
      </c>
      <c r="M51" s="254">
        <v>1</v>
      </c>
      <c r="N51" s="851">
        <f t="shared" si="16"/>
        <v>2.9699999999999998</v>
      </c>
      <c r="O51" s="242"/>
      <c r="P51" s="243"/>
      <c r="Q51" s="242"/>
      <c r="R51" s="243"/>
      <c r="S51" s="724" t="s">
        <v>21</v>
      </c>
      <c r="T51" s="725" t="s">
        <v>21</v>
      </c>
      <c r="U51" s="724" t="s">
        <v>21</v>
      </c>
      <c r="V51" s="726" t="s">
        <v>21</v>
      </c>
      <c r="W51" s="216"/>
      <c r="AB51" s="2" t="str">
        <f t="shared" ref="AB51:AB89" si="18">IF(G51&gt;0,$F51,"")</f>
        <v>France</v>
      </c>
    </row>
    <row r="52" spans="1:28">
      <c r="A52" s="20" t="str">
        <f t="shared" si="17"/>
        <v>X</v>
      </c>
      <c r="B52" s="1007"/>
      <c r="C52" s="1009"/>
      <c r="D52" s="991"/>
      <c r="E52" s="902" t="s">
        <v>12</v>
      </c>
      <c r="F52" s="251" t="s">
        <v>60</v>
      </c>
      <c r="G52" s="252">
        <v>6</v>
      </c>
      <c r="H52" s="253">
        <v>5</v>
      </c>
      <c r="I52" s="448">
        <v>0</v>
      </c>
      <c r="J52" s="255">
        <f t="shared" ref="J52" si="19">I52*G52</f>
        <v>0</v>
      </c>
      <c r="K52" s="254">
        <v>0</v>
      </c>
      <c r="L52" s="255">
        <f t="shared" ref="L52" si="20">K52*G52</f>
        <v>0</v>
      </c>
      <c r="M52" s="254">
        <v>0</v>
      </c>
      <c r="N52" s="851">
        <f>IF(M52="-","-",M52*L52)</f>
        <v>0</v>
      </c>
      <c r="O52" s="242"/>
      <c r="P52" s="243"/>
      <c r="Q52" s="242"/>
      <c r="R52" s="243"/>
      <c r="S52" s="724" t="s">
        <v>21</v>
      </c>
      <c r="T52" s="725" t="s">
        <v>21</v>
      </c>
      <c r="U52" s="724" t="s">
        <v>21</v>
      </c>
      <c r="V52" s="726" t="s">
        <v>21</v>
      </c>
      <c r="W52" s="216"/>
      <c r="AB52" s="2" t="str">
        <f t="shared" si="18"/>
        <v>France</v>
      </c>
    </row>
    <row r="53" spans="1:28">
      <c r="A53" s="20" t="str">
        <f t="shared" si="17"/>
        <v>X</v>
      </c>
      <c r="B53" s="1007"/>
      <c r="C53" s="1009"/>
      <c r="D53" s="991"/>
      <c r="E53" s="902" t="s">
        <v>7</v>
      </c>
      <c r="F53" s="251" t="s">
        <v>60</v>
      </c>
      <c r="G53" s="252">
        <v>25</v>
      </c>
      <c r="H53" s="253">
        <v>15</v>
      </c>
      <c r="I53" s="448">
        <v>0.28000000000000003</v>
      </c>
      <c r="J53" s="255">
        <f t="shared" si="13"/>
        <v>7.0000000000000009</v>
      </c>
      <c r="K53" s="254">
        <v>0.16</v>
      </c>
      <c r="L53" s="255">
        <f t="shared" si="14"/>
        <v>4</v>
      </c>
      <c r="M53" s="254">
        <v>0.25</v>
      </c>
      <c r="N53" s="851">
        <f t="shared" ref="N53:N60" si="21">IF(M53="-","-",M53*L53)</f>
        <v>1</v>
      </c>
      <c r="O53" s="242"/>
      <c r="P53" s="243"/>
      <c r="Q53" s="242"/>
      <c r="R53" s="243"/>
      <c r="S53" s="724" t="s">
        <v>21</v>
      </c>
      <c r="T53" s="725" t="s">
        <v>21</v>
      </c>
      <c r="U53" s="724" t="s">
        <v>21</v>
      </c>
      <c r="V53" s="726" t="s">
        <v>21</v>
      </c>
      <c r="W53" s="216"/>
      <c r="AB53" s="2" t="str">
        <f t="shared" si="18"/>
        <v>France</v>
      </c>
    </row>
    <row r="54" spans="1:28">
      <c r="A54" s="20" t="str">
        <f t="shared" si="17"/>
        <v>X</v>
      </c>
      <c r="B54" s="1007"/>
      <c r="C54" s="1009"/>
      <c r="D54" s="991"/>
      <c r="E54" s="902" t="s">
        <v>132</v>
      </c>
      <c r="F54" s="251" t="s">
        <v>60</v>
      </c>
      <c r="G54" s="252">
        <v>15</v>
      </c>
      <c r="H54" s="253">
        <v>9</v>
      </c>
      <c r="I54" s="448">
        <v>0.13</v>
      </c>
      <c r="J54" s="255">
        <f t="shared" si="13"/>
        <v>1.9500000000000002</v>
      </c>
      <c r="K54" s="254">
        <v>7.0000000000000007E-2</v>
      </c>
      <c r="L54" s="255">
        <f t="shared" si="14"/>
        <v>1.05</v>
      </c>
      <c r="M54" s="254">
        <v>0</v>
      </c>
      <c r="N54" s="851">
        <f t="shared" si="21"/>
        <v>0</v>
      </c>
      <c r="O54" s="242"/>
      <c r="P54" s="243"/>
      <c r="Q54" s="242"/>
      <c r="R54" s="243"/>
      <c r="S54" s="724" t="s">
        <v>21</v>
      </c>
      <c r="T54" s="725" t="s">
        <v>21</v>
      </c>
      <c r="U54" s="724" t="s">
        <v>21</v>
      </c>
      <c r="V54" s="726" t="s">
        <v>21</v>
      </c>
      <c r="W54" s="216"/>
      <c r="AB54" s="2" t="str">
        <f t="shared" si="18"/>
        <v>France</v>
      </c>
    </row>
    <row r="55" spans="1:28">
      <c r="A55" s="20" t="str">
        <f t="shared" si="17"/>
        <v>X</v>
      </c>
      <c r="B55" s="1007"/>
      <c r="C55" s="1009"/>
      <c r="D55" s="991"/>
      <c r="E55" s="902" t="s">
        <v>8</v>
      </c>
      <c r="F55" s="251" t="s">
        <v>60</v>
      </c>
      <c r="G55" s="252">
        <v>16</v>
      </c>
      <c r="H55" s="253">
        <v>14</v>
      </c>
      <c r="I55" s="448">
        <v>0.38</v>
      </c>
      <c r="J55" s="255">
        <f t="shared" si="13"/>
        <v>6.08</v>
      </c>
      <c r="K55" s="254">
        <v>0.13</v>
      </c>
      <c r="L55" s="255">
        <f t="shared" si="14"/>
        <v>2.08</v>
      </c>
      <c r="M55" s="254">
        <v>1</v>
      </c>
      <c r="N55" s="851">
        <f t="shared" si="21"/>
        <v>2.08</v>
      </c>
      <c r="O55" s="242"/>
      <c r="P55" s="243"/>
      <c r="Q55" s="242"/>
      <c r="R55" s="243"/>
      <c r="S55" s="724" t="s">
        <v>21</v>
      </c>
      <c r="T55" s="725" t="s">
        <v>21</v>
      </c>
      <c r="U55" s="724" t="s">
        <v>21</v>
      </c>
      <c r="V55" s="726" t="s">
        <v>21</v>
      </c>
      <c r="W55" s="216"/>
      <c r="AB55" s="2" t="str">
        <f t="shared" si="18"/>
        <v>France</v>
      </c>
    </row>
    <row r="56" spans="1:28">
      <c r="A56" s="20" t="str">
        <f t="shared" si="17"/>
        <v>X</v>
      </c>
      <c r="B56" s="1007"/>
      <c r="C56" s="1009"/>
      <c r="D56" s="991"/>
      <c r="E56" s="902" t="s">
        <v>6</v>
      </c>
      <c r="F56" s="251" t="s">
        <v>60</v>
      </c>
      <c r="G56" s="252">
        <v>7</v>
      </c>
      <c r="H56" s="253">
        <v>5</v>
      </c>
      <c r="I56" s="448">
        <v>0.14000000000000001</v>
      </c>
      <c r="J56" s="255">
        <f t="shared" si="13"/>
        <v>0.98000000000000009</v>
      </c>
      <c r="K56" s="254">
        <v>0</v>
      </c>
      <c r="L56" s="255">
        <f t="shared" si="14"/>
        <v>0</v>
      </c>
      <c r="M56" s="254">
        <v>0</v>
      </c>
      <c r="N56" s="851">
        <f t="shared" si="21"/>
        <v>0</v>
      </c>
      <c r="O56" s="242"/>
      <c r="P56" s="243"/>
      <c r="Q56" s="242"/>
      <c r="R56" s="243"/>
      <c r="S56" s="724" t="s">
        <v>21</v>
      </c>
      <c r="T56" s="725" t="s">
        <v>21</v>
      </c>
      <c r="U56" s="724" t="s">
        <v>21</v>
      </c>
      <c r="V56" s="726" t="s">
        <v>21</v>
      </c>
      <c r="W56" s="216"/>
      <c r="AB56" s="2" t="str">
        <f t="shared" si="18"/>
        <v>France</v>
      </c>
    </row>
    <row r="57" spans="1:28" ht="15" customHeight="1">
      <c r="A57" s="20" t="str">
        <f t="shared" si="17"/>
        <v/>
      </c>
      <c r="B57" s="1007"/>
      <c r="C57" s="1009"/>
      <c r="D57" s="991"/>
      <c r="E57" s="902" t="s">
        <v>228</v>
      </c>
      <c r="F57" s="251" t="s">
        <v>60</v>
      </c>
      <c r="G57" s="252"/>
      <c r="H57" s="253"/>
      <c r="I57" s="448">
        <v>0.14000000000000001</v>
      </c>
      <c r="J57" s="255"/>
      <c r="K57" s="254">
        <v>0</v>
      </c>
      <c r="L57" s="255"/>
      <c r="M57" s="254">
        <v>0</v>
      </c>
      <c r="N57" s="851"/>
      <c r="O57" s="242"/>
      <c r="P57" s="243"/>
      <c r="Q57" s="242"/>
      <c r="R57" s="243"/>
      <c r="S57" s="724" t="s">
        <v>21</v>
      </c>
      <c r="T57" s="725" t="s">
        <v>21</v>
      </c>
      <c r="U57" s="724" t="s">
        <v>21</v>
      </c>
      <c r="V57" s="726" t="s">
        <v>21</v>
      </c>
      <c r="W57" s="216"/>
      <c r="AB57" s="2" t="str">
        <f t="shared" si="18"/>
        <v/>
      </c>
    </row>
    <row r="58" spans="1:28" ht="15" customHeight="1">
      <c r="A58" s="20" t="str">
        <f t="shared" si="17"/>
        <v/>
      </c>
      <c r="B58" s="1007"/>
      <c r="C58" s="1009"/>
      <c r="D58" s="991"/>
      <c r="E58" s="902" t="s">
        <v>229</v>
      </c>
      <c r="F58" s="251" t="s">
        <v>60</v>
      </c>
      <c r="G58" s="252"/>
      <c r="H58" s="253"/>
      <c r="I58" s="448">
        <v>0.14000000000000001</v>
      </c>
      <c r="J58" s="255"/>
      <c r="K58" s="254">
        <v>0</v>
      </c>
      <c r="L58" s="255"/>
      <c r="M58" s="254">
        <v>0</v>
      </c>
      <c r="N58" s="851"/>
      <c r="O58" s="242"/>
      <c r="P58" s="243"/>
      <c r="Q58" s="242"/>
      <c r="R58" s="243"/>
      <c r="S58" s="724" t="s">
        <v>21</v>
      </c>
      <c r="T58" s="725" t="s">
        <v>21</v>
      </c>
      <c r="U58" s="724" t="s">
        <v>21</v>
      </c>
      <c r="V58" s="726" t="s">
        <v>21</v>
      </c>
      <c r="W58" s="216"/>
      <c r="AB58" s="2" t="str">
        <f t="shared" si="18"/>
        <v/>
      </c>
    </row>
    <row r="59" spans="1:28">
      <c r="A59" s="20" t="str">
        <f t="shared" si="17"/>
        <v/>
      </c>
      <c r="B59" s="1007"/>
      <c r="C59" s="1009"/>
      <c r="D59" s="991"/>
      <c r="E59" s="902" t="s">
        <v>198</v>
      </c>
      <c r="F59" s="251" t="s">
        <v>60</v>
      </c>
      <c r="G59" s="252"/>
      <c r="H59" s="253"/>
      <c r="I59" s="448">
        <v>0.14000000000000001</v>
      </c>
      <c r="J59" s="255"/>
      <c r="K59" s="254">
        <v>0</v>
      </c>
      <c r="L59" s="255"/>
      <c r="M59" s="254">
        <v>0</v>
      </c>
      <c r="N59" s="851"/>
      <c r="O59" s="242"/>
      <c r="P59" s="243"/>
      <c r="Q59" s="242"/>
      <c r="R59" s="243"/>
      <c r="S59" s="724" t="s">
        <v>21</v>
      </c>
      <c r="T59" s="725" t="s">
        <v>21</v>
      </c>
      <c r="U59" s="724" t="s">
        <v>21</v>
      </c>
      <c r="V59" s="726" t="s">
        <v>21</v>
      </c>
      <c r="W59" s="216"/>
      <c r="AB59" s="2" t="str">
        <f t="shared" si="18"/>
        <v/>
      </c>
    </row>
    <row r="60" spans="1:28">
      <c r="A60" s="20" t="str">
        <f t="shared" si="17"/>
        <v>X</v>
      </c>
      <c r="B60" s="1007"/>
      <c r="C60" s="1009"/>
      <c r="D60" s="991"/>
      <c r="E60" s="902" t="s">
        <v>9</v>
      </c>
      <c r="F60" s="251" t="s">
        <v>60</v>
      </c>
      <c r="G60" s="252">
        <v>20</v>
      </c>
      <c r="H60" s="253">
        <v>9</v>
      </c>
      <c r="I60" s="448">
        <v>0.25</v>
      </c>
      <c r="J60" s="255">
        <f t="shared" si="13"/>
        <v>5</v>
      </c>
      <c r="K60" s="254">
        <v>0.15</v>
      </c>
      <c r="L60" s="255">
        <f t="shared" si="14"/>
        <v>3</v>
      </c>
      <c r="M60" s="254">
        <v>0.33</v>
      </c>
      <c r="N60" s="851">
        <f t="shared" si="21"/>
        <v>0.99</v>
      </c>
      <c r="O60" s="242"/>
      <c r="P60" s="243"/>
      <c r="Q60" s="242"/>
      <c r="R60" s="243"/>
      <c r="S60" s="724" t="s">
        <v>21</v>
      </c>
      <c r="T60" s="725" t="s">
        <v>21</v>
      </c>
      <c r="U60" s="724" t="s">
        <v>21</v>
      </c>
      <c r="V60" s="726" t="s">
        <v>21</v>
      </c>
      <c r="W60" s="216"/>
      <c r="AB60" s="2" t="str">
        <f t="shared" si="18"/>
        <v>France</v>
      </c>
    </row>
    <row r="61" spans="1:28" ht="15.75" customHeight="1">
      <c r="A61" s="20" t="str">
        <f t="shared" si="17"/>
        <v/>
      </c>
      <c r="B61" s="1007"/>
      <c r="C61" s="1009"/>
      <c r="D61" s="991"/>
      <c r="E61" s="961" t="s">
        <v>166</v>
      </c>
      <c r="F61" s="251"/>
      <c r="G61" s="252"/>
      <c r="H61" s="253"/>
      <c r="I61" s="747"/>
      <c r="J61" s="255"/>
      <c r="K61" s="254"/>
      <c r="L61" s="255"/>
      <c r="M61" s="254"/>
      <c r="N61" s="851"/>
      <c r="O61" s="242"/>
      <c r="P61" s="243"/>
      <c r="Q61" s="242"/>
      <c r="R61" s="243"/>
      <c r="S61" s="724" t="s">
        <v>21</v>
      </c>
      <c r="T61" s="725" t="s">
        <v>21</v>
      </c>
      <c r="U61" s="724" t="s">
        <v>21</v>
      </c>
      <c r="V61" s="726" t="s">
        <v>21</v>
      </c>
      <c r="W61" s="216"/>
    </row>
    <row r="62" spans="1:28" ht="15.75" customHeight="1">
      <c r="A62" s="20" t="str">
        <f t="shared" si="17"/>
        <v/>
      </c>
      <c r="B62" s="1007"/>
      <c r="C62" s="1009"/>
      <c r="D62" s="991"/>
      <c r="E62" s="961" t="s">
        <v>166</v>
      </c>
      <c r="F62" s="251"/>
      <c r="G62" s="252"/>
      <c r="H62" s="253"/>
      <c r="I62" s="747"/>
      <c r="J62" s="255"/>
      <c r="K62" s="254"/>
      <c r="L62" s="255"/>
      <c r="M62" s="254"/>
      <c r="N62" s="851"/>
      <c r="O62" s="242"/>
      <c r="P62" s="243"/>
      <c r="Q62" s="242"/>
      <c r="R62" s="243"/>
      <c r="S62" s="724" t="s">
        <v>21</v>
      </c>
      <c r="T62" s="725" t="s">
        <v>21</v>
      </c>
      <c r="U62" s="724" t="s">
        <v>21</v>
      </c>
      <c r="V62" s="726" t="s">
        <v>21</v>
      </c>
      <c r="W62" s="216"/>
    </row>
    <row r="63" spans="1:28" ht="15.75" customHeight="1">
      <c r="A63" s="20" t="str">
        <f t="shared" si="17"/>
        <v/>
      </c>
      <c r="B63" s="1007"/>
      <c r="C63" s="1009"/>
      <c r="D63" s="991"/>
      <c r="E63" s="962" t="s">
        <v>166</v>
      </c>
      <c r="F63" s="459"/>
      <c r="G63" s="257"/>
      <c r="H63" s="258"/>
      <c r="I63" s="748"/>
      <c r="J63" s="260"/>
      <c r="K63" s="259"/>
      <c r="L63" s="260"/>
      <c r="M63" s="259"/>
      <c r="N63" s="856"/>
      <c r="O63" s="244"/>
      <c r="P63" s="245"/>
      <c r="Q63" s="244"/>
      <c r="R63" s="245"/>
      <c r="S63" s="727" t="s">
        <v>21</v>
      </c>
      <c r="T63" s="728" t="s">
        <v>21</v>
      </c>
      <c r="U63" s="727" t="s">
        <v>21</v>
      </c>
      <c r="V63" s="729" t="s">
        <v>21</v>
      </c>
      <c r="W63" s="216"/>
    </row>
    <row r="64" spans="1:28" ht="16.5" thickBot="1">
      <c r="A64" s="20" t="str">
        <f t="shared" si="17"/>
        <v>S</v>
      </c>
      <c r="B64" s="1008"/>
      <c r="C64" s="1011"/>
      <c r="D64" s="334" t="s">
        <v>138</v>
      </c>
      <c r="E64" s="913"/>
      <c r="F64" s="231"/>
      <c r="G64" s="7">
        <f>SUM(G50:G63)</f>
        <v>159</v>
      </c>
      <c r="H64" s="8">
        <f>SUM(H50:H63)</f>
        <v>95</v>
      </c>
      <c r="I64" s="9">
        <f>J64/G64</f>
        <v>0.28283018867924525</v>
      </c>
      <c r="J64" s="213">
        <f>SUM(J50:J63)</f>
        <v>44.97</v>
      </c>
      <c r="K64" s="9">
        <f>L64/G64</f>
        <v>0.11962264150943398</v>
      </c>
      <c r="L64" s="213">
        <f>SUM(L50:L63)</f>
        <v>19.020000000000003</v>
      </c>
      <c r="M64" s="9">
        <f>N64/L64</f>
        <v>0.68138801261829651</v>
      </c>
      <c r="N64" s="213">
        <f t="shared" ref="N64:V64" si="22">SUM(N50:N63)</f>
        <v>12.96</v>
      </c>
      <c r="O64" s="542">
        <f t="shared" si="22"/>
        <v>0</v>
      </c>
      <c r="P64" s="543">
        <f t="shared" si="22"/>
        <v>0</v>
      </c>
      <c r="Q64" s="542">
        <f t="shared" si="22"/>
        <v>0</v>
      </c>
      <c r="R64" s="543">
        <f t="shared" si="22"/>
        <v>0</v>
      </c>
      <c r="S64" s="542">
        <f t="shared" si="22"/>
        <v>0</v>
      </c>
      <c r="T64" s="543">
        <f t="shared" si="22"/>
        <v>0</v>
      </c>
      <c r="U64" s="542">
        <f t="shared" si="22"/>
        <v>0</v>
      </c>
      <c r="V64" s="544">
        <f t="shared" si="22"/>
        <v>0</v>
      </c>
      <c r="W64" s="216"/>
      <c r="AB64" s="2">
        <f t="shared" si="18"/>
        <v>0</v>
      </c>
    </row>
    <row r="65" spans="1:28" s="15" customFormat="1" ht="27.75" customHeight="1" thickBot="1">
      <c r="A65" s="20" t="str">
        <f t="shared" si="17"/>
        <v>X</v>
      </c>
      <c r="B65" s="732" t="s">
        <v>78</v>
      </c>
      <c r="C65" s="730"/>
      <c r="D65" s="730">
        <f>SUM(D5:D60)</f>
        <v>19</v>
      </c>
      <c r="E65" s="895" t="s">
        <v>79</v>
      </c>
      <c r="F65" s="396"/>
      <c r="G65" s="364">
        <f>G8+G12+G34+G49+G64</f>
        <v>394</v>
      </c>
      <c r="H65" s="365">
        <f>H8+H12+H34+H49+H64</f>
        <v>235</v>
      </c>
      <c r="I65" s="366">
        <f>J65/G65</f>
        <v>0.22581218274111675</v>
      </c>
      <c r="J65" s="34">
        <f>J8+J12+J34+J49+J64</f>
        <v>88.97</v>
      </c>
      <c r="K65" s="230">
        <f>L65/G65</f>
        <v>0.22593908629441628</v>
      </c>
      <c r="L65" s="34">
        <f>L8+L12+L34+L49+L64</f>
        <v>89.02000000000001</v>
      </c>
      <c r="M65" s="366">
        <f>N65/(L5+L50+L51+L53+L55+L60)</f>
        <v>0.42779525307406352</v>
      </c>
      <c r="N65" s="34">
        <f t="shared" ref="N65:V65" si="23">N8+N12+N34+N49+N64</f>
        <v>14.96</v>
      </c>
      <c r="O65" s="35">
        <f t="shared" si="23"/>
        <v>0</v>
      </c>
      <c r="P65" s="36">
        <f t="shared" si="23"/>
        <v>0</v>
      </c>
      <c r="Q65" s="35">
        <f t="shared" si="23"/>
        <v>0</v>
      </c>
      <c r="R65" s="36">
        <f t="shared" si="23"/>
        <v>0</v>
      </c>
      <c r="S65" s="285">
        <f t="shared" si="23"/>
        <v>0</v>
      </c>
      <c r="T65" s="284">
        <f t="shared" si="23"/>
        <v>0</v>
      </c>
      <c r="U65" s="285">
        <f t="shared" si="23"/>
        <v>0</v>
      </c>
      <c r="V65" s="363">
        <f t="shared" si="23"/>
        <v>0</v>
      </c>
      <c r="W65" s="367"/>
      <c r="Y65" s="362"/>
      <c r="AB65" s="2">
        <f t="shared" si="18"/>
        <v>0</v>
      </c>
    </row>
    <row r="66" spans="1:28" ht="15" customHeight="1">
      <c r="A66" s="20" t="str">
        <f t="shared" si="17"/>
        <v>X</v>
      </c>
      <c r="B66" s="1012" t="s">
        <v>4</v>
      </c>
      <c r="C66" s="1015" t="s">
        <v>76</v>
      </c>
      <c r="D66" s="1002">
        <v>31</v>
      </c>
      <c r="E66" s="921" t="s">
        <v>25</v>
      </c>
      <c r="F66" s="503" t="s">
        <v>60</v>
      </c>
      <c r="G66" s="247">
        <v>603</v>
      </c>
      <c r="H66" s="248">
        <v>173</v>
      </c>
      <c r="I66" s="249">
        <v>0.43</v>
      </c>
      <c r="J66" s="250">
        <v>261</v>
      </c>
      <c r="K66" s="249">
        <v>0.38</v>
      </c>
      <c r="L66" s="250">
        <v>242</v>
      </c>
      <c r="M66" s="249" t="s">
        <v>21</v>
      </c>
      <c r="N66" s="846" t="str">
        <f t="shared" ref="N66:N115" si="24">IF(M66="-","-",M66*L66)</f>
        <v>-</v>
      </c>
      <c r="O66" s="240"/>
      <c r="P66" s="241"/>
      <c r="Q66" s="240"/>
      <c r="R66" s="241"/>
      <c r="S66" s="721"/>
      <c r="T66" s="722"/>
      <c r="U66" s="721"/>
      <c r="V66" s="723"/>
      <c r="W66" s="261"/>
      <c r="AB66" s="2" t="str">
        <f t="shared" si="18"/>
        <v>France</v>
      </c>
    </row>
    <row r="67" spans="1:28" ht="15" customHeight="1">
      <c r="A67" s="20" t="str">
        <f t="shared" si="17"/>
        <v>X</v>
      </c>
      <c r="B67" s="1013"/>
      <c r="C67" s="1016"/>
      <c r="D67" s="994"/>
      <c r="E67" s="905" t="s">
        <v>26</v>
      </c>
      <c r="F67" s="438" t="s">
        <v>60</v>
      </c>
      <c r="G67" s="252">
        <v>354</v>
      </c>
      <c r="H67" s="253">
        <v>103</v>
      </c>
      <c r="I67" s="254">
        <v>0.4</v>
      </c>
      <c r="J67" s="255">
        <v>142</v>
      </c>
      <c r="K67" s="254">
        <v>0.42</v>
      </c>
      <c r="L67" s="255">
        <v>161</v>
      </c>
      <c r="M67" s="254" t="s">
        <v>21</v>
      </c>
      <c r="N67" s="851" t="str">
        <f t="shared" si="24"/>
        <v>-</v>
      </c>
      <c r="O67" s="242"/>
      <c r="P67" s="243"/>
      <c r="Q67" s="242"/>
      <c r="R67" s="243"/>
      <c r="S67" s="724"/>
      <c r="T67" s="725"/>
      <c r="U67" s="724"/>
      <c r="V67" s="726"/>
      <c r="W67" s="261"/>
      <c r="AB67" s="2" t="str">
        <f t="shared" si="18"/>
        <v>France</v>
      </c>
    </row>
    <row r="68" spans="1:28" ht="15" customHeight="1">
      <c r="A68" s="20" t="str">
        <f t="shared" si="17"/>
        <v>X</v>
      </c>
      <c r="B68" s="1013"/>
      <c r="C68" s="1016"/>
      <c r="D68" s="994"/>
      <c r="E68" s="905" t="s">
        <v>58</v>
      </c>
      <c r="F68" s="438" t="s">
        <v>60</v>
      </c>
      <c r="G68" s="252">
        <v>222</v>
      </c>
      <c r="H68" s="253">
        <v>66</v>
      </c>
      <c r="I68" s="254">
        <v>0.36</v>
      </c>
      <c r="J68" s="255">
        <v>137</v>
      </c>
      <c r="K68" s="254">
        <v>0.38</v>
      </c>
      <c r="L68" s="255">
        <v>88</v>
      </c>
      <c r="M68" s="254" t="s">
        <v>21</v>
      </c>
      <c r="N68" s="851" t="str">
        <f t="shared" si="24"/>
        <v>-</v>
      </c>
      <c r="O68" s="242"/>
      <c r="P68" s="243"/>
      <c r="Q68" s="242"/>
      <c r="R68" s="243"/>
      <c r="S68" s="724"/>
      <c r="T68" s="725"/>
      <c r="U68" s="724"/>
      <c r="V68" s="726"/>
      <c r="W68" s="261"/>
      <c r="AB68" s="2" t="str">
        <f t="shared" si="18"/>
        <v>France</v>
      </c>
    </row>
    <row r="69" spans="1:28" ht="15" customHeight="1">
      <c r="A69" s="20" t="str">
        <f t="shared" si="17"/>
        <v>X</v>
      </c>
      <c r="B69" s="1013"/>
      <c r="C69" s="1016"/>
      <c r="D69" s="994"/>
      <c r="E69" s="905" t="s">
        <v>24</v>
      </c>
      <c r="F69" s="438" t="s">
        <v>62</v>
      </c>
      <c r="G69" s="252">
        <v>106</v>
      </c>
      <c r="H69" s="253">
        <v>35</v>
      </c>
      <c r="I69" s="254">
        <v>0.38</v>
      </c>
      <c r="J69" s="255">
        <v>39</v>
      </c>
      <c r="K69" s="254">
        <v>0.44</v>
      </c>
      <c r="L69" s="255">
        <v>48</v>
      </c>
      <c r="M69" s="254" t="s">
        <v>21</v>
      </c>
      <c r="N69" s="851" t="str">
        <f t="shared" si="24"/>
        <v>-</v>
      </c>
      <c r="O69" s="242"/>
      <c r="P69" s="243"/>
      <c r="Q69" s="242"/>
      <c r="R69" s="243"/>
      <c r="S69" s="724"/>
      <c r="T69" s="725"/>
      <c r="U69" s="724"/>
      <c r="V69" s="726"/>
      <c r="W69" s="261"/>
      <c r="AB69" s="2" t="str">
        <f t="shared" si="18"/>
        <v>Frontière</v>
      </c>
    </row>
    <row r="70" spans="1:28" ht="15" customHeight="1">
      <c r="A70" s="20" t="str">
        <f t="shared" si="17"/>
        <v>X</v>
      </c>
      <c r="B70" s="1013"/>
      <c r="C70" s="1016"/>
      <c r="D70" s="994"/>
      <c r="E70" s="905" t="s">
        <v>23</v>
      </c>
      <c r="F70" s="438" t="s">
        <v>60</v>
      </c>
      <c r="G70" s="252">
        <v>206</v>
      </c>
      <c r="H70" s="253">
        <v>70</v>
      </c>
      <c r="I70" s="254">
        <v>0.43</v>
      </c>
      <c r="J70" s="255">
        <v>87</v>
      </c>
      <c r="K70" s="254">
        <v>0.39</v>
      </c>
      <c r="L70" s="255">
        <v>83</v>
      </c>
      <c r="M70" s="254" t="s">
        <v>21</v>
      </c>
      <c r="N70" s="851" t="str">
        <f t="shared" si="24"/>
        <v>-</v>
      </c>
      <c r="O70" s="242"/>
      <c r="P70" s="243"/>
      <c r="Q70" s="242"/>
      <c r="R70" s="243"/>
      <c r="S70" s="724"/>
      <c r="T70" s="725"/>
      <c r="U70" s="724"/>
      <c r="V70" s="726"/>
      <c r="W70" s="261"/>
      <c r="AB70" s="2" t="str">
        <f t="shared" si="18"/>
        <v>France</v>
      </c>
    </row>
    <row r="71" spans="1:28" ht="15" customHeight="1">
      <c r="A71" s="20" t="str">
        <f t="shared" si="17"/>
        <v/>
      </c>
      <c r="B71" s="1013"/>
      <c r="C71" s="1016"/>
      <c r="D71" s="994"/>
      <c r="E71" s="961" t="s">
        <v>166</v>
      </c>
      <c r="F71" s="438" t="s">
        <v>203</v>
      </c>
      <c r="G71" s="252"/>
      <c r="H71" s="253"/>
      <c r="I71" s="254">
        <v>0.43</v>
      </c>
      <c r="J71" s="255"/>
      <c r="K71" s="254">
        <v>0.39</v>
      </c>
      <c r="L71" s="255"/>
      <c r="M71" s="254" t="s">
        <v>21</v>
      </c>
      <c r="N71" s="851"/>
      <c r="O71" s="242"/>
      <c r="P71" s="243"/>
      <c r="Q71" s="242"/>
      <c r="R71" s="243"/>
      <c r="S71" s="724"/>
      <c r="T71" s="725"/>
      <c r="U71" s="724"/>
      <c r="V71" s="726"/>
      <c r="W71" s="261"/>
      <c r="AB71" s="2" t="str">
        <f t="shared" si="18"/>
        <v/>
      </c>
    </row>
    <row r="72" spans="1:28" ht="15" customHeight="1">
      <c r="A72" s="20" t="str">
        <f t="shared" si="17"/>
        <v/>
      </c>
      <c r="B72" s="1013"/>
      <c r="C72" s="1016"/>
      <c r="D72" s="994"/>
      <c r="E72" s="961" t="s">
        <v>166</v>
      </c>
      <c r="F72" s="438" t="s">
        <v>203</v>
      </c>
      <c r="G72" s="252"/>
      <c r="H72" s="253"/>
      <c r="I72" s="254">
        <v>0.43</v>
      </c>
      <c r="J72" s="255"/>
      <c r="K72" s="254">
        <v>0.39</v>
      </c>
      <c r="L72" s="255"/>
      <c r="M72" s="254" t="s">
        <v>21</v>
      </c>
      <c r="N72" s="851"/>
      <c r="O72" s="242"/>
      <c r="P72" s="243"/>
      <c r="Q72" s="242"/>
      <c r="R72" s="243"/>
      <c r="S72" s="724"/>
      <c r="T72" s="725"/>
      <c r="U72" s="724"/>
      <c r="V72" s="726"/>
      <c r="W72" s="261"/>
      <c r="AB72" s="2" t="str">
        <f t="shared" si="18"/>
        <v/>
      </c>
    </row>
    <row r="73" spans="1:28" ht="15" customHeight="1">
      <c r="A73" s="20" t="str">
        <f t="shared" si="17"/>
        <v>X</v>
      </c>
      <c r="B73" s="1013"/>
      <c r="C73" s="1016"/>
      <c r="D73" s="994"/>
      <c r="E73" s="905" t="s">
        <v>22</v>
      </c>
      <c r="F73" s="438" t="s">
        <v>62</v>
      </c>
      <c r="G73" s="252">
        <v>173</v>
      </c>
      <c r="H73" s="253">
        <v>62</v>
      </c>
      <c r="I73" s="254">
        <v>0.23</v>
      </c>
      <c r="J73" s="255">
        <v>39</v>
      </c>
      <c r="K73" s="254">
        <v>0.39</v>
      </c>
      <c r="L73" s="255">
        <v>75</v>
      </c>
      <c r="M73" s="254" t="s">
        <v>21</v>
      </c>
      <c r="N73" s="851" t="str">
        <f t="shared" si="24"/>
        <v>-</v>
      </c>
      <c r="O73" s="242"/>
      <c r="P73" s="243"/>
      <c r="Q73" s="242"/>
      <c r="R73" s="243"/>
      <c r="S73" s="724"/>
      <c r="T73" s="725"/>
      <c r="U73" s="724"/>
      <c r="V73" s="726"/>
      <c r="W73" s="261"/>
      <c r="AB73" s="2" t="str">
        <f t="shared" si="18"/>
        <v>Frontière</v>
      </c>
    </row>
    <row r="74" spans="1:28" ht="15" customHeight="1">
      <c r="A74" s="20" t="str">
        <f t="shared" si="17"/>
        <v/>
      </c>
      <c r="B74" s="1013"/>
      <c r="C74" s="1016"/>
      <c r="D74" s="994"/>
      <c r="E74" s="961" t="s">
        <v>166</v>
      </c>
      <c r="F74" s="438"/>
      <c r="G74" s="252"/>
      <c r="H74" s="253"/>
      <c r="I74" s="254"/>
      <c r="J74" s="255"/>
      <c r="K74" s="254"/>
      <c r="L74" s="255"/>
      <c r="M74" s="254"/>
      <c r="N74" s="851"/>
      <c r="O74" s="242"/>
      <c r="P74" s="243"/>
      <c r="Q74" s="242"/>
      <c r="R74" s="243"/>
      <c r="S74" s="724"/>
      <c r="T74" s="725"/>
      <c r="U74" s="724"/>
      <c r="V74" s="726"/>
      <c r="W74" s="261"/>
    </row>
    <row r="75" spans="1:28" ht="15" customHeight="1">
      <c r="A75" s="20" t="str">
        <f t="shared" si="17"/>
        <v/>
      </c>
      <c r="B75" s="1013"/>
      <c r="C75" s="1016"/>
      <c r="D75" s="994"/>
      <c r="E75" s="961" t="s">
        <v>166</v>
      </c>
      <c r="F75" s="438"/>
      <c r="G75" s="252"/>
      <c r="H75" s="253"/>
      <c r="I75" s="254"/>
      <c r="J75" s="255"/>
      <c r="K75" s="254"/>
      <c r="L75" s="255"/>
      <c r="M75" s="254"/>
      <c r="N75" s="851"/>
      <c r="O75" s="242"/>
      <c r="P75" s="243"/>
      <c r="Q75" s="242"/>
      <c r="R75" s="243"/>
      <c r="S75" s="724"/>
      <c r="T75" s="725"/>
      <c r="U75" s="724"/>
      <c r="V75" s="726"/>
      <c r="W75" s="261"/>
    </row>
    <row r="76" spans="1:28" ht="15" customHeight="1">
      <c r="A76" s="20" t="str">
        <f t="shared" si="17"/>
        <v/>
      </c>
      <c r="B76" s="1013"/>
      <c r="C76" s="1016"/>
      <c r="D76" s="994"/>
      <c r="E76" s="962" t="s">
        <v>166</v>
      </c>
      <c r="F76" s="480"/>
      <c r="G76" s="257"/>
      <c r="H76" s="258"/>
      <c r="I76" s="259"/>
      <c r="J76" s="260"/>
      <c r="K76" s="259"/>
      <c r="L76" s="260"/>
      <c r="M76" s="259"/>
      <c r="N76" s="856"/>
      <c r="O76" s="244"/>
      <c r="P76" s="245"/>
      <c r="Q76" s="244"/>
      <c r="R76" s="245"/>
      <c r="S76" s="727"/>
      <c r="T76" s="728"/>
      <c r="U76" s="727"/>
      <c r="V76" s="729"/>
      <c r="W76" s="261"/>
    </row>
    <row r="77" spans="1:28" ht="15.75">
      <c r="A77" s="20" t="str">
        <f t="shared" si="17"/>
        <v>S</v>
      </c>
      <c r="B77" s="1018"/>
      <c r="C77" s="1016"/>
      <c r="D77" s="332" t="s">
        <v>138</v>
      </c>
      <c r="E77" s="896"/>
      <c r="F77" s="16"/>
      <c r="G77" s="7">
        <f>SUM(G66:G76)</f>
        <v>1664</v>
      </c>
      <c r="H77" s="8">
        <f>SUM(H66:H76)</f>
        <v>509</v>
      </c>
      <c r="I77" s="9">
        <f>J77/G77</f>
        <v>0.42367788461538464</v>
      </c>
      <c r="J77" s="213">
        <f>SUM(J66:J76)</f>
        <v>705</v>
      </c>
      <c r="K77" s="52">
        <f>L77/G77</f>
        <v>0.41887019230769229</v>
      </c>
      <c r="L77" s="213">
        <f>SUM(L66:L76)</f>
        <v>697</v>
      </c>
      <c r="M77" s="9">
        <f>N77/L77</f>
        <v>0</v>
      </c>
      <c r="N77" s="213">
        <f>SUM(N66:N76)</f>
        <v>0</v>
      </c>
      <c r="O77" s="120">
        <f t="shared" ref="O77:V77" si="25">SUM(O66:O76)</f>
        <v>0</v>
      </c>
      <c r="P77" s="121">
        <f t="shared" si="25"/>
        <v>0</v>
      </c>
      <c r="Q77" s="120">
        <f t="shared" si="25"/>
        <v>0</v>
      </c>
      <c r="R77" s="121">
        <f t="shared" si="25"/>
        <v>0</v>
      </c>
      <c r="S77" s="120">
        <f t="shared" si="25"/>
        <v>0</v>
      </c>
      <c r="T77" s="121">
        <f t="shared" si="25"/>
        <v>0</v>
      </c>
      <c r="U77" s="120">
        <f t="shared" si="25"/>
        <v>0</v>
      </c>
      <c r="V77" s="122">
        <f t="shared" si="25"/>
        <v>0</v>
      </c>
      <c r="W77" s="216"/>
      <c r="AB77" s="2">
        <f t="shared" si="18"/>
        <v>0</v>
      </c>
    </row>
    <row r="78" spans="1:28">
      <c r="A78" s="20" t="str">
        <f t="shared" si="17"/>
        <v/>
      </c>
      <c r="B78" s="1013" t="s">
        <v>167</v>
      </c>
      <c r="C78" s="1016" t="s">
        <v>76</v>
      </c>
      <c r="D78" s="991"/>
      <c r="E78" s="901" t="s">
        <v>171</v>
      </c>
      <c r="F78" s="246" t="s">
        <v>62</v>
      </c>
      <c r="G78" s="247"/>
      <c r="H78" s="248"/>
      <c r="I78" s="249">
        <v>0.63636363636363635</v>
      </c>
      <c r="J78" s="250"/>
      <c r="K78" s="249">
        <v>0.24242424242424243</v>
      </c>
      <c r="L78" s="250"/>
      <c r="M78" s="249">
        <v>0.875</v>
      </c>
      <c r="N78" s="846"/>
      <c r="O78" s="240"/>
      <c r="P78" s="241"/>
      <c r="Q78" s="240"/>
      <c r="R78" s="241"/>
      <c r="S78" s="304"/>
      <c r="T78" s="305"/>
      <c r="U78" s="304"/>
      <c r="V78" s="306"/>
      <c r="W78" s="216"/>
      <c r="X78" s="1" t="s">
        <v>172</v>
      </c>
      <c r="AB78" s="2" t="str">
        <f t="shared" si="18"/>
        <v/>
      </c>
    </row>
    <row r="79" spans="1:28">
      <c r="A79" s="20" t="str">
        <f t="shared" si="17"/>
        <v/>
      </c>
      <c r="B79" s="1013"/>
      <c r="C79" s="1016"/>
      <c r="D79" s="991"/>
      <c r="E79" s="902" t="s">
        <v>173</v>
      </c>
      <c r="F79" s="251" t="s">
        <v>62</v>
      </c>
      <c r="G79" s="252"/>
      <c r="H79" s="253"/>
      <c r="I79" s="254">
        <v>0.60227272727272729</v>
      </c>
      <c r="J79" s="255"/>
      <c r="K79" s="254">
        <v>0.36363636363636365</v>
      </c>
      <c r="L79" s="255"/>
      <c r="M79" s="254">
        <v>0.84375</v>
      </c>
      <c r="N79" s="851"/>
      <c r="O79" s="242"/>
      <c r="P79" s="243"/>
      <c r="Q79" s="242"/>
      <c r="R79" s="243"/>
      <c r="S79" s="307"/>
      <c r="T79" s="308"/>
      <c r="U79" s="307"/>
      <c r="V79" s="309"/>
      <c r="W79" s="216"/>
      <c r="AB79" s="2" t="str">
        <f t="shared" si="18"/>
        <v/>
      </c>
    </row>
    <row r="80" spans="1:28" ht="15" customHeight="1">
      <c r="A80" s="20" t="str">
        <f t="shared" si="17"/>
        <v/>
      </c>
      <c r="B80" s="1013"/>
      <c r="C80" s="1016"/>
      <c r="D80" s="991"/>
      <c r="E80" s="961" t="s">
        <v>166</v>
      </c>
      <c r="F80" s="251"/>
      <c r="G80" s="252"/>
      <c r="H80" s="253"/>
      <c r="I80" s="254">
        <v>0.6428571428571429</v>
      </c>
      <c r="J80" s="255"/>
      <c r="K80" s="254">
        <v>0.5</v>
      </c>
      <c r="L80" s="255"/>
      <c r="M80" s="254">
        <v>0.5714285714285714</v>
      </c>
      <c r="N80" s="851"/>
      <c r="O80" s="242"/>
      <c r="P80" s="243"/>
      <c r="Q80" s="242"/>
      <c r="R80" s="243"/>
      <c r="S80" s="307"/>
      <c r="T80" s="308"/>
      <c r="U80" s="307"/>
      <c r="V80" s="309"/>
      <c r="W80" s="216"/>
      <c r="AB80" s="2" t="str">
        <f t="shared" si="18"/>
        <v/>
      </c>
    </row>
    <row r="81" spans="1:28" ht="15" customHeight="1">
      <c r="A81" s="20" t="str">
        <f t="shared" si="17"/>
        <v/>
      </c>
      <c r="B81" s="1013"/>
      <c r="C81" s="1016"/>
      <c r="D81" s="991"/>
      <c r="E81" s="961" t="s">
        <v>166</v>
      </c>
      <c r="F81" s="251"/>
      <c r="G81" s="252"/>
      <c r="H81" s="253"/>
      <c r="I81" s="254">
        <v>0.65217391304347827</v>
      </c>
      <c r="J81" s="255"/>
      <c r="K81" s="254">
        <v>0.47826086956521741</v>
      </c>
      <c r="L81" s="255"/>
      <c r="M81" s="254">
        <v>0.72727272727272729</v>
      </c>
      <c r="N81" s="851"/>
      <c r="O81" s="242"/>
      <c r="P81" s="243"/>
      <c r="Q81" s="242"/>
      <c r="R81" s="243"/>
      <c r="S81" s="307"/>
      <c r="T81" s="308"/>
      <c r="U81" s="307"/>
      <c r="V81" s="309"/>
      <c r="W81" s="216"/>
      <c r="AB81" s="2" t="str">
        <f t="shared" si="18"/>
        <v/>
      </c>
    </row>
    <row r="82" spans="1:28" ht="15" customHeight="1">
      <c r="A82" s="20" t="str">
        <f t="shared" si="17"/>
        <v/>
      </c>
      <c r="B82" s="1013"/>
      <c r="C82" s="1016"/>
      <c r="D82" s="991"/>
      <c r="E82" s="961" t="s">
        <v>166</v>
      </c>
      <c r="F82" s="251" t="s">
        <v>203</v>
      </c>
      <c r="G82" s="252"/>
      <c r="H82" s="253"/>
      <c r="I82" s="254">
        <v>0.65217391304347827</v>
      </c>
      <c r="J82" s="255"/>
      <c r="K82" s="254">
        <v>0.47826086956521741</v>
      </c>
      <c r="L82" s="255"/>
      <c r="M82" s="254">
        <v>0.72727272727272729</v>
      </c>
      <c r="N82" s="851"/>
      <c r="O82" s="242"/>
      <c r="P82" s="243"/>
      <c r="Q82" s="242"/>
      <c r="R82" s="243"/>
      <c r="S82" s="307"/>
      <c r="T82" s="308"/>
      <c r="U82" s="307"/>
      <c r="V82" s="309"/>
      <c r="W82" s="216"/>
      <c r="AB82" s="2" t="str">
        <f t="shared" si="18"/>
        <v/>
      </c>
    </row>
    <row r="83" spans="1:28" ht="15" customHeight="1">
      <c r="A83" s="20" t="str">
        <f t="shared" si="17"/>
        <v/>
      </c>
      <c r="B83" s="1013"/>
      <c r="C83" s="1016"/>
      <c r="D83" s="991"/>
      <c r="E83" s="961" t="s">
        <v>166</v>
      </c>
      <c r="F83" s="251" t="s">
        <v>203</v>
      </c>
      <c r="G83" s="252"/>
      <c r="H83" s="253"/>
      <c r="I83" s="254">
        <v>0.65217391304347827</v>
      </c>
      <c r="J83" s="255"/>
      <c r="K83" s="254">
        <v>0.47826086956521741</v>
      </c>
      <c r="L83" s="255"/>
      <c r="M83" s="254">
        <v>0.72727272727272729</v>
      </c>
      <c r="N83" s="851"/>
      <c r="O83" s="242"/>
      <c r="P83" s="243"/>
      <c r="Q83" s="242"/>
      <c r="R83" s="243"/>
      <c r="S83" s="307"/>
      <c r="T83" s="308"/>
      <c r="U83" s="307"/>
      <c r="V83" s="309"/>
      <c r="W83" s="216"/>
      <c r="AB83" s="2" t="str">
        <f t="shared" si="18"/>
        <v/>
      </c>
    </row>
    <row r="84" spans="1:28" ht="15" customHeight="1">
      <c r="A84" s="20" t="str">
        <f t="shared" si="17"/>
        <v/>
      </c>
      <c r="B84" s="1013"/>
      <c r="C84" s="1016"/>
      <c r="D84" s="991"/>
      <c r="E84" s="962" t="s">
        <v>166</v>
      </c>
      <c r="F84" s="256"/>
      <c r="G84" s="257"/>
      <c r="H84" s="258"/>
      <c r="I84" s="259">
        <v>0.5</v>
      </c>
      <c r="J84" s="260"/>
      <c r="K84" s="259">
        <v>0.47222222222222221</v>
      </c>
      <c r="L84" s="260"/>
      <c r="M84" s="259">
        <v>0.76470588235294112</v>
      </c>
      <c r="N84" s="856"/>
      <c r="O84" s="244"/>
      <c r="P84" s="245"/>
      <c r="Q84" s="244"/>
      <c r="R84" s="245"/>
      <c r="S84" s="310"/>
      <c r="T84" s="311"/>
      <c r="U84" s="310"/>
      <c r="V84" s="312"/>
      <c r="W84" s="216"/>
      <c r="X84" s="211"/>
      <c r="AB84" s="2" t="str">
        <f t="shared" si="18"/>
        <v/>
      </c>
    </row>
    <row r="85" spans="1:28" ht="15.75">
      <c r="A85" s="20" t="str">
        <f t="shared" si="17"/>
        <v>S</v>
      </c>
      <c r="B85" s="1018"/>
      <c r="C85" s="1016"/>
      <c r="D85" s="332" t="s">
        <v>138</v>
      </c>
      <c r="E85" s="897"/>
      <c r="F85" s="210"/>
      <c r="G85" s="7">
        <f>SUM(G78:G84)</f>
        <v>0</v>
      </c>
      <c r="H85" s="8">
        <f>SUM(H78:H84)</f>
        <v>0</v>
      </c>
      <c r="I85" s="9" t="e">
        <f>J85/G85</f>
        <v>#DIV/0!</v>
      </c>
      <c r="J85" s="213">
        <f>SUM(J78:J84)</f>
        <v>0</v>
      </c>
      <c r="K85" s="52" t="e">
        <f>L85/G85</f>
        <v>#DIV/0!</v>
      </c>
      <c r="L85" s="213">
        <f>SUM(L78:L84)</f>
        <v>0</v>
      </c>
      <c r="M85" s="9" t="e">
        <f>N85/L85</f>
        <v>#DIV/0!</v>
      </c>
      <c r="N85" s="213">
        <f>SUM(N78:N84)</f>
        <v>0</v>
      </c>
      <c r="O85" s="120"/>
      <c r="P85" s="121"/>
      <c r="Q85" s="120"/>
      <c r="R85" s="121"/>
      <c r="S85" s="120">
        <f>SUM(S78:S84)</f>
        <v>0</v>
      </c>
      <c r="T85" s="121">
        <f>SUM(T78:T84)</f>
        <v>0</v>
      </c>
      <c r="U85" s="120">
        <f>SUM(U78:U84)</f>
        <v>0</v>
      </c>
      <c r="V85" s="122">
        <f>SUM(V78:V84)</f>
        <v>0</v>
      </c>
      <c r="W85" s="216"/>
      <c r="X85" s="211"/>
      <c r="AB85" s="2" t="str">
        <f t="shared" si="18"/>
        <v/>
      </c>
    </row>
    <row r="86" spans="1:28" ht="15" customHeight="1">
      <c r="A86" s="20" t="str">
        <f t="shared" si="17"/>
        <v>X</v>
      </c>
      <c r="B86" s="980" t="s">
        <v>1</v>
      </c>
      <c r="C86" s="983" t="s">
        <v>76</v>
      </c>
      <c r="D86" s="988">
        <v>12</v>
      </c>
      <c r="E86" s="901" t="s">
        <v>27</v>
      </c>
      <c r="F86" s="246" t="s">
        <v>62</v>
      </c>
      <c r="G86" s="247">
        <v>33</v>
      </c>
      <c r="H86" s="248">
        <v>33</v>
      </c>
      <c r="I86" s="249">
        <v>0.63636363636363635</v>
      </c>
      <c r="J86" s="250">
        <f t="shared" si="13"/>
        <v>21</v>
      </c>
      <c r="K86" s="249">
        <v>0.24242424242424243</v>
      </c>
      <c r="L86" s="250">
        <f t="shared" si="14"/>
        <v>8</v>
      </c>
      <c r="M86" s="249">
        <v>0.875</v>
      </c>
      <c r="N86" s="846">
        <f t="shared" si="24"/>
        <v>7</v>
      </c>
      <c r="O86" s="240"/>
      <c r="P86" s="241"/>
      <c r="Q86" s="240"/>
      <c r="R86" s="241"/>
      <c r="S86" s="304">
        <v>33</v>
      </c>
      <c r="T86" s="305">
        <v>33</v>
      </c>
      <c r="U86" s="304">
        <v>0</v>
      </c>
      <c r="V86" s="306">
        <v>0</v>
      </c>
      <c r="W86" s="216"/>
      <c r="AB86" s="2" t="str">
        <f t="shared" si="18"/>
        <v>Frontière</v>
      </c>
    </row>
    <row r="87" spans="1:28" ht="15" customHeight="1">
      <c r="A87" s="20" t="str">
        <f t="shared" si="17"/>
        <v>X</v>
      </c>
      <c r="B87" s="981"/>
      <c r="C87" s="984"/>
      <c r="D87" s="989"/>
      <c r="E87" s="902" t="s">
        <v>28</v>
      </c>
      <c r="F87" s="251" t="s">
        <v>62</v>
      </c>
      <c r="G87" s="252">
        <v>88</v>
      </c>
      <c r="H87" s="253">
        <v>88</v>
      </c>
      <c r="I87" s="254">
        <v>0.60227272727272729</v>
      </c>
      <c r="J87" s="255">
        <f>I87*G87</f>
        <v>53</v>
      </c>
      <c r="K87" s="254">
        <v>0.36363636363636365</v>
      </c>
      <c r="L87" s="255">
        <f>K87*G87</f>
        <v>32</v>
      </c>
      <c r="M87" s="254">
        <v>0.84375</v>
      </c>
      <c r="N87" s="851">
        <f>IF(M87="-","-",M87*L87)</f>
        <v>27</v>
      </c>
      <c r="O87" s="242"/>
      <c r="P87" s="243"/>
      <c r="Q87" s="242"/>
      <c r="R87" s="243"/>
      <c r="S87" s="307">
        <v>78</v>
      </c>
      <c r="T87" s="308">
        <v>78</v>
      </c>
      <c r="U87" s="307">
        <v>10</v>
      </c>
      <c r="V87" s="309">
        <v>10</v>
      </c>
      <c r="W87" s="216"/>
      <c r="AB87" s="2" t="str">
        <f t="shared" si="18"/>
        <v>Frontière</v>
      </c>
    </row>
    <row r="88" spans="1:28" ht="15" customHeight="1">
      <c r="A88" s="20" t="str">
        <f t="shared" si="17"/>
        <v>X</v>
      </c>
      <c r="B88" s="981"/>
      <c r="C88" s="984"/>
      <c r="D88" s="989"/>
      <c r="E88" s="902" t="s">
        <v>29</v>
      </c>
      <c r="F88" s="251" t="s">
        <v>62</v>
      </c>
      <c r="G88" s="252">
        <v>14</v>
      </c>
      <c r="H88" s="253">
        <v>14</v>
      </c>
      <c r="I88" s="254">
        <v>0.6428571428571429</v>
      </c>
      <c r="J88" s="255">
        <f t="shared" si="13"/>
        <v>9</v>
      </c>
      <c r="K88" s="254">
        <v>0.5</v>
      </c>
      <c r="L88" s="255">
        <f t="shared" si="14"/>
        <v>7</v>
      </c>
      <c r="M88" s="254">
        <v>0.5714285714285714</v>
      </c>
      <c r="N88" s="851">
        <f t="shared" si="24"/>
        <v>4</v>
      </c>
      <c r="O88" s="242"/>
      <c r="P88" s="243"/>
      <c r="Q88" s="242"/>
      <c r="R88" s="243"/>
      <c r="S88" s="307">
        <v>14</v>
      </c>
      <c r="T88" s="308">
        <v>14</v>
      </c>
      <c r="U88" s="307">
        <v>0</v>
      </c>
      <c r="V88" s="309">
        <v>0</v>
      </c>
      <c r="W88" s="216"/>
      <c r="AB88" s="2" t="str">
        <f t="shared" si="18"/>
        <v>Frontière</v>
      </c>
    </row>
    <row r="89" spans="1:28" ht="15" customHeight="1">
      <c r="A89" s="20" t="str">
        <f t="shared" si="17"/>
        <v>X</v>
      </c>
      <c r="B89" s="981"/>
      <c r="C89" s="984"/>
      <c r="D89" s="989"/>
      <c r="E89" s="902" t="s">
        <v>30</v>
      </c>
      <c r="F89" s="251" t="s">
        <v>62</v>
      </c>
      <c r="G89" s="252">
        <v>23</v>
      </c>
      <c r="H89" s="253">
        <v>23</v>
      </c>
      <c r="I89" s="254">
        <v>0.65217391304347827</v>
      </c>
      <c r="J89" s="255">
        <f t="shared" si="13"/>
        <v>15</v>
      </c>
      <c r="K89" s="254">
        <v>0.47826086956521741</v>
      </c>
      <c r="L89" s="255">
        <f t="shared" si="14"/>
        <v>11</v>
      </c>
      <c r="M89" s="254">
        <v>0.72727272727272729</v>
      </c>
      <c r="N89" s="851">
        <f t="shared" si="24"/>
        <v>8</v>
      </c>
      <c r="O89" s="242"/>
      <c r="P89" s="243"/>
      <c r="Q89" s="242"/>
      <c r="R89" s="243"/>
      <c r="S89" s="307">
        <v>20</v>
      </c>
      <c r="T89" s="308">
        <v>20</v>
      </c>
      <c r="U89" s="307">
        <v>3</v>
      </c>
      <c r="V89" s="309">
        <v>3</v>
      </c>
      <c r="W89" s="216"/>
      <c r="AB89" s="2" t="str">
        <f t="shared" si="18"/>
        <v>Frontière</v>
      </c>
    </row>
    <row r="90" spans="1:28" ht="15" customHeight="1">
      <c r="A90" s="20" t="str">
        <f t="shared" si="17"/>
        <v/>
      </c>
      <c r="B90" s="981"/>
      <c r="C90" s="984"/>
      <c r="D90" s="989"/>
      <c r="E90" s="902" t="s">
        <v>175</v>
      </c>
      <c r="F90" s="251" t="s">
        <v>62</v>
      </c>
      <c r="G90" s="252"/>
      <c r="H90" s="253"/>
      <c r="I90" s="254">
        <v>0.65217391304347827</v>
      </c>
      <c r="J90" s="255"/>
      <c r="K90" s="254">
        <v>0.47826086956521741</v>
      </c>
      <c r="L90" s="255"/>
      <c r="M90" s="254">
        <v>0.72727272727272729</v>
      </c>
      <c r="N90" s="851"/>
      <c r="O90" s="242"/>
      <c r="P90" s="243"/>
      <c r="Q90" s="242"/>
      <c r="R90" s="243"/>
      <c r="S90" s="307"/>
      <c r="T90" s="308"/>
      <c r="U90" s="307"/>
      <c r="V90" s="309"/>
      <c r="W90" s="216"/>
      <c r="AB90" s="2" t="str">
        <f t="shared" ref="AB90:AB162" si="26">IF(G90&gt;0,$F90,"")</f>
        <v/>
      </c>
    </row>
    <row r="91" spans="1:28" ht="15" customHeight="1">
      <c r="A91" s="20" t="str">
        <f t="shared" si="17"/>
        <v/>
      </c>
      <c r="B91" s="981"/>
      <c r="C91" s="984"/>
      <c r="D91" s="989"/>
      <c r="E91" s="961" t="s">
        <v>166</v>
      </c>
      <c r="F91" s="251" t="s">
        <v>203</v>
      </c>
      <c r="G91" s="252"/>
      <c r="H91" s="253"/>
      <c r="I91" s="254">
        <v>0.65217391304347827</v>
      </c>
      <c r="J91" s="255"/>
      <c r="K91" s="254">
        <v>0.47826086956521741</v>
      </c>
      <c r="L91" s="255"/>
      <c r="M91" s="254">
        <v>0.72727272727272729</v>
      </c>
      <c r="N91" s="851"/>
      <c r="O91" s="242"/>
      <c r="P91" s="243"/>
      <c r="Q91" s="242"/>
      <c r="R91" s="243"/>
      <c r="S91" s="307"/>
      <c r="T91" s="308"/>
      <c r="U91" s="307"/>
      <c r="V91" s="309"/>
      <c r="W91" s="216"/>
      <c r="AB91" s="2" t="str">
        <f t="shared" si="26"/>
        <v/>
      </c>
    </row>
    <row r="92" spans="1:28" ht="15.75" customHeight="1">
      <c r="A92" s="20" t="str">
        <f t="shared" si="17"/>
        <v/>
      </c>
      <c r="B92" s="981"/>
      <c r="C92" s="984"/>
      <c r="D92" s="989"/>
      <c r="E92" s="961" t="s">
        <v>166</v>
      </c>
      <c r="F92" s="435"/>
      <c r="G92" s="252"/>
      <c r="H92" s="253"/>
      <c r="I92" s="254"/>
      <c r="J92" s="255"/>
      <c r="K92" s="254"/>
      <c r="L92" s="255"/>
      <c r="M92" s="254"/>
      <c r="N92" s="851"/>
      <c r="O92" s="242"/>
      <c r="P92" s="243"/>
      <c r="Q92" s="242"/>
      <c r="R92" s="243"/>
      <c r="S92" s="307"/>
      <c r="T92" s="308"/>
      <c r="U92" s="307"/>
      <c r="V92" s="309"/>
      <c r="W92" s="216"/>
      <c r="X92" s="211"/>
    </row>
    <row r="93" spans="1:28" ht="15.75" customHeight="1">
      <c r="A93" s="20" t="str">
        <f t="shared" si="17"/>
        <v/>
      </c>
      <c r="B93" s="981"/>
      <c r="C93" s="984"/>
      <c r="D93" s="989"/>
      <c r="E93" s="961" t="s">
        <v>166</v>
      </c>
      <c r="F93" s="435"/>
      <c r="G93" s="252"/>
      <c r="H93" s="253"/>
      <c r="I93" s="254"/>
      <c r="J93" s="255"/>
      <c r="K93" s="254"/>
      <c r="L93" s="255"/>
      <c r="M93" s="254"/>
      <c r="N93" s="851"/>
      <c r="O93" s="242"/>
      <c r="P93" s="243"/>
      <c r="Q93" s="242"/>
      <c r="R93" s="243"/>
      <c r="S93" s="307"/>
      <c r="T93" s="308"/>
      <c r="U93" s="307"/>
      <c r="V93" s="309"/>
      <c r="W93" s="216"/>
      <c r="X93" s="211"/>
    </row>
    <row r="94" spans="1:28" ht="15.75" customHeight="1">
      <c r="A94" s="20" t="str">
        <f t="shared" si="17"/>
        <v/>
      </c>
      <c r="B94" s="981"/>
      <c r="C94" s="984"/>
      <c r="D94" s="990"/>
      <c r="E94" s="962" t="s">
        <v>166</v>
      </c>
      <c r="F94" s="256"/>
      <c r="G94" s="257"/>
      <c r="H94" s="258"/>
      <c r="I94" s="259"/>
      <c r="J94" s="260"/>
      <c r="K94" s="259"/>
      <c r="L94" s="260"/>
      <c r="M94" s="259"/>
      <c r="N94" s="856"/>
      <c r="O94" s="244"/>
      <c r="P94" s="245"/>
      <c r="Q94" s="244"/>
      <c r="R94" s="245"/>
      <c r="S94" s="310"/>
      <c r="T94" s="311"/>
      <c r="U94" s="310"/>
      <c r="V94" s="312"/>
      <c r="W94" s="216"/>
      <c r="X94" s="211"/>
    </row>
    <row r="95" spans="1:28" ht="15.75">
      <c r="A95" s="20" t="str">
        <f t="shared" si="17"/>
        <v>S</v>
      </c>
      <c r="B95" s="987"/>
      <c r="C95" s="986"/>
      <c r="D95" s="873" t="s">
        <v>138</v>
      </c>
      <c r="E95" s="897"/>
      <c r="F95" s="210"/>
      <c r="G95" s="7">
        <f>SUM(G86:G94)</f>
        <v>158</v>
      </c>
      <c r="H95" s="8">
        <f>SUM(H86:H94)</f>
        <v>158</v>
      </c>
      <c r="I95" s="9">
        <f>J95/G95</f>
        <v>0.620253164556962</v>
      </c>
      <c r="J95" s="213">
        <f>SUM(J86:J94)</f>
        <v>98</v>
      </c>
      <c r="K95" s="52">
        <f>L95/G95</f>
        <v>0.36708860759493672</v>
      </c>
      <c r="L95" s="213">
        <f>SUM(L86:L94)</f>
        <v>58</v>
      </c>
      <c r="M95" s="9">
        <f>N95/L95</f>
        <v>0.7931034482758621</v>
      </c>
      <c r="N95" s="213">
        <f t="shared" ref="N95:V95" si="27">SUM(N86:N94)</f>
        <v>46</v>
      </c>
      <c r="O95" s="120">
        <f t="shared" si="27"/>
        <v>0</v>
      </c>
      <c r="P95" s="121">
        <f t="shared" si="27"/>
        <v>0</v>
      </c>
      <c r="Q95" s="120">
        <f t="shared" si="27"/>
        <v>0</v>
      </c>
      <c r="R95" s="121">
        <f t="shared" si="27"/>
        <v>0</v>
      </c>
      <c r="S95" s="120">
        <f t="shared" si="27"/>
        <v>145</v>
      </c>
      <c r="T95" s="121">
        <f t="shared" si="27"/>
        <v>145</v>
      </c>
      <c r="U95" s="120">
        <f t="shared" si="27"/>
        <v>13</v>
      </c>
      <c r="V95" s="122">
        <f t="shared" si="27"/>
        <v>13</v>
      </c>
      <c r="W95" s="216"/>
      <c r="X95" s="211"/>
      <c r="AB95" s="2">
        <f t="shared" si="26"/>
        <v>0</v>
      </c>
    </row>
    <row r="96" spans="1:28" ht="15" customHeight="1">
      <c r="A96" s="20" t="str">
        <f t="shared" si="17"/>
        <v>X</v>
      </c>
      <c r="B96" s="1013" t="s">
        <v>45</v>
      </c>
      <c r="C96" s="1009" t="s">
        <v>76</v>
      </c>
      <c r="D96" s="993">
        <v>10</v>
      </c>
      <c r="E96" s="903" t="s">
        <v>32</v>
      </c>
      <c r="F96" s="432" t="s">
        <v>62</v>
      </c>
      <c r="G96" s="247">
        <v>59</v>
      </c>
      <c r="H96" s="248">
        <f>G96</f>
        <v>59</v>
      </c>
      <c r="I96" s="249">
        <v>0.51</v>
      </c>
      <c r="J96" s="250">
        <f t="shared" si="13"/>
        <v>30.09</v>
      </c>
      <c r="K96" s="249">
        <v>0.44</v>
      </c>
      <c r="L96" s="250">
        <f t="shared" si="14"/>
        <v>25.96</v>
      </c>
      <c r="M96" s="249">
        <v>0.62</v>
      </c>
      <c r="N96" s="846">
        <f t="shared" si="24"/>
        <v>16.095200000000002</v>
      </c>
      <c r="O96" s="240"/>
      <c r="P96" s="241"/>
      <c r="Q96" s="240"/>
      <c r="R96" s="241"/>
      <c r="S96" s="304"/>
      <c r="T96" s="305"/>
      <c r="U96" s="304"/>
      <c r="V96" s="306"/>
      <c r="W96" s="216"/>
      <c r="X96" s="211"/>
      <c r="AB96" s="2" t="str">
        <f t="shared" si="26"/>
        <v>Frontière</v>
      </c>
    </row>
    <row r="97" spans="1:28" ht="15" customHeight="1">
      <c r="A97" s="20" t="str">
        <f t="shared" si="17"/>
        <v>X</v>
      </c>
      <c r="B97" s="1013"/>
      <c r="C97" s="1009"/>
      <c r="D97" s="993"/>
      <c r="E97" s="905" t="s">
        <v>33</v>
      </c>
      <c r="F97" s="435" t="s">
        <v>62</v>
      </c>
      <c r="G97" s="252">
        <v>45</v>
      </c>
      <c r="H97" s="253">
        <f>G97</f>
        <v>45</v>
      </c>
      <c r="I97" s="254">
        <v>0.57999999999999996</v>
      </c>
      <c r="J97" s="255">
        <f t="shared" si="13"/>
        <v>26.099999999999998</v>
      </c>
      <c r="K97" s="254">
        <v>0.44</v>
      </c>
      <c r="L97" s="255">
        <f t="shared" si="14"/>
        <v>19.8</v>
      </c>
      <c r="M97" s="254">
        <v>0.65</v>
      </c>
      <c r="N97" s="851">
        <f t="shared" si="24"/>
        <v>12.870000000000001</v>
      </c>
      <c r="O97" s="242"/>
      <c r="P97" s="243"/>
      <c r="Q97" s="242"/>
      <c r="R97" s="243"/>
      <c r="S97" s="307"/>
      <c r="T97" s="308"/>
      <c r="U97" s="307"/>
      <c r="V97" s="309"/>
      <c r="W97" s="216"/>
      <c r="X97" s="211"/>
      <c r="AB97" s="2" t="str">
        <f t="shared" si="26"/>
        <v>Frontière</v>
      </c>
    </row>
    <row r="98" spans="1:28" ht="15" customHeight="1">
      <c r="A98" s="20" t="str">
        <f t="shared" si="17"/>
        <v>X</v>
      </c>
      <c r="B98" s="1013"/>
      <c r="C98" s="1009"/>
      <c r="D98" s="993"/>
      <c r="E98" s="905" t="s">
        <v>47</v>
      </c>
      <c r="F98" s="435" t="s">
        <v>62</v>
      </c>
      <c r="G98" s="252">
        <v>16</v>
      </c>
      <c r="H98" s="253">
        <f t="shared" ref="H98:H100" si="28">G98</f>
        <v>16</v>
      </c>
      <c r="I98" s="254">
        <v>0.44</v>
      </c>
      <c r="J98" s="255">
        <f t="shared" si="13"/>
        <v>7.04</v>
      </c>
      <c r="K98" s="254">
        <v>0.31</v>
      </c>
      <c r="L98" s="255">
        <f t="shared" si="14"/>
        <v>4.96</v>
      </c>
      <c r="M98" s="254">
        <v>0.4</v>
      </c>
      <c r="N98" s="851">
        <f t="shared" si="24"/>
        <v>1.984</v>
      </c>
      <c r="O98" s="242"/>
      <c r="P98" s="243"/>
      <c r="Q98" s="242"/>
      <c r="R98" s="243"/>
      <c r="S98" s="307"/>
      <c r="T98" s="308"/>
      <c r="U98" s="307"/>
      <c r="V98" s="309"/>
      <c r="W98" s="216"/>
      <c r="X98" s="211"/>
      <c r="AB98" s="2" t="str">
        <f t="shared" si="26"/>
        <v>Frontière</v>
      </c>
    </row>
    <row r="99" spans="1:28" ht="15" customHeight="1">
      <c r="A99" s="20" t="str">
        <f t="shared" si="17"/>
        <v>X</v>
      </c>
      <c r="B99" s="1013"/>
      <c r="C99" s="1009"/>
      <c r="D99" s="993"/>
      <c r="E99" s="905" t="s">
        <v>46</v>
      </c>
      <c r="F99" s="435" t="s">
        <v>62</v>
      </c>
      <c r="G99" s="252">
        <v>31</v>
      </c>
      <c r="H99" s="253">
        <f t="shared" si="28"/>
        <v>31</v>
      </c>
      <c r="I99" s="254">
        <v>0.28999999999999998</v>
      </c>
      <c r="J99" s="255">
        <f t="shared" si="13"/>
        <v>8.99</v>
      </c>
      <c r="K99" s="254">
        <v>0.32</v>
      </c>
      <c r="L99" s="255">
        <f t="shared" si="14"/>
        <v>9.92</v>
      </c>
      <c r="M99" s="254">
        <v>0.3</v>
      </c>
      <c r="N99" s="851">
        <f t="shared" si="24"/>
        <v>2.976</v>
      </c>
      <c r="O99" s="242"/>
      <c r="P99" s="243"/>
      <c r="Q99" s="242"/>
      <c r="R99" s="243"/>
      <c r="S99" s="307"/>
      <c r="T99" s="308"/>
      <c r="U99" s="307"/>
      <c r="V99" s="309"/>
      <c r="W99" s="216"/>
      <c r="X99" s="211"/>
      <c r="AB99" s="2" t="str">
        <f t="shared" si="26"/>
        <v>Frontière</v>
      </c>
    </row>
    <row r="100" spans="1:28" ht="15" customHeight="1">
      <c r="A100" s="20" t="str">
        <f t="shared" si="17"/>
        <v>X</v>
      </c>
      <c r="B100" s="1013"/>
      <c r="C100" s="1009"/>
      <c r="D100" s="993"/>
      <c r="E100" s="905" t="s">
        <v>35</v>
      </c>
      <c r="F100" s="435" t="s">
        <v>62</v>
      </c>
      <c r="G100" s="252">
        <v>3</v>
      </c>
      <c r="H100" s="253">
        <f t="shared" si="28"/>
        <v>3</v>
      </c>
      <c r="I100" s="254">
        <v>0</v>
      </c>
      <c r="J100" s="255">
        <f t="shared" si="13"/>
        <v>0</v>
      </c>
      <c r="K100" s="254">
        <v>0</v>
      </c>
      <c r="L100" s="255">
        <f t="shared" si="14"/>
        <v>0</v>
      </c>
      <c r="M100" s="254" t="s">
        <v>21</v>
      </c>
      <c r="N100" s="851" t="str">
        <f t="shared" si="24"/>
        <v>-</v>
      </c>
      <c r="O100" s="242"/>
      <c r="P100" s="243"/>
      <c r="Q100" s="242"/>
      <c r="R100" s="243"/>
      <c r="S100" s="307"/>
      <c r="T100" s="308"/>
      <c r="U100" s="307"/>
      <c r="V100" s="309"/>
      <c r="W100" s="216"/>
      <c r="X100" s="211"/>
      <c r="AB100" s="2" t="str">
        <f t="shared" si="26"/>
        <v>Frontière</v>
      </c>
    </row>
    <row r="101" spans="1:28" ht="15" customHeight="1">
      <c r="A101" s="20" t="str">
        <f t="shared" si="17"/>
        <v>X</v>
      </c>
      <c r="B101" s="1013"/>
      <c r="C101" s="1009"/>
      <c r="D101" s="993"/>
      <c r="E101" s="905" t="s">
        <v>34</v>
      </c>
      <c r="F101" s="435" t="s">
        <v>62</v>
      </c>
      <c r="G101" s="252">
        <v>13</v>
      </c>
      <c r="H101" s="253">
        <f>G101</f>
        <v>13</v>
      </c>
      <c r="I101" s="254">
        <v>0.23</v>
      </c>
      <c r="J101" s="255">
        <f t="shared" si="13"/>
        <v>2.99</v>
      </c>
      <c r="K101" s="254">
        <v>0.15</v>
      </c>
      <c r="L101" s="255">
        <f t="shared" si="14"/>
        <v>1.95</v>
      </c>
      <c r="M101" s="254">
        <v>0.5</v>
      </c>
      <c r="N101" s="851">
        <f t="shared" si="24"/>
        <v>0.97499999999999998</v>
      </c>
      <c r="O101" s="242"/>
      <c r="P101" s="243"/>
      <c r="Q101" s="242"/>
      <c r="R101" s="243"/>
      <c r="S101" s="307"/>
      <c r="T101" s="308"/>
      <c r="U101" s="307"/>
      <c r="V101" s="309"/>
      <c r="W101" s="216"/>
      <c r="X101" s="211"/>
      <c r="AB101" s="2" t="str">
        <f t="shared" si="26"/>
        <v>Frontière</v>
      </c>
    </row>
    <row r="102" spans="1:28" ht="15.75" customHeight="1">
      <c r="A102" s="20" t="str">
        <f t="shared" si="17"/>
        <v/>
      </c>
      <c r="B102" s="1013"/>
      <c r="C102" s="1009"/>
      <c r="D102" s="993"/>
      <c r="E102" s="905" t="s">
        <v>147</v>
      </c>
      <c r="F102" s="435" t="s">
        <v>62</v>
      </c>
      <c r="G102" s="252"/>
      <c r="H102" s="253"/>
      <c r="I102" s="254"/>
      <c r="J102" s="255"/>
      <c r="K102" s="254"/>
      <c r="L102" s="255"/>
      <c r="M102" s="254"/>
      <c r="N102" s="851"/>
      <c r="O102" s="242"/>
      <c r="P102" s="243"/>
      <c r="Q102" s="242"/>
      <c r="R102" s="243"/>
      <c r="S102" s="307"/>
      <c r="T102" s="308"/>
      <c r="U102" s="307"/>
      <c r="V102" s="309"/>
      <c r="W102" s="216"/>
      <c r="X102" s="211"/>
      <c r="AB102" s="2" t="str">
        <f t="shared" si="26"/>
        <v/>
      </c>
    </row>
    <row r="103" spans="1:28" ht="15.75" customHeight="1">
      <c r="A103" s="20" t="str">
        <f t="shared" si="17"/>
        <v/>
      </c>
      <c r="B103" s="1013"/>
      <c r="C103" s="1009"/>
      <c r="D103" s="993"/>
      <c r="E103" s="961" t="s">
        <v>166</v>
      </c>
      <c r="F103" s="435" t="s">
        <v>62</v>
      </c>
      <c r="G103" s="252"/>
      <c r="H103" s="253"/>
      <c r="I103" s="254"/>
      <c r="J103" s="255"/>
      <c r="K103" s="254"/>
      <c r="L103" s="255"/>
      <c r="M103" s="254"/>
      <c r="N103" s="851"/>
      <c r="O103" s="242"/>
      <c r="P103" s="243"/>
      <c r="Q103" s="242"/>
      <c r="R103" s="243"/>
      <c r="S103" s="307"/>
      <c r="T103" s="308"/>
      <c r="U103" s="307"/>
      <c r="V103" s="309"/>
      <c r="W103" s="216"/>
      <c r="X103" s="211"/>
      <c r="AB103" s="2" t="str">
        <f t="shared" si="26"/>
        <v/>
      </c>
    </row>
    <row r="104" spans="1:28" ht="15.75" customHeight="1">
      <c r="A104" s="20" t="str">
        <f t="shared" si="17"/>
        <v/>
      </c>
      <c r="B104" s="1013"/>
      <c r="C104" s="1009"/>
      <c r="D104" s="993"/>
      <c r="E104" s="961" t="s">
        <v>166</v>
      </c>
      <c r="F104" s="435" t="s">
        <v>62</v>
      </c>
      <c r="G104" s="252"/>
      <c r="H104" s="253"/>
      <c r="I104" s="254"/>
      <c r="J104" s="255"/>
      <c r="K104" s="254"/>
      <c r="L104" s="255"/>
      <c r="M104" s="254"/>
      <c r="N104" s="851"/>
      <c r="O104" s="242"/>
      <c r="P104" s="243"/>
      <c r="Q104" s="242"/>
      <c r="R104" s="243"/>
      <c r="S104" s="307"/>
      <c r="T104" s="308"/>
      <c r="U104" s="307"/>
      <c r="V104" s="309"/>
      <c r="W104" s="216"/>
      <c r="X104" s="211"/>
      <c r="AB104" s="2" t="str">
        <f t="shared" si="26"/>
        <v/>
      </c>
    </row>
    <row r="105" spans="1:28" ht="15.75" customHeight="1">
      <c r="A105" s="20" t="str">
        <f t="shared" si="17"/>
        <v/>
      </c>
      <c r="B105" s="1013"/>
      <c r="C105" s="1009"/>
      <c r="D105" s="993"/>
      <c r="E105" s="905" t="s">
        <v>146</v>
      </c>
      <c r="F105" s="435" t="s">
        <v>62</v>
      </c>
      <c r="G105" s="252"/>
      <c r="H105" s="253"/>
      <c r="I105" s="254"/>
      <c r="J105" s="255"/>
      <c r="K105" s="254"/>
      <c r="L105" s="255"/>
      <c r="M105" s="254"/>
      <c r="N105" s="851"/>
      <c r="O105" s="242"/>
      <c r="P105" s="243"/>
      <c r="Q105" s="242"/>
      <c r="R105" s="243"/>
      <c r="S105" s="307"/>
      <c r="T105" s="308"/>
      <c r="U105" s="307"/>
      <c r="V105" s="309"/>
      <c r="W105" s="216"/>
      <c r="X105" s="211"/>
      <c r="AB105" s="2" t="str">
        <f t="shared" si="26"/>
        <v/>
      </c>
    </row>
    <row r="106" spans="1:28" ht="15.75" customHeight="1">
      <c r="A106" s="20" t="str">
        <f t="shared" si="17"/>
        <v/>
      </c>
      <c r="B106" s="1013"/>
      <c r="C106" s="1009"/>
      <c r="D106" s="993"/>
      <c r="E106" s="961" t="s">
        <v>166</v>
      </c>
      <c r="F106" s="435"/>
      <c r="G106" s="252"/>
      <c r="H106" s="253"/>
      <c r="I106" s="254"/>
      <c r="J106" s="255"/>
      <c r="K106" s="254"/>
      <c r="L106" s="255"/>
      <c r="M106" s="254"/>
      <c r="N106" s="851"/>
      <c r="O106" s="242"/>
      <c r="P106" s="243"/>
      <c r="Q106" s="242"/>
      <c r="R106" s="243"/>
      <c r="S106" s="307"/>
      <c r="T106" s="308"/>
      <c r="U106" s="307"/>
      <c r="V106" s="309"/>
      <c r="W106" s="216"/>
      <c r="X106" s="211"/>
    </row>
    <row r="107" spans="1:28" ht="15.75" customHeight="1">
      <c r="A107" s="20" t="str">
        <f t="shared" si="17"/>
        <v/>
      </c>
      <c r="B107" s="1013"/>
      <c r="C107" s="1009"/>
      <c r="D107" s="993"/>
      <c r="E107" s="961" t="s">
        <v>166</v>
      </c>
      <c r="F107" s="435"/>
      <c r="G107" s="252"/>
      <c r="H107" s="253"/>
      <c r="I107" s="254"/>
      <c r="J107" s="255"/>
      <c r="K107" s="254"/>
      <c r="L107" s="255"/>
      <c r="M107" s="254"/>
      <c r="N107" s="851"/>
      <c r="O107" s="242"/>
      <c r="P107" s="243"/>
      <c r="Q107" s="242"/>
      <c r="R107" s="243"/>
      <c r="S107" s="307"/>
      <c r="T107" s="308"/>
      <c r="U107" s="307"/>
      <c r="V107" s="309"/>
      <c r="W107" s="216"/>
      <c r="X107" s="211"/>
    </row>
    <row r="108" spans="1:28" ht="15.75" customHeight="1">
      <c r="A108" s="20" t="str">
        <f t="shared" si="17"/>
        <v/>
      </c>
      <c r="B108" s="1013"/>
      <c r="C108" s="1009"/>
      <c r="D108" s="993"/>
      <c r="E108" s="962" t="s">
        <v>166</v>
      </c>
      <c r="F108" s="256"/>
      <c r="G108" s="257"/>
      <c r="H108" s="258"/>
      <c r="I108" s="259"/>
      <c r="J108" s="260"/>
      <c r="K108" s="259"/>
      <c r="L108" s="260"/>
      <c r="M108" s="259"/>
      <c r="N108" s="856"/>
      <c r="O108" s="244"/>
      <c r="P108" s="245"/>
      <c r="Q108" s="244"/>
      <c r="R108" s="245"/>
      <c r="S108" s="310"/>
      <c r="T108" s="311"/>
      <c r="U108" s="310"/>
      <c r="V108" s="312"/>
      <c r="W108" s="216"/>
      <c r="X108" s="211"/>
    </row>
    <row r="109" spans="1:28" ht="15.75">
      <c r="A109" s="20" t="str">
        <f t="shared" si="17"/>
        <v>S</v>
      </c>
      <c r="B109" s="1018"/>
      <c r="C109" s="1009"/>
      <c r="D109" s="332" t="s">
        <v>138</v>
      </c>
      <c r="E109" s="898"/>
      <c r="F109" s="210"/>
      <c r="G109" s="7">
        <f>SUM(G96:G108)</f>
        <v>167</v>
      </c>
      <c r="H109" s="8">
        <f>SUM(H96:H108)</f>
        <v>167</v>
      </c>
      <c r="I109" s="9">
        <f>J109/G109</f>
        <v>0.45035928143712572</v>
      </c>
      <c r="J109" s="213">
        <f>SUM(J96:J108)</f>
        <v>75.209999999999994</v>
      </c>
      <c r="K109" s="52">
        <f>L109/G109</f>
        <v>0.37479041916167671</v>
      </c>
      <c r="L109" s="213">
        <f>SUM(L96:L108)</f>
        <v>62.590000000000011</v>
      </c>
      <c r="M109" s="9">
        <f>N109/L109</f>
        <v>0.55760025563189008</v>
      </c>
      <c r="N109" s="213">
        <f t="shared" ref="N109:V109" si="29">SUM(N96:N108)</f>
        <v>34.900200000000005</v>
      </c>
      <c r="O109" s="120">
        <f t="shared" si="29"/>
        <v>0</v>
      </c>
      <c r="P109" s="121">
        <f t="shared" si="29"/>
        <v>0</v>
      </c>
      <c r="Q109" s="120">
        <f t="shared" si="29"/>
        <v>0</v>
      </c>
      <c r="R109" s="121">
        <f t="shared" si="29"/>
        <v>0</v>
      </c>
      <c r="S109" s="120">
        <f t="shared" si="29"/>
        <v>0</v>
      </c>
      <c r="T109" s="121">
        <f t="shared" si="29"/>
        <v>0</v>
      </c>
      <c r="U109" s="120">
        <f t="shared" si="29"/>
        <v>0</v>
      </c>
      <c r="V109" s="122">
        <f t="shared" si="29"/>
        <v>0</v>
      </c>
      <c r="W109" s="216"/>
      <c r="X109" s="211"/>
      <c r="AB109" s="2">
        <f t="shared" si="26"/>
        <v>0</v>
      </c>
    </row>
    <row r="110" spans="1:28">
      <c r="A110" s="20" t="str">
        <f t="shared" si="17"/>
        <v/>
      </c>
      <c r="B110" s="1007" t="s">
        <v>2</v>
      </c>
      <c r="C110" s="1016" t="s">
        <v>76</v>
      </c>
      <c r="D110" s="994">
        <v>14</v>
      </c>
      <c r="E110" s="903" t="s">
        <v>154</v>
      </c>
      <c r="F110" s="432" t="s">
        <v>62</v>
      </c>
      <c r="G110" s="734"/>
      <c r="H110" s="735"/>
      <c r="I110" s="238"/>
      <c r="J110" s="250"/>
      <c r="K110" s="249"/>
      <c r="L110" s="250"/>
      <c r="M110" s="238"/>
      <c r="N110" s="846"/>
      <c r="O110" s="240"/>
      <c r="P110" s="241"/>
      <c r="Q110" s="240"/>
      <c r="R110" s="241"/>
      <c r="S110" s="304"/>
      <c r="T110" s="305"/>
      <c r="U110" s="304"/>
      <c r="V110" s="306"/>
      <c r="W110" s="277"/>
      <c r="X110" s="233"/>
      <c r="AB110" s="2" t="str">
        <f t="shared" si="26"/>
        <v/>
      </c>
    </row>
    <row r="111" spans="1:28" ht="15.75" customHeight="1">
      <c r="A111" s="20" t="str">
        <f t="shared" si="17"/>
        <v/>
      </c>
      <c r="B111" s="1007"/>
      <c r="C111" s="1016"/>
      <c r="D111" s="994"/>
      <c r="E111" s="905" t="s">
        <v>155</v>
      </c>
      <c r="F111" s="435" t="s">
        <v>62</v>
      </c>
      <c r="G111" s="736"/>
      <c r="H111" s="737"/>
      <c r="I111" s="239"/>
      <c r="J111" s="255"/>
      <c r="K111" s="254"/>
      <c r="L111" s="255"/>
      <c r="M111" s="239"/>
      <c r="N111" s="851"/>
      <c r="O111" s="242"/>
      <c r="P111" s="243"/>
      <c r="Q111" s="242"/>
      <c r="R111" s="243"/>
      <c r="S111" s="307"/>
      <c r="T111" s="308"/>
      <c r="U111" s="307"/>
      <c r="V111" s="309"/>
      <c r="W111" s="278"/>
      <c r="X111" s="234"/>
      <c r="AB111" s="2" t="str">
        <f t="shared" si="26"/>
        <v/>
      </c>
    </row>
    <row r="112" spans="1:28" ht="15.75" customHeight="1">
      <c r="A112" s="20" t="str">
        <f t="shared" si="17"/>
        <v/>
      </c>
      <c r="B112" s="1007"/>
      <c r="C112" s="1016"/>
      <c r="D112" s="994"/>
      <c r="E112" s="905" t="s">
        <v>156</v>
      </c>
      <c r="F112" s="435" t="s">
        <v>62</v>
      </c>
      <c r="G112" s="736"/>
      <c r="H112" s="737"/>
      <c r="I112" s="239"/>
      <c r="J112" s="255"/>
      <c r="K112" s="254"/>
      <c r="L112" s="255"/>
      <c r="M112" s="239"/>
      <c r="N112" s="851"/>
      <c r="O112" s="242"/>
      <c r="P112" s="243"/>
      <c r="Q112" s="242"/>
      <c r="R112" s="243"/>
      <c r="S112" s="307"/>
      <c r="T112" s="308"/>
      <c r="U112" s="307"/>
      <c r="V112" s="309"/>
      <c r="W112" s="278"/>
      <c r="X112" s="234"/>
      <c r="AB112" s="2" t="str">
        <f t="shared" si="26"/>
        <v/>
      </c>
    </row>
    <row r="113" spans="1:28" ht="15" customHeight="1">
      <c r="A113" s="20" t="str">
        <f t="shared" si="17"/>
        <v>X</v>
      </c>
      <c r="B113" s="1007"/>
      <c r="C113" s="1016"/>
      <c r="D113" s="994"/>
      <c r="E113" s="905" t="s">
        <v>37</v>
      </c>
      <c r="F113" s="438" t="s">
        <v>62</v>
      </c>
      <c r="G113" s="252">
        <v>217</v>
      </c>
      <c r="H113" s="253">
        <v>102</v>
      </c>
      <c r="I113" s="254">
        <v>0.28999999999999998</v>
      </c>
      <c r="J113" s="255">
        <f t="shared" si="13"/>
        <v>62.929999999999993</v>
      </c>
      <c r="K113" s="254">
        <v>0.32</v>
      </c>
      <c r="L113" s="255">
        <v>69</v>
      </c>
      <c r="M113" s="254" t="s">
        <v>21</v>
      </c>
      <c r="N113" s="851" t="str">
        <f t="shared" si="24"/>
        <v>-</v>
      </c>
      <c r="O113" s="242">
        <v>27</v>
      </c>
      <c r="P113" s="243">
        <v>8</v>
      </c>
      <c r="Q113" s="242">
        <v>33</v>
      </c>
      <c r="R113" s="243">
        <v>14</v>
      </c>
      <c r="S113" s="307">
        <v>241</v>
      </c>
      <c r="T113" s="308">
        <v>112</v>
      </c>
      <c r="U113" s="307">
        <v>9</v>
      </c>
      <c r="V113" s="309">
        <v>4</v>
      </c>
      <c r="W113" s="278"/>
      <c r="X113" s="234"/>
      <c r="AB113" s="2" t="str">
        <f t="shared" si="26"/>
        <v>Frontière</v>
      </c>
    </row>
    <row r="114" spans="1:28" ht="15" customHeight="1">
      <c r="A114" s="20" t="str">
        <f t="shared" ref="A114:A159" si="30">IF(D114="Sous-total","S",IF(G114="","","X"))</f>
        <v>X</v>
      </c>
      <c r="B114" s="1007"/>
      <c r="C114" s="1016"/>
      <c r="D114" s="994"/>
      <c r="E114" s="905" t="s">
        <v>157</v>
      </c>
      <c r="F114" s="438" t="s">
        <v>62</v>
      </c>
      <c r="G114" s="252">
        <v>156</v>
      </c>
      <c r="H114" s="253">
        <v>87</v>
      </c>
      <c r="I114" s="254">
        <v>0.4</v>
      </c>
      <c r="J114" s="255">
        <f t="shared" si="13"/>
        <v>62.400000000000006</v>
      </c>
      <c r="K114" s="254">
        <v>0.39</v>
      </c>
      <c r="L114" s="255">
        <v>61</v>
      </c>
      <c r="M114" s="254" t="s">
        <v>21</v>
      </c>
      <c r="N114" s="851" t="str">
        <f t="shared" si="24"/>
        <v>-</v>
      </c>
      <c r="O114" s="242">
        <v>7</v>
      </c>
      <c r="P114" s="243">
        <v>5</v>
      </c>
      <c r="Q114" s="242">
        <v>4</v>
      </c>
      <c r="R114" s="243">
        <v>1</v>
      </c>
      <c r="S114" s="307">
        <v>146</v>
      </c>
      <c r="T114" s="308">
        <v>81</v>
      </c>
      <c r="U114" s="307">
        <v>14</v>
      </c>
      <c r="V114" s="309">
        <v>7</v>
      </c>
      <c r="W114" s="278"/>
      <c r="X114" s="234"/>
      <c r="AB114" s="2" t="str">
        <f t="shared" si="26"/>
        <v>Frontière</v>
      </c>
    </row>
    <row r="115" spans="1:28" ht="15" customHeight="1">
      <c r="A115" s="20" t="str">
        <f t="shared" si="30"/>
        <v>X</v>
      </c>
      <c r="B115" s="1007"/>
      <c r="C115" s="1016"/>
      <c r="D115" s="994"/>
      <c r="E115" s="905" t="s">
        <v>38</v>
      </c>
      <c r="F115" s="438" t="s">
        <v>62</v>
      </c>
      <c r="G115" s="252">
        <v>167</v>
      </c>
      <c r="H115" s="253">
        <v>80</v>
      </c>
      <c r="I115" s="254">
        <v>0.26</v>
      </c>
      <c r="J115" s="255">
        <f t="shared" si="13"/>
        <v>43.42</v>
      </c>
      <c r="K115" s="254">
        <v>0.37</v>
      </c>
      <c r="L115" s="255">
        <v>62</v>
      </c>
      <c r="M115" s="254" t="s">
        <v>21</v>
      </c>
      <c r="N115" s="851" t="str">
        <f t="shared" si="24"/>
        <v>-</v>
      </c>
      <c r="O115" s="242">
        <v>7</v>
      </c>
      <c r="P115" s="243">
        <v>3</v>
      </c>
      <c r="Q115" s="242">
        <v>33</v>
      </c>
      <c r="R115" s="243">
        <v>14</v>
      </c>
      <c r="S115" s="307">
        <v>153</v>
      </c>
      <c r="T115" s="308">
        <v>74</v>
      </c>
      <c r="U115" s="307">
        <v>47</v>
      </c>
      <c r="V115" s="309">
        <v>20</v>
      </c>
      <c r="W115" s="278"/>
      <c r="X115" s="234"/>
      <c r="AB115" s="2" t="str">
        <f t="shared" si="26"/>
        <v>Frontière</v>
      </c>
    </row>
    <row r="116" spans="1:28" ht="15" customHeight="1">
      <c r="A116" s="20" t="str">
        <f t="shared" si="30"/>
        <v/>
      </c>
      <c r="B116" s="1007"/>
      <c r="C116" s="1016"/>
      <c r="D116" s="994"/>
      <c r="E116" s="905" t="s">
        <v>158</v>
      </c>
      <c r="F116" s="435" t="s">
        <v>62</v>
      </c>
      <c r="G116" s="252"/>
      <c r="H116" s="253"/>
      <c r="I116" s="254">
        <v>0.26</v>
      </c>
      <c r="J116" s="255"/>
      <c r="K116" s="254">
        <v>0.37</v>
      </c>
      <c r="L116" s="255"/>
      <c r="M116" s="254" t="s">
        <v>21</v>
      </c>
      <c r="N116" s="851"/>
      <c r="O116" s="242"/>
      <c r="P116" s="243"/>
      <c r="Q116" s="242"/>
      <c r="R116" s="243"/>
      <c r="S116" s="307"/>
      <c r="T116" s="308"/>
      <c r="U116" s="307"/>
      <c r="V116" s="309"/>
      <c r="W116" s="278"/>
      <c r="X116" s="234"/>
      <c r="AB116" s="2" t="str">
        <f t="shared" si="26"/>
        <v/>
      </c>
    </row>
    <row r="117" spans="1:28" ht="15" customHeight="1">
      <c r="A117" s="20" t="str">
        <f t="shared" si="30"/>
        <v/>
      </c>
      <c r="B117" s="1007"/>
      <c r="C117" s="1016"/>
      <c r="D117" s="994"/>
      <c r="E117" s="905" t="s">
        <v>148</v>
      </c>
      <c r="F117" s="435" t="s">
        <v>62</v>
      </c>
      <c r="G117" s="252"/>
      <c r="H117" s="253"/>
      <c r="I117" s="254">
        <v>0.26</v>
      </c>
      <c r="J117" s="255"/>
      <c r="K117" s="254">
        <v>0.37</v>
      </c>
      <c r="L117" s="255"/>
      <c r="M117" s="254" t="s">
        <v>21</v>
      </c>
      <c r="N117" s="851"/>
      <c r="O117" s="242"/>
      <c r="P117" s="243"/>
      <c r="Q117" s="242"/>
      <c r="R117" s="243"/>
      <c r="S117" s="307"/>
      <c r="T117" s="308"/>
      <c r="U117" s="307"/>
      <c r="V117" s="309"/>
      <c r="W117" s="278"/>
      <c r="X117" s="234"/>
      <c r="AB117" s="2" t="str">
        <f t="shared" si="26"/>
        <v/>
      </c>
    </row>
    <row r="118" spans="1:28" ht="15" customHeight="1">
      <c r="A118" s="20" t="str">
        <f t="shared" si="30"/>
        <v/>
      </c>
      <c r="B118" s="1007"/>
      <c r="C118" s="1016"/>
      <c r="D118" s="994"/>
      <c r="E118" s="905" t="s">
        <v>149</v>
      </c>
      <c r="F118" s="438" t="s">
        <v>62</v>
      </c>
      <c r="G118" s="252"/>
      <c r="H118" s="253"/>
      <c r="I118" s="254">
        <v>0.26</v>
      </c>
      <c r="J118" s="255"/>
      <c r="K118" s="254">
        <v>0.37</v>
      </c>
      <c r="L118" s="255"/>
      <c r="M118" s="254" t="s">
        <v>21</v>
      </c>
      <c r="N118" s="851"/>
      <c r="O118" s="242"/>
      <c r="P118" s="243"/>
      <c r="Q118" s="242"/>
      <c r="R118" s="243"/>
      <c r="S118" s="307"/>
      <c r="T118" s="308"/>
      <c r="U118" s="307"/>
      <c r="V118" s="309"/>
      <c r="W118" s="278"/>
      <c r="X118" s="234"/>
      <c r="AB118" s="2" t="str">
        <f t="shared" si="26"/>
        <v/>
      </c>
    </row>
    <row r="119" spans="1:28" ht="15" customHeight="1">
      <c r="A119" s="20" t="str">
        <f t="shared" si="30"/>
        <v/>
      </c>
      <c r="B119" s="1007"/>
      <c r="C119" s="1016"/>
      <c r="D119" s="994"/>
      <c r="E119" s="961" t="s">
        <v>166</v>
      </c>
      <c r="F119" s="438" t="s">
        <v>62</v>
      </c>
      <c r="G119" s="252"/>
      <c r="H119" s="253"/>
      <c r="I119" s="254">
        <v>0.26</v>
      </c>
      <c r="J119" s="255"/>
      <c r="K119" s="254">
        <v>0.37</v>
      </c>
      <c r="L119" s="255"/>
      <c r="M119" s="254" t="s">
        <v>21</v>
      </c>
      <c r="N119" s="851"/>
      <c r="O119" s="242"/>
      <c r="P119" s="243"/>
      <c r="Q119" s="242"/>
      <c r="R119" s="243"/>
      <c r="S119" s="307"/>
      <c r="T119" s="308"/>
      <c r="U119" s="307"/>
      <c r="V119" s="309"/>
      <c r="W119" s="278"/>
      <c r="X119" s="234"/>
      <c r="AB119" s="2" t="str">
        <f t="shared" si="26"/>
        <v/>
      </c>
    </row>
    <row r="120" spans="1:28" ht="15" customHeight="1">
      <c r="A120" s="20" t="str">
        <f t="shared" si="30"/>
        <v/>
      </c>
      <c r="B120" s="1007"/>
      <c r="C120" s="1016"/>
      <c r="D120" s="994"/>
      <c r="E120" s="961" t="s">
        <v>166</v>
      </c>
      <c r="F120" s="438" t="s">
        <v>62</v>
      </c>
      <c r="G120" s="252"/>
      <c r="H120" s="253"/>
      <c r="I120" s="254">
        <v>0.26</v>
      </c>
      <c r="J120" s="255"/>
      <c r="K120" s="254">
        <v>0.37</v>
      </c>
      <c r="L120" s="255"/>
      <c r="M120" s="254" t="s">
        <v>21</v>
      </c>
      <c r="N120" s="851"/>
      <c r="O120" s="242"/>
      <c r="P120" s="243"/>
      <c r="Q120" s="242"/>
      <c r="R120" s="243"/>
      <c r="S120" s="307"/>
      <c r="T120" s="308"/>
      <c r="U120" s="307"/>
      <c r="V120" s="309"/>
      <c r="W120" s="278"/>
      <c r="X120" s="234"/>
      <c r="AB120" s="2" t="str">
        <f t="shared" si="26"/>
        <v/>
      </c>
    </row>
    <row r="121" spans="1:28" ht="15" customHeight="1">
      <c r="A121" s="20" t="str">
        <f t="shared" si="30"/>
        <v/>
      </c>
      <c r="B121" s="1007"/>
      <c r="C121" s="1016"/>
      <c r="D121" s="994"/>
      <c r="E121" s="905" t="s">
        <v>152</v>
      </c>
      <c r="F121" s="438" t="s">
        <v>62</v>
      </c>
      <c r="G121" s="252"/>
      <c r="H121" s="253"/>
      <c r="I121" s="254"/>
      <c r="J121" s="255"/>
      <c r="K121" s="254"/>
      <c r="L121" s="255"/>
      <c r="M121" s="254"/>
      <c r="N121" s="851"/>
      <c r="O121" s="242"/>
      <c r="P121" s="243"/>
      <c r="Q121" s="242"/>
      <c r="R121" s="243"/>
      <c r="S121" s="307"/>
      <c r="T121" s="308"/>
      <c r="U121" s="307"/>
      <c r="V121" s="309"/>
      <c r="W121" s="278"/>
      <c r="X121" s="234"/>
      <c r="AB121" s="2" t="str">
        <f t="shared" si="26"/>
        <v/>
      </c>
    </row>
    <row r="122" spans="1:28" ht="15" customHeight="1">
      <c r="A122" s="20" t="str">
        <f t="shared" si="30"/>
        <v/>
      </c>
      <c r="B122" s="1007"/>
      <c r="C122" s="1016"/>
      <c r="D122" s="994"/>
      <c r="E122" s="961" t="s">
        <v>166</v>
      </c>
      <c r="F122" s="438"/>
      <c r="G122" s="252"/>
      <c r="H122" s="253"/>
      <c r="I122" s="254"/>
      <c r="J122" s="255"/>
      <c r="K122" s="254"/>
      <c r="L122" s="255"/>
      <c r="M122" s="254"/>
      <c r="N122" s="851"/>
      <c r="O122" s="242"/>
      <c r="P122" s="243"/>
      <c r="Q122" s="242"/>
      <c r="R122" s="243"/>
      <c r="S122" s="307"/>
      <c r="T122" s="308"/>
      <c r="U122" s="307"/>
      <c r="V122" s="309"/>
      <c r="W122" s="279"/>
      <c r="X122" s="263"/>
    </row>
    <row r="123" spans="1:28" ht="15" customHeight="1">
      <c r="A123" s="20" t="str">
        <f t="shared" si="30"/>
        <v/>
      </c>
      <c r="B123" s="1007"/>
      <c r="C123" s="1016"/>
      <c r="D123" s="994"/>
      <c r="E123" s="961" t="s">
        <v>166</v>
      </c>
      <c r="F123" s="438"/>
      <c r="G123" s="252"/>
      <c r="H123" s="253"/>
      <c r="I123" s="254"/>
      <c r="J123" s="255"/>
      <c r="K123" s="254"/>
      <c r="L123" s="255"/>
      <c r="M123" s="254"/>
      <c r="N123" s="851"/>
      <c r="O123" s="242"/>
      <c r="P123" s="243"/>
      <c r="Q123" s="242"/>
      <c r="R123" s="243"/>
      <c r="S123" s="307"/>
      <c r="T123" s="308"/>
      <c r="U123" s="307"/>
      <c r="V123" s="309"/>
      <c r="W123" s="279"/>
      <c r="X123" s="263"/>
    </row>
    <row r="124" spans="1:28" ht="15" customHeight="1">
      <c r="A124" s="20" t="str">
        <f t="shared" si="30"/>
        <v/>
      </c>
      <c r="B124" s="1007"/>
      <c r="C124" s="1016"/>
      <c r="D124" s="994"/>
      <c r="E124" s="962" t="s">
        <v>166</v>
      </c>
      <c r="F124" s="480"/>
      <c r="G124" s="257"/>
      <c r="H124" s="258"/>
      <c r="I124" s="259"/>
      <c r="J124" s="260"/>
      <c r="K124" s="259"/>
      <c r="L124" s="260"/>
      <c r="M124" s="259"/>
      <c r="N124" s="856"/>
      <c r="O124" s="244"/>
      <c r="P124" s="245"/>
      <c r="Q124" s="244"/>
      <c r="R124" s="245"/>
      <c r="S124" s="310"/>
      <c r="T124" s="311"/>
      <c r="U124" s="310"/>
      <c r="V124" s="312"/>
      <c r="W124" s="279"/>
      <c r="X124" s="263"/>
    </row>
    <row r="125" spans="1:28" ht="15.75">
      <c r="A125" s="20" t="str">
        <f t="shared" si="30"/>
        <v>S</v>
      </c>
      <c r="B125" s="1007"/>
      <c r="C125" s="1016"/>
      <c r="D125" s="333" t="s">
        <v>138</v>
      </c>
      <c r="E125" s="898"/>
      <c r="F125" s="264"/>
      <c r="G125" s="7">
        <f>SUM(G110:G124)</f>
        <v>540</v>
      </c>
      <c r="H125" s="8">
        <f>SUM(H110:H124)</f>
        <v>269</v>
      </c>
      <c r="I125" s="9">
        <f>J125/G125</f>
        <v>0.3125</v>
      </c>
      <c r="J125" s="213">
        <f>SUM(J110:J124)</f>
        <v>168.75</v>
      </c>
      <c r="K125" s="52">
        <f>L125/G125</f>
        <v>0.35555555555555557</v>
      </c>
      <c r="L125" s="213">
        <f>SUM(L110:L124)</f>
        <v>192</v>
      </c>
      <c r="M125" s="9">
        <f>N125/L125</f>
        <v>0</v>
      </c>
      <c r="N125" s="213">
        <f t="shared" ref="N125:V125" si="31">SUM(N110:N124)</f>
        <v>0</v>
      </c>
      <c r="O125" s="120">
        <f t="shared" si="31"/>
        <v>41</v>
      </c>
      <c r="P125" s="121">
        <f t="shared" si="31"/>
        <v>16</v>
      </c>
      <c r="Q125" s="120">
        <f t="shared" si="31"/>
        <v>70</v>
      </c>
      <c r="R125" s="121">
        <f t="shared" si="31"/>
        <v>29</v>
      </c>
      <c r="S125" s="120">
        <f t="shared" si="31"/>
        <v>540</v>
      </c>
      <c r="T125" s="121">
        <f t="shared" si="31"/>
        <v>267</v>
      </c>
      <c r="U125" s="120">
        <f t="shared" si="31"/>
        <v>70</v>
      </c>
      <c r="V125" s="122">
        <f t="shared" si="31"/>
        <v>31</v>
      </c>
      <c r="W125" s="279"/>
      <c r="X125" s="263"/>
      <c r="AB125" s="2">
        <f t="shared" si="26"/>
        <v>0</v>
      </c>
    </row>
    <row r="126" spans="1:28" ht="15.75" customHeight="1">
      <c r="A126" s="20" t="str">
        <f t="shared" si="30"/>
        <v>X</v>
      </c>
      <c r="B126" s="1022" t="s">
        <v>72</v>
      </c>
      <c r="C126" s="1016" t="s">
        <v>76</v>
      </c>
      <c r="D126" s="994">
        <v>2</v>
      </c>
      <c r="E126" s="903" t="s">
        <v>150</v>
      </c>
      <c r="F126" s="473" t="s">
        <v>62</v>
      </c>
      <c r="G126" s="247">
        <v>21</v>
      </c>
      <c r="H126" s="248">
        <v>8</v>
      </c>
      <c r="I126" s="249">
        <v>0.28999999999999998</v>
      </c>
      <c r="J126" s="250">
        <f t="shared" si="13"/>
        <v>6.09</v>
      </c>
      <c r="K126" s="249">
        <v>0.32</v>
      </c>
      <c r="L126" s="250">
        <f t="shared" si="14"/>
        <v>6.72</v>
      </c>
      <c r="M126" s="249" t="s">
        <v>21</v>
      </c>
      <c r="N126" s="846">
        <v>0</v>
      </c>
      <c r="O126" s="240">
        <v>1</v>
      </c>
      <c r="P126" s="241">
        <v>0</v>
      </c>
      <c r="Q126" s="240">
        <v>7</v>
      </c>
      <c r="R126" s="241">
        <v>5</v>
      </c>
      <c r="S126" s="304">
        <v>19</v>
      </c>
      <c r="T126" s="305">
        <v>8</v>
      </c>
      <c r="U126" s="304">
        <v>9</v>
      </c>
      <c r="V126" s="306">
        <v>5</v>
      </c>
      <c r="W126" s="216"/>
      <c r="X126" s="211"/>
      <c r="AB126" s="2" t="str">
        <f t="shared" si="26"/>
        <v>Frontière</v>
      </c>
    </row>
    <row r="127" spans="1:28" ht="15.75" customHeight="1">
      <c r="A127" s="20" t="str">
        <f t="shared" si="30"/>
        <v/>
      </c>
      <c r="B127" s="1022"/>
      <c r="C127" s="1016"/>
      <c r="D127" s="994"/>
      <c r="E127" s="905" t="s">
        <v>153</v>
      </c>
      <c r="F127" s="438" t="s">
        <v>62</v>
      </c>
      <c r="G127" s="252"/>
      <c r="H127" s="253"/>
      <c r="I127" s="254"/>
      <c r="J127" s="255"/>
      <c r="K127" s="254"/>
      <c r="L127" s="255"/>
      <c r="M127" s="254"/>
      <c r="N127" s="851"/>
      <c r="O127" s="242"/>
      <c r="P127" s="243"/>
      <c r="Q127" s="242"/>
      <c r="R127" s="243"/>
      <c r="S127" s="307"/>
      <c r="T127" s="308"/>
      <c r="U127" s="307"/>
      <c r="V127" s="309"/>
      <c r="W127" s="216"/>
      <c r="X127" s="211"/>
      <c r="AB127" s="2" t="str">
        <f t="shared" si="26"/>
        <v/>
      </c>
    </row>
    <row r="128" spans="1:28" ht="15.75" customHeight="1">
      <c r="A128" s="20" t="str">
        <f t="shared" si="30"/>
        <v/>
      </c>
      <c r="B128" s="1022"/>
      <c r="C128" s="1016"/>
      <c r="D128" s="994"/>
      <c r="E128" s="961" t="s">
        <v>166</v>
      </c>
      <c r="F128" s="438" t="s">
        <v>62</v>
      </c>
      <c r="G128" s="252"/>
      <c r="H128" s="253"/>
      <c r="I128" s="254"/>
      <c r="J128" s="255"/>
      <c r="K128" s="254"/>
      <c r="L128" s="255"/>
      <c r="M128" s="254"/>
      <c r="N128" s="851"/>
      <c r="O128" s="242"/>
      <c r="P128" s="243"/>
      <c r="Q128" s="242"/>
      <c r="R128" s="243"/>
      <c r="S128" s="307"/>
      <c r="T128" s="308"/>
      <c r="U128" s="307"/>
      <c r="V128" s="309"/>
      <c r="W128" s="216"/>
      <c r="X128" s="211"/>
      <c r="AB128" s="2" t="str">
        <f t="shared" si="26"/>
        <v/>
      </c>
    </row>
    <row r="129" spans="1:28" ht="15.75" customHeight="1">
      <c r="A129" s="20" t="str">
        <f t="shared" si="30"/>
        <v/>
      </c>
      <c r="B129" s="1022"/>
      <c r="C129" s="1016"/>
      <c r="D129" s="994"/>
      <c r="E129" s="961" t="s">
        <v>166</v>
      </c>
      <c r="F129" s="438" t="s">
        <v>62</v>
      </c>
      <c r="G129" s="252"/>
      <c r="H129" s="253"/>
      <c r="I129" s="254"/>
      <c r="J129" s="255"/>
      <c r="K129" s="254"/>
      <c r="L129" s="255"/>
      <c r="M129" s="254"/>
      <c r="N129" s="851"/>
      <c r="O129" s="242"/>
      <c r="P129" s="243"/>
      <c r="Q129" s="242"/>
      <c r="R129" s="243"/>
      <c r="S129" s="307"/>
      <c r="T129" s="308"/>
      <c r="U129" s="307"/>
      <c r="V129" s="309"/>
      <c r="W129" s="216"/>
      <c r="X129" s="211"/>
      <c r="AB129" s="2" t="str">
        <f t="shared" si="26"/>
        <v/>
      </c>
    </row>
    <row r="130" spans="1:28" ht="15.75" customHeight="1">
      <c r="A130" s="20" t="str">
        <f t="shared" si="30"/>
        <v/>
      </c>
      <c r="B130" s="1022"/>
      <c r="C130" s="1016"/>
      <c r="D130" s="994"/>
      <c r="E130" s="905" t="s">
        <v>36</v>
      </c>
      <c r="F130" s="438" t="s">
        <v>62</v>
      </c>
      <c r="G130" s="252"/>
      <c r="H130" s="253"/>
      <c r="I130" s="254"/>
      <c r="J130" s="255"/>
      <c r="K130" s="254"/>
      <c r="L130" s="255"/>
      <c r="M130" s="254"/>
      <c r="N130" s="851"/>
      <c r="O130" s="242"/>
      <c r="P130" s="243"/>
      <c r="Q130" s="242"/>
      <c r="R130" s="243"/>
      <c r="S130" s="307"/>
      <c r="T130" s="308"/>
      <c r="U130" s="307"/>
      <c r="V130" s="309"/>
      <c r="W130" s="216"/>
      <c r="X130" s="211"/>
      <c r="AB130" s="2" t="str">
        <f t="shared" si="26"/>
        <v/>
      </c>
    </row>
    <row r="131" spans="1:28" ht="15.75" customHeight="1">
      <c r="A131" s="20" t="str">
        <f t="shared" si="30"/>
        <v/>
      </c>
      <c r="B131" s="1022"/>
      <c r="C131" s="1016"/>
      <c r="D131" s="994"/>
      <c r="E131" s="961" t="s">
        <v>166</v>
      </c>
      <c r="F131" s="438"/>
      <c r="G131" s="252"/>
      <c r="H131" s="253"/>
      <c r="I131" s="254"/>
      <c r="J131" s="255"/>
      <c r="K131" s="254"/>
      <c r="L131" s="255"/>
      <c r="M131" s="254"/>
      <c r="N131" s="851"/>
      <c r="O131" s="242"/>
      <c r="P131" s="243"/>
      <c r="Q131" s="242"/>
      <c r="R131" s="243"/>
      <c r="S131" s="307"/>
      <c r="T131" s="308"/>
      <c r="U131" s="307"/>
      <c r="V131" s="309"/>
      <c r="W131" s="216"/>
      <c r="X131" s="211"/>
    </row>
    <row r="132" spans="1:28" ht="15.75" customHeight="1">
      <c r="A132" s="20" t="str">
        <f t="shared" si="30"/>
        <v/>
      </c>
      <c r="B132" s="1022"/>
      <c r="C132" s="1016"/>
      <c r="D132" s="994"/>
      <c r="E132" s="961" t="s">
        <v>166</v>
      </c>
      <c r="F132" s="438"/>
      <c r="G132" s="252"/>
      <c r="H132" s="253"/>
      <c r="I132" s="254"/>
      <c r="J132" s="255"/>
      <c r="K132" s="254"/>
      <c r="L132" s="255"/>
      <c r="M132" s="254"/>
      <c r="N132" s="851"/>
      <c r="O132" s="242"/>
      <c r="P132" s="243"/>
      <c r="Q132" s="242"/>
      <c r="R132" s="243"/>
      <c r="S132" s="307"/>
      <c r="T132" s="308"/>
      <c r="U132" s="307"/>
      <c r="V132" s="309"/>
      <c r="W132" s="216"/>
      <c r="X132" s="211"/>
    </row>
    <row r="133" spans="1:28" ht="15.75" customHeight="1">
      <c r="A133" s="20" t="str">
        <f t="shared" si="30"/>
        <v/>
      </c>
      <c r="B133" s="1022"/>
      <c r="C133" s="1016"/>
      <c r="D133" s="994"/>
      <c r="E133" s="962" t="s">
        <v>166</v>
      </c>
      <c r="F133" s="480"/>
      <c r="G133" s="257"/>
      <c r="H133" s="258"/>
      <c r="I133" s="259"/>
      <c r="J133" s="260"/>
      <c r="K133" s="259"/>
      <c r="L133" s="260"/>
      <c r="M133" s="259"/>
      <c r="N133" s="856"/>
      <c r="O133" s="244"/>
      <c r="P133" s="245"/>
      <c r="Q133" s="244"/>
      <c r="R133" s="245"/>
      <c r="S133" s="310"/>
      <c r="T133" s="311"/>
      <c r="U133" s="310"/>
      <c r="V133" s="312"/>
      <c r="W133" s="216"/>
      <c r="X133" s="211"/>
    </row>
    <row r="134" spans="1:28" ht="15.75" customHeight="1">
      <c r="A134" s="20" t="str">
        <f t="shared" si="30"/>
        <v>S</v>
      </c>
      <c r="B134" s="1022"/>
      <c r="C134" s="1016"/>
      <c r="D134" s="333" t="s">
        <v>138</v>
      </c>
      <c r="E134" s="898"/>
      <c r="F134" s="264"/>
      <c r="G134" s="7">
        <f>SUM(G126:G133)</f>
        <v>21</v>
      </c>
      <c r="H134" s="8">
        <f>SUM(H126:H133)</f>
        <v>8</v>
      </c>
      <c r="I134" s="9">
        <f>J134/G134</f>
        <v>0.28999999999999998</v>
      </c>
      <c r="J134" s="213">
        <f>SUM(J126:J133)</f>
        <v>6.09</v>
      </c>
      <c r="K134" s="52">
        <f>L134/G134</f>
        <v>0.32</v>
      </c>
      <c r="L134" s="213">
        <f>SUM(L126:L133)</f>
        <v>6.72</v>
      </c>
      <c r="M134" s="9">
        <f>N134/L134</f>
        <v>0</v>
      </c>
      <c r="N134" s="213">
        <f t="shared" ref="N134:V134" si="32">SUM(N126:N133)</f>
        <v>0</v>
      </c>
      <c r="O134" s="120">
        <f t="shared" si="32"/>
        <v>1</v>
      </c>
      <c r="P134" s="121">
        <f t="shared" si="32"/>
        <v>0</v>
      </c>
      <c r="Q134" s="120">
        <f t="shared" si="32"/>
        <v>7</v>
      </c>
      <c r="R134" s="121">
        <f t="shared" si="32"/>
        <v>5</v>
      </c>
      <c r="S134" s="120">
        <f t="shared" si="32"/>
        <v>19</v>
      </c>
      <c r="T134" s="121">
        <f t="shared" si="32"/>
        <v>8</v>
      </c>
      <c r="U134" s="120">
        <f t="shared" si="32"/>
        <v>9</v>
      </c>
      <c r="V134" s="122">
        <f t="shared" si="32"/>
        <v>5</v>
      </c>
      <c r="W134" s="216"/>
      <c r="X134" s="211"/>
      <c r="AB134" s="2">
        <f t="shared" si="26"/>
        <v>0</v>
      </c>
    </row>
    <row r="135" spans="1:28" ht="15.75" customHeight="1">
      <c r="A135" s="20" t="str">
        <f t="shared" si="30"/>
        <v>X</v>
      </c>
      <c r="B135" s="980" t="s">
        <v>3</v>
      </c>
      <c r="C135" s="983" t="s">
        <v>76</v>
      </c>
      <c r="D135" s="988">
        <v>14</v>
      </c>
      <c r="E135" s="901" t="s">
        <v>48</v>
      </c>
      <c r="F135" s="246" t="s">
        <v>61</v>
      </c>
      <c r="G135" s="247">
        <f>17+25</f>
        <v>42</v>
      </c>
      <c r="H135" s="248">
        <f>G135</f>
        <v>42</v>
      </c>
      <c r="I135" s="249">
        <f>17/G135</f>
        <v>0.40476190476190477</v>
      </c>
      <c r="J135" s="250">
        <f t="shared" si="13"/>
        <v>17</v>
      </c>
      <c r="K135" s="249">
        <f>21/G135</f>
        <v>0.5</v>
      </c>
      <c r="L135" s="250">
        <f t="shared" si="14"/>
        <v>21</v>
      </c>
      <c r="M135" s="249"/>
      <c r="N135" s="846"/>
      <c r="O135" s="240"/>
      <c r="P135" s="241"/>
      <c r="Q135" s="240"/>
      <c r="R135" s="241"/>
      <c r="S135" s="721"/>
      <c r="T135" s="722"/>
      <c r="U135" s="721"/>
      <c r="V135" s="723"/>
      <c r="W135" s="216"/>
      <c r="X135" s="211"/>
      <c r="AB135" s="2" t="str">
        <f t="shared" si="26"/>
        <v>Suisse</v>
      </c>
    </row>
    <row r="136" spans="1:28" ht="15.75" customHeight="1">
      <c r="A136" s="20" t="str">
        <f t="shared" si="30"/>
        <v>X</v>
      </c>
      <c r="B136" s="981"/>
      <c r="C136" s="984"/>
      <c r="D136" s="989"/>
      <c r="E136" s="902" t="s">
        <v>49</v>
      </c>
      <c r="F136" s="251" t="s">
        <v>61</v>
      </c>
      <c r="G136" s="252">
        <f>122+29+119+13</f>
        <v>283</v>
      </c>
      <c r="H136" s="253">
        <f>G136</f>
        <v>283</v>
      </c>
      <c r="I136" s="254">
        <f>(29+13)/G136</f>
        <v>0.14840989399293286</v>
      </c>
      <c r="J136" s="255">
        <f t="shared" si="13"/>
        <v>42</v>
      </c>
      <c r="K136" s="254">
        <f>(65+47)/G136</f>
        <v>0.39575971731448761</v>
      </c>
      <c r="L136" s="255">
        <f t="shared" si="14"/>
        <v>112</v>
      </c>
      <c r="M136" s="254"/>
      <c r="N136" s="851"/>
      <c r="O136" s="242"/>
      <c r="P136" s="243"/>
      <c r="Q136" s="242"/>
      <c r="R136" s="243"/>
      <c r="S136" s="724"/>
      <c r="T136" s="725"/>
      <c r="U136" s="724"/>
      <c r="V136" s="726"/>
      <c r="W136" s="216"/>
      <c r="X136" s="211"/>
      <c r="AB136" s="2" t="str">
        <f t="shared" si="26"/>
        <v>Suisse</v>
      </c>
    </row>
    <row r="137" spans="1:28" ht="15.75" customHeight="1">
      <c r="A137" s="20" t="str">
        <f t="shared" si="30"/>
        <v>X</v>
      </c>
      <c r="B137" s="981"/>
      <c r="C137" s="984"/>
      <c r="D137" s="989"/>
      <c r="E137" s="902" t="s">
        <v>81</v>
      </c>
      <c r="F137" s="251" t="s">
        <v>61</v>
      </c>
      <c r="G137" s="252">
        <f>(19+11+31+18)</f>
        <v>79</v>
      </c>
      <c r="H137" s="253">
        <f>G137</f>
        <v>79</v>
      </c>
      <c r="I137" s="254">
        <f>(11+18)/G137</f>
        <v>0.36708860759493672</v>
      </c>
      <c r="J137" s="255">
        <f t="shared" ref="J137" si="33">I137*G137</f>
        <v>29</v>
      </c>
      <c r="K137" s="254">
        <f>(5+28)/G137</f>
        <v>0.41772151898734178</v>
      </c>
      <c r="L137" s="255">
        <f t="shared" ref="L137" si="34">K137*G137</f>
        <v>33</v>
      </c>
      <c r="M137" s="254"/>
      <c r="N137" s="851"/>
      <c r="O137" s="242"/>
      <c r="P137" s="243"/>
      <c r="Q137" s="242"/>
      <c r="R137" s="243"/>
      <c r="S137" s="724"/>
      <c r="T137" s="725"/>
      <c r="U137" s="724"/>
      <c r="V137" s="726"/>
      <c r="W137" s="216"/>
      <c r="X137" s="211"/>
      <c r="AB137" s="2" t="str">
        <f t="shared" si="26"/>
        <v>Suisse</v>
      </c>
    </row>
    <row r="138" spans="1:28" ht="15.75" customHeight="1">
      <c r="A138" s="20" t="str">
        <f t="shared" si="30"/>
        <v>X</v>
      </c>
      <c r="B138" s="981"/>
      <c r="C138" s="984"/>
      <c r="D138" s="989"/>
      <c r="E138" s="902" t="s">
        <v>73</v>
      </c>
      <c r="F138" s="251" t="s">
        <v>61</v>
      </c>
      <c r="G138" s="252">
        <f>15+8+12+6+33+34</f>
        <v>108</v>
      </c>
      <c r="H138" s="253">
        <f t="shared" ref="H138:H153" si="35">G138</f>
        <v>108</v>
      </c>
      <c r="I138" s="254">
        <f>(8+6+33)/G138</f>
        <v>0.43518518518518517</v>
      </c>
      <c r="J138" s="255">
        <f t="shared" si="13"/>
        <v>47</v>
      </c>
      <c r="K138" s="254">
        <f>(12+6+33)/G138</f>
        <v>0.47222222222222221</v>
      </c>
      <c r="L138" s="255">
        <f t="shared" si="14"/>
        <v>51</v>
      </c>
      <c r="M138" s="254"/>
      <c r="N138" s="851"/>
      <c r="O138" s="242"/>
      <c r="P138" s="243"/>
      <c r="Q138" s="242"/>
      <c r="R138" s="243"/>
      <c r="S138" s="724"/>
      <c r="T138" s="725"/>
      <c r="U138" s="724"/>
      <c r="V138" s="726"/>
      <c r="W138" s="216"/>
      <c r="X138" s="211"/>
      <c r="AB138" s="2" t="str">
        <f t="shared" si="26"/>
        <v>Suisse</v>
      </c>
    </row>
    <row r="139" spans="1:28" ht="15.75" customHeight="1">
      <c r="A139" s="20" t="str">
        <f t="shared" si="30"/>
        <v>X</v>
      </c>
      <c r="B139" s="981"/>
      <c r="C139" s="984"/>
      <c r="D139" s="989"/>
      <c r="E139" s="902" t="s">
        <v>50</v>
      </c>
      <c r="F139" s="251" t="s">
        <v>61</v>
      </c>
      <c r="G139" s="252">
        <f>56+28+19+14</f>
        <v>117</v>
      </c>
      <c r="H139" s="253">
        <f t="shared" si="35"/>
        <v>117</v>
      </c>
      <c r="I139" s="254">
        <f>(28+14)/G139</f>
        <v>0.35897435897435898</v>
      </c>
      <c r="J139" s="255">
        <f t="shared" si="13"/>
        <v>42</v>
      </c>
      <c r="K139" s="254">
        <f>(31+21)/G139</f>
        <v>0.44444444444444442</v>
      </c>
      <c r="L139" s="255">
        <f t="shared" si="14"/>
        <v>52</v>
      </c>
      <c r="M139" s="254"/>
      <c r="N139" s="851"/>
      <c r="O139" s="242"/>
      <c r="P139" s="243"/>
      <c r="Q139" s="242"/>
      <c r="R139" s="243"/>
      <c r="S139" s="724"/>
      <c r="T139" s="725"/>
      <c r="U139" s="724"/>
      <c r="V139" s="726"/>
      <c r="W139" s="216"/>
      <c r="X139" s="211"/>
      <c r="AB139" s="2" t="str">
        <f t="shared" si="26"/>
        <v>Suisse</v>
      </c>
    </row>
    <row r="140" spans="1:28" ht="15.75" customHeight="1">
      <c r="A140" s="20" t="str">
        <f t="shared" si="30"/>
        <v/>
      </c>
      <c r="B140" s="981"/>
      <c r="C140" s="984"/>
      <c r="D140" s="989"/>
      <c r="E140" s="902" t="s">
        <v>144</v>
      </c>
      <c r="F140" s="251" t="s">
        <v>61</v>
      </c>
      <c r="G140" s="252"/>
      <c r="H140" s="253"/>
      <c r="I140" s="254"/>
      <c r="J140" s="255"/>
      <c r="K140" s="254"/>
      <c r="L140" s="255"/>
      <c r="M140" s="254"/>
      <c r="N140" s="851"/>
      <c r="O140" s="242"/>
      <c r="P140" s="243"/>
      <c r="Q140" s="242"/>
      <c r="R140" s="243"/>
      <c r="S140" s="724"/>
      <c r="T140" s="725"/>
      <c r="U140" s="724"/>
      <c r="V140" s="726"/>
      <c r="W140" s="216"/>
      <c r="X140" s="211"/>
      <c r="AB140" s="2" t="str">
        <f t="shared" si="26"/>
        <v/>
      </c>
    </row>
    <row r="141" spans="1:28" ht="15.75" customHeight="1">
      <c r="A141" s="20" t="str">
        <f t="shared" si="30"/>
        <v/>
      </c>
      <c r="B141" s="981"/>
      <c r="C141" s="984"/>
      <c r="D141" s="989"/>
      <c r="E141" s="902" t="s">
        <v>143</v>
      </c>
      <c r="F141" s="251" t="s">
        <v>61</v>
      </c>
      <c r="G141" s="252"/>
      <c r="H141" s="253"/>
      <c r="I141" s="254"/>
      <c r="J141" s="255"/>
      <c r="K141" s="254"/>
      <c r="L141" s="255"/>
      <c r="M141" s="254"/>
      <c r="N141" s="851"/>
      <c r="O141" s="242"/>
      <c r="P141" s="243"/>
      <c r="Q141" s="242"/>
      <c r="R141" s="243"/>
      <c r="S141" s="724"/>
      <c r="T141" s="725"/>
      <c r="U141" s="724"/>
      <c r="V141" s="726"/>
      <c r="W141" s="216"/>
      <c r="X141" s="211"/>
      <c r="AB141" s="2" t="str">
        <f t="shared" si="26"/>
        <v/>
      </c>
    </row>
    <row r="142" spans="1:28" ht="15.75" customHeight="1">
      <c r="A142" s="20" t="str">
        <f t="shared" si="30"/>
        <v/>
      </c>
      <c r="B142" s="981"/>
      <c r="C142" s="984"/>
      <c r="D142" s="989"/>
      <c r="E142" s="902" t="s">
        <v>176</v>
      </c>
      <c r="F142" s="251" t="s">
        <v>61</v>
      </c>
      <c r="G142" s="252"/>
      <c r="H142" s="253"/>
      <c r="I142" s="254"/>
      <c r="J142" s="255"/>
      <c r="K142" s="254"/>
      <c r="L142" s="255"/>
      <c r="M142" s="254"/>
      <c r="N142" s="851"/>
      <c r="O142" s="242"/>
      <c r="P142" s="243"/>
      <c r="Q142" s="242"/>
      <c r="R142" s="243"/>
      <c r="S142" s="724"/>
      <c r="T142" s="725"/>
      <c r="U142" s="724"/>
      <c r="V142" s="726"/>
      <c r="W142" s="216"/>
      <c r="X142" s="211"/>
      <c r="AB142" s="2" t="str">
        <f t="shared" si="26"/>
        <v/>
      </c>
    </row>
    <row r="143" spans="1:28" ht="15.75" customHeight="1">
      <c r="A143" s="20" t="str">
        <f t="shared" si="30"/>
        <v/>
      </c>
      <c r="B143" s="981"/>
      <c r="C143" s="984"/>
      <c r="D143" s="989"/>
      <c r="E143" s="902" t="s">
        <v>177</v>
      </c>
      <c r="F143" s="251" t="s">
        <v>61</v>
      </c>
      <c r="G143" s="252"/>
      <c r="H143" s="253"/>
      <c r="I143" s="254"/>
      <c r="J143" s="255"/>
      <c r="K143" s="254"/>
      <c r="L143" s="255"/>
      <c r="M143" s="254"/>
      <c r="N143" s="851"/>
      <c r="O143" s="242"/>
      <c r="P143" s="243"/>
      <c r="Q143" s="242"/>
      <c r="R143" s="243"/>
      <c r="S143" s="724"/>
      <c r="T143" s="725"/>
      <c r="U143" s="724"/>
      <c r="V143" s="726"/>
      <c r="W143" s="216"/>
      <c r="X143" s="211"/>
      <c r="AB143" s="2" t="str">
        <f t="shared" si="26"/>
        <v/>
      </c>
    </row>
    <row r="144" spans="1:28" ht="15.75" customHeight="1">
      <c r="A144" s="20" t="str">
        <f t="shared" si="30"/>
        <v/>
      </c>
      <c r="B144" s="981"/>
      <c r="C144" s="984"/>
      <c r="D144" s="989"/>
      <c r="E144" s="902" t="s">
        <v>178</v>
      </c>
      <c r="F144" s="251" t="s">
        <v>61</v>
      </c>
      <c r="G144" s="252"/>
      <c r="H144" s="253"/>
      <c r="I144" s="254"/>
      <c r="J144" s="255"/>
      <c r="K144" s="254"/>
      <c r="L144" s="255"/>
      <c r="M144" s="254"/>
      <c r="N144" s="851"/>
      <c r="O144" s="242"/>
      <c r="P144" s="243"/>
      <c r="Q144" s="242"/>
      <c r="R144" s="243"/>
      <c r="S144" s="724"/>
      <c r="T144" s="725"/>
      <c r="U144" s="724"/>
      <c r="V144" s="726"/>
      <c r="W144" s="216"/>
      <c r="X144" s="211"/>
      <c r="AB144" s="2" t="str">
        <f t="shared" si="26"/>
        <v/>
      </c>
    </row>
    <row r="145" spans="1:28" ht="15.75" customHeight="1">
      <c r="A145" s="20" t="str">
        <f t="shared" si="30"/>
        <v/>
      </c>
      <c r="B145" s="981"/>
      <c r="C145" s="984"/>
      <c r="D145" s="989"/>
      <c r="E145" s="902" t="s">
        <v>179</v>
      </c>
      <c r="F145" s="251" t="s">
        <v>61</v>
      </c>
      <c r="G145" s="252"/>
      <c r="H145" s="253"/>
      <c r="I145" s="254"/>
      <c r="J145" s="255"/>
      <c r="K145" s="254"/>
      <c r="L145" s="255"/>
      <c r="M145" s="254"/>
      <c r="N145" s="851"/>
      <c r="O145" s="242"/>
      <c r="P145" s="243"/>
      <c r="Q145" s="242"/>
      <c r="R145" s="243"/>
      <c r="S145" s="724"/>
      <c r="T145" s="725"/>
      <c r="U145" s="724"/>
      <c r="V145" s="726"/>
      <c r="W145" s="216"/>
      <c r="X145" s="211"/>
      <c r="AB145" s="2" t="str">
        <f t="shared" si="26"/>
        <v/>
      </c>
    </row>
    <row r="146" spans="1:28" ht="15.75" customHeight="1">
      <c r="A146" s="20" t="str">
        <f t="shared" si="30"/>
        <v/>
      </c>
      <c r="B146" s="981"/>
      <c r="C146" s="984"/>
      <c r="D146" s="989"/>
      <c r="E146" s="902" t="s">
        <v>180</v>
      </c>
      <c r="F146" s="251" t="s">
        <v>61</v>
      </c>
      <c r="G146" s="252"/>
      <c r="H146" s="253"/>
      <c r="I146" s="254"/>
      <c r="J146" s="255"/>
      <c r="K146" s="254"/>
      <c r="L146" s="255"/>
      <c r="M146" s="254"/>
      <c r="N146" s="851"/>
      <c r="O146" s="242"/>
      <c r="P146" s="243"/>
      <c r="Q146" s="242"/>
      <c r="R146" s="243"/>
      <c r="S146" s="724"/>
      <c r="T146" s="725"/>
      <c r="U146" s="724"/>
      <c r="V146" s="726"/>
      <c r="W146" s="216"/>
      <c r="X146" s="211"/>
      <c r="AB146" s="2" t="str">
        <f t="shared" si="26"/>
        <v/>
      </c>
    </row>
    <row r="147" spans="1:28" ht="15.75" customHeight="1">
      <c r="A147" s="20" t="str">
        <f t="shared" si="30"/>
        <v/>
      </c>
      <c r="B147" s="981"/>
      <c r="C147" s="984"/>
      <c r="D147" s="989"/>
      <c r="E147" s="902" t="s">
        <v>181</v>
      </c>
      <c r="F147" s="251" t="s">
        <v>61</v>
      </c>
      <c r="G147" s="252"/>
      <c r="H147" s="253"/>
      <c r="I147" s="254"/>
      <c r="J147" s="255"/>
      <c r="K147" s="254"/>
      <c r="L147" s="255"/>
      <c r="M147" s="254"/>
      <c r="N147" s="851"/>
      <c r="O147" s="242"/>
      <c r="P147" s="243"/>
      <c r="Q147" s="242"/>
      <c r="R147" s="243"/>
      <c r="S147" s="724"/>
      <c r="T147" s="725"/>
      <c r="U147" s="724"/>
      <c r="V147" s="726"/>
      <c r="W147" s="216"/>
      <c r="X147" s="211"/>
      <c r="AB147" s="2" t="str">
        <f t="shared" si="26"/>
        <v/>
      </c>
    </row>
    <row r="148" spans="1:28" ht="15.75" customHeight="1">
      <c r="A148" s="20" t="str">
        <f t="shared" si="30"/>
        <v>X</v>
      </c>
      <c r="B148" s="981"/>
      <c r="C148" s="984"/>
      <c r="D148" s="989"/>
      <c r="E148" s="902" t="s">
        <v>80</v>
      </c>
      <c r="F148" s="251" t="s">
        <v>61</v>
      </c>
      <c r="G148" s="252">
        <f>(388+263)</f>
        <v>651</v>
      </c>
      <c r="H148" s="253">
        <f>G148</f>
        <v>651</v>
      </c>
      <c r="I148" s="254"/>
      <c r="J148" s="255">
        <f t="shared" ref="J148" si="36">I148*G148</f>
        <v>0</v>
      </c>
      <c r="K148" s="254">
        <f>250/G148</f>
        <v>0.38402457757296465</v>
      </c>
      <c r="L148" s="255">
        <f t="shared" ref="L148" si="37">K148*G148</f>
        <v>250</v>
      </c>
      <c r="M148" s="254"/>
      <c r="N148" s="851"/>
      <c r="O148" s="242"/>
      <c r="P148" s="243"/>
      <c r="Q148" s="242"/>
      <c r="R148" s="243"/>
      <c r="S148" s="724"/>
      <c r="T148" s="725"/>
      <c r="U148" s="724"/>
      <c r="V148" s="726"/>
      <c r="W148" s="216"/>
      <c r="X148" s="211"/>
      <c r="AB148" s="2" t="str">
        <f t="shared" si="26"/>
        <v>Suisse</v>
      </c>
    </row>
    <row r="149" spans="1:28" ht="15.75" customHeight="1">
      <c r="A149" s="20" t="str">
        <f t="shared" si="30"/>
        <v>X</v>
      </c>
      <c r="B149" s="981"/>
      <c r="C149" s="984"/>
      <c r="D149" s="989"/>
      <c r="E149" s="902" t="s">
        <v>51</v>
      </c>
      <c r="F149" s="251" t="s">
        <v>61</v>
      </c>
      <c r="G149" s="252">
        <f>284+220+60+51</f>
        <v>615</v>
      </c>
      <c r="H149" s="253">
        <f t="shared" si="35"/>
        <v>615</v>
      </c>
      <c r="I149" s="254"/>
      <c r="J149" s="255">
        <f t="shared" si="13"/>
        <v>0</v>
      </c>
      <c r="K149" s="254">
        <f>(195+46)/G149</f>
        <v>0.39186991869918697</v>
      </c>
      <c r="L149" s="255">
        <f t="shared" si="14"/>
        <v>241</v>
      </c>
      <c r="M149" s="254"/>
      <c r="N149" s="851"/>
      <c r="O149" s="242"/>
      <c r="P149" s="243"/>
      <c r="Q149" s="242"/>
      <c r="R149" s="243"/>
      <c r="S149" s="724"/>
      <c r="T149" s="725"/>
      <c r="U149" s="724"/>
      <c r="V149" s="726"/>
      <c r="W149" s="216"/>
      <c r="X149" s="211"/>
      <c r="AB149" s="2" t="str">
        <f t="shared" si="26"/>
        <v>Suisse</v>
      </c>
    </row>
    <row r="150" spans="1:28" ht="15" customHeight="1">
      <c r="A150" s="20" t="str">
        <f>IF(D150="Sous-total","S",IF(G150="","","X"))</f>
        <v>X</v>
      </c>
      <c r="B150" s="981"/>
      <c r="C150" s="984"/>
      <c r="D150" s="989"/>
      <c r="E150" s="632" t="s">
        <v>31</v>
      </c>
      <c r="F150" s="435" t="s">
        <v>62</v>
      </c>
      <c r="G150" s="252">
        <v>36</v>
      </c>
      <c r="H150" s="253">
        <v>36</v>
      </c>
      <c r="I150" s="254">
        <v>0.5</v>
      </c>
      <c r="J150" s="255">
        <f>I150*G150</f>
        <v>18</v>
      </c>
      <c r="K150" s="254">
        <v>0.47222222222222221</v>
      </c>
      <c r="L150" s="255">
        <f>K150*G150</f>
        <v>17</v>
      </c>
      <c r="M150" s="254">
        <v>0.76470588235294112</v>
      </c>
      <c r="N150" s="851">
        <f>IF(M150="-","-",M150*L150)</f>
        <v>13</v>
      </c>
      <c r="O150" s="242"/>
      <c r="P150" s="243"/>
      <c r="Q150" s="242"/>
      <c r="R150" s="243"/>
      <c r="S150" s="307">
        <v>36</v>
      </c>
      <c r="T150" s="308">
        <v>36</v>
      </c>
      <c r="U150" s="307">
        <v>0</v>
      </c>
      <c r="V150" s="309">
        <v>0</v>
      </c>
      <c r="W150" s="216"/>
      <c r="X150" s="211" t="s">
        <v>199</v>
      </c>
      <c r="AB150" s="2" t="str">
        <f>IF(G150&gt;0,$F150,"")</f>
        <v>Frontière</v>
      </c>
    </row>
    <row r="151" spans="1:28" ht="15.75" customHeight="1">
      <c r="A151" s="20" t="str">
        <f t="shared" si="30"/>
        <v/>
      </c>
      <c r="B151" s="981"/>
      <c r="C151" s="984"/>
      <c r="D151" s="989"/>
      <c r="E151" s="961" t="s">
        <v>166</v>
      </c>
      <c r="F151" s="251" t="s">
        <v>203</v>
      </c>
      <c r="G151" s="252"/>
      <c r="H151" s="253"/>
      <c r="I151" s="254"/>
      <c r="J151" s="255"/>
      <c r="K151" s="254" t="e">
        <f t="shared" ref="K151:K152" si="38">(195+46)/G151</f>
        <v>#DIV/0!</v>
      </c>
      <c r="L151" s="255"/>
      <c r="M151" s="254"/>
      <c r="N151" s="851"/>
      <c r="O151" s="242"/>
      <c r="P151" s="243"/>
      <c r="Q151" s="242"/>
      <c r="R151" s="243"/>
      <c r="S151" s="724"/>
      <c r="T151" s="725"/>
      <c r="U151" s="724"/>
      <c r="V151" s="726"/>
      <c r="W151" s="216"/>
      <c r="X151" s="211"/>
      <c r="AB151" s="2" t="str">
        <f t="shared" si="26"/>
        <v/>
      </c>
    </row>
    <row r="152" spans="1:28" ht="15.75" customHeight="1">
      <c r="A152" s="20" t="str">
        <f t="shared" si="30"/>
        <v/>
      </c>
      <c r="B152" s="981"/>
      <c r="C152" s="984"/>
      <c r="D152" s="989"/>
      <c r="E152" s="961" t="s">
        <v>166</v>
      </c>
      <c r="F152" s="251" t="s">
        <v>203</v>
      </c>
      <c r="G152" s="252"/>
      <c r="H152" s="253"/>
      <c r="I152" s="254"/>
      <c r="J152" s="255"/>
      <c r="K152" s="254" t="e">
        <f t="shared" si="38"/>
        <v>#DIV/0!</v>
      </c>
      <c r="L152" s="255"/>
      <c r="M152" s="254"/>
      <c r="N152" s="851"/>
      <c r="O152" s="242"/>
      <c r="P152" s="243"/>
      <c r="Q152" s="242"/>
      <c r="R152" s="243"/>
      <c r="S152" s="724"/>
      <c r="T152" s="725"/>
      <c r="U152" s="724"/>
      <c r="V152" s="726"/>
      <c r="W152" s="216"/>
      <c r="X152" s="211"/>
      <c r="AB152" s="2" t="str">
        <f t="shared" si="26"/>
        <v/>
      </c>
    </row>
    <row r="153" spans="1:28" ht="15.75" customHeight="1">
      <c r="A153" s="20" t="str">
        <f t="shared" si="30"/>
        <v>X</v>
      </c>
      <c r="B153" s="981"/>
      <c r="C153" s="984"/>
      <c r="D153" s="989"/>
      <c r="E153" s="902" t="s">
        <v>52</v>
      </c>
      <c r="F153" s="251" t="s">
        <v>61</v>
      </c>
      <c r="G153" s="252">
        <f>215+82+11+8</f>
        <v>316</v>
      </c>
      <c r="H153" s="253">
        <f t="shared" si="35"/>
        <v>316</v>
      </c>
      <c r="I153" s="254">
        <f>(82+8)/G153</f>
        <v>0.2848101265822785</v>
      </c>
      <c r="J153" s="255">
        <f t="shared" si="13"/>
        <v>90</v>
      </c>
      <c r="K153" s="254">
        <f>(116+8)/G153</f>
        <v>0.39240506329113922</v>
      </c>
      <c r="L153" s="255">
        <f t="shared" si="14"/>
        <v>124</v>
      </c>
      <c r="M153" s="254"/>
      <c r="N153" s="851"/>
      <c r="O153" s="242"/>
      <c r="P153" s="243"/>
      <c r="Q153" s="242"/>
      <c r="R153" s="243"/>
      <c r="S153" s="724"/>
      <c r="T153" s="725"/>
      <c r="U153" s="724"/>
      <c r="V153" s="726"/>
      <c r="W153" s="216"/>
      <c r="X153" s="211"/>
      <c r="AB153" s="2" t="str">
        <f t="shared" si="26"/>
        <v>Suisse</v>
      </c>
    </row>
    <row r="154" spans="1:28" ht="15.75" customHeight="1">
      <c r="A154" s="20" t="str">
        <f t="shared" si="30"/>
        <v/>
      </c>
      <c r="B154" s="981"/>
      <c r="C154" s="984"/>
      <c r="D154" s="989"/>
      <c r="E154" s="961" t="s">
        <v>166</v>
      </c>
      <c r="F154" s="251"/>
      <c r="G154" s="252"/>
      <c r="H154" s="253"/>
      <c r="I154" s="254"/>
      <c r="J154" s="255"/>
      <c r="K154" s="254"/>
      <c r="L154" s="255"/>
      <c r="M154" s="254"/>
      <c r="N154" s="851"/>
      <c r="O154" s="242"/>
      <c r="P154" s="243"/>
      <c r="Q154" s="242"/>
      <c r="R154" s="243"/>
      <c r="S154" s="724"/>
      <c r="T154" s="725"/>
      <c r="U154" s="724"/>
      <c r="V154" s="726"/>
      <c r="W154" s="216"/>
      <c r="X154" s="211"/>
    </row>
    <row r="155" spans="1:28" ht="15.75" customHeight="1">
      <c r="A155" s="20" t="str">
        <f t="shared" si="30"/>
        <v/>
      </c>
      <c r="B155" s="981"/>
      <c r="C155" s="984"/>
      <c r="D155" s="989"/>
      <c r="E155" s="961" t="s">
        <v>166</v>
      </c>
      <c r="F155" s="251"/>
      <c r="G155" s="252"/>
      <c r="H155" s="253"/>
      <c r="I155" s="254"/>
      <c r="J155" s="255"/>
      <c r="K155" s="254"/>
      <c r="L155" s="255"/>
      <c r="M155" s="254"/>
      <c r="N155" s="851"/>
      <c r="O155" s="242"/>
      <c r="P155" s="243"/>
      <c r="Q155" s="242"/>
      <c r="R155" s="243"/>
      <c r="S155" s="724"/>
      <c r="T155" s="725"/>
      <c r="U155" s="724"/>
      <c r="V155" s="726"/>
      <c r="W155" s="216"/>
      <c r="X155" s="211"/>
    </row>
    <row r="156" spans="1:28" ht="15.75" customHeight="1">
      <c r="A156" s="20" t="str">
        <f t="shared" si="30"/>
        <v/>
      </c>
      <c r="B156" s="981"/>
      <c r="C156" s="984"/>
      <c r="D156" s="989"/>
      <c r="E156" s="961" t="s">
        <v>166</v>
      </c>
      <c r="F156" s="251"/>
      <c r="G156" s="252"/>
      <c r="H156" s="253"/>
      <c r="I156" s="254"/>
      <c r="J156" s="255"/>
      <c r="K156" s="254"/>
      <c r="L156" s="255"/>
      <c r="M156" s="254"/>
      <c r="N156" s="851"/>
      <c r="O156" s="242"/>
      <c r="P156" s="243"/>
      <c r="Q156" s="242"/>
      <c r="R156" s="243"/>
      <c r="S156" s="724"/>
      <c r="T156" s="725"/>
      <c r="U156" s="724"/>
      <c r="V156" s="726"/>
      <c r="W156" s="216"/>
      <c r="X156" s="211"/>
    </row>
    <row r="157" spans="1:28" ht="15.75" customHeight="1">
      <c r="A157" s="20" t="str">
        <f t="shared" si="30"/>
        <v/>
      </c>
      <c r="B157" s="981"/>
      <c r="C157" s="984"/>
      <c r="D157" s="989"/>
      <c r="E157" s="961" t="s">
        <v>166</v>
      </c>
      <c r="F157" s="251"/>
      <c r="G157" s="252"/>
      <c r="H157" s="253"/>
      <c r="I157" s="254"/>
      <c r="J157" s="255"/>
      <c r="K157" s="254"/>
      <c r="L157" s="255"/>
      <c r="M157" s="254"/>
      <c r="N157" s="851"/>
      <c r="O157" s="242"/>
      <c r="P157" s="243"/>
      <c r="Q157" s="242"/>
      <c r="R157" s="243"/>
      <c r="S157" s="724"/>
      <c r="T157" s="725"/>
      <c r="U157" s="724"/>
      <c r="V157" s="726"/>
      <c r="W157" s="216"/>
      <c r="X157" s="211"/>
    </row>
    <row r="158" spans="1:28" ht="15.75" customHeight="1">
      <c r="A158" s="20" t="str">
        <f t="shared" si="30"/>
        <v/>
      </c>
      <c r="B158" s="981"/>
      <c r="C158" s="984"/>
      <c r="D158" s="990"/>
      <c r="E158" s="962" t="s">
        <v>166</v>
      </c>
      <c r="F158" s="459"/>
      <c r="G158" s="257"/>
      <c r="H158" s="258"/>
      <c r="I158" s="259"/>
      <c r="J158" s="260"/>
      <c r="K158" s="259"/>
      <c r="L158" s="260"/>
      <c r="M158" s="259"/>
      <c r="N158" s="856"/>
      <c r="O158" s="244"/>
      <c r="P158" s="245"/>
      <c r="Q158" s="244"/>
      <c r="R158" s="245"/>
      <c r="S158" s="727"/>
      <c r="T158" s="728"/>
      <c r="U158" s="727"/>
      <c r="V158" s="729"/>
      <c r="W158" s="216"/>
      <c r="X158" s="211"/>
    </row>
    <row r="159" spans="1:28" ht="16.5" thickBot="1">
      <c r="A159" s="20" t="str">
        <f t="shared" si="30"/>
        <v>S</v>
      </c>
      <c r="B159" s="982"/>
      <c r="C159" s="985"/>
      <c r="D159" s="875" t="s">
        <v>138</v>
      </c>
      <c r="E159" s="899"/>
      <c r="F159" s="204"/>
      <c r="G159" s="205">
        <f>SUM(G135:G158)</f>
        <v>2247</v>
      </c>
      <c r="H159" s="206">
        <f>SUM(H135:H158)</f>
        <v>2247</v>
      </c>
      <c r="I159" s="9">
        <f>J159/G159</f>
        <v>0.12683578104138851</v>
      </c>
      <c r="J159" s="214">
        <f>SUM(J135:J158)</f>
        <v>285</v>
      </c>
      <c r="K159" s="52">
        <f>L159/G159</f>
        <v>0.40097908322207387</v>
      </c>
      <c r="L159" s="214">
        <f>SUM(L135:L158)</f>
        <v>901</v>
      </c>
      <c r="M159" s="9">
        <f>N159/L159</f>
        <v>1.4428412874583796E-2</v>
      </c>
      <c r="N159" s="214">
        <f t="shared" ref="N159:V159" si="39">SUM(N135:N158)</f>
        <v>13</v>
      </c>
      <c r="O159" s="131">
        <f t="shared" si="39"/>
        <v>0</v>
      </c>
      <c r="P159" s="132">
        <f t="shared" si="39"/>
        <v>0</v>
      </c>
      <c r="Q159" s="131">
        <f t="shared" si="39"/>
        <v>0</v>
      </c>
      <c r="R159" s="132">
        <f t="shared" si="39"/>
        <v>0</v>
      </c>
      <c r="S159" s="131">
        <f t="shared" si="39"/>
        <v>36</v>
      </c>
      <c r="T159" s="132">
        <f t="shared" si="39"/>
        <v>36</v>
      </c>
      <c r="U159" s="131">
        <f t="shared" si="39"/>
        <v>0</v>
      </c>
      <c r="V159" s="133">
        <f t="shared" si="39"/>
        <v>0</v>
      </c>
      <c r="W159" s="216"/>
      <c r="X159" s="211"/>
      <c r="Y159" s="211"/>
    </row>
    <row r="160" spans="1:28" s="15" customFormat="1" ht="27.75" customHeight="1" thickBot="1">
      <c r="A160" s="20" t="s">
        <v>106</v>
      </c>
      <c r="B160" s="732" t="s">
        <v>77</v>
      </c>
      <c r="C160" s="730"/>
      <c r="D160" s="730">
        <f>SUM(D66:D159)</f>
        <v>83</v>
      </c>
      <c r="E160" s="688" t="s">
        <v>79</v>
      </c>
      <c r="F160" s="396"/>
      <c r="G160" s="57">
        <f>G77+G85+G95+G109+G125+G134+G159</f>
        <v>4797</v>
      </c>
      <c r="H160" s="36">
        <f>H77+H85+H95+H109+H125+H134+H159</f>
        <v>3358</v>
      </c>
      <c r="I160" s="33">
        <f>J160/G160</f>
        <v>0.27893475088597036</v>
      </c>
      <c r="J160" s="34">
        <f>J77+J85+J95+J109+J125+J134+J159</f>
        <v>1338.05</v>
      </c>
      <c r="K160" s="33">
        <f>L160/G160</f>
        <v>0.39968938920158431</v>
      </c>
      <c r="L160" s="34">
        <f>L77+L85+L95+L109+L125+L134+L159</f>
        <v>1917.31</v>
      </c>
      <c r="M160" s="230">
        <f>N160/(SUM(L86:L101))</f>
        <v>0.52578643821042614</v>
      </c>
      <c r="N160" s="34">
        <f t="shared" ref="N160:V160" si="40">N77+N85+N95+N109+N125+N134+N159</f>
        <v>93.900200000000012</v>
      </c>
      <c r="O160" s="35">
        <f t="shared" si="40"/>
        <v>42</v>
      </c>
      <c r="P160" s="36">
        <f t="shared" si="40"/>
        <v>16</v>
      </c>
      <c r="Q160" s="35">
        <f t="shared" si="40"/>
        <v>77</v>
      </c>
      <c r="R160" s="36">
        <f t="shared" si="40"/>
        <v>34</v>
      </c>
      <c r="S160" s="35">
        <f t="shared" si="40"/>
        <v>740</v>
      </c>
      <c r="T160" s="36">
        <f t="shared" si="40"/>
        <v>456</v>
      </c>
      <c r="U160" s="35">
        <f t="shared" si="40"/>
        <v>92</v>
      </c>
      <c r="V160" s="37">
        <f t="shared" si="40"/>
        <v>49</v>
      </c>
      <c r="W160" s="217"/>
      <c r="X160" s="212"/>
      <c r="Y160" s="212"/>
      <c r="AB160" s="2"/>
    </row>
    <row r="161" spans="1:28" s="378" customFormat="1" ht="31.5" customHeight="1" thickBot="1">
      <c r="A161" s="20" t="s">
        <v>106</v>
      </c>
      <c r="B161" s="368" t="s">
        <v>66</v>
      </c>
      <c r="C161" s="369"/>
      <c r="D161" s="369">
        <f>D160+D65</f>
        <v>102</v>
      </c>
      <c r="E161" s="689" t="s">
        <v>79</v>
      </c>
      <c r="F161" s="388"/>
      <c r="G161" s="370">
        <f>G65+G160</f>
        <v>5191</v>
      </c>
      <c r="H161" s="371">
        <f>H65+H160</f>
        <v>3593</v>
      </c>
      <c r="I161" s="372">
        <f>J161/G161</f>
        <v>0.27490271623964552</v>
      </c>
      <c r="J161" s="373">
        <f>J65+J160</f>
        <v>1427.02</v>
      </c>
      <c r="K161" s="372">
        <f>L161/G161</f>
        <v>0.38650163744943167</v>
      </c>
      <c r="L161" s="373">
        <f>L65+L160</f>
        <v>2006.33</v>
      </c>
      <c r="M161" s="374">
        <f>N161/(L5+L50+L51+L53+L55+L60+SUM(L86:L101))</f>
        <v>0.50974058812511713</v>
      </c>
      <c r="N161" s="373">
        <f t="shared" ref="N161:V161" si="41">N65+N160</f>
        <v>108.86020000000002</v>
      </c>
      <c r="O161" s="375">
        <f t="shared" si="41"/>
        <v>42</v>
      </c>
      <c r="P161" s="371">
        <f t="shared" si="41"/>
        <v>16</v>
      </c>
      <c r="Q161" s="375">
        <f t="shared" si="41"/>
        <v>77</v>
      </c>
      <c r="R161" s="371">
        <f t="shared" si="41"/>
        <v>34</v>
      </c>
      <c r="S161" s="375">
        <f t="shared" si="41"/>
        <v>740</v>
      </c>
      <c r="T161" s="371">
        <f t="shared" si="41"/>
        <v>456</v>
      </c>
      <c r="U161" s="375">
        <f t="shared" si="41"/>
        <v>92</v>
      </c>
      <c r="V161" s="376">
        <f t="shared" si="41"/>
        <v>49</v>
      </c>
      <c r="W161" s="377"/>
      <c r="AB161" s="2"/>
    </row>
    <row r="162" spans="1:28">
      <c r="A162" s="20" t="s">
        <v>106</v>
      </c>
      <c r="B162" s="5"/>
      <c r="C162" s="14"/>
      <c r="D162" s="14"/>
      <c r="E162" s="5"/>
      <c r="F162" s="14"/>
      <c r="G162" s="58"/>
      <c r="H162" s="58"/>
      <c r="I162" s="59"/>
      <c r="J162" s="59"/>
      <c r="K162" s="59"/>
      <c r="L162" s="59"/>
      <c r="M162" s="992" t="s">
        <v>68</v>
      </c>
      <c r="N162" s="992"/>
      <c r="O162" s="58"/>
      <c r="P162" s="58"/>
      <c r="Q162" s="58"/>
      <c r="R162" s="58"/>
      <c r="S162" s="58"/>
      <c r="T162" s="58"/>
      <c r="U162" s="58"/>
      <c r="V162" s="58"/>
      <c r="AB162" s="2" t="str">
        <f t="shared" si="26"/>
        <v/>
      </c>
    </row>
    <row r="163" spans="1:28">
      <c r="A163" s="20" t="s">
        <v>106</v>
      </c>
      <c r="E163" s="211"/>
      <c r="F163" s="1"/>
    </row>
    <row r="164" spans="1:28">
      <c r="A164" s="20" t="s">
        <v>106</v>
      </c>
      <c r="E164" s="26" t="s">
        <v>205</v>
      </c>
      <c r="F164" s="413" t="s">
        <v>204</v>
      </c>
      <c r="G164" s="2">
        <f>COUNTBLANK(G5:G153)</f>
        <v>91</v>
      </c>
    </row>
    <row r="165" spans="1:28">
      <c r="A165" s="20" t="s">
        <v>106</v>
      </c>
      <c r="E165" s="235" t="s">
        <v>60</v>
      </c>
      <c r="F165" s="775">
        <f>COUNTIF(AB$5:AB$153,$E164)</f>
        <v>0</v>
      </c>
    </row>
    <row r="166" spans="1:28">
      <c r="A166" s="20" t="s">
        <v>106</v>
      </c>
      <c r="E166" s="1" t="s">
        <v>61</v>
      </c>
      <c r="F166" s="2">
        <f>COUNTIF(AB$5:AB$153,$E165)</f>
        <v>21</v>
      </c>
    </row>
    <row r="167" spans="1:28" ht="15.75" thickBot="1">
      <c r="A167" s="20" t="s">
        <v>106</v>
      </c>
      <c r="E167" s="551" t="s">
        <v>62</v>
      </c>
      <c r="F167" s="552">
        <f>COUNTIF(AB$5:AB$153,$E166)</f>
        <v>8</v>
      </c>
    </row>
    <row r="168" spans="1:28">
      <c r="A168" s="20" t="s">
        <v>106</v>
      </c>
      <c r="E168" s="553" t="s">
        <v>66</v>
      </c>
      <c r="F168" s="776">
        <f t="shared" ref="F168" si="42">SUM(F165:F167)</f>
        <v>29</v>
      </c>
    </row>
    <row r="169" spans="1:28">
      <c r="E169" s="520"/>
    </row>
    <row r="170" spans="1:28">
      <c r="E170" s="520"/>
    </row>
    <row r="171" spans="1:28">
      <c r="E171" s="520"/>
    </row>
    <row r="172" spans="1:28">
      <c r="E172" s="520"/>
    </row>
    <row r="175" spans="1:28" ht="15" customHeight="1"/>
    <row r="176" spans="1:28" ht="15" customHeight="1"/>
    <row r="177" spans="1:28" ht="15" customHeight="1">
      <c r="A177" s="1"/>
      <c r="C177" s="1"/>
      <c r="D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AB177" s="1"/>
    </row>
    <row r="178" spans="1:28" ht="15" customHeight="1">
      <c r="A178" s="1"/>
      <c r="C178" s="1"/>
      <c r="D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AB178" s="1"/>
    </row>
    <row r="179" spans="1:28" ht="15" customHeight="1">
      <c r="A179" s="1"/>
      <c r="C179" s="1"/>
      <c r="D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AB179" s="1"/>
    </row>
    <row r="180" spans="1:28" ht="15" customHeight="1">
      <c r="A180" s="1"/>
      <c r="C180" s="1"/>
      <c r="D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AB180" s="1"/>
    </row>
    <row r="181" spans="1:28" ht="15" customHeight="1">
      <c r="A181" s="1"/>
      <c r="C181" s="1"/>
      <c r="D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AB181" s="1"/>
    </row>
    <row r="182" spans="1:28" ht="15" customHeight="1">
      <c r="A182" s="1"/>
      <c r="C182" s="1"/>
      <c r="D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AB182" s="1"/>
    </row>
    <row r="183" spans="1:28" ht="15" customHeight="1">
      <c r="A183" s="1"/>
      <c r="C183" s="1"/>
      <c r="D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AB183" s="1"/>
    </row>
    <row r="184" spans="1:28" ht="15.75" customHeight="1">
      <c r="A184" s="1"/>
      <c r="C184" s="1"/>
      <c r="D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AB184" s="1"/>
    </row>
    <row r="185" spans="1:28" ht="15.75" customHeight="1">
      <c r="A185" s="1"/>
      <c r="C185" s="1"/>
      <c r="D185" s="1"/>
      <c r="E185" s="568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AB185" s="1"/>
    </row>
    <row r="186" spans="1:28" ht="15" customHeight="1">
      <c r="A186" s="1"/>
      <c r="C186" s="1"/>
      <c r="D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AB186" s="1"/>
    </row>
    <row r="187" spans="1:28" ht="15" customHeight="1">
      <c r="A187" s="1"/>
      <c r="C187" s="1"/>
      <c r="D187" s="1"/>
      <c r="E187" s="520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AB187" s="1"/>
    </row>
    <row r="188" spans="1:28" ht="15" customHeight="1">
      <c r="A188" s="1"/>
      <c r="C188" s="1"/>
      <c r="D188" s="1"/>
      <c r="E188" s="520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AB188" s="1"/>
    </row>
    <row r="189" spans="1:28" ht="15" customHeight="1">
      <c r="A189" s="1"/>
      <c r="C189" s="1"/>
      <c r="D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AB189" s="1"/>
    </row>
    <row r="201" spans="5:5">
      <c r="E201" s="568"/>
    </row>
    <row r="203" spans="5:5">
      <c r="E203" s="520"/>
    </row>
    <row r="204" spans="5:5">
      <c r="E204" s="520"/>
    </row>
    <row r="217" spans="5:5">
      <c r="E217" s="568"/>
    </row>
    <row r="219" spans="5:5">
      <c r="E219" s="520"/>
    </row>
    <row r="220" spans="5:5">
      <c r="E220" s="520"/>
    </row>
    <row r="233" spans="5:5">
      <c r="E233" s="568"/>
    </row>
  </sheetData>
  <sheetProtection password="D0CE" sheet="1" objects="1" scenarios="1"/>
  <autoFilter ref="A1:V167"/>
  <mergeCells count="53">
    <mergeCell ref="C66:C77"/>
    <mergeCell ref="C96:C109"/>
    <mergeCell ref="B96:B109"/>
    <mergeCell ref="B126:B134"/>
    <mergeCell ref="C126:C134"/>
    <mergeCell ref="B110:B125"/>
    <mergeCell ref="C110:C125"/>
    <mergeCell ref="B78:B85"/>
    <mergeCell ref="C78:C85"/>
    <mergeCell ref="U2:V2"/>
    <mergeCell ref="Q2:R2"/>
    <mergeCell ref="O2:P2"/>
    <mergeCell ref="G2:H2"/>
    <mergeCell ref="I2:I4"/>
    <mergeCell ref="K2:K4"/>
    <mergeCell ref="M2:M4"/>
    <mergeCell ref="D66:D76"/>
    <mergeCell ref="B2:B4"/>
    <mergeCell ref="S2:T2"/>
    <mergeCell ref="D2:D4"/>
    <mergeCell ref="C2:C4"/>
    <mergeCell ref="B35:B49"/>
    <mergeCell ref="B50:B64"/>
    <mergeCell ref="C35:C49"/>
    <mergeCell ref="C50:C64"/>
    <mergeCell ref="B13:B34"/>
    <mergeCell ref="C13:C34"/>
    <mergeCell ref="B5:B8"/>
    <mergeCell ref="B9:B12"/>
    <mergeCell ref="C5:C8"/>
    <mergeCell ref="C9:C12"/>
    <mergeCell ref="B66:B77"/>
    <mergeCell ref="D5:D7"/>
    <mergeCell ref="D9:D11"/>
    <mergeCell ref="D13:D33"/>
    <mergeCell ref="D35:D48"/>
    <mergeCell ref="D50:D63"/>
    <mergeCell ref="F2:F4"/>
    <mergeCell ref="J2:J4"/>
    <mergeCell ref="L2:L4"/>
    <mergeCell ref="N2:N4"/>
    <mergeCell ref="E2:E4"/>
    <mergeCell ref="D78:D84"/>
    <mergeCell ref="M162:N162"/>
    <mergeCell ref="D96:D108"/>
    <mergeCell ref="D110:D124"/>
    <mergeCell ref="D126:D133"/>
    <mergeCell ref="B135:B159"/>
    <mergeCell ref="C135:C159"/>
    <mergeCell ref="C86:C95"/>
    <mergeCell ref="B86:B95"/>
    <mergeCell ref="D135:D158"/>
    <mergeCell ref="D86:D94"/>
  </mergeCells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  <ignoredErrors>
    <ignoredError sqref="I65 K65 I160:I161 M64:M65 I64 I49 I159 I109 K160:K161 I153:L153 I135:L139 I126:M126 I113:K115 M113:N115 I96:N101 I86:N86 I88:N89 J148:L149 I77 I60:K60 I95 K95 M95 K49 M49 K64 K77 M77 K109 M109 K159 M15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B233"/>
  <sheetViews>
    <sheetView view="pageBreakPreview" zoomScale="90" zoomScaleNormal="70" zoomScaleSheetLayoutView="90" workbookViewId="0">
      <pane xSplit="6" ySplit="4" topLeftCell="G5" activePane="bottomRight" state="frozen"/>
      <selection activeCell="B2" sqref="B2:B4"/>
      <selection pane="topRight" activeCell="B2" sqref="B2:B4"/>
      <selection pane="bottomLeft" activeCell="B2" sqref="B2:B4"/>
      <selection pane="bottomRight" activeCell="B2" sqref="B2:B4"/>
    </sheetView>
  </sheetViews>
  <sheetFormatPr baseColWidth="10" defaultRowHeight="15"/>
  <cols>
    <col min="1" max="1" width="3" style="20" customWidth="1"/>
    <col min="2" max="2" width="33.7109375" style="1" customWidth="1"/>
    <col min="3" max="3" width="11.5703125" style="2" customWidth="1"/>
    <col min="4" max="4" width="8.42578125" style="2" customWidth="1"/>
    <col min="5" max="5" width="44.85546875" style="1" customWidth="1"/>
    <col min="6" max="6" width="11.140625" style="2" customWidth="1"/>
    <col min="7" max="7" width="11.42578125" style="2"/>
    <col min="8" max="8" width="11.42578125" style="2" customWidth="1"/>
    <col min="9" max="9" width="11.42578125" style="3" customWidth="1"/>
    <col min="10" max="10" width="11.42578125" style="4" customWidth="1"/>
    <col min="11" max="11" width="11.42578125" style="3" customWidth="1"/>
    <col min="12" max="12" width="11.42578125" style="4" customWidth="1"/>
    <col min="13" max="13" width="11.42578125" style="3" customWidth="1"/>
    <col min="14" max="14" width="11.42578125" style="4" customWidth="1"/>
    <col min="15" max="22" width="7.5703125" style="2" customWidth="1"/>
    <col min="23" max="23" width="5.28515625" style="2" customWidth="1"/>
    <col min="24" max="24" width="11.42578125" style="1" customWidth="1"/>
    <col min="25" max="27" width="11.42578125" style="1"/>
    <col min="28" max="28" width="11.42578125" style="2"/>
    <col min="29" max="16384" width="11.42578125" style="1"/>
  </cols>
  <sheetData>
    <row r="1" spans="1:28" s="20" customFormat="1" ht="17.25" customHeight="1" thickBot="1">
      <c r="C1" s="23"/>
      <c r="D1" s="23"/>
      <c r="E1" s="23">
        <v>7</v>
      </c>
      <c r="F1" s="23"/>
      <c r="G1" s="23"/>
      <c r="H1" s="23"/>
      <c r="I1" s="24"/>
      <c r="J1" s="25"/>
      <c r="K1" s="24"/>
      <c r="L1" s="25"/>
      <c r="M1" s="24"/>
      <c r="N1" s="25"/>
      <c r="O1" s="23"/>
      <c r="P1" s="23"/>
      <c r="Q1" s="23"/>
      <c r="R1" s="23"/>
      <c r="S1" s="23"/>
      <c r="T1" s="23"/>
      <c r="U1" s="23"/>
      <c r="V1" s="23"/>
      <c r="W1" s="23"/>
      <c r="AB1" s="23"/>
    </row>
    <row r="2" spans="1:28" s="6" customFormat="1" ht="30" customHeight="1" thickBot="1">
      <c r="A2" s="21" t="s">
        <v>106</v>
      </c>
      <c r="B2" s="1003" t="s">
        <v>53</v>
      </c>
      <c r="C2" s="1006" t="s">
        <v>74</v>
      </c>
      <c r="D2" s="1006" t="s">
        <v>69</v>
      </c>
      <c r="E2" s="999" t="s">
        <v>79</v>
      </c>
      <c r="F2" s="995" t="s">
        <v>59</v>
      </c>
      <c r="G2" s="1020" t="s">
        <v>54</v>
      </c>
      <c r="H2" s="1005"/>
      <c r="I2" s="1021" t="s">
        <v>55</v>
      </c>
      <c r="J2" s="998" t="s">
        <v>63</v>
      </c>
      <c r="K2" s="1021" t="s">
        <v>56</v>
      </c>
      <c r="L2" s="998" t="s">
        <v>65</v>
      </c>
      <c r="M2" s="1021" t="s">
        <v>57</v>
      </c>
      <c r="N2" s="998" t="s">
        <v>64</v>
      </c>
      <c r="O2" s="1004" t="s">
        <v>39</v>
      </c>
      <c r="P2" s="1005"/>
      <c r="Q2" s="1004" t="s">
        <v>40</v>
      </c>
      <c r="R2" s="1005"/>
      <c r="S2" s="1004" t="s">
        <v>41</v>
      </c>
      <c r="T2" s="1005"/>
      <c r="U2" s="995" t="s">
        <v>42</v>
      </c>
      <c r="V2" s="1019"/>
      <c r="W2" s="215"/>
      <c r="AB2" s="500"/>
    </row>
    <row r="3" spans="1:28" s="6" customFormat="1" ht="30" customHeight="1" thickBot="1">
      <c r="A3" s="21" t="s">
        <v>106</v>
      </c>
      <c r="B3" s="1003"/>
      <c r="C3" s="1006"/>
      <c r="D3" s="1006"/>
      <c r="E3" s="999"/>
      <c r="F3" s="996"/>
      <c r="G3" s="110"/>
      <c r="H3" s="107"/>
      <c r="I3" s="1021"/>
      <c r="J3" s="998"/>
      <c r="K3" s="1021"/>
      <c r="L3" s="998"/>
      <c r="M3" s="1021"/>
      <c r="N3" s="998"/>
      <c r="O3" s="106"/>
      <c r="P3" s="107"/>
      <c r="Q3" s="106"/>
      <c r="R3" s="107"/>
      <c r="S3" s="106"/>
      <c r="T3" s="107"/>
      <c r="U3" s="108"/>
      <c r="V3" s="109"/>
      <c r="W3" s="215"/>
      <c r="AB3" s="500"/>
    </row>
    <row r="4" spans="1:28" s="6" customFormat="1" ht="30" customHeight="1" thickBot="1">
      <c r="A4" s="21" t="s">
        <v>106</v>
      </c>
      <c r="B4" s="1003"/>
      <c r="C4" s="1006"/>
      <c r="D4" s="1006"/>
      <c r="E4" s="999"/>
      <c r="F4" s="997"/>
      <c r="G4" s="10" t="s">
        <v>43</v>
      </c>
      <c r="H4" s="11" t="s">
        <v>44</v>
      </c>
      <c r="I4" s="1021"/>
      <c r="J4" s="998"/>
      <c r="K4" s="1021"/>
      <c r="L4" s="998"/>
      <c r="M4" s="1021"/>
      <c r="N4" s="998"/>
      <c r="O4" s="12" t="s">
        <v>43</v>
      </c>
      <c r="P4" s="11" t="s">
        <v>44</v>
      </c>
      <c r="Q4" s="12" t="s">
        <v>43</v>
      </c>
      <c r="R4" s="11" t="s">
        <v>44</v>
      </c>
      <c r="S4" s="12" t="s">
        <v>43</v>
      </c>
      <c r="T4" s="11" t="s">
        <v>44</v>
      </c>
      <c r="U4" s="12" t="s">
        <v>43</v>
      </c>
      <c r="V4" s="13" t="s">
        <v>44</v>
      </c>
      <c r="W4" s="215"/>
      <c r="AB4" s="500">
        <v>2020</v>
      </c>
    </row>
    <row r="5" spans="1:28" ht="15.75" customHeight="1">
      <c r="A5" s="20" t="str">
        <f t="shared" ref="A5:A49" si="0">IF(D5="Sous-total","S",IF(G5="","","X"))</f>
        <v>X</v>
      </c>
      <c r="B5" s="1012" t="s">
        <v>70</v>
      </c>
      <c r="C5" s="1015" t="s">
        <v>75</v>
      </c>
      <c r="D5" s="1000">
        <v>2</v>
      </c>
      <c r="E5" s="628" t="s">
        <v>71</v>
      </c>
      <c r="F5" s="631" t="s">
        <v>60</v>
      </c>
      <c r="G5" s="752">
        <v>102</v>
      </c>
      <c r="H5" s="753">
        <v>94</v>
      </c>
      <c r="I5" s="505">
        <f>J5/G5</f>
        <v>1.9607843137254902E-2</v>
      </c>
      <c r="J5" s="754">
        <v>2</v>
      </c>
      <c r="K5" s="504">
        <f>L5/G5</f>
        <v>0.17647058823529413</v>
      </c>
      <c r="L5" s="754">
        <v>18</v>
      </c>
      <c r="M5" s="504">
        <f>IF(N5="-","-",N5/L5)</f>
        <v>0.1111111111111111</v>
      </c>
      <c r="N5" s="754">
        <v>2</v>
      </c>
      <c r="O5" s="755"/>
      <c r="P5" s="756"/>
      <c r="Q5" s="755"/>
      <c r="R5" s="756"/>
      <c r="S5" s="757"/>
      <c r="T5" s="758"/>
      <c r="U5" s="757"/>
      <c r="V5" s="759"/>
      <c r="W5" s="216"/>
      <c r="AB5" s="2" t="str">
        <f t="shared" ref="AB5:AB50" si="1">IF(G5&gt;0,$F5,"")</f>
        <v>France</v>
      </c>
    </row>
    <row r="6" spans="1:28" ht="15.75" customHeight="1">
      <c r="A6" s="20" t="str">
        <f t="shared" si="0"/>
        <v/>
      </c>
      <c r="B6" s="1013"/>
      <c r="C6" s="1016"/>
      <c r="D6" s="991"/>
      <c r="E6" s="961" t="s">
        <v>166</v>
      </c>
      <c r="F6" s="251"/>
      <c r="G6" s="252"/>
      <c r="H6" s="253"/>
      <c r="I6" s="747"/>
      <c r="J6" s="255"/>
      <c r="K6" s="254"/>
      <c r="L6" s="255"/>
      <c r="M6" s="254"/>
      <c r="N6" s="851"/>
      <c r="O6" s="242"/>
      <c r="P6" s="243"/>
      <c r="Q6" s="242"/>
      <c r="R6" s="243"/>
      <c r="S6" s="724"/>
      <c r="T6" s="725"/>
      <c r="U6" s="724"/>
      <c r="V6" s="726"/>
      <c r="W6" s="216"/>
    </row>
    <row r="7" spans="1:28" ht="15.75" customHeight="1">
      <c r="A7" s="20" t="str">
        <f t="shared" si="0"/>
        <v/>
      </c>
      <c r="B7" s="1013"/>
      <c r="C7" s="1016"/>
      <c r="D7" s="991"/>
      <c r="E7" s="962" t="s">
        <v>166</v>
      </c>
      <c r="F7" s="459"/>
      <c r="G7" s="257"/>
      <c r="H7" s="258"/>
      <c r="I7" s="748"/>
      <c r="J7" s="260"/>
      <c r="K7" s="259"/>
      <c r="L7" s="260"/>
      <c r="M7" s="259"/>
      <c r="N7" s="856"/>
      <c r="O7" s="244"/>
      <c r="P7" s="245"/>
      <c r="Q7" s="244"/>
      <c r="R7" s="245"/>
      <c r="S7" s="727"/>
      <c r="T7" s="728"/>
      <c r="U7" s="727"/>
      <c r="V7" s="729"/>
      <c r="W7" s="216"/>
    </row>
    <row r="8" spans="1:28" ht="15.75">
      <c r="A8" s="20" t="str">
        <f t="shared" si="0"/>
        <v>S</v>
      </c>
      <c r="B8" s="1013"/>
      <c r="C8" s="1017"/>
      <c r="D8" s="332" t="s">
        <v>138</v>
      </c>
      <c r="E8" s="896"/>
      <c r="F8" s="16"/>
      <c r="G8" s="265">
        <f>SUM(G5:G7)</f>
        <v>102</v>
      </c>
      <c r="H8" s="121">
        <f>SUM(H5:H7)</f>
        <v>94</v>
      </c>
      <c r="I8" s="9">
        <f>J8/G8</f>
        <v>1.9607843137254902E-2</v>
      </c>
      <c r="J8" s="213">
        <f>SUM(J5:J7)</f>
        <v>2</v>
      </c>
      <c r="K8" s="9">
        <f>L8/G8</f>
        <v>0.17647058823529413</v>
      </c>
      <c r="L8" s="213">
        <f>SUM(L5:L7)</f>
        <v>18</v>
      </c>
      <c r="M8" s="9">
        <f>N8/L8</f>
        <v>0.1111111111111111</v>
      </c>
      <c r="N8" s="213">
        <f t="shared" ref="N8:V8" si="2">SUM(N5:N7)</f>
        <v>2</v>
      </c>
      <c r="O8" s="120">
        <f t="shared" si="2"/>
        <v>0</v>
      </c>
      <c r="P8" s="121">
        <f t="shared" si="2"/>
        <v>0</v>
      </c>
      <c r="Q8" s="120">
        <f t="shared" si="2"/>
        <v>0</v>
      </c>
      <c r="R8" s="121">
        <f t="shared" si="2"/>
        <v>0</v>
      </c>
      <c r="S8" s="120">
        <f t="shared" si="2"/>
        <v>0</v>
      </c>
      <c r="T8" s="121">
        <f t="shared" si="2"/>
        <v>0</v>
      </c>
      <c r="U8" s="120">
        <f t="shared" si="2"/>
        <v>0</v>
      </c>
      <c r="V8" s="122">
        <f t="shared" si="2"/>
        <v>0</v>
      </c>
      <c r="W8" s="216"/>
    </row>
    <row r="9" spans="1:28" ht="15.75" customHeight="1">
      <c r="A9" s="20" t="str">
        <f t="shared" si="0"/>
        <v/>
      </c>
      <c r="B9" s="1013" t="s">
        <v>163</v>
      </c>
      <c r="C9" s="1016" t="s">
        <v>75</v>
      </c>
      <c r="D9" s="991"/>
      <c r="E9" s="901" t="s">
        <v>164</v>
      </c>
      <c r="F9" s="246" t="s">
        <v>60</v>
      </c>
      <c r="G9" s="247"/>
      <c r="H9" s="248"/>
      <c r="I9" s="439" t="e">
        <f>J9/G9</f>
        <v>#DIV/0!</v>
      </c>
      <c r="J9" s="250"/>
      <c r="K9" s="249" t="e">
        <f>L9/G9</f>
        <v>#DIV/0!</v>
      </c>
      <c r="L9" s="250"/>
      <c r="M9" s="249" t="e">
        <f>IF(N9="-","-",N9/L9)</f>
        <v>#DIV/0!</v>
      </c>
      <c r="N9" s="846"/>
      <c r="O9" s="240"/>
      <c r="P9" s="241"/>
      <c r="Q9" s="240"/>
      <c r="R9" s="241"/>
      <c r="S9" s="721"/>
      <c r="T9" s="722"/>
      <c r="U9" s="721"/>
      <c r="V9" s="723"/>
      <c r="W9" s="216"/>
      <c r="AB9" s="2" t="str">
        <f t="shared" si="1"/>
        <v/>
      </c>
    </row>
    <row r="10" spans="1:28" ht="15.75" customHeight="1">
      <c r="A10" s="20" t="str">
        <f t="shared" si="0"/>
        <v/>
      </c>
      <c r="B10" s="1013"/>
      <c r="C10" s="1016"/>
      <c r="D10" s="991"/>
      <c r="E10" s="902"/>
      <c r="F10" s="251"/>
      <c r="G10" s="252"/>
      <c r="H10" s="253"/>
      <c r="I10" s="747"/>
      <c r="J10" s="851"/>
      <c r="K10" s="254"/>
      <c r="L10" s="255"/>
      <c r="M10" s="254"/>
      <c r="N10" s="851"/>
      <c r="O10" s="242"/>
      <c r="P10" s="243"/>
      <c r="Q10" s="242"/>
      <c r="R10" s="243"/>
      <c r="S10" s="724"/>
      <c r="T10" s="725"/>
      <c r="U10" s="724"/>
      <c r="V10" s="726"/>
      <c r="W10" s="216"/>
    </row>
    <row r="11" spans="1:28" ht="15.75" customHeight="1">
      <c r="A11" s="20" t="str">
        <f t="shared" si="0"/>
        <v/>
      </c>
      <c r="B11" s="1013"/>
      <c r="C11" s="1016"/>
      <c r="D11" s="991"/>
      <c r="E11" s="911"/>
      <c r="F11" s="459"/>
      <c r="G11" s="257"/>
      <c r="H11" s="258"/>
      <c r="I11" s="748"/>
      <c r="J11" s="856"/>
      <c r="K11" s="259"/>
      <c r="L11" s="260"/>
      <c r="M11" s="259"/>
      <c r="N11" s="856"/>
      <c r="O11" s="244"/>
      <c r="P11" s="245"/>
      <c r="Q11" s="244"/>
      <c r="R11" s="245"/>
      <c r="S11" s="727"/>
      <c r="T11" s="728"/>
      <c r="U11" s="727"/>
      <c r="V11" s="729"/>
      <c r="W11" s="216"/>
    </row>
    <row r="12" spans="1:28" ht="15.75">
      <c r="A12" s="20" t="str">
        <f t="shared" si="0"/>
        <v>S</v>
      </c>
      <c r="B12" s="1014"/>
      <c r="C12" s="1017"/>
      <c r="D12" s="332" t="s">
        <v>138</v>
      </c>
      <c r="E12" s="896"/>
      <c r="F12" s="16"/>
      <c r="G12" s="858">
        <f>SUM(G9:G11)</f>
        <v>0</v>
      </c>
      <c r="H12" s="816">
        <f>SUM(H9:H11)</f>
        <v>0</v>
      </c>
      <c r="I12" s="785" t="e">
        <f>J12/G12</f>
        <v>#DIV/0!</v>
      </c>
      <c r="J12" s="827">
        <f>SUM(J9:J11)</f>
        <v>0</v>
      </c>
      <c r="K12" s="785" t="e">
        <f>L12/G12</f>
        <v>#DIV/0!</v>
      </c>
      <c r="L12" s="827">
        <f>SUM(L9:L11)</f>
        <v>0</v>
      </c>
      <c r="M12" s="785" t="e">
        <f>N12/L12</f>
        <v>#DIV/0!</v>
      </c>
      <c r="N12" s="827">
        <f t="shared" ref="N12" si="3">SUM(N9:N11)</f>
        <v>0</v>
      </c>
      <c r="O12" s="815">
        <f t="shared" ref="O12" si="4">SUM(O9:O11)</f>
        <v>0</v>
      </c>
      <c r="P12" s="816">
        <f t="shared" ref="P12" si="5">SUM(P9:P11)</f>
        <v>0</v>
      </c>
      <c r="Q12" s="815">
        <f t="shared" ref="Q12" si="6">SUM(Q9:Q11)</f>
        <v>0</v>
      </c>
      <c r="R12" s="816">
        <f t="shared" ref="R12" si="7">SUM(R9:R11)</f>
        <v>0</v>
      </c>
      <c r="S12" s="815">
        <f t="shared" ref="S12" si="8">SUM(S9:S11)</f>
        <v>0</v>
      </c>
      <c r="T12" s="816">
        <f t="shared" ref="T12" si="9">SUM(T9:T11)</f>
        <v>0</v>
      </c>
      <c r="U12" s="815">
        <f t="shared" ref="U12" si="10">SUM(U9:U11)</f>
        <v>0</v>
      </c>
      <c r="V12" s="817">
        <f t="shared" ref="V12" si="11">SUM(V9:V11)</f>
        <v>0</v>
      </c>
      <c r="W12" s="216"/>
    </row>
    <row r="13" spans="1:28" ht="15" customHeight="1">
      <c r="A13" s="20" t="str">
        <f t="shared" si="0"/>
        <v/>
      </c>
      <c r="B13" s="1007" t="s">
        <v>168</v>
      </c>
      <c r="C13" s="1009" t="s">
        <v>75</v>
      </c>
      <c r="D13" s="1001"/>
      <c r="E13" s="901" t="s">
        <v>182</v>
      </c>
      <c r="F13" s="246" t="s">
        <v>60</v>
      </c>
      <c r="G13" s="763"/>
      <c r="H13" s="764"/>
      <c r="I13" s="439" t="e">
        <f t="shared" ref="I13:I28" si="12">J13/G13</f>
        <v>#DIV/0!</v>
      </c>
      <c r="J13" s="765"/>
      <c r="K13" s="249" t="e">
        <f t="shared" ref="K13:K28" si="13">L13/G13</f>
        <v>#DIV/0!</v>
      </c>
      <c r="L13" s="765"/>
      <c r="M13" s="249" t="str">
        <f>IF(N13="-","-",N13/L13)</f>
        <v>-</v>
      </c>
      <c r="N13" s="846" t="s">
        <v>21</v>
      </c>
      <c r="O13" s="240" t="s">
        <v>21</v>
      </c>
      <c r="P13" s="241" t="s">
        <v>21</v>
      </c>
      <c r="Q13" s="240" t="s">
        <v>21</v>
      </c>
      <c r="R13" s="241" t="s">
        <v>21</v>
      </c>
      <c r="S13" s="721" t="s">
        <v>21</v>
      </c>
      <c r="T13" s="722" t="s">
        <v>21</v>
      </c>
      <c r="U13" s="721" t="s">
        <v>21</v>
      </c>
      <c r="V13" s="723" t="s">
        <v>21</v>
      </c>
      <c r="W13" s="216"/>
      <c r="AB13" s="2" t="str">
        <f t="shared" si="1"/>
        <v/>
      </c>
    </row>
    <row r="14" spans="1:28" ht="15" customHeight="1">
      <c r="A14" s="20" t="str">
        <f t="shared" si="0"/>
        <v/>
      </c>
      <c r="B14" s="1007"/>
      <c r="C14" s="1009"/>
      <c r="D14" s="1001"/>
      <c r="E14" s="902" t="s">
        <v>183</v>
      </c>
      <c r="F14" s="251" t="s">
        <v>60</v>
      </c>
      <c r="G14" s="749"/>
      <c r="H14" s="750"/>
      <c r="I14" s="448" t="e">
        <f t="shared" si="12"/>
        <v>#DIV/0!</v>
      </c>
      <c r="J14" s="751"/>
      <c r="K14" s="254" t="e">
        <f t="shared" si="13"/>
        <v>#DIV/0!</v>
      </c>
      <c r="L14" s="751"/>
      <c r="M14" s="254" t="str">
        <f t="shared" ref="M14:M28" si="14">IF(N14="-","-",N14/L14)</f>
        <v>-</v>
      </c>
      <c r="N14" s="851" t="s">
        <v>21</v>
      </c>
      <c r="O14" s="242" t="s">
        <v>21</v>
      </c>
      <c r="P14" s="243" t="s">
        <v>21</v>
      </c>
      <c r="Q14" s="242" t="s">
        <v>21</v>
      </c>
      <c r="R14" s="243" t="s">
        <v>21</v>
      </c>
      <c r="S14" s="724" t="s">
        <v>21</v>
      </c>
      <c r="T14" s="725" t="s">
        <v>21</v>
      </c>
      <c r="U14" s="724" t="s">
        <v>21</v>
      </c>
      <c r="V14" s="726" t="s">
        <v>21</v>
      </c>
      <c r="W14" s="216"/>
      <c r="AB14" s="2" t="str">
        <f t="shared" si="1"/>
        <v/>
      </c>
    </row>
    <row r="15" spans="1:28" ht="15" customHeight="1">
      <c r="A15" s="20" t="str">
        <f t="shared" si="0"/>
        <v/>
      </c>
      <c r="B15" s="1007"/>
      <c r="C15" s="1009"/>
      <c r="D15" s="1001"/>
      <c r="E15" s="902" t="s">
        <v>184</v>
      </c>
      <c r="F15" s="251" t="s">
        <v>60</v>
      </c>
      <c r="G15" s="749"/>
      <c r="H15" s="750"/>
      <c r="I15" s="448" t="e">
        <f t="shared" ref="I15:I27" si="15">J15/G15</f>
        <v>#DIV/0!</v>
      </c>
      <c r="J15" s="751"/>
      <c r="K15" s="254" t="e">
        <f t="shared" ref="K15:K27" si="16">L15/G15</f>
        <v>#DIV/0!</v>
      </c>
      <c r="L15" s="751"/>
      <c r="M15" s="254" t="str">
        <f t="shared" ref="M15:M27" si="17">IF(N15="-","-",N15/L15)</f>
        <v>-</v>
      </c>
      <c r="N15" s="851" t="s">
        <v>21</v>
      </c>
      <c r="O15" s="242" t="s">
        <v>21</v>
      </c>
      <c r="P15" s="243" t="s">
        <v>21</v>
      </c>
      <c r="Q15" s="242" t="s">
        <v>21</v>
      </c>
      <c r="R15" s="243" t="s">
        <v>21</v>
      </c>
      <c r="S15" s="724" t="s">
        <v>21</v>
      </c>
      <c r="T15" s="725" t="s">
        <v>21</v>
      </c>
      <c r="U15" s="724" t="s">
        <v>21</v>
      </c>
      <c r="V15" s="726" t="s">
        <v>21</v>
      </c>
      <c r="W15" s="216"/>
      <c r="AB15" s="2" t="str">
        <f t="shared" si="1"/>
        <v/>
      </c>
    </row>
    <row r="16" spans="1:28" ht="15" customHeight="1">
      <c r="A16" s="20" t="str">
        <f t="shared" si="0"/>
        <v/>
      </c>
      <c r="B16" s="1007"/>
      <c r="C16" s="1009"/>
      <c r="D16" s="1001"/>
      <c r="E16" s="902" t="s">
        <v>185</v>
      </c>
      <c r="F16" s="251" t="s">
        <v>60</v>
      </c>
      <c r="G16" s="749"/>
      <c r="H16" s="750"/>
      <c r="I16" s="448" t="e">
        <f t="shared" si="15"/>
        <v>#DIV/0!</v>
      </c>
      <c r="J16" s="751"/>
      <c r="K16" s="254" t="e">
        <f t="shared" si="16"/>
        <v>#DIV/0!</v>
      </c>
      <c r="L16" s="751"/>
      <c r="M16" s="254" t="str">
        <f t="shared" si="17"/>
        <v>-</v>
      </c>
      <c r="N16" s="851" t="s">
        <v>21</v>
      </c>
      <c r="O16" s="242" t="s">
        <v>21</v>
      </c>
      <c r="P16" s="243" t="s">
        <v>21</v>
      </c>
      <c r="Q16" s="242" t="s">
        <v>21</v>
      </c>
      <c r="R16" s="243" t="s">
        <v>21</v>
      </c>
      <c r="S16" s="724" t="s">
        <v>21</v>
      </c>
      <c r="T16" s="725" t="s">
        <v>21</v>
      </c>
      <c r="U16" s="724" t="s">
        <v>21</v>
      </c>
      <c r="V16" s="726" t="s">
        <v>21</v>
      </c>
      <c r="W16" s="216"/>
      <c r="AB16" s="2" t="str">
        <f t="shared" si="1"/>
        <v/>
      </c>
    </row>
    <row r="17" spans="1:28" ht="15" customHeight="1">
      <c r="A17" s="20" t="str">
        <f t="shared" si="0"/>
        <v/>
      </c>
      <c r="B17" s="1007"/>
      <c r="C17" s="1009"/>
      <c r="D17" s="1001"/>
      <c r="E17" s="902" t="s">
        <v>186</v>
      </c>
      <c r="F17" s="251" t="s">
        <v>60</v>
      </c>
      <c r="G17" s="749"/>
      <c r="H17" s="750"/>
      <c r="I17" s="448" t="e">
        <f t="shared" si="15"/>
        <v>#DIV/0!</v>
      </c>
      <c r="J17" s="751"/>
      <c r="K17" s="254" t="e">
        <f t="shared" si="16"/>
        <v>#DIV/0!</v>
      </c>
      <c r="L17" s="751"/>
      <c r="M17" s="254" t="str">
        <f t="shared" si="17"/>
        <v>-</v>
      </c>
      <c r="N17" s="851" t="s">
        <v>21</v>
      </c>
      <c r="O17" s="242" t="s">
        <v>21</v>
      </c>
      <c r="P17" s="243" t="s">
        <v>21</v>
      </c>
      <c r="Q17" s="242" t="s">
        <v>21</v>
      </c>
      <c r="R17" s="243" t="s">
        <v>21</v>
      </c>
      <c r="S17" s="724" t="s">
        <v>21</v>
      </c>
      <c r="T17" s="725" t="s">
        <v>21</v>
      </c>
      <c r="U17" s="724" t="s">
        <v>21</v>
      </c>
      <c r="V17" s="726" t="s">
        <v>21</v>
      </c>
      <c r="W17" s="216"/>
      <c r="AB17" s="2" t="str">
        <f t="shared" si="1"/>
        <v/>
      </c>
    </row>
    <row r="18" spans="1:28" ht="15" customHeight="1">
      <c r="A18" s="20" t="str">
        <f t="shared" si="0"/>
        <v/>
      </c>
      <c r="B18" s="1007"/>
      <c r="C18" s="1009"/>
      <c r="D18" s="1001"/>
      <c r="E18" s="902" t="s">
        <v>187</v>
      </c>
      <c r="F18" s="251" t="s">
        <v>62</v>
      </c>
      <c r="G18" s="749"/>
      <c r="H18" s="750"/>
      <c r="I18" s="448" t="e">
        <f t="shared" si="15"/>
        <v>#DIV/0!</v>
      </c>
      <c r="J18" s="751"/>
      <c r="K18" s="254" t="e">
        <f t="shared" si="16"/>
        <v>#DIV/0!</v>
      </c>
      <c r="L18" s="751"/>
      <c r="M18" s="254" t="str">
        <f t="shared" si="17"/>
        <v>-</v>
      </c>
      <c r="N18" s="851" t="s">
        <v>21</v>
      </c>
      <c r="O18" s="242" t="s">
        <v>21</v>
      </c>
      <c r="P18" s="243" t="s">
        <v>21</v>
      </c>
      <c r="Q18" s="242" t="s">
        <v>21</v>
      </c>
      <c r="R18" s="243" t="s">
        <v>21</v>
      </c>
      <c r="S18" s="724" t="s">
        <v>21</v>
      </c>
      <c r="T18" s="725" t="s">
        <v>21</v>
      </c>
      <c r="U18" s="724" t="s">
        <v>21</v>
      </c>
      <c r="V18" s="726" t="s">
        <v>21</v>
      </c>
      <c r="W18" s="216"/>
      <c r="AB18" s="2" t="str">
        <f t="shared" si="1"/>
        <v/>
      </c>
    </row>
    <row r="19" spans="1:28" ht="15" customHeight="1">
      <c r="A19" s="20" t="str">
        <f t="shared" si="0"/>
        <v/>
      </c>
      <c r="B19" s="1007"/>
      <c r="C19" s="1009"/>
      <c r="D19" s="1001"/>
      <c r="E19" s="902" t="s">
        <v>188</v>
      </c>
      <c r="F19" s="251" t="s">
        <v>60</v>
      </c>
      <c r="G19" s="749"/>
      <c r="H19" s="750"/>
      <c r="I19" s="448" t="e">
        <f t="shared" si="15"/>
        <v>#DIV/0!</v>
      </c>
      <c r="J19" s="751"/>
      <c r="K19" s="254" t="e">
        <f t="shared" si="16"/>
        <v>#DIV/0!</v>
      </c>
      <c r="L19" s="751"/>
      <c r="M19" s="254" t="str">
        <f t="shared" si="17"/>
        <v>-</v>
      </c>
      <c r="N19" s="851" t="s">
        <v>21</v>
      </c>
      <c r="O19" s="242" t="s">
        <v>21</v>
      </c>
      <c r="P19" s="243" t="s">
        <v>21</v>
      </c>
      <c r="Q19" s="242" t="s">
        <v>21</v>
      </c>
      <c r="R19" s="243" t="s">
        <v>21</v>
      </c>
      <c r="S19" s="724" t="s">
        <v>21</v>
      </c>
      <c r="T19" s="725" t="s">
        <v>21</v>
      </c>
      <c r="U19" s="724" t="s">
        <v>21</v>
      </c>
      <c r="V19" s="726" t="s">
        <v>21</v>
      </c>
      <c r="W19" s="216"/>
      <c r="AB19" s="2" t="str">
        <f t="shared" si="1"/>
        <v/>
      </c>
    </row>
    <row r="20" spans="1:28" ht="15" customHeight="1">
      <c r="A20" s="20" t="str">
        <f t="shared" si="0"/>
        <v/>
      </c>
      <c r="B20" s="1007"/>
      <c r="C20" s="1009"/>
      <c r="D20" s="1001"/>
      <c r="E20" s="902" t="s">
        <v>189</v>
      </c>
      <c r="F20" s="251" t="s">
        <v>60</v>
      </c>
      <c r="G20" s="749"/>
      <c r="H20" s="750"/>
      <c r="I20" s="448" t="e">
        <f t="shared" si="15"/>
        <v>#DIV/0!</v>
      </c>
      <c r="J20" s="751"/>
      <c r="K20" s="254" t="e">
        <f t="shared" si="16"/>
        <v>#DIV/0!</v>
      </c>
      <c r="L20" s="751"/>
      <c r="M20" s="254" t="str">
        <f t="shared" si="17"/>
        <v>-</v>
      </c>
      <c r="N20" s="851" t="s">
        <v>21</v>
      </c>
      <c r="O20" s="242" t="s">
        <v>21</v>
      </c>
      <c r="P20" s="243" t="s">
        <v>21</v>
      </c>
      <c r="Q20" s="242" t="s">
        <v>21</v>
      </c>
      <c r="R20" s="243" t="s">
        <v>21</v>
      </c>
      <c r="S20" s="724" t="s">
        <v>21</v>
      </c>
      <c r="T20" s="725" t="s">
        <v>21</v>
      </c>
      <c r="U20" s="724" t="s">
        <v>21</v>
      </c>
      <c r="V20" s="726" t="s">
        <v>21</v>
      </c>
      <c r="W20" s="216"/>
      <c r="AB20" s="2" t="str">
        <f t="shared" si="1"/>
        <v/>
      </c>
    </row>
    <row r="21" spans="1:28" ht="15" customHeight="1">
      <c r="A21" s="20" t="str">
        <f t="shared" si="0"/>
        <v/>
      </c>
      <c r="B21" s="1007"/>
      <c r="C21" s="1009"/>
      <c r="D21" s="1001"/>
      <c r="E21" s="902" t="s">
        <v>190</v>
      </c>
      <c r="F21" s="251" t="s">
        <v>60</v>
      </c>
      <c r="G21" s="749"/>
      <c r="H21" s="750"/>
      <c r="I21" s="448" t="e">
        <f t="shared" si="15"/>
        <v>#DIV/0!</v>
      </c>
      <c r="J21" s="751"/>
      <c r="K21" s="254" t="e">
        <f t="shared" si="16"/>
        <v>#DIV/0!</v>
      </c>
      <c r="L21" s="751"/>
      <c r="M21" s="254" t="str">
        <f t="shared" si="17"/>
        <v>-</v>
      </c>
      <c r="N21" s="851" t="s">
        <v>21</v>
      </c>
      <c r="O21" s="242" t="s">
        <v>21</v>
      </c>
      <c r="P21" s="243" t="s">
        <v>21</v>
      </c>
      <c r="Q21" s="242" t="s">
        <v>21</v>
      </c>
      <c r="R21" s="243" t="s">
        <v>21</v>
      </c>
      <c r="S21" s="724" t="s">
        <v>21</v>
      </c>
      <c r="T21" s="725" t="s">
        <v>21</v>
      </c>
      <c r="U21" s="724" t="s">
        <v>21</v>
      </c>
      <c r="V21" s="726" t="s">
        <v>21</v>
      </c>
      <c r="W21" s="216"/>
      <c r="AB21" s="2" t="str">
        <f t="shared" si="1"/>
        <v/>
      </c>
    </row>
    <row r="22" spans="1:28" ht="15" customHeight="1">
      <c r="A22" s="20" t="str">
        <f t="shared" si="0"/>
        <v/>
      </c>
      <c r="B22" s="1007"/>
      <c r="C22" s="1009"/>
      <c r="D22" s="1001"/>
      <c r="E22" s="902" t="s">
        <v>191</v>
      </c>
      <c r="F22" s="251" t="s">
        <v>60</v>
      </c>
      <c r="G22" s="749"/>
      <c r="H22" s="750"/>
      <c r="I22" s="448" t="e">
        <f t="shared" si="15"/>
        <v>#DIV/0!</v>
      </c>
      <c r="J22" s="751"/>
      <c r="K22" s="254" t="e">
        <f t="shared" si="16"/>
        <v>#DIV/0!</v>
      </c>
      <c r="L22" s="751"/>
      <c r="M22" s="254" t="str">
        <f t="shared" si="17"/>
        <v>-</v>
      </c>
      <c r="N22" s="851" t="s">
        <v>21</v>
      </c>
      <c r="O22" s="242" t="s">
        <v>21</v>
      </c>
      <c r="P22" s="243" t="s">
        <v>21</v>
      </c>
      <c r="Q22" s="242" t="s">
        <v>21</v>
      </c>
      <c r="R22" s="243" t="s">
        <v>21</v>
      </c>
      <c r="S22" s="724" t="s">
        <v>21</v>
      </c>
      <c r="T22" s="725" t="s">
        <v>21</v>
      </c>
      <c r="U22" s="724" t="s">
        <v>21</v>
      </c>
      <c r="V22" s="726" t="s">
        <v>21</v>
      </c>
      <c r="W22" s="216"/>
      <c r="AB22" s="2" t="str">
        <f t="shared" si="1"/>
        <v/>
      </c>
    </row>
    <row r="23" spans="1:28" ht="15" customHeight="1">
      <c r="A23" s="20" t="str">
        <f t="shared" si="0"/>
        <v/>
      </c>
      <c r="B23" s="1007"/>
      <c r="C23" s="1009"/>
      <c r="D23" s="1001"/>
      <c r="E23" s="902" t="s">
        <v>192</v>
      </c>
      <c r="F23" s="251" t="s">
        <v>60</v>
      </c>
      <c r="G23" s="749"/>
      <c r="H23" s="750"/>
      <c r="I23" s="448" t="e">
        <f t="shared" si="15"/>
        <v>#DIV/0!</v>
      </c>
      <c r="J23" s="751"/>
      <c r="K23" s="254" t="e">
        <f t="shared" si="16"/>
        <v>#DIV/0!</v>
      </c>
      <c r="L23" s="751"/>
      <c r="M23" s="254" t="str">
        <f t="shared" si="17"/>
        <v>-</v>
      </c>
      <c r="N23" s="851" t="s">
        <v>21</v>
      </c>
      <c r="O23" s="242" t="s">
        <v>21</v>
      </c>
      <c r="P23" s="243" t="s">
        <v>21</v>
      </c>
      <c r="Q23" s="242" t="s">
        <v>21</v>
      </c>
      <c r="R23" s="243" t="s">
        <v>21</v>
      </c>
      <c r="S23" s="724" t="s">
        <v>21</v>
      </c>
      <c r="T23" s="725" t="s">
        <v>21</v>
      </c>
      <c r="U23" s="724" t="s">
        <v>21</v>
      </c>
      <c r="V23" s="726" t="s">
        <v>21</v>
      </c>
      <c r="W23" s="216"/>
      <c r="AB23" s="2" t="str">
        <f t="shared" si="1"/>
        <v/>
      </c>
    </row>
    <row r="24" spans="1:28" ht="15" customHeight="1">
      <c r="A24" s="20" t="str">
        <f t="shared" si="0"/>
        <v/>
      </c>
      <c r="B24" s="1007"/>
      <c r="C24" s="1009"/>
      <c r="D24" s="1001"/>
      <c r="E24" s="902" t="s">
        <v>193</v>
      </c>
      <c r="F24" s="251" t="s">
        <v>60</v>
      </c>
      <c r="G24" s="749"/>
      <c r="H24" s="750"/>
      <c r="I24" s="448" t="e">
        <f t="shared" si="15"/>
        <v>#DIV/0!</v>
      </c>
      <c r="J24" s="751"/>
      <c r="K24" s="254" t="e">
        <f t="shared" si="16"/>
        <v>#DIV/0!</v>
      </c>
      <c r="L24" s="751"/>
      <c r="M24" s="254" t="str">
        <f t="shared" si="17"/>
        <v>-</v>
      </c>
      <c r="N24" s="851" t="s">
        <v>21</v>
      </c>
      <c r="O24" s="242" t="s">
        <v>21</v>
      </c>
      <c r="P24" s="243" t="s">
        <v>21</v>
      </c>
      <c r="Q24" s="242" t="s">
        <v>21</v>
      </c>
      <c r="R24" s="243" t="s">
        <v>21</v>
      </c>
      <c r="S24" s="724" t="s">
        <v>21</v>
      </c>
      <c r="T24" s="725" t="s">
        <v>21</v>
      </c>
      <c r="U24" s="724" t="s">
        <v>21</v>
      </c>
      <c r="V24" s="726" t="s">
        <v>21</v>
      </c>
      <c r="W24" s="216"/>
      <c r="AB24" s="2" t="str">
        <f t="shared" si="1"/>
        <v/>
      </c>
    </row>
    <row r="25" spans="1:28" ht="15" customHeight="1">
      <c r="A25" s="20" t="str">
        <f t="shared" si="0"/>
        <v/>
      </c>
      <c r="B25" s="1007"/>
      <c r="C25" s="1009"/>
      <c r="D25" s="1001"/>
      <c r="E25" s="902" t="s">
        <v>194</v>
      </c>
      <c r="F25" s="251" t="s">
        <v>60</v>
      </c>
      <c r="G25" s="749"/>
      <c r="H25" s="750"/>
      <c r="I25" s="448" t="e">
        <f t="shared" si="15"/>
        <v>#DIV/0!</v>
      </c>
      <c r="J25" s="751"/>
      <c r="K25" s="254" t="e">
        <f t="shared" si="16"/>
        <v>#DIV/0!</v>
      </c>
      <c r="L25" s="751"/>
      <c r="M25" s="254" t="str">
        <f t="shared" si="17"/>
        <v>-</v>
      </c>
      <c r="N25" s="851" t="s">
        <v>21</v>
      </c>
      <c r="O25" s="242" t="s">
        <v>21</v>
      </c>
      <c r="P25" s="243" t="s">
        <v>21</v>
      </c>
      <c r="Q25" s="242" t="s">
        <v>21</v>
      </c>
      <c r="R25" s="243" t="s">
        <v>21</v>
      </c>
      <c r="S25" s="724" t="s">
        <v>21</v>
      </c>
      <c r="T25" s="725" t="s">
        <v>21</v>
      </c>
      <c r="U25" s="724" t="s">
        <v>21</v>
      </c>
      <c r="V25" s="726" t="s">
        <v>21</v>
      </c>
      <c r="W25" s="216"/>
      <c r="AB25" s="2" t="str">
        <f t="shared" si="1"/>
        <v/>
      </c>
    </row>
    <row r="26" spans="1:28" ht="15" customHeight="1">
      <c r="A26" s="20" t="str">
        <f t="shared" si="0"/>
        <v/>
      </c>
      <c r="B26" s="1007"/>
      <c r="C26" s="1009"/>
      <c r="D26" s="1001"/>
      <c r="E26" s="902" t="s">
        <v>195</v>
      </c>
      <c r="F26" s="251" t="s">
        <v>60</v>
      </c>
      <c r="G26" s="749"/>
      <c r="H26" s="750"/>
      <c r="I26" s="448" t="e">
        <f t="shared" si="15"/>
        <v>#DIV/0!</v>
      </c>
      <c r="J26" s="751"/>
      <c r="K26" s="254" t="e">
        <f t="shared" si="16"/>
        <v>#DIV/0!</v>
      </c>
      <c r="L26" s="751"/>
      <c r="M26" s="254" t="str">
        <f t="shared" si="17"/>
        <v>-</v>
      </c>
      <c r="N26" s="851" t="s">
        <v>21</v>
      </c>
      <c r="O26" s="242" t="s">
        <v>21</v>
      </c>
      <c r="P26" s="243" t="s">
        <v>21</v>
      </c>
      <c r="Q26" s="242" t="s">
        <v>21</v>
      </c>
      <c r="R26" s="243" t="s">
        <v>21</v>
      </c>
      <c r="S26" s="724" t="s">
        <v>21</v>
      </c>
      <c r="T26" s="725" t="s">
        <v>21</v>
      </c>
      <c r="U26" s="724" t="s">
        <v>21</v>
      </c>
      <c r="V26" s="726" t="s">
        <v>21</v>
      </c>
      <c r="W26" s="216"/>
      <c r="AB26" s="2" t="str">
        <f t="shared" si="1"/>
        <v/>
      </c>
    </row>
    <row r="27" spans="1:28" ht="15" customHeight="1">
      <c r="A27" s="20" t="str">
        <f t="shared" si="0"/>
        <v/>
      </c>
      <c r="B27" s="1007"/>
      <c r="C27" s="1009"/>
      <c r="D27" s="1001"/>
      <c r="E27" s="902" t="s">
        <v>196</v>
      </c>
      <c r="F27" s="251" t="s">
        <v>60</v>
      </c>
      <c r="G27" s="749"/>
      <c r="H27" s="750"/>
      <c r="I27" s="448" t="e">
        <f t="shared" si="15"/>
        <v>#DIV/0!</v>
      </c>
      <c r="J27" s="751"/>
      <c r="K27" s="254" t="e">
        <f t="shared" si="16"/>
        <v>#DIV/0!</v>
      </c>
      <c r="L27" s="751"/>
      <c r="M27" s="254" t="str">
        <f t="shared" si="17"/>
        <v>-</v>
      </c>
      <c r="N27" s="851" t="s">
        <v>21</v>
      </c>
      <c r="O27" s="242" t="s">
        <v>21</v>
      </c>
      <c r="P27" s="243" t="s">
        <v>21</v>
      </c>
      <c r="Q27" s="242" t="s">
        <v>21</v>
      </c>
      <c r="R27" s="243" t="s">
        <v>21</v>
      </c>
      <c r="S27" s="724" t="s">
        <v>21</v>
      </c>
      <c r="T27" s="725" t="s">
        <v>21</v>
      </c>
      <c r="U27" s="724" t="s">
        <v>21</v>
      </c>
      <c r="V27" s="726" t="s">
        <v>21</v>
      </c>
      <c r="W27" s="216"/>
      <c r="AB27" s="2" t="str">
        <f t="shared" si="1"/>
        <v/>
      </c>
    </row>
    <row r="28" spans="1:28" ht="15" customHeight="1">
      <c r="A28" s="20" t="str">
        <f t="shared" si="0"/>
        <v/>
      </c>
      <c r="B28" s="1007"/>
      <c r="C28" s="1009"/>
      <c r="D28" s="1001"/>
      <c r="E28" s="902" t="s">
        <v>197</v>
      </c>
      <c r="F28" s="251" t="s">
        <v>62</v>
      </c>
      <c r="G28" s="252"/>
      <c r="H28" s="253"/>
      <c r="I28" s="448" t="e">
        <f t="shared" si="12"/>
        <v>#DIV/0!</v>
      </c>
      <c r="J28" s="255"/>
      <c r="K28" s="254" t="e">
        <f t="shared" si="13"/>
        <v>#DIV/0!</v>
      </c>
      <c r="L28" s="255"/>
      <c r="M28" s="254" t="str">
        <f t="shared" si="14"/>
        <v>-</v>
      </c>
      <c r="N28" s="851" t="s">
        <v>21</v>
      </c>
      <c r="O28" s="242" t="s">
        <v>21</v>
      </c>
      <c r="P28" s="243" t="s">
        <v>21</v>
      </c>
      <c r="Q28" s="242" t="s">
        <v>21</v>
      </c>
      <c r="R28" s="243" t="s">
        <v>21</v>
      </c>
      <c r="S28" s="724" t="s">
        <v>21</v>
      </c>
      <c r="T28" s="725" t="s">
        <v>21</v>
      </c>
      <c r="U28" s="724" t="s">
        <v>21</v>
      </c>
      <c r="V28" s="726" t="s">
        <v>21</v>
      </c>
      <c r="W28" s="216"/>
      <c r="AB28" s="2" t="str">
        <f t="shared" si="1"/>
        <v/>
      </c>
    </row>
    <row r="29" spans="1:28" ht="15" customHeight="1">
      <c r="A29" s="20" t="str">
        <f t="shared" si="0"/>
        <v/>
      </c>
      <c r="B29" s="1007"/>
      <c r="C29" s="1009"/>
      <c r="D29" s="1001"/>
      <c r="E29" s="961" t="s">
        <v>166</v>
      </c>
      <c r="F29" s="251"/>
      <c r="G29" s="252"/>
      <c r="H29" s="253"/>
      <c r="I29" s="747"/>
      <c r="J29" s="255"/>
      <c r="K29" s="254"/>
      <c r="L29" s="255"/>
      <c r="M29" s="254"/>
      <c r="N29" s="851"/>
      <c r="O29" s="242"/>
      <c r="P29" s="243"/>
      <c r="Q29" s="242"/>
      <c r="R29" s="243"/>
      <c r="S29" s="724"/>
      <c r="T29" s="725"/>
      <c r="U29" s="724"/>
      <c r="V29" s="726"/>
      <c r="W29" s="216"/>
    </row>
    <row r="30" spans="1:28" ht="15" customHeight="1">
      <c r="A30" s="20" t="str">
        <f t="shared" si="0"/>
        <v/>
      </c>
      <c r="B30" s="1007"/>
      <c r="C30" s="1009"/>
      <c r="D30" s="1001"/>
      <c r="E30" s="961" t="s">
        <v>166</v>
      </c>
      <c r="F30" s="251"/>
      <c r="G30" s="252"/>
      <c r="H30" s="253"/>
      <c r="I30" s="747"/>
      <c r="J30" s="255"/>
      <c r="K30" s="254"/>
      <c r="L30" s="255"/>
      <c r="M30" s="254"/>
      <c r="N30" s="851"/>
      <c r="O30" s="242"/>
      <c r="P30" s="243"/>
      <c r="Q30" s="242"/>
      <c r="R30" s="243"/>
      <c r="S30" s="724"/>
      <c r="T30" s="725"/>
      <c r="U30" s="724"/>
      <c r="V30" s="726"/>
      <c r="W30" s="216"/>
    </row>
    <row r="31" spans="1:28" ht="15" customHeight="1">
      <c r="A31" s="20" t="str">
        <f t="shared" si="0"/>
        <v/>
      </c>
      <c r="B31" s="1007"/>
      <c r="C31" s="1009"/>
      <c r="D31" s="1001"/>
      <c r="E31" s="961" t="s">
        <v>166</v>
      </c>
      <c r="F31" s="251"/>
      <c r="G31" s="252"/>
      <c r="H31" s="253"/>
      <c r="I31" s="747"/>
      <c r="J31" s="255"/>
      <c r="K31" s="254"/>
      <c r="L31" s="255"/>
      <c r="M31" s="254"/>
      <c r="N31" s="851"/>
      <c r="O31" s="242"/>
      <c r="P31" s="243"/>
      <c r="Q31" s="242"/>
      <c r="R31" s="243"/>
      <c r="S31" s="724"/>
      <c r="T31" s="725"/>
      <c r="U31" s="724"/>
      <c r="V31" s="726"/>
      <c r="W31" s="216"/>
    </row>
    <row r="32" spans="1:28" ht="15" customHeight="1">
      <c r="A32" s="20" t="str">
        <f t="shared" si="0"/>
        <v/>
      </c>
      <c r="B32" s="1007"/>
      <c r="C32" s="1009"/>
      <c r="D32" s="1001"/>
      <c r="E32" s="961" t="s">
        <v>166</v>
      </c>
      <c r="F32" s="251"/>
      <c r="G32" s="252"/>
      <c r="H32" s="253"/>
      <c r="I32" s="747"/>
      <c r="J32" s="255"/>
      <c r="K32" s="254"/>
      <c r="L32" s="255"/>
      <c r="M32" s="254"/>
      <c r="N32" s="851"/>
      <c r="O32" s="242"/>
      <c r="P32" s="243"/>
      <c r="Q32" s="242"/>
      <c r="R32" s="243"/>
      <c r="S32" s="724"/>
      <c r="T32" s="725"/>
      <c r="U32" s="724"/>
      <c r="V32" s="726"/>
      <c r="W32" s="216"/>
    </row>
    <row r="33" spans="1:28" ht="15" customHeight="1">
      <c r="A33" s="20" t="str">
        <f t="shared" si="0"/>
        <v/>
      </c>
      <c r="B33" s="1007"/>
      <c r="C33" s="1009"/>
      <c r="D33" s="1001"/>
      <c r="E33" s="962" t="s">
        <v>166</v>
      </c>
      <c r="F33" s="459"/>
      <c r="G33" s="257"/>
      <c r="H33" s="258"/>
      <c r="I33" s="748"/>
      <c r="J33" s="260"/>
      <c r="K33" s="259"/>
      <c r="L33" s="260"/>
      <c r="M33" s="259"/>
      <c r="N33" s="856"/>
      <c r="O33" s="244"/>
      <c r="P33" s="245"/>
      <c r="Q33" s="244"/>
      <c r="R33" s="245"/>
      <c r="S33" s="727"/>
      <c r="T33" s="728"/>
      <c r="U33" s="727"/>
      <c r="V33" s="729"/>
      <c r="W33" s="216"/>
    </row>
    <row r="34" spans="1:28" ht="15.75">
      <c r="A34" s="20" t="str">
        <f t="shared" si="0"/>
        <v>S</v>
      </c>
      <c r="B34" s="1007"/>
      <c r="C34" s="1010"/>
      <c r="D34" s="332" t="s">
        <v>138</v>
      </c>
      <c r="E34" s="896"/>
      <c r="F34" s="16"/>
      <c r="G34" s="7">
        <f>SUM(G13:G33)</f>
        <v>0</v>
      </c>
      <c r="H34" s="8">
        <f>SUM(H13:H33)</f>
        <v>0</v>
      </c>
      <c r="I34" s="9" t="e">
        <f>J34/G34</f>
        <v>#DIV/0!</v>
      </c>
      <c r="J34" s="213">
        <f>SUM(J13:J33)</f>
        <v>0</v>
      </c>
      <c r="K34" s="9" t="e">
        <f>L34/G34</f>
        <v>#DIV/0!</v>
      </c>
      <c r="L34" s="213">
        <f>SUM(L13:L33)</f>
        <v>0</v>
      </c>
      <c r="M34" s="9" t="e">
        <f>N34/L34</f>
        <v>#DIV/0!</v>
      </c>
      <c r="N34" s="213">
        <f t="shared" ref="N34:V34" si="18">SUM(N13:N33)</f>
        <v>0</v>
      </c>
      <c r="O34" s="120">
        <f t="shared" si="18"/>
        <v>0</v>
      </c>
      <c r="P34" s="121">
        <f t="shared" si="18"/>
        <v>0</v>
      </c>
      <c r="Q34" s="120">
        <f t="shared" si="18"/>
        <v>0</v>
      </c>
      <c r="R34" s="121">
        <f t="shared" si="18"/>
        <v>0</v>
      </c>
      <c r="S34" s="120">
        <f t="shared" si="18"/>
        <v>0</v>
      </c>
      <c r="T34" s="121">
        <f t="shared" si="18"/>
        <v>0</v>
      </c>
      <c r="U34" s="120">
        <f t="shared" si="18"/>
        <v>0</v>
      </c>
      <c r="V34" s="122">
        <f t="shared" si="18"/>
        <v>0</v>
      </c>
      <c r="W34" s="216"/>
      <c r="AB34" s="2" t="str">
        <f t="shared" si="1"/>
        <v/>
      </c>
    </row>
    <row r="35" spans="1:28" ht="15" customHeight="1">
      <c r="A35" s="20" t="str">
        <f t="shared" si="0"/>
        <v>X</v>
      </c>
      <c r="B35" s="1007" t="s">
        <v>82</v>
      </c>
      <c r="C35" s="1009" t="s">
        <v>75</v>
      </c>
      <c r="D35" s="1001">
        <v>9</v>
      </c>
      <c r="E35" s="901" t="s">
        <v>13</v>
      </c>
      <c r="F35" s="246" t="s">
        <v>60</v>
      </c>
      <c r="G35" s="763">
        <v>76</v>
      </c>
      <c r="H35" s="764">
        <v>50</v>
      </c>
      <c r="I35" s="439">
        <f t="shared" ref="I35:I60" si="19">J35/G35</f>
        <v>0.22368421052631579</v>
      </c>
      <c r="J35" s="765">
        <v>17</v>
      </c>
      <c r="K35" s="249">
        <f t="shared" ref="K35:K60" si="20">L35/G35</f>
        <v>0.36842105263157893</v>
      </c>
      <c r="L35" s="765">
        <v>28</v>
      </c>
      <c r="M35" s="249" t="str">
        <f>IF(N35="-","-",N35/L35)</f>
        <v>-</v>
      </c>
      <c r="N35" s="846" t="s">
        <v>21</v>
      </c>
      <c r="O35" s="240" t="s">
        <v>21</v>
      </c>
      <c r="P35" s="241" t="s">
        <v>21</v>
      </c>
      <c r="Q35" s="240" t="s">
        <v>21</v>
      </c>
      <c r="R35" s="241" t="s">
        <v>21</v>
      </c>
      <c r="S35" s="721" t="s">
        <v>21</v>
      </c>
      <c r="T35" s="722" t="s">
        <v>21</v>
      </c>
      <c r="U35" s="721" t="s">
        <v>21</v>
      </c>
      <c r="V35" s="723" t="s">
        <v>21</v>
      </c>
      <c r="W35" s="216"/>
      <c r="AB35" s="2" t="str">
        <f t="shared" si="1"/>
        <v>France</v>
      </c>
    </row>
    <row r="36" spans="1:28" ht="15" customHeight="1">
      <c r="A36" s="20" t="str">
        <f t="shared" si="0"/>
        <v>X</v>
      </c>
      <c r="B36" s="1007"/>
      <c r="C36" s="1009"/>
      <c r="D36" s="1001"/>
      <c r="E36" s="902" t="s">
        <v>14</v>
      </c>
      <c r="F36" s="251" t="s">
        <v>60</v>
      </c>
      <c r="G36" s="749">
        <v>45</v>
      </c>
      <c r="H36" s="750">
        <v>27</v>
      </c>
      <c r="I36" s="448">
        <f t="shared" si="19"/>
        <v>0.46666666666666667</v>
      </c>
      <c r="J36" s="751">
        <v>21</v>
      </c>
      <c r="K36" s="254">
        <f t="shared" si="20"/>
        <v>0.31111111111111112</v>
      </c>
      <c r="L36" s="751">
        <v>14</v>
      </c>
      <c r="M36" s="254" t="str">
        <f t="shared" ref="M36:M60" si="21">IF(N36="-","-",N36/L36)</f>
        <v>-</v>
      </c>
      <c r="N36" s="851" t="s">
        <v>21</v>
      </c>
      <c r="O36" s="242" t="s">
        <v>21</v>
      </c>
      <c r="P36" s="243" t="s">
        <v>21</v>
      </c>
      <c r="Q36" s="242" t="s">
        <v>21</v>
      </c>
      <c r="R36" s="243" t="s">
        <v>21</v>
      </c>
      <c r="S36" s="724" t="s">
        <v>21</v>
      </c>
      <c r="T36" s="725" t="s">
        <v>21</v>
      </c>
      <c r="U36" s="724" t="s">
        <v>21</v>
      </c>
      <c r="V36" s="726" t="s">
        <v>21</v>
      </c>
      <c r="W36" s="216"/>
      <c r="AB36" s="2" t="str">
        <f t="shared" si="1"/>
        <v>France</v>
      </c>
    </row>
    <row r="37" spans="1:28" ht="15" customHeight="1">
      <c r="A37" s="20" t="str">
        <f t="shared" si="0"/>
        <v>X</v>
      </c>
      <c r="B37" s="1007"/>
      <c r="C37" s="1009"/>
      <c r="D37" s="1001"/>
      <c r="E37" s="902" t="s">
        <v>15</v>
      </c>
      <c r="F37" s="251" t="s">
        <v>60</v>
      </c>
      <c r="G37" s="749">
        <v>16</v>
      </c>
      <c r="H37" s="750">
        <v>10</v>
      </c>
      <c r="I37" s="448">
        <f t="shared" si="19"/>
        <v>0.3125</v>
      </c>
      <c r="J37" s="751">
        <v>5</v>
      </c>
      <c r="K37" s="254">
        <f t="shared" si="20"/>
        <v>0.1875</v>
      </c>
      <c r="L37" s="751">
        <v>3</v>
      </c>
      <c r="M37" s="254" t="str">
        <f t="shared" si="21"/>
        <v>-</v>
      </c>
      <c r="N37" s="851" t="s">
        <v>21</v>
      </c>
      <c r="O37" s="242" t="s">
        <v>21</v>
      </c>
      <c r="P37" s="243" t="s">
        <v>21</v>
      </c>
      <c r="Q37" s="242" t="s">
        <v>21</v>
      </c>
      <c r="R37" s="243" t="s">
        <v>21</v>
      </c>
      <c r="S37" s="724" t="s">
        <v>21</v>
      </c>
      <c r="T37" s="725" t="s">
        <v>21</v>
      </c>
      <c r="U37" s="724" t="s">
        <v>21</v>
      </c>
      <c r="V37" s="726" t="s">
        <v>21</v>
      </c>
      <c r="W37" s="216"/>
      <c r="AB37" s="2" t="str">
        <f t="shared" si="1"/>
        <v>France</v>
      </c>
    </row>
    <row r="38" spans="1:28" ht="15" customHeight="1">
      <c r="A38" s="20" t="str">
        <f t="shared" si="0"/>
        <v>X</v>
      </c>
      <c r="B38" s="1007"/>
      <c r="C38" s="1009"/>
      <c r="D38" s="1001"/>
      <c r="E38" s="902" t="s">
        <v>141</v>
      </c>
      <c r="F38" s="251" t="s">
        <v>60</v>
      </c>
      <c r="G38" s="749">
        <v>56</v>
      </c>
      <c r="H38" s="750">
        <v>36</v>
      </c>
      <c r="I38" s="448">
        <f t="shared" si="19"/>
        <v>0.21428571428571427</v>
      </c>
      <c r="J38" s="751">
        <v>12</v>
      </c>
      <c r="K38" s="254">
        <f t="shared" si="20"/>
        <v>0.17857142857142858</v>
      </c>
      <c r="L38" s="751">
        <v>10</v>
      </c>
      <c r="M38" s="254" t="str">
        <f t="shared" si="21"/>
        <v>-</v>
      </c>
      <c r="N38" s="851" t="s">
        <v>21</v>
      </c>
      <c r="O38" s="242" t="s">
        <v>21</v>
      </c>
      <c r="P38" s="243" t="s">
        <v>21</v>
      </c>
      <c r="Q38" s="242" t="s">
        <v>21</v>
      </c>
      <c r="R38" s="243" t="s">
        <v>21</v>
      </c>
      <c r="S38" s="724"/>
      <c r="T38" s="725"/>
      <c r="U38" s="724"/>
      <c r="V38" s="726"/>
      <c r="W38" s="216"/>
      <c r="AB38" s="2" t="str">
        <f t="shared" si="1"/>
        <v>France</v>
      </c>
    </row>
    <row r="39" spans="1:28" ht="15" customHeight="1">
      <c r="A39" s="20" t="str">
        <f t="shared" si="0"/>
        <v>X</v>
      </c>
      <c r="B39" s="1007"/>
      <c r="C39" s="1009"/>
      <c r="D39" s="1001"/>
      <c r="E39" s="902" t="s">
        <v>16</v>
      </c>
      <c r="F39" s="251" t="s">
        <v>60</v>
      </c>
      <c r="G39" s="749">
        <v>13</v>
      </c>
      <c r="H39" s="750">
        <v>8</v>
      </c>
      <c r="I39" s="448">
        <f t="shared" si="19"/>
        <v>0.53846153846153844</v>
      </c>
      <c r="J39" s="751">
        <v>7</v>
      </c>
      <c r="K39" s="254">
        <f t="shared" si="20"/>
        <v>0.46153846153846156</v>
      </c>
      <c r="L39" s="751">
        <v>6</v>
      </c>
      <c r="M39" s="254" t="str">
        <f t="shared" si="21"/>
        <v>-</v>
      </c>
      <c r="N39" s="851" t="s">
        <v>21</v>
      </c>
      <c r="O39" s="242" t="s">
        <v>21</v>
      </c>
      <c r="P39" s="243" t="s">
        <v>21</v>
      </c>
      <c r="Q39" s="242" t="s">
        <v>21</v>
      </c>
      <c r="R39" s="243" t="s">
        <v>21</v>
      </c>
      <c r="S39" s="724" t="s">
        <v>21</v>
      </c>
      <c r="T39" s="725" t="s">
        <v>21</v>
      </c>
      <c r="U39" s="724" t="s">
        <v>21</v>
      </c>
      <c r="V39" s="726" t="s">
        <v>21</v>
      </c>
      <c r="W39" s="216"/>
      <c r="AB39" s="2" t="str">
        <f t="shared" si="1"/>
        <v>France</v>
      </c>
    </row>
    <row r="40" spans="1:28" ht="15" customHeight="1">
      <c r="A40" s="20" t="str">
        <f t="shared" si="0"/>
        <v>X</v>
      </c>
      <c r="B40" s="1007"/>
      <c r="C40" s="1009"/>
      <c r="D40" s="1001"/>
      <c r="E40" s="902" t="s">
        <v>17</v>
      </c>
      <c r="F40" s="251" t="s">
        <v>60</v>
      </c>
      <c r="G40" s="749">
        <v>24</v>
      </c>
      <c r="H40" s="750">
        <v>20</v>
      </c>
      <c r="I40" s="448">
        <f t="shared" si="19"/>
        <v>0.29166666666666669</v>
      </c>
      <c r="J40" s="751">
        <v>7</v>
      </c>
      <c r="K40" s="254">
        <f t="shared" si="20"/>
        <v>0.29166666666666669</v>
      </c>
      <c r="L40" s="751">
        <v>7</v>
      </c>
      <c r="M40" s="254" t="str">
        <f t="shared" si="21"/>
        <v>-</v>
      </c>
      <c r="N40" s="851" t="s">
        <v>21</v>
      </c>
      <c r="O40" s="242" t="s">
        <v>21</v>
      </c>
      <c r="P40" s="243" t="s">
        <v>21</v>
      </c>
      <c r="Q40" s="242" t="s">
        <v>21</v>
      </c>
      <c r="R40" s="243" t="s">
        <v>21</v>
      </c>
      <c r="S40" s="724" t="s">
        <v>21</v>
      </c>
      <c r="T40" s="725" t="s">
        <v>21</v>
      </c>
      <c r="U40" s="724" t="s">
        <v>21</v>
      </c>
      <c r="V40" s="726" t="s">
        <v>21</v>
      </c>
      <c r="W40" s="216"/>
      <c r="AB40" s="2" t="str">
        <f t="shared" si="1"/>
        <v>France</v>
      </c>
    </row>
    <row r="41" spans="1:28" ht="15" customHeight="1">
      <c r="A41" s="20" t="str">
        <f t="shared" si="0"/>
        <v>X</v>
      </c>
      <c r="B41" s="1007"/>
      <c r="C41" s="1009"/>
      <c r="D41" s="1001"/>
      <c r="E41" s="902" t="s">
        <v>18</v>
      </c>
      <c r="F41" s="251" t="s">
        <v>60</v>
      </c>
      <c r="G41" s="749">
        <v>33</v>
      </c>
      <c r="H41" s="750">
        <v>25</v>
      </c>
      <c r="I41" s="448">
        <f t="shared" si="19"/>
        <v>0</v>
      </c>
      <c r="J41" s="751">
        <v>0</v>
      </c>
      <c r="K41" s="254">
        <f t="shared" si="20"/>
        <v>0.21212121212121213</v>
      </c>
      <c r="L41" s="751">
        <v>7</v>
      </c>
      <c r="M41" s="254" t="str">
        <f t="shared" si="21"/>
        <v>-</v>
      </c>
      <c r="N41" s="851" t="s">
        <v>21</v>
      </c>
      <c r="O41" s="242" t="s">
        <v>21</v>
      </c>
      <c r="P41" s="243" t="s">
        <v>21</v>
      </c>
      <c r="Q41" s="242" t="s">
        <v>21</v>
      </c>
      <c r="R41" s="243" t="s">
        <v>21</v>
      </c>
      <c r="S41" s="724" t="s">
        <v>21</v>
      </c>
      <c r="T41" s="725" t="s">
        <v>21</v>
      </c>
      <c r="U41" s="724" t="s">
        <v>21</v>
      </c>
      <c r="V41" s="726" t="s">
        <v>21</v>
      </c>
      <c r="W41" s="216"/>
      <c r="AB41" s="2" t="str">
        <f t="shared" si="1"/>
        <v>France</v>
      </c>
    </row>
    <row r="42" spans="1:28" ht="15" customHeight="1">
      <c r="A42" s="20" t="str">
        <f t="shared" si="0"/>
        <v>X</v>
      </c>
      <c r="B42" s="1007"/>
      <c r="C42" s="1009"/>
      <c r="D42" s="1001"/>
      <c r="E42" s="902" t="s">
        <v>19</v>
      </c>
      <c r="F42" s="251" t="s">
        <v>60</v>
      </c>
      <c r="G42" s="749">
        <v>32</v>
      </c>
      <c r="H42" s="750">
        <v>17</v>
      </c>
      <c r="I42" s="448">
        <f t="shared" si="19"/>
        <v>0.15625</v>
      </c>
      <c r="J42" s="751">
        <v>5</v>
      </c>
      <c r="K42" s="254">
        <f t="shared" si="20"/>
        <v>0.375</v>
      </c>
      <c r="L42" s="751">
        <v>12</v>
      </c>
      <c r="M42" s="254" t="str">
        <f t="shared" si="21"/>
        <v>-</v>
      </c>
      <c r="N42" s="851" t="s">
        <v>21</v>
      </c>
      <c r="O42" s="242" t="s">
        <v>21</v>
      </c>
      <c r="P42" s="243" t="s">
        <v>21</v>
      </c>
      <c r="Q42" s="242" t="s">
        <v>21</v>
      </c>
      <c r="R42" s="243" t="s">
        <v>21</v>
      </c>
      <c r="S42" s="724" t="s">
        <v>21</v>
      </c>
      <c r="T42" s="725" t="s">
        <v>21</v>
      </c>
      <c r="U42" s="724" t="s">
        <v>21</v>
      </c>
      <c r="V42" s="726" t="s">
        <v>21</v>
      </c>
      <c r="W42" s="216"/>
      <c r="AB42" s="2" t="str">
        <f t="shared" si="1"/>
        <v>France</v>
      </c>
    </row>
    <row r="43" spans="1:28" ht="15" customHeight="1">
      <c r="A43" s="20" t="str">
        <f t="shared" si="0"/>
        <v/>
      </c>
      <c r="B43" s="1007"/>
      <c r="C43" s="1009"/>
      <c r="D43" s="1001"/>
      <c r="E43" s="902" t="s">
        <v>169</v>
      </c>
      <c r="F43" s="251" t="s">
        <v>60</v>
      </c>
      <c r="G43" s="760"/>
      <c r="H43" s="761"/>
      <c r="I43" s="448" t="e">
        <f t="shared" si="19"/>
        <v>#DIV/0!</v>
      </c>
      <c r="J43" s="762"/>
      <c r="K43" s="254" t="e">
        <f t="shared" si="20"/>
        <v>#DIV/0!</v>
      </c>
      <c r="L43" s="762"/>
      <c r="M43" s="254" t="str">
        <f t="shared" si="21"/>
        <v>-</v>
      </c>
      <c r="N43" s="851" t="s">
        <v>21</v>
      </c>
      <c r="O43" s="242" t="s">
        <v>21</v>
      </c>
      <c r="P43" s="243" t="s">
        <v>21</v>
      </c>
      <c r="Q43" s="242" t="s">
        <v>21</v>
      </c>
      <c r="R43" s="243" t="s">
        <v>21</v>
      </c>
      <c r="S43" s="724"/>
      <c r="T43" s="725"/>
      <c r="U43" s="724"/>
      <c r="V43" s="726"/>
      <c r="W43" s="216"/>
      <c r="AB43" s="2" t="str">
        <f t="shared" si="1"/>
        <v/>
      </c>
    </row>
    <row r="44" spans="1:28" ht="15" customHeight="1">
      <c r="A44" s="20" t="str">
        <f t="shared" si="0"/>
        <v/>
      </c>
      <c r="B44" s="1007"/>
      <c r="C44" s="1009"/>
      <c r="D44" s="1001"/>
      <c r="E44" s="902" t="s">
        <v>170</v>
      </c>
      <c r="F44" s="251" t="s">
        <v>60</v>
      </c>
      <c r="G44" s="760"/>
      <c r="H44" s="761"/>
      <c r="I44" s="448" t="e">
        <f t="shared" si="19"/>
        <v>#DIV/0!</v>
      </c>
      <c r="J44" s="762"/>
      <c r="K44" s="254" t="e">
        <f t="shared" si="20"/>
        <v>#DIV/0!</v>
      </c>
      <c r="L44" s="762"/>
      <c r="M44" s="254" t="str">
        <f t="shared" si="21"/>
        <v>-</v>
      </c>
      <c r="N44" s="851" t="s">
        <v>21</v>
      </c>
      <c r="O44" s="242" t="s">
        <v>21</v>
      </c>
      <c r="P44" s="243" t="s">
        <v>21</v>
      </c>
      <c r="Q44" s="242" t="s">
        <v>21</v>
      </c>
      <c r="R44" s="243" t="s">
        <v>21</v>
      </c>
      <c r="S44" s="724"/>
      <c r="T44" s="725"/>
      <c r="U44" s="724"/>
      <c r="V44" s="726"/>
      <c r="W44" s="216"/>
      <c r="AB44" s="2" t="str">
        <f t="shared" si="1"/>
        <v/>
      </c>
    </row>
    <row r="45" spans="1:28" ht="15" customHeight="1">
      <c r="A45" s="20" t="str">
        <f t="shared" si="0"/>
        <v/>
      </c>
      <c r="B45" s="1007"/>
      <c r="C45" s="1009"/>
      <c r="D45" s="1001"/>
      <c r="E45" s="902" t="s">
        <v>5</v>
      </c>
      <c r="F45" s="251" t="s">
        <v>60</v>
      </c>
      <c r="G45" s="252"/>
      <c r="H45" s="253"/>
      <c r="I45" s="448" t="e">
        <f t="shared" si="19"/>
        <v>#DIV/0!</v>
      </c>
      <c r="J45" s="255"/>
      <c r="K45" s="254" t="e">
        <f t="shared" si="20"/>
        <v>#DIV/0!</v>
      </c>
      <c r="L45" s="255"/>
      <c r="M45" s="254" t="str">
        <f t="shared" si="21"/>
        <v>-</v>
      </c>
      <c r="N45" s="851" t="s">
        <v>21</v>
      </c>
      <c r="O45" s="242" t="s">
        <v>21</v>
      </c>
      <c r="P45" s="243" t="s">
        <v>21</v>
      </c>
      <c r="Q45" s="242" t="s">
        <v>21</v>
      </c>
      <c r="R45" s="243" t="s">
        <v>21</v>
      </c>
      <c r="S45" s="724" t="s">
        <v>21</v>
      </c>
      <c r="T45" s="725" t="s">
        <v>21</v>
      </c>
      <c r="U45" s="724" t="s">
        <v>21</v>
      </c>
      <c r="V45" s="726" t="s">
        <v>21</v>
      </c>
      <c r="W45" s="216"/>
      <c r="AB45" s="2" t="str">
        <f t="shared" si="1"/>
        <v/>
      </c>
    </row>
    <row r="46" spans="1:28" ht="15" customHeight="1">
      <c r="A46" s="20" t="str">
        <f t="shared" si="0"/>
        <v/>
      </c>
      <c r="B46" s="1007"/>
      <c r="C46" s="1009"/>
      <c r="D46" s="1001"/>
      <c r="E46" s="961" t="s">
        <v>166</v>
      </c>
      <c r="F46" s="251"/>
      <c r="G46" s="252"/>
      <c r="H46" s="253"/>
      <c r="I46" s="747"/>
      <c r="J46" s="255"/>
      <c r="K46" s="254"/>
      <c r="L46" s="255"/>
      <c r="M46" s="254"/>
      <c r="N46" s="851"/>
      <c r="O46" s="242"/>
      <c r="P46" s="243"/>
      <c r="Q46" s="242"/>
      <c r="R46" s="243"/>
      <c r="S46" s="724"/>
      <c r="T46" s="725"/>
      <c r="U46" s="724"/>
      <c r="V46" s="726"/>
      <c r="W46" s="216"/>
    </row>
    <row r="47" spans="1:28" ht="15" customHeight="1">
      <c r="A47" s="20" t="str">
        <f t="shared" si="0"/>
        <v/>
      </c>
      <c r="B47" s="1007"/>
      <c r="C47" s="1009"/>
      <c r="D47" s="1001"/>
      <c r="E47" s="961" t="s">
        <v>166</v>
      </c>
      <c r="F47" s="251"/>
      <c r="G47" s="252"/>
      <c r="H47" s="253"/>
      <c r="I47" s="747"/>
      <c r="J47" s="255"/>
      <c r="K47" s="254"/>
      <c r="L47" s="255"/>
      <c r="M47" s="254"/>
      <c r="N47" s="851"/>
      <c r="O47" s="242"/>
      <c r="P47" s="243"/>
      <c r="Q47" s="242"/>
      <c r="R47" s="243"/>
      <c r="S47" s="724"/>
      <c r="T47" s="725"/>
      <c r="U47" s="724"/>
      <c r="V47" s="726"/>
      <c r="W47" s="216"/>
    </row>
    <row r="48" spans="1:28" ht="15" customHeight="1">
      <c r="A48" s="20" t="str">
        <f t="shared" si="0"/>
        <v/>
      </c>
      <c r="B48" s="1007"/>
      <c r="C48" s="1009"/>
      <c r="D48" s="1001"/>
      <c r="E48" s="962" t="s">
        <v>166</v>
      </c>
      <c r="F48" s="459"/>
      <c r="G48" s="257"/>
      <c r="H48" s="258"/>
      <c r="I48" s="748"/>
      <c r="J48" s="260"/>
      <c r="K48" s="259"/>
      <c r="L48" s="260"/>
      <c r="M48" s="259"/>
      <c r="N48" s="856"/>
      <c r="O48" s="244"/>
      <c r="P48" s="245"/>
      <c r="Q48" s="244"/>
      <c r="R48" s="245"/>
      <c r="S48" s="727"/>
      <c r="T48" s="728"/>
      <c r="U48" s="727"/>
      <c r="V48" s="729"/>
      <c r="W48" s="216"/>
    </row>
    <row r="49" spans="1:28" ht="15.75">
      <c r="A49" s="20" t="str">
        <f t="shared" si="0"/>
        <v>S</v>
      </c>
      <c r="B49" s="1007"/>
      <c r="C49" s="1010"/>
      <c r="D49" s="332" t="s">
        <v>138</v>
      </c>
      <c r="E49" s="896"/>
      <c r="F49" s="16"/>
      <c r="G49" s="7">
        <f>SUM(G35:G48)</f>
        <v>295</v>
      </c>
      <c r="H49" s="8">
        <f>SUM(H35:H48)</f>
        <v>193</v>
      </c>
      <c r="I49" s="9">
        <f>J49/G49</f>
        <v>0.25084745762711863</v>
      </c>
      <c r="J49" s="213">
        <f>SUM(J35:J48)</f>
        <v>74</v>
      </c>
      <c r="K49" s="9">
        <f>L49/G49</f>
        <v>0.29491525423728815</v>
      </c>
      <c r="L49" s="213">
        <f>SUM(L35:L48)</f>
        <v>87</v>
      </c>
      <c r="M49" s="9">
        <f>N49/L49</f>
        <v>0</v>
      </c>
      <c r="N49" s="213">
        <f t="shared" ref="N49:V49" si="22">SUM(N35:N48)</f>
        <v>0</v>
      </c>
      <c r="O49" s="120">
        <f t="shared" si="22"/>
        <v>0</v>
      </c>
      <c r="P49" s="121">
        <f t="shared" si="22"/>
        <v>0</v>
      </c>
      <c r="Q49" s="120">
        <f t="shared" si="22"/>
        <v>0</v>
      </c>
      <c r="R49" s="121">
        <f t="shared" si="22"/>
        <v>0</v>
      </c>
      <c r="S49" s="120">
        <f t="shared" si="22"/>
        <v>0</v>
      </c>
      <c r="T49" s="121">
        <f t="shared" si="22"/>
        <v>0</v>
      </c>
      <c r="U49" s="120">
        <f t="shared" si="22"/>
        <v>0</v>
      </c>
      <c r="V49" s="122">
        <f t="shared" si="22"/>
        <v>0</v>
      </c>
      <c r="W49" s="216"/>
      <c r="AB49" s="2">
        <f t="shared" si="1"/>
        <v>0</v>
      </c>
    </row>
    <row r="50" spans="1:28">
      <c r="A50" s="20" t="str">
        <f>IF(D50="Sous-total","S",IF(G50="","","X"))</f>
        <v>X</v>
      </c>
      <c r="B50" s="1007" t="s">
        <v>83</v>
      </c>
      <c r="C50" s="1009" t="s">
        <v>75</v>
      </c>
      <c r="D50" s="991">
        <v>9</v>
      </c>
      <c r="E50" s="901" t="s">
        <v>10</v>
      </c>
      <c r="F50" s="246" t="s">
        <v>60</v>
      </c>
      <c r="G50" s="247">
        <v>46</v>
      </c>
      <c r="H50" s="248">
        <v>32</v>
      </c>
      <c r="I50" s="439">
        <f t="shared" si="19"/>
        <v>0.65217391304347827</v>
      </c>
      <c r="J50" s="250">
        <v>30</v>
      </c>
      <c r="K50" s="249">
        <f t="shared" si="20"/>
        <v>0.19565217391304349</v>
      </c>
      <c r="L50" s="250">
        <v>9</v>
      </c>
      <c r="M50" s="249">
        <f t="shared" si="21"/>
        <v>1</v>
      </c>
      <c r="N50" s="846">
        <v>9</v>
      </c>
      <c r="O50" s="240" t="s">
        <v>21</v>
      </c>
      <c r="P50" s="241" t="s">
        <v>21</v>
      </c>
      <c r="Q50" s="240" t="s">
        <v>21</v>
      </c>
      <c r="R50" s="241" t="s">
        <v>21</v>
      </c>
      <c r="S50" s="721" t="s">
        <v>21</v>
      </c>
      <c r="T50" s="722" t="s">
        <v>21</v>
      </c>
      <c r="U50" s="721" t="s">
        <v>21</v>
      </c>
      <c r="V50" s="723" t="s">
        <v>21</v>
      </c>
      <c r="W50" s="216"/>
      <c r="AB50" s="2" t="str">
        <f t="shared" si="1"/>
        <v>France</v>
      </c>
    </row>
    <row r="51" spans="1:28">
      <c r="A51" s="20" t="str">
        <f t="shared" ref="A51:A113" si="23">IF(D51="Sous-total","S",IF(G51="","","X"))</f>
        <v>X</v>
      </c>
      <c r="B51" s="1007"/>
      <c r="C51" s="1009"/>
      <c r="D51" s="991"/>
      <c r="E51" s="902" t="s">
        <v>11</v>
      </c>
      <c r="F51" s="251" t="s">
        <v>60</v>
      </c>
      <c r="G51" s="252">
        <v>28</v>
      </c>
      <c r="H51" s="253">
        <v>17</v>
      </c>
      <c r="I51" s="448">
        <f t="shared" si="19"/>
        <v>0.6428571428571429</v>
      </c>
      <c r="J51" s="255">
        <v>18</v>
      </c>
      <c r="K51" s="254">
        <f t="shared" si="20"/>
        <v>0.32142857142857145</v>
      </c>
      <c r="L51" s="255">
        <v>9</v>
      </c>
      <c r="M51" s="254">
        <f t="shared" si="21"/>
        <v>0.77777777777777779</v>
      </c>
      <c r="N51" s="851">
        <v>7</v>
      </c>
      <c r="O51" s="242" t="s">
        <v>21</v>
      </c>
      <c r="P51" s="243" t="s">
        <v>21</v>
      </c>
      <c r="Q51" s="242" t="s">
        <v>21</v>
      </c>
      <c r="R51" s="243" t="s">
        <v>21</v>
      </c>
      <c r="S51" s="724" t="s">
        <v>21</v>
      </c>
      <c r="T51" s="725" t="s">
        <v>21</v>
      </c>
      <c r="U51" s="724" t="s">
        <v>21</v>
      </c>
      <c r="V51" s="726" t="s">
        <v>21</v>
      </c>
      <c r="W51" s="216"/>
      <c r="AB51" s="2" t="str">
        <f t="shared" ref="AB51:AB89" si="24">IF(G51&gt;0,$F51,"")</f>
        <v>France</v>
      </c>
    </row>
    <row r="52" spans="1:28">
      <c r="A52" s="20" t="str">
        <f t="shared" si="23"/>
        <v>X</v>
      </c>
      <c r="B52" s="1007"/>
      <c r="C52" s="1009"/>
      <c r="D52" s="991"/>
      <c r="E52" s="902" t="s">
        <v>12</v>
      </c>
      <c r="F52" s="251" t="s">
        <v>60</v>
      </c>
      <c r="G52" s="252">
        <v>5</v>
      </c>
      <c r="H52" s="253">
        <v>5</v>
      </c>
      <c r="I52" s="448">
        <f t="shared" ref="I52" si="25">J52/G52</f>
        <v>0.6</v>
      </c>
      <c r="J52" s="255">
        <v>3</v>
      </c>
      <c r="K52" s="254">
        <f t="shared" ref="K52" si="26">L52/G52</f>
        <v>0.2</v>
      </c>
      <c r="L52" s="255">
        <v>1</v>
      </c>
      <c r="M52" s="254">
        <f t="shared" ref="M52" si="27">IF(N52="-","-",N52/L52)</f>
        <v>1</v>
      </c>
      <c r="N52" s="851">
        <v>1</v>
      </c>
      <c r="O52" s="242" t="s">
        <v>21</v>
      </c>
      <c r="P52" s="243" t="s">
        <v>21</v>
      </c>
      <c r="Q52" s="242" t="s">
        <v>21</v>
      </c>
      <c r="R52" s="243" t="s">
        <v>21</v>
      </c>
      <c r="S52" s="724" t="s">
        <v>21</v>
      </c>
      <c r="T52" s="725" t="s">
        <v>21</v>
      </c>
      <c r="U52" s="724" t="s">
        <v>21</v>
      </c>
      <c r="V52" s="726" t="s">
        <v>21</v>
      </c>
      <c r="W52" s="216"/>
      <c r="AB52" s="2" t="str">
        <f t="shared" si="24"/>
        <v>France</v>
      </c>
    </row>
    <row r="53" spans="1:28">
      <c r="A53" s="20" t="str">
        <f t="shared" si="23"/>
        <v>X</v>
      </c>
      <c r="B53" s="1007"/>
      <c r="C53" s="1009"/>
      <c r="D53" s="991"/>
      <c r="E53" s="902" t="s">
        <v>7</v>
      </c>
      <c r="F53" s="251" t="s">
        <v>60</v>
      </c>
      <c r="G53" s="252">
        <v>45</v>
      </c>
      <c r="H53" s="253">
        <v>26</v>
      </c>
      <c r="I53" s="448">
        <f t="shared" si="19"/>
        <v>0.26666666666666666</v>
      </c>
      <c r="J53" s="255">
        <v>12</v>
      </c>
      <c r="K53" s="254">
        <f t="shared" si="20"/>
        <v>0.26666666666666666</v>
      </c>
      <c r="L53" s="255">
        <v>12</v>
      </c>
      <c r="M53" s="254">
        <f t="shared" si="21"/>
        <v>0.25</v>
      </c>
      <c r="N53" s="851">
        <v>3</v>
      </c>
      <c r="O53" s="242" t="s">
        <v>21</v>
      </c>
      <c r="P53" s="243" t="s">
        <v>21</v>
      </c>
      <c r="Q53" s="242" t="s">
        <v>21</v>
      </c>
      <c r="R53" s="243" t="s">
        <v>21</v>
      </c>
      <c r="S53" s="724" t="s">
        <v>21</v>
      </c>
      <c r="T53" s="725" t="s">
        <v>21</v>
      </c>
      <c r="U53" s="724" t="s">
        <v>21</v>
      </c>
      <c r="V53" s="726" t="s">
        <v>21</v>
      </c>
      <c r="W53" s="216"/>
      <c r="AB53" s="2" t="str">
        <f t="shared" si="24"/>
        <v>France</v>
      </c>
    </row>
    <row r="54" spans="1:28">
      <c r="A54" s="20" t="str">
        <f t="shared" si="23"/>
        <v>X</v>
      </c>
      <c r="B54" s="1007"/>
      <c r="C54" s="1009"/>
      <c r="D54" s="991"/>
      <c r="E54" s="902" t="s">
        <v>132</v>
      </c>
      <c r="F54" s="251" t="s">
        <v>60</v>
      </c>
      <c r="G54" s="252">
        <v>14</v>
      </c>
      <c r="H54" s="253">
        <v>9</v>
      </c>
      <c r="I54" s="448">
        <f t="shared" si="19"/>
        <v>0.21428571428571427</v>
      </c>
      <c r="J54" s="255">
        <v>3</v>
      </c>
      <c r="K54" s="254">
        <f t="shared" si="20"/>
        <v>0.14285714285714285</v>
      </c>
      <c r="L54" s="255">
        <v>2</v>
      </c>
      <c r="M54" s="254">
        <f t="shared" si="21"/>
        <v>0.5</v>
      </c>
      <c r="N54" s="851">
        <v>1</v>
      </c>
      <c r="O54" s="242" t="s">
        <v>21</v>
      </c>
      <c r="P54" s="243" t="s">
        <v>21</v>
      </c>
      <c r="Q54" s="242" t="s">
        <v>21</v>
      </c>
      <c r="R54" s="243" t="s">
        <v>21</v>
      </c>
      <c r="S54" s="724" t="s">
        <v>21</v>
      </c>
      <c r="T54" s="725" t="s">
        <v>21</v>
      </c>
      <c r="U54" s="724" t="s">
        <v>21</v>
      </c>
      <c r="V54" s="726" t="s">
        <v>21</v>
      </c>
      <c r="W54" s="216"/>
      <c r="AB54" s="2" t="str">
        <f t="shared" si="24"/>
        <v>France</v>
      </c>
    </row>
    <row r="55" spans="1:28">
      <c r="A55" s="20" t="str">
        <f t="shared" si="23"/>
        <v>X</v>
      </c>
      <c r="B55" s="1007"/>
      <c r="C55" s="1009"/>
      <c r="D55" s="991"/>
      <c r="E55" s="902" t="s">
        <v>8</v>
      </c>
      <c r="F55" s="251" t="s">
        <v>60</v>
      </c>
      <c r="G55" s="252">
        <v>31</v>
      </c>
      <c r="H55" s="253">
        <v>23</v>
      </c>
      <c r="I55" s="448">
        <f t="shared" si="19"/>
        <v>0.54838709677419351</v>
      </c>
      <c r="J55" s="255">
        <v>17</v>
      </c>
      <c r="K55" s="254">
        <f t="shared" si="20"/>
        <v>0.16129032258064516</v>
      </c>
      <c r="L55" s="255">
        <v>5</v>
      </c>
      <c r="M55" s="254">
        <f t="shared" si="21"/>
        <v>1</v>
      </c>
      <c r="N55" s="851">
        <v>5</v>
      </c>
      <c r="O55" s="242" t="s">
        <v>21</v>
      </c>
      <c r="P55" s="243" t="s">
        <v>21</v>
      </c>
      <c r="Q55" s="242" t="s">
        <v>21</v>
      </c>
      <c r="R55" s="243" t="s">
        <v>21</v>
      </c>
      <c r="S55" s="724" t="s">
        <v>21</v>
      </c>
      <c r="T55" s="725" t="s">
        <v>21</v>
      </c>
      <c r="U55" s="724" t="s">
        <v>21</v>
      </c>
      <c r="V55" s="726" t="s">
        <v>21</v>
      </c>
      <c r="W55" s="216"/>
      <c r="AB55" s="2" t="str">
        <f t="shared" si="24"/>
        <v>France</v>
      </c>
    </row>
    <row r="56" spans="1:28">
      <c r="A56" s="20" t="str">
        <f t="shared" si="23"/>
        <v>X</v>
      </c>
      <c r="B56" s="1007"/>
      <c r="C56" s="1009"/>
      <c r="D56" s="991"/>
      <c r="E56" s="902" t="s">
        <v>6</v>
      </c>
      <c r="F56" s="251" t="s">
        <v>60</v>
      </c>
      <c r="G56" s="252">
        <v>12</v>
      </c>
      <c r="H56" s="253">
        <v>7</v>
      </c>
      <c r="I56" s="448">
        <f t="shared" si="19"/>
        <v>0.33333333333333331</v>
      </c>
      <c r="J56" s="255">
        <v>4</v>
      </c>
      <c r="K56" s="254">
        <f t="shared" si="20"/>
        <v>0.33333333333333331</v>
      </c>
      <c r="L56" s="255">
        <v>4</v>
      </c>
      <c r="M56" s="254">
        <f t="shared" si="21"/>
        <v>0.5</v>
      </c>
      <c r="N56" s="851">
        <v>2</v>
      </c>
      <c r="O56" s="242" t="s">
        <v>21</v>
      </c>
      <c r="P56" s="243" t="s">
        <v>21</v>
      </c>
      <c r="Q56" s="242" t="s">
        <v>21</v>
      </c>
      <c r="R56" s="243" t="s">
        <v>21</v>
      </c>
      <c r="S56" s="724" t="s">
        <v>21</v>
      </c>
      <c r="T56" s="725" t="s">
        <v>21</v>
      </c>
      <c r="U56" s="724" t="s">
        <v>21</v>
      </c>
      <c r="V56" s="726" t="s">
        <v>21</v>
      </c>
      <c r="W56" s="216"/>
      <c r="AB56" s="2" t="str">
        <f t="shared" si="24"/>
        <v>France</v>
      </c>
    </row>
    <row r="57" spans="1:28" ht="15" customHeight="1">
      <c r="A57" s="20" t="str">
        <f t="shared" si="23"/>
        <v/>
      </c>
      <c r="B57" s="1007"/>
      <c r="C57" s="1009"/>
      <c r="D57" s="991"/>
      <c r="E57" s="902" t="s">
        <v>228</v>
      </c>
      <c r="F57" s="251" t="s">
        <v>60</v>
      </c>
      <c r="G57" s="252"/>
      <c r="H57" s="253"/>
      <c r="I57" s="448" t="e">
        <f t="shared" si="19"/>
        <v>#DIV/0!</v>
      </c>
      <c r="J57" s="255"/>
      <c r="K57" s="254" t="e">
        <f t="shared" si="20"/>
        <v>#DIV/0!</v>
      </c>
      <c r="L57" s="255"/>
      <c r="M57" s="254" t="e">
        <f t="shared" si="21"/>
        <v>#DIV/0!</v>
      </c>
      <c r="N57" s="851"/>
      <c r="O57" s="242"/>
      <c r="P57" s="243"/>
      <c r="Q57" s="242"/>
      <c r="R57" s="243"/>
      <c r="S57" s="724" t="s">
        <v>21</v>
      </c>
      <c r="T57" s="725" t="s">
        <v>21</v>
      </c>
      <c r="U57" s="724" t="s">
        <v>21</v>
      </c>
      <c r="V57" s="726" t="s">
        <v>21</v>
      </c>
      <c r="W57" s="216"/>
      <c r="AB57" s="2" t="str">
        <f t="shared" si="24"/>
        <v/>
      </c>
    </row>
    <row r="58" spans="1:28" ht="15" customHeight="1">
      <c r="A58" s="20" t="str">
        <f t="shared" si="23"/>
        <v/>
      </c>
      <c r="B58" s="1007"/>
      <c r="C58" s="1009"/>
      <c r="D58" s="991"/>
      <c r="E58" s="902" t="s">
        <v>229</v>
      </c>
      <c r="F58" s="251" t="s">
        <v>60</v>
      </c>
      <c r="G58" s="252"/>
      <c r="H58" s="253"/>
      <c r="I58" s="448" t="e">
        <f t="shared" ref="I58" si="28">J58/G58</f>
        <v>#DIV/0!</v>
      </c>
      <c r="J58" s="255"/>
      <c r="K58" s="254" t="e">
        <f t="shared" ref="K58" si="29">L58/G58</f>
        <v>#DIV/0!</v>
      </c>
      <c r="L58" s="255"/>
      <c r="M58" s="254" t="e">
        <f t="shared" ref="M58" si="30">IF(N58="-","-",N58/L58)</f>
        <v>#DIV/0!</v>
      </c>
      <c r="N58" s="851"/>
      <c r="O58" s="242"/>
      <c r="P58" s="243"/>
      <c r="Q58" s="242"/>
      <c r="R58" s="243"/>
      <c r="S58" s="724" t="s">
        <v>21</v>
      </c>
      <c r="T58" s="725" t="s">
        <v>21</v>
      </c>
      <c r="U58" s="724" t="s">
        <v>21</v>
      </c>
      <c r="V58" s="726" t="s">
        <v>21</v>
      </c>
      <c r="W58" s="216"/>
      <c r="AB58" s="2" t="str">
        <f t="shared" si="24"/>
        <v/>
      </c>
    </row>
    <row r="59" spans="1:28">
      <c r="A59" s="20" t="str">
        <f t="shared" si="23"/>
        <v/>
      </c>
      <c r="B59" s="1007"/>
      <c r="C59" s="1009"/>
      <c r="D59" s="991"/>
      <c r="E59" s="902" t="s">
        <v>198</v>
      </c>
      <c r="F59" s="251" t="s">
        <v>60</v>
      </c>
      <c r="G59" s="252"/>
      <c r="H59" s="253"/>
      <c r="I59" s="448" t="e">
        <f t="shared" si="19"/>
        <v>#DIV/0!</v>
      </c>
      <c r="J59" s="255"/>
      <c r="K59" s="254" t="e">
        <f t="shared" si="20"/>
        <v>#DIV/0!</v>
      </c>
      <c r="L59" s="255"/>
      <c r="M59" s="254" t="e">
        <f t="shared" si="21"/>
        <v>#DIV/0!</v>
      </c>
      <c r="N59" s="851"/>
      <c r="O59" s="242" t="s">
        <v>21</v>
      </c>
      <c r="P59" s="243" t="s">
        <v>21</v>
      </c>
      <c r="Q59" s="242" t="s">
        <v>21</v>
      </c>
      <c r="R59" s="243" t="s">
        <v>21</v>
      </c>
      <c r="S59" s="724" t="s">
        <v>21</v>
      </c>
      <c r="T59" s="725" t="s">
        <v>21</v>
      </c>
      <c r="U59" s="724" t="s">
        <v>21</v>
      </c>
      <c r="V59" s="726" t="s">
        <v>21</v>
      </c>
      <c r="W59" s="216"/>
      <c r="AB59" s="2" t="str">
        <f t="shared" si="24"/>
        <v/>
      </c>
    </row>
    <row r="60" spans="1:28">
      <c r="A60" s="20" t="str">
        <f t="shared" si="23"/>
        <v>X</v>
      </c>
      <c r="B60" s="1007"/>
      <c r="C60" s="1009"/>
      <c r="D60" s="991"/>
      <c r="E60" s="902" t="s">
        <v>9</v>
      </c>
      <c r="F60" s="251" t="s">
        <v>60</v>
      </c>
      <c r="G60" s="252">
        <v>17</v>
      </c>
      <c r="H60" s="253">
        <v>9</v>
      </c>
      <c r="I60" s="448">
        <f t="shared" si="19"/>
        <v>0.41176470588235292</v>
      </c>
      <c r="J60" s="255">
        <v>7</v>
      </c>
      <c r="K60" s="254">
        <f t="shared" si="20"/>
        <v>0.23529411764705882</v>
      </c>
      <c r="L60" s="255">
        <v>4</v>
      </c>
      <c r="M60" s="254">
        <f t="shared" si="21"/>
        <v>0.25</v>
      </c>
      <c r="N60" s="851">
        <v>1</v>
      </c>
      <c r="O60" s="242" t="s">
        <v>21</v>
      </c>
      <c r="P60" s="243" t="s">
        <v>21</v>
      </c>
      <c r="Q60" s="242" t="s">
        <v>21</v>
      </c>
      <c r="R60" s="243" t="s">
        <v>21</v>
      </c>
      <c r="S60" s="724" t="s">
        <v>21</v>
      </c>
      <c r="T60" s="725" t="s">
        <v>21</v>
      </c>
      <c r="U60" s="724" t="s">
        <v>21</v>
      </c>
      <c r="V60" s="726" t="s">
        <v>21</v>
      </c>
      <c r="W60" s="216"/>
      <c r="AB60" s="2" t="str">
        <f t="shared" si="24"/>
        <v>France</v>
      </c>
    </row>
    <row r="61" spans="1:28" ht="15.75" customHeight="1">
      <c r="A61" s="20" t="str">
        <f t="shared" si="23"/>
        <v/>
      </c>
      <c r="B61" s="1007"/>
      <c r="C61" s="1009"/>
      <c r="D61" s="991"/>
      <c r="E61" s="961" t="s">
        <v>166</v>
      </c>
      <c r="F61" s="251"/>
      <c r="G61" s="252"/>
      <c r="H61" s="253"/>
      <c r="I61" s="747"/>
      <c r="J61" s="255"/>
      <c r="K61" s="254"/>
      <c r="L61" s="255"/>
      <c r="M61" s="254"/>
      <c r="N61" s="851"/>
      <c r="O61" s="242"/>
      <c r="P61" s="243"/>
      <c r="Q61" s="242"/>
      <c r="R61" s="243"/>
      <c r="S61" s="724" t="s">
        <v>21</v>
      </c>
      <c r="T61" s="725" t="s">
        <v>21</v>
      </c>
      <c r="U61" s="724" t="s">
        <v>21</v>
      </c>
      <c r="V61" s="726" t="s">
        <v>21</v>
      </c>
      <c r="W61" s="216"/>
    </row>
    <row r="62" spans="1:28" ht="15.75" customHeight="1">
      <c r="A62" s="20" t="str">
        <f t="shared" si="23"/>
        <v/>
      </c>
      <c r="B62" s="1007"/>
      <c r="C62" s="1009"/>
      <c r="D62" s="991"/>
      <c r="E62" s="961" t="s">
        <v>166</v>
      </c>
      <c r="F62" s="251"/>
      <c r="G62" s="252"/>
      <c r="H62" s="253"/>
      <c r="I62" s="747"/>
      <c r="J62" s="255"/>
      <c r="K62" s="254"/>
      <c r="L62" s="255"/>
      <c r="M62" s="254"/>
      <c r="N62" s="851"/>
      <c r="O62" s="242"/>
      <c r="P62" s="243"/>
      <c r="Q62" s="242"/>
      <c r="R62" s="243"/>
      <c r="S62" s="724" t="s">
        <v>21</v>
      </c>
      <c r="T62" s="725" t="s">
        <v>21</v>
      </c>
      <c r="U62" s="724" t="s">
        <v>21</v>
      </c>
      <c r="V62" s="726" t="s">
        <v>21</v>
      </c>
      <c r="W62" s="216"/>
    </row>
    <row r="63" spans="1:28" ht="15.75" customHeight="1">
      <c r="A63" s="20" t="str">
        <f t="shared" si="23"/>
        <v/>
      </c>
      <c r="B63" s="1007"/>
      <c r="C63" s="1009"/>
      <c r="D63" s="991"/>
      <c r="E63" s="962" t="s">
        <v>166</v>
      </c>
      <c r="F63" s="459"/>
      <c r="G63" s="257"/>
      <c r="H63" s="258"/>
      <c r="I63" s="748"/>
      <c r="J63" s="260"/>
      <c r="K63" s="259"/>
      <c r="L63" s="260"/>
      <c r="M63" s="259"/>
      <c r="N63" s="856"/>
      <c r="O63" s="244"/>
      <c r="P63" s="245"/>
      <c r="Q63" s="244"/>
      <c r="R63" s="245"/>
      <c r="S63" s="727" t="s">
        <v>21</v>
      </c>
      <c r="T63" s="728" t="s">
        <v>21</v>
      </c>
      <c r="U63" s="727" t="s">
        <v>21</v>
      </c>
      <c r="V63" s="729" t="s">
        <v>21</v>
      </c>
      <c r="W63" s="216"/>
    </row>
    <row r="64" spans="1:28" ht="16.5" thickBot="1">
      <c r="A64" s="20" t="str">
        <f t="shared" si="23"/>
        <v>S</v>
      </c>
      <c r="B64" s="1008"/>
      <c r="C64" s="1011"/>
      <c r="D64" s="334" t="s">
        <v>138</v>
      </c>
      <c r="E64" s="913"/>
      <c r="F64" s="231"/>
      <c r="G64" s="7">
        <f>SUM(G50:G63)</f>
        <v>198</v>
      </c>
      <c r="H64" s="8">
        <f>SUM(H50:H63)</f>
        <v>128</v>
      </c>
      <c r="I64" s="9">
        <f>J64/G64</f>
        <v>0.47474747474747475</v>
      </c>
      <c r="J64" s="213">
        <f>SUM(J50:J63)</f>
        <v>94</v>
      </c>
      <c r="K64" s="9">
        <f>L64/G64</f>
        <v>0.23232323232323232</v>
      </c>
      <c r="L64" s="213">
        <f>SUM(L50:L63)</f>
        <v>46</v>
      </c>
      <c r="M64" s="9">
        <f>N64/L64</f>
        <v>0.63043478260869568</v>
      </c>
      <c r="N64" s="213">
        <f t="shared" ref="N64:V64" si="31">SUM(N50:N63)</f>
        <v>29</v>
      </c>
      <c r="O64" s="542">
        <f t="shared" si="31"/>
        <v>0</v>
      </c>
      <c r="P64" s="543">
        <f t="shared" si="31"/>
        <v>0</v>
      </c>
      <c r="Q64" s="542">
        <f t="shared" si="31"/>
        <v>0</v>
      </c>
      <c r="R64" s="543">
        <f t="shared" si="31"/>
        <v>0</v>
      </c>
      <c r="S64" s="542">
        <f t="shared" si="31"/>
        <v>0</v>
      </c>
      <c r="T64" s="543">
        <f t="shared" si="31"/>
        <v>0</v>
      </c>
      <c r="U64" s="542">
        <f t="shared" si="31"/>
        <v>0</v>
      </c>
      <c r="V64" s="544">
        <f t="shared" si="31"/>
        <v>0</v>
      </c>
      <c r="W64" s="216"/>
      <c r="AB64" s="2">
        <f t="shared" si="24"/>
        <v>0</v>
      </c>
    </row>
    <row r="65" spans="1:28" s="15" customFormat="1" ht="27.75" customHeight="1" thickBot="1">
      <c r="A65" s="20" t="str">
        <f t="shared" si="23"/>
        <v>X</v>
      </c>
      <c r="B65" s="103" t="s">
        <v>78</v>
      </c>
      <c r="C65" s="331"/>
      <c r="D65" s="331">
        <f>SUM(D5:D60)</f>
        <v>20</v>
      </c>
      <c r="E65" s="895" t="s">
        <v>79</v>
      </c>
      <c r="F65" s="396"/>
      <c r="G65" s="364">
        <f>G8+G12+G34+G49+G64</f>
        <v>595</v>
      </c>
      <c r="H65" s="365">
        <f>H8+H12+H34+H49+H64</f>
        <v>415</v>
      </c>
      <c r="I65" s="366">
        <f>J65/G65</f>
        <v>0.2857142857142857</v>
      </c>
      <c r="J65" s="34">
        <f>J8+J12+J34+J49+J64</f>
        <v>170</v>
      </c>
      <c r="K65" s="230">
        <f>L65/G65</f>
        <v>0.253781512605042</v>
      </c>
      <c r="L65" s="34">
        <f>L8+L12+L34+L49+L64</f>
        <v>151</v>
      </c>
      <c r="M65" s="366">
        <f>N65/(L5+SUM(L50:L60))</f>
        <v>0.484375</v>
      </c>
      <c r="N65" s="34">
        <f t="shared" ref="N65:V65" si="32">N8+N12+N34+N49+N64</f>
        <v>31</v>
      </c>
      <c r="O65" s="35">
        <f t="shared" si="32"/>
        <v>0</v>
      </c>
      <c r="P65" s="36">
        <f t="shared" si="32"/>
        <v>0</v>
      </c>
      <c r="Q65" s="35">
        <f t="shared" si="32"/>
        <v>0</v>
      </c>
      <c r="R65" s="36">
        <f t="shared" si="32"/>
        <v>0</v>
      </c>
      <c r="S65" s="285">
        <f t="shared" si="32"/>
        <v>0</v>
      </c>
      <c r="T65" s="284">
        <f t="shared" si="32"/>
        <v>0</v>
      </c>
      <c r="U65" s="285">
        <f t="shared" si="32"/>
        <v>0</v>
      </c>
      <c r="V65" s="363">
        <f t="shared" si="32"/>
        <v>0</v>
      </c>
      <c r="W65" s="367"/>
      <c r="Y65" s="362"/>
      <c r="AB65" s="2">
        <f t="shared" si="24"/>
        <v>0</v>
      </c>
    </row>
    <row r="66" spans="1:28" ht="15" customHeight="1">
      <c r="A66" s="20" t="str">
        <f t="shared" si="23"/>
        <v/>
      </c>
      <c r="B66" s="1012" t="s">
        <v>84</v>
      </c>
      <c r="C66" s="1015" t="s">
        <v>76</v>
      </c>
      <c r="D66" s="1002">
        <v>6</v>
      </c>
      <c r="E66" s="921" t="s">
        <v>25</v>
      </c>
      <c r="F66" s="503" t="s">
        <v>60</v>
      </c>
      <c r="G66" s="247"/>
      <c r="H66" s="248"/>
      <c r="I66" s="249" t="e">
        <f>J66/G66</f>
        <v>#DIV/0!</v>
      </c>
      <c r="J66" s="250"/>
      <c r="K66" s="249" t="e">
        <f>L66/G66</f>
        <v>#DIV/0!</v>
      </c>
      <c r="L66" s="250"/>
      <c r="M66" s="249" t="str">
        <f>IF(N66="-","-",N66/L66)</f>
        <v>-</v>
      </c>
      <c r="N66" s="846" t="s">
        <v>21</v>
      </c>
      <c r="O66" s="240" t="s">
        <v>21</v>
      </c>
      <c r="P66" s="241" t="s">
        <v>21</v>
      </c>
      <c r="Q66" s="240" t="s">
        <v>21</v>
      </c>
      <c r="R66" s="241" t="s">
        <v>21</v>
      </c>
      <c r="S66" s="721"/>
      <c r="T66" s="722"/>
      <c r="U66" s="721"/>
      <c r="V66" s="723"/>
      <c r="W66" s="261"/>
      <c r="AB66" s="2" t="str">
        <f t="shared" si="24"/>
        <v/>
      </c>
    </row>
    <row r="67" spans="1:28" ht="15" customHeight="1">
      <c r="A67" s="20" t="str">
        <f t="shared" si="23"/>
        <v/>
      </c>
      <c r="B67" s="1013"/>
      <c r="C67" s="1016"/>
      <c r="D67" s="994"/>
      <c r="E67" s="905" t="s">
        <v>26</v>
      </c>
      <c r="F67" s="438" t="s">
        <v>60</v>
      </c>
      <c r="G67" s="252"/>
      <c r="H67" s="253"/>
      <c r="I67" s="254" t="e">
        <f t="shared" ref="I67:I152" si="33">J67/G67</f>
        <v>#DIV/0!</v>
      </c>
      <c r="J67" s="255"/>
      <c r="K67" s="254" t="e">
        <f t="shared" ref="K67:K152" si="34">L67/G67</f>
        <v>#DIV/0!</v>
      </c>
      <c r="L67" s="255"/>
      <c r="M67" s="254" t="str">
        <f t="shared" ref="M67:M152" si="35">IF(N67="-","-",N67/L67)</f>
        <v>-</v>
      </c>
      <c r="N67" s="851" t="s">
        <v>21</v>
      </c>
      <c r="O67" s="242" t="s">
        <v>21</v>
      </c>
      <c r="P67" s="243" t="s">
        <v>21</v>
      </c>
      <c r="Q67" s="242" t="s">
        <v>21</v>
      </c>
      <c r="R67" s="243" t="s">
        <v>21</v>
      </c>
      <c r="S67" s="724"/>
      <c r="T67" s="725"/>
      <c r="U67" s="724"/>
      <c r="V67" s="726"/>
      <c r="W67" s="261"/>
      <c r="AB67" s="2" t="str">
        <f t="shared" si="24"/>
        <v/>
      </c>
    </row>
    <row r="68" spans="1:28" ht="15" customHeight="1">
      <c r="A68" s="20" t="str">
        <f t="shared" si="23"/>
        <v>X</v>
      </c>
      <c r="B68" s="1013"/>
      <c r="C68" s="1016"/>
      <c r="D68" s="994"/>
      <c r="E68" s="905" t="s">
        <v>58</v>
      </c>
      <c r="F68" s="438" t="s">
        <v>60</v>
      </c>
      <c r="G68" s="252">
        <v>228</v>
      </c>
      <c r="H68" s="253">
        <v>125</v>
      </c>
      <c r="I68" s="254">
        <f t="shared" si="33"/>
        <v>0.39473684210526316</v>
      </c>
      <c r="J68" s="255">
        <v>90</v>
      </c>
      <c r="K68" s="254">
        <f t="shared" si="34"/>
        <v>0.39912280701754388</v>
      </c>
      <c r="L68" s="255">
        <v>91</v>
      </c>
      <c r="M68" s="254" t="str">
        <f t="shared" si="35"/>
        <v>-</v>
      </c>
      <c r="N68" s="851" t="s">
        <v>21</v>
      </c>
      <c r="O68" s="242" t="s">
        <v>21</v>
      </c>
      <c r="P68" s="243" t="s">
        <v>21</v>
      </c>
      <c r="Q68" s="242" t="s">
        <v>21</v>
      </c>
      <c r="R68" s="243" t="s">
        <v>21</v>
      </c>
      <c r="S68" s="724" t="s">
        <v>21</v>
      </c>
      <c r="T68" s="725" t="s">
        <v>21</v>
      </c>
      <c r="U68" s="724" t="s">
        <v>21</v>
      </c>
      <c r="V68" s="726" t="s">
        <v>21</v>
      </c>
      <c r="W68" s="261"/>
      <c r="AB68" s="2" t="str">
        <f t="shared" si="24"/>
        <v>France</v>
      </c>
    </row>
    <row r="69" spans="1:28" ht="15" customHeight="1">
      <c r="A69" s="20" t="str">
        <f t="shared" si="23"/>
        <v>X</v>
      </c>
      <c r="B69" s="1013"/>
      <c r="C69" s="1016"/>
      <c r="D69" s="994"/>
      <c r="E69" s="905" t="s">
        <v>24</v>
      </c>
      <c r="F69" s="438" t="s">
        <v>62</v>
      </c>
      <c r="G69" s="252">
        <v>141</v>
      </c>
      <c r="H69" s="253">
        <v>80</v>
      </c>
      <c r="I69" s="254">
        <f t="shared" si="33"/>
        <v>0.46099290780141844</v>
      </c>
      <c r="J69" s="255">
        <v>65</v>
      </c>
      <c r="K69" s="254">
        <f t="shared" si="34"/>
        <v>0.43971631205673761</v>
      </c>
      <c r="L69" s="255">
        <v>62</v>
      </c>
      <c r="M69" s="254" t="str">
        <f t="shared" si="35"/>
        <v>-</v>
      </c>
      <c r="N69" s="851" t="s">
        <v>21</v>
      </c>
      <c r="O69" s="242" t="s">
        <v>21</v>
      </c>
      <c r="P69" s="243" t="s">
        <v>21</v>
      </c>
      <c r="Q69" s="242" t="s">
        <v>21</v>
      </c>
      <c r="R69" s="243" t="s">
        <v>21</v>
      </c>
      <c r="S69" s="724"/>
      <c r="T69" s="725"/>
      <c r="U69" s="724"/>
      <c r="V69" s="726"/>
      <c r="W69" s="261"/>
      <c r="AB69" s="2" t="str">
        <f t="shared" si="24"/>
        <v>Frontière</v>
      </c>
    </row>
    <row r="70" spans="1:28" ht="15" customHeight="1">
      <c r="A70" s="20" t="str">
        <f t="shared" si="23"/>
        <v>X</v>
      </c>
      <c r="B70" s="1013"/>
      <c r="C70" s="1016"/>
      <c r="D70" s="994"/>
      <c r="E70" s="905" t="s">
        <v>23</v>
      </c>
      <c r="F70" s="438" t="s">
        <v>60</v>
      </c>
      <c r="G70" s="252">
        <v>234</v>
      </c>
      <c r="H70" s="253">
        <v>127</v>
      </c>
      <c r="I70" s="254">
        <f t="shared" si="33"/>
        <v>0.42307692307692307</v>
      </c>
      <c r="J70" s="255">
        <v>99</v>
      </c>
      <c r="K70" s="254">
        <f t="shared" si="34"/>
        <v>0.47863247863247865</v>
      </c>
      <c r="L70" s="255">
        <v>112</v>
      </c>
      <c r="M70" s="254" t="str">
        <f t="shared" si="35"/>
        <v>-</v>
      </c>
      <c r="N70" s="851" t="s">
        <v>21</v>
      </c>
      <c r="O70" s="242" t="s">
        <v>21</v>
      </c>
      <c r="P70" s="243" t="s">
        <v>21</v>
      </c>
      <c r="Q70" s="242" t="s">
        <v>21</v>
      </c>
      <c r="R70" s="243" t="s">
        <v>21</v>
      </c>
      <c r="S70" s="724" t="s">
        <v>21</v>
      </c>
      <c r="T70" s="725" t="s">
        <v>21</v>
      </c>
      <c r="U70" s="724" t="s">
        <v>21</v>
      </c>
      <c r="V70" s="726" t="s">
        <v>21</v>
      </c>
      <c r="W70" s="261"/>
      <c r="AB70" s="2" t="str">
        <f t="shared" si="24"/>
        <v>France</v>
      </c>
    </row>
    <row r="71" spans="1:28" ht="15" customHeight="1">
      <c r="A71" s="20" t="str">
        <f t="shared" si="23"/>
        <v/>
      </c>
      <c r="B71" s="1013"/>
      <c r="C71" s="1016"/>
      <c r="D71" s="994"/>
      <c r="E71" s="961" t="s">
        <v>166</v>
      </c>
      <c r="F71" s="438" t="s">
        <v>203</v>
      </c>
      <c r="G71" s="252"/>
      <c r="H71" s="253"/>
      <c r="I71" s="254" t="e">
        <f t="shared" si="33"/>
        <v>#DIV/0!</v>
      </c>
      <c r="J71" s="255"/>
      <c r="K71" s="254" t="e">
        <f t="shared" si="34"/>
        <v>#DIV/0!</v>
      </c>
      <c r="L71" s="255"/>
      <c r="M71" s="254" t="e">
        <f t="shared" si="35"/>
        <v>#DIV/0!</v>
      </c>
      <c r="N71" s="851"/>
      <c r="O71" s="242"/>
      <c r="P71" s="243"/>
      <c r="Q71" s="242"/>
      <c r="R71" s="243"/>
      <c r="S71" s="724"/>
      <c r="T71" s="725"/>
      <c r="U71" s="724"/>
      <c r="V71" s="726"/>
      <c r="W71" s="261"/>
      <c r="AB71" s="2" t="str">
        <f t="shared" si="24"/>
        <v/>
      </c>
    </row>
    <row r="72" spans="1:28" ht="15" customHeight="1">
      <c r="A72" s="20" t="str">
        <f t="shared" si="23"/>
        <v/>
      </c>
      <c r="B72" s="1013"/>
      <c r="C72" s="1016"/>
      <c r="D72" s="994"/>
      <c r="E72" s="961" t="s">
        <v>166</v>
      </c>
      <c r="F72" s="438" t="s">
        <v>203</v>
      </c>
      <c r="G72" s="252"/>
      <c r="H72" s="253"/>
      <c r="I72" s="254" t="e">
        <f t="shared" si="33"/>
        <v>#DIV/0!</v>
      </c>
      <c r="J72" s="255"/>
      <c r="K72" s="254" t="e">
        <f t="shared" si="34"/>
        <v>#DIV/0!</v>
      </c>
      <c r="L72" s="255"/>
      <c r="M72" s="254" t="e">
        <f t="shared" si="35"/>
        <v>#DIV/0!</v>
      </c>
      <c r="N72" s="851"/>
      <c r="O72" s="242"/>
      <c r="P72" s="243"/>
      <c r="Q72" s="242"/>
      <c r="R72" s="243"/>
      <c r="S72" s="724"/>
      <c r="T72" s="725"/>
      <c r="U72" s="724"/>
      <c r="V72" s="726"/>
      <c r="W72" s="261"/>
      <c r="AB72" s="2" t="str">
        <f t="shared" si="24"/>
        <v/>
      </c>
    </row>
    <row r="73" spans="1:28" ht="15" customHeight="1">
      <c r="A73" s="20" t="str">
        <f t="shared" si="23"/>
        <v>X</v>
      </c>
      <c r="B73" s="1013"/>
      <c r="C73" s="1016"/>
      <c r="D73" s="994"/>
      <c r="E73" s="905" t="s">
        <v>22</v>
      </c>
      <c r="F73" s="438" t="s">
        <v>62</v>
      </c>
      <c r="G73" s="252">
        <v>157</v>
      </c>
      <c r="H73" s="253">
        <v>82</v>
      </c>
      <c r="I73" s="254">
        <f t="shared" si="33"/>
        <v>0.22929936305732485</v>
      </c>
      <c r="J73" s="255">
        <v>36</v>
      </c>
      <c r="K73" s="254">
        <f t="shared" si="34"/>
        <v>0.31210191082802546</v>
      </c>
      <c r="L73" s="255">
        <v>49</v>
      </c>
      <c r="M73" s="254" t="str">
        <f t="shared" si="35"/>
        <v>-</v>
      </c>
      <c r="N73" s="851" t="s">
        <v>21</v>
      </c>
      <c r="O73" s="242" t="s">
        <v>21</v>
      </c>
      <c r="P73" s="243" t="s">
        <v>21</v>
      </c>
      <c r="Q73" s="242" t="s">
        <v>21</v>
      </c>
      <c r="R73" s="243" t="s">
        <v>21</v>
      </c>
      <c r="S73" s="724"/>
      <c r="T73" s="725"/>
      <c r="U73" s="724"/>
      <c r="V73" s="726"/>
      <c r="W73" s="261"/>
      <c r="AB73" s="2" t="str">
        <f t="shared" si="24"/>
        <v>Frontière</v>
      </c>
    </row>
    <row r="74" spans="1:28" ht="15" customHeight="1">
      <c r="A74" s="20" t="str">
        <f t="shared" si="23"/>
        <v/>
      </c>
      <c r="B74" s="1013"/>
      <c r="C74" s="1016"/>
      <c r="D74" s="994"/>
      <c r="E74" s="961" t="s">
        <v>166</v>
      </c>
      <c r="F74" s="438"/>
      <c r="G74" s="252"/>
      <c r="H74" s="253"/>
      <c r="I74" s="254"/>
      <c r="J74" s="255"/>
      <c r="K74" s="254"/>
      <c r="L74" s="255"/>
      <c r="M74" s="254"/>
      <c r="N74" s="851"/>
      <c r="O74" s="242"/>
      <c r="P74" s="243"/>
      <c r="Q74" s="242"/>
      <c r="R74" s="243"/>
      <c r="S74" s="724"/>
      <c r="T74" s="725"/>
      <c r="U74" s="724"/>
      <c r="V74" s="726"/>
      <c r="W74" s="261"/>
    </row>
    <row r="75" spans="1:28" ht="15" customHeight="1">
      <c r="A75" s="20" t="str">
        <f t="shared" si="23"/>
        <v/>
      </c>
      <c r="B75" s="1013"/>
      <c r="C75" s="1016"/>
      <c r="D75" s="994"/>
      <c r="E75" s="961" t="s">
        <v>166</v>
      </c>
      <c r="F75" s="438"/>
      <c r="G75" s="252"/>
      <c r="H75" s="253"/>
      <c r="I75" s="254"/>
      <c r="J75" s="255"/>
      <c r="K75" s="254"/>
      <c r="L75" s="255"/>
      <c r="M75" s="254"/>
      <c r="N75" s="851"/>
      <c r="O75" s="242"/>
      <c r="P75" s="243"/>
      <c r="Q75" s="242"/>
      <c r="R75" s="243"/>
      <c r="S75" s="724"/>
      <c r="T75" s="725"/>
      <c r="U75" s="724"/>
      <c r="V75" s="726"/>
      <c r="W75" s="261"/>
    </row>
    <row r="76" spans="1:28" ht="15" customHeight="1">
      <c r="A76" s="20" t="str">
        <f t="shared" si="23"/>
        <v/>
      </c>
      <c r="B76" s="1013"/>
      <c r="C76" s="1016"/>
      <c r="D76" s="994"/>
      <c r="E76" s="962" t="s">
        <v>166</v>
      </c>
      <c r="F76" s="480"/>
      <c r="G76" s="257"/>
      <c r="H76" s="258"/>
      <c r="I76" s="259"/>
      <c r="J76" s="260"/>
      <c r="K76" s="259"/>
      <c r="L76" s="260"/>
      <c r="M76" s="259"/>
      <c r="N76" s="856"/>
      <c r="O76" s="244"/>
      <c r="P76" s="245"/>
      <c r="Q76" s="244"/>
      <c r="R76" s="245"/>
      <c r="S76" s="727"/>
      <c r="T76" s="728"/>
      <c r="U76" s="727"/>
      <c r="V76" s="729"/>
      <c r="W76" s="261"/>
    </row>
    <row r="77" spans="1:28" ht="15.75">
      <c r="A77" s="20" t="str">
        <f t="shared" si="23"/>
        <v>S</v>
      </c>
      <c r="B77" s="1018"/>
      <c r="C77" s="1016"/>
      <c r="D77" s="332" t="s">
        <v>138</v>
      </c>
      <c r="E77" s="896"/>
      <c r="F77" s="16"/>
      <c r="G77" s="7">
        <f>SUM(G66:G76)</f>
        <v>760</v>
      </c>
      <c r="H77" s="8">
        <f>SUM(H66:H76)</f>
        <v>414</v>
      </c>
      <c r="I77" s="9">
        <f>J77/G77</f>
        <v>0.38157894736842107</v>
      </c>
      <c r="J77" s="213">
        <f>SUM(J66:J76)</f>
        <v>290</v>
      </c>
      <c r="K77" s="52">
        <f>L77/G77</f>
        <v>0.41315789473684211</v>
      </c>
      <c r="L77" s="213">
        <f>SUM(L66:L76)</f>
        <v>314</v>
      </c>
      <c r="M77" s="9">
        <f>N77/L77</f>
        <v>0</v>
      </c>
      <c r="N77" s="213">
        <f>SUM(N66:N76)</f>
        <v>0</v>
      </c>
      <c r="O77" s="120">
        <f t="shared" ref="O77:V77" si="36">SUM(O66:O76)</f>
        <v>0</v>
      </c>
      <c r="P77" s="121">
        <f t="shared" si="36"/>
        <v>0</v>
      </c>
      <c r="Q77" s="120">
        <f t="shared" si="36"/>
        <v>0</v>
      </c>
      <c r="R77" s="121">
        <f t="shared" si="36"/>
        <v>0</v>
      </c>
      <c r="S77" s="120">
        <f t="shared" si="36"/>
        <v>0</v>
      </c>
      <c r="T77" s="121">
        <f t="shared" si="36"/>
        <v>0</v>
      </c>
      <c r="U77" s="120">
        <f t="shared" si="36"/>
        <v>0</v>
      </c>
      <c r="V77" s="122">
        <f t="shared" si="36"/>
        <v>0</v>
      </c>
      <c r="W77" s="216"/>
      <c r="AB77" s="2">
        <f t="shared" si="24"/>
        <v>0</v>
      </c>
    </row>
    <row r="78" spans="1:28">
      <c r="A78" s="20" t="str">
        <f t="shared" si="23"/>
        <v>X</v>
      </c>
      <c r="B78" s="1013" t="s">
        <v>167</v>
      </c>
      <c r="C78" s="1016" t="s">
        <v>76</v>
      </c>
      <c r="D78" s="991"/>
      <c r="E78" s="901" t="s">
        <v>171</v>
      </c>
      <c r="F78" s="246" t="s">
        <v>62</v>
      </c>
      <c r="G78" s="247">
        <v>5</v>
      </c>
      <c r="H78" s="248">
        <v>4</v>
      </c>
      <c r="I78" s="249">
        <f t="shared" ref="I78" si="37">IF(J78="","",J78/G78)</f>
        <v>0.4</v>
      </c>
      <c r="J78" s="250">
        <v>2</v>
      </c>
      <c r="K78" s="249">
        <f t="shared" ref="K78" si="38">IF(L78="","",L78/G78)</f>
        <v>0.2</v>
      </c>
      <c r="L78" s="250">
        <v>1</v>
      </c>
      <c r="M78" s="249">
        <f t="shared" ref="M78" si="39">IF(N78="","",N78/L78)</f>
        <v>0</v>
      </c>
      <c r="N78" s="846">
        <v>0</v>
      </c>
      <c r="O78" s="240" t="s">
        <v>21</v>
      </c>
      <c r="P78" s="241" t="s">
        <v>21</v>
      </c>
      <c r="Q78" s="240" t="s">
        <v>21</v>
      </c>
      <c r="R78" s="241" t="s">
        <v>21</v>
      </c>
      <c r="S78" s="304">
        <v>5</v>
      </c>
      <c r="T78" s="305">
        <v>4</v>
      </c>
      <c r="U78" s="304">
        <v>0</v>
      </c>
      <c r="V78" s="306">
        <v>0</v>
      </c>
      <c r="W78" s="216"/>
      <c r="X78" s="1" t="s">
        <v>172</v>
      </c>
      <c r="AB78" s="2" t="str">
        <f t="shared" si="24"/>
        <v>Frontière</v>
      </c>
    </row>
    <row r="79" spans="1:28">
      <c r="A79" s="20" t="str">
        <f t="shared" si="23"/>
        <v/>
      </c>
      <c r="B79" s="1013"/>
      <c r="C79" s="1016"/>
      <c r="D79" s="991"/>
      <c r="E79" s="902" t="s">
        <v>173</v>
      </c>
      <c r="F79" s="251" t="s">
        <v>62</v>
      </c>
      <c r="G79" s="252"/>
      <c r="H79" s="253"/>
      <c r="I79" s="254" t="e">
        <f>J79/G79</f>
        <v>#DIV/0!</v>
      </c>
      <c r="J79" s="255"/>
      <c r="K79" s="254" t="e">
        <f>L79/G79</f>
        <v>#DIV/0!</v>
      </c>
      <c r="L79" s="255"/>
      <c r="M79" s="254" t="e">
        <f>IF(N79="-","-",N79/L79)</f>
        <v>#DIV/0!</v>
      </c>
      <c r="N79" s="851"/>
      <c r="O79" s="242" t="s">
        <v>21</v>
      </c>
      <c r="P79" s="243" t="s">
        <v>21</v>
      </c>
      <c r="Q79" s="242" t="s">
        <v>21</v>
      </c>
      <c r="R79" s="243" t="s">
        <v>21</v>
      </c>
      <c r="S79" s="307"/>
      <c r="T79" s="308"/>
      <c r="U79" s="307"/>
      <c r="V79" s="309"/>
      <c r="W79" s="216"/>
      <c r="AB79" s="2" t="str">
        <f t="shared" si="24"/>
        <v/>
      </c>
    </row>
    <row r="80" spans="1:28" ht="15" customHeight="1">
      <c r="A80" s="20" t="str">
        <f t="shared" si="23"/>
        <v/>
      </c>
      <c r="B80" s="1013"/>
      <c r="C80" s="1016"/>
      <c r="D80" s="991"/>
      <c r="E80" s="961" t="s">
        <v>166</v>
      </c>
      <c r="F80" s="251"/>
      <c r="G80" s="252"/>
      <c r="H80" s="253"/>
      <c r="I80" s="254" t="e">
        <f t="shared" ref="I80:I84" si="40">J80/G80</f>
        <v>#DIV/0!</v>
      </c>
      <c r="J80" s="255"/>
      <c r="K80" s="254" t="e">
        <f t="shared" ref="K80:K84" si="41">L80/G80</f>
        <v>#DIV/0!</v>
      </c>
      <c r="L80" s="255"/>
      <c r="M80" s="254" t="e">
        <f>IF(N80="-","-",N80/L80)</f>
        <v>#DIV/0!</v>
      </c>
      <c r="N80" s="851"/>
      <c r="O80" s="242" t="s">
        <v>21</v>
      </c>
      <c r="P80" s="243" t="s">
        <v>21</v>
      </c>
      <c r="Q80" s="242" t="s">
        <v>21</v>
      </c>
      <c r="R80" s="243" t="s">
        <v>21</v>
      </c>
      <c r="S80" s="307"/>
      <c r="T80" s="308"/>
      <c r="U80" s="307"/>
      <c r="V80" s="309"/>
      <c r="W80" s="216"/>
      <c r="AB80" s="2" t="str">
        <f t="shared" si="24"/>
        <v/>
      </c>
    </row>
    <row r="81" spans="1:28" ht="15" customHeight="1">
      <c r="A81" s="20" t="str">
        <f t="shared" si="23"/>
        <v/>
      </c>
      <c r="B81" s="1013"/>
      <c r="C81" s="1016"/>
      <c r="D81" s="991"/>
      <c r="E81" s="961" t="s">
        <v>166</v>
      </c>
      <c r="F81" s="251"/>
      <c r="G81" s="252"/>
      <c r="H81" s="253"/>
      <c r="I81" s="254" t="e">
        <f t="shared" si="40"/>
        <v>#DIV/0!</v>
      </c>
      <c r="J81" s="255"/>
      <c r="K81" s="254" t="e">
        <f t="shared" si="41"/>
        <v>#DIV/0!</v>
      </c>
      <c r="L81" s="255"/>
      <c r="M81" s="254" t="e">
        <f>IF(N81="-","-",N81/L81)</f>
        <v>#DIV/0!</v>
      </c>
      <c r="N81" s="851"/>
      <c r="O81" s="242" t="s">
        <v>21</v>
      </c>
      <c r="P81" s="243" t="s">
        <v>21</v>
      </c>
      <c r="Q81" s="242" t="s">
        <v>21</v>
      </c>
      <c r="R81" s="243" t="s">
        <v>21</v>
      </c>
      <c r="S81" s="307"/>
      <c r="T81" s="308"/>
      <c r="U81" s="307"/>
      <c r="V81" s="309"/>
      <c r="W81" s="216"/>
      <c r="AB81" s="2" t="str">
        <f t="shared" si="24"/>
        <v/>
      </c>
    </row>
    <row r="82" spans="1:28" ht="15" customHeight="1">
      <c r="A82" s="20" t="str">
        <f t="shared" si="23"/>
        <v/>
      </c>
      <c r="B82" s="1013"/>
      <c r="C82" s="1016"/>
      <c r="D82" s="991"/>
      <c r="E82" s="961" t="s">
        <v>166</v>
      </c>
      <c r="F82" s="251" t="s">
        <v>203</v>
      </c>
      <c r="G82" s="252"/>
      <c r="H82" s="253"/>
      <c r="I82" s="254" t="e">
        <f t="shared" si="40"/>
        <v>#DIV/0!</v>
      </c>
      <c r="J82" s="255"/>
      <c r="K82" s="254" t="e">
        <f t="shared" si="41"/>
        <v>#DIV/0!</v>
      </c>
      <c r="L82" s="255"/>
      <c r="M82" s="254" t="e">
        <f t="shared" ref="M82:M83" si="42">IF(N82="-","-",N82/L82)</f>
        <v>#DIV/0!</v>
      </c>
      <c r="N82" s="851"/>
      <c r="O82" s="242"/>
      <c r="P82" s="243"/>
      <c r="Q82" s="242"/>
      <c r="R82" s="243"/>
      <c r="S82" s="307"/>
      <c r="T82" s="308"/>
      <c r="U82" s="307"/>
      <c r="V82" s="309"/>
      <c r="W82" s="216"/>
      <c r="AB82" s="2" t="str">
        <f t="shared" si="24"/>
        <v/>
      </c>
    </row>
    <row r="83" spans="1:28" ht="15" customHeight="1">
      <c r="A83" s="20" t="str">
        <f t="shared" si="23"/>
        <v/>
      </c>
      <c r="B83" s="1013"/>
      <c r="C83" s="1016"/>
      <c r="D83" s="991"/>
      <c r="E83" s="961" t="s">
        <v>166</v>
      </c>
      <c r="F83" s="251" t="s">
        <v>203</v>
      </c>
      <c r="G83" s="252"/>
      <c r="H83" s="253"/>
      <c r="I83" s="254" t="e">
        <f t="shared" si="40"/>
        <v>#DIV/0!</v>
      </c>
      <c r="J83" s="255"/>
      <c r="K83" s="254" t="e">
        <f t="shared" si="41"/>
        <v>#DIV/0!</v>
      </c>
      <c r="L83" s="255"/>
      <c r="M83" s="254" t="e">
        <f t="shared" si="42"/>
        <v>#DIV/0!</v>
      </c>
      <c r="N83" s="851"/>
      <c r="O83" s="242"/>
      <c r="P83" s="243"/>
      <c r="Q83" s="242"/>
      <c r="R83" s="243"/>
      <c r="S83" s="307"/>
      <c r="T83" s="308"/>
      <c r="U83" s="307"/>
      <c r="V83" s="309"/>
      <c r="W83" s="216"/>
      <c r="AB83" s="2" t="str">
        <f t="shared" si="24"/>
        <v/>
      </c>
    </row>
    <row r="84" spans="1:28" ht="15" customHeight="1">
      <c r="A84" s="20" t="str">
        <f t="shared" si="23"/>
        <v/>
      </c>
      <c r="B84" s="1013"/>
      <c r="C84" s="1016"/>
      <c r="D84" s="991"/>
      <c r="E84" s="962" t="s">
        <v>166</v>
      </c>
      <c r="F84" s="256"/>
      <c r="G84" s="257"/>
      <c r="H84" s="258"/>
      <c r="I84" s="259" t="e">
        <f t="shared" si="40"/>
        <v>#DIV/0!</v>
      </c>
      <c r="J84" s="260"/>
      <c r="K84" s="259" t="e">
        <f t="shared" si="41"/>
        <v>#DIV/0!</v>
      </c>
      <c r="L84" s="260"/>
      <c r="M84" s="259" t="e">
        <f>IF(N84="-","-",N84/L84)</f>
        <v>#DIV/0!</v>
      </c>
      <c r="N84" s="856"/>
      <c r="O84" s="244" t="s">
        <v>21</v>
      </c>
      <c r="P84" s="245" t="s">
        <v>21</v>
      </c>
      <c r="Q84" s="244" t="s">
        <v>21</v>
      </c>
      <c r="R84" s="245" t="s">
        <v>21</v>
      </c>
      <c r="S84" s="310"/>
      <c r="T84" s="311"/>
      <c r="U84" s="310"/>
      <c r="V84" s="312"/>
      <c r="W84" s="216"/>
      <c r="X84" s="211"/>
      <c r="AB84" s="2" t="str">
        <f t="shared" si="24"/>
        <v/>
      </c>
    </row>
    <row r="85" spans="1:28" ht="15.75">
      <c r="A85" s="20" t="str">
        <f t="shared" si="23"/>
        <v>S</v>
      </c>
      <c r="B85" s="1018"/>
      <c r="C85" s="1016"/>
      <c r="D85" s="332" t="s">
        <v>138</v>
      </c>
      <c r="E85" s="897"/>
      <c r="F85" s="210"/>
      <c r="G85" s="7">
        <f>SUM(G78:G84)</f>
        <v>5</v>
      </c>
      <c r="H85" s="8">
        <f>SUM(H78:H84)</f>
        <v>4</v>
      </c>
      <c r="I85" s="9">
        <f>J85/G85</f>
        <v>0.4</v>
      </c>
      <c r="J85" s="213">
        <f>SUM(J78:J84)</f>
        <v>2</v>
      </c>
      <c r="K85" s="52">
        <f>L85/G85</f>
        <v>0.2</v>
      </c>
      <c r="L85" s="213">
        <f>SUM(L78:L84)</f>
        <v>1</v>
      </c>
      <c r="M85" s="9">
        <f>N85/L85</f>
        <v>0</v>
      </c>
      <c r="N85" s="213">
        <f t="shared" ref="N85:V85" si="43">SUM(N78:N84)</f>
        <v>0</v>
      </c>
      <c r="O85" s="120">
        <f t="shared" si="43"/>
        <v>0</v>
      </c>
      <c r="P85" s="121">
        <f t="shared" si="43"/>
        <v>0</v>
      </c>
      <c r="Q85" s="120">
        <f t="shared" si="43"/>
        <v>0</v>
      </c>
      <c r="R85" s="121">
        <f t="shared" si="43"/>
        <v>0</v>
      </c>
      <c r="S85" s="120">
        <f t="shared" si="43"/>
        <v>5</v>
      </c>
      <c r="T85" s="121">
        <f t="shared" si="43"/>
        <v>4</v>
      </c>
      <c r="U85" s="120">
        <f t="shared" si="43"/>
        <v>0</v>
      </c>
      <c r="V85" s="122">
        <f t="shared" si="43"/>
        <v>0</v>
      </c>
      <c r="W85" s="216"/>
      <c r="X85" s="211"/>
      <c r="AB85" s="2">
        <f t="shared" si="24"/>
        <v>0</v>
      </c>
    </row>
    <row r="86" spans="1:28" ht="15" customHeight="1">
      <c r="A86" s="20" t="str">
        <f t="shared" si="23"/>
        <v>X</v>
      </c>
      <c r="B86" s="980" t="s">
        <v>1</v>
      </c>
      <c r="C86" s="983" t="s">
        <v>76</v>
      </c>
      <c r="D86" s="988">
        <v>11</v>
      </c>
      <c r="E86" s="901" t="s">
        <v>27</v>
      </c>
      <c r="F86" s="246" t="s">
        <v>62</v>
      </c>
      <c r="G86" s="247">
        <v>53</v>
      </c>
      <c r="H86" s="248">
        <v>38</v>
      </c>
      <c r="I86" s="249">
        <f t="shared" ref="I86:I91" si="44">J86/G86</f>
        <v>0.60377358490566035</v>
      </c>
      <c r="J86" s="250">
        <v>32</v>
      </c>
      <c r="K86" s="249">
        <f t="shared" ref="K86:K91" si="45">L86/G86</f>
        <v>0.22641509433962265</v>
      </c>
      <c r="L86" s="250">
        <v>12</v>
      </c>
      <c r="M86" s="249">
        <f>IF(N86="-","-",N86/L86)</f>
        <v>0.83333333333333337</v>
      </c>
      <c r="N86" s="846">
        <v>10</v>
      </c>
      <c r="O86" s="240" t="s">
        <v>21</v>
      </c>
      <c r="P86" s="241" t="s">
        <v>21</v>
      </c>
      <c r="Q86" s="240" t="s">
        <v>21</v>
      </c>
      <c r="R86" s="241" t="s">
        <v>21</v>
      </c>
      <c r="S86" s="304">
        <v>51</v>
      </c>
      <c r="T86" s="305">
        <v>36</v>
      </c>
      <c r="U86" s="304">
        <v>2</v>
      </c>
      <c r="V86" s="306">
        <v>2</v>
      </c>
      <c r="W86" s="216"/>
      <c r="AB86" s="2" t="str">
        <f t="shared" si="24"/>
        <v>Frontière</v>
      </c>
    </row>
    <row r="87" spans="1:28" ht="15" customHeight="1">
      <c r="A87" s="20" t="str">
        <f t="shared" si="23"/>
        <v>X</v>
      </c>
      <c r="B87" s="981"/>
      <c r="C87" s="984"/>
      <c r="D87" s="989"/>
      <c r="E87" s="902" t="s">
        <v>28</v>
      </c>
      <c r="F87" s="251" t="s">
        <v>62</v>
      </c>
      <c r="G87" s="252">
        <v>117</v>
      </c>
      <c r="H87" s="253">
        <v>86</v>
      </c>
      <c r="I87" s="254">
        <f>J87/G87</f>
        <v>0.69230769230769229</v>
      </c>
      <c r="J87" s="255">
        <v>81</v>
      </c>
      <c r="K87" s="254">
        <f>L87/G87</f>
        <v>0.40170940170940173</v>
      </c>
      <c r="L87" s="255">
        <v>47</v>
      </c>
      <c r="M87" s="254">
        <f>IF(N87="-","-",N87/L87)</f>
        <v>0.7021276595744681</v>
      </c>
      <c r="N87" s="851">
        <v>33</v>
      </c>
      <c r="O87" s="242" t="s">
        <v>21</v>
      </c>
      <c r="P87" s="243" t="s">
        <v>21</v>
      </c>
      <c r="Q87" s="242" t="s">
        <v>21</v>
      </c>
      <c r="R87" s="243" t="s">
        <v>21</v>
      </c>
      <c r="S87" s="307">
        <v>112</v>
      </c>
      <c r="T87" s="308">
        <v>82</v>
      </c>
      <c r="U87" s="307">
        <v>5</v>
      </c>
      <c r="V87" s="309">
        <v>4</v>
      </c>
      <c r="W87" s="216"/>
      <c r="AB87" s="2" t="str">
        <f t="shared" si="24"/>
        <v>Frontière</v>
      </c>
    </row>
    <row r="88" spans="1:28" ht="15" customHeight="1">
      <c r="A88" s="20" t="str">
        <f t="shared" si="23"/>
        <v>X</v>
      </c>
      <c r="B88" s="981"/>
      <c r="C88" s="984"/>
      <c r="D88" s="989"/>
      <c r="E88" s="902" t="s">
        <v>29</v>
      </c>
      <c r="F88" s="251" t="s">
        <v>62</v>
      </c>
      <c r="G88" s="252">
        <v>22</v>
      </c>
      <c r="H88" s="253">
        <v>20</v>
      </c>
      <c r="I88" s="254">
        <f t="shared" si="44"/>
        <v>0.72727272727272729</v>
      </c>
      <c r="J88" s="255">
        <v>16</v>
      </c>
      <c r="K88" s="254">
        <f t="shared" si="45"/>
        <v>0.54545454545454541</v>
      </c>
      <c r="L88" s="255">
        <v>12</v>
      </c>
      <c r="M88" s="254">
        <f>IF(N88="-","-",N88/L88)</f>
        <v>0.75</v>
      </c>
      <c r="N88" s="851">
        <v>9</v>
      </c>
      <c r="O88" s="242" t="s">
        <v>21</v>
      </c>
      <c r="P88" s="243" t="s">
        <v>21</v>
      </c>
      <c r="Q88" s="242" t="s">
        <v>21</v>
      </c>
      <c r="R88" s="243" t="s">
        <v>21</v>
      </c>
      <c r="S88" s="307">
        <v>22</v>
      </c>
      <c r="T88" s="308">
        <v>20</v>
      </c>
      <c r="U88" s="307">
        <v>0</v>
      </c>
      <c r="V88" s="309">
        <v>0</v>
      </c>
      <c r="W88" s="216"/>
      <c r="AB88" s="2" t="str">
        <f t="shared" si="24"/>
        <v>Frontière</v>
      </c>
    </row>
    <row r="89" spans="1:28" ht="15" customHeight="1">
      <c r="A89" s="20" t="str">
        <f t="shared" si="23"/>
        <v>X</v>
      </c>
      <c r="B89" s="981"/>
      <c r="C89" s="984"/>
      <c r="D89" s="989"/>
      <c r="E89" s="902" t="s">
        <v>30</v>
      </c>
      <c r="F89" s="251" t="s">
        <v>62</v>
      </c>
      <c r="G89" s="252">
        <v>49</v>
      </c>
      <c r="H89" s="253">
        <v>33</v>
      </c>
      <c r="I89" s="254">
        <f t="shared" si="44"/>
        <v>0.7142857142857143</v>
      </c>
      <c r="J89" s="255">
        <v>35</v>
      </c>
      <c r="K89" s="254">
        <f t="shared" si="45"/>
        <v>0.40816326530612246</v>
      </c>
      <c r="L89" s="255">
        <v>20</v>
      </c>
      <c r="M89" s="254">
        <f>IF(N89="-","-",N89/L89)</f>
        <v>0.85</v>
      </c>
      <c r="N89" s="851">
        <v>17</v>
      </c>
      <c r="O89" s="242" t="s">
        <v>21</v>
      </c>
      <c r="P89" s="243" t="s">
        <v>21</v>
      </c>
      <c r="Q89" s="242" t="s">
        <v>21</v>
      </c>
      <c r="R89" s="243" t="s">
        <v>21</v>
      </c>
      <c r="S89" s="307">
        <v>46</v>
      </c>
      <c r="T89" s="308">
        <v>31</v>
      </c>
      <c r="U89" s="307">
        <v>3</v>
      </c>
      <c r="V89" s="309">
        <v>2</v>
      </c>
      <c r="W89" s="216"/>
      <c r="AB89" s="2" t="str">
        <f t="shared" si="24"/>
        <v>Frontière</v>
      </c>
    </row>
    <row r="90" spans="1:28" ht="15" customHeight="1">
      <c r="A90" s="20" t="str">
        <f t="shared" si="23"/>
        <v/>
      </c>
      <c r="B90" s="981"/>
      <c r="C90" s="984"/>
      <c r="D90" s="989"/>
      <c r="E90" s="902" t="s">
        <v>175</v>
      </c>
      <c r="F90" s="251" t="s">
        <v>62</v>
      </c>
      <c r="G90" s="252"/>
      <c r="H90" s="253"/>
      <c r="I90" s="254" t="e">
        <f t="shared" si="44"/>
        <v>#DIV/0!</v>
      </c>
      <c r="J90" s="255"/>
      <c r="K90" s="254" t="e">
        <f t="shared" si="45"/>
        <v>#DIV/0!</v>
      </c>
      <c r="L90" s="255"/>
      <c r="M90" s="254" t="e">
        <f t="shared" ref="M90:M91" si="46">IF(N90="-","-",N90/L90)</f>
        <v>#DIV/0!</v>
      </c>
      <c r="N90" s="851"/>
      <c r="O90" s="242"/>
      <c r="P90" s="243"/>
      <c r="Q90" s="242"/>
      <c r="R90" s="243"/>
      <c r="S90" s="307"/>
      <c r="T90" s="308"/>
      <c r="U90" s="307"/>
      <c r="V90" s="309"/>
      <c r="W90" s="216"/>
      <c r="AB90" s="2" t="str">
        <f t="shared" ref="AB90:AB162" si="47">IF(G90&gt;0,$F90,"")</f>
        <v/>
      </c>
    </row>
    <row r="91" spans="1:28" ht="15" customHeight="1">
      <c r="A91" s="20" t="str">
        <f t="shared" si="23"/>
        <v/>
      </c>
      <c r="B91" s="981"/>
      <c r="C91" s="984"/>
      <c r="D91" s="989"/>
      <c r="E91" s="961" t="s">
        <v>166</v>
      </c>
      <c r="F91" s="251" t="s">
        <v>203</v>
      </c>
      <c r="G91" s="252"/>
      <c r="H91" s="253"/>
      <c r="I91" s="254" t="e">
        <f t="shared" si="44"/>
        <v>#DIV/0!</v>
      </c>
      <c r="J91" s="255"/>
      <c r="K91" s="254" t="e">
        <f t="shared" si="45"/>
        <v>#DIV/0!</v>
      </c>
      <c r="L91" s="255"/>
      <c r="M91" s="254" t="e">
        <f t="shared" si="46"/>
        <v>#DIV/0!</v>
      </c>
      <c r="N91" s="851"/>
      <c r="O91" s="242"/>
      <c r="P91" s="243"/>
      <c r="Q91" s="242"/>
      <c r="R91" s="243"/>
      <c r="S91" s="307"/>
      <c r="T91" s="308"/>
      <c r="U91" s="307"/>
      <c r="V91" s="309"/>
      <c r="W91" s="216"/>
      <c r="AB91" s="2" t="str">
        <f t="shared" si="47"/>
        <v/>
      </c>
    </row>
    <row r="92" spans="1:28" ht="15.75" customHeight="1">
      <c r="A92" s="20" t="str">
        <f t="shared" si="23"/>
        <v/>
      </c>
      <c r="B92" s="981"/>
      <c r="C92" s="984"/>
      <c r="D92" s="989"/>
      <c r="E92" s="961" t="s">
        <v>166</v>
      </c>
      <c r="F92" s="435"/>
      <c r="G92" s="252"/>
      <c r="H92" s="253"/>
      <c r="I92" s="254"/>
      <c r="J92" s="255"/>
      <c r="K92" s="254"/>
      <c r="L92" s="255"/>
      <c r="M92" s="254"/>
      <c r="N92" s="851"/>
      <c r="O92" s="242"/>
      <c r="P92" s="243"/>
      <c r="Q92" s="242"/>
      <c r="R92" s="243"/>
      <c r="S92" s="307"/>
      <c r="T92" s="308"/>
      <c r="U92" s="307"/>
      <c r="V92" s="309"/>
      <c r="W92" s="216"/>
      <c r="X92" s="211"/>
    </row>
    <row r="93" spans="1:28" ht="15.75" customHeight="1">
      <c r="A93" s="20" t="str">
        <f t="shared" si="23"/>
        <v/>
      </c>
      <c r="B93" s="981"/>
      <c r="C93" s="984"/>
      <c r="D93" s="989"/>
      <c r="E93" s="961" t="s">
        <v>166</v>
      </c>
      <c r="F93" s="435"/>
      <c r="G93" s="252"/>
      <c r="H93" s="253"/>
      <c r="I93" s="254"/>
      <c r="J93" s="255"/>
      <c r="K93" s="254"/>
      <c r="L93" s="255"/>
      <c r="M93" s="254"/>
      <c r="N93" s="851"/>
      <c r="O93" s="242"/>
      <c r="P93" s="243"/>
      <c r="Q93" s="242"/>
      <c r="R93" s="243"/>
      <c r="S93" s="307"/>
      <c r="T93" s="308"/>
      <c r="U93" s="307"/>
      <c r="V93" s="309"/>
      <c r="W93" s="216"/>
      <c r="X93" s="211"/>
    </row>
    <row r="94" spans="1:28" ht="15.75" customHeight="1">
      <c r="A94" s="20" t="str">
        <f t="shared" si="23"/>
        <v/>
      </c>
      <c r="B94" s="981"/>
      <c r="C94" s="984"/>
      <c r="D94" s="990"/>
      <c r="E94" s="962" t="s">
        <v>166</v>
      </c>
      <c r="F94" s="256"/>
      <c r="G94" s="257"/>
      <c r="H94" s="258"/>
      <c r="I94" s="259"/>
      <c r="J94" s="260"/>
      <c r="K94" s="259"/>
      <c r="L94" s="260"/>
      <c r="M94" s="259"/>
      <c r="N94" s="856"/>
      <c r="O94" s="244"/>
      <c r="P94" s="245"/>
      <c r="Q94" s="244"/>
      <c r="R94" s="245"/>
      <c r="S94" s="310"/>
      <c r="T94" s="311"/>
      <c r="U94" s="310"/>
      <c r="V94" s="312"/>
      <c r="W94" s="216"/>
      <c r="X94" s="211"/>
    </row>
    <row r="95" spans="1:28" ht="15.75">
      <c r="A95" s="20" t="str">
        <f t="shared" si="23"/>
        <v>S</v>
      </c>
      <c r="B95" s="987"/>
      <c r="C95" s="986"/>
      <c r="D95" s="873" t="s">
        <v>138</v>
      </c>
      <c r="E95" s="897"/>
      <c r="F95" s="210"/>
      <c r="G95" s="7">
        <f>SUM(G86:G94)</f>
        <v>241</v>
      </c>
      <c r="H95" s="8">
        <f>SUM(H86:H94)</f>
        <v>177</v>
      </c>
      <c r="I95" s="9">
        <f>J95/G95</f>
        <v>0.68049792531120334</v>
      </c>
      <c r="J95" s="213">
        <f>SUM(J86:J94)</f>
        <v>164</v>
      </c>
      <c r="K95" s="52">
        <f>L95/G95</f>
        <v>0.37759336099585061</v>
      </c>
      <c r="L95" s="213">
        <f>SUM(L86:L94)</f>
        <v>91</v>
      </c>
      <c r="M95" s="9">
        <f>N95/L95</f>
        <v>0.75824175824175821</v>
      </c>
      <c r="N95" s="213">
        <f t="shared" ref="N95:V95" si="48">SUM(N86:N94)</f>
        <v>69</v>
      </c>
      <c r="O95" s="120">
        <f t="shared" si="48"/>
        <v>0</v>
      </c>
      <c r="P95" s="121">
        <f t="shared" si="48"/>
        <v>0</v>
      </c>
      <c r="Q95" s="120">
        <f t="shared" si="48"/>
        <v>0</v>
      </c>
      <c r="R95" s="121">
        <f t="shared" si="48"/>
        <v>0</v>
      </c>
      <c r="S95" s="120">
        <f t="shared" si="48"/>
        <v>231</v>
      </c>
      <c r="T95" s="121">
        <f t="shared" si="48"/>
        <v>169</v>
      </c>
      <c r="U95" s="120">
        <f t="shared" si="48"/>
        <v>10</v>
      </c>
      <c r="V95" s="122">
        <f t="shared" si="48"/>
        <v>8</v>
      </c>
      <c r="W95" s="216"/>
      <c r="X95" s="211"/>
      <c r="AB95" s="2">
        <f t="shared" si="47"/>
        <v>0</v>
      </c>
    </row>
    <row r="96" spans="1:28" ht="15" customHeight="1">
      <c r="A96" s="20" t="str">
        <f t="shared" si="23"/>
        <v>X</v>
      </c>
      <c r="B96" s="1013" t="s">
        <v>45</v>
      </c>
      <c r="C96" s="1009" t="s">
        <v>76</v>
      </c>
      <c r="D96" s="993">
        <v>17</v>
      </c>
      <c r="E96" s="903" t="s">
        <v>32</v>
      </c>
      <c r="F96" s="432" t="s">
        <v>62</v>
      </c>
      <c r="G96" s="247">
        <v>76</v>
      </c>
      <c r="H96" s="248">
        <f>G96</f>
        <v>76</v>
      </c>
      <c r="I96" s="249">
        <f t="shared" si="33"/>
        <v>0.5</v>
      </c>
      <c r="J96" s="250">
        <f>17+21</f>
        <v>38</v>
      </c>
      <c r="K96" s="249">
        <f t="shared" si="34"/>
        <v>0.38157894736842107</v>
      </c>
      <c r="L96" s="250">
        <v>29</v>
      </c>
      <c r="M96" s="249">
        <f t="shared" si="35"/>
        <v>0.72413793103448276</v>
      </c>
      <c r="N96" s="846">
        <v>21</v>
      </c>
      <c r="O96" s="240" t="s">
        <v>21</v>
      </c>
      <c r="P96" s="241" t="s">
        <v>21</v>
      </c>
      <c r="Q96" s="240" t="s">
        <v>21</v>
      </c>
      <c r="R96" s="241" t="s">
        <v>21</v>
      </c>
      <c r="S96" s="304">
        <v>75</v>
      </c>
      <c r="T96" s="305">
        <v>75</v>
      </c>
      <c r="U96" s="304">
        <v>1</v>
      </c>
      <c r="V96" s="306">
        <v>1</v>
      </c>
      <c r="W96" s="216"/>
      <c r="X96" s="211"/>
      <c r="AB96" s="2" t="str">
        <f t="shared" si="47"/>
        <v>Frontière</v>
      </c>
    </row>
    <row r="97" spans="1:28" ht="15" customHeight="1">
      <c r="A97" s="20" t="str">
        <f t="shared" si="23"/>
        <v>X</v>
      </c>
      <c r="B97" s="1013"/>
      <c r="C97" s="1009"/>
      <c r="D97" s="993"/>
      <c r="E97" s="905" t="s">
        <v>33</v>
      </c>
      <c r="F97" s="435" t="s">
        <v>62</v>
      </c>
      <c r="G97" s="252">
        <v>80</v>
      </c>
      <c r="H97" s="253">
        <f>G97</f>
        <v>80</v>
      </c>
      <c r="I97" s="254">
        <f t="shared" si="33"/>
        <v>0.63749999999999996</v>
      </c>
      <c r="J97" s="255">
        <f>25+26</f>
        <v>51</v>
      </c>
      <c r="K97" s="254">
        <f t="shared" si="34"/>
        <v>0.5</v>
      </c>
      <c r="L97" s="255">
        <v>40</v>
      </c>
      <c r="M97" s="254">
        <f t="shared" si="35"/>
        <v>0.65</v>
      </c>
      <c r="N97" s="851">
        <v>26</v>
      </c>
      <c r="O97" s="242" t="s">
        <v>21</v>
      </c>
      <c r="P97" s="243" t="s">
        <v>21</v>
      </c>
      <c r="Q97" s="242" t="s">
        <v>21</v>
      </c>
      <c r="R97" s="243" t="s">
        <v>21</v>
      </c>
      <c r="S97" s="307">
        <v>74</v>
      </c>
      <c r="T97" s="308">
        <v>74</v>
      </c>
      <c r="U97" s="307">
        <v>6</v>
      </c>
      <c r="V97" s="309">
        <v>6</v>
      </c>
      <c r="W97" s="216"/>
      <c r="X97" s="211"/>
      <c r="AB97" s="2" t="str">
        <f t="shared" si="47"/>
        <v>Frontière</v>
      </c>
    </row>
    <row r="98" spans="1:28" ht="15" customHeight="1">
      <c r="A98" s="20" t="str">
        <f t="shared" si="23"/>
        <v>X</v>
      </c>
      <c r="B98" s="1013"/>
      <c r="C98" s="1009"/>
      <c r="D98" s="993"/>
      <c r="E98" s="905" t="s">
        <v>47</v>
      </c>
      <c r="F98" s="435" t="s">
        <v>62</v>
      </c>
      <c r="G98" s="252">
        <v>31</v>
      </c>
      <c r="H98" s="253">
        <f t="shared" ref="H98:H100" si="49">G98</f>
        <v>31</v>
      </c>
      <c r="I98" s="254">
        <f t="shared" si="33"/>
        <v>0.32258064516129031</v>
      </c>
      <c r="J98" s="255">
        <f>5+5</f>
        <v>10</v>
      </c>
      <c r="K98" s="254">
        <f t="shared" si="34"/>
        <v>0.35483870967741937</v>
      </c>
      <c r="L98" s="255">
        <v>11</v>
      </c>
      <c r="M98" s="254">
        <f t="shared" si="35"/>
        <v>0.45454545454545453</v>
      </c>
      <c r="N98" s="851">
        <v>5</v>
      </c>
      <c r="O98" s="242" t="s">
        <v>21</v>
      </c>
      <c r="P98" s="243" t="s">
        <v>21</v>
      </c>
      <c r="Q98" s="242" t="s">
        <v>21</v>
      </c>
      <c r="R98" s="243" t="s">
        <v>21</v>
      </c>
      <c r="S98" s="307">
        <v>31</v>
      </c>
      <c r="T98" s="308">
        <v>31</v>
      </c>
      <c r="U98" s="307">
        <v>0</v>
      </c>
      <c r="V98" s="309">
        <v>0</v>
      </c>
      <c r="W98" s="216"/>
      <c r="X98" s="211"/>
      <c r="AB98" s="2" t="str">
        <f t="shared" si="47"/>
        <v>Frontière</v>
      </c>
    </row>
    <row r="99" spans="1:28" ht="15" customHeight="1">
      <c r="A99" s="20" t="str">
        <f t="shared" si="23"/>
        <v>X</v>
      </c>
      <c r="B99" s="1013"/>
      <c r="C99" s="1009"/>
      <c r="D99" s="993"/>
      <c r="E99" s="905" t="s">
        <v>46</v>
      </c>
      <c r="F99" s="435" t="s">
        <v>62</v>
      </c>
      <c r="G99" s="252">
        <v>15</v>
      </c>
      <c r="H99" s="253">
        <f t="shared" si="49"/>
        <v>15</v>
      </c>
      <c r="I99" s="254">
        <f t="shared" si="33"/>
        <v>0.33333333333333331</v>
      </c>
      <c r="J99" s="255">
        <f>5+0</f>
        <v>5</v>
      </c>
      <c r="K99" s="254">
        <f t="shared" si="34"/>
        <v>0</v>
      </c>
      <c r="L99" s="255">
        <v>0</v>
      </c>
      <c r="M99" s="254" t="str">
        <f>IF(N99=0,"-",N99/L99)</f>
        <v>-</v>
      </c>
      <c r="N99" s="851">
        <v>0</v>
      </c>
      <c r="O99" s="242" t="s">
        <v>21</v>
      </c>
      <c r="P99" s="243" t="s">
        <v>21</v>
      </c>
      <c r="Q99" s="242" t="s">
        <v>21</v>
      </c>
      <c r="R99" s="243" t="s">
        <v>21</v>
      </c>
      <c r="S99" s="307">
        <v>15</v>
      </c>
      <c r="T99" s="308">
        <v>15</v>
      </c>
      <c r="U99" s="307">
        <v>0</v>
      </c>
      <c r="V99" s="309">
        <v>0</v>
      </c>
      <c r="W99" s="216"/>
      <c r="X99" s="211"/>
      <c r="AB99" s="2" t="str">
        <f t="shared" si="47"/>
        <v>Frontière</v>
      </c>
    </row>
    <row r="100" spans="1:28" ht="15" customHeight="1">
      <c r="A100" s="20" t="str">
        <f t="shared" si="23"/>
        <v>X</v>
      </c>
      <c r="B100" s="1013"/>
      <c r="C100" s="1009"/>
      <c r="D100" s="993"/>
      <c r="E100" s="905" t="s">
        <v>35</v>
      </c>
      <c r="F100" s="435" t="s">
        <v>62</v>
      </c>
      <c r="G100" s="252">
        <v>2</v>
      </c>
      <c r="H100" s="253">
        <f t="shared" si="49"/>
        <v>2</v>
      </c>
      <c r="I100" s="254">
        <f t="shared" si="33"/>
        <v>0.5</v>
      </c>
      <c r="J100" s="255">
        <f>0+1</f>
        <v>1</v>
      </c>
      <c r="K100" s="254">
        <f t="shared" si="34"/>
        <v>0.5</v>
      </c>
      <c r="L100" s="255">
        <v>1</v>
      </c>
      <c r="M100" s="254">
        <f t="shared" si="35"/>
        <v>1</v>
      </c>
      <c r="N100" s="851">
        <v>1</v>
      </c>
      <c r="O100" s="242" t="s">
        <v>21</v>
      </c>
      <c r="P100" s="243" t="s">
        <v>21</v>
      </c>
      <c r="Q100" s="242" t="s">
        <v>21</v>
      </c>
      <c r="R100" s="243" t="s">
        <v>21</v>
      </c>
      <c r="S100" s="307">
        <v>1</v>
      </c>
      <c r="T100" s="308">
        <v>1</v>
      </c>
      <c r="U100" s="307">
        <v>1</v>
      </c>
      <c r="V100" s="309">
        <v>1</v>
      </c>
      <c r="W100" s="216"/>
      <c r="X100" s="211"/>
      <c r="AB100" s="2" t="str">
        <f t="shared" si="47"/>
        <v>Frontière</v>
      </c>
    </row>
    <row r="101" spans="1:28" ht="15" customHeight="1">
      <c r="A101" s="20" t="str">
        <f t="shared" si="23"/>
        <v>X</v>
      </c>
      <c r="B101" s="1013"/>
      <c r="C101" s="1009"/>
      <c r="D101" s="993"/>
      <c r="E101" s="905" t="s">
        <v>34</v>
      </c>
      <c r="F101" s="435" t="s">
        <v>62</v>
      </c>
      <c r="G101" s="252">
        <v>15</v>
      </c>
      <c r="H101" s="253">
        <f>G101</f>
        <v>15</v>
      </c>
      <c r="I101" s="254">
        <f t="shared" si="33"/>
        <v>0.53333333333333333</v>
      </c>
      <c r="J101" s="255">
        <f>6+2</f>
        <v>8</v>
      </c>
      <c r="K101" s="254">
        <f t="shared" si="34"/>
        <v>0.26666666666666666</v>
      </c>
      <c r="L101" s="255">
        <v>4</v>
      </c>
      <c r="M101" s="254">
        <f t="shared" si="35"/>
        <v>0.5</v>
      </c>
      <c r="N101" s="851">
        <v>2</v>
      </c>
      <c r="O101" s="242" t="s">
        <v>21</v>
      </c>
      <c r="P101" s="243" t="s">
        <v>21</v>
      </c>
      <c r="Q101" s="242" t="s">
        <v>21</v>
      </c>
      <c r="R101" s="243" t="s">
        <v>21</v>
      </c>
      <c r="S101" s="307">
        <v>13</v>
      </c>
      <c r="T101" s="308">
        <v>13</v>
      </c>
      <c r="U101" s="307">
        <v>2</v>
      </c>
      <c r="V101" s="309">
        <v>2</v>
      </c>
      <c r="W101" s="216"/>
      <c r="X101" s="211"/>
      <c r="AB101" s="2" t="str">
        <f t="shared" si="47"/>
        <v>Frontière</v>
      </c>
    </row>
    <row r="102" spans="1:28" ht="15.75" customHeight="1">
      <c r="A102" s="20" t="str">
        <f t="shared" si="23"/>
        <v>X</v>
      </c>
      <c r="B102" s="1013"/>
      <c r="C102" s="1009"/>
      <c r="D102" s="993"/>
      <c r="E102" s="905" t="s">
        <v>147</v>
      </c>
      <c r="F102" s="435" t="s">
        <v>62</v>
      </c>
      <c r="G102" s="252">
        <v>12</v>
      </c>
      <c r="H102" s="253">
        <f>G102</f>
        <v>12</v>
      </c>
      <c r="I102" s="254">
        <f t="shared" si="33"/>
        <v>0.83333333333333337</v>
      </c>
      <c r="J102" s="255">
        <f>3+7</f>
        <v>10</v>
      </c>
      <c r="K102" s="254">
        <f t="shared" si="34"/>
        <v>0.58333333333333337</v>
      </c>
      <c r="L102" s="255">
        <v>7</v>
      </c>
      <c r="M102" s="254">
        <f t="shared" si="35"/>
        <v>1</v>
      </c>
      <c r="N102" s="851">
        <v>7</v>
      </c>
      <c r="O102" s="242" t="s">
        <v>21</v>
      </c>
      <c r="P102" s="243" t="s">
        <v>21</v>
      </c>
      <c r="Q102" s="242" t="s">
        <v>21</v>
      </c>
      <c r="R102" s="243" t="s">
        <v>21</v>
      </c>
      <c r="S102" s="307">
        <v>12</v>
      </c>
      <c r="T102" s="308">
        <v>12</v>
      </c>
      <c r="U102" s="307">
        <v>0</v>
      </c>
      <c r="V102" s="309">
        <v>0</v>
      </c>
      <c r="W102" s="216"/>
      <c r="X102" s="211"/>
      <c r="AB102" s="2" t="str">
        <f t="shared" si="47"/>
        <v>Frontière</v>
      </c>
    </row>
    <row r="103" spans="1:28" ht="15.75" customHeight="1">
      <c r="A103" s="20" t="str">
        <f t="shared" si="23"/>
        <v/>
      </c>
      <c r="B103" s="1013"/>
      <c r="C103" s="1009"/>
      <c r="D103" s="993"/>
      <c r="E103" s="961" t="s">
        <v>166</v>
      </c>
      <c r="F103" s="435" t="s">
        <v>62</v>
      </c>
      <c r="G103" s="252"/>
      <c r="H103" s="253"/>
      <c r="I103" s="254" t="e">
        <f t="shared" si="33"/>
        <v>#DIV/0!</v>
      </c>
      <c r="J103" s="255"/>
      <c r="K103" s="254" t="e">
        <f t="shared" si="34"/>
        <v>#DIV/0!</v>
      </c>
      <c r="L103" s="255"/>
      <c r="M103" s="254" t="e">
        <f t="shared" si="35"/>
        <v>#DIV/0!</v>
      </c>
      <c r="N103" s="851"/>
      <c r="O103" s="242"/>
      <c r="P103" s="243"/>
      <c r="Q103" s="242"/>
      <c r="R103" s="243"/>
      <c r="S103" s="307"/>
      <c r="T103" s="308"/>
      <c r="U103" s="307"/>
      <c r="V103" s="309"/>
      <c r="W103" s="216"/>
      <c r="X103" s="211"/>
      <c r="AB103" s="2" t="str">
        <f t="shared" si="47"/>
        <v/>
      </c>
    </row>
    <row r="104" spans="1:28" ht="15.75" customHeight="1">
      <c r="A104" s="20" t="str">
        <f t="shared" si="23"/>
        <v/>
      </c>
      <c r="B104" s="1013"/>
      <c r="C104" s="1009"/>
      <c r="D104" s="993"/>
      <c r="E104" s="961" t="s">
        <v>166</v>
      </c>
      <c r="F104" s="435" t="s">
        <v>62</v>
      </c>
      <c r="G104" s="252"/>
      <c r="H104" s="253"/>
      <c r="I104" s="254" t="e">
        <f t="shared" si="33"/>
        <v>#DIV/0!</v>
      </c>
      <c r="J104" s="255"/>
      <c r="K104" s="254" t="e">
        <f t="shared" si="34"/>
        <v>#DIV/0!</v>
      </c>
      <c r="L104" s="255"/>
      <c r="M104" s="254" t="e">
        <f t="shared" si="35"/>
        <v>#DIV/0!</v>
      </c>
      <c r="N104" s="851"/>
      <c r="O104" s="242"/>
      <c r="P104" s="243"/>
      <c r="Q104" s="242"/>
      <c r="R104" s="243"/>
      <c r="S104" s="307"/>
      <c r="T104" s="308"/>
      <c r="U104" s="307"/>
      <c r="V104" s="309"/>
      <c r="W104" s="216"/>
      <c r="X104" s="211"/>
      <c r="AB104" s="2" t="str">
        <f t="shared" si="47"/>
        <v/>
      </c>
    </row>
    <row r="105" spans="1:28" ht="15.75" customHeight="1">
      <c r="A105" s="20" t="str">
        <f t="shared" si="23"/>
        <v>X</v>
      </c>
      <c r="B105" s="1013"/>
      <c r="C105" s="1009"/>
      <c r="D105" s="993"/>
      <c r="E105" s="905" t="s">
        <v>146</v>
      </c>
      <c r="F105" s="435" t="s">
        <v>62</v>
      </c>
      <c r="G105" s="252">
        <v>14</v>
      </c>
      <c r="H105" s="253">
        <f>G105</f>
        <v>14</v>
      </c>
      <c r="I105" s="254">
        <f t="shared" si="33"/>
        <v>1</v>
      </c>
      <c r="J105" s="255">
        <f>9+5</f>
        <v>14</v>
      </c>
      <c r="K105" s="254">
        <f t="shared" si="34"/>
        <v>0.35714285714285715</v>
      </c>
      <c r="L105" s="255">
        <v>5</v>
      </c>
      <c r="M105" s="254">
        <f t="shared" si="35"/>
        <v>1</v>
      </c>
      <c r="N105" s="851">
        <v>5</v>
      </c>
      <c r="O105" s="242" t="s">
        <v>21</v>
      </c>
      <c r="P105" s="243" t="s">
        <v>21</v>
      </c>
      <c r="Q105" s="242" t="s">
        <v>21</v>
      </c>
      <c r="R105" s="243" t="s">
        <v>21</v>
      </c>
      <c r="S105" s="307">
        <v>14</v>
      </c>
      <c r="T105" s="308">
        <v>14</v>
      </c>
      <c r="U105" s="307">
        <v>0</v>
      </c>
      <c r="V105" s="309">
        <v>0</v>
      </c>
      <c r="W105" s="216"/>
      <c r="X105" s="211"/>
      <c r="AB105" s="2" t="str">
        <f t="shared" si="47"/>
        <v>Frontière</v>
      </c>
    </row>
    <row r="106" spans="1:28" ht="15.75" customHeight="1">
      <c r="A106" s="20" t="str">
        <f t="shared" si="23"/>
        <v/>
      </c>
      <c r="B106" s="1013"/>
      <c r="C106" s="1009"/>
      <c r="D106" s="993"/>
      <c r="E106" s="961" t="s">
        <v>166</v>
      </c>
      <c r="F106" s="435"/>
      <c r="G106" s="252"/>
      <c r="H106" s="253"/>
      <c r="I106" s="254"/>
      <c r="J106" s="255"/>
      <c r="K106" s="254"/>
      <c r="L106" s="255"/>
      <c r="M106" s="254"/>
      <c r="N106" s="851"/>
      <c r="O106" s="242"/>
      <c r="P106" s="243"/>
      <c r="Q106" s="242"/>
      <c r="R106" s="243"/>
      <c r="S106" s="307"/>
      <c r="T106" s="308"/>
      <c r="U106" s="307"/>
      <c r="V106" s="309"/>
      <c r="W106" s="216"/>
      <c r="X106" s="211"/>
    </row>
    <row r="107" spans="1:28" ht="15.75" customHeight="1">
      <c r="A107" s="20" t="str">
        <f t="shared" si="23"/>
        <v/>
      </c>
      <c r="B107" s="1013"/>
      <c r="C107" s="1009"/>
      <c r="D107" s="993"/>
      <c r="E107" s="961" t="s">
        <v>166</v>
      </c>
      <c r="F107" s="435"/>
      <c r="G107" s="252"/>
      <c r="H107" s="253"/>
      <c r="I107" s="254"/>
      <c r="J107" s="255"/>
      <c r="K107" s="254"/>
      <c r="L107" s="255"/>
      <c r="M107" s="254"/>
      <c r="N107" s="851"/>
      <c r="O107" s="242"/>
      <c r="P107" s="243"/>
      <c r="Q107" s="242"/>
      <c r="R107" s="243"/>
      <c r="S107" s="307"/>
      <c r="T107" s="308"/>
      <c r="U107" s="307"/>
      <c r="V107" s="309"/>
      <c r="W107" s="216"/>
      <c r="X107" s="211"/>
    </row>
    <row r="108" spans="1:28" ht="15.75" customHeight="1">
      <c r="A108" s="20" t="str">
        <f t="shared" si="23"/>
        <v/>
      </c>
      <c r="B108" s="1013"/>
      <c r="C108" s="1009"/>
      <c r="D108" s="993"/>
      <c r="E108" s="962" t="s">
        <v>166</v>
      </c>
      <c r="F108" s="256"/>
      <c r="G108" s="257"/>
      <c r="H108" s="258"/>
      <c r="I108" s="259"/>
      <c r="J108" s="260"/>
      <c r="K108" s="259"/>
      <c r="L108" s="260"/>
      <c r="M108" s="259"/>
      <c r="N108" s="856"/>
      <c r="O108" s="244"/>
      <c r="P108" s="245"/>
      <c r="Q108" s="244"/>
      <c r="R108" s="245"/>
      <c r="S108" s="310"/>
      <c r="T108" s="311"/>
      <c r="U108" s="310"/>
      <c r="V108" s="312"/>
      <c r="W108" s="216"/>
      <c r="X108" s="211"/>
    </row>
    <row r="109" spans="1:28" ht="15.75">
      <c r="A109" s="20" t="str">
        <f t="shared" si="23"/>
        <v>S</v>
      </c>
      <c r="B109" s="1018"/>
      <c r="C109" s="1009"/>
      <c r="D109" s="332" t="s">
        <v>138</v>
      </c>
      <c r="E109" s="898"/>
      <c r="F109" s="210"/>
      <c r="G109" s="7">
        <f>SUM(G96:G108)</f>
        <v>245</v>
      </c>
      <c r="H109" s="8">
        <f>SUM(H96:H108)</f>
        <v>245</v>
      </c>
      <c r="I109" s="9">
        <f>J109/G109</f>
        <v>0.5591836734693878</v>
      </c>
      <c r="J109" s="213">
        <f>SUM(J96:J108)</f>
        <v>137</v>
      </c>
      <c r="K109" s="52">
        <f>L109/G109</f>
        <v>0.39591836734693875</v>
      </c>
      <c r="L109" s="213">
        <f>SUM(L96:L108)</f>
        <v>97</v>
      </c>
      <c r="M109" s="9">
        <f>N109/L109</f>
        <v>0.69072164948453607</v>
      </c>
      <c r="N109" s="213">
        <f t="shared" ref="N109:V109" si="50">SUM(N96:N108)</f>
        <v>67</v>
      </c>
      <c r="O109" s="120">
        <f t="shared" si="50"/>
        <v>0</v>
      </c>
      <c r="P109" s="121">
        <f t="shared" si="50"/>
        <v>0</v>
      </c>
      <c r="Q109" s="120">
        <f t="shared" si="50"/>
        <v>0</v>
      </c>
      <c r="R109" s="121">
        <f t="shared" si="50"/>
        <v>0</v>
      </c>
      <c r="S109" s="120">
        <f t="shared" si="50"/>
        <v>235</v>
      </c>
      <c r="T109" s="121">
        <f t="shared" si="50"/>
        <v>235</v>
      </c>
      <c r="U109" s="120">
        <f t="shared" si="50"/>
        <v>10</v>
      </c>
      <c r="V109" s="122">
        <f t="shared" si="50"/>
        <v>10</v>
      </c>
      <c r="W109" s="216"/>
      <c r="X109" s="211"/>
      <c r="AB109" s="2">
        <f t="shared" si="47"/>
        <v>0</v>
      </c>
    </row>
    <row r="110" spans="1:28">
      <c r="A110" s="20" t="str">
        <f t="shared" si="23"/>
        <v/>
      </c>
      <c r="B110" s="1007" t="s">
        <v>151</v>
      </c>
      <c r="C110" s="1016" t="s">
        <v>76</v>
      </c>
      <c r="D110" s="994">
        <v>17</v>
      </c>
      <c r="E110" s="903" t="s">
        <v>154</v>
      </c>
      <c r="F110" s="432" t="s">
        <v>62</v>
      </c>
      <c r="G110" s="734"/>
      <c r="H110" s="735"/>
      <c r="I110" s="238"/>
      <c r="J110" s="250"/>
      <c r="K110" s="249"/>
      <c r="L110" s="250"/>
      <c r="M110" s="238"/>
      <c r="N110" s="846"/>
      <c r="O110" s="240"/>
      <c r="P110" s="241"/>
      <c r="Q110" s="240"/>
      <c r="R110" s="241"/>
      <c r="S110" s="304"/>
      <c r="T110" s="305"/>
      <c r="U110" s="304"/>
      <c r="V110" s="306"/>
      <c r="W110" s="277"/>
      <c r="X110" s="233"/>
      <c r="AB110" s="2" t="str">
        <f t="shared" si="47"/>
        <v/>
      </c>
    </row>
    <row r="111" spans="1:28" ht="15.75" customHeight="1">
      <c r="A111" s="20" t="str">
        <f t="shared" si="23"/>
        <v/>
      </c>
      <c r="B111" s="1007"/>
      <c r="C111" s="1016"/>
      <c r="D111" s="994"/>
      <c r="E111" s="905" t="s">
        <v>155</v>
      </c>
      <c r="F111" s="435" t="s">
        <v>62</v>
      </c>
      <c r="G111" s="736"/>
      <c r="H111" s="737"/>
      <c r="I111" s="239"/>
      <c r="J111" s="255"/>
      <c r="K111" s="254"/>
      <c r="L111" s="255"/>
      <c r="M111" s="239"/>
      <c r="N111" s="851"/>
      <c r="O111" s="242"/>
      <c r="P111" s="243"/>
      <c r="Q111" s="242"/>
      <c r="R111" s="243"/>
      <c r="S111" s="307"/>
      <c r="T111" s="308"/>
      <c r="U111" s="307"/>
      <c r="V111" s="309"/>
      <c r="W111" s="278"/>
      <c r="X111" s="234"/>
      <c r="AB111" s="2" t="str">
        <f t="shared" si="47"/>
        <v/>
      </c>
    </row>
    <row r="112" spans="1:28" ht="15.75" customHeight="1">
      <c r="A112" s="20" t="str">
        <f t="shared" si="23"/>
        <v/>
      </c>
      <c r="B112" s="1007"/>
      <c r="C112" s="1016"/>
      <c r="D112" s="994"/>
      <c r="E112" s="905" t="s">
        <v>156</v>
      </c>
      <c r="F112" s="435" t="s">
        <v>62</v>
      </c>
      <c r="G112" s="736"/>
      <c r="H112" s="737"/>
      <c r="I112" s="239"/>
      <c r="J112" s="255"/>
      <c r="K112" s="254"/>
      <c r="L112" s="255"/>
      <c r="M112" s="239"/>
      <c r="N112" s="851"/>
      <c r="O112" s="242"/>
      <c r="P112" s="243"/>
      <c r="Q112" s="242"/>
      <c r="R112" s="243"/>
      <c r="S112" s="307"/>
      <c r="T112" s="308"/>
      <c r="U112" s="307"/>
      <c r="V112" s="309"/>
      <c r="W112" s="278"/>
      <c r="X112" s="234"/>
      <c r="AB112" s="2" t="str">
        <f t="shared" si="47"/>
        <v/>
      </c>
    </row>
    <row r="113" spans="1:28" ht="15" customHeight="1">
      <c r="A113" s="20" t="str">
        <f t="shared" si="23"/>
        <v>X</v>
      </c>
      <c r="B113" s="1007"/>
      <c r="C113" s="1016"/>
      <c r="D113" s="994"/>
      <c r="E113" s="905" t="s">
        <v>37</v>
      </c>
      <c r="F113" s="438" t="s">
        <v>62</v>
      </c>
      <c r="G113" s="252">
        <v>346</v>
      </c>
      <c r="H113" s="253">
        <v>174</v>
      </c>
      <c r="I113" s="254">
        <f t="shared" si="33"/>
        <v>0.31502890173410403</v>
      </c>
      <c r="J113" s="255">
        <v>109</v>
      </c>
      <c r="K113" s="254">
        <f t="shared" si="34"/>
        <v>0.23699421965317918</v>
      </c>
      <c r="L113" s="255">
        <v>82</v>
      </c>
      <c r="M113" s="254">
        <f t="shared" si="35"/>
        <v>0.52439024390243905</v>
      </c>
      <c r="N113" s="851">
        <v>43</v>
      </c>
      <c r="O113" s="242">
        <v>11</v>
      </c>
      <c r="P113" s="243">
        <v>7</v>
      </c>
      <c r="Q113" s="242">
        <v>50</v>
      </c>
      <c r="R113" s="243">
        <v>36</v>
      </c>
      <c r="S113" s="307">
        <v>374</v>
      </c>
      <c r="T113" s="308">
        <v>195</v>
      </c>
      <c r="U113" s="307">
        <v>22</v>
      </c>
      <c r="V113" s="309">
        <v>15</v>
      </c>
      <c r="W113" s="278"/>
      <c r="X113" s="234"/>
      <c r="AB113" s="2" t="str">
        <f t="shared" si="47"/>
        <v>Frontière</v>
      </c>
    </row>
    <row r="114" spans="1:28" ht="15" customHeight="1">
      <c r="A114" s="20" t="str">
        <f t="shared" ref="A114:A159" si="51">IF(D114="Sous-total","S",IF(G114="","","X"))</f>
        <v>X</v>
      </c>
      <c r="B114" s="1007"/>
      <c r="C114" s="1016"/>
      <c r="D114" s="994"/>
      <c r="E114" s="905" t="s">
        <v>157</v>
      </c>
      <c r="F114" s="438" t="s">
        <v>62</v>
      </c>
      <c r="G114" s="252">
        <v>230</v>
      </c>
      <c r="H114" s="253">
        <v>116</v>
      </c>
      <c r="I114" s="254">
        <f t="shared" si="33"/>
        <v>0.4</v>
      </c>
      <c r="J114" s="255">
        <v>92</v>
      </c>
      <c r="K114" s="254">
        <f t="shared" si="34"/>
        <v>0.33478260869565218</v>
      </c>
      <c r="L114" s="255">
        <v>77</v>
      </c>
      <c r="M114" s="254">
        <f t="shared" si="35"/>
        <v>0.45454545454545453</v>
      </c>
      <c r="N114" s="851">
        <v>35</v>
      </c>
      <c r="O114" s="242">
        <v>20</v>
      </c>
      <c r="P114" s="243">
        <v>9</v>
      </c>
      <c r="Q114" s="242">
        <v>4</v>
      </c>
      <c r="R114" s="243">
        <v>3</v>
      </c>
      <c r="S114" s="307">
        <v>216</v>
      </c>
      <c r="T114" s="308">
        <v>106</v>
      </c>
      <c r="U114" s="307">
        <v>18</v>
      </c>
      <c r="V114" s="309">
        <v>10</v>
      </c>
      <c r="W114" s="278"/>
      <c r="X114" s="234"/>
      <c r="AB114" s="2" t="str">
        <f t="shared" si="47"/>
        <v>Frontière</v>
      </c>
    </row>
    <row r="115" spans="1:28" ht="15" customHeight="1">
      <c r="A115" s="20" t="str">
        <f t="shared" si="51"/>
        <v>X</v>
      </c>
      <c r="B115" s="1007"/>
      <c r="C115" s="1016"/>
      <c r="D115" s="994"/>
      <c r="E115" s="905" t="s">
        <v>38</v>
      </c>
      <c r="F115" s="438" t="s">
        <v>62</v>
      </c>
      <c r="G115" s="252">
        <v>239</v>
      </c>
      <c r="H115" s="253">
        <v>114</v>
      </c>
      <c r="I115" s="254">
        <f t="shared" si="33"/>
        <v>0.35564853556485354</v>
      </c>
      <c r="J115" s="255">
        <v>85</v>
      </c>
      <c r="K115" s="254">
        <f t="shared" si="34"/>
        <v>0.32217573221757323</v>
      </c>
      <c r="L115" s="255">
        <v>77</v>
      </c>
      <c r="M115" s="254">
        <f t="shared" si="35"/>
        <v>0.38961038961038963</v>
      </c>
      <c r="N115" s="851">
        <v>30</v>
      </c>
      <c r="O115" s="242">
        <v>13</v>
      </c>
      <c r="P115" s="243">
        <v>5</v>
      </c>
      <c r="Q115" s="242">
        <v>36</v>
      </c>
      <c r="R115" s="243">
        <v>17</v>
      </c>
      <c r="S115" s="307">
        <v>228</v>
      </c>
      <c r="T115" s="308">
        <v>105</v>
      </c>
      <c r="U115" s="307">
        <v>47</v>
      </c>
      <c r="V115" s="309">
        <v>26</v>
      </c>
      <c r="W115" s="278"/>
      <c r="X115" s="234"/>
      <c r="AB115" s="2" t="str">
        <f t="shared" si="47"/>
        <v>Frontière</v>
      </c>
    </row>
    <row r="116" spans="1:28" ht="15" customHeight="1">
      <c r="A116" s="20" t="str">
        <f t="shared" si="51"/>
        <v/>
      </c>
      <c r="B116" s="1007"/>
      <c r="C116" s="1016"/>
      <c r="D116" s="994"/>
      <c r="E116" s="905" t="s">
        <v>158</v>
      </c>
      <c r="F116" s="435" t="s">
        <v>62</v>
      </c>
      <c r="G116" s="252"/>
      <c r="H116" s="253"/>
      <c r="I116" s="254" t="e">
        <f t="shared" si="33"/>
        <v>#DIV/0!</v>
      </c>
      <c r="J116" s="255"/>
      <c r="K116" s="254" t="e">
        <f t="shared" si="34"/>
        <v>#DIV/0!</v>
      </c>
      <c r="L116" s="255"/>
      <c r="M116" s="254" t="e">
        <f t="shared" si="35"/>
        <v>#DIV/0!</v>
      </c>
      <c r="N116" s="851"/>
      <c r="O116" s="242"/>
      <c r="P116" s="243"/>
      <c r="Q116" s="242"/>
      <c r="R116" s="243"/>
      <c r="S116" s="307"/>
      <c r="T116" s="308"/>
      <c r="U116" s="307"/>
      <c r="V116" s="309"/>
      <c r="W116" s="278"/>
      <c r="X116" s="234"/>
      <c r="AB116" s="2" t="str">
        <f t="shared" si="47"/>
        <v/>
      </c>
    </row>
    <row r="117" spans="1:28" ht="15" customHeight="1">
      <c r="A117" s="20" t="str">
        <f t="shared" si="51"/>
        <v>X</v>
      </c>
      <c r="B117" s="1007"/>
      <c r="C117" s="1016"/>
      <c r="D117" s="994"/>
      <c r="E117" s="905" t="s">
        <v>148</v>
      </c>
      <c r="F117" s="435" t="s">
        <v>62</v>
      </c>
      <c r="G117" s="252">
        <v>40</v>
      </c>
      <c r="H117" s="253">
        <v>20</v>
      </c>
      <c r="I117" s="254">
        <f t="shared" si="33"/>
        <v>0.375</v>
      </c>
      <c r="J117" s="255">
        <v>15</v>
      </c>
      <c r="K117" s="254">
        <f t="shared" si="34"/>
        <v>0.32500000000000001</v>
      </c>
      <c r="L117" s="255">
        <v>13</v>
      </c>
      <c r="M117" s="254">
        <f t="shared" si="35"/>
        <v>0.53846153846153844</v>
      </c>
      <c r="N117" s="851">
        <v>7</v>
      </c>
      <c r="O117" s="242">
        <v>0</v>
      </c>
      <c r="P117" s="243">
        <v>0</v>
      </c>
      <c r="Q117" s="242">
        <v>0</v>
      </c>
      <c r="R117" s="243">
        <v>0</v>
      </c>
      <c r="S117" s="307">
        <v>28</v>
      </c>
      <c r="T117" s="308">
        <v>15</v>
      </c>
      <c r="U117" s="307">
        <v>12</v>
      </c>
      <c r="V117" s="309">
        <v>5</v>
      </c>
      <c r="W117" s="278"/>
      <c r="X117" s="234"/>
      <c r="AB117" s="2" t="str">
        <f t="shared" si="47"/>
        <v>Frontière</v>
      </c>
    </row>
    <row r="118" spans="1:28" ht="15" customHeight="1">
      <c r="A118" s="20" t="str">
        <f t="shared" si="51"/>
        <v>X</v>
      </c>
      <c r="B118" s="1007"/>
      <c r="C118" s="1016"/>
      <c r="D118" s="994"/>
      <c r="E118" s="905" t="s">
        <v>149</v>
      </c>
      <c r="F118" s="438" t="s">
        <v>62</v>
      </c>
      <c r="G118" s="252">
        <v>24</v>
      </c>
      <c r="H118" s="253">
        <v>18</v>
      </c>
      <c r="I118" s="254">
        <f t="shared" si="33"/>
        <v>0.45833333333333331</v>
      </c>
      <c r="J118" s="255">
        <v>11</v>
      </c>
      <c r="K118" s="254">
        <f t="shared" si="34"/>
        <v>0.33333333333333331</v>
      </c>
      <c r="L118" s="255">
        <v>8</v>
      </c>
      <c r="M118" s="254">
        <f t="shared" si="35"/>
        <v>0.5</v>
      </c>
      <c r="N118" s="851">
        <v>4</v>
      </c>
      <c r="O118" s="242">
        <v>1</v>
      </c>
      <c r="P118" s="243">
        <v>1</v>
      </c>
      <c r="Q118" s="242">
        <v>10</v>
      </c>
      <c r="R118" s="243">
        <v>9</v>
      </c>
      <c r="S118" s="307">
        <v>32</v>
      </c>
      <c r="T118" s="308">
        <v>25</v>
      </c>
      <c r="U118" s="307">
        <v>2</v>
      </c>
      <c r="V118" s="309">
        <v>2</v>
      </c>
      <c r="W118" s="278"/>
      <c r="X118" s="234"/>
      <c r="AB118" s="2" t="str">
        <f t="shared" si="47"/>
        <v>Frontière</v>
      </c>
    </row>
    <row r="119" spans="1:28" ht="15" customHeight="1">
      <c r="A119" s="20" t="str">
        <f t="shared" si="51"/>
        <v/>
      </c>
      <c r="B119" s="1007"/>
      <c r="C119" s="1016"/>
      <c r="D119" s="994"/>
      <c r="E119" s="961" t="s">
        <v>166</v>
      </c>
      <c r="F119" s="438" t="s">
        <v>62</v>
      </c>
      <c r="G119" s="252"/>
      <c r="H119" s="253"/>
      <c r="I119" s="254" t="e">
        <f t="shared" si="33"/>
        <v>#DIV/0!</v>
      </c>
      <c r="J119" s="255"/>
      <c r="K119" s="254" t="e">
        <f t="shared" si="34"/>
        <v>#DIV/0!</v>
      </c>
      <c r="L119" s="255"/>
      <c r="M119" s="254" t="e">
        <f t="shared" si="35"/>
        <v>#DIV/0!</v>
      </c>
      <c r="N119" s="851"/>
      <c r="O119" s="242"/>
      <c r="P119" s="243"/>
      <c r="Q119" s="242"/>
      <c r="R119" s="243"/>
      <c r="S119" s="307"/>
      <c r="T119" s="308"/>
      <c r="U119" s="307"/>
      <c r="V119" s="309"/>
      <c r="W119" s="278"/>
      <c r="X119" s="234"/>
      <c r="AB119" s="2" t="str">
        <f t="shared" si="47"/>
        <v/>
      </c>
    </row>
    <row r="120" spans="1:28" ht="15" customHeight="1">
      <c r="A120" s="20" t="str">
        <f t="shared" si="51"/>
        <v/>
      </c>
      <c r="B120" s="1007"/>
      <c r="C120" s="1016"/>
      <c r="D120" s="994"/>
      <c r="E120" s="961" t="s">
        <v>166</v>
      </c>
      <c r="F120" s="438" t="s">
        <v>62</v>
      </c>
      <c r="G120" s="252"/>
      <c r="H120" s="253"/>
      <c r="I120" s="254" t="e">
        <f t="shared" si="33"/>
        <v>#DIV/0!</v>
      </c>
      <c r="J120" s="255"/>
      <c r="K120" s="254" t="e">
        <f t="shared" si="34"/>
        <v>#DIV/0!</v>
      </c>
      <c r="L120" s="255"/>
      <c r="M120" s="254" t="e">
        <f t="shared" si="35"/>
        <v>#DIV/0!</v>
      </c>
      <c r="N120" s="851"/>
      <c r="O120" s="242"/>
      <c r="P120" s="243"/>
      <c r="Q120" s="242"/>
      <c r="R120" s="243"/>
      <c r="S120" s="307"/>
      <c r="T120" s="308"/>
      <c r="U120" s="307"/>
      <c r="V120" s="309"/>
      <c r="W120" s="278"/>
      <c r="X120" s="234"/>
      <c r="AB120" s="2" t="str">
        <f t="shared" si="47"/>
        <v/>
      </c>
    </row>
    <row r="121" spans="1:28" ht="15" customHeight="1">
      <c r="A121" s="20" t="str">
        <f t="shared" si="51"/>
        <v>X</v>
      </c>
      <c r="B121" s="1007"/>
      <c r="C121" s="1016"/>
      <c r="D121" s="994"/>
      <c r="E121" s="905" t="s">
        <v>152</v>
      </c>
      <c r="F121" s="438" t="s">
        <v>62</v>
      </c>
      <c r="G121" s="252">
        <v>3</v>
      </c>
      <c r="H121" s="253">
        <v>3</v>
      </c>
      <c r="I121" s="254">
        <f t="shared" si="33"/>
        <v>0.66666666666666663</v>
      </c>
      <c r="J121" s="255">
        <v>2</v>
      </c>
      <c r="K121" s="254">
        <f t="shared" si="34"/>
        <v>0.66666666666666663</v>
      </c>
      <c r="L121" s="255">
        <v>2</v>
      </c>
      <c r="M121" s="254">
        <f t="shared" si="35"/>
        <v>0.5</v>
      </c>
      <c r="N121" s="851">
        <v>1</v>
      </c>
      <c r="O121" s="242">
        <v>0</v>
      </c>
      <c r="P121" s="243">
        <v>0</v>
      </c>
      <c r="Q121" s="242">
        <v>0</v>
      </c>
      <c r="R121" s="243">
        <v>0</v>
      </c>
      <c r="S121" s="307">
        <v>3</v>
      </c>
      <c r="T121" s="308">
        <v>3</v>
      </c>
      <c r="U121" s="307">
        <v>0</v>
      </c>
      <c r="V121" s="309">
        <v>0</v>
      </c>
      <c r="W121" s="278"/>
      <c r="X121" s="234"/>
      <c r="AB121" s="2" t="str">
        <f t="shared" si="47"/>
        <v>Frontière</v>
      </c>
    </row>
    <row r="122" spans="1:28" ht="15" customHeight="1">
      <c r="A122" s="20" t="str">
        <f t="shared" si="51"/>
        <v/>
      </c>
      <c r="B122" s="1007"/>
      <c r="C122" s="1016"/>
      <c r="D122" s="994"/>
      <c r="E122" s="961" t="s">
        <v>166</v>
      </c>
      <c r="F122" s="438"/>
      <c r="G122" s="252"/>
      <c r="H122" s="253"/>
      <c r="I122" s="254"/>
      <c r="J122" s="255"/>
      <c r="K122" s="254"/>
      <c r="L122" s="255"/>
      <c r="M122" s="254"/>
      <c r="N122" s="851"/>
      <c r="O122" s="242"/>
      <c r="P122" s="243"/>
      <c r="Q122" s="242"/>
      <c r="R122" s="243"/>
      <c r="S122" s="307"/>
      <c r="T122" s="308"/>
      <c r="U122" s="307"/>
      <c r="V122" s="309"/>
      <c r="W122" s="279"/>
      <c r="X122" s="263"/>
    </row>
    <row r="123" spans="1:28" ht="15" customHeight="1">
      <c r="A123" s="20" t="str">
        <f t="shared" si="51"/>
        <v/>
      </c>
      <c r="B123" s="1007"/>
      <c r="C123" s="1016"/>
      <c r="D123" s="994"/>
      <c r="E123" s="961" t="s">
        <v>166</v>
      </c>
      <c r="F123" s="438"/>
      <c r="G123" s="252"/>
      <c r="H123" s="253"/>
      <c r="I123" s="254"/>
      <c r="J123" s="255"/>
      <c r="K123" s="254"/>
      <c r="L123" s="255"/>
      <c r="M123" s="254"/>
      <c r="N123" s="851"/>
      <c r="O123" s="242"/>
      <c r="P123" s="243"/>
      <c r="Q123" s="242"/>
      <c r="R123" s="243"/>
      <c r="S123" s="307"/>
      <c r="T123" s="308"/>
      <c r="U123" s="307"/>
      <c r="V123" s="309"/>
      <c r="W123" s="279"/>
      <c r="X123" s="263"/>
    </row>
    <row r="124" spans="1:28" ht="15" customHeight="1">
      <c r="A124" s="20" t="str">
        <f t="shared" si="51"/>
        <v/>
      </c>
      <c r="B124" s="1007"/>
      <c r="C124" s="1016"/>
      <c r="D124" s="994"/>
      <c r="E124" s="962" t="s">
        <v>166</v>
      </c>
      <c r="F124" s="480"/>
      <c r="G124" s="257"/>
      <c r="H124" s="258"/>
      <c r="I124" s="259"/>
      <c r="J124" s="260"/>
      <c r="K124" s="259"/>
      <c r="L124" s="260"/>
      <c r="M124" s="259"/>
      <c r="N124" s="856"/>
      <c r="O124" s="244"/>
      <c r="P124" s="245"/>
      <c r="Q124" s="244"/>
      <c r="R124" s="245"/>
      <c r="S124" s="310"/>
      <c r="T124" s="311"/>
      <c r="U124" s="310"/>
      <c r="V124" s="312"/>
      <c r="W124" s="279"/>
      <c r="X124" s="263"/>
    </row>
    <row r="125" spans="1:28" ht="15.75">
      <c r="A125" s="20" t="str">
        <f t="shared" si="51"/>
        <v>S</v>
      </c>
      <c r="B125" s="1007"/>
      <c r="C125" s="1016"/>
      <c r="D125" s="333" t="s">
        <v>138</v>
      </c>
      <c r="E125" s="898"/>
      <c r="F125" s="264"/>
      <c r="G125" s="7">
        <f>SUM(G110:G124)</f>
        <v>882</v>
      </c>
      <c r="H125" s="8">
        <f>SUM(H110:H124)</f>
        <v>445</v>
      </c>
      <c r="I125" s="9">
        <f>J125/G125</f>
        <v>0.35600907029478457</v>
      </c>
      <c r="J125" s="213">
        <f>SUM(J110:J124)</f>
        <v>314</v>
      </c>
      <c r="K125" s="52">
        <f>L125/G125</f>
        <v>0.29365079365079366</v>
      </c>
      <c r="L125" s="213">
        <f>SUM(L110:L124)</f>
        <v>259</v>
      </c>
      <c r="M125" s="9">
        <f>N125/L125</f>
        <v>0.46332046332046334</v>
      </c>
      <c r="N125" s="213">
        <f t="shared" ref="N125:V125" si="52">SUM(N110:N124)</f>
        <v>120</v>
      </c>
      <c r="O125" s="120">
        <f t="shared" si="52"/>
        <v>45</v>
      </c>
      <c r="P125" s="121">
        <f t="shared" si="52"/>
        <v>22</v>
      </c>
      <c r="Q125" s="120">
        <f t="shared" si="52"/>
        <v>100</v>
      </c>
      <c r="R125" s="121">
        <f t="shared" si="52"/>
        <v>65</v>
      </c>
      <c r="S125" s="120">
        <f t="shared" si="52"/>
        <v>881</v>
      </c>
      <c r="T125" s="121">
        <f t="shared" si="52"/>
        <v>449</v>
      </c>
      <c r="U125" s="120">
        <f t="shared" si="52"/>
        <v>101</v>
      </c>
      <c r="V125" s="122">
        <f t="shared" si="52"/>
        <v>58</v>
      </c>
      <c r="W125" s="279"/>
      <c r="X125" s="263"/>
      <c r="AB125" s="2">
        <f t="shared" si="47"/>
        <v>0</v>
      </c>
    </row>
    <row r="126" spans="1:28" ht="15.75" customHeight="1">
      <c r="A126" s="20" t="str">
        <f t="shared" si="51"/>
        <v>X</v>
      </c>
      <c r="B126" s="1022" t="s">
        <v>72</v>
      </c>
      <c r="C126" s="1016" t="s">
        <v>76</v>
      </c>
      <c r="D126" s="994">
        <v>5</v>
      </c>
      <c r="E126" s="903" t="s">
        <v>150</v>
      </c>
      <c r="F126" s="473" t="s">
        <v>62</v>
      </c>
      <c r="G126" s="247">
        <v>47</v>
      </c>
      <c r="H126" s="248">
        <v>38</v>
      </c>
      <c r="I126" s="249">
        <f t="shared" si="33"/>
        <v>0.19148936170212766</v>
      </c>
      <c r="J126" s="250">
        <v>9</v>
      </c>
      <c r="K126" s="249">
        <f t="shared" si="34"/>
        <v>0.23404255319148937</v>
      </c>
      <c r="L126" s="250">
        <v>11</v>
      </c>
      <c r="M126" s="249">
        <f t="shared" si="35"/>
        <v>0.54545454545454541</v>
      </c>
      <c r="N126" s="846">
        <v>6</v>
      </c>
      <c r="O126" s="240">
        <v>1</v>
      </c>
      <c r="P126" s="241">
        <v>0</v>
      </c>
      <c r="Q126" s="240">
        <v>1</v>
      </c>
      <c r="R126" s="241">
        <v>1</v>
      </c>
      <c r="S126" s="304">
        <v>45</v>
      </c>
      <c r="T126" s="305">
        <v>38</v>
      </c>
      <c r="U126" s="304">
        <v>3</v>
      </c>
      <c r="V126" s="306">
        <v>1</v>
      </c>
      <c r="W126" s="216"/>
      <c r="X126" s="211"/>
      <c r="AB126" s="2" t="str">
        <f t="shared" si="47"/>
        <v>Frontière</v>
      </c>
    </row>
    <row r="127" spans="1:28" ht="15.75" customHeight="1">
      <c r="A127" s="20" t="str">
        <f t="shared" si="51"/>
        <v>X</v>
      </c>
      <c r="B127" s="1022"/>
      <c r="C127" s="1016"/>
      <c r="D127" s="994"/>
      <c r="E127" s="905" t="s">
        <v>153</v>
      </c>
      <c r="F127" s="438" t="s">
        <v>62</v>
      </c>
      <c r="G127" s="252">
        <v>23</v>
      </c>
      <c r="H127" s="253">
        <v>7</v>
      </c>
      <c r="I127" s="254">
        <f t="shared" si="33"/>
        <v>0.39130434782608697</v>
      </c>
      <c r="J127" s="255">
        <v>9</v>
      </c>
      <c r="K127" s="254">
        <f t="shared" si="34"/>
        <v>0.39130434782608697</v>
      </c>
      <c r="L127" s="255">
        <v>9</v>
      </c>
      <c r="M127" s="254">
        <f t="shared" si="35"/>
        <v>0.55555555555555558</v>
      </c>
      <c r="N127" s="851">
        <v>5</v>
      </c>
      <c r="O127" s="242">
        <v>0</v>
      </c>
      <c r="P127" s="243">
        <v>0</v>
      </c>
      <c r="Q127" s="242">
        <v>8</v>
      </c>
      <c r="R127" s="243">
        <v>7</v>
      </c>
      <c r="S127" s="307">
        <v>22</v>
      </c>
      <c r="T127" s="308">
        <v>10</v>
      </c>
      <c r="U127" s="307">
        <v>9</v>
      </c>
      <c r="V127" s="309">
        <v>4</v>
      </c>
      <c r="W127" s="216"/>
      <c r="X127" s="211"/>
      <c r="AB127" s="2" t="str">
        <f t="shared" si="47"/>
        <v>Frontière</v>
      </c>
    </row>
    <row r="128" spans="1:28" ht="15.75" customHeight="1">
      <c r="A128" s="20" t="str">
        <f t="shared" si="51"/>
        <v/>
      </c>
      <c r="B128" s="1022"/>
      <c r="C128" s="1016"/>
      <c r="D128" s="994"/>
      <c r="E128" s="961" t="s">
        <v>166</v>
      </c>
      <c r="F128" s="438" t="s">
        <v>62</v>
      </c>
      <c r="G128" s="252"/>
      <c r="H128" s="253"/>
      <c r="I128" s="254" t="e">
        <f t="shared" si="33"/>
        <v>#DIV/0!</v>
      </c>
      <c r="J128" s="255"/>
      <c r="K128" s="254" t="e">
        <f t="shared" si="34"/>
        <v>#DIV/0!</v>
      </c>
      <c r="L128" s="255"/>
      <c r="M128" s="254" t="e">
        <f t="shared" si="35"/>
        <v>#DIV/0!</v>
      </c>
      <c r="N128" s="851"/>
      <c r="O128" s="242"/>
      <c r="P128" s="243"/>
      <c r="Q128" s="242"/>
      <c r="R128" s="243"/>
      <c r="S128" s="307"/>
      <c r="T128" s="308"/>
      <c r="U128" s="307"/>
      <c r="V128" s="309"/>
      <c r="W128" s="216"/>
      <c r="X128" s="211"/>
      <c r="AB128" s="2" t="str">
        <f t="shared" si="47"/>
        <v/>
      </c>
    </row>
    <row r="129" spans="1:28" ht="15.75" customHeight="1">
      <c r="A129" s="20" t="str">
        <f t="shared" si="51"/>
        <v/>
      </c>
      <c r="B129" s="1022"/>
      <c r="C129" s="1016"/>
      <c r="D129" s="994"/>
      <c r="E129" s="961" t="s">
        <v>166</v>
      </c>
      <c r="F129" s="438" t="s">
        <v>62</v>
      </c>
      <c r="G129" s="252"/>
      <c r="H129" s="253"/>
      <c r="I129" s="254" t="e">
        <f t="shared" si="33"/>
        <v>#DIV/0!</v>
      </c>
      <c r="J129" s="255"/>
      <c r="K129" s="254" t="e">
        <f t="shared" si="34"/>
        <v>#DIV/0!</v>
      </c>
      <c r="L129" s="255"/>
      <c r="M129" s="254" t="e">
        <f t="shared" si="35"/>
        <v>#DIV/0!</v>
      </c>
      <c r="N129" s="851"/>
      <c r="O129" s="242"/>
      <c r="P129" s="243"/>
      <c r="Q129" s="242"/>
      <c r="R129" s="243"/>
      <c r="S129" s="307"/>
      <c r="T129" s="308"/>
      <c r="U129" s="307"/>
      <c r="V129" s="309"/>
      <c r="W129" s="216"/>
      <c r="X129" s="211"/>
      <c r="AB129" s="2" t="str">
        <f t="shared" si="47"/>
        <v/>
      </c>
    </row>
    <row r="130" spans="1:28" ht="15.75" customHeight="1">
      <c r="A130" s="20" t="str">
        <f t="shared" si="51"/>
        <v>X</v>
      </c>
      <c r="B130" s="1022"/>
      <c r="C130" s="1016"/>
      <c r="D130" s="994"/>
      <c r="E130" s="905" t="s">
        <v>36</v>
      </c>
      <c r="F130" s="438" t="s">
        <v>62</v>
      </c>
      <c r="G130" s="252">
        <v>13</v>
      </c>
      <c r="H130" s="253">
        <v>11</v>
      </c>
      <c r="I130" s="254">
        <f t="shared" si="33"/>
        <v>0.38461538461538464</v>
      </c>
      <c r="J130" s="255">
        <v>5</v>
      </c>
      <c r="K130" s="254">
        <f t="shared" si="34"/>
        <v>0.23076923076923078</v>
      </c>
      <c r="L130" s="255">
        <v>3</v>
      </c>
      <c r="M130" s="254">
        <f t="shared" si="35"/>
        <v>0.66666666666666663</v>
      </c>
      <c r="N130" s="851">
        <v>2</v>
      </c>
      <c r="O130" s="242">
        <v>0</v>
      </c>
      <c r="P130" s="243">
        <v>0</v>
      </c>
      <c r="Q130" s="242">
        <v>2</v>
      </c>
      <c r="R130" s="243">
        <v>1</v>
      </c>
      <c r="S130" s="307">
        <v>11</v>
      </c>
      <c r="T130" s="308">
        <v>8</v>
      </c>
      <c r="U130" s="307">
        <v>4</v>
      </c>
      <c r="V130" s="309">
        <v>4</v>
      </c>
      <c r="W130" s="216"/>
      <c r="X130" s="211"/>
      <c r="AB130" s="2" t="str">
        <f t="shared" si="47"/>
        <v>Frontière</v>
      </c>
    </row>
    <row r="131" spans="1:28" ht="15.75" customHeight="1">
      <c r="A131" s="20" t="str">
        <f t="shared" si="51"/>
        <v/>
      </c>
      <c r="B131" s="1022"/>
      <c r="C131" s="1016"/>
      <c r="D131" s="994"/>
      <c r="E131" s="961" t="s">
        <v>166</v>
      </c>
      <c r="F131" s="438"/>
      <c r="G131" s="252"/>
      <c r="H131" s="253"/>
      <c r="I131" s="254"/>
      <c r="J131" s="255"/>
      <c r="K131" s="254"/>
      <c r="L131" s="255"/>
      <c r="M131" s="254"/>
      <c r="N131" s="851"/>
      <c r="O131" s="242"/>
      <c r="P131" s="243"/>
      <c r="Q131" s="242"/>
      <c r="R131" s="243"/>
      <c r="S131" s="307"/>
      <c r="T131" s="308"/>
      <c r="U131" s="307"/>
      <c r="V131" s="309"/>
      <c r="W131" s="216"/>
      <c r="X131" s="211"/>
    </row>
    <row r="132" spans="1:28" ht="15.75" customHeight="1">
      <c r="A132" s="20" t="str">
        <f t="shared" si="51"/>
        <v/>
      </c>
      <c r="B132" s="1022"/>
      <c r="C132" s="1016"/>
      <c r="D132" s="994"/>
      <c r="E132" s="961" t="s">
        <v>166</v>
      </c>
      <c r="F132" s="438"/>
      <c r="G132" s="252"/>
      <c r="H132" s="253"/>
      <c r="I132" s="254"/>
      <c r="J132" s="255"/>
      <c r="K132" s="254"/>
      <c r="L132" s="255"/>
      <c r="M132" s="254"/>
      <c r="N132" s="851"/>
      <c r="O132" s="242"/>
      <c r="P132" s="243"/>
      <c r="Q132" s="242"/>
      <c r="R132" s="243"/>
      <c r="S132" s="307"/>
      <c r="T132" s="308"/>
      <c r="U132" s="307"/>
      <c r="V132" s="309"/>
      <c r="W132" s="216"/>
      <c r="X132" s="211"/>
    </row>
    <row r="133" spans="1:28" ht="15.75" customHeight="1">
      <c r="A133" s="20" t="str">
        <f t="shared" si="51"/>
        <v/>
      </c>
      <c r="B133" s="1022"/>
      <c r="C133" s="1016"/>
      <c r="D133" s="994"/>
      <c r="E133" s="962" t="s">
        <v>166</v>
      </c>
      <c r="F133" s="480"/>
      <c r="G133" s="257"/>
      <c r="H133" s="258"/>
      <c r="I133" s="259"/>
      <c r="J133" s="260"/>
      <c r="K133" s="259"/>
      <c r="L133" s="260"/>
      <c r="M133" s="259"/>
      <c r="N133" s="856"/>
      <c r="O133" s="244"/>
      <c r="P133" s="245"/>
      <c r="Q133" s="244"/>
      <c r="R133" s="245"/>
      <c r="S133" s="310"/>
      <c r="T133" s="311"/>
      <c r="U133" s="310"/>
      <c r="V133" s="312"/>
      <c r="W133" s="216"/>
      <c r="X133" s="211"/>
    </row>
    <row r="134" spans="1:28" ht="15.75" customHeight="1">
      <c r="A134" s="20" t="str">
        <f t="shared" si="51"/>
        <v>S</v>
      </c>
      <c r="B134" s="1022"/>
      <c r="C134" s="1016"/>
      <c r="D134" s="333" t="s">
        <v>138</v>
      </c>
      <c r="E134" s="898"/>
      <c r="F134" s="264"/>
      <c r="G134" s="7">
        <f>SUM(G126:G133)</f>
        <v>83</v>
      </c>
      <c r="H134" s="8">
        <f>SUM(H126:H133)</f>
        <v>56</v>
      </c>
      <c r="I134" s="9">
        <f>J134/G134</f>
        <v>0.27710843373493976</v>
      </c>
      <c r="J134" s="213">
        <f>SUM(J126:J133)</f>
        <v>23</v>
      </c>
      <c r="K134" s="52">
        <f>L134/G134</f>
        <v>0.27710843373493976</v>
      </c>
      <c r="L134" s="213">
        <f>SUM(L126:L133)</f>
        <v>23</v>
      </c>
      <c r="M134" s="9">
        <f>N134/L134</f>
        <v>0.56521739130434778</v>
      </c>
      <c r="N134" s="213">
        <f t="shared" ref="N134:V134" si="53">SUM(N126:N133)</f>
        <v>13</v>
      </c>
      <c r="O134" s="120">
        <f t="shared" si="53"/>
        <v>1</v>
      </c>
      <c r="P134" s="121">
        <f t="shared" si="53"/>
        <v>0</v>
      </c>
      <c r="Q134" s="120">
        <f t="shared" si="53"/>
        <v>11</v>
      </c>
      <c r="R134" s="121">
        <f t="shared" si="53"/>
        <v>9</v>
      </c>
      <c r="S134" s="120">
        <f t="shared" si="53"/>
        <v>78</v>
      </c>
      <c r="T134" s="121">
        <f t="shared" si="53"/>
        <v>56</v>
      </c>
      <c r="U134" s="120">
        <f t="shared" si="53"/>
        <v>16</v>
      </c>
      <c r="V134" s="122">
        <f t="shared" si="53"/>
        <v>9</v>
      </c>
      <c r="W134" s="216"/>
      <c r="X134" s="211"/>
      <c r="AB134" s="2">
        <f t="shared" si="47"/>
        <v>0</v>
      </c>
    </row>
    <row r="135" spans="1:28" ht="15.75" customHeight="1">
      <c r="A135" s="20" t="str">
        <f t="shared" si="51"/>
        <v/>
      </c>
      <c r="B135" s="980" t="s">
        <v>3</v>
      </c>
      <c r="C135" s="983" t="s">
        <v>76</v>
      </c>
      <c r="D135" s="988">
        <v>11</v>
      </c>
      <c r="E135" s="901" t="s">
        <v>48</v>
      </c>
      <c r="F135" s="246" t="s">
        <v>61</v>
      </c>
      <c r="G135" s="247"/>
      <c r="H135" s="248"/>
      <c r="I135" s="249"/>
      <c r="J135" s="250"/>
      <c r="K135" s="249"/>
      <c r="L135" s="250"/>
      <c r="M135" s="249"/>
      <c r="N135" s="846"/>
      <c r="O135" s="240" t="s">
        <v>21</v>
      </c>
      <c r="P135" s="241" t="s">
        <v>21</v>
      </c>
      <c r="Q135" s="240" t="s">
        <v>21</v>
      </c>
      <c r="R135" s="241" t="s">
        <v>21</v>
      </c>
      <c r="S135" s="721"/>
      <c r="T135" s="722"/>
      <c r="U135" s="721"/>
      <c r="V135" s="723"/>
      <c r="W135" s="216"/>
      <c r="X135" s="211"/>
      <c r="AB135" s="2" t="str">
        <f t="shared" si="47"/>
        <v/>
      </c>
    </row>
    <row r="136" spans="1:28" ht="15.75" customHeight="1">
      <c r="A136" s="20" t="str">
        <f t="shared" si="51"/>
        <v/>
      </c>
      <c r="B136" s="981"/>
      <c r="C136" s="984"/>
      <c r="D136" s="989"/>
      <c r="E136" s="902" t="s">
        <v>49</v>
      </c>
      <c r="F136" s="251" t="s">
        <v>61</v>
      </c>
      <c r="G136" s="252"/>
      <c r="H136" s="253"/>
      <c r="I136" s="254"/>
      <c r="J136" s="255"/>
      <c r="K136" s="254"/>
      <c r="L136" s="255"/>
      <c r="M136" s="254"/>
      <c r="N136" s="851"/>
      <c r="O136" s="242" t="s">
        <v>21</v>
      </c>
      <c r="P136" s="243" t="s">
        <v>21</v>
      </c>
      <c r="Q136" s="242" t="s">
        <v>21</v>
      </c>
      <c r="R136" s="243" t="s">
        <v>21</v>
      </c>
      <c r="S136" s="724"/>
      <c r="T136" s="725"/>
      <c r="U136" s="724"/>
      <c r="V136" s="726"/>
      <c r="W136" s="216"/>
      <c r="X136" s="211"/>
      <c r="AB136" s="2" t="str">
        <f t="shared" si="47"/>
        <v/>
      </c>
    </row>
    <row r="137" spans="1:28" ht="15.75" customHeight="1">
      <c r="A137" s="20" t="str">
        <f t="shared" si="51"/>
        <v/>
      </c>
      <c r="B137" s="981"/>
      <c r="C137" s="984"/>
      <c r="D137" s="989"/>
      <c r="E137" s="902" t="s">
        <v>81</v>
      </c>
      <c r="F137" s="251" t="s">
        <v>61</v>
      </c>
      <c r="G137" s="252"/>
      <c r="H137" s="253"/>
      <c r="I137" s="254"/>
      <c r="J137" s="255"/>
      <c r="K137" s="254"/>
      <c r="L137" s="255"/>
      <c r="M137" s="254"/>
      <c r="N137" s="851"/>
      <c r="O137" s="242" t="s">
        <v>21</v>
      </c>
      <c r="P137" s="243" t="s">
        <v>21</v>
      </c>
      <c r="Q137" s="242" t="s">
        <v>21</v>
      </c>
      <c r="R137" s="243" t="s">
        <v>21</v>
      </c>
      <c r="S137" s="724"/>
      <c r="T137" s="725"/>
      <c r="U137" s="724"/>
      <c r="V137" s="726"/>
      <c r="W137" s="216"/>
      <c r="X137" s="211"/>
      <c r="AB137" s="2" t="str">
        <f t="shared" si="47"/>
        <v/>
      </c>
    </row>
    <row r="138" spans="1:28" ht="15.75" customHeight="1">
      <c r="A138" s="20" t="str">
        <f t="shared" si="51"/>
        <v/>
      </c>
      <c r="B138" s="981"/>
      <c r="C138" s="984"/>
      <c r="D138" s="989"/>
      <c r="E138" s="902" t="s">
        <v>73</v>
      </c>
      <c r="F138" s="251" t="s">
        <v>61</v>
      </c>
      <c r="G138" s="252"/>
      <c r="H138" s="253"/>
      <c r="I138" s="254"/>
      <c r="J138" s="255"/>
      <c r="K138" s="254"/>
      <c r="L138" s="255"/>
      <c r="M138" s="254"/>
      <c r="N138" s="851"/>
      <c r="O138" s="242" t="s">
        <v>21</v>
      </c>
      <c r="P138" s="243" t="s">
        <v>21</v>
      </c>
      <c r="Q138" s="242" t="s">
        <v>21</v>
      </c>
      <c r="R138" s="243" t="s">
        <v>21</v>
      </c>
      <c r="S138" s="724"/>
      <c r="T138" s="725"/>
      <c r="U138" s="724"/>
      <c r="V138" s="726"/>
      <c r="W138" s="216"/>
      <c r="X138" s="211"/>
      <c r="AB138" s="2" t="str">
        <f t="shared" si="47"/>
        <v/>
      </c>
    </row>
    <row r="139" spans="1:28" ht="15.75" customHeight="1">
      <c r="A139" s="20" t="str">
        <f t="shared" si="51"/>
        <v/>
      </c>
      <c r="B139" s="981"/>
      <c r="C139" s="984"/>
      <c r="D139" s="989"/>
      <c r="E139" s="902" t="s">
        <v>50</v>
      </c>
      <c r="F139" s="251" t="s">
        <v>61</v>
      </c>
      <c r="G139" s="252"/>
      <c r="H139" s="253"/>
      <c r="I139" s="254"/>
      <c r="J139" s="255"/>
      <c r="K139" s="254"/>
      <c r="L139" s="255"/>
      <c r="M139" s="254"/>
      <c r="N139" s="851"/>
      <c r="O139" s="242" t="s">
        <v>21</v>
      </c>
      <c r="P139" s="243" t="s">
        <v>21</v>
      </c>
      <c r="Q139" s="242" t="s">
        <v>21</v>
      </c>
      <c r="R139" s="243" t="s">
        <v>21</v>
      </c>
      <c r="S139" s="724"/>
      <c r="T139" s="725"/>
      <c r="U139" s="724"/>
      <c r="V139" s="726"/>
      <c r="W139" s="216"/>
      <c r="X139" s="211"/>
      <c r="AB139" s="2" t="str">
        <f t="shared" si="47"/>
        <v/>
      </c>
    </row>
    <row r="140" spans="1:28" ht="15.75" customHeight="1">
      <c r="A140" s="20" t="str">
        <f t="shared" si="51"/>
        <v>X</v>
      </c>
      <c r="B140" s="981"/>
      <c r="C140" s="984"/>
      <c r="D140" s="989"/>
      <c r="E140" s="902" t="s">
        <v>144</v>
      </c>
      <c r="F140" s="251" t="s">
        <v>61</v>
      </c>
      <c r="G140" s="252">
        <v>159</v>
      </c>
      <c r="H140" s="253">
        <v>159</v>
      </c>
      <c r="I140" s="254">
        <f t="shared" si="33"/>
        <v>0.34591194968553457</v>
      </c>
      <c r="J140" s="255">
        <v>55</v>
      </c>
      <c r="K140" s="254">
        <f t="shared" si="34"/>
        <v>0.41509433962264153</v>
      </c>
      <c r="L140" s="255">
        <v>66</v>
      </c>
      <c r="M140" s="254">
        <f t="shared" si="35"/>
        <v>0.46969696969696972</v>
      </c>
      <c r="N140" s="851">
        <v>31</v>
      </c>
      <c r="O140" s="242" t="s">
        <v>21</v>
      </c>
      <c r="P140" s="243" t="s">
        <v>21</v>
      </c>
      <c r="Q140" s="242" t="s">
        <v>21</v>
      </c>
      <c r="R140" s="243" t="s">
        <v>21</v>
      </c>
      <c r="S140" s="724"/>
      <c r="T140" s="725"/>
      <c r="U140" s="724"/>
      <c r="V140" s="726"/>
      <c r="W140" s="216"/>
      <c r="X140" s="211"/>
      <c r="AB140" s="2" t="str">
        <f t="shared" si="47"/>
        <v>Suisse</v>
      </c>
    </row>
    <row r="141" spans="1:28" ht="15.75" customHeight="1">
      <c r="A141" s="20" t="str">
        <f t="shared" si="51"/>
        <v>X</v>
      </c>
      <c r="B141" s="981"/>
      <c r="C141" s="984"/>
      <c r="D141" s="989"/>
      <c r="E141" s="902" t="s">
        <v>143</v>
      </c>
      <c r="F141" s="251" t="s">
        <v>61</v>
      </c>
      <c r="G141" s="252">
        <v>165</v>
      </c>
      <c r="H141" s="253">
        <v>165</v>
      </c>
      <c r="I141" s="254">
        <f t="shared" si="33"/>
        <v>0</v>
      </c>
      <c r="J141" s="255"/>
      <c r="K141" s="254">
        <f t="shared" si="34"/>
        <v>0</v>
      </c>
      <c r="L141" s="255"/>
      <c r="M141" s="254" t="e">
        <f t="shared" si="35"/>
        <v>#DIV/0!</v>
      </c>
      <c r="N141" s="851"/>
      <c r="O141" s="242" t="s">
        <v>21</v>
      </c>
      <c r="P141" s="243" t="s">
        <v>21</v>
      </c>
      <c r="Q141" s="242" t="s">
        <v>21</v>
      </c>
      <c r="R141" s="243" t="s">
        <v>21</v>
      </c>
      <c r="S141" s="724"/>
      <c r="T141" s="725"/>
      <c r="U141" s="724"/>
      <c r="V141" s="726"/>
      <c r="W141" s="216"/>
      <c r="X141" s="211"/>
      <c r="AB141" s="2" t="str">
        <f t="shared" si="47"/>
        <v>Suisse</v>
      </c>
    </row>
    <row r="142" spans="1:28" ht="15.75" customHeight="1">
      <c r="A142" s="20" t="str">
        <f t="shared" si="51"/>
        <v/>
      </c>
      <c r="B142" s="981"/>
      <c r="C142" s="984"/>
      <c r="D142" s="989"/>
      <c r="E142" s="902" t="s">
        <v>176</v>
      </c>
      <c r="F142" s="251" t="s">
        <v>61</v>
      </c>
      <c r="G142" s="252"/>
      <c r="H142" s="253"/>
      <c r="I142" s="254"/>
      <c r="J142" s="255"/>
      <c r="K142" s="254"/>
      <c r="L142" s="255"/>
      <c r="M142" s="254"/>
      <c r="N142" s="851"/>
      <c r="O142" s="242"/>
      <c r="P142" s="243"/>
      <c r="Q142" s="242"/>
      <c r="R142" s="243"/>
      <c r="S142" s="724"/>
      <c r="T142" s="725"/>
      <c r="U142" s="724"/>
      <c r="V142" s="726"/>
      <c r="W142" s="216"/>
      <c r="X142" s="211"/>
      <c r="AB142" s="2" t="str">
        <f t="shared" si="47"/>
        <v/>
      </c>
    </row>
    <row r="143" spans="1:28" ht="15.75" customHeight="1">
      <c r="A143" s="20" t="str">
        <f t="shared" si="51"/>
        <v/>
      </c>
      <c r="B143" s="981"/>
      <c r="C143" s="984"/>
      <c r="D143" s="989"/>
      <c r="E143" s="902" t="s">
        <v>177</v>
      </c>
      <c r="F143" s="251" t="s">
        <v>61</v>
      </c>
      <c r="G143" s="252"/>
      <c r="H143" s="253"/>
      <c r="I143" s="254"/>
      <c r="J143" s="255"/>
      <c r="K143" s="254"/>
      <c r="L143" s="255"/>
      <c r="M143" s="254"/>
      <c r="N143" s="851"/>
      <c r="O143" s="242"/>
      <c r="P143" s="243"/>
      <c r="Q143" s="242"/>
      <c r="R143" s="243"/>
      <c r="S143" s="724"/>
      <c r="T143" s="725"/>
      <c r="U143" s="724"/>
      <c r="V143" s="726"/>
      <c r="W143" s="216"/>
      <c r="X143" s="211"/>
      <c r="AB143" s="2" t="str">
        <f t="shared" si="47"/>
        <v/>
      </c>
    </row>
    <row r="144" spans="1:28" ht="15.75" customHeight="1">
      <c r="A144" s="20" t="str">
        <f t="shared" si="51"/>
        <v/>
      </c>
      <c r="B144" s="981"/>
      <c r="C144" s="984"/>
      <c r="D144" s="989"/>
      <c r="E144" s="902" t="s">
        <v>178</v>
      </c>
      <c r="F144" s="251" t="s">
        <v>61</v>
      </c>
      <c r="G144" s="252"/>
      <c r="H144" s="253"/>
      <c r="I144" s="254"/>
      <c r="J144" s="255"/>
      <c r="K144" s="254"/>
      <c r="L144" s="255"/>
      <c r="M144" s="254"/>
      <c r="N144" s="851"/>
      <c r="O144" s="242"/>
      <c r="P144" s="243"/>
      <c r="Q144" s="242"/>
      <c r="R144" s="243"/>
      <c r="S144" s="724"/>
      <c r="T144" s="725"/>
      <c r="U144" s="724"/>
      <c r="V144" s="726"/>
      <c r="W144" s="216"/>
      <c r="X144" s="211"/>
      <c r="AB144" s="2" t="str">
        <f t="shared" si="47"/>
        <v/>
      </c>
    </row>
    <row r="145" spans="1:28" ht="15.75" customHeight="1">
      <c r="A145" s="20" t="str">
        <f t="shared" si="51"/>
        <v/>
      </c>
      <c r="B145" s="981"/>
      <c r="C145" s="984"/>
      <c r="D145" s="989"/>
      <c r="E145" s="902" t="s">
        <v>179</v>
      </c>
      <c r="F145" s="251" t="s">
        <v>61</v>
      </c>
      <c r="G145" s="252"/>
      <c r="H145" s="253"/>
      <c r="I145" s="254"/>
      <c r="J145" s="255"/>
      <c r="K145" s="254"/>
      <c r="L145" s="255"/>
      <c r="M145" s="254"/>
      <c r="N145" s="851"/>
      <c r="O145" s="242"/>
      <c r="P145" s="243"/>
      <c r="Q145" s="242"/>
      <c r="R145" s="243"/>
      <c r="S145" s="724"/>
      <c r="T145" s="725"/>
      <c r="U145" s="724"/>
      <c r="V145" s="726"/>
      <c r="W145" s="216"/>
      <c r="X145" s="211"/>
      <c r="AB145" s="2" t="str">
        <f t="shared" si="47"/>
        <v/>
      </c>
    </row>
    <row r="146" spans="1:28" ht="15.75" customHeight="1">
      <c r="A146" s="20" t="str">
        <f t="shared" si="51"/>
        <v/>
      </c>
      <c r="B146" s="981"/>
      <c r="C146" s="984"/>
      <c r="D146" s="989"/>
      <c r="E146" s="902" t="s">
        <v>180</v>
      </c>
      <c r="F146" s="251" t="s">
        <v>61</v>
      </c>
      <c r="G146" s="252"/>
      <c r="H146" s="253"/>
      <c r="I146" s="254"/>
      <c r="J146" s="255"/>
      <c r="K146" s="254"/>
      <c r="L146" s="255"/>
      <c r="M146" s="254"/>
      <c r="N146" s="851"/>
      <c r="O146" s="242"/>
      <c r="P146" s="243"/>
      <c r="Q146" s="242"/>
      <c r="R146" s="243"/>
      <c r="S146" s="724"/>
      <c r="T146" s="725"/>
      <c r="U146" s="724"/>
      <c r="V146" s="726"/>
      <c r="W146" s="216"/>
      <c r="X146" s="211"/>
      <c r="AB146" s="2" t="str">
        <f t="shared" si="47"/>
        <v/>
      </c>
    </row>
    <row r="147" spans="1:28" ht="15.75" customHeight="1">
      <c r="A147" s="20" t="str">
        <f t="shared" si="51"/>
        <v/>
      </c>
      <c r="B147" s="981"/>
      <c r="C147" s="984"/>
      <c r="D147" s="989"/>
      <c r="E147" s="902" t="s">
        <v>181</v>
      </c>
      <c r="F147" s="251" t="s">
        <v>61</v>
      </c>
      <c r="G147" s="252"/>
      <c r="H147" s="253"/>
      <c r="I147" s="254"/>
      <c r="J147" s="255"/>
      <c r="K147" s="254"/>
      <c r="L147" s="255"/>
      <c r="M147" s="254"/>
      <c r="N147" s="851"/>
      <c r="O147" s="242"/>
      <c r="P147" s="243"/>
      <c r="Q147" s="242"/>
      <c r="R147" s="243"/>
      <c r="S147" s="724"/>
      <c r="T147" s="725"/>
      <c r="U147" s="724"/>
      <c r="V147" s="726"/>
      <c r="W147" s="216"/>
      <c r="X147" s="211"/>
      <c r="AB147" s="2" t="str">
        <f t="shared" si="47"/>
        <v/>
      </c>
    </row>
    <row r="148" spans="1:28" ht="15.75" customHeight="1">
      <c r="A148" s="20" t="str">
        <f t="shared" si="51"/>
        <v>X</v>
      </c>
      <c r="B148" s="981"/>
      <c r="C148" s="984"/>
      <c r="D148" s="989"/>
      <c r="E148" s="902" t="s">
        <v>80</v>
      </c>
      <c r="F148" s="251" t="s">
        <v>61</v>
      </c>
      <c r="G148" s="252">
        <v>773</v>
      </c>
      <c r="H148" s="253">
        <f>G148</f>
        <v>773</v>
      </c>
      <c r="I148" s="254">
        <f t="shared" si="33"/>
        <v>0.39327296248382926</v>
      </c>
      <c r="J148" s="255">
        <v>304</v>
      </c>
      <c r="K148" s="254">
        <f t="shared" si="34"/>
        <v>0.43078913324708928</v>
      </c>
      <c r="L148" s="255">
        <v>333</v>
      </c>
      <c r="M148" s="254">
        <f t="shared" si="35"/>
        <v>0.57657657657657657</v>
      </c>
      <c r="N148" s="851">
        <v>192</v>
      </c>
      <c r="O148" s="242" t="s">
        <v>21</v>
      </c>
      <c r="P148" s="243" t="s">
        <v>21</v>
      </c>
      <c r="Q148" s="242" t="s">
        <v>21</v>
      </c>
      <c r="R148" s="243" t="s">
        <v>21</v>
      </c>
      <c r="S148" s="724"/>
      <c r="T148" s="725"/>
      <c r="U148" s="724"/>
      <c r="V148" s="726"/>
      <c r="W148" s="216"/>
      <c r="X148" s="211"/>
      <c r="AB148" s="2" t="str">
        <f t="shared" si="47"/>
        <v>Suisse</v>
      </c>
    </row>
    <row r="149" spans="1:28" ht="15.75" customHeight="1">
      <c r="A149" s="20" t="str">
        <f t="shared" si="51"/>
        <v>X</v>
      </c>
      <c r="B149" s="981"/>
      <c r="C149" s="984"/>
      <c r="D149" s="989"/>
      <c r="E149" s="902" t="s">
        <v>51</v>
      </c>
      <c r="F149" s="251" t="s">
        <v>61</v>
      </c>
      <c r="G149" s="252">
        <v>629</v>
      </c>
      <c r="H149" s="253">
        <f t="shared" ref="H149" si="54">G149</f>
        <v>629</v>
      </c>
      <c r="I149" s="254">
        <f t="shared" si="33"/>
        <v>0.47058823529411764</v>
      </c>
      <c r="J149" s="255">
        <v>296</v>
      </c>
      <c r="K149" s="254">
        <f t="shared" si="34"/>
        <v>0.49443561208267089</v>
      </c>
      <c r="L149" s="255">
        <v>311</v>
      </c>
      <c r="M149" s="254">
        <f t="shared" si="35"/>
        <v>0.58520900321543412</v>
      </c>
      <c r="N149" s="851">
        <v>182</v>
      </c>
      <c r="O149" s="242" t="s">
        <v>21</v>
      </c>
      <c r="P149" s="243" t="s">
        <v>21</v>
      </c>
      <c r="Q149" s="242" t="s">
        <v>21</v>
      </c>
      <c r="R149" s="243" t="s">
        <v>21</v>
      </c>
      <c r="S149" s="724"/>
      <c r="T149" s="725"/>
      <c r="U149" s="724"/>
      <c r="V149" s="726"/>
      <c r="W149" s="216"/>
      <c r="X149" s="211"/>
      <c r="AB149" s="2" t="str">
        <f t="shared" si="47"/>
        <v>Suisse</v>
      </c>
    </row>
    <row r="150" spans="1:28" ht="15" customHeight="1">
      <c r="A150" s="20" t="str">
        <f>IF(D150="Sous-total","S",IF(G150="","","X"))</f>
        <v>X</v>
      </c>
      <c r="B150" s="981"/>
      <c r="C150" s="984"/>
      <c r="D150" s="989"/>
      <c r="E150" s="632" t="s">
        <v>31</v>
      </c>
      <c r="F150" s="435" t="s">
        <v>62</v>
      </c>
      <c r="G150" s="252">
        <v>44</v>
      </c>
      <c r="H150" s="253">
        <v>44</v>
      </c>
      <c r="I150" s="254">
        <f>J150/G150</f>
        <v>0.63636363636363635</v>
      </c>
      <c r="J150" s="255">
        <v>28</v>
      </c>
      <c r="K150" s="254">
        <f>L150/G150</f>
        <v>0.36363636363636365</v>
      </c>
      <c r="L150" s="255">
        <v>16</v>
      </c>
      <c r="M150" s="254">
        <f>IF(N150="-","-",N150/L150)</f>
        <v>0.9375</v>
      </c>
      <c r="N150" s="851">
        <v>15</v>
      </c>
      <c r="O150" s="242" t="s">
        <v>21</v>
      </c>
      <c r="P150" s="243" t="s">
        <v>21</v>
      </c>
      <c r="Q150" s="242" t="s">
        <v>21</v>
      </c>
      <c r="R150" s="243" t="s">
        <v>21</v>
      </c>
      <c r="S150" s="307">
        <v>40</v>
      </c>
      <c r="T150" s="308">
        <v>40</v>
      </c>
      <c r="U150" s="307">
        <v>4</v>
      </c>
      <c r="V150" s="309">
        <v>4</v>
      </c>
      <c r="W150" s="216"/>
      <c r="X150" s="211" t="s">
        <v>199</v>
      </c>
      <c r="AB150" s="2" t="str">
        <f>IF(G150&gt;0,$F150,"")</f>
        <v>Frontière</v>
      </c>
    </row>
    <row r="151" spans="1:28" ht="15.75" customHeight="1">
      <c r="A151" s="20" t="str">
        <f t="shared" si="51"/>
        <v/>
      </c>
      <c r="B151" s="981"/>
      <c r="C151" s="984"/>
      <c r="D151" s="989"/>
      <c r="E151" s="961" t="s">
        <v>166</v>
      </c>
      <c r="F151" s="251" t="s">
        <v>203</v>
      </c>
      <c r="G151" s="252"/>
      <c r="H151" s="253"/>
      <c r="I151" s="254" t="e">
        <f t="shared" si="33"/>
        <v>#DIV/0!</v>
      </c>
      <c r="J151" s="255"/>
      <c r="K151" s="254" t="e">
        <f t="shared" si="34"/>
        <v>#DIV/0!</v>
      </c>
      <c r="L151" s="255"/>
      <c r="M151" s="254" t="e">
        <f t="shared" si="35"/>
        <v>#DIV/0!</v>
      </c>
      <c r="N151" s="851"/>
      <c r="O151" s="242"/>
      <c r="P151" s="243"/>
      <c r="Q151" s="242"/>
      <c r="R151" s="243"/>
      <c r="S151" s="724"/>
      <c r="T151" s="725"/>
      <c r="U151" s="724"/>
      <c r="V151" s="726"/>
      <c r="W151" s="216"/>
      <c r="X151" s="211"/>
      <c r="AB151" s="2" t="str">
        <f t="shared" si="47"/>
        <v/>
      </c>
    </row>
    <row r="152" spans="1:28" ht="15.75" customHeight="1">
      <c r="A152" s="20" t="str">
        <f t="shared" si="51"/>
        <v/>
      </c>
      <c r="B152" s="981"/>
      <c r="C152" s="984"/>
      <c r="D152" s="989"/>
      <c r="E152" s="961" t="s">
        <v>166</v>
      </c>
      <c r="F152" s="251" t="s">
        <v>203</v>
      </c>
      <c r="G152" s="252"/>
      <c r="H152" s="253"/>
      <c r="I152" s="254" t="e">
        <f t="shared" si="33"/>
        <v>#DIV/0!</v>
      </c>
      <c r="J152" s="255"/>
      <c r="K152" s="254" t="e">
        <f t="shared" si="34"/>
        <v>#DIV/0!</v>
      </c>
      <c r="L152" s="255"/>
      <c r="M152" s="254" t="e">
        <f t="shared" si="35"/>
        <v>#DIV/0!</v>
      </c>
      <c r="N152" s="851"/>
      <c r="O152" s="242"/>
      <c r="P152" s="243"/>
      <c r="Q152" s="242"/>
      <c r="R152" s="243"/>
      <c r="S152" s="724"/>
      <c r="T152" s="725"/>
      <c r="U152" s="724"/>
      <c r="V152" s="726"/>
      <c r="W152" s="216"/>
      <c r="X152" s="211"/>
      <c r="AB152" s="2" t="str">
        <f t="shared" si="47"/>
        <v/>
      </c>
    </row>
    <row r="153" spans="1:28" ht="15.75" customHeight="1">
      <c r="A153" s="20" t="str">
        <f t="shared" si="51"/>
        <v/>
      </c>
      <c r="B153" s="981"/>
      <c r="C153" s="984"/>
      <c r="D153" s="989"/>
      <c r="E153" s="902" t="s">
        <v>52</v>
      </c>
      <c r="F153" s="251" t="s">
        <v>61</v>
      </c>
      <c r="G153" s="252"/>
      <c r="H153" s="253"/>
      <c r="I153" s="254"/>
      <c r="J153" s="255"/>
      <c r="K153" s="254"/>
      <c r="L153" s="255"/>
      <c r="M153" s="254"/>
      <c r="N153" s="851"/>
      <c r="O153" s="242" t="s">
        <v>21</v>
      </c>
      <c r="P153" s="243" t="s">
        <v>21</v>
      </c>
      <c r="Q153" s="242" t="s">
        <v>21</v>
      </c>
      <c r="R153" s="243" t="s">
        <v>21</v>
      </c>
      <c r="S153" s="724"/>
      <c r="T153" s="725"/>
      <c r="U153" s="724"/>
      <c r="V153" s="726"/>
      <c r="W153" s="216"/>
      <c r="X153" s="211"/>
      <c r="AB153" s="2" t="str">
        <f t="shared" si="47"/>
        <v/>
      </c>
    </row>
    <row r="154" spans="1:28" ht="15.75" customHeight="1">
      <c r="A154" s="20" t="str">
        <f t="shared" si="51"/>
        <v/>
      </c>
      <c r="B154" s="981"/>
      <c r="C154" s="984"/>
      <c r="D154" s="989"/>
      <c r="E154" s="961" t="s">
        <v>166</v>
      </c>
      <c r="F154" s="251"/>
      <c r="G154" s="252"/>
      <c r="H154" s="253"/>
      <c r="I154" s="254"/>
      <c r="J154" s="255"/>
      <c r="K154" s="254"/>
      <c r="L154" s="255"/>
      <c r="M154" s="254"/>
      <c r="N154" s="851"/>
      <c r="O154" s="242"/>
      <c r="P154" s="243"/>
      <c r="Q154" s="242"/>
      <c r="R154" s="243"/>
      <c r="S154" s="724"/>
      <c r="T154" s="725"/>
      <c r="U154" s="724"/>
      <c r="V154" s="726"/>
      <c r="W154" s="216"/>
      <c r="X154" s="211"/>
    </row>
    <row r="155" spans="1:28" ht="15.75" customHeight="1">
      <c r="A155" s="20" t="str">
        <f t="shared" si="51"/>
        <v/>
      </c>
      <c r="B155" s="981"/>
      <c r="C155" s="984"/>
      <c r="D155" s="989"/>
      <c r="E155" s="961" t="s">
        <v>166</v>
      </c>
      <c r="F155" s="251"/>
      <c r="G155" s="252"/>
      <c r="H155" s="253"/>
      <c r="I155" s="254"/>
      <c r="J155" s="255"/>
      <c r="K155" s="254"/>
      <c r="L155" s="255"/>
      <c r="M155" s="254"/>
      <c r="N155" s="851"/>
      <c r="O155" s="242"/>
      <c r="P155" s="243"/>
      <c r="Q155" s="242"/>
      <c r="R155" s="243"/>
      <c r="S155" s="724"/>
      <c r="T155" s="725"/>
      <c r="U155" s="724"/>
      <c r="V155" s="726"/>
      <c r="W155" s="216"/>
      <c r="X155" s="211"/>
    </row>
    <row r="156" spans="1:28" ht="15.75" customHeight="1">
      <c r="A156" s="20" t="str">
        <f t="shared" si="51"/>
        <v/>
      </c>
      <c r="B156" s="981"/>
      <c r="C156" s="984"/>
      <c r="D156" s="989"/>
      <c r="E156" s="961" t="s">
        <v>166</v>
      </c>
      <c r="F156" s="251"/>
      <c r="G156" s="252"/>
      <c r="H156" s="253"/>
      <c r="I156" s="254"/>
      <c r="J156" s="255"/>
      <c r="K156" s="254"/>
      <c r="L156" s="255"/>
      <c r="M156" s="254"/>
      <c r="N156" s="851"/>
      <c r="O156" s="242"/>
      <c r="P156" s="243"/>
      <c r="Q156" s="242"/>
      <c r="R156" s="243"/>
      <c r="S156" s="724"/>
      <c r="T156" s="725"/>
      <c r="U156" s="724"/>
      <c r="V156" s="726"/>
      <c r="W156" s="216"/>
      <c r="X156" s="211"/>
    </row>
    <row r="157" spans="1:28" ht="15.75" customHeight="1">
      <c r="A157" s="20" t="str">
        <f t="shared" si="51"/>
        <v/>
      </c>
      <c r="B157" s="981"/>
      <c r="C157" s="984"/>
      <c r="D157" s="989"/>
      <c r="E157" s="961" t="s">
        <v>166</v>
      </c>
      <c r="F157" s="251"/>
      <c r="G157" s="252"/>
      <c r="H157" s="253"/>
      <c r="I157" s="254"/>
      <c r="J157" s="255"/>
      <c r="K157" s="254"/>
      <c r="L157" s="255"/>
      <c r="M157" s="254"/>
      <c r="N157" s="851"/>
      <c r="O157" s="242"/>
      <c r="P157" s="243"/>
      <c r="Q157" s="242"/>
      <c r="R157" s="243"/>
      <c r="S157" s="724"/>
      <c r="T157" s="725"/>
      <c r="U157" s="724"/>
      <c r="V157" s="726"/>
      <c r="W157" s="216"/>
      <c r="X157" s="211"/>
    </row>
    <row r="158" spans="1:28" ht="15.75" customHeight="1">
      <c r="A158" s="20" t="str">
        <f t="shared" si="51"/>
        <v/>
      </c>
      <c r="B158" s="981"/>
      <c r="C158" s="984"/>
      <c r="D158" s="990"/>
      <c r="E158" s="962" t="s">
        <v>166</v>
      </c>
      <c r="F158" s="459"/>
      <c r="G158" s="257"/>
      <c r="H158" s="258"/>
      <c r="I158" s="259"/>
      <c r="J158" s="260"/>
      <c r="K158" s="259"/>
      <c r="L158" s="260"/>
      <c r="M158" s="259"/>
      <c r="N158" s="856"/>
      <c r="O158" s="244"/>
      <c r="P158" s="245"/>
      <c r="Q158" s="244"/>
      <c r="R158" s="245"/>
      <c r="S158" s="727"/>
      <c r="T158" s="728"/>
      <c r="U158" s="727"/>
      <c r="V158" s="729"/>
      <c r="W158" s="216"/>
      <c r="X158" s="211"/>
    </row>
    <row r="159" spans="1:28" ht="16.5" thickBot="1">
      <c r="A159" s="20" t="str">
        <f t="shared" si="51"/>
        <v>S</v>
      </c>
      <c r="B159" s="982"/>
      <c r="C159" s="985"/>
      <c r="D159" s="875" t="s">
        <v>138</v>
      </c>
      <c r="E159" s="899"/>
      <c r="F159" s="204"/>
      <c r="G159" s="205">
        <f>SUM(G135:G158)</f>
        <v>1770</v>
      </c>
      <c r="H159" s="206">
        <f>SUM(H135:H158)</f>
        <v>1770</v>
      </c>
      <c r="I159" s="9">
        <f>J159/G159</f>
        <v>0.38587570621468925</v>
      </c>
      <c r="J159" s="214">
        <f>SUM(J135:J158)</f>
        <v>683</v>
      </c>
      <c r="K159" s="52">
        <f>L159/G159</f>
        <v>0.4101694915254237</v>
      </c>
      <c r="L159" s="214">
        <f>SUM(L135:L158)</f>
        <v>726</v>
      </c>
      <c r="M159" s="9">
        <f>N159/L159</f>
        <v>0.57851239669421484</v>
      </c>
      <c r="N159" s="214">
        <f t="shared" ref="N159:V159" si="55">SUM(N135:N158)</f>
        <v>420</v>
      </c>
      <c r="O159" s="131">
        <f t="shared" si="55"/>
        <v>0</v>
      </c>
      <c r="P159" s="132">
        <f t="shared" si="55"/>
        <v>0</v>
      </c>
      <c r="Q159" s="131">
        <f t="shared" si="55"/>
        <v>0</v>
      </c>
      <c r="R159" s="132">
        <f t="shared" si="55"/>
        <v>0</v>
      </c>
      <c r="S159" s="131">
        <f t="shared" si="55"/>
        <v>40</v>
      </c>
      <c r="T159" s="132">
        <f t="shared" si="55"/>
        <v>40</v>
      </c>
      <c r="U159" s="131">
        <f t="shared" si="55"/>
        <v>4</v>
      </c>
      <c r="V159" s="133">
        <f t="shared" si="55"/>
        <v>4</v>
      </c>
      <c r="W159" s="216"/>
      <c r="X159" s="211"/>
      <c r="Y159" s="211"/>
    </row>
    <row r="160" spans="1:28" s="15" customFormat="1" ht="27.75" customHeight="1" thickBot="1">
      <c r="A160" s="20" t="s">
        <v>106</v>
      </c>
      <c r="B160" s="103" t="s">
        <v>77</v>
      </c>
      <c r="C160" s="331"/>
      <c r="D160" s="331">
        <f>SUM(D66:D159)</f>
        <v>67</v>
      </c>
      <c r="E160" s="688" t="s">
        <v>79</v>
      </c>
      <c r="F160" s="396"/>
      <c r="G160" s="57">
        <f>G77+G85+G95+G109+G125+G134+G159</f>
        <v>3986</v>
      </c>
      <c r="H160" s="36">
        <f>H77+H85+H95+H109+H125+H134+H159</f>
        <v>3111</v>
      </c>
      <c r="I160" s="33">
        <f>J160/G160</f>
        <v>0.40466633216256898</v>
      </c>
      <c r="J160" s="34">
        <f>J77+J85+J95+J109+J125+J134+J159</f>
        <v>1613</v>
      </c>
      <c r="K160" s="33">
        <f>L160/G160</f>
        <v>0.37907676869041645</v>
      </c>
      <c r="L160" s="34">
        <f>L77+L85+L95+L109+L125+L134+L159</f>
        <v>1511</v>
      </c>
      <c r="M160" s="230">
        <f>N160/L160</f>
        <v>0.45598941098610191</v>
      </c>
      <c r="N160" s="34">
        <f t="shared" ref="N160:V160" si="56">N77+N85+N95+N109+N125+N134+N159</f>
        <v>689</v>
      </c>
      <c r="O160" s="35">
        <f t="shared" si="56"/>
        <v>46</v>
      </c>
      <c r="P160" s="36">
        <f t="shared" si="56"/>
        <v>22</v>
      </c>
      <c r="Q160" s="35">
        <f t="shared" si="56"/>
        <v>111</v>
      </c>
      <c r="R160" s="36">
        <f t="shared" si="56"/>
        <v>74</v>
      </c>
      <c r="S160" s="35">
        <f t="shared" si="56"/>
        <v>1470</v>
      </c>
      <c r="T160" s="36">
        <f t="shared" si="56"/>
        <v>953</v>
      </c>
      <c r="U160" s="35">
        <f t="shared" si="56"/>
        <v>141</v>
      </c>
      <c r="V160" s="37">
        <f t="shared" si="56"/>
        <v>89</v>
      </c>
      <c r="W160" s="217"/>
      <c r="X160" s="212"/>
      <c r="Y160" s="212"/>
      <c r="AB160" s="2"/>
    </row>
    <row r="161" spans="1:28" s="378" customFormat="1" ht="31.5" customHeight="1" thickBot="1">
      <c r="A161" s="20" t="s">
        <v>106</v>
      </c>
      <c r="B161" s="368" t="s">
        <v>66</v>
      </c>
      <c r="C161" s="369"/>
      <c r="D161" s="369">
        <f>D160+D65</f>
        <v>87</v>
      </c>
      <c r="E161" s="689" t="s">
        <v>79</v>
      </c>
      <c r="F161" s="388"/>
      <c r="G161" s="370">
        <f>G65+G160</f>
        <v>4581</v>
      </c>
      <c r="H161" s="371">
        <f>H65+H160</f>
        <v>3526</v>
      </c>
      <c r="I161" s="372">
        <f>J161/G161</f>
        <v>0.38921632831259551</v>
      </c>
      <c r="J161" s="373">
        <f>J65+J160</f>
        <v>1783</v>
      </c>
      <c r="K161" s="372">
        <f>L161/G161</f>
        <v>0.36280288146692863</v>
      </c>
      <c r="L161" s="373">
        <f>L65+L160</f>
        <v>1662</v>
      </c>
      <c r="M161" s="374">
        <f>N161/L161</f>
        <v>0.43321299638989169</v>
      </c>
      <c r="N161" s="373">
        <f t="shared" ref="N161:V161" si="57">N65+N160</f>
        <v>720</v>
      </c>
      <c r="O161" s="375">
        <f t="shared" si="57"/>
        <v>46</v>
      </c>
      <c r="P161" s="371">
        <f t="shared" si="57"/>
        <v>22</v>
      </c>
      <c r="Q161" s="375">
        <f t="shared" si="57"/>
        <v>111</v>
      </c>
      <c r="R161" s="371">
        <f t="shared" si="57"/>
        <v>74</v>
      </c>
      <c r="S161" s="375">
        <f t="shared" si="57"/>
        <v>1470</v>
      </c>
      <c r="T161" s="371">
        <f t="shared" si="57"/>
        <v>953</v>
      </c>
      <c r="U161" s="375">
        <f t="shared" si="57"/>
        <v>141</v>
      </c>
      <c r="V161" s="376">
        <f t="shared" si="57"/>
        <v>89</v>
      </c>
      <c r="W161" s="377"/>
      <c r="AB161" s="2"/>
    </row>
    <row r="162" spans="1:28">
      <c r="A162" s="20" t="s">
        <v>106</v>
      </c>
      <c r="B162" s="5"/>
      <c r="C162" s="14"/>
      <c r="D162" s="14"/>
      <c r="E162" s="5"/>
      <c r="F162" s="14"/>
      <c r="G162" s="58"/>
      <c r="H162" s="58"/>
      <c r="I162" s="59"/>
      <c r="J162" s="59"/>
      <c r="K162" s="59"/>
      <c r="L162" s="59"/>
      <c r="M162" s="992" t="s">
        <v>68</v>
      </c>
      <c r="N162" s="992"/>
      <c r="O162" s="58"/>
      <c r="P162" s="58"/>
      <c r="Q162" s="58"/>
      <c r="R162" s="58"/>
      <c r="S162" s="58"/>
      <c r="T162" s="58"/>
      <c r="U162" s="58"/>
      <c r="V162" s="58"/>
      <c r="AB162" s="2" t="str">
        <f t="shared" si="47"/>
        <v/>
      </c>
    </row>
    <row r="163" spans="1:28">
      <c r="A163" s="20" t="s">
        <v>106</v>
      </c>
      <c r="E163" s="211"/>
      <c r="F163" s="1"/>
    </row>
    <row r="164" spans="1:28">
      <c r="A164" s="20" t="s">
        <v>106</v>
      </c>
      <c r="E164" s="26" t="s">
        <v>205</v>
      </c>
      <c r="F164" s="413" t="s">
        <v>204</v>
      </c>
    </row>
    <row r="165" spans="1:28">
      <c r="A165" s="20" t="s">
        <v>106</v>
      </c>
      <c r="E165" s="235" t="s">
        <v>60</v>
      </c>
      <c r="F165" s="775">
        <f>COUNTIF(AB$5:AB$153,$E164)</f>
        <v>0</v>
      </c>
    </row>
    <row r="166" spans="1:28">
      <c r="A166" s="20" t="s">
        <v>106</v>
      </c>
      <c r="E166" s="1" t="s">
        <v>61</v>
      </c>
      <c r="F166" s="2">
        <f>COUNTIF(AB$5:AB$153,$E165)</f>
        <v>19</v>
      </c>
    </row>
    <row r="167" spans="1:28" ht="15.75" thickBot="1">
      <c r="A167" s="20" t="s">
        <v>106</v>
      </c>
      <c r="E167" s="551" t="s">
        <v>62</v>
      </c>
      <c r="F167" s="552">
        <f>COUNTIF(AB$5:AB$153,$E166)</f>
        <v>4</v>
      </c>
    </row>
    <row r="168" spans="1:28">
      <c r="A168" s="20" t="s">
        <v>106</v>
      </c>
      <c r="E168" s="553" t="s">
        <v>66</v>
      </c>
      <c r="F168" s="776">
        <f t="shared" ref="F168" si="58">SUM(F165:F167)</f>
        <v>23</v>
      </c>
    </row>
    <row r="169" spans="1:28">
      <c r="E169" s="520"/>
    </row>
    <row r="170" spans="1:28">
      <c r="E170" s="520"/>
    </row>
    <row r="171" spans="1:28">
      <c r="E171" s="520"/>
    </row>
    <row r="172" spans="1:28">
      <c r="E172" s="520"/>
    </row>
    <row r="175" spans="1:28" ht="15" customHeight="1"/>
    <row r="176" spans="1:28" ht="15" customHeight="1"/>
    <row r="177" spans="1:28" ht="15" customHeight="1">
      <c r="A177" s="1"/>
      <c r="C177" s="1"/>
      <c r="D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AB177" s="1"/>
    </row>
    <row r="178" spans="1:28" ht="15" customHeight="1">
      <c r="A178" s="1"/>
      <c r="C178" s="1"/>
      <c r="D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AB178" s="1"/>
    </row>
    <row r="179" spans="1:28" ht="15" customHeight="1">
      <c r="A179" s="1"/>
      <c r="C179" s="1"/>
      <c r="D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AB179" s="1"/>
    </row>
    <row r="180" spans="1:28" ht="15" customHeight="1">
      <c r="A180" s="1"/>
      <c r="C180" s="1"/>
      <c r="D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AB180" s="1"/>
    </row>
    <row r="181" spans="1:28" ht="15" customHeight="1">
      <c r="A181" s="1"/>
      <c r="C181" s="1"/>
      <c r="D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AB181" s="1"/>
    </row>
    <row r="182" spans="1:28" ht="15" customHeight="1">
      <c r="A182" s="1"/>
      <c r="C182" s="1"/>
      <c r="D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AB182" s="1"/>
    </row>
    <row r="183" spans="1:28" ht="15" customHeight="1">
      <c r="A183" s="1"/>
      <c r="C183" s="1"/>
      <c r="D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AB183" s="1"/>
    </row>
    <row r="184" spans="1:28" ht="15.75" customHeight="1">
      <c r="A184" s="1"/>
      <c r="C184" s="1"/>
      <c r="D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AB184" s="1"/>
    </row>
    <row r="185" spans="1:28" ht="15.75" customHeight="1">
      <c r="A185" s="1"/>
      <c r="C185" s="1"/>
      <c r="D185" s="1"/>
      <c r="E185" s="568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AB185" s="1"/>
    </row>
    <row r="186" spans="1:28" ht="15" customHeight="1">
      <c r="A186" s="1"/>
      <c r="C186" s="1"/>
      <c r="D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AB186" s="1"/>
    </row>
    <row r="187" spans="1:28" ht="15" customHeight="1">
      <c r="A187" s="1"/>
      <c r="C187" s="1"/>
      <c r="D187" s="1"/>
      <c r="E187" s="520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AB187" s="1"/>
    </row>
    <row r="188" spans="1:28" ht="15" customHeight="1">
      <c r="A188" s="1"/>
      <c r="C188" s="1"/>
      <c r="D188" s="1"/>
      <c r="E188" s="520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AB188" s="1"/>
    </row>
    <row r="189" spans="1:28" ht="15" customHeight="1">
      <c r="A189" s="1"/>
      <c r="C189" s="1"/>
      <c r="D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AB189" s="1"/>
    </row>
    <row r="201" spans="5:5">
      <c r="E201" s="568"/>
    </row>
    <row r="203" spans="5:5">
      <c r="E203" s="520"/>
    </row>
    <row r="204" spans="5:5">
      <c r="E204" s="520"/>
    </row>
    <row r="217" spans="5:5">
      <c r="E217" s="568"/>
    </row>
    <row r="219" spans="5:5">
      <c r="E219" s="520"/>
    </row>
    <row r="220" spans="5:5">
      <c r="E220" s="520"/>
    </row>
    <row r="233" spans="5:5">
      <c r="E233" s="568"/>
    </row>
  </sheetData>
  <sheetProtection password="D0CE" sheet="1" objects="1" scenarios="1"/>
  <autoFilter ref="A1:V167"/>
  <mergeCells count="53">
    <mergeCell ref="B5:B8"/>
    <mergeCell ref="C5:C8"/>
    <mergeCell ref="B9:B12"/>
    <mergeCell ref="C9:C12"/>
    <mergeCell ref="B2:B4"/>
    <mergeCell ref="C2:C4"/>
    <mergeCell ref="M162:N162"/>
    <mergeCell ref="B126:B134"/>
    <mergeCell ref="C126:C134"/>
    <mergeCell ref="B110:B125"/>
    <mergeCell ref="C110:C125"/>
    <mergeCell ref="B135:B159"/>
    <mergeCell ref="C135:C159"/>
    <mergeCell ref="D2:D4"/>
    <mergeCell ref="E2:E4"/>
    <mergeCell ref="F2:F4"/>
    <mergeCell ref="G2:H2"/>
    <mergeCell ref="O2:P2"/>
    <mergeCell ref="S2:T2"/>
    <mergeCell ref="U2:V2"/>
    <mergeCell ref="I2:I4"/>
    <mergeCell ref="J2:J4"/>
    <mergeCell ref="K2:K4"/>
    <mergeCell ref="L2:L4"/>
    <mergeCell ref="M2:M4"/>
    <mergeCell ref="N2:N4"/>
    <mergeCell ref="Q2:R2"/>
    <mergeCell ref="B13:B34"/>
    <mergeCell ref="C13:C34"/>
    <mergeCell ref="B66:B77"/>
    <mergeCell ref="C66:C77"/>
    <mergeCell ref="B78:B85"/>
    <mergeCell ref="C78:C85"/>
    <mergeCell ref="B35:B49"/>
    <mergeCell ref="B50:B64"/>
    <mergeCell ref="C35:C49"/>
    <mergeCell ref="C50:C64"/>
    <mergeCell ref="D5:D7"/>
    <mergeCell ref="D9:D11"/>
    <mergeCell ref="D13:D33"/>
    <mergeCell ref="D35:D48"/>
    <mergeCell ref="D50:D63"/>
    <mergeCell ref="C86:C95"/>
    <mergeCell ref="B86:B95"/>
    <mergeCell ref="D135:D158"/>
    <mergeCell ref="D86:D94"/>
    <mergeCell ref="D66:D76"/>
    <mergeCell ref="D96:D108"/>
    <mergeCell ref="D110:D124"/>
    <mergeCell ref="D126:D133"/>
    <mergeCell ref="D78:D84"/>
    <mergeCell ref="B96:B109"/>
    <mergeCell ref="C96:C109"/>
  </mergeCells>
  <pageMargins left="0.23622047244094491" right="0.23622047244094491" top="0.35433070866141736" bottom="0.15748031496062992" header="0.31496062992125984" footer="0.31496062992125984"/>
  <pageSetup paperSize="9" scale="21" orientation="landscape" horizontalDpi="300" verticalDpi="300" r:id="rId1"/>
  <ignoredErrors>
    <ignoredError sqref="I161 I64 M49 M65 I65 I159 K148:K149 M148:M149 I160 K160 I95 H101 H96:I100 K96:K100 M96:M100 I73 K73 M160 I134 I109 I105:M105 M77 I77 I113:M115 M68:M70 K68:K70 I68:I70 I101:M102 J117:J118 I126:M127 L117:L118 K65 M73 I121:M121 I130:M130 K95 M95 K64 M64 K77 I125 K125 M125 K134 M134 K159 M159 K161 M161" formula="1"/>
    <ignoredError sqref="I49 M109 K109 K49" formula="1" formulaRange="1"/>
    <ignoredError sqref="I45:K45 I66:K67 I9:M9 I8 K8 M8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B233"/>
  <sheetViews>
    <sheetView view="pageBreakPreview" zoomScale="90" zoomScaleNormal="55" zoomScaleSheetLayoutView="90" workbookViewId="0">
      <pane xSplit="6" ySplit="4" topLeftCell="G5" activePane="bottomRight" state="frozen"/>
      <selection activeCell="B2" sqref="B2:B4"/>
      <selection pane="topRight" activeCell="B2" sqref="B2:B4"/>
      <selection pane="bottomLeft" activeCell="B2" sqref="B2:B4"/>
      <selection pane="bottomRight" activeCell="B2" sqref="B2:B4"/>
    </sheetView>
  </sheetViews>
  <sheetFormatPr baseColWidth="10" defaultRowHeight="15"/>
  <cols>
    <col min="1" max="1" width="3" style="20" customWidth="1"/>
    <col min="2" max="2" width="33.7109375" style="1" customWidth="1"/>
    <col min="3" max="3" width="11.5703125" style="2" customWidth="1"/>
    <col min="4" max="4" width="8.42578125" style="2" customWidth="1"/>
    <col min="5" max="5" width="44.85546875" style="1" customWidth="1"/>
    <col min="6" max="6" width="11.140625" style="2" customWidth="1"/>
    <col min="7" max="7" width="11.42578125" style="2"/>
    <col min="8" max="8" width="11.42578125" style="2" customWidth="1"/>
    <col min="9" max="9" width="11.42578125" style="3" customWidth="1"/>
    <col min="10" max="10" width="11.42578125" style="4" customWidth="1"/>
    <col min="11" max="11" width="11.42578125" style="3" customWidth="1"/>
    <col min="12" max="12" width="11.42578125" style="4" customWidth="1"/>
    <col min="13" max="13" width="11.42578125" style="3" customWidth="1"/>
    <col min="14" max="14" width="11.42578125" style="4" customWidth="1"/>
    <col min="15" max="22" width="7.5703125" style="2" customWidth="1"/>
    <col min="23" max="23" width="5.28515625" style="2" customWidth="1"/>
    <col min="24" max="25" width="11.42578125" style="1"/>
    <col min="26" max="27" width="11.42578125" style="1" customWidth="1"/>
    <col min="28" max="28" width="0" style="2" hidden="1" customWidth="1"/>
    <col min="29" max="16384" width="11.42578125" style="1"/>
  </cols>
  <sheetData>
    <row r="1" spans="1:28" s="20" customFormat="1" ht="17.25" customHeight="1" thickBot="1">
      <c r="C1" s="23"/>
      <c r="D1" s="23"/>
      <c r="E1" s="23">
        <v>7</v>
      </c>
      <c r="F1" s="23"/>
      <c r="G1" s="23"/>
      <c r="H1" s="23"/>
      <c r="I1" s="24"/>
      <c r="J1" s="25"/>
      <c r="K1" s="24"/>
      <c r="L1" s="25"/>
      <c r="M1" s="24"/>
      <c r="N1" s="25"/>
      <c r="O1" s="23"/>
      <c r="P1" s="23"/>
      <c r="Q1" s="23"/>
      <c r="R1" s="23"/>
      <c r="S1" s="23"/>
      <c r="T1" s="23"/>
      <c r="U1" s="23"/>
      <c r="V1" s="23"/>
      <c r="W1" s="23"/>
      <c r="AB1" s="23"/>
    </row>
    <row r="2" spans="1:28" s="6" customFormat="1" ht="30" customHeight="1" thickBot="1">
      <c r="A2" s="21" t="s">
        <v>106</v>
      </c>
      <c r="B2" s="1003" t="s">
        <v>53</v>
      </c>
      <c r="C2" s="1006" t="s">
        <v>74</v>
      </c>
      <c r="D2" s="1006" t="s">
        <v>69</v>
      </c>
      <c r="E2" s="999" t="s">
        <v>79</v>
      </c>
      <c r="F2" s="995" t="s">
        <v>59</v>
      </c>
      <c r="G2" s="1020" t="s">
        <v>54</v>
      </c>
      <c r="H2" s="1005"/>
      <c r="I2" s="1021" t="s">
        <v>55</v>
      </c>
      <c r="J2" s="998" t="s">
        <v>63</v>
      </c>
      <c r="K2" s="1021" t="s">
        <v>56</v>
      </c>
      <c r="L2" s="998" t="s">
        <v>65</v>
      </c>
      <c r="M2" s="1021" t="s">
        <v>57</v>
      </c>
      <c r="N2" s="998" t="s">
        <v>64</v>
      </c>
      <c r="O2" s="1004" t="s">
        <v>39</v>
      </c>
      <c r="P2" s="1005"/>
      <c r="Q2" s="1004" t="s">
        <v>40</v>
      </c>
      <c r="R2" s="1005"/>
      <c r="S2" s="1004" t="s">
        <v>41</v>
      </c>
      <c r="T2" s="1005"/>
      <c r="U2" s="995" t="s">
        <v>42</v>
      </c>
      <c r="V2" s="1019"/>
      <c r="W2" s="215"/>
      <c r="AB2" s="500"/>
    </row>
    <row r="3" spans="1:28" s="6" customFormat="1" ht="30" customHeight="1" thickBot="1">
      <c r="A3" s="21" t="s">
        <v>106</v>
      </c>
      <c r="B3" s="1003"/>
      <c r="C3" s="1006"/>
      <c r="D3" s="1006"/>
      <c r="E3" s="999"/>
      <c r="F3" s="996"/>
      <c r="G3" s="110"/>
      <c r="H3" s="107"/>
      <c r="I3" s="1021"/>
      <c r="J3" s="998"/>
      <c r="K3" s="1021"/>
      <c r="L3" s="998"/>
      <c r="M3" s="1021"/>
      <c r="N3" s="998"/>
      <c r="O3" s="106"/>
      <c r="P3" s="107"/>
      <c r="Q3" s="106"/>
      <c r="R3" s="107"/>
      <c r="S3" s="106"/>
      <c r="T3" s="107"/>
      <c r="U3" s="274"/>
      <c r="V3" s="275"/>
      <c r="W3" s="215"/>
      <c r="AB3" s="500"/>
    </row>
    <row r="4" spans="1:28" s="6" customFormat="1" ht="30" customHeight="1" thickBot="1">
      <c r="A4" s="21" t="s">
        <v>106</v>
      </c>
      <c r="B4" s="1003"/>
      <c r="C4" s="1006"/>
      <c r="D4" s="1006"/>
      <c r="E4" s="999"/>
      <c r="F4" s="997"/>
      <c r="G4" s="10" t="s">
        <v>43</v>
      </c>
      <c r="H4" s="11" t="s">
        <v>44</v>
      </c>
      <c r="I4" s="1021"/>
      <c r="J4" s="998"/>
      <c r="K4" s="1021"/>
      <c r="L4" s="998"/>
      <c r="M4" s="1021"/>
      <c r="N4" s="998"/>
      <c r="O4" s="12" t="s">
        <v>43</v>
      </c>
      <c r="P4" s="11" t="s">
        <v>44</v>
      </c>
      <c r="Q4" s="12" t="s">
        <v>43</v>
      </c>
      <c r="R4" s="11" t="s">
        <v>44</v>
      </c>
      <c r="S4" s="12" t="s">
        <v>43</v>
      </c>
      <c r="T4" s="11" t="s">
        <v>44</v>
      </c>
      <c r="U4" s="12" t="s">
        <v>43</v>
      </c>
      <c r="V4" s="13" t="s">
        <v>44</v>
      </c>
      <c r="W4" s="215"/>
      <c r="AB4" s="500">
        <v>2020</v>
      </c>
    </row>
    <row r="5" spans="1:28" ht="15.75" customHeight="1">
      <c r="A5" s="20" t="str">
        <f t="shared" ref="A5:A49" si="0">IF(D5="Sous-total","S",IF(G5="","","X"))</f>
        <v>X</v>
      </c>
      <c r="B5" s="1012" t="s">
        <v>70</v>
      </c>
      <c r="C5" s="1015" t="s">
        <v>75</v>
      </c>
      <c r="D5" s="1000">
        <v>2</v>
      </c>
      <c r="E5" s="628" t="s">
        <v>71</v>
      </c>
      <c r="F5" s="631" t="s">
        <v>60</v>
      </c>
      <c r="G5" s="752">
        <v>72</v>
      </c>
      <c r="H5" s="753">
        <v>72</v>
      </c>
      <c r="I5" s="505" t="str">
        <f t="shared" ref="I5:I45" si="1">IF(J5="","",J5/G5)</f>
        <v/>
      </c>
      <c r="J5" s="754"/>
      <c r="K5" s="504" t="str">
        <f t="shared" ref="K5:K49" si="2">IF(L5="","",L5/G5)</f>
        <v/>
      </c>
      <c r="L5" s="754"/>
      <c r="M5" s="504" t="str">
        <f t="shared" ref="M5:M49" si="3">IF(N5="","",N5/L5)</f>
        <v/>
      </c>
      <c r="N5" s="754"/>
      <c r="O5" s="755"/>
      <c r="P5" s="756"/>
      <c r="Q5" s="755"/>
      <c r="R5" s="756"/>
      <c r="S5" s="757" t="s">
        <v>21</v>
      </c>
      <c r="T5" s="758" t="s">
        <v>21</v>
      </c>
      <c r="U5" s="757" t="s">
        <v>21</v>
      </c>
      <c r="V5" s="759" t="s">
        <v>21</v>
      </c>
      <c r="W5" s="216"/>
      <c r="AB5" s="2" t="str">
        <f>IF(G5&lt;&gt;"",$F5,"")</f>
        <v>France</v>
      </c>
    </row>
    <row r="6" spans="1:28" ht="15.75" customHeight="1">
      <c r="A6" s="20" t="str">
        <f t="shared" si="0"/>
        <v/>
      </c>
      <c r="B6" s="1013"/>
      <c r="C6" s="1016"/>
      <c r="D6" s="991"/>
      <c r="E6" s="961" t="s">
        <v>166</v>
      </c>
      <c r="F6" s="251"/>
      <c r="G6" s="252"/>
      <c r="H6" s="253"/>
      <c r="I6" s="747"/>
      <c r="J6" s="255"/>
      <c r="K6" s="254"/>
      <c r="L6" s="255"/>
      <c r="M6" s="254"/>
      <c r="N6" s="851"/>
      <c r="O6" s="242"/>
      <c r="P6" s="243"/>
      <c r="Q6" s="242"/>
      <c r="R6" s="243"/>
      <c r="S6" s="724" t="s">
        <v>21</v>
      </c>
      <c r="T6" s="725" t="s">
        <v>21</v>
      </c>
      <c r="U6" s="724" t="s">
        <v>21</v>
      </c>
      <c r="V6" s="726" t="s">
        <v>21</v>
      </c>
      <c r="W6" s="216"/>
    </row>
    <row r="7" spans="1:28" ht="15.75" customHeight="1">
      <c r="A7" s="20" t="str">
        <f t="shared" si="0"/>
        <v/>
      </c>
      <c r="B7" s="1013"/>
      <c r="C7" s="1016"/>
      <c r="D7" s="991"/>
      <c r="E7" s="962" t="s">
        <v>166</v>
      </c>
      <c r="F7" s="459"/>
      <c r="G7" s="257"/>
      <c r="H7" s="258"/>
      <c r="I7" s="748"/>
      <c r="J7" s="260"/>
      <c r="K7" s="259"/>
      <c r="L7" s="260"/>
      <c r="M7" s="259"/>
      <c r="N7" s="856"/>
      <c r="O7" s="244"/>
      <c r="P7" s="245"/>
      <c r="Q7" s="244"/>
      <c r="R7" s="245"/>
      <c r="S7" s="727" t="s">
        <v>21</v>
      </c>
      <c r="T7" s="728" t="s">
        <v>21</v>
      </c>
      <c r="U7" s="727" t="s">
        <v>21</v>
      </c>
      <c r="V7" s="729" t="s">
        <v>21</v>
      </c>
      <c r="W7" s="216"/>
    </row>
    <row r="8" spans="1:28" ht="15.75">
      <c r="A8" s="20" t="str">
        <f t="shared" si="0"/>
        <v>S</v>
      </c>
      <c r="B8" s="1013"/>
      <c r="C8" s="1017"/>
      <c r="D8" s="332" t="s">
        <v>138</v>
      </c>
      <c r="E8" s="896"/>
      <c r="F8" s="16"/>
      <c r="G8" s="265">
        <f>SUM(G5:G7)</f>
        <v>72</v>
      </c>
      <c r="H8" s="121">
        <f>SUM(H5:H7)</f>
        <v>72</v>
      </c>
      <c r="I8" s="9">
        <f t="shared" si="1"/>
        <v>0</v>
      </c>
      <c r="J8" s="213">
        <f>SUM(J5:J7)</f>
        <v>0</v>
      </c>
      <c r="K8" s="9">
        <f t="shared" si="2"/>
        <v>0</v>
      </c>
      <c r="L8" s="213">
        <f>SUM(L5:L7)</f>
        <v>0</v>
      </c>
      <c r="M8" s="9" t="e">
        <f t="shared" si="3"/>
        <v>#DIV/0!</v>
      </c>
      <c r="N8" s="213">
        <f t="shared" ref="N8:V8" si="4">SUM(N5:N7)</f>
        <v>0</v>
      </c>
      <c r="O8" s="120">
        <f t="shared" si="4"/>
        <v>0</v>
      </c>
      <c r="P8" s="121">
        <f t="shared" si="4"/>
        <v>0</v>
      </c>
      <c r="Q8" s="120">
        <f t="shared" si="4"/>
        <v>0</v>
      </c>
      <c r="R8" s="121">
        <f t="shared" si="4"/>
        <v>0</v>
      </c>
      <c r="S8" s="120">
        <f t="shared" si="4"/>
        <v>0</v>
      </c>
      <c r="T8" s="121">
        <f t="shared" si="4"/>
        <v>0</v>
      </c>
      <c r="U8" s="120">
        <f t="shared" si="4"/>
        <v>0</v>
      </c>
      <c r="V8" s="122">
        <f t="shared" si="4"/>
        <v>0</v>
      </c>
      <c r="W8" s="216"/>
    </row>
    <row r="9" spans="1:28" ht="15.75" customHeight="1">
      <c r="A9" s="20" t="str">
        <f t="shared" si="0"/>
        <v>X</v>
      </c>
      <c r="B9" s="1013" t="s">
        <v>163</v>
      </c>
      <c r="C9" s="1016" t="s">
        <v>75</v>
      </c>
      <c r="D9" s="991"/>
      <c r="E9" s="901" t="s">
        <v>164</v>
      </c>
      <c r="F9" s="246" t="s">
        <v>60</v>
      </c>
      <c r="G9" s="247">
        <v>20</v>
      </c>
      <c r="H9" s="248">
        <v>9</v>
      </c>
      <c r="I9" s="439">
        <f t="shared" si="1"/>
        <v>0.4</v>
      </c>
      <c r="J9" s="250">
        <v>8</v>
      </c>
      <c r="K9" s="249">
        <f t="shared" si="2"/>
        <v>0.2</v>
      </c>
      <c r="L9" s="250">
        <v>4</v>
      </c>
      <c r="M9" s="249">
        <f t="shared" si="3"/>
        <v>0.5</v>
      </c>
      <c r="N9" s="846">
        <v>2</v>
      </c>
      <c r="O9" s="240"/>
      <c r="P9" s="241"/>
      <c r="Q9" s="240"/>
      <c r="R9" s="241"/>
      <c r="S9" s="721" t="s">
        <v>21</v>
      </c>
      <c r="T9" s="722" t="s">
        <v>21</v>
      </c>
      <c r="U9" s="721" t="s">
        <v>21</v>
      </c>
      <c r="V9" s="723" t="s">
        <v>21</v>
      </c>
      <c r="W9" s="216" t="s">
        <v>206</v>
      </c>
      <c r="AB9" s="2" t="str">
        <f t="shared" ref="AB9:AB89" si="5">IF(G9&lt;&gt;"",$F9,"")</f>
        <v>France</v>
      </c>
    </row>
    <row r="10" spans="1:28" ht="15.75" customHeight="1">
      <c r="A10" s="20" t="str">
        <f t="shared" si="0"/>
        <v/>
      </c>
      <c r="B10" s="1013"/>
      <c r="C10" s="1016"/>
      <c r="D10" s="991"/>
      <c r="E10" s="902"/>
      <c r="F10" s="251"/>
      <c r="G10" s="252"/>
      <c r="H10" s="253"/>
      <c r="I10" s="747"/>
      <c r="J10" s="851"/>
      <c r="K10" s="254"/>
      <c r="L10" s="255"/>
      <c r="M10" s="254"/>
      <c r="N10" s="851"/>
      <c r="O10" s="242"/>
      <c r="P10" s="243"/>
      <c r="Q10" s="242"/>
      <c r="R10" s="243"/>
      <c r="S10" s="724" t="s">
        <v>21</v>
      </c>
      <c r="T10" s="725" t="s">
        <v>21</v>
      </c>
      <c r="U10" s="724" t="s">
        <v>21</v>
      </c>
      <c r="V10" s="726" t="s">
        <v>21</v>
      </c>
      <c r="W10" s="216"/>
    </row>
    <row r="11" spans="1:28" ht="15.75" customHeight="1">
      <c r="A11" s="20" t="str">
        <f t="shared" si="0"/>
        <v/>
      </c>
      <c r="B11" s="1013"/>
      <c r="C11" s="1016"/>
      <c r="D11" s="991"/>
      <c r="E11" s="911"/>
      <c r="F11" s="459"/>
      <c r="G11" s="257"/>
      <c r="H11" s="258"/>
      <c r="I11" s="748"/>
      <c r="J11" s="856"/>
      <c r="K11" s="259"/>
      <c r="L11" s="260"/>
      <c r="M11" s="259"/>
      <c r="N11" s="856"/>
      <c r="O11" s="244"/>
      <c r="P11" s="245"/>
      <c r="Q11" s="244"/>
      <c r="R11" s="245"/>
      <c r="S11" s="727" t="s">
        <v>21</v>
      </c>
      <c r="T11" s="728" t="s">
        <v>21</v>
      </c>
      <c r="U11" s="727" t="s">
        <v>21</v>
      </c>
      <c r="V11" s="729" t="s">
        <v>21</v>
      </c>
      <c r="W11" s="216"/>
    </row>
    <row r="12" spans="1:28" ht="15.75">
      <c r="A12" s="20" t="str">
        <f t="shared" si="0"/>
        <v>S</v>
      </c>
      <c r="B12" s="1014"/>
      <c r="C12" s="1017"/>
      <c r="D12" s="332" t="s">
        <v>138</v>
      </c>
      <c r="E12" s="896"/>
      <c r="F12" s="16"/>
      <c r="G12" s="858">
        <f>SUM(G9:G11)</f>
        <v>20</v>
      </c>
      <c r="H12" s="816">
        <f>SUM(H9:H11)</f>
        <v>9</v>
      </c>
      <c r="I12" s="785">
        <f t="shared" ref="I12" si="6">IF(J12="","",J12/G12)</f>
        <v>0.4</v>
      </c>
      <c r="J12" s="827">
        <f>SUM(J9:J11)</f>
        <v>8</v>
      </c>
      <c r="K12" s="785">
        <f t="shared" ref="K12" si="7">IF(L12="","",L12/G12)</f>
        <v>0.2</v>
      </c>
      <c r="L12" s="827">
        <f>SUM(L9:L11)</f>
        <v>4</v>
      </c>
      <c r="M12" s="785">
        <f t="shared" ref="M12" si="8">IF(N12="","",N12/L12)</f>
        <v>0.5</v>
      </c>
      <c r="N12" s="827">
        <f t="shared" ref="N12" si="9">SUM(N9:N11)</f>
        <v>2</v>
      </c>
      <c r="O12" s="815">
        <f t="shared" ref="O12" si="10">SUM(O9:O11)</f>
        <v>0</v>
      </c>
      <c r="P12" s="816">
        <f t="shared" ref="P12" si="11">SUM(P9:P11)</f>
        <v>0</v>
      </c>
      <c r="Q12" s="815">
        <f t="shared" ref="Q12" si="12">SUM(Q9:Q11)</f>
        <v>0</v>
      </c>
      <c r="R12" s="816">
        <f t="shared" ref="R12" si="13">SUM(R9:R11)</f>
        <v>0</v>
      </c>
      <c r="S12" s="815">
        <f t="shared" ref="S12" si="14">SUM(S9:S11)</f>
        <v>0</v>
      </c>
      <c r="T12" s="816">
        <f t="shared" ref="T12" si="15">SUM(T9:T11)</f>
        <v>0</v>
      </c>
      <c r="U12" s="815">
        <f t="shared" ref="U12" si="16">SUM(U9:U11)</f>
        <v>0</v>
      </c>
      <c r="V12" s="817">
        <f t="shared" ref="V12" si="17">SUM(V9:V11)</f>
        <v>0</v>
      </c>
      <c r="W12" s="216" t="s">
        <v>206</v>
      </c>
    </row>
    <row r="13" spans="1:28" ht="15" customHeight="1">
      <c r="A13" s="20" t="str">
        <f t="shared" si="0"/>
        <v>X</v>
      </c>
      <c r="B13" s="1007" t="s">
        <v>168</v>
      </c>
      <c r="C13" s="1009" t="s">
        <v>75</v>
      </c>
      <c r="D13" s="1001">
        <v>18</v>
      </c>
      <c r="E13" s="901" t="s">
        <v>182</v>
      </c>
      <c r="F13" s="246" t="s">
        <v>60</v>
      </c>
      <c r="G13" s="763">
        <v>23</v>
      </c>
      <c r="H13" s="764">
        <f>G13</f>
        <v>23</v>
      </c>
      <c r="I13" s="439">
        <f t="shared" si="1"/>
        <v>0.47826086956521741</v>
      </c>
      <c r="J13" s="765">
        <v>11</v>
      </c>
      <c r="K13" s="249">
        <f t="shared" si="2"/>
        <v>0.47826086956521741</v>
      </c>
      <c r="L13" s="765">
        <v>11</v>
      </c>
      <c r="M13" s="249">
        <f t="shared" si="3"/>
        <v>0.90909090909090906</v>
      </c>
      <c r="N13" s="846">
        <v>10</v>
      </c>
      <c r="O13" s="240">
        <v>0</v>
      </c>
      <c r="P13" s="241"/>
      <c r="Q13" s="240"/>
      <c r="R13" s="241"/>
      <c r="S13" s="721"/>
      <c r="T13" s="722"/>
      <c r="U13" s="721"/>
      <c r="V13" s="723"/>
      <c r="W13" s="216" t="s">
        <v>206</v>
      </c>
      <c r="AB13" s="2" t="str">
        <f t="shared" si="5"/>
        <v>France</v>
      </c>
    </row>
    <row r="14" spans="1:28" ht="15" customHeight="1">
      <c r="A14" s="20" t="str">
        <f t="shared" si="0"/>
        <v>X</v>
      </c>
      <c r="B14" s="1007"/>
      <c r="C14" s="1009"/>
      <c r="D14" s="1001"/>
      <c r="E14" s="902" t="s">
        <v>183</v>
      </c>
      <c r="F14" s="251" t="s">
        <v>60</v>
      </c>
      <c r="G14" s="749">
        <v>25</v>
      </c>
      <c r="H14" s="750">
        <f>G14-12</f>
        <v>13</v>
      </c>
      <c r="I14" s="448">
        <f t="shared" si="1"/>
        <v>0.4</v>
      </c>
      <c r="J14" s="751">
        <v>10</v>
      </c>
      <c r="K14" s="254">
        <f t="shared" si="2"/>
        <v>0.44</v>
      </c>
      <c r="L14" s="751">
        <v>11</v>
      </c>
      <c r="M14" s="254">
        <f t="shared" si="3"/>
        <v>0.63636363636363635</v>
      </c>
      <c r="N14" s="851">
        <v>7</v>
      </c>
      <c r="O14" s="242">
        <v>22</v>
      </c>
      <c r="P14" s="243"/>
      <c r="Q14" s="242"/>
      <c r="R14" s="243"/>
      <c r="S14" s="724"/>
      <c r="T14" s="725"/>
      <c r="U14" s="724"/>
      <c r="V14" s="726"/>
      <c r="W14" s="216" t="s">
        <v>206</v>
      </c>
      <c r="AB14" s="2" t="str">
        <f t="shared" si="5"/>
        <v>France</v>
      </c>
    </row>
    <row r="15" spans="1:28" ht="15" customHeight="1">
      <c r="A15" s="20" t="str">
        <f t="shared" si="0"/>
        <v>X</v>
      </c>
      <c r="B15" s="1007"/>
      <c r="C15" s="1009"/>
      <c r="D15" s="1001"/>
      <c r="E15" s="902" t="s">
        <v>184</v>
      </c>
      <c r="F15" s="251" t="s">
        <v>60</v>
      </c>
      <c r="G15" s="749">
        <v>20</v>
      </c>
      <c r="H15" s="750">
        <f>G15</f>
        <v>20</v>
      </c>
      <c r="I15" s="448">
        <f t="shared" si="1"/>
        <v>0.45</v>
      </c>
      <c r="J15" s="751">
        <v>9</v>
      </c>
      <c r="K15" s="254">
        <f t="shared" si="2"/>
        <v>0.4</v>
      </c>
      <c r="L15" s="751">
        <v>8</v>
      </c>
      <c r="M15" s="254">
        <f t="shared" si="3"/>
        <v>0.375</v>
      </c>
      <c r="N15" s="851">
        <v>3</v>
      </c>
      <c r="O15" s="242">
        <v>6</v>
      </c>
      <c r="P15" s="243"/>
      <c r="Q15" s="242"/>
      <c r="R15" s="243"/>
      <c r="S15" s="724"/>
      <c r="T15" s="725"/>
      <c r="U15" s="724"/>
      <c r="V15" s="726"/>
      <c r="W15" s="216" t="s">
        <v>206</v>
      </c>
      <c r="AB15" s="2" t="str">
        <f t="shared" si="5"/>
        <v>France</v>
      </c>
    </row>
    <row r="16" spans="1:28" ht="15" customHeight="1">
      <c r="A16" s="20" t="str">
        <f t="shared" si="0"/>
        <v>X</v>
      </c>
      <c r="B16" s="1007"/>
      <c r="C16" s="1009"/>
      <c r="D16" s="1001"/>
      <c r="E16" s="902" t="s">
        <v>185</v>
      </c>
      <c r="F16" s="251" t="s">
        <v>60</v>
      </c>
      <c r="G16" s="749">
        <v>13</v>
      </c>
      <c r="H16" s="750">
        <f>G16-1</f>
        <v>12</v>
      </c>
      <c r="I16" s="448">
        <f t="shared" si="1"/>
        <v>0.15384615384615385</v>
      </c>
      <c r="J16" s="751">
        <v>2</v>
      </c>
      <c r="K16" s="254">
        <f t="shared" si="2"/>
        <v>0.30769230769230771</v>
      </c>
      <c r="L16" s="751">
        <v>4</v>
      </c>
      <c r="M16" s="254">
        <f t="shared" si="3"/>
        <v>0.5</v>
      </c>
      <c r="N16" s="851">
        <v>2</v>
      </c>
      <c r="O16" s="242">
        <v>7</v>
      </c>
      <c r="P16" s="243"/>
      <c r="Q16" s="242"/>
      <c r="R16" s="243"/>
      <c r="S16" s="724"/>
      <c r="T16" s="725"/>
      <c r="U16" s="724"/>
      <c r="V16" s="726"/>
      <c r="W16" s="216" t="s">
        <v>206</v>
      </c>
      <c r="AB16" s="2" t="str">
        <f t="shared" si="5"/>
        <v>France</v>
      </c>
    </row>
    <row r="17" spans="1:28" ht="15" customHeight="1">
      <c r="A17" s="20" t="str">
        <f t="shared" si="0"/>
        <v>X</v>
      </c>
      <c r="B17" s="1007"/>
      <c r="C17" s="1009"/>
      <c r="D17" s="1001"/>
      <c r="E17" s="902" t="s">
        <v>186</v>
      </c>
      <c r="F17" s="251" t="s">
        <v>60</v>
      </c>
      <c r="G17" s="749">
        <v>7</v>
      </c>
      <c r="H17" s="750">
        <f>G17-1</f>
        <v>6</v>
      </c>
      <c r="I17" s="448">
        <f t="shared" si="1"/>
        <v>0.2857142857142857</v>
      </c>
      <c r="J17" s="751">
        <v>2</v>
      </c>
      <c r="K17" s="254">
        <f t="shared" si="2"/>
        <v>0</v>
      </c>
      <c r="L17" s="751">
        <v>0</v>
      </c>
      <c r="M17" s="254" t="str">
        <f t="shared" si="3"/>
        <v/>
      </c>
      <c r="N17" s="851"/>
      <c r="O17" s="242">
        <v>6</v>
      </c>
      <c r="P17" s="243"/>
      <c r="Q17" s="242"/>
      <c r="R17" s="243"/>
      <c r="S17" s="724"/>
      <c r="T17" s="725"/>
      <c r="U17" s="724"/>
      <c r="V17" s="726"/>
      <c r="W17" s="216" t="s">
        <v>206</v>
      </c>
      <c r="AB17" s="2" t="str">
        <f t="shared" si="5"/>
        <v>France</v>
      </c>
    </row>
    <row r="18" spans="1:28" ht="15" customHeight="1">
      <c r="A18" s="20" t="str">
        <f t="shared" si="0"/>
        <v>X</v>
      </c>
      <c r="B18" s="1007"/>
      <c r="C18" s="1009"/>
      <c r="D18" s="1001"/>
      <c r="E18" s="902" t="s">
        <v>187</v>
      </c>
      <c r="F18" s="251" t="s">
        <v>62</v>
      </c>
      <c r="G18" s="749">
        <v>74</v>
      </c>
      <c r="H18" s="750">
        <f>G18-44</f>
        <v>30</v>
      </c>
      <c r="I18" s="448">
        <f t="shared" si="1"/>
        <v>0.29729729729729731</v>
      </c>
      <c r="J18" s="751">
        <v>22</v>
      </c>
      <c r="K18" s="254">
        <f t="shared" si="2"/>
        <v>0.36486486486486486</v>
      </c>
      <c r="L18" s="751">
        <v>27</v>
      </c>
      <c r="M18" s="254">
        <f t="shared" si="3"/>
        <v>0.48148148148148145</v>
      </c>
      <c r="N18" s="851">
        <v>13</v>
      </c>
      <c r="O18" s="242">
        <v>101</v>
      </c>
      <c r="P18" s="243"/>
      <c r="Q18" s="242"/>
      <c r="R18" s="243"/>
      <c r="S18" s="307">
        <v>74</v>
      </c>
      <c r="T18" s="308">
        <v>30</v>
      </c>
      <c r="U18" s="307">
        <v>0</v>
      </c>
      <c r="V18" s="309">
        <v>0</v>
      </c>
      <c r="W18" s="216" t="s">
        <v>206</v>
      </c>
      <c r="AB18" s="2" t="str">
        <f t="shared" si="5"/>
        <v>Frontière</v>
      </c>
    </row>
    <row r="19" spans="1:28" ht="15" customHeight="1">
      <c r="A19" s="20" t="str">
        <f t="shared" si="0"/>
        <v>X</v>
      </c>
      <c r="B19" s="1007"/>
      <c r="C19" s="1009"/>
      <c r="D19" s="1001"/>
      <c r="E19" s="902" t="s">
        <v>188</v>
      </c>
      <c r="F19" s="251" t="s">
        <v>60</v>
      </c>
      <c r="G19" s="749">
        <v>34</v>
      </c>
      <c r="H19" s="750">
        <f t="shared" ref="H19:H27" si="18">G19</f>
        <v>34</v>
      </c>
      <c r="I19" s="448">
        <f t="shared" si="1"/>
        <v>0.17647058823529413</v>
      </c>
      <c r="J19" s="751">
        <v>6</v>
      </c>
      <c r="K19" s="254">
        <f t="shared" si="2"/>
        <v>0.38235294117647056</v>
      </c>
      <c r="L19" s="751">
        <v>13</v>
      </c>
      <c r="M19" s="254">
        <f t="shared" si="3"/>
        <v>0.15384615384615385</v>
      </c>
      <c r="N19" s="851">
        <v>2</v>
      </c>
      <c r="O19" s="242">
        <v>12</v>
      </c>
      <c r="P19" s="243"/>
      <c r="Q19" s="242"/>
      <c r="R19" s="243"/>
      <c r="S19" s="724"/>
      <c r="T19" s="725"/>
      <c r="U19" s="724"/>
      <c r="V19" s="726"/>
      <c r="W19" s="216" t="s">
        <v>206</v>
      </c>
      <c r="AB19" s="2" t="str">
        <f t="shared" si="5"/>
        <v>France</v>
      </c>
    </row>
    <row r="20" spans="1:28" ht="15" customHeight="1">
      <c r="A20" s="20" t="str">
        <f t="shared" si="0"/>
        <v>X</v>
      </c>
      <c r="B20" s="1007"/>
      <c r="C20" s="1009"/>
      <c r="D20" s="1001"/>
      <c r="E20" s="902" t="s">
        <v>189</v>
      </c>
      <c r="F20" s="251" t="s">
        <v>60</v>
      </c>
      <c r="G20" s="749">
        <v>47</v>
      </c>
      <c r="H20" s="750">
        <f t="shared" si="18"/>
        <v>47</v>
      </c>
      <c r="I20" s="448">
        <f t="shared" si="1"/>
        <v>6.3829787234042548E-2</v>
      </c>
      <c r="J20" s="751">
        <v>3</v>
      </c>
      <c r="K20" s="254">
        <f t="shared" si="2"/>
        <v>0.31914893617021278</v>
      </c>
      <c r="L20" s="751">
        <v>15</v>
      </c>
      <c r="M20" s="254">
        <f t="shared" si="3"/>
        <v>0.2</v>
      </c>
      <c r="N20" s="851">
        <v>3</v>
      </c>
      <c r="O20" s="242">
        <v>37</v>
      </c>
      <c r="P20" s="243"/>
      <c r="Q20" s="242"/>
      <c r="R20" s="243"/>
      <c r="S20" s="724"/>
      <c r="T20" s="725"/>
      <c r="U20" s="724"/>
      <c r="V20" s="726"/>
      <c r="W20" s="216" t="s">
        <v>206</v>
      </c>
      <c r="AB20" s="2" t="str">
        <f t="shared" si="5"/>
        <v>France</v>
      </c>
    </row>
    <row r="21" spans="1:28" ht="15" customHeight="1">
      <c r="A21" s="20" t="str">
        <f t="shared" si="0"/>
        <v>X</v>
      </c>
      <c r="B21" s="1007"/>
      <c r="C21" s="1009"/>
      <c r="D21" s="1001"/>
      <c r="E21" s="902" t="s">
        <v>190</v>
      </c>
      <c r="F21" s="251" t="s">
        <v>60</v>
      </c>
      <c r="G21" s="749">
        <v>92</v>
      </c>
      <c r="H21" s="750">
        <f t="shared" si="18"/>
        <v>92</v>
      </c>
      <c r="I21" s="448">
        <f t="shared" si="1"/>
        <v>9.7826086956521743E-2</v>
      </c>
      <c r="J21" s="751">
        <v>9</v>
      </c>
      <c r="K21" s="254">
        <f t="shared" si="2"/>
        <v>0.45652173913043476</v>
      </c>
      <c r="L21" s="751">
        <v>42</v>
      </c>
      <c r="M21" s="254">
        <f t="shared" si="3"/>
        <v>0.14285714285714285</v>
      </c>
      <c r="N21" s="851">
        <v>6</v>
      </c>
      <c r="O21" s="242">
        <v>19</v>
      </c>
      <c r="P21" s="243"/>
      <c r="Q21" s="242"/>
      <c r="R21" s="243"/>
      <c r="S21" s="724"/>
      <c r="T21" s="725"/>
      <c r="U21" s="724"/>
      <c r="V21" s="726"/>
      <c r="W21" s="216" t="s">
        <v>206</v>
      </c>
      <c r="AB21" s="2" t="str">
        <f t="shared" si="5"/>
        <v>France</v>
      </c>
    </row>
    <row r="22" spans="1:28" ht="15" customHeight="1">
      <c r="A22" s="20" t="str">
        <f t="shared" si="0"/>
        <v>X</v>
      </c>
      <c r="B22" s="1007"/>
      <c r="C22" s="1009"/>
      <c r="D22" s="1001"/>
      <c r="E22" s="902" t="s">
        <v>191</v>
      </c>
      <c r="F22" s="251" t="s">
        <v>60</v>
      </c>
      <c r="G22" s="749">
        <v>77</v>
      </c>
      <c r="H22" s="750">
        <f t="shared" si="18"/>
        <v>77</v>
      </c>
      <c r="I22" s="448">
        <f t="shared" si="1"/>
        <v>0.14285714285714285</v>
      </c>
      <c r="J22" s="751">
        <v>11</v>
      </c>
      <c r="K22" s="254">
        <f t="shared" si="2"/>
        <v>0.40259740259740262</v>
      </c>
      <c r="L22" s="751">
        <v>31</v>
      </c>
      <c r="M22" s="254">
        <f t="shared" si="3"/>
        <v>0.16129032258064516</v>
      </c>
      <c r="N22" s="851">
        <v>5</v>
      </c>
      <c r="O22" s="242">
        <v>20</v>
      </c>
      <c r="P22" s="243"/>
      <c r="Q22" s="242"/>
      <c r="R22" s="243"/>
      <c r="S22" s="724"/>
      <c r="T22" s="725"/>
      <c r="U22" s="724"/>
      <c r="V22" s="726"/>
      <c r="W22" s="216" t="s">
        <v>206</v>
      </c>
      <c r="AB22" s="2" t="str">
        <f t="shared" si="5"/>
        <v>France</v>
      </c>
    </row>
    <row r="23" spans="1:28" ht="15" customHeight="1">
      <c r="A23" s="20" t="str">
        <f t="shared" si="0"/>
        <v>X</v>
      </c>
      <c r="B23" s="1007"/>
      <c r="C23" s="1009"/>
      <c r="D23" s="1001"/>
      <c r="E23" s="902" t="s">
        <v>192</v>
      </c>
      <c r="F23" s="251" t="s">
        <v>60</v>
      </c>
      <c r="G23" s="749">
        <v>19</v>
      </c>
      <c r="H23" s="750">
        <f t="shared" si="18"/>
        <v>19</v>
      </c>
      <c r="I23" s="448">
        <f t="shared" si="1"/>
        <v>0.21052631578947367</v>
      </c>
      <c r="J23" s="751">
        <v>4</v>
      </c>
      <c r="K23" s="254">
        <f t="shared" si="2"/>
        <v>0.31578947368421051</v>
      </c>
      <c r="L23" s="751">
        <v>6</v>
      </c>
      <c r="M23" s="254">
        <f t="shared" si="3"/>
        <v>0.16666666666666666</v>
      </c>
      <c r="N23" s="851">
        <v>1</v>
      </c>
      <c r="O23" s="242">
        <v>3</v>
      </c>
      <c r="P23" s="243"/>
      <c r="Q23" s="242"/>
      <c r="R23" s="243"/>
      <c r="S23" s="724"/>
      <c r="T23" s="725"/>
      <c r="U23" s="724"/>
      <c r="V23" s="726"/>
      <c r="W23" s="216" t="s">
        <v>206</v>
      </c>
      <c r="AB23" s="2" t="str">
        <f t="shared" si="5"/>
        <v>France</v>
      </c>
    </row>
    <row r="24" spans="1:28" ht="15" customHeight="1">
      <c r="A24" s="20" t="str">
        <f t="shared" si="0"/>
        <v>X</v>
      </c>
      <c r="B24" s="1007"/>
      <c r="C24" s="1009"/>
      <c r="D24" s="1001"/>
      <c r="E24" s="902" t="s">
        <v>193</v>
      </c>
      <c r="F24" s="251" t="s">
        <v>60</v>
      </c>
      <c r="G24" s="749">
        <v>24</v>
      </c>
      <c r="H24" s="750">
        <f t="shared" si="18"/>
        <v>24</v>
      </c>
      <c r="I24" s="448">
        <f t="shared" si="1"/>
        <v>0.29166666666666669</v>
      </c>
      <c r="J24" s="751">
        <v>7</v>
      </c>
      <c r="K24" s="254">
        <f t="shared" si="2"/>
        <v>0.54166666666666663</v>
      </c>
      <c r="L24" s="751">
        <v>13</v>
      </c>
      <c r="M24" s="254">
        <f t="shared" si="3"/>
        <v>0.46153846153846156</v>
      </c>
      <c r="N24" s="851">
        <v>6</v>
      </c>
      <c r="O24" s="242">
        <v>11</v>
      </c>
      <c r="P24" s="243"/>
      <c r="Q24" s="242"/>
      <c r="R24" s="243"/>
      <c r="S24" s="724"/>
      <c r="T24" s="725"/>
      <c r="U24" s="724"/>
      <c r="V24" s="726"/>
      <c r="W24" s="216" t="s">
        <v>206</v>
      </c>
      <c r="AB24" s="2" t="str">
        <f t="shared" si="5"/>
        <v>France</v>
      </c>
    </row>
    <row r="25" spans="1:28" ht="15" customHeight="1">
      <c r="A25" s="20" t="str">
        <f t="shared" si="0"/>
        <v>X</v>
      </c>
      <c r="B25" s="1007"/>
      <c r="C25" s="1009"/>
      <c r="D25" s="1001"/>
      <c r="E25" s="902" t="s">
        <v>194</v>
      </c>
      <c r="F25" s="251" t="s">
        <v>60</v>
      </c>
      <c r="G25" s="749">
        <v>101</v>
      </c>
      <c r="H25" s="750">
        <f t="shared" si="18"/>
        <v>101</v>
      </c>
      <c r="I25" s="448">
        <f t="shared" si="1"/>
        <v>0.14851485148514851</v>
      </c>
      <c r="J25" s="751">
        <v>15</v>
      </c>
      <c r="K25" s="254">
        <f t="shared" si="2"/>
        <v>0.39603960396039606</v>
      </c>
      <c r="L25" s="751">
        <v>40</v>
      </c>
      <c r="M25" s="254">
        <f t="shared" si="3"/>
        <v>0.22500000000000001</v>
      </c>
      <c r="N25" s="851">
        <v>9</v>
      </c>
      <c r="O25" s="242">
        <v>34</v>
      </c>
      <c r="P25" s="243"/>
      <c r="Q25" s="242"/>
      <c r="R25" s="243"/>
      <c r="S25" s="724"/>
      <c r="T25" s="725"/>
      <c r="U25" s="724"/>
      <c r="V25" s="726"/>
      <c r="W25" s="216" t="s">
        <v>206</v>
      </c>
      <c r="AB25" s="2" t="str">
        <f t="shared" si="5"/>
        <v>France</v>
      </c>
    </row>
    <row r="26" spans="1:28" ht="15" customHeight="1">
      <c r="A26" s="20" t="str">
        <f t="shared" si="0"/>
        <v>X</v>
      </c>
      <c r="B26" s="1007"/>
      <c r="C26" s="1009"/>
      <c r="D26" s="1001"/>
      <c r="E26" s="902" t="s">
        <v>195</v>
      </c>
      <c r="F26" s="251" t="s">
        <v>60</v>
      </c>
      <c r="G26" s="749">
        <v>25</v>
      </c>
      <c r="H26" s="750">
        <f t="shared" si="18"/>
        <v>25</v>
      </c>
      <c r="I26" s="448">
        <f t="shared" si="1"/>
        <v>0.28000000000000003</v>
      </c>
      <c r="J26" s="751">
        <v>7</v>
      </c>
      <c r="K26" s="254">
        <f t="shared" si="2"/>
        <v>0.24</v>
      </c>
      <c r="L26" s="751">
        <v>6</v>
      </c>
      <c r="M26" s="254">
        <f t="shared" si="3"/>
        <v>0.66666666666666663</v>
      </c>
      <c r="N26" s="851">
        <v>4</v>
      </c>
      <c r="O26" s="242">
        <v>4</v>
      </c>
      <c r="P26" s="243"/>
      <c r="Q26" s="242"/>
      <c r="R26" s="243"/>
      <c r="S26" s="724"/>
      <c r="T26" s="725"/>
      <c r="U26" s="724"/>
      <c r="V26" s="726"/>
      <c r="W26" s="216" t="s">
        <v>206</v>
      </c>
      <c r="AB26" s="2" t="str">
        <f t="shared" si="5"/>
        <v>France</v>
      </c>
    </row>
    <row r="27" spans="1:28" ht="15" customHeight="1">
      <c r="A27" s="20" t="str">
        <f t="shared" si="0"/>
        <v>X</v>
      </c>
      <c r="B27" s="1007"/>
      <c r="C27" s="1009"/>
      <c r="D27" s="1001"/>
      <c r="E27" s="902" t="s">
        <v>196</v>
      </c>
      <c r="F27" s="251" t="s">
        <v>60</v>
      </c>
      <c r="G27" s="749">
        <v>45</v>
      </c>
      <c r="H27" s="750">
        <f t="shared" si="18"/>
        <v>45</v>
      </c>
      <c r="I27" s="448">
        <f t="shared" si="1"/>
        <v>0.4</v>
      </c>
      <c r="J27" s="751">
        <v>18</v>
      </c>
      <c r="K27" s="254">
        <f t="shared" si="2"/>
        <v>0.22222222222222221</v>
      </c>
      <c r="L27" s="751">
        <v>10</v>
      </c>
      <c r="M27" s="254">
        <f t="shared" si="3"/>
        <v>0.6</v>
      </c>
      <c r="N27" s="851">
        <v>6</v>
      </c>
      <c r="O27" s="242">
        <v>4</v>
      </c>
      <c r="P27" s="243"/>
      <c r="Q27" s="242"/>
      <c r="R27" s="243"/>
      <c r="S27" s="724"/>
      <c r="T27" s="725"/>
      <c r="U27" s="724"/>
      <c r="V27" s="726"/>
      <c r="W27" s="216" t="s">
        <v>206</v>
      </c>
      <c r="AB27" s="2" t="str">
        <f t="shared" si="5"/>
        <v>France</v>
      </c>
    </row>
    <row r="28" spans="1:28" ht="15" customHeight="1">
      <c r="A28" s="20" t="str">
        <f t="shared" si="0"/>
        <v>X</v>
      </c>
      <c r="B28" s="1007"/>
      <c r="C28" s="1009"/>
      <c r="D28" s="1001"/>
      <c r="E28" s="902" t="s">
        <v>197</v>
      </c>
      <c r="F28" s="251" t="s">
        <v>62</v>
      </c>
      <c r="G28" s="252">
        <v>68</v>
      </c>
      <c r="H28" s="253">
        <f>G28-25</f>
        <v>43</v>
      </c>
      <c r="I28" s="448">
        <f t="shared" si="1"/>
        <v>0.51470588235294112</v>
      </c>
      <c r="J28" s="255">
        <v>35</v>
      </c>
      <c r="K28" s="254">
        <f t="shared" si="2"/>
        <v>0.44117647058823528</v>
      </c>
      <c r="L28" s="255">
        <v>30</v>
      </c>
      <c r="M28" s="254">
        <f t="shared" si="3"/>
        <v>0.53333333333333333</v>
      </c>
      <c r="N28" s="851">
        <v>16</v>
      </c>
      <c r="O28" s="242">
        <v>1</v>
      </c>
      <c r="P28" s="243"/>
      <c r="Q28" s="242">
        <v>16</v>
      </c>
      <c r="R28" s="243"/>
      <c r="S28" s="307">
        <v>61</v>
      </c>
      <c r="T28" s="308">
        <v>38</v>
      </c>
      <c r="U28" s="307">
        <v>7</v>
      </c>
      <c r="V28" s="309">
        <v>5</v>
      </c>
      <c r="W28" s="216" t="s">
        <v>206</v>
      </c>
      <c r="AB28" s="2" t="str">
        <f t="shared" si="5"/>
        <v>Frontière</v>
      </c>
    </row>
    <row r="29" spans="1:28" ht="15" customHeight="1">
      <c r="A29" s="20" t="str">
        <f t="shared" si="0"/>
        <v/>
      </c>
      <c r="B29" s="1007"/>
      <c r="C29" s="1009"/>
      <c r="D29" s="1001"/>
      <c r="E29" s="961" t="s">
        <v>166</v>
      </c>
      <c r="F29" s="251"/>
      <c r="G29" s="252"/>
      <c r="H29" s="253"/>
      <c r="I29" s="747"/>
      <c r="J29" s="255"/>
      <c r="K29" s="254"/>
      <c r="L29" s="255"/>
      <c r="M29" s="254"/>
      <c r="N29" s="851"/>
      <c r="O29" s="242"/>
      <c r="P29" s="243"/>
      <c r="Q29" s="242"/>
      <c r="R29" s="243"/>
      <c r="S29" s="724"/>
      <c r="T29" s="725"/>
      <c r="U29" s="724"/>
      <c r="V29" s="726"/>
      <c r="W29" s="216"/>
    </row>
    <row r="30" spans="1:28" ht="15" customHeight="1">
      <c r="A30" s="20" t="str">
        <f t="shared" si="0"/>
        <v/>
      </c>
      <c r="B30" s="1007"/>
      <c r="C30" s="1009"/>
      <c r="D30" s="1001"/>
      <c r="E30" s="961" t="s">
        <v>166</v>
      </c>
      <c r="F30" s="251"/>
      <c r="G30" s="252"/>
      <c r="H30" s="253"/>
      <c r="I30" s="747"/>
      <c r="J30" s="255"/>
      <c r="K30" s="254"/>
      <c r="L30" s="255"/>
      <c r="M30" s="254"/>
      <c r="N30" s="851"/>
      <c r="O30" s="242"/>
      <c r="P30" s="243"/>
      <c r="Q30" s="242"/>
      <c r="R30" s="243"/>
      <c r="S30" s="724"/>
      <c r="T30" s="725"/>
      <c r="U30" s="724"/>
      <c r="V30" s="726"/>
      <c r="W30" s="216"/>
    </row>
    <row r="31" spans="1:28" ht="15" customHeight="1">
      <c r="A31" s="20" t="str">
        <f t="shared" si="0"/>
        <v/>
      </c>
      <c r="B31" s="1007"/>
      <c r="C31" s="1009"/>
      <c r="D31" s="1001"/>
      <c r="E31" s="961" t="s">
        <v>166</v>
      </c>
      <c r="F31" s="251"/>
      <c r="G31" s="252"/>
      <c r="H31" s="253"/>
      <c r="I31" s="747"/>
      <c r="J31" s="255"/>
      <c r="K31" s="254"/>
      <c r="L31" s="255"/>
      <c r="M31" s="254"/>
      <c r="N31" s="851"/>
      <c r="O31" s="242"/>
      <c r="P31" s="243"/>
      <c r="Q31" s="242"/>
      <c r="R31" s="243"/>
      <c r="S31" s="724"/>
      <c r="T31" s="725"/>
      <c r="U31" s="724"/>
      <c r="V31" s="726"/>
      <c r="W31" s="216"/>
    </row>
    <row r="32" spans="1:28" ht="15" customHeight="1">
      <c r="A32" s="20" t="str">
        <f t="shared" si="0"/>
        <v/>
      </c>
      <c r="B32" s="1007"/>
      <c r="C32" s="1009"/>
      <c r="D32" s="1001"/>
      <c r="E32" s="961" t="s">
        <v>166</v>
      </c>
      <c r="F32" s="251"/>
      <c r="G32" s="252"/>
      <c r="H32" s="253"/>
      <c r="I32" s="747"/>
      <c r="J32" s="255"/>
      <c r="K32" s="254"/>
      <c r="L32" s="255"/>
      <c r="M32" s="254"/>
      <c r="N32" s="851"/>
      <c r="O32" s="242"/>
      <c r="P32" s="243"/>
      <c r="Q32" s="242"/>
      <c r="R32" s="243"/>
      <c r="S32" s="724"/>
      <c r="T32" s="725"/>
      <c r="U32" s="724"/>
      <c r="V32" s="726"/>
      <c r="W32" s="216"/>
    </row>
    <row r="33" spans="1:28" ht="15" customHeight="1">
      <c r="A33" s="20" t="str">
        <f t="shared" si="0"/>
        <v/>
      </c>
      <c r="B33" s="1007"/>
      <c r="C33" s="1009"/>
      <c r="D33" s="1001"/>
      <c r="E33" s="962" t="s">
        <v>166</v>
      </c>
      <c r="F33" s="459"/>
      <c r="G33" s="257"/>
      <c r="H33" s="258"/>
      <c r="I33" s="748"/>
      <c r="J33" s="260"/>
      <c r="K33" s="259"/>
      <c r="L33" s="260"/>
      <c r="M33" s="259"/>
      <c r="N33" s="856"/>
      <c r="O33" s="244"/>
      <c r="P33" s="245"/>
      <c r="Q33" s="244"/>
      <c r="R33" s="245"/>
      <c r="S33" s="727"/>
      <c r="T33" s="728"/>
      <c r="U33" s="727"/>
      <c r="V33" s="729"/>
      <c r="W33" s="216"/>
    </row>
    <row r="34" spans="1:28" ht="15.75">
      <c r="A34" s="20" t="str">
        <f t="shared" si="0"/>
        <v>S</v>
      </c>
      <c r="B34" s="1007"/>
      <c r="C34" s="1010"/>
      <c r="D34" s="332" t="s">
        <v>138</v>
      </c>
      <c r="E34" s="896"/>
      <c r="F34" s="16"/>
      <c r="G34" s="7">
        <f>SUM(G13:G33)</f>
        <v>694</v>
      </c>
      <c r="H34" s="8">
        <f>SUM(H13:H33)</f>
        <v>611</v>
      </c>
      <c r="I34" s="9">
        <f t="shared" si="1"/>
        <v>0.24639769452449567</v>
      </c>
      <c r="J34" s="213">
        <f>SUM(J13:J33)</f>
        <v>171</v>
      </c>
      <c r="K34" s="9">
        <f t="shared" si="2"/>
        <v>0.38472622478386165</v>
      </c>
      <c r="L34" s="213">
        <f>SUM(L13:L33)</f>
        <v>267</v>
      </c>
      <c r="M34" s="9">
        <f t="shared" si="3"/>
        <v>0.34831460674157305</v>
      </c>
      <c r="N34" s="213">
        <f t="shared" ref="N34:V34" si="19">SUM(N13:N33)</f>
        <v>93</v>
      </c>
      <c r="O34" s="120">
        <f t="shared" si="19"/>
        <v>287</v>
      </c>
      <c r="P34" s="121">
        <f t="shared" si="19"/>
        <v>0</v>
      </c>
      <c r="Q34" s="120">
        <f t="shared" si="19"/>
        <v>16</v>
      </c>
      <c r="R34" s="121">
        <f t="shared" si="19"/>
        <v>0</v>
      </c>
      <c r="S34" s="120">
        <f t="shared" si="19"/>
        <v>135</v>
      </c>
      <c r="T34" s="121">
        <f t="shared" si="19"/>
        <v>68</v>
      </c>
      <c r="U34" s="120">
        <f t="shared" si="19"/>
        <v>7</v>
      </c>
      <c r="V34" s="122">
        <f t="shared" si="19"/>
        <v>5</v>
      </c>
      <c r="W34" s="216" t="s">
        <v>206</v>
      </c>
      <c r="AB34" s="2">
        <f t="shared" si="5"/>
        <v>0</v>
      </c>
    </row>
    <row r="35" spans="1:28" ht="15" customHeight="1">
      <c r="A35" s="20" t="str">
        <f t="shared" si="0"/>
        <v>X</v>
      </c>
      <c r="B35" s="1007" t="s">
        <v>82</v>
      </c>
      <c r="C35" s="1009" t="s">
        <v>75</v>
      </c>
      <c r="D35" s="1001">
        <v>11</v>
      </c>
      <c r="E35" s="901" t="s">
        <v>13</v>
      </c>
      <c r="F35" s="246" t="s">
        <v>60</v>
      </c>
      <c r="G35" s="763">
        <v>59</v>
      </c>
      <c r="H35" s="764">
        <v>21</v>
      </c>
      <c r="I35" s="439">
        <f t="shared" si="1"/>
        <v>0.47457627118644069</v>
      </c>
      <c r="J35" s="765">
        <v>28</v>
      </c>
      <c r="K35" s="249">
        <f t="shared" si="2"/>
        <v>0.33898305084745761</v>
      </c>
      <c r="L35" s="765">
        <v>20</v>
      </c>
      <c r="M35" s="249" t="str">
        <f t="shared" si="3"/>
        <v/>
      </c>
      <c r="N35" s="846"/>
      <c r="O35" s="240">
        <v>14</v>
      </c>
      <c r="P35" s="241"/>
      <c r="Q35" s="240"/>
      <c r="R35" s="241"/>
      <c r="S35" s="721" t="s">
        <v>21</v>
      </c>
      <c r="T35" s="722" t="s">
        <v>21</v>
      </c>
      <c r="U35" s="721" t="s">
        <v>21</v>
      </c>
      <c r="V35" s="723" t="s">
        <v>21</v>
      </c>
      <c r="W35" s="216" t="s">
        <v>206</v>
      </c>
      <c r="AB35" s="2" t="str">
        <f t="shared" si="5"/>
        <v>France</v>
      </c>
    </row>
    <row r="36" spans="1:28" ht="15" customHeight="1">
      <c r="A36" s="20" t="str">
        <f t="shared" si="0"/>
        <v>X</v>
      </c>
      <c r="B36" s="1007"/>
      <c r="C36" s="1009"/>
      <c r="D36" s="1001"/>
      <c r="E36" s="902" t="s">
        <v>14</v>
      </c>
      <c r="F36" s="251" t="s">
        <v>60</v>
      </c>
      <c r="G36" s="749">
        <v>32</v>
      </c>
      <c r="H36" s="750">
        <v>16</v>
      </c>
      <c r="I36" s="448">
        <f t="shared" si="1"/>
        <v>0.34375</v>
      </c>
      <c r="J36" s="751">
        <v>11</v>
      </c>
      <c r="K36" s="254">
        <f t="shared" si="2"/>
        <v>0.1875</v>
      </c>
      <c r="L36" s="751">
        <v>6</v>
      </c>
      <c r="M36" s="254" t="str">
        <f t="shared" si="3"/>
        <v/>
      </c>
      <c r="N36" s="851"/>
      <c r="O36" s="242">
        <v>15</v>
      </c>
      <c r="P36" s="243"/>
      <c r="Q36" s="242"/>
      <c r="R36" s="243"/>
      <c r="S36" s="724" t="s">
        <v>21</v>
      </c>
      <c r="T36" s="725" t="s">
        <v>21</v>
      </c>
      <c r="U36" s="724" t="s">
        <v>21</v>
      </c>
      <c r="V36" s="726" t="s">
        <v>21</v>
      </c>
      <c r="W36" s="216" t="s">
        <v>206</v>
      </c>
      <c r="AB36" s="2" t="str">
        <f t="shared" si="5"/>
        <v>France</v>
      </c>
    </row>
    <row r="37" spans="1:28" ht="15" customHeight="1">
      <c r="A37" s="20" t="str">
        <f t="shared" si="0"/>
        <v>X</v>
      </c>
      <c r="B37" s="1007"/>
      <c r="C37" s="1009"/>
      <c r="D37" s="1001"/>
      <c r="E37" s="902" t="s">
        <v>15</v>
      </c>
      <c r="F37" s="251" t="s">
        <v>60</v>
      </c>
      <c r="G37" s="749">
        <v>21</v>
      </c>
      <c r="H37" s="750">
        <v>8</v>
      </c>
      <c r="I37" s="448">
        <f t="shared" si="1"/>
        <v>0.19047619047619047</v>
      </c>
      <c r="J37" s="751">
        <v>4</v>
      </c>
      <c r="K37" s="254">
        <f t="shared" si="2"/>
        <v>0.23809523809523808</v>
      </c>
      <c r="L37" s="751">
        <v>5</v>
      </c>
      <c r="M37" s="254" t="str">
        <f t="shared" si="3"/>
        <v/>
      </c>
      <c r="N37" s="851"/>
      <c r="O37" s="242">
        <v>4</v>
      </c>
      <c r="P37" s="243"/>
      <c r="Q37" s="242"/>
      <c r="R37" s="243"/>
      <c r="S37" s="724" t="s">
        <v>21</v>
      </c>
      <c r="T37" s="725" t="s">
        <v>21</v>
      </c>
      <c r="U37" s="724" t="s">
        <v>21</v>
      </c>
      <c r="V37" s="726" t="s">
        <v>21</v>
      </c>
      <c r="W37" s="216" t="s">
        <v>206</v>
      </c>
      <c r="AB37" s="2" t="str">
        <f t="shared" si="5"/>
        <v>France</v>
      </c>
    </row>
    <row r="38" spans="1:28" ht="15" customHeight="1">
      <c r="A38" s="20" t="str">
        <f t="shared" si="0"/>
        <v>X</v>
      </c>
      <c r="B38" s="1007"/>
      <c r="C38" s="1009"/>
      <c r="D38" s="1001"/>
      <c r="E38" s="902" t="s">
        <v>141</v>
      </c>
      <c r="F38" s="251" t="s">
        <v>60</v>
      </c>
      <c r="G38" s="749">
        <v>55</v>
      </c>
      <c r="H38" s="750">
        <v>21</v>
      </c>
      <c r="I38" s="448">
        <f t="shared" si="1"/>
        <v>0.32727272727272727</v>
      </c>
      <c r="J38" s="751">
        <v>18</v>
      </c>
      <c r="K38" s="254">
        <f t="shared" si="2"/>
        <v>0.32727272727272727</v>
      </c>
      <c r="L38" s="751">
        <v>18</v>
      </c>
      <c r="M38" s="254" t="str">
        <f t="shared" si="3"/>
        <v/>
      </c>
      <c r="N38" s="851"/>
      <c r="O38" s="242">
        <v>20</v>
      </c>
      <c r="P38" s="243"/>
      <c r="Q38" s="242"/>
      <c r="R38" s="243"/>
      <c r="S38" s="724" t="s">
        <v>21</v>
      </c>
      <c r="T38" s="725" t="s">
        <v>21</v>
      </c>
      <c r="U38" s="724" t="s">
        <v>21</v>
      </c>
      <c r="V38" s="726" t="s">
        <v>21</v>
      </c>
      <c r="W38" s="216" t="s">
        <v>206</v>
      </c>
      <c r="AB38" s="2" t="str">
        <f t="shared" si="5"/>
        <v>France</v>
      </c>
    </row>
    <row r="39" spans="1:28" ht="15" customHeight="1">
      <c r="A39" s="20" t="str">
        <f t="shared" si="0"/>
        <v>X</v>
      </c>
      <c r="B39" s="1007"/>
      <c r="C39" s="1009"/>
      <c r="D39" s="1001"/>
      <c r="E39" s="902" t="s">
        <v>16</v>
      </c>
      <c r="F39" s="251" t="s">
        <v>60</v>
      </c>
      <c r="G39" s="749">
        <v>6</v>
      </c>
      <c r="H39" s="750">
        <v>2</v>
      </c>
      <c r="I39" s="448">
        <f t="shared" si="1"/>
        <v>0.33333333333333331</v>
      </c>
      <c r="J39" s="751">
        <v>2</v>
      </c>
      <c r="K39" s="254">
        <f t="shared" si="2"/>
        <v>0.16666666666666666</v>
      </c>
      <c r="L39" s="751">
        <v>1</v>
      </c>
      <c r="M39" s="254" t="str">
        <f t="shared" si="3"/>
        <v/>
      </c>
      <c r="N39" s="851"/>
      <c r="O39" s="242"/>
      <c r="P39" s="243"/>
      <c r="Q39" s="242"/>
      <c r="R39" s="243"/>
      <c r="S39" s="724" t="s">
        <v>21</v>
      </c>
      <c r="T39" s="725" t="s">
        <v>21</v>
      </c>
      <c r="U39" s="724" t="s">
        <v>21</v>
      </c>
      <c r="V39" s="726" t="s">
        <v>21</v>
      </c>
      <c r="W39" s="216" t="s">
        <v>206</v>
      </c>
      <c r="AB39" s="2" t="str">
        <f t="shared" si="5"/>
        <v>France</v>
      </c>
    </row>
    <row r="40" spans="1:28" ht="15" customHeight="1">
      <c r="A40" s="20" t="str">
        <f t="shared" si="0"/>
        <v>X</v>
      </c>
      <c r="B40" s="1007"/>
      <c r="C40" s="1009"/>
      <c r="D40" s="1001"/>
      <c r="E40" s="902" t="s">
        <v>17</v>
      </c>
      <c r="F40" s="251" t="s">
        <v>60</v>
      </c>
      <c r="G40" s="749">
        <v>20</v>
      </c>
      <c r="H40" s="750">
        <v>6</v>
      </c>
      <c r="I40" s="448">
        <f t="shared" si="1"/>
        <v>0.25</v>
      </c>
      <c r="J40" s="751">
        <v>5</v>
      </c>
      <c r="K40" s="254">
        <f t="shared" si="2"/>
        <v>0.2</v>
      </c>
      <c r="L40" s="751">
        <v>4</v>
      </c>
      <c r="M40" s="254" t="str">
        <f t="shared" si="3"/>
        <v/>
      </c>
      <c r="N40" s="851"/>
      <c r="O40" s="242">
        <v>2</v>
      </c>
      <c r="P40" s="243"/>
      <c r="Q40" s="242"/>
      <c r="R40" s="243"/>
      <c r="S40" s="724" t="s">
        <v>21</v>
      </c>
      <c r="T40" s="725" t="s">
        <v>21</v>
      </c>
      <c r="U40" s="724" t="s">
        <v>21</v>
      </c>
      <c r="V40" s="726" t="s">
        <v>21</v>
      </c>
      <c r="W40" s="216" t="s">
        <v>206</v>
      </c>
      <c r="AB40" s="2" t="str">
        <f t="shared" si="5"/>
        <v>France</v>
      </c>
    </row>
    <row r="41" spans="1:28" ht="15" customHeight="1">
      <c r="A41" s="20" t="str">
        <f t="shared" si="0"/>
        <v>X</v>
      </c>
      <c r="B41" s="1007"/>
      <c r="C41" s="1009"/>
      <c r="D41" s="1001"/>
      <c r="E41" s="902" t="s">
        <v>18</v>
      </c>
      <c r="F41" s="251" t="s">
        <v>60</v>
      </c>
      <c r="G41" s="749">
        <v>20</v>
      </c>
      <c r="H41" s="750">
        <v>9</v>
      </c>
      <c r="I41" s="448">
        <f t="shared" si="1"/>
        <v>0.25</v>
      </c>
      <c r="J41" s="751">
        <v>5</v>
      </c>
      <c r="K41" s="254">
        <f t="shared" si="2"/>
        <v>0.25</v>
      </c>
      <c r="L41" s="751">
        <v>5</v>
      </c>
      <c r="M41" s="254" t="str">
        <f t="shared" si="3"/>
        <v/>
      </c>
      <c r="N41" s="851"/>
      <c r="O41" s="242">
        <v>1</v>
      </c>
      <c r="P41" s="243"/>
      <c r="Q41" s="242"/>
      <c r="R41" s="243"/>
      <c r="S41" s="724" t="s">
        <v>21</v>
      </c>
      <c r="T41" s="725" t="s">
        <v>21</v>
      </c>
      <c r="U41" s="724" t="s">
        <v>21</v>
      </c>
      <c r="V41" s="726" t="s">
        <v>21</v>
      </c>
      <c r="W41" s="216" t="s">
        <v>206</v>
      </c>
      <c r="AB41" s="2" t="str">
        <f t="shared" si="5"/>
        <v>France</v>
      </c>
    </row>
    <row r="42" spans="1:28" ht="15" customHeight="1">
      <c r="A42" s="20" t="str">
        <f t="shared" si="0"/>
        <v>X</v>
      </c>
      <c r="B42" s="1007"/>
      <c r="C42" s="1009"/>
      <c r="D42" s="1001"/>
      <c r="E42" s="902" t="s">
        <v>19</v>
      </c>
      <c r="F42" s="251" t="s">
        <v>60</v>
      </c>
      <c r="G42" s="749">
        <v>35</v>
      </c>
      <c r="H42" s="750">
        <v>9</v>
      </c>
      <c r="I42" s="448">
        <f t="shared" si="1"/>
        <v>0.31428571428571428</v>
      </c>
      <c r="J42" s="751">
        <v>11</v>
      </c>
      <c r="K42" s="254">
        <f t="shared" si="2"/>
        <v>0.22857142857142856</v>
      </c>
      <c r="L42" s="751">
        <v>8</v>
      </c>
      <c r="M42" s="254" t="str">
        <f t="shared" si="3"/>
        <v/>
      </c>
      <c r="N42" s="851"/>
      <c r="O42" s="242">
        <v>2</v>
      </c>
      <c r="P42" s="243"/>
      <c r="Q42" s="242"/>
      <c r="R42" s="243"/>
      <c r="S42" s="724" t="s">
        <v>21</v>
      </c>
      <c r="T42" s="725" t="s">
        <v>21</v>
      </c>
      <c r="U42" s="724" t="s">
        <v>21</v>
      </c>
      <c r="V42" s="726" t="s">
        <v>21</v>
      </c>
      <c r="W42" s="216" t="s">
        <v>206</v>
      </c>
      <c r="AB42" s="2" t="str">
        <f t="shared" si="5"/>
        <v>France</v>
      </c>
    </row>
    <row r="43" spans="1:28" ht="15" customHeight="1">
      <c r="A43" s="20" t="str">
        <f t="shared" si="0"/>
        <v>X</v>
      </c>
      <c r="B43" s="1007"/>
      <c r="C43" s="1009"/>
      <c r="D43" s="1001"/>
      <c r="E43" s="902" t="s">
        <v>169</v>
      </c>
      <c r="F43" s="251" t="s">
        <v>60</v>
      </c>
      <c r="G43" s="749">
        <v>15</v>
      </c>
      <c r="H43" s="750">
        <v>7</v>
      </c>
      <c r="I43" s="448">
        <f t="shared" si="1"/>
        <v>0.2</v>
      </c>
      <c r="J43" s="751">
        <v>3</v>
      </c>
      <c r="K43" s="254" t="str">
        <f t="shared" si="2"/>
        <v/>
      </c>
      <c r="L43" s="751"/>
      <c r="M43" s="254" t="str">
        <f t="shared" si="3"/>
        <v/>
      </c>
      <c r="N43" s="851"/>
      <c r="O43" s="242"/>
      <c r="P43" s="243"/>
      <c r="Q43" s="242"/>
      <c r="R43" s="243"/>
      <c r="S43" s="724" t="s">
        <v>21</v>
      </c>
      <c r="T43" s="725" t="s">
        <v>21</v>
      </c>
      <c r="U43" s="724" t="s">
        <v>21</v>
      </c>
      <c r="V43" s="726" t="s">
        <v>21</v>
      </c>
      <c r="W43" s="216" t="s">
        <v>206</v>
      </c>
      <c r="AB43" s="2" t="str">
        <f t="shared" si="5"/>
        <v>France</v>
      </c>
    </row>
    <row r="44" spans="1:28" ht="15" customHeight="1">
      <c r="A44" s="20" t="str">
        <f t="shared" si="0"/>
        <v>X</v>
      </c>
      <c r="B44" s="1007"/>
      <c r="C44" s="1009"/>
      <c r="D44" s="1001"/>
      <c r="E44" s="902" t="s">
        <v>170</v>
      </c>
      <c r="F44" s="251" t="s">
        <v>60</v>
      </c>
      <c r="G44" s="749">
        <v>22</v>
      </c>
      <c r="H44" s="750">
        <v>7</v>
      </c>
      <c r="I44" s="448">
        <f t="shared" si="1"/>
        <v>9.0909090909090912E-2</v>
      </c>
      <c r="J44" s="751">
        <v>2</v>
      </c>
      <c r="K44" s="254">
        <f t="shared" si="2"/>
        <v>0.22727272727272727</v>
      </c>
      <c r="L44" s="751">
        <v>5</v>
      </c>
      <c r="M44" s="254" t="str">
        <f t="shared" si="3"/>
        <v/>
      </c>
      <c r="N44" s="851"/>
      <c r="O44" s="242"/>
      <c r="P44" s="243"/>
      <c r="Q44" s="242"/>
      <c r="R44" s="243"/>
      <c r="S44" s="724" t="s">
        <v>21</v>
      </c>
      <c r="T44" s="725" t="s">
        <v>21</v>
      </c>
      <c r="U44" s="724" t="s">
        <v>21</v>
      </c>
      <c r="V44" s="726" t="s">
        <v>21</v>
      </c>
      <c r="W44" s="216" t="s">
        <v>206</v>
      </c>
      <c r="AB44" s="2" t="str">
        <f t="shared" si="5"/>
        <v>France</v>
      </c>
    </row>
    <row r="45" spans="1:28" ht="15" customHeight="1">
      <c r="A45" s="20" t="str">
        <f t="shared" si="0"/>
        <v/>
      </c>
      <c r="B45" s="1007"/>
      <c r="C45" s="1009"/>
      <c r="D45" s="1001"/>
      <c r="E45" s="902" t="s">
        <v>5</v>
      </c>
      <c r="F45" s="251" t="s">
        <v>60</v>
      </c>
      <c r="G45" s="252"/>
      <c r="H45" s="253"/>
      <c r="I45" s="448" t="str">
        <f t="shared" si="1"/>
        <v/>
      </c>
      <c r="J45" s="255"/>
      <c r="K45" s="254" t="str">
        <f t="shared" si="2"/>
        <v/>
      </c>
      <c r="L45" s="255"/>
      <c r="M45" s="254" t="str">
        <f t="shared" si="3"/>
        <v/>
      </c>
      <c r="N45" s="851"/>
      <c r="O45" s="242"/>
      <c r="P45" s="243"/>
      <c r="Q45" s="242"/>
      <c r="R45" s="243"/>
      <c r="S45" s="724" t="s">
        <v>21</v>
      </c>
      <c r="T45" s="725" t="s">
        <v>21</v>
      </c>
      <c r="U45" s="724" t="s">
        <v>21</v>
      </c>
      <c r="V45" s="726" t="s">
        <v>21</v>
      </c>
      <c r="W45" s="216" t="s">
        <v>206</v>
      </c>
      <c r="AB45" s="2" t="str">
        <f t="shared" si="5"/>
        <v/>
      </c>
    </row>
    <row r="46" spans="1:28" ht="15" customHeight="1">
      <c r="A46" s="20" t="str">
        <f t="shared" si="0"/>
        <v/>
      </c>
      <c r="B46" s="1007"/>
      <c r="C46" s="1009"/>
      <c r="D46" s="1001"/>
      <c r="E46" s="961" t="s">
        <v>166</v>
      </c>
      <c r="F46" s="251"/>
      <c r="G46" s="252"/>
      <c r="H46" s="253"/>
      <c r="I46" s="747"/>
      <c r="J46" s="255"/>
      <c r="K46" s="254"/>
      <c r="L46" s="255"/>
      <c r="M46" s="254"/>
      <c r="N46" s="851"/>
      <c r="O46" s="242"/>
      <c r="P46" s="243"/>
      <c r="Q46" s="242"/>
      <c r="R46" s="243"/>
      <c r="S46" s="724" t="s">
        <v>21</v>
      </c>
      <c r="T46" s="725" t="s">
        <v>21</v>
      </c>
      <c r="U46" s="724" t="s">
        <v>21</v>
      </c>
      <c r="V46" s="726" t="s">
        <v>21</v>
      </c>
      <c r="W46" s="216"/>
    </row>
    <row r="47" spans="1:28" ht="15" customHeight="1">
      <c r="A47" s="20" t="str">
        <f t="shared" si="0"/>
        <v/>
      </c>
      <c r="B47" s="1007"/>
      <c r="C47" s="1009"/>
      <c r="D47" s="1001"/>
      <c r="E47" s="961" t="s">
        <v>166</v>
      </c>
      <c r="F47" s="251"/>
      <c r="G47" s="252"/>
      <c r="H47" s="253"/>
      <c r="I47" s="747"/>
      <c r="J47" s="255"/>
      <c r="K47" s="254"/>
      <c r="L47" s="255"/>
      <c r="M47" s="254"/>
      <c r="N47" s="851"/>
      <c r="O47" s="242"/>
      <c r="P47" s="243"/>
      <c r="Q47" s="242"/>
      <c r="R47" s="243"/>
      <c r="S47" s="724" t="s">
        <v>21</v>
      </c>
      <c r="T47" s="725" t="s">
        <v>21</v>
      </c>
      <c r="U47" s="724" t="s">
        <v>21</v>
      </c>
      <c r="V47" s="726" t="s">
        <v>21</v>
      </c>
      <c r="W47" s="216"/>
    </row>
    <row r="48" spans="1:28" ht="15" customHeight="1">
      <c r="A48" s="20" t="str">
        <f t="shared" si="0"/>
        <v/>
      </c>
      <c r="B48" s="1007"/>
      <c r="C48" s="1009"/>
      <c r="D48" s="1001"/>
      <c r="E48" s="962" t="s">
        <v>166</v>
      </c>
      <c r="F48" s="459"/>
      <c r="G48" s="257"/>
      <c r="H48" s="258"/>
      <c r="I48" s="748"/>
      <c r="J48" s="260"/>
      <c r="K48" s="259"/>
      <c r="L48" s="260"/>
      <c r="M48" s="259"/>
      <c r="N48" s="856"/>
      <c r="O48" s="244"/>
      <c r="P48" s="245"/>
      <c r="Q48" s="244"/>
      <c r="R48" s="245"/>
      <c r="S48" s="727" t="s">
        <v>21</v>
      </c>
      <c r="T48" s="728" t="s">
        <v>21</v>
      </c>
      <c r="U48" s="727" t="s">
        <v>21</v>
      </c>
      <c r="V48" s="729" t="s">
        <v>21</v>
      </c>
      <c r="W48" s="216"/>
    </row>
    <row r="49" spans="1:28" ht="15.75">
      <c r="A49" s="20" t="str">
        <f t="shared" si="0"/>
        <v>S</v>
      </c>
      <c r="B49" s="1007"/>
      <c r="C49" s="1010"/>
      <c r="D49" s="332" t="s">
        <v>138</v>
      </c>
      <c r="E49" s="896"/>
      <c r="F49" s="16"/>
      <c r="G49" s="7">
        <f>SUM(G35:G48)</f>
        <v>285</v>
      </c>
      <c r="H49" s="8">
        <f>SUM(H35:H48)</f>
        <v>106</v>
      </c>
      <c r="I49" s="9">
        <f>J49/G49</f>
        <v>0.31228070175438599</v>
      </c>
      <c r="J49" s="213">
        <f>SUM(J35:J48)</f>
        <v>89</v>
      </c>
      <c r="K49" s="9">
        <f t="shared" si="2"/>
        <v>0.25263157894736843</v>
      </c>
      <c r="L49" s="213">
        <f>SUM(L35:L48)</f>
        <v>72</v>
      </c>
      <c r="M49" s="9">
        <f t="shared" si="3"/>
        <v>0</v>
      </c>
      <c r="N49" s="213">
        <f t="shared" ref="N49:V49" si="20">SUM(N35:N48)</f>
        <v>0</v>
      </c>
      <c r="O49" s="120">
        <f t="shared" si="20"/>
        <v>58</v>
      </c>
      <c r="P49" s="121">
        <f t="shared" si="20"/>
        <v>0</v>
      </c>
      <c r="Q49" s="120">
        <f t="shared" si="20"/>
        <v>0</v>
      </c>
      <c r="R49" s="121">
        <f t="shared" si="20"/>
        <v>0</v>
      </c>
      <c r="S49" s="120">
        <f t="shared" si="20"/>
        <v>0</v>
      </c>
      <c r="T49" s="121">
        <f t="shared" si="20"/>
        <v>0</v>
      </c>
      <c r="U49" s="120">
        <f t="shared" si="20"/>
        <v>0</v>
      </c>
      <c r="V49" s="122">
        <f t="shared" si="20"/>
        <v>0</v>
      </c>
      <c r="W49" s="216" t="s">
        <v>206</v>
      </c>
      <c r="AB49" s="2">
        <f t="shared" si="5"/>
        <v>0</v>
      </c>
    </row>
    <row r="50" spans="1:28">
      <c r="A50" s="20" t="str">
        <f>IF(D50="Sous-total","S",IF(G50="","","X"))</f>
        <v>X</v>
      </c>
      <c r="B50" s="1007" t="s">
        <v>83</v>
      </c>
      <c r="C50" s="1009" t="s">
        <v>75</v>
      </c>
      <c r="D50" s="991">
        <v>6</v>
      </c>
      <c r="E50" s="901" t="s">
        <v>10</v>
      </c>
      <c r="F50" s="246" t="s">
        <v>60</v>
      </c>
      <c r="G50" s="247">
        <v>50</v>
      </c>
      <c r="H50" s="248">
        <v>37</v>
      </c>
      <c r="I50" s="439">
        <f>IF(J50="","",J50/G50)</f>
        <v>0.68</v>
      </c>
      <c r="J50" s="248">
        <v>34</v>
      </c>
      <c r="K50" s="249">
        <f>IF(L50="","",L50/G50)</f>
        <v>0.22</v>
      </c>
      <c r="L50" s="250">
        <v>11</v>
      </c>
      <c r="M50" s="249">
        <f>IF(N50="","",N50/L50)</f>
        <v>0.81818181818181823</v>
      </c>
      <c r="N50" s="846">
        <v>9</v>
      </c>
      <c r="O50" s="240">
        <v>3</v>
      </c>
      <c r="P50" s="241">
        <v>3</v>
      </c>
      <c r="Q50" s="240">
        <v>2</v>
      </c>
      <c r="R50" s="241">
        <v>2</v>
      </c>
      <c r="S50" s="721" t="s">
        <v>21</v>
      </c>
      <c r="T50" s="722" t="s">
        <v>21</v>
      </c>
      <c r="U50" s="721" t="s">
        <v>21</v>
      </c>
      <c r="V50" s="723" t="s">
        <v>21</v>
      </c>
      <c r="W50" s="216" t="s">
        <v>206</v>
      </c>
      <c r="AB50" s="2" t="str">
        <f t="shared" si="5"/>
        <v>France</v>
      </c>
    </row>
    <row r="51" spans="1:28">
      <c r="A51" s="20" t="str">
        <f t="shared" ref="A51:A113" si="21">IF(D51="Sous-total","S",IF(G51="","","X"))</f>
        <v>X</v>
      </c>
      <c r="B51" s="1007"/>
      <c r="C51" s="1009"/>
      <c r="D51" s="991"/>
      <c r="E51" s="902" t="s">
        <v>11</v>
      </c>
      <c r="F51" s="251" t="s">
        <v>60</v>
      </c>
      <c r="G51" s="252">
        <v>26</v>
      </c>
      <c r="H51" s="253">
        <v>17</v>
      </c>
      <c r="I51" s="448">
        <f t="shared" ref="I51:I60" si="22">IF(J51="","",J51/G51)</f>
        <v>0.42307692307692307</v>
      </c>
      <c r="J51" s="253">
        <v>11</v>
      </c>
      <c r="K51" s="254">
        <f t="shared" ref="K51:K128" si="23">IF(L51="","",L51/G51)</f>
        <v>0.23076923076923078</v>
      </c>
      <c r="L51" s="255">
        <v>6</v>
      </c>
      <c r="M51" s="254">
        <f>IF(N51="","",N51/L51)</f>
        <v>0.66666666666666663</v>
      </c>
      <c r="N51" s="851">
        <v>4</v>
      </c>
      <c r="O51" s="242"/>
      <c r="P51" s="243"/>
      <c r="Q51" s="242">
        <v>1</v>
      </c>
      <c r="R51" s="243">
        <v>1</v>
      </c>
      <c r="S51" s="724" t="s">
        <v>21</v>
      </c>
      <c r="T51" s="725" t="s">
        <v>21</v>
      </c>
      <c r="U51" s="724" t="s">
        <v>21</v>
      </c>
      <c r="V51" s="726" t="s">
        <v>21</v>
      </c>
      <c r="W51" s="216" t="s">
        <v>206</v>
      </c>
      <c r="AB51" s="2" t="str">
        <f t="shared" si="5"/>
        <v>France</v>
      </c>
    </row>
    <row r="52" spans="1:28">
      <c r="A52" s="20" t="str">
        <f t="shared" si="21"/>
        <v/>
      </c>
      <c r="B52" s="1007"/>
      <c r="C52" s="1009"/>
      <c r="D52" s="991"/>
      <c r="E52" s="902" t="s">
        <v>12</v>
      </c>
      <c r="F52" s="251" t="s">
        <v>60</v>
      </c>
      <c r="G52" s="252"/>
      <c r="H52" s="253"/>
      <c r="I52" s="448" t="str">
        <f t="shared" si="22"/>
        <v/>
      </c>
      <c r="J52" s="253"/>
      <c r="K52" s="254" t="str">
        <f t="shared" si="23"/>
        <v/>
      </c>
      <c r="L52" s="255"/>
      <c r="M52" s="254" t="str">
        <f t="shared" ref="M52:M128" si="24">IF(N52="","",N52/L52)</f>
        <v/>
      </c>
      <c r="N52" s="851" t="s">
        <v>203</v>
      </c>
      <c r="O52" s="242"/>
      <c r="P52" s="243"/>
      <c r="Q52" s="242"/>
      <c r="R52" s="243"/>
      <c r="S52" s="724" t="s">
        <v>21</v>
      </c>
      <c r="T52" s="725" t="s">
        <v>21</v>
      </c>
      <c r="U52" s="724" t="s">
        <v>21</v>
      </c>
      <c r="V52" s="726" t="s">
        <v>21</v>
      </c>
      <c r="W52" s="216" t="s">
        <v>206</v>
      </c>
      <c r="AB52" s="2" t="str">
        <f t="shared" si="5"/>
        <v/>
      </c>
    </row>
    <row r="53" spans="1:28">
      <c r="A53" s="20" t="str">
        <f t="shared" si="21"/>
        <v>X</v>
      </c>
      <c r="B53" s="1007"/>
      <c r="C53" s="1009"/>
      <c r="D53" s="991"/>
      <c r="E53" s="902" t="s">
        <v>7</v>
      </c>
      <c r="F53" s="251" t="s">
        <v>60</v>
      </c>
      <c r="G53" s="252">
        <v>29</v>
      </c>
      <c r="H53" s="253">
        <v>16</v>
      </c>
      <c r="I53" s="448">
        <f t="shared" si="22"/>
        <v>0.37931034482758619</v>
      </c>
      <c r="J53" s="253">
        <v>11</v>
      </c>
      <c r="K53" s="254">
        <f t="shared" si="23"/>
        <v>0.31034482758620691</v>
      </c>
      <c r="L53" s="255">
        <v>9</v>
      </c>
      <c r="M53" s="254">
        <f t="shared" si="24"/>
        <v>0.55555555555555558</v>
      </c>
      <c r="N53" s="851">
        <v>5</v>
      </c>
      <c r="O53" s="242">
        <v>4</v>
      </c>
      <c r="P53" s="243">
        <v>3</v>
      </c>
      <c r="Q53" s="242">
        <v>49</v>
      </c>
      <c r="R53" s="243">
        <v>36</v>
      </c>
      <c r="S53" s="724" t="s">
        <v>21</v>
      </c>
      <c r="T53" s="725" t="s">
        <v>21</v>
      </c>
      <c r="U53" s="724" t="s">
        <v>21</v>
      </c>
      <c r="V53" s="726" t="s">
        <v>21</v>
      </c>
      <c r="W53" s="216" t="s">
        <v>206</v>
      </c>
      <c r="AB53" s="2" t="str">
        <f t="shared" si="5"/>
        <v>France</v>
      </c>
    </row>
    <row r="54" spans="1:28">
      <c r="A54" s="20" t="str">
        <f t="shared" si="21"/>
        <v>X</v>
      </c>
      <c r="B54" s="1007"/>
      <c r="C54" s="1009"/>
      <c r="D54" s="991"/>
      <c r="E54" s="902" t="s">
        <v>132</v>
      </c>
      <c r="F54" s="251" t="s">
        <v>60</v>
      </c>
      <c r="G54" s="252">
        <v>18</v>
      </c>
      <c r="H54" s="253">
        <v>9</v>
      </c>
      <c r="I54" s="448">
        <f t="shared" si="22"/>
        <v>0.33333333333333331</v>
      </c>
      <c r="J54" s="253">
        <v>6</v>
      </c>
      <c r="K54" s="254">
        <f t="shared" si="23"/>
        <v>0.16666666666666666</v>
      </c>
      <c r="L54" s="255">
        <v>3</v>
      </c>
      <c r="M54" s="254">
        <f t="shared" si="24"/>
        <v>1</v>
      </c>
      <c r="N54" s="851">
        <v>3</v>
      </c>
      <c r="O54" s="242"/>
      <c r="P54" s="243"/>
      <c r="Q54" s="242"/>
      <c r="R54" s="243"/>
      <c r="S54" s="724" t="s">
        <v>21</v>
      </c>
      <c r="T54" s="725" t="s">
        <v>21</v>
      </c>
      <c r="U54" s="724" t="s">
        <v>21</v>
      </c>
      <c r="V54" s="726" t="s">
        <v>21</v>
      </c>
      <c r="W54" s="216" t="s">
        <v>206</v>
      </c>
      <c r="AB54" s="2" t="str">
        <f t="shared" si="5"/>
        <v>France</v>
      </c>
    </row>
    <row r="55" spans="1:28">
      <c r="A55" s="20" t="str">
        <f t="shared" si="21"/>
        <v/>
      </c>
      <c r="B55" s="1007"/>
      <c r="C55" s="1009"/>
      <c r="D55" s="991"/>
      <c r="E55" s="902" t="s">
        <v>8</v>
      </c>
      <c r="F55" s="251" t="s">
        <v>60</v>
      </c>
      <c r="G55" s="252"/>
      <c r="H55" s="253"/>
      <c r="I55" s="448" t="str">
        <f t="shared" si="22"/>
        <v/>
      </c>
      <c r="J55" s="253"/>
      <c r="K55" s="254" t="str">
        <f t="shared" si="23"/>
        <v/>
      </c>
      <c r="L55" s="255"/>
      <c r="M55" s="254" t="str">
        <f t="shared" si="24"/>
        <v/>
      </c>
      <c r="N55" s="851" t="s">
        <v>203</v>
      </c>
      <c r="O55" s="242"/>
      <c r="P55" s="243"/>
      <c r="Q55" s="242"/>
      <c r="R55" s="243"/>
      <c r="S55" s="724" t="s">
        <v>21</v>
      </c>
      <c r="T55" s="725" t="s">
        <v>21</v>
      </c>
      <c r="U55" s="724" t="s">
        <v>21</v>
      </c>
      <c r="V55" s="726" t="s">
        <v>21</v>
      </c>
      <c r="W55" s="216" t="s">
        <v>206</v>
      </c>
      <c r="AB55" s="2" t="str">
        <f t="shared" si="5"/>
        <v/>
      </c>
    </row>
    <row r="56" spans="1:28">
      <c r="A56" s="20" t="str">
        <f t="shared" si="21"/>
        <v>X</v>
      </c>
      <c r="B56" s="1007"/>
      <c r="C56" s="1009"/>
      <c r="D56" s="991"/>
      <c r="E56" s="902" t="s">
        <v>6</v>
      </c>
      <c r="F56" s="251" t="s">
        <v>60</v>
      </c>
      <c r="G56" s="252">
        <v>14</v>
      </c>
      <c r="H56" s="253">
        <v>10</v>
      </c>
      <c r="I56" s="448">
        <f t="shared" si="22"/>
        <v>0.2857142857142857</v>
      </c>
      <c r="J56" s="253">
        <v>4</v>
      </c>
      <c r="K56" s="254">
        <f t="shared" si="23"/>
        <v>0.21428571428571427</v>
      </c>
      <c r="L56" s="255">
        <v>3</v>
      </c>
      <c r="M56" s="254">
        <f t="shared" si="24"/>
        <v>0.66666666666666663</v>
      </c>
      <c r="N56" s="851">
        <v>2</v>
      </c>
      <c r="O56" s="242">
        <v>1</v>
      </c>
      <c r="P56" s="243">
        <v>1</v>
      </c>
      <c r="Q56" s="242"/>
      <c r="R56" s="243"/>
      <c r="S56" s="724" t="s">
        <v>21</v>
      </c>
      <c r="T56" s="725" t="s">
        <v>21</v>
      </c>
      <c r="U56" s="724" t="s">
        <v>21</v>
      </c>
      <c r="V56" s="726" t="s">
        <v>21</v>
      </c>
      <c r="W56" s="216" t="s">
        <v>206</v>
      </c>
      <c r="AB56" s="2" t="str">
        <f t="shared" si="5"/>
        <v>France</v>
      </c>
    </row>
    <row r="57" spans="1:28" ht="15" customHeight="1">
      <c r="A57" s="20" t="str">
        <f t="shared" si="21"/>
        <v/>
      </c>
      <c r="B57" s="1007"/>
      <c r="C57" s="1009"/>
      <c r="D57" s="991"/>
      <c r="E57" s="902" t="s">
        <v>228</v>
      </c>
      <c r="F57" s="251" t="s">
        <v>60</v>
      </c>
      <c r="G57" s="252"/>
      <c r="H57" s="253"/>
      <c r="I57" s="448" t="str">
        <f t="shared" si="22"/>
        <v/>
      </c>
      <c r="J57" s="253"/>
      <c r="K57" s="254" t="str">
        <f t="shared" si="23"/>
        <v/>
      </c>
      <c r="L57" s="255"/>
      <c r="M57" s="254" t="str">
        <f t="shared" si="24"/>
        <v/>
      </c>
      <c r="N57" s="851" t="s">
        <v>203</v>
      </c>
      <c r="O57" s="242"/>
      <c r="P57" s="243"/>
      <c r="Q57" s="242"/>
      <c r="R57" s="243"/>
      <c r="S57" s="724" t="s">
        <v>21</v>
      </c>
      <c r="T57" s="725" t="s">
        <v>21</v>
      </c>
      <c r="U57" s="724" t="s">
        <v>21</v>
      </c>
      <c r="V57" s="726" t="s">
        <v>21</v>
      </c>
      <c r="W57" s="216" t="s">
        <v>206</v>
      </c>
      <c r="AB57" s="2" t="str">
        <f t="shared" si="5"/>
        <v/>
      </c>
    </row>
    <row r="58" spans="1:28" ht="15" customHeight="1">
      <c r="A58" s="20" t="str">
        <f t="shared" si="21"/>
        <v/>
      </c>
      <c r="B58" s="1007"/>
      <c r="C58" s="1009"/>
      <c r="D58" s="991"/>
      <c r="E58" s="902" t="s">
        <v>229</v>
      </c>
      <c r="F58" s="251" t="s">
        <v>60</v>
      </c>
      <c r="G58" s="252"/>
      <c r="H58" s="253"/>
      <c r="I58" s="448" t="str">
        <f t="shared" si="22"/>
        <v/>
      </c>
      <c r="J58" s="253"/>
      <c r="K58" s="254" t="str">
        <f t="shared" si="23"/>
        <v/>
      </c>
      <c r="L58" s="255"/>
      <c r="M58" s="254" t="str">
        <f t="shared" si="24"/>
        <v/>
      </c>
      <c r="N58" s="851" t="s">
        <v>203</v>
      </c>
      <c r="O58" s="242"/>
      <c r="P58" s="243"/>
      <c r="Q58" s="242"/>
      <c r="R58" s="243"/>
      <c r="S58" s="724" t="s">
        <v>21</v>
      </c>
      <c r="T58" s="725" t="s">
        <v>21</v>
      </c>
      <c r="U58" s="724" t="s">
        <v>21</v>
      </c>
      <c r="V58" s="726" t="s">
        <v>21</v>
      </c>
      <c r="W58" s="216" t="s">
        <v>206</v>
      </c>
      <c r="AB58" s="2" t="str">
        <f t="shared" si="5"/>
        <v/>
      </c>
    </row>
    <row r="59" spans="1:28">
      <c r="A59" s="20" t="str">
        <f t="shared" si="21"/>
        <v>X</v>
      </c>
      <c r="B59" s="1007"/>
      <c r="C59" s="1009"/>
      <c r="D59" s="991"/>
      <c r="E59" s="902" t="s">
        <v>198</v>
      </c>
      <c r="F59" s="251" t="s">
        <v>60</v>
      </c>
      <c r="G59" s="252">
        <v>11</v>
      </c>
      <c r="H59" s="253">
        <v>7</v>
      </c>
      <c r="I59" s="448">
        <f t="shared" si="22"/>
        <v>0.63636363636363635</v>
      </c>
      <c r="J59" s="253">
        <v>7</v>
      </c>
      <c r="K59" s="254">
        <f t="shared" si="23"/>
        <v>9.0909090909090912E-2</v>
      </c>
      <c r="L59" s="255">
        <v>1</v>
      </c>
      <c r="M59" s="254">
        <f t="shared" si="24"/>
        <v>1</v>
      </c>
      <c r="N59" s="851">
        <v>1</v>
      </c>
      <c r="O59" s="242"/>
      <c r="P59" s="243"/>
      <c r="Q59" s="242"/>
      <c r="R59" s="243"/>
      <c r="S59" s="724" t="s">
        <v>21</v>
      </c>
      <c r="T59" s="725" t="s">
        <v>21</v>
      </c>
      <c r="U59" s="724" t="s">
        <v>21</v>
      </c>
      <c r="V59" s="726" t="s">
        <v>21</v>
      </c>
      <c r="W59" s="216" t="s">
        <v>206</v>
      </c>
      <c r="AB59" s="2" t="str">
        <f t="shared" si="5"/>
        <v>France</v>
      </c>
    </row>
    <row r="60" spans="1:28">
      <c r="A60" s="20" t="str">
        <f t="shared" si="21"/>
        <v/>
      </c>
      <c r="B60" s="1007"/>
      <c r="C60" s="1009"/>
      <c r="D60" s="991"/>
      <c r="E60" s="902" t="s">
        <v>9</v>
      </c>
      <c r="F60" s="251" t="s">
        <v>60</v>
      </c>
      <c r="G60" s="252" t="s">
        <v>203</v>
      </c>
      <c r="H60" s="253" t="s">
        <v>203</v>
      </c>
      <c r="I60" s="448" t="str">
        <f t="shared" si="22"/>
        <v/>
      </c>
      <c r="J60" s="253" t="s">
        <v>203</v>
      </c>
      <c r="K60" s="254" t="str">
        <f t="shared" si="23"/>
        <v/>
      </c>
      <c r="L60" s="255" t="s">
        <v>203</v>
      </c>
      <c r="M60" s="254" t="str">
        <f t="shared" si="24"/>
        <v/>
      </c>
      <c r="N60" s="851" t="s">
        <v>203</v>
      </c>
      <c r="O60" s="242"/>
      <c r="P60" s="243"/>
      <c r="Q60" s="242"/>
      <c r="R60" s="243"/>
      <c r="S60" s="724" t="s">
        <v>21</v>
      </c>
      <c r="T60" s="725" t="s">
        <v>21</v>
      </c>
      <c r="U60" s="724" t="s">
        <v>21</v>
      </c>
      <c r="V60" s="726" t="s">
        <v>21</v>
      </c>
      <c r="W60" s="216" t="s">
        <v>206</v>
      </c>
      <c r="AB60" s="2" t="str">
        <f t="shared" si="5"/>
        <v/>
      </c>
    </row>
    <row r="61" spans="1:28" ht="15.75" customHeight="1">
      <c r="A61" s="20" t="str">
        <f t="shared" si="21"/>
        <v/>
      </c>
      <c r="B61" s="1007"/>
      <c r="C61" s="1009"/>
      <c r="D61" s="991"/>
      <c r="E61" s="961" t="s">
        <v>166</v>
      </c>
      <c r="F61" s="251"/>
      <c r="G61" s="252"/>
      <c r="H61" s="253"/>
      <c r="I61" s="747"/>
      <c r="J61" s="253"/>
      <c r="K61" s="254"/>
      <c r="L61" s="255"/>
      <c r="M61" s="254"/>
      <c r="N61" s="851"/>
      <c r="O61" s="242"/>
      <c r="P61" s="243"/>
      <c r="Q61" s="242"/>
      <c r="R61" s="243"/>
      <c r="S61" s="724" t="s">
        <v>21</v>
      </c>
      <c r="T61" s="725" t="s">
        <v>21</v>
      </c>
      <c r="U61" s="724" t="s">
        <v>21</v>
      </c>
      <c r="V61" s="726" t="s">
        <v>21</v>
      </c>
      <c r="W61" s="216"/>
    </row>
    <row r="62" spans="1:28" ht="15.75" customHeight="1">
      <c r="A62" s="20" t="str">
        <f t="shared" si="21"/>
        <v/>
      </c>
      <c r="B62" s="1007"/>
      <c r="C62" s="1009"/>
      <c r="D62" s="991"/>
      <c r="E62" s="961" t="s">
        <v>166</v>
      </c>
      <c r="F62" s="251"/>
      <c r="G62" s="252"/>
      <c r="H62" s="253"/>
      <c r="I62" s="747"/>
      <c r="J62" s="253"/>
      <c r="K62" s="254"/>
      <c r="L62" s="255"/>
      <c r="M62" s="254"/>
      <c r="N62" s="851"/>
      <c r="O62" s="242"/>
      <c r="P62" s="243"/>
      <c r="Q62" s="242"/>
      <c r="R62" s="243"/>
      <c r="S62" s="724" t="s">
        <v>21</v>
      </c>
      <c r="T62" s="725" t="s">
        <v>21</v>
      </c>
      <c r="U62" s="724" t="s">
        <v>21</v>
      </c>
      <c r="V62" s="726" t="s">
        <v>21</v>
      </c>
      <c r="W62" s="216"/>
    </row>
    <row r="63" spans="1:28" ht="15.75" customHeight="1">
      <c r="A63" s="20" t="str">
        <f t="shared" si="21"/>
        <v/>
      </c>
      <c r="B63" s="1007"/>
      <c r="C63" s="1009"/>
      <c r="D63" s="991"/>
      <c r="E63" s="962" t="s">
        <v>166</v>
      </c>
      <c r="F63" s="459"/>
      <c r="G63" s="257"/>
      <c r="H63" s="258"/>
      <c r="I63" s="748"/>
      <c r="J63" s="258"/>
      <c r="K63" s="259"/>
      <c r="L63" s="260"/>
      <c r="M63" s="259"/>
      <c r="N63" s="856"/>
      <c r="O63" s="244"/>
      <c r="P63" s="245"/>
      <c r="Q63" s="244"/>
      <c r="R63" s="245"/>
      <c r="S63" s="727" t="s">
        <v>21</v>
      </c>
      <c r="T63" s="728" t="s">
        <v>21</v>
      </c>
      <c r="U63" s="727" t="s">
        <v>21</v>
      </c>
      <c r="V63" s="729" t="s">
        <v>21</v>
      </c>
      <c r="W63" s="216"/>
    </row>
    <row r="64" spans="1:28" ht="16.5" thickBot="1">
      <c r="A64" s="20" t="str">
        <f t="shared" si="21"/>
        <v>S</v>
      </c>
      <c r="B64" s="1008"/>
      <c r="C64" s="1011"/>
      <c r="D64" s="334" t="s">
        <v>138</v>
      </c>
      <c r="E64" s="913"/>
      <c r="F64" s="231"/>
      <c r="G64" s="7">
        <f>SUM(G50:G63)</f>
        <v>148</v>
      </c>
      <c r="H64" s="8">
        <f>SUM(H50:H63)</f>
        <v>96</v>
      </c>
      <c r="I64" s="9">
        <f>IF(J64="","",J64/G64)</f>
        <v>0.49324324324324326</v>
      </c>
      <c r="J64" s="213">
        <f>SUM(J50:J63)</f>
        <v>73</v>
      </c>
      <c r="K64" s="9">
        <f t="shared" si="23"/>
        <v>0.22297297297297297</v>
      </c>
      <c r="L64" s="213">
        <f>SUM(L50:L63)</f>
        <v>33</v>
      </c>
      <c r="M64" s="9">
        <f t="shared" si="24"/>
        <v>0.72727272727272729</v>
      </c>
      <c r="N64" s="213">
        <f t="shared" ref="N64:V64" si="25">SUM(N50:N63)</f>
        <v>24</v>
      </c>
      <c r="O64" s="542">
        <f t="shared" si="25"/>
        <v>8</v>
      </c>
      <c r="P64" s="543">
        <f t="shared" si="25"/>
        <v>7</v>
      </c>
      <c r="Q64" s="542">
        <f t="shared" si="25"/>
        <v>52</v>
      </c>
      <c r="R64" s="543">
        <f t="shared" si="25"/>
        <v>39</v>
      </c>
      <c r="S64" s="542">
        <f t="shared" si="25"/>
        <v>0</v>
      </c>
      <c r="T64" s="543">
        <f t="shared" si="25"/>
        <v>0</v>
      </c>
      <c r="U64" s="542">
        <f t="shared" si="25"/>
        <v>0</v>
      </c>
      <c r="V64" s="544">
        <f t="shared" si="25"/>
        <v>0</v>
      </c>
      <c r="W64" s="216" t="s">
        <v>206</v>
      </c>
      <c r="AB64" s="2">
        <f t="shared" si="5"/>
        <v>0</v>
      </c>
    </row>
    <row r="65" spans="1:28" s="15" customFormat="1" ht="27.75" customHeight="1" thickBot="1">
      <c r="A65" s="20" t="str">
        <f t="shared" si="21"/>
        <v>X</v>
      </c>
      <c r="B65" s="103" t="s">
        <v>78</v>
      </c>
      <c r="C65" s="331"/>
      <c r="D65" s="331">
        <f>SUM(D5:D60)</f>
        <v>37</v>
      </c>
      <c r="E65" s="895" t="s">
        <v>79</v>
      </c>
      <c r="F65" s="396"/>
      <c r="G65" s="364">
        <f>G8+G12+G34+G49+G64</f>
        <v>1219</v>
      </c>
      <c r="H65" s="365">
        <f>H8+H12+H34+H49+H64</f>
        <v>894</v>
      </c>
      <c r="I65" s="366">
        <f t="shared" ref="I65:I142" si="26">IF(J65="","",J65/G65)</f>
        <v>0.27973748974569318</v>
      </c>
      <c r="J65" s="34">
        <f>J8+J12+J34+J49+J64</f>
        <v>341</v>
      </c>
      <c r="K65" s="230">
        <f t="shared" si="23"/>
        <v>0.30844954881050041</v>
      </c>
      <c r="L65" s="34">
        <f>L8+L12+L34+L49+L64</f>
        <v>376</v>
      </c>
      <c r="M65" s="366">
        <f t="shared" si="24"/>
        <v>0.31648936170212766</v>
      </c>
      <c r="N65" s="34">
        <f t="shared" ref="N65:V65" si="27">N8+N12+N34+N49+N64</f>
        <v>119</v>
      </c>
      <c r="O65" s="35">
        <f t="shared" si="27"/>
        <v>353</v>
      </c>
      <c r="P65" s="36">
        <f t="shared" si="27"/>
        <v>7</v>
      </c>
      <c r="Q65" s="35">
        <f t="shared" si="27"/>
        <v>68</v>
      </c>
      <c r="R65" s="36">
        <f t="shared" si="27"/>
        <v>39</v>
      </c>
      <c r="S65" s="285">
        <f t="shared" si="27"/>
        <v>135</v>
      </c>
      <c r="T65" s="284">
        <f t="shared" si="27"/>
        <v>68</v>
      </c>
      <c r="U65" s="285">
        <f t="shared" si="27"/>
        <v>7</v>
      </c>
      <c r="V65" s="363">
        <f t="shared" si="27"/>
        <v>5</v>
      </c>
      <c r="W65" s="516" t="s">
        <v>206</v>
      </c>
      <c r="X65" s="386"/>
      <c r="Y65" s="1"/>
      <c r="AB65" s="2">
        <f t="shared" si="5"/>
        <v>0</v>
      </c>
    </row>
    <row r="66" spans="1:28" ht="15" customHeight="1">
      <c r="A66" s="20" t="str">
        <f t="shared" si="21"/>
        <v/>
      </c>
      <c r="B66" s="1012" t="s">
        <v>84</v>
      </c>
      <c r="C66" s="1015" t="s">
        <v>76</v>
      </c>
      <c r="D66" s="1002">
        <v>10</v>
      </c>
      <c r="E66" s="921" t="s">
        <v>25</v>
      </c>
      <c r="F66" s="503" t="s">
        <v>60</v>
      </c>
      <c r="G66" s="247"/>
      <c r="H66" s="248"/>
      <c r="I66" s="249" t="str">
        <f t="shared" si="26"/>
        <v/>
      </c>
      <c r="J66" s="250"/>
      <c r="K66" s="249" t="str">
        <f t="shared" si="23"/>
        <v/>
      </c>
      <c r="L66" s="250"/>
      <c r="M66" s="249" t="str">
        <f t="shared" si="24"/>
        <v/>
      </c>
      <c r="N66" s="846"/>
      <c r="O66" s="240"/>
      <c r="P66" s="241"/>
      <c r="Q66" s="240"/>
      <c r="R66" s="241"/>
      <c r="S66" s="721"/>
      <c r="T66" s="722"/>
      <c r="U66" s="721"/>
      <c r="V66" s="723"/>
      <c r="W66" s="516" t="s">
        <v>206</v>
      </c>
      <c r="AB66" s="2" t="str">
        <f t="shared" si="5"/>
        <v/>
      </c>
    </row>
    <row r="67" spans="1:28" ht="15" customHeight="1">
      <c r="A67" s="20" t="str">
        <f t="shared" si="21"/>
        <v>X</v>
      </c>
      <c r="B67" s="1013"/>
      <c r="C67" s="1016"/>
      <c r="D67" s="994"/>
      <c r="E67" s="905" t="s">
        <v>26</v>
      </c>
      <c r="F67" s="438" t="s">
        <v>60</v>
      </c>
      <c r="G67" s="252">
        <v>620</v>
      </c>
      <c r="H67" s="253">
        <v>331</v>
      </c>
      <c r="I67" s="254">
        <f t="shared" si="26"/>
        <v>0.43870967741935485</v>
      </c>
      <c r="J67" s="255">
        <v>272</v>
      </c>
      <c r="K67" s="254">
        <f t="shared" si="23"/>
        <v>0.36774193548387096</v>
      </c>
      <c r="L67" s="255">
        <v>228</v>
      </c>
      <c r="M67" s="254" t="str">
        <f t="shared" si="24"/>
        <v/>
      </c>
      <c r="N67" s="851"/>
      <c r="O67" s="242"/>
      <c r="P67" s="243"/>
      <c r="Q67" s="242"/>
      <c r="R67" s="243"/>
      <c r="S67" s="724"/>
      <c r="T67" s="725"/>
      <c r="U67" s="724"/>
      <c r="V67" s="726"/>
      <c r="W67" s="516" t="s">
        <v>206</v>
      </c>
      <c r="AB67" s="2" t="str">
        <f t="shared" si="5"/>
        <v>France</v>
      </c>
    </row>
    <row r="68" spans="1:28" ht="15" customHeight="1">
      <c r="A68" s="20" t="str">
        <f t="shared" si="21"/>
        <v>X</v>
      </c>
      <c r="B68" s="1013"/>
      <c r="C68" s="1016"/>
      <c r="D68" s="994"/>
      <c r="E68" s="905" t="s">
        <v>58</v>
      </c>
      <c r="F68" s="438" t="s">
        <v>60</v>
      </c>
      <c r="G68" s="252">
        <v>325</v>
      </c>
      <c r="H68" s="253">
        <v>227</v>
      </c>
      <c r="I68" s="254">
        <f t="shared" si="26"/>
        <v>0.51692307692307693</v>
      </c>
      <c r="J68" s="255">
        <v>168</v>
      </c>
      <c r="K68" s="254">
        <f t="shared" si="23"/>
        <v>0.4</v>
      </c>
      <c r="L68" s="255">
        <v>130</v>
      </c>
      <c r="M68" s="254" t="str">
        <f t="shared" si="24"/>
        <v/>
      </c>
      <c r="N68" s="851"/>
      <c r="O68" s="242"/>
      <c r="P68" s="243"/>
      <c r="Q68" s="242"/>
      <c r="R68" s="243"/>
      <c r="S68" s="724" t="s">
        <v>21</v>
      </c>
      <c r="T68" s="725" t="s">
        <v>21</v>
      </c>
      <c r="U68" s="724" t="s">
        <v>21</v>
      </c>
      <c r="V68" s="726" t="s">
        <v>21</v>
      </c>
      <c r="W68" s="516" t="s">
        <v>206</v>
      </c>
      <c r="AB68" s="2" t="str">
        <f t="shared" si="5"/>
        <v>France</v>
      </c>
    </row>
    <row r="69" spans="1:28" ht="15" customHeight="1">
      <c r="A69" s="20" t="str">
        <f t="shared" si="21"/>
        <v>X</v>
      </c>
      <c r="B69" s="1013"/>
      <c r="C69" s="1016"/>
      <c r="D69" s="994"/>
      <c r="E69" s="905" t="s">
        <v>24</v>
      </c>
      <c r="F69" s="438" t="s">
        <v>62</v>
      </c>
      <c r="G69" s="252">
        <v>180</v>
      </c>
      <c r="H69" s="253">
        <v>92</v>
      </c>
      <c r="I69" s="254">
        <f t="shared" si="26"/>
        <v>0.43888888888888888</v>
      </c>
      <c r="J69" s="255">
        <v>79</v>
      </c>
      <c r="K69" s="254">
        <f t="shared" si="23"/>
        <v>0.40555555555555556</v>
      </c>
      <c r="L69" s="255">
        <v>73</v>
      </c>
      <c r="M69" s="254" t="str">
        <f t="shared" si="24"/>
        <v/>
      </c>
      <c r="N69" s="851"/>
      <c r="O69" s="242"/>
      <c r="P69" s="243"/>
      <c r="Q69" s="242"/>
      <c r="R69" s="243"/>
      <c r="S69" s="724"/>
      <c r="T69" s="725"/>
      <c r="U69" s="724"/>
      <c r="V69" s="726"/>
      <c r="W69" s="516" t="s">
        <v>206</v>
      </c>
      <c r="AB69" s="2" t="str">
        <f t="shared" si="5"/>
        <v>Frontière</v>
      </c>
    </row>
    <row r="70" spans="1:28" ht="15" customHeight="1">
      <c r="A70" s="20" t="str">
        <f t="shared" si="21"/>
        <v>X</v>
      </c>
      <c r="B70" s="1013"/>
      <c r="C70" s="1016"/>
      <c r="D70" s="994"/>
      <c r="E70" s="905" t="s">
        <v>23</v>
      </c>
      <c r="F70" s="438" t="s">
        <v>60</v>
      </c>
      <c r="G70" s="252">
        <v>366</v>
      </c>
      <c r="H70" s="253">
        <v>180</v>
      </c>
      <c r="I70" s="254">
        <f t="shared" si="26"/>
        <v>0.43169398907103823</v>
      </c>
      <c r="J70" s="255">
        <v>158</v>
      </c>
      <c r="K70" s="254">
        <f t="shared" si="23"/>
        <v>0.39071038251366119</v>
      </c>
      <c r="L70" s="255">
        <v>143</v>
      </c>
      <c r="M70" s="254" t="str">
        <f t="shared" si="24"/>
        <v/>
      </c>
      <c r="N70" s="851"/>
      <c r="O70" s="242"/>
      <c r="P70" s="243"/>
      <c r="Q70" s="242"/>
      <c r="R70" s="243"/>
      <c r="S70" s="724" t="s">
        <v>21</v>
      </c>
      <c r="T70" s="725" t="s">
        <v>21</v>
      </c>
      <c r="U70" s="724" t="s">
        <v>21</v>
      </c>
      <c r="V70" s="726" t="s">
        <v>21</v>
      </c>
      <c r="W70" s="516" t="s">
        <v>206</v>
      </c>
      <c r="AB70" s="2" t="str">
        <f t="shared" si="5"/>
        <v>France</v>
      </c>
    </row>
    <row r="71" spans="1:28" ht="15" customHeight="1">
      <c r="A71" s="20" t="str">
        <f t="shared" si="21"/>
        <v/>
      </c>
      <c r="B71" s="1013"/>
      <c r="C71" s="1016"/>
      <c r="D71" s="994"/>
      <c r="E71" s="961" t="s">
        <v>166</v>
      </c>
      <c r="F71" s="438" t="s">
        <v>203</v>
      </c>
      <c r="G71" s="252"/>
      <c r="H71" s="253"/>
      <c r="I71" s="254" t="str">
        <f t="shared" si="26"/>
        <v/>
      </c>
      <c r="J71" s="255"/>
      <c r="K71" s="254" t="str">
        <f t="shared" si="23"/>
        <v/>
      </c>
      <c r="L71" s="255"/>
      <c r="M71" s="254" t="str">
        <f t="shared" si="24"/>
        <v/>
      </c>
      <c r="N71" s="851"/>
      <c r="O71" s="242"/>
      <c r="P71" s="243"/>
      <c r="Q71" s="242"/>
      <c r="R71" s="243"/>
      <c r="S71" s="724"/>
      <c r="T71" s="725"/>
      <c r="U71" s="724"/>
      <c r="V71" s="726"/>
      <c r="W71" s="516" t="s">
        <v>206</v>
      </c>
      <c r="AB71" s="2" t="str">
        <f t="shared" si="5"/>
        <v/>
      </c>
    </row>
    <row r="72" spans="1:28" ht="15" customHeight="1">
      <c r="A72" s="20" t="str">
        <f t="shared" si="21"/>
        <v/>
      </c>
      <c r="B72" s="1013"/>
      <c r="C72" s="1016"/>
      <c r="D72" s="994"/>
      <c r="E72" s="961" t="s">
        <v>166</v>
      </c>
      <c r="F72" s="438" t="s">
        <v>203</v>
      </c>
      <c r="G72" s="252"/>
      <c r="H72" s="253"/>
      <c r="I72" s="254" t="str">
        <f t="shared" si="26"/>
        <v/>
      </c>
      <c r="J72" s="255"/>
      <c r="K72" s="254" t="str">
        <f t="shared" si="23"/>
        <v/>
      </c>
      <c r="L72" s="255"/>
      <c r="M72" s="254" t="str">
        <f t="shared" si="24"/>
        <v/>
      </c>
      <c r="N72" s="851"/>
      <c r="O72" s="242"/>
      <c r="P72" s="243"/>
      <c r="Q72" s="242"/>
      <c r="R72" s="243"/>
      <c r="S72" s="724"/>
      <c r="T72" s="725"/>
      <c r="U72" s="724"/>
      <c r="V72" s="726"/>
      <c r="W72" s="516" t="s">
        <v>206</v>
      </c>
      <c r="AB72" s="2" t="str">
        <f t="shared" si="5"/>
        <v/>
      </c>
    </row>
    <row r="73" spans="1:28" ht="15" customHeight="1">
      <c r="A73" s="20" t="str">
        <f t="shared" si="21"/>
        <v>X</v>
      </c>
      <c r="B73" s="1013"/>
      <c r="C73" s="1016"/>
      <c r="D73" s="994"/>
      <c r="E73" s="905" t="s">
        <v>22</v>
      </c>
      <c r="F73" s="438" t="s">
        <v>62</v>
      </c>
      <c r="G73" s="252">
        <v>123</v>
      </c>
      <c r="H73" s="253">
        <v>90</v>
      </c>
      <c r="I73" s="254">
        <f t="shared" si="26"/>
        <v>0.32520325203252032</v>
      </c>
      <c r="J73" s="255">
        <v>40</v>
      </c>
      <c r="K73" s="254">
        <f t="shared" si="23"/>
        <v>0.34959349593495936</v>
      </c>
      <c r="L73" s="255">
        <v>43</v>
      </c>
      <c r="M73" s="254" t="str">
        <f t="shared" si="24"/>
        <v/>
      </c>
      <c r="N73" s="851"/>
      <c r="O73" s="242"/>
      <c r="P73" s="243"/>
      <c r="Q73" s="242"/>
      <c r="R73" s="243"/>
      <c r="S73" s="724"/>
      <c r="T73" s="725"/>
      <c r="U73" s="724"/>
      <c r="V73" s="726"/>
      <c r="W73" s="516" t="s">
        <v>206</v>
      </c>
      <c r="AB73" s="2" t="str">
        <f t="shared" si="5"/>
        <v>Frontière</v>
      </c>
    </row>
    <row r="74" spans="1:28" ht="15" customHeight="1">
      <c r="A74" s="20" t="str">
        <f t="shared" si="21"/>
        <v/>
      </c>
      <c r="B74" s="1013"/>
      <c r="C74" s="1016"/>
      <c r="D74" s="994"/>
      <c r="E74" s="961" t="s">
        <v>166</v>
      </c>
      <c r="F74" s="438"/>
      <c r="G74" s="252"/>
      <c r="H74" s="253"/>
      <c r="I74" s="254"/>
      <c r="J74" s="255"/>
      <c r="K74" s="254"/>
      <c r="L74" s="255"/>
      <c r="M74" s="254"/>
      <c r="N74" s="851"/>
      <c r="O74" s="242"/>
      <c r="P74" s="243"/>
      <c r="Q74" s="242"/>
      <c r="R74" s="243"/>
      <c r="S74" s="724"/>
      <c r="T74" s="725"/>
      <c r="U74" s="724"/>
      <c r="V74" s="726"/>
      <c r="W74" s="516"/>
    </row>
    <row r="75" spans="1:28" ht="15" customHeight="1">
      <c r="A75" s="20" t="str">
        <f t="shared" si="21"/>
        <v/>
      </c>
      <c r="B75" s="1013"/>
      <c r="C75" s="1016"/>
      <c r="D75" s="994"/>
      <c r="E75" s="961" t="s">
        <v>166</v>
      </c>
      <c r="F75" s="438"/>
      <c r="G75" s="252"/>
      <c r="H75" s="253"/>
      <c r="I75" s="254"/>
      <c r="J75" s="255"/>
      <c r="K75" s="254"/>
      <c r="L75" s="255"/>
      <c r="M75" s="254"/>
      <c r="N75" s="851"/>
      <c r="O75" s="242"/>
      <c r="P75" s="243"/>
      <c r="Q75" s="242"/>
      <c r="R75" s="243"/>
      <c r="S75" s="724"/>
      <c r="T75" s="725"/>
      <c r="U75" s="724"/>
      <c r="V75" s="726"/>
      <c r="W75" s="516"/>
    </row>
    <row r="76" spans="1:28" ht="15" customHeight="1">
      <c r="A76" s="20" t="str">
        <f t="shared" si="21"/>
        <v/>
      </c>
      <c r="B76" s="1013"/>
      <c r="C76" s="1016"/>
      <c r="D76" s="994"/>
      <c r="E76" s="962" t="s">
        <v>166</v>
      </c>
      <c r="F76" s="480"/>
      <c r="G76" s="257"/>
      <c r="H76" s="258"/>
      <c r="I76" s="259"/>
      <c r="J76" s="260"/>
      <c r="K76" s="259"/>
      <c r="L76" s="260"/>
      <c r="M76" s="259"/>
      <c r="N76" s="856"/>
      <c r="O76" s="244"/>
      <c r="P76" s="245"/>
      <c r="Q76" s="244"/>
      <c r="R76" s="245"/>
      <c r="S76" s="727"/>
      <c r="T76" s="728"/>
      <c r="U76" s="727"/>
      <c r="V76" s="729"/>
      <c r="W76" s="516"/>
    </row>
    <row r="77" spans="1:28" ht="15.75">
      <c r="A77" s="20" t="str">
        <f t="shared" si="21"/>
        <v>S</v>
      </c>
      <c r="B77" s="1018"/>
      <c r="C77" s="1016"/>
      <c r="D77" s="332" t="s">
        <v>138</v>
      </c>
      <c r="E77" s="896"/>
      <c r="F77" s="16"/>
      <c r="G77" s="7">
        <f>SUM(G66:G76)</f>
        <v>1614</v>
      </c>
      <c r="H77" s="8">
        <f>SUM(H66:H76)</f>
        <v>920</v>
      </c>
      <c r="I77" s="9">
        <f t="shared" si="26"/>
        <v>0.44423791821561337</v>
      </c>
      <c r="J77" s="213">
        <f>SUM(J66:J76)</f>
        <v>717</v>
      </c>
      <c r="K77" s="52">
        <f t="shared" si="23"/>
        <v>0.38228004956629491</v>
      </c>
      <c r="L77" s="213">
        <f>SUM(L66:L76)</f>
        <v>617</v>
      </c>
      <c r="M77" s="9">
        <f t="shared" si="24"/>
        <v>0</v>
      </c>
      <c r="N77" s="213">
        <f>SUM(N66:N76)</f>
        <v>0</v>
      </c>
      <c r="O77" s="120">
        <f t="shared" ref="O77:V77" si="28">SUM(O66:O76)</f>
        <v>0</v>
      </c>
      <c r="P77" s="121">
        <f t="shared" si="28"/>
        <v>0</v>
      </c>
      <c r="Q77" s="120">
        <f t="shared" si="28"/>
        <v>0</v>
      </c>
      <c r="R77" s="121">
        <f t="shared" si="28"/>
        <v>0</v>
      </c>
      <c r="S77" s="120">
        <f t="shared" si="28"/>
        <v>0</v>
      </c>
      <c r="T77" s="121">
        <f t="shared" si="28"/>
        <v>0</v>
      </c>
      <c r="U77" s="120">
        <f t="shared" si="28"/>
        <v>0</v>
      </c>
      <c r="V77" s="122">
        <f t="shared" si="28"/>
        <v>0</v>
      </c>
      <c r="W77" s="216" t="s">
        <v>206</v>
      </c>
      <c r="AB77" s="2">
        <f t="shared" si="5"/>
        <v>0</v>
      </c>
    </row>
    <row r="78" spans="1:28">
      <c r="A78" s="20" t="str">
        <f t="shared" si="21"/>
        <v>X</v>
      </c>
      <c r="B78" s="1013" t="s">
        <v>167</v>
      </c>
      <c r="C78" s="1016" t="s">
        <v>76</v>
      </c>
      <c r="D78" s="991">
        <v>4</v>
      </c>
      <c r="E78" s="901" t="s">
        <v>171</v>
      </c>
      <c r="F78" s="246" t="s">
        <v>62</v>
      </c>
      <c r="G78" s="247">
        <v>20</v>
      </c>
      <c r="H78" s="248">
        <v>8</v>
      </c>
      <c r="I78" s="249">
        <f t="shared" si="26"/>
        <v>0.65</v>
      </c>
      <c r="J78" s="250">
        <v>13</v>
      </c>
      <c r="K78" s="249">
        <f t="shared" si="23"/>
        <v>0.25</v>
      </c>
      <c r="L78" s="250">
        <v>5</v>
      </c>
      <c r="M78" s="249">
        <f t="shared" si="24"/>
        <v>0.8</v>
      </c>
      <c r="N78" s="846">
        <v>4</v>
      </c>
      <c r="O78" s="240">
        <v>0</v>
      </c>
      <c r="P78" s="241">
        <v>0</v>
      </c>
      <c r="Q78" s="240">
        <v>5</v>
      </c>
      <c r="R78" s="241"/>
      <c r="S78" s="304">
        <v>18</v>
      </c>
      <c r="T78" s="305">
        <v>7</v>
      </c>
      <c r="U78" s="304">
        <v>2</v>
      </c>
      <c r="V78" s="306">
        <v>1</v>
      </c>
      <c r="W78" s="216" t="s">
        <v>206</v>
      </c>
      <c r="X78" s="1" t="s">
        <v>172</v>
      </c>
      <c r="AB78" s="2" t="str">
        <f t="shared" si="5"/>
        <v>Frontière</v>
      </c>
    </row>
    <row r="79" spans="1:28">
      <c r="A79" s="20" t="str">
        <f t="shared" si="21"/>
        <v>X</v>
      </c>
      <c r="B79" s="1013"/>
      <c r="C79" s="1016"/>
      <c r="D79" s="991"/>
      <c r="E79" s="902" t="s">
        <v>173</v>
      </c>
      <c r="F79" s="251" t="s">
        <v>62</v>
      </c>
      <c r="G79" s="252">
        <v>11</v>
      </c>
      <c r="H79" s="253">
        <v>4</v>
      </c>
      <c r="I79" s="254">
        <f t="shared" si="26"/>
        <v>0.54545454545454541</v>
      </c>
      <c r="J79" s="255">
        <v>6</v>
      </c>
      <c r="K79" s="254">
        <f t="shared" si="23"/>
        <v>0.18181818181818182</v>
      </c>
      <c r="L79" s="255">
        <v>2</v>
      </c>
      <c r="M79" s="254">
        <f t="shared" si="24"/>
        <v>0.5</v>
      </c>
      <c r="N79" s="851">
        <v>1</v>
      </c>
      <c r="O79" s="242">
        <v>0</v>
      </c>
      <c r="P79" s="243">
        <v>0</v>
      </c>
      <c r="Q79" s="242">
        <v>0</v>
      </c>
      <c r="R79" s="243">
        <v>0</v>
      </c>
      <c r="S79" s="307">
        <v>3</v>
      </c>
      <c r="T79" s="308">
        <v>1</v>
      </c>
      <c r="U79" s="307">
        <v>0</v>
      </c>
      <c r="V79" s="309">
        <v>0</v>
      </c>
      <c r="W79" s="216" t="s">
        <v>206</v>
      </c>
      <c r="X79" s="1" t="s">
        <v>174</v>
      </c>
      <c r="AB79" s="2" t="str">
        <f t="shared" si="5"/>
        <v>Frontière</v>
      </c>
    </row>
    <row r="80" spans="1:28" ht="15" customHeight="1">
      <c r="A80" s="20" t="str">
        <f t="shared" si="21"/>
        <v/>
      </c>
      <c r="B80" s="1013"/>
      <c r="C80" s="1016"/>
      <c r="D80" s="991"/>
      <c r="E80" s="961" t="s">
        <v>166</v>
      </c>
      <c r="F80" s="251"/>
      <c r="G80" s="252"/>
      <c r="H80" s="253"/>
      <c r="I80" s="254" t="str">
        <f t="shared" si="26"/>
        <v/>
      </c>
      <c r="J80" s="255"/>
      <c r="K80" s="254" t="str">
        <f t="shared" si="23"/>
        <v/>
      </c>
      <c r="L80" s="255"/>
      <c r="M80" s="254" t="str">
        <f t="shared" si="24"/>
        <v/>
      </c>
      <c r="N80" s="851"/>
      <c r="O80" s="242"/>
      <c r="P80" s="243"/>
      <c r="Q80" s="242"/>
      <c r="R80" s="243"/>
      <c r="S80" s="307"/>
      <c r="T80" s="308"/>
      <c r="U80" s="307"/>
      <c r="V80" s="309"/>
      <c r="W80" s="216" t="s">
        <v>206</v>
      </c>
      <c r="AB80" s="2" t="str">
        <f t="shared" si="5"/>
        <v/>
      </c>
    </row>
    <row r="81" spans="1:28" ht="15" customHeight="1">
      <c r="A81" s="20" t="str">
        <f t="shared" si="21"/>
        <v/>
      </c>
      <c r="B81" s="1013"/>
      <c r="C81" s="1016"/>
      <c r="D81" s="991"/>
      <c r="E81" s="961" t="s">
        <v>166</v>
      </c>
      <c r="F81" s="251"/>
      <c r="G81" s="252"/>
      <c r="H81" s="253"/>
      <c r="I81" s="254" t="str">
        <f t="shared" si="26"/>
        <v/>
      </c>
      <c r="J81" s="255"/>
      <c r="K81" s="254" t="str">
        <f t="shared" si="23"/>
        <v/>
      </c>
      <c r="L81" s="255"/>
      <c r="M81" s="254" t="str">
        <f t="shared" si="24"/>
        <v/>
      </c>
      <c r="N81" s="851"/>
      <c r="O81" s="242"/>
      <c r="P81" s="243"/>
      <c r="Q81" s="242"/>
      <c r="R81" s="243"/>
      <c r="S81" s="307"/>
      <c r="T81" s="308"/>
      <c r="U81" s="307"/>
      <c r="V81" s="309"/>
      <c r="W81" s="216" t="s">
        <v>206</v>
      </c>
      <c r="AB81" s="2" t="str">
        <f t="shared" si="5"/>
        <v/>
      </c>
    </row>
    <row r="82" spans="1:28" ht="15" customHeight="1">
      <c r="A82" s="20" t="str">
        <f t="shared" si="21"/>
        <v/>
      </c>
      <c r="B82" s="1013"/>
      <c r="C82" s="1016"/>
      <c r="D82" s="991"/>
      <c r="E82" s="961" t="s">
        <v>166</v>
      </c>
      <c r="F82" s="251" t="s">
        <v>203</v>
      </c>
      <c r="G82" s="252"/>
      <c r="H82" s="253"/>
      <c r="I82" s="254" t="str">
        <f t="shared" si="26"/>
        <v/>
      </c>
      <c r="J82" s="255"/>
      <c r="K82" s="254" t="str">
        <f t="shared" si="23"/>
        <v/>
      </c>
      <c r="L82" s="255"/>
      <c r="M82" s="254" t="str">
        <f t="shared" si="24"/>
        <v/>
      </c>
      <c r="N82" s="851"/>
      <c r="O82" s="242"/>
      <c r="P82" s="243"/>
      <c r="Q82" s="242"/>
      <c r="R82" s="243"/>
      <c r="S82" s="307"/>
      <c r="T82" s="308"/>
      <c r="U82" s="307"/>
      <c r="V82" s="309"/>
      <c r="W82" s="216" t="s">
        <v>206</v>
      </c>
      <c r="AB82" s="2" t="str">
        <f t="shared" si="5"/>
        <v/>
      </c>
    </row>
    <row r="83" spans="1:28" ht="15" customHeight="1">
      <c r="A83" s="20" t="str">
        <f t="shared" si="21"/>
        <v/>
      </c>
      <c r="B83" s="1013"/>
      <c r="C83" s="1016"/>
      <c r="D83" s="991"/>
      <c r="E83" s="961" t="s">
        <v>166</v>
      </c>
      <c r="F83" s="251" t="s">
        <v>203</v>
      </c>
      <c r="G83" s="252"/>
      <c r="H83" s="253"/>
      <c r="I83" s="254" t="str">
        <f t="shared" si="26"/>
        <v/>
      </c>
      <c r="J83" s="255"/>
      <c r="K83" s="254" t="str">
        <f t="shared" si="23"/>
        <v/>
      </c>
      <c r="L83" s="255"/>
      <c r="M83" s="254" t="str">
        <f t="shared" si="24"/>
        <v/>
      </c>
      <c r="N83" s="851"/>
      <c r="O83" s="242"/>
      <c r="P83" s="243"/>
      <c r="Q83" s="242"/>
      <c r="R83" s="243"/>
      <c r="S83" s="307"/>
      <c r="T83" s="308"/>
      <c r="U83" s="307"/>
      <c r="V83" s="309"/>
      <c r="W83" s="216" t="s">
        <v>206</v>
      </c>
      <c r="AB83" s="2" t="str">
        <f t="shared" si="5"/>
        <v/>
      </c>
    </row>
    <row r="84" spans="1:28" ht="15" customHeight="1">
      <c r="A84" s="20" t="str">
        <f t="shared" si="21"/>
        <v/>
      </c>
      <c r="B84" s="1013"/>
      <c r="C84" s="1016"/>
      <c r="D84" s="991"/>
      <c r="E84" s="962" t="s">
        <v>166</v>
      </c>
      <c r="F84" s="256"/>
      <c r="G84" s="257"/>
      <c r="H84" s="258"/>
      <c r="I84" s="259" t="str">
        <f t="shared" si="26"/>
        <v/>
      </c>
      <c r="J84" s="260"/>
      <c r="K84" s="259" t="str">
        <f t="shared" si="23"/>
        <v/>
      </c>
      <c r="L84" s="260"/>
      <c r="M84" s="259" t="str">
        <f t="shared" si="24"/>
        <v/>
      </c>
      <c r="N84" s="856"/>
      <c r="O84" s="244"/>
      <c r="P84" s="245"/>
      <c r="Q84" s="244"/>
      <c r="R84" s="245"/>
      <c r="S84" s="310"/>
      <c r="T84" s="311"/>
      <c r="U84" s="310"/>
      <c r="V84" s="312"/>
      <c r="W84" s="216" t="s">
        <v>206</v>
      </c>
      <c r="AB84" s="2" t="str">
        <f t="shared" si="5"/>
        <v/>
      </c>
    </row>
    <row r="85" spans="1:28" ht="15.75">
      <c r="A85" s="20" t="str">
        <f t="shared" si="21"/>
        <v>S</v>
      </c>
      <c r="B85" s="1018"/>
      <c r="C85" s="1016"/>
      <c r="D85" s="332" t="s">
        <v>138</v>
      </c>
      <c r="E85" s="897"/>
      <c r="F85" s="210"/>
      <c r="G85" s="7">
        <f>SUM(G78:G84)</f>
        <v>31</v>
      </c>
      <c r="H85" s="8">
        <f>SUM(H78:H84)</f>
        <v>12</v>
      </c>
      <c r="I85" s="9">
        <f t="shared" si="26"/>
        <v>0.61290322580645162</v>
      </c>
      <c r="J85" s="213">
        <f>SUM(J78:J84)</f>
        <v>19</v>
      </c>
      <c r="K85" s="52">
        <f t="shared" si="23"/>
        <v>0.22580645161290322</v>
      </c>
      <c r="L85" s="213">
        <f>SUM(L78:L84)</f>
        <v>7</v>
      </c>
      <c r="M85" s="9">
        <f t="shared" si="24"/>
        <v>0.7142857142857143</v>
      </c>
      <c r="N85" s="213">
        <f t="shared" ref="N85:V85" si="29">SUM(N78:N84)</f>
        <v>5</v>
      </c>
      <c r="O85" s="120">
        <f t="shared" si="29"/>
        <v>0</v>
      </c>
      <c r="P85" s="121">
        <f t="shared" si="29"/>
        <v>0</v>
      </c>
      <c r="Q85" s="120">
        <f t="shared" si="29"/>
        <v>5</v>
      </c>
      <c r="R85" s="121">
        <f t="shared" si="29"/>
        <v>0</v>
      </c>
      <c r="S85" s="120">
        <f t="shared" si="29"/>
        <v>21</v>
      </c>
      <c r="T85" s="121">
        <f t="shared" si="29"/>
        <v>8</v>
      </c>
      <c r="U85" s="120">
        <f t="shared" si="29"/>
        <v>2</v>
      </c>
      <c r="V85" s="122">
        <f t="shared" si="29"/>
        <v>1</v>
      </c>
      <c r="W85" s="216" t="s">
        <v>206</v>
      </c>
      <c r="AB85" s="2">
        <f t="shared" si="5"/>
        <v>0</v>
      </c>
    </row>
    <row r="86" spans="1:28" ht="15" customHeight="1">
      <c r="A86" s="20" t="str">
        <f t="shared" si="21"/>
        <v>X</v>
      </c>
      <c r="B86" s="980" t="s">
        <v>1</v>
      </c>
      <c r="C86" s="983" t="s">
        <v>76</v>
      </c>
      <c r="D86" s="988">
        <v>10</v>
      </c>
      <c r="E86" s="901" t="s">
        <v>27</v>
      </c>
      <c r="F86" s="246" t="s">
        <v>62</v>
      </c>
      <c r="G86" s="247">
        <v>35</v>
      </c>
      <c r="H86" s="248">
        <v>35</v>
      </c>
      <c r="I86" s="249">
        <f t="shared" si="26"/>
        <v>0.77142857142857146</v>
      </c>
      <c r="J86" s="250">
        <v>27</v>
      </c>
      <c r="K86" s="249">
        <f t="shared" si="23"/>
        <v>0.4</v>
      </c>
      <c r="L86" s="250">
        <v>14</v>
      </c>
      <c r="M86" s="249">
        <f t="shared" si="24"/>
        <v>0.7142857142857143</v>
      </c>
      <c r="N86" s="846">
        <v>10</v>
      </c>
      <c r="O86" s="240">
        <v>1</v>
      </c>
      <c r="P86" s="241">
        <v>1</v>
      </c>
      <c r="Q86" s="240"/>
      <c r="R86" s="241"/>
      <c r="S86" s="304">
        <v>34</v>
      </c>
      <c r="T86" s="305">
        <v>34</v>
      </c>
      <c r="U86" s="304">
        <v>1</v>
      </c>
      <c r="V86" s="306">
        <v>1</v>
      </c>
      <c r="W86" s="216" t="s">
        <v>206</v>
      </c>
      <c r="AB86" s="2" t="str">
        <f t="shared" si="5"/>
        <v>Frontière</v>
      </c>
    </row>
    <row r="87" spans="1:28" ht="15" customHeight="1">
      <c r="A87" s="20" t="str">
        <f t="shared" si="21"/>
        <v>X</v>
      </c>
      <c r="B87" s="981"/>
      <c r="C87" s="984"/>
      <c r="D87" s="989"/>
      <c r="E87" s="902" t="s">
        <v>28</v>
      </c>
      <c r="F87" s="251" t="s">
        <v>62</v>
      </c>
      <c r="G87" s="252">
        <v>93</v>
      </c>
      <c r="H87" s="253">
        <v>93</v>
      </c>
      <c r="I87" s="254">
        <f t="shared" si="26"/>
        <v>0.78494623655913975</v>
      </c>
      <c r="J87" s="255">
        <v>73</v>
      </c>
      <c r="K87" s="254">
        <f t="shared" si="23"/>
        <v>0.37634408602150538</v>
      </c>
      <c r="L87" s="255">
        <v>35</v>
      </c>
      <c r="M87" s="254">
        <f t="shared" si="24"/>
        <v>0.94285714285714284</v>
      </c>
      <c r="N87" s="851">
        <v>33</v>
      </c>
      <c r="O87" s="242">
        <v>5</v>
      </c>
      <c r="P87" s="243">
        <v>5</v>
      </c>
      <c r="Q87" s="242"/>
      <c r="R87" s="243"/>
      <c r="S87" s="307">
        <v>90</v>
      </c>
      <c r="T87" s="308">
        <v>90</v>
      </c>
      <c r="U87" s="307">
        <v>3</v>
      </c>
      <c r="V87" s="309">
        <v>3</v>
      </c>
      <c r="W87" s="216" t="s">
        <v>206</v>
      </c>
      <c r="AB87" s="2" t="str">
        <f t="shared" si="5"/>
        <v>Frontière</v>
      </c>
    </row>
    <row r="88" spans="1:28" ht="15" customHeight="1">
      <c r="A88" s="20" t="str">
        <f t="shared" si="21"/>
        <v>X</v>
      </c>
      <c r="B88" s="981"/>
      <c r="C88" s="984"/>
      <c r="D88" s="989"/>
      <c r="E88" s="902" t="s">
        <v>29</v>
      </c>
      <c r="F88" s="251" t="s">
        <v>62</v>
      </c>
      <c r="G88" s="252">
        <v>25</v>
      </c>
      <c r="H88" s="253">
        <v>25</v>
      </c>
      <c r="I88" s="254">
        <f t="shared" si="26"/>
        <v>0.76</v>
      </c>
      <c r="J88" s="255">
        <v>19</v>
      </c>
      <c r="K88" s="254">
        <f t="shared" si="23"/>
        <v>0.44</v>
      </c>
      <c r="L88" s="255">
        <v>11</v>
      </c>
      <c r="M88" s="254">
        <f t="shared" si="24"/>
        <v>0.81818181818181823</v>
      </c>
      <c r="N88" s="851">
        <v>9</v>
      </c>
      <c r="O88" s="242">
        <v>0</v>
      </c>
      <c r="P88" s="243">
        <v>0</v>
      </c>
      <c r="Q88" s="242"/>
      <c r="R88" s="243"/>
      <c r="S88" s="307">
        <v>25</v>
      </c>
      <c r="T88" s="308">
        <v>25</v>
      </c>
      <c r="U88" s="307">
        <v>0</v>
      </c>
      <c r="V88" s="309">
        <v>0</v>
      </c>
      <c r="W88" s="216" t="s">
        <v>206</v>
      </c>
      <c r="AB88" s="2" t="str">
        <f t="shared" si="5"/>
        <v>Frontière</v>
      </c>
    </row>
    <row r="89" spans="1:28" ht="15" customHeight="1">
      <c r="A89" s="20" t="str">
        <f t="shared" si="21"/>
        <v>X</v>
      </c>
      <c r="B89" s="981"/>
      <c r="C89" s="984"/>
      <c r="D89" s="989"/>
      <c r="E89" s="902" t="s">
        <v>30</v>
      </c>
      <c r="F89" s="251" t="s">
        <v>62</v>
      </c>
      <c r="G89" s="252">
        <v>37</v>
      </c>
      <c r="H89" s="253">
        <v>37</v>
      </c>
      <c r="I89" s="254">
        <f t="shared" si="26"/>
        <v>0.64864864864864868</v>
      </c>
      <c r="J89" s="255">
        <v>24</v>
      </c>
      <c r="K89" s="254">
        <f t="shared" si="23"/>
        <v>0.40540540540540543</v>
      </c>
      <c r="L89" s="255">
        <v>15</v>
      </c>
      <c r="M89" s="254">
        <f t="shared" si="24"/>
        <v>0.73333333333333328</v>
      </c>
      <c r="N89" s="851">
        <v>11</v>
      </c>
      <c r="O89" s="242">
        <v>4</v>
      </c>
      <c r="P89" s="243">
        <v>4</v>
      </c>
      <c r="Q89" s="242"/>
      <c r="R89" s="243"/>
      <c r="S89" s="307">
        <v>36</v>
      </c>
      <c r="T89" s="308">
        <v>36</v>
      </c>
      <c r="U89" s="307">
        <v>1</v>
      </c>
      <c r="V89" s="309">
        <v>1</v>
      </c>
      <c r="W89" s="216" t="s">
        <v>206</v>
      </c>
      <c r="AB89" s="2" t="str">
        <f t="shared" si="5"/>
        <v>Frontière</v>
      </c>
    </row>
    <row r="90" spans="1:28" ht="15" customHeight="1">
      <c r="A90" s="20" t="str">
        <f t="shared" si="21"/>
        <v>X</v>
      </c>
      <c r="B90" s="981"/>
      <c r="C90" s="984"/>
      <c r="D90" s="989"/>
      <c r="E90" s="902" t="s">
        <v>175</v>
      </c>
      <c r="F90" s="251" t="s">
        <v>62</v>
      </c>
      <c r="G90" s="252">
        <v>11</v>
      </c>
      <c r="H90" s="253">
        <v>11</v>
      </c>
      <c r="I90" s="254">
        <f t="shared" si="26"/>
        <v>0.81818181818181823</v>
      </c>
      <c r="J90" s="255">
        <v>9</v>
      </c>
      <c r="K90" s="254">
        <f t="shared" si="23"/>
        <v>0.36363636363636365</v>
      </c>
      <c r="L90" s="255">
        <v>4</v>
      </c>
      <c r="M90" s="254">
        <f t="shared" si="24"/>
        <v>1</v>
      </c>
      <c r="N90" s="851">
        <v>4</v>
      </c>
      <c r="O90" s="242">
        <v>1</v>
      </c>
      <c r="P90" s="243">
        <v>1</v>
      </c>
      <c r="Q90" s="242"/>
      <c r="R90" s="243"/>
      <c r="S90" s="307">
        <v>11</v>
      </c>
      <c r="T90" s="308">
        <v>11</v>
      </c>
      <c r="U90" s="307">
        <v>0</v>
      </c>
      <c r="V90" s="309">
        <v>0</v>
      </c>
      <c r="W90" s="216" t="s">
        <v>206</v>
      </c>
      <c r="AB90" s="2" t="str">
        <f t="shared" ref="AB90:AB153" si="30">IF(G90&lt;&gt;"",$F90,"")</f>
        <v>Frontière</v>
      </c>
    </row>
    <row r="91" spans="1:28" ht="15" customHeight="1">
      <c r="A91" s="20" t="str">
        <f t="shared" si="21"/>
        <v/>
      </c>
      <c r="B91" s="981"/>
      <c r="C91" s="984"/>
      <c r="D91" s="989"/>
      <c r="E91" s="961" t="s">
        <v>166</v>
      </c>
      <c r="F91" s="251" t="s">
        <v>203</v>
      </c>
      <c r="G91" s="252"/>
      <c r="H91" s="253"/>
      <c r="I91" s="254" t="str">
        <f t="shared" si="26"/>
        <v/>
      </c>
      <c r="J91" s="255"/>
      <c r="K91" s="254" t="str">
        <f t="shared" si="23"/>
        <v/>
      </c>
      <c r="L91" s="255"/>
      <c r="M91" s="254" t="str">
        <f t="shared" si="24"/>
        <v/>
      </c>
      <c r="N91" s="851"/>
      <c r="O91" s="242"/>
      <c r="P91" s="243"/>
      <c r="Q91" s="242"/>
      <c r="R91" s="243"/>
      <c r="S91" s="307"/>
      <c r="T91" s="308"/>
      <c r="U91" s="307"/>
      <c r="V91" s="309"/>
      <c r="W91" s="216" t="s">
        <v>206</v>
      </c>
      <c r="AB91" s="2" t="str">
        <f t="shared" si="30"/>
        <v/>
      </c>
    </row>
    <row r="92" spans="1:28" ht="15.75" customHeight="1">
      <c r="A92" s="20" t="str">
        <f t="shared" si="21"/>
        <v/>
      </c>
      <c r="B92" s="981"/>
      <c r="C92" s="984"/>
      <c r="D92" s="989"/>
      <c r="E92" s="961" t="s">
        <v>166</v>
      </c>
      <c r="F92" s="435"/>
      <c r="G92" s="252"/>
      <c r="H92" s="253"/>
      <c r="I92" s="254"/>
      <c r="J92" s="255"/>
      <c r="K92" s="254"/>
      <c r="L92" s="255"/>
      <c r="M92" s="254"/>
      <c r="N92" s="851"/>
      <c r="O92" s="242"/>
      <c r="P92" s="243"/>
      <c r="Q92" s="242"/>
      <c r="R92" s="243"/>
      <c r="S92" s="307"/>
      <c r="T92" s="308"/>
      <c r="U92" s="307"/>
      <c r="V92" s="309"/>
      <c r="W92" s="216"/>
      <c r="X92" s="492"/>
    </row>
    <row r="93" spans="1:28" ht="15.75" customHeight="1">
      <c r="A93" s="20" t="str">
        <f t="shared" si="21"/>
        <v/>
      </c>
      <c r="B93" s="981"/>
      <c r="C93" s="984"/>
      <c r="D93" s="989"/>
      <c r="E93" s="961" t="s">
        <v>166</v>
      </c>
      <c r="F93" s="435"/>
      <c r="G93" s="252"/>
      <c r="H93" s="253"/>
      <c r="I93" s="254"/>
      <c r="J93" s="255"/>
      <c r="K93" s="254"/>
      <c r="L93" s="255"/>
      <c r="M93" s="254"/>
      <c r="N93" s="851"/>
      <c r="O93" s="242"/>
      <c r="P93" s="243"/>
      <c r="Q93" s="242"/>
      <c r="R93" s="243"/>
      <c r="S93" s="307"/>
      <c r="T93" s="308"/>
      <c r="U93" s="307"/>
      <c r="V93" s="309"/>
      <c r="W93" s="216"/>
      <c r="X93" s="492"/>
    </row>
    <row r="94" spans="1:28" ht="15.75" customHeight="1">
      <c r="A94" s="20" t="str">
        <f t="shared" si="21"/>
        <v/>
      </c>
      <c r="B94" s="981"/>
      <c r="C94" s="984"/>
      <c r="D94" s="990"/>
      <c r="E94" s="962" t="s">
        <v>166</v>
      </c>
      <c r="F94" s="256"/>
      <c r="G94" s="257"/>
      <c r="H94" s="258"/>
      <c r="I94" s="259"/>
      <c r="J94" s="260"/>
      <c r="K94" s="259"/>
      <c r="L94" s="260"/>
      <c r="M94" s="259"/>
      <c r="N94" s="856"/>
      <c r="O94" s="244"/>
      <c r="P94" s="245"/>
      <c r="Q94" s="244"/>
      <c r="R94" s="245"/>
      <c r="S94" s="310"/>
      <c r="T94" s="311"/>
      <c r="U94" s="310"/>
      <c r="V94" s="312"/>
      <c r="W94" s="216"/>
      <c r="X94" s="492"/>
    </row>
    <row r="95" spans="1:28" ht="15.75">
      <c r="A95" s="20" t="str">
        <f t="shared" si="21"/>
        <v>S</v>
      </c>
      <c r="B95" s="987"/>
      <c r="C95" s="986"/>
      <c r="D95" s="873" t="s">
        <v>138</v>
      </c>
      <c r="E95" s="897"/>
      <c r="F95" s="210"/>
      <c r="G95" s="7">
        <f>SUM(G86:G94)</f>
        <v>201</v>
      </c>
      <c r="H95" s="8">
        <f>SUM(H86:H94)</f>
        <v>201</v>
      </c>
      <c r="I95" s="9">
        <f t="shared" si="26"/>
        <v>0.75621890547263682</v>
      </c>
      <c r="J95" s="213">
        <f>SUM(J86:J94)</f>
        <v>152</v>
      </c>
      <c r="K95" s="52">
        <f t="shared" si="23"/>
        <v>0.39303482587064675</v>
      </c>
      <c r="L95" s="213">
        <f>SUM(L86:L94)</f>
        <v>79</v>
      </c>
      <c r="M95" s="9">
        <f t="shared" si="24"/>
        <v>0.84810126582278478</v>
      </c>
      <c r="N95" s="213">
        <f t="shared" ref="N95:V95" si="31">SUM(N86:N94)</f>
        <v>67</v>
      </c>
      <c r="O95" s="120">
        <f t="shared" si="31"/>
        <v>11</v>
      </c>
      <c r="P95" s="121">
        <f t="shared" si="31"/>
        <v>11</v>
      </c>
      <c r="Q95" s="120">
        <f t="shared" si="31"/>
        <v>0</v>
      </c>
      <c r="R95" s="121">
        <f t="shared" si="31"/>
        <v>0</v>
      </c>
      <c r="S95" s="120">
        <f t="shared" si="31"/>
        <v>196</v>
      </c>
      <c r="T95" s="121">
        <f t="shared" si="31"/>
        <v>196</v>
      </c>
      <c r="U95" s="120">
        <f t="shared" si="31"/>
        <v>5</v>
      </c>
      <c r="V95" s="122">
        <f t="shared" si="31"/>
        <v>5</v>
      </c>
      <c r="W95" s="216" t="s">
        <v>206</v>
      </c>
      <c r="AB95" s="2">
        <f t="shared" si="30"/>
        <v>0</v>
      </c>
    </row>
    <row r="96" spans="1:28" ht="15" customHeight="1">
      <c r="A96" s="20" t="str">
        <f t="shared" si="21"/>
        <v>X</v>
      </c>
      <c r="B96" s="1013" t="s">
        <v>45</v>
      </c>
      <c r="C96" s="1009" t="s">
        <v>76</v>
      </c>
      <c r="D96" s="993">
        <v>12</v>
      </c>
      <c r="E96" s="903" t="s">
        <v>32</v>
      </c>
      <c r="F96" s="432" t="s">
        <v>62</v>
      </c>
      <c r="G96" s="247">
        <v>94</v>
      </c>
      <c r="H96" s="248">
        <v>82</v>
      </c>
      <c r="I96" s="249">
        <f t="shared" si="26"/>
        <v>0.47872340425531917</v>
      </c>
      <c r="J96" s="250">
        <v>45</v>
      </c>
      <c r="K96" s="249">
        <f t="shared" si="23"/>
        <v>0.34042553191489361</v>
      </c>
      <c r="L96" s="250">
        <f>18+13+1</f>
        <v>32</v>
      </c>
      <c r="M96" s="249">
        <f t="shared" si="24"/>
        <v>0.59375</v>
      </c>
      <c r="N96" s="846">
        <v>19</v>
      </c>
      <c r="O96" s="240">
        <v>9</v>
      </c>
      <c r="P96" s="241">
        <v>7</v>
      </c>
      <c r="Q96" s="240"/>
      <c r="R96" s="241"/>
      <c r="S96" s="304">
        <v>92</v>
      </c>
      <c r="T96" s="305">
        <v>80</v>
      </c>
      <c r="U96" s="304">
        <v>2</v>
      </c>
      <c r="V96" s="306">
        <v>2</v>
      </c>
      <c r="W96" s="216" t="s">
        <v>206</v>
      </c>
      <c r="AB96" s="2" t="str">
        <f t="shared" si="30"/>
        <v>Frontière</v>
      </c>
    </row>
    <row r="97" spans="1:28" ht="15" customHeight="1">
      <c r="A97" s="20" t="str">
        <f t="shared" si="21"/>
        <v>X</v>
      </c>
      <c r="B97" s="1013"/>
      <c r="C97" s="1009"/>
      <c r="D97" s="993"/>
      <c r="E97" s="905" t="s">
        <v>33</v>
      </c>
      <c r="F97" s="435" t="s">
        <v>62</v>
      </c>
      <c r="G97" s="252">
        <v>100</v>
      </c>
      <c r="H97" s="253">
        <v>70</v>
      </c>
      <c r="I97" s="254">
        <f t="shared" si="26"/>
        <v>0.61</v>
      </c>
      <c r="J97" s="255">
        <v>61</v>
      </c>
      <c r="K97" s="254">
        <f t="shared" si="23"/>
        <v>0.32</v>
      </c>
      <c r="L97" s="255">
        <f>20+12</f>
        <v>32</v>
      </c>
      <c r="M97" s="254">
        <f t="shared" si="24"/>
        <v>0.625</v>
      </c>
      <c r="N97" s="851">
        <v>20</v>
      </c>
      <c r="O97" s="242">
        <v>4</v>
      </c>
      <c r="P97" s="243">
        <v>4</v>
      </c>
      <c r="Q97" s="242"/>
      <c r="R97" s="243"/>
      <c r="S97" s="307">
        <v>100</v>
      </c>
      <c r="T97" s="308">
        <v>70</v>
      </c>
      <c r="U97" s="307">
        <v>0</v>
      </c>
      <c r="V97" s="309">
        <v>0</v>
      </c>
      <c r="W97" s="216" t="s">
        <v>206</v>
      </c>
      <c r="AB97" s="2" t="str">
        <f t="shared" si="30"/>
        <v>Frontière</v>
      </c>
    </row>
    <row r="98" spans="1:28" ht="15" customHeight="1">
      <c r="A98" s="20" t="str">
        <f t="shared" si="21"/>
        <v>X</v>
      </c>
      <c r="B98" s="1013"/>
      <c r="C98" s="1009"/>
      <c r="D98" s="993"/>
      <c r="E98" s="905" t="s">
        <v>47</v>
      </c>
      <c r="F98" s="435" t="s">
        <v>62</v>
      </c>
      <c r="G98" s="252">
        <v>32</v>
      </c>
      <c r="H98" s="253">
        <v>28</v>
      </c>
      <c r="I98" s="254">
        <f t="shared" si="26"/>
        <v>0.59375</v>
      </c>
      <c r="J98" s="255">
        <v>19</v>
      </c>
      <c r="K98" s="254">
        <f t="shared" si="23"/>
        <v>0.28125</v>
      </c>
      <c r="L98" s="255">
        <f>4+2+2+1</f>
        <v>9</v>
      </c>
      <c r="M98" s="254">
        <f t="shared" si="24"/>
        <v>0.66666666666666663</v>
      </c>
      <c r="N98" s="851">
        <v>6</v>
      </c>
      <c r="O98" s="242">
        <v>4</v>
      </c>
      <c r="P98" s="243">
        <v>3</v>
      </c>
      <c r="Q98" s="242"/>
      <c r="R98" s="243"/>
      <c r="S98" s="307">
        <v>27</v>
      </c>
      <c r="T98" s="308">
        <v>24</v>
      </c>
      <c r="U98" s="307">
        <v>5</v>
      </c>
      <c r="V98" s="309">
        <v>5</v>
      </c>
      <c r="W98" s="216" t="s">
        <v>206</v>
      </c>
      <c r="AB98" s="2" t="str">
        <f t="shared" si="30"/>
        <v>Frontière</v>
      </c>
    </row>
    <row r="99" spans="1:28" ht="15" customHeight="1">
      <c r="A99" s="20" t="str">
        <f t="shared" si="21"/>
        <v>X</v>
      </c>
      <c r="B99" s="1013"/>
      <c r="C99" s="1009"/>
      <c r="D99" s="993"/>
      <c r="E99" s="905" t="s">
        <v>46</v>
      </c>
      <c r="F99" s="435" t="s">
        <v>62</v>
      </c>
      <c r="G99" s="252">
        <v>42</v>
      </c>
      <c r="H99" s="253">
        <v>16</v>
      </c>
      <c r="I99" s="254">
        <f t="shared" si="26"/>
        <v>0.69047619047619047</v>
      </c>
      <c r="J99" s="255">
        <v>29</v>
      </c>
      <c r="K99" s="254">
        <f t="shared" si="23"/>
        <v>0.47619047619047616</v>
      </c>
      <c r="L99" s="255">
        <f>15+4+1</f>
        <v>20</v>
      </c>
      <c r="M99" s="254">
        <f t="shared" si="24"/>
        <v>0.75</v>
      </c>
      <c r="N99" s="851">
        <v>15</v>
      </c>
      <c r="O99" s="242">
        <v>1</v>
      </c>
      <c r="P99" s="243">
        <v>0</v>
      </c>
      <c r="Q99" s="242"/>
      <c r="R99" s="243"/>
      <c r="S99" s="307">
        <v>36</v>
      </c>
      <c r="T99" s="308">
        <v>16</v>
      </c>
      <c r="U99" s="307">
        <v>6</v>
      </c>
      <c r="V99" s="309">
        <v>0</v>
      </c>
      <c r="W99" s="216" t="s">
        <v>206</v>
      </c>
      <c r="AB99" s="2" t="str">
        <f t="shared" si="30"/>
        <v>Frontière</v>
      </c>
    </row>
    <row r="100" spans="1:28" ht="15" customHeight="1">
      <c r="A100" s="20" t="str">
        <f t="shared" si="21"/>
        <v/>
      </c>
      <c r="B100" s="1013"/>
      <c r="C100" s="1009"/>
      <c r="D100" s="993"/>
      <c r="E100" s="905" t="s">
        <v>35</v>
      </c>
      <c r="F100" s="435" t="s">
        <v>62</v>
      </c>
      <c r="G100" s="738"/>
      <c r="H100" s="739"/>
      <c r="I100" s="740" t="str">
        <f t="shared" si="26"/>
        <v/>
      </c>
      <c r="J100" s="741"/>
      <c r="K100" s="740" t="str">
        <f t="shared" si="23"/>
        <v/>
      </c>
      <c r="L100" s="741"/>
      <c r="M100" s="740" t="str">
        <f t="shared" si="24"/>
        <v/>
      </c>
      <c r="N100" s="741"/>
      <c r="O100" s="742"/>
      <c r="P100" s="743"/>
      <c r="Q100" s="742"/>
      <c r="R100" s="743"/>
      <c r="S100" s="744"/>
      <c r="T100" s="745"/>
      <c r="U100" s="744"/>
      <c r="V100" s="746"/>
      <c r="W100" s="216" t="s">
        <v>206</v>
      </c>
      <c r="AB100" s="2" t="str">
        <f t="shared" si="30"/>
        <v/>
      </c>
    </row>
    <row r="101" spans="1:28" ht="15" customHeight="1">
      <c r="A101" s="20" t="str">
        <f t="shared" si="21"/>
        <v>X</v>
      </c>
      <c r="B101" s="1013"/>
      <c r="C101" s="1009"/>
      <c r="D101" s="993"/>
      <c r="E101" s="905" t="s">
        <v>34</v>
      </c>
      <c r="F101" s="435" t="s">
        <v>62</v>
      </c>
      <c r="G101" s="252">
        <v>17</v>
      </c>
      <c r="H101" s="253">
        <v>14</v>
      </c>
      <c r="I101" s="254">
        <f t="shared" si="26"/>
        <v>0.29411764705882354</v>
      </c>
      <c r="J101" s="255">
        <v>5</v>
      </c>
      <c r="K101" s="254">
        <f t="shared" si="23"/>
        <v>0.11764705882352941</v>
      </c>
      <c r="L101" s="255">
        <f>1+1</f>
        <v>2</v>
      </c>
      <c r="M101" s="254">
        <f t="shared" si="24"/>
        <v>0.5</v>
      </c>
      <c r="N101" s="851">
        <v>1</v>
      </c>
      <c r="O101" s="242">
        <v>0</v>
      </c>
      <c r="P101" s="243">
        <v>0</v>
      </c>
      <c r="Q101" s="242"/>
      <c r="R101" s="243"/>
      <c r="S101" s="307">
        <v>16</v>
      </c>
      <c r="T101" s="308">
        <v>13</v>
      </c>
      <c r="U101" s="307">
        <v>1</v>
      </c>
      <c r="V101" s="309">
        <v>1</v>
      </c>
      <c r="W101" s="216" t="s">
        <v>206</v>
      </c>
      <c r="AB101" s="2" t="str">
        <f t="shared" si="30"/>
        <v>Frontière</v>
      </c>
    </row>
    <row r="102" spans="1:28" ht="15.75" customHeight="1">
      <c r="A102" s="20" t="str">
        <f t="shared" si="21"/>
        <v>X</v>
      </c>
      <c r="B102" s="1013"/>
      <c r="C102" s="1009"/>
      <c r="D102" s="993"/>
      <c r="E102" s="905" t="s">
        <v>147</v>
      </c>
      <c r="F102" s="435" t="s">
        <v>62</v>
      </c>
      <c r="G102" s="252">
        <v>12</v>
      </c>
      <c r="H102" s="253">
        <v>12</v>
      </c>
      <c r="I102" s="254">
        <f t="shared" si="26"/>
        <v>0.83333333333333337</v>
      </c>
      <c r="J102" s="255">
        <v>10</v>
      </c>
      <c r="K102" s="254">
        <f t="shared" si="23"/>
        <v>0.58333333333333337</v>
      </c>
      <c r="L102" s="255">
        <v>7</v>
      </c>
      <c r="M102" s="254">
        <f t="shared" si="24"/>
        <v>1</v>
      </c>
      <c r="N102" s="851">
        <v>7</v>
      </c>
      <c r="O102" s="242">
        <v>0</v>
      </c>
      <c r="P102" s="243">
        <v>0</v>
      </c>
      <c r="Q102" s="242"/>
      <c r="R102" s="243"/>
      <c r="S102" s="307">
        <v>12</v>
      </c>
      <c r="T102" s="308">
        <v>12</v>
      </c>
      <c r="U102" s="307">
        <v>0</v>
      </c>
      <c r="V102" s="309">
        <v>0</v>
      </c>
      <c r="W102" s="216" t="s">
        <v>206</v>
      </c>
      <c r="AB102" s="2" t="str">
        <f t="shared" si="30"/>
        <v>Frontière</v>
      </c>
    </row>
    <row r="103" spans="1:28" ht="15.75" customHeight="1">
      <c r="A103" s="20" t="str">
        <f t="shared" si="21"/>
        <v/>
      </c>
      <c r="B103" s="1013"/>
      <c r="C103" s="1009"/>
      <c r="D103" s="993"/>
      <c r="E103" s="961" t="s">
        <v>166</v>
      </c>
      <c r="F103" s="435" t="s">
        <v>62</v>
      </c>
      <c r="G103" s="252"/>
      <c r="H103" s="253"/>
      <c r="I103" s="254" t="str">
        <f t="shared" si="26"/>
        <v/>
      </c>
      <c r="J103" s="255"/>
      <c r="K103" s="254" t="str">
        <f t="shared" si="23"/>
        <v/>
      </c>
      <c r="L103" s="255"/>
      <c r="M103" s="254" t="str">
        <f t="shared" si="24"/>
        <v/>
      </c>
      <c r="N103" s="851"/>
      <c r="O103" s="242"/>
      <c r="P103" s="243"/>
      <c r="Q103" s="242"/>
      <c r="R103" s="243"/>
      <c r="S103" s="307"/>
      <c r="T103" s="308"/>
      <c r="U103" s="307"/>
      <c r="V103" s="309"/>
      <c r="W103" s="216" t="s">
        <v>206</v>
      </c>
      <c r="AB103" s="2" t="str">
        <f t="shared" si="30"/>
        <v/>
      </c>
    </row>
    <row r="104" spans="1:28" ht="15.75" customHeight="1">
      <c r="A104" s="20" t="str">
        <f t="shared" si="21"/>
        <v/>
      </c>
      <c r="B104" s="1013"/>
      <c r="C104" s="1009"/>
      <c r="D104" s="993"/>
      <c r="E104" s="961" t="s">
        <v>166</v>
      </c>
      <c r="F104" s="435" t="s">
        <v>62</v>
      </c>
      <c r="G104" s="252"/>
      <c r="H104" s="253"/>
      <c r="I104" s="254" t="str">
        <f t="shared" si="26"/>
        <v/>
      </c>
      <c r="J104" s="255"/>
      <c r="K104" s="254" t="str">
        <f t="shared" si="23"/>
        <v/>
      </c>
      <c r="L104" s="255"/>
      <c r="M104" s="254" t="str">
        <f t="shared" si="24"/>
        <v/>
      </c>
      <c r="N104" s="851"/>
      <c r="O104" s="242"/>
      <c r="P104" s="243"/>
      <c r="Q104" s="242"/>
      <c r="R104" s="243"/>
      <c r="S104" s="307"/>
      <c r="T104" s="308"/>
      <c r="U104" s="307"/>
      <c r="V104" s="309"/>
      <c r="W104" s="216" t="s">
        <v>206</v>
      </c>
      <c r="AB104" s="2" t="str">
        <f t="shared" si="30"/>
        <v/>
      </c>
    </row>
    <row r="105" spans="1:28" ht="15.75" customHeight="1">
      <c r="A105" s="20" t="str">
        <f t="shared" si="21"/>
        <v>X</v>
      </c>
      <c r="B105" s="1013"/>
      <c r="C105" s="1009"/>
      <c r="D105" s="993"/>
      <c r="E105" s="905" t="s">
        <v>146</v>
      </c>
      <c r="F105" s="435" t="s">
        <v>62</v>
      </c>
      <c r="G105" s="252">
        <v>5</v>
      </c>
      <c r="H105" s="253">
        <v>5</v>
      </c>
      <c r="I105" s="254">
        <f t="shared" si="26"/>
        <v>0.4</v>
      </c>
      <c r="J105" s="255">
        <v>2</v>
      </c>
      <c r="K105" s="254">
        <f t="shared" si="23"/>
        <v>0.2</v>
      </c>
      <c r="L105" s="255">
        <v>1</v>
      </c>
      <c r="M105" s="254">
        <f t="shared" si="24"/>
        <v>1</v>
      </c>
      <c r="N105" s="851">
        <v>1</v>
      </c>
      <c r="O105" s="242">
        <v>1</v>
      </c>
      <c r="P105" s="243">
        <v>1</v>
      </c>
      <c r="Q105" s="242"/>
      <c r="R105" s="243"/>
      <c r="S105" s="307">
        <v>5</v>
      </c>
      <c r="T105" s="308">
        <v>5</v>
      </c>
      <c r="U105" s="307">
        <v>0</v>
      </c>
      <c r="V105" s="309">
        <v>0</v>
      </c>
      <c r="W105" s="216" t="s">
        <v>206</v>
      </c>
      <c r="AB105" s="2" t="str">
        <f t="shared" si="30"/>
        <v>Frontière</v>
      </c>
    </row>
    <row r="106" spans="1:28" ht="15.75" customHeight="1">
      <c r="A106" s="20" t="str">
        <f t="shared" si="21"/>
        <v/>
      </c>
      <c r="B106" s="1013"/>
      <c r="C106" s="1009"/>
      <c r="D106" s="993"/>
      <c r="E106" s="961" t="s">
        <v>166</v>
      </c>
      <c r="F106" s="435"/>
      <c r="G106" s="252"/>
      <c r="H106" s="253"/>
      <c r="I106" s="254"/>
      <c r="J106" s="255"/>
      <c r="K106" s="254"/>
      <c r="L106" s="255"/>
      <c r="M106" s="254"/>
      <c r="N106" s="851"/>
      <c r="O106" s="242"/>
      <c r="P106" s="243"/>
      <c r="Q106" s="242"/>
      <c r="R106" s="243"/>
      <c r="S106" s="307"/>
      <c r="T106" s="308"/>
      <c r="U106" s="307"/>
      <c r="V106" s="309"/>
      <c r="W106" s="216"/>
    </row>
    <row r="107" spans="1:28" ht="15.75" customHeight="1">
      <c r="A107" s="20" t="str">
        <f t="shared" si="21"/>
        <v/>
      </c>
      <c r="B107" s="1013"/>
      <c r="C107" s="1009"/>
      <c r="D107" s="993"/>
      <c r="E107" s="961" t="s">
        <v>166</v>
      </c>
      <c r="F107" s="435"/>
      <c r="G107" s="252"/>
      <c r="H107" s="253"/>
      <c r="I107" s="254"/>
      <c r="J107" s="255"/>
      <c r="K107" s="254"/>
      <c r="L107" s="255"/>
      <c r="M107" s="254"/>
      <c r="N107" s="851"/>
      <c r="O107" s="242"/>
      <c r="P107" s="243"/>
      <c r="Q107" s="242"/>
      <c r="R107" s="243"/>
      <c r="S107" s="307"/>
      <c r="T107" s="308"/>
      <c r="U107" s="307"/>
      <c r="V107" s="309"/>
      <c r="W107" s="216"/>
    </row>
    <row r="108" spans="1:28" ht="15.75" customHeight="1">
      <c r="A108" s="20" t="str">
        <f t="shared" si="21"/>
        <v/>
      </c>
      <c r="B108" s="1013"/>
      <c r="C108" s="1009"/>
      <c r="D108" s="993"/>
      <c r="E108" s="962" t="s">
        <v>166</v>
      </c>
      <c r="F108" s="256"/>
      <c r="G108" s="257"/>
      <c r="H108" s="258"/>
      <c r="I108" s="259"/>
      <c r="J108" s="260"/>
      <c r="K108" s="259"/>
      <c r="L108" s="260"/>
      <c r="M108" s="259"/>
      <c r="N108" s="856"/>
      <c r="O108" s="244"/>
      <c r="P108" s="245"/>
      <c r="Q108" s="244"/>
      <c r="R108" s="245"/>
      <c r="S108" s="310"/>
      <c r="T108" s="311"/>
      <c r="U108" s="310"/>
      <c r="V108" s="312"/>
      <c r="W108" s="216"/>
    </row>
    <row r="109" spans="1:28" ht="15.75">
      <c r="A109" s="20" t="str">
        <f t="shared" si="21"/>
        <v>S</v>
      </c>
      <c r="B109" s="1018"/>
      <c r="C109" s="1009"/>
      <c r="D109" s="332" t="s">
        <v>138</v>
      </c>
      <c r="E109" s="898"/>
      <c r="F109" s="210"/>
      <c r="G109" s="7">
        <f>SUM(G96:G108)</f>
        <v>302</v>
      </c>
      <c r="H109" s="8">
        <f>SUM(H96:H108)</f>
        <v>227</v>
      </c>
      <c r="I109" s="9">
        <f t="shared" si="26"/>
        <v>0.56622516556291391</v>
      </c>
      <c r="J109" s="213">
        <f>SUM(J96:J108)</f>
        <v>171</v>
      </c>
      <c r="K109" s="52">
        <f t="shared" si="23"/>
        <v>0.34105960264900664</v>
      </c>
      <c r="L109" s="213">
        <f>SUM(L96:L108)</f>
        <v>103</v>
      </c>
      <c r="M109" s="9">
        <f t="shared" si="24"/>
        <v>0.66990291262135926</v>
      </c>
      <c r="N109" s="213">
        <f t="shared" ref="N109:V109" si="32">SUM(N96:N108)</f>
        <v>69</v>
      </c>
      <c r="O109" s="120">
        <f t="shared" si="32"/>
        <v>19</v>
      </c>
      <c r="P109" s="121">
        <f t="shared" si="32"/>
        <v>15</v>
      </c>
      <c r="Q109" s="120">
        <f t="shared" si="32"/>
        <v>0</v>
      </c>
      <c r="R109" s="121">
        <f t="shared" si="32"/>
        <v>0</v>
      </c>
      <c r="S109" s="120">
        <f t="shared" si="32"/>
        <v>288</v>
      </c>
      <c r="T109" s="121">
        <f t="shared" si="32"/>
        <v>220</v>
      </c>
      <c r="U109" s="120">
        <f t="shared" si="32"/>
        <v>14</v>
      </c>
      <c r="V109" s="122">
        <f t="shared" si="32"/>
        <v>8</v>
      </c>
      <c r="W109" s="216"/>
      <c r="AB109" s="2">
        <f t="shared" si="30"/>
        <v>0</v>
      </c>
    </row>
    <row r="110" spans="1:28">
      <c r="A110" s="20" t="str">
        <f t="shared" si="21"/>
        <v>X</v>
      </c>
      <c r="B110" s="1007" t="s">
        <v>151</v>
      </c>
      <c r="C110" s="1016" t="s">
        <v>76</v>
      </c>
      <c r="D110" s="994">
        <v>23</v>
      </c>
      <c r="E110" s="903" t="s">
        <v>154</v>
      </c>
      <c r="F110" s="432" t="s">
        <v>62</v>
      </c>
      <c r="G110" s="734">
        <v>5</v>
      </c>
      <c r="H110" s="735">
        <v>4</v>
      </c>
      <c r="I110" s="238">
        <f t="shared" si="26"/>
        <v>0</v>
      </c>
      <c r="J110" s="250">
        <v>0</v>
      </c>
      <c r="K110" s="249">
        <f t="shared" si="23"/>
        <v>0.2</v>
      </c>
      <c r="L110" s="250">
        <v>1</v>
      </c>
      <c r="M110" s="238">
        <f t="shared" si="24"/>
        <v>0</v>
      </c>
      <c r="N110" s="846">
        <v>0</v>
      </c>
      <c r="O110" s="240">
        <v>0</v>
      </c>
      <c r="P110" s="241">
        <v>0</v>
      </c>
      <c r="Q110" s="240">
        <v>0</v>
      </c>
      <c r="R110" s="241">
        <v>0</v>
      </c>
      <c r="S110" s="304">
        <v>5</v>
      </c>
      <c r="T110" s="305">
        <v>4</v>
      </c>
      <c r="U110" s="304">
        <v>0</v>
      </c>
      <c r="V110" s="306">
        <v>0</v>
      </c>
      <c r="W110" s="277" t="s">
        <v>206</v>
      </c>
      <c r="AB110" s="2" t="str">
        <f t="shared" si="30"/>
        <v>Frontière</v>
      </c>
    </row>
    <row r="111" spans="1:28" ht="15.75" customHeight="1">
      <c r="A111" s="20" t="str">
        <f t="shared" si="21"/>
        <v>X</v>
      </c>
      <c r="B111" s="1007"/>
      <c r="C111" s="1016"/>
      <c r="D111" s="994"/>
      <c r="E111" s="905" t="s">
        <v>155</v>
      </c>
      <c r="F111" s="435" t="s">
        <v>62</v>
      </c>
      <c r="G111" s="736">
        <v>14</v>
      </c>
      <c r="H111" s="737">
        <v>6</v>
      </c>
      <c r="I111" s="239">
        <f t="shared" si="26"/>
        <v>0.5</v>
      </c>
      <c r="J111" s="255">
        <v>7</v>
      </c>
      <c r="K111" s="254">
        <f t="shared" si="23"/>
        <v>0.14285714285714285</v>
      </c>
      <c r="L111" s="255">
        <v>2</v>
      </c>
      <c r="M111" s="239">
        <f t="shared" si="24"/>
        <v>0.5</v>
      </c>
      <c r="N111" s="851">
        <v>1</v>
      </c>
      <c r="O111" s="242">
        <v>0</v>
      </c>
      <c r="P111" s="243">
        <v>0</v>
      </c>
      <c r="Q111" s="242">
        <v>3</v>
      </c>
      <c r="R111" s="243">
        <v>3</v>
      </c>
      <c r="S111" s="307">
        <v>14</v>
      </c>
      <c r="T111" s="308">
        <v>6</v>
      </c>
      <c r="U111" s="307">
        <v>3</v>
      </c>
      <c r="V111" s="309">
        <v>3</v>
      </c>
      <c r="W111" s="278" t="s">
        <v>206</v>
      </c>
      <c r="AB111" s="2" t="str">
        <f t="shared" si="30"/>
        <v>Frontière</v>
      </c>
    </row>
    <row r="112" spans="1:28" ht="15.75" customHeight="1">
      <c r="A112" s="20" t="str">
        <f t="shared" si="21"/>
        <v>X</v>
      </c>
      <c r="B112" s="1007"/>
      <c r="C112" s="1016"/>
      <c r="D112" s="994"/>
      <c r="E112" s="905" t="s">
        <v>156</v>
      </c>
      <c r="F112" s="435" t="s">
        <v>62</v>
      </c>
      <c r="G112" s="736">
        <v>8</v>
      </c>
      <c r="H112" s="737">
        <v>3</v>
      </c>
      <c r="I112" s="239">
        <f t="shared" si="26"/>
        <v>0.5</v>
      </c>
      <c r="J112" s="255">
        <v>4</v>
      </c>
      <c r="K112" s="254">
        <f t="shared" si="23"/>
        <v>0.375</v>
      </c>
      <c r="L112" s="255">
        <v>3</v>
      </c>
      <c r="M112" s="239">
        <f t="shared" si="24"/>
        <v>0.66666666666666663</v>
      </c>
      <c r="N112" s="851">
        <v>2</v>
      </c>
      <c r="O112" s="242">
        <v>0</v>
      </c>
      <c r="P112" s="243">
        <v>0</v>
      </c>
      <c r="Q112" s="242">
        <v>3</v>
      </c>
      <c r="R112" s="243">
        <v>1</v>
      </c>
      <c r="S112" s="307">
        <v>8</v>
      </c>
      <c r="T112" s="308">
        <v>3</v>
      </c>
      <c r="U112" s="307">
        <v>3</v>
      </c>
      <c r="V112" s="309">
        <v>1</v>
      </c>
      <c r="W112" s="278" t="s">
        <v>206</v>
      </c>
      <c r="AB112" s="2" t="str">
        <f t="shared" si="30"/>
        <v>Frontière</v>
      </c>
    </row>
    <row r="113" spans="1:28" ht="15" customHeight="1">
      <c r="A113" s="20" t="str">
        <f t="shared" si="21"/>
        <v>X</v>
      </c>
      <c r="B113" s="1007"/>
      <c r="C113" s="1016"/>
      <c r="D113" s="994"/>
      <c r="E113" s="905" t="s">
        <v>37</v>
      </c>
      <c r="F113" s="438" t="s">
        <v>62</v>
      </c>
      <c r="G113" s="252">
        <v>458</v>
      </c>
      <c r="H113" s="253">
        <v>230</v>
      </c>
      <c r="I113" s="254">
        <f t="shared" si="26"/>
        <v>0.27292576419213976</v>
      </c>
      <c r="J113" s="255">
        <v>125</v>
      </c>
      <c r="K113" s="254">
        <f t="shared" si="23"/>
        <v>0.29039301310043669</v>
      </c>
      <c r="L113" s="255">
        <v>133</v>
      </c>
      <c r="M113" s="254">
        <f t="shared" si="24"/>
        <v>0.33834586466165412</v>
      </c>
      <c r="N113" s="851">
        <v>45</v>
      </c>
      <c r="O113" s="242">
        <v>32</v>
      </c>
      <c r="P113" s="243">
        <v>15</v>
      </c>
      <c r="Q113" s="242">
        <v>84</v>
      </c>
      <c r="R113" s="243">
        <v>32</v>
      </c>
      <c r="S113" s="307">
        <v>519</v>
      </c>
      <c r="T113" s="308">
        <v>247</v>
      </c>
      <c r="U113" s="307">
        <v>23</v>
      </c>
      <c r="V113" s="309">
        <v>15</v>
      </c>
      <c r="W113" s="278" t="s">
        <v>206</v>
      </c>
      <c r="AB113" s="2" t="str">
        <f t="shared" si="30"/>
        <v>Frontière</v>
      </c>
    </row>
    <row r="114" spans="1:28" ht="15" customHeight="1">
      <c r="A114" s="20" t="str">
        <f t="shared" ref="A114:A159" si="33">IF(D114="Sous-total","S",IF(G114="","","X"))</f>
        <v>X</v>
      </c>
      <c r="B114" s="1007"/>
      <c r="C114" s="1016"/>
      <c r="D114" s="994"/>
      <c r="E114" s="905" t="s">
        <v>157</v>
      </c>
      <c r="F114" s="438" t="s">
        <v>62</v>
      </c>
      <c r="G114" s="252">
        <v>283</v>
      </c>
      <c r="H114" s="253">
        <v>161</v>
      </c>
      <c r="I114" s="254">
        <f t="shared" si="26"/>
        <v>0.52296819787985871</v>
      </c>
      <c r="J114" s="255">
        <v>148</v>
      </c>
      <c r="K114" s="254">
        <f t="shared" si="23"/>
        <v>0.38162544169611307</v>
      </c>
      <c r="L114" s="255">
        <v>108</v>
      </c>
      <c r="M114" s="254">
        <f t="shared" si="24"/>
        <v>0.67592592592592593</v>
      </c>
      <c r="N114" s="851">
        <v>73</v>
      </c>
      <c r="O114" s="242">
        <v>7</v>
      </c>
      <c r="P114" s="243">
        <v>4</v>
      </c>
      <c r="Q114" s="242">
        <v>8</v>
      </c>
      <c r="R114" s="243">
        <v>5</v>
      </c>
      <c r="S114" s="307">
        <v>283</v>
      </c>
      <c r="T114" s="308">
        <v>160</v>
      </c>
      <c r="U114" s="307">
        <v>8</v>
      </c>
      <c r="V114" s="309">
        <v>6</v>
      </c>
      <c r="W114" s="278" t="s">
        <v>206</v>
      </c>
      <c r="AB114" s="2" t="str">
        <f t="shared" si="30"/>
        <v>Frontière</v>
      </c>
    </row>
    <row r="115" spans="1:28" ht="15" customHeight="1">
      <c r="A115" s="20" t="str">
        <f t="shared" si="33"/>
        <v>X</v>
      </c>
      <c r="B115" s="1007"/>
      <c r="C115" s="1016"/>
      <c r="D115" s="994"/>
      <c r="E115" s="905" t="s">
        <v>38</v>
      </c>
      <c r="F115" s="438" t="s">
        <v>62</v>
      </c>
      <c r="G115" s="252">
        <v>312</v>
      </c>
      <c r="H115" s="253">
        <v>170</v>
      </c>
      <c r="I115" s="254">
        <f t="shared" si="26"/>
        <v>0.40064102564102566</v>
      </c>
      <c r="J115" s="255">
        <v>125</v>
      </c>
      <c r="K115" s="254">
        <f t="shared" si="23"/>
        <v>0.30448717948717946</v>
      </c>
      <c r="L115" s="255">
        <v>95</v>
      </c>
      <c r="M115" s="254">
        <f t="shared" si="24"/>
        <v>0.48421052631578948</v>
      </c>
      <c r="N115" s="851">
        <v>46</v>
      </c>
      <c r="O115" s="242">
        <v>21</v>
      </c>
      <c r="P115" s="243">
        <v>10</v>
      </c>
      <c r="Q115" s="242">
        <v>45</v>
      </c>
      <c r="R115" s="243">
        <v>22</v>
      </c>
      <c r="S115" s="307">
        <v>306</v>
      </c>
      <c r="T115" s="308">
        <v>167</v>
      </c>
      <c r="U115" s="307">
        <v>51</v>
      </c>
      <c r="V115" s="309">
        <v>25</v>
      </c>
      <c r="W115" s="278" t="s">
        <v>206</v>
      </c>
      <c r="AB115" s="2" t="str">
        <f t="shared" si="30"/>
        <v>Frontière</v>
      </c>
    </row>
    <row r="116" spans="1:28" ht="15" customHeight="1">
      <c r="A116" s="20" t="str">
        <f t="shared" si="33"/>
        <v>X</v>
      </c>
      <c r="B116" s="1007"/>
      <c r="C116" s="1016"/>
      <c r="D116" s="994"/>
      <c r="E116" s="905" t="s">
        <v>158</v>
      </c>
      <c r="F116" s="435" t="s">
        <v>62</v>
      </c>
      <c r="G116" s="252">
        <v>110</v>
      </c>
      <c r="H116" s="253">
        <v>68</v>
      </c>
      <c r="I116" s="254">
        <f t="shared" si="26"/>
        <v>0.42727272727272725</v>
      </c>
      <c r="J116" s="255">
        <v>47</v>
      </c>
      <c r="K116" s="254">
        <f t="shared" si="23"/>
        <v>0.36363636363636365</v>
      </c>
      <c r="L116" s="255">
        <v>40</v>
      </c>
      <c r="M116" s="254">
        <f t="shared" si="24"/>
        <v>0.5</v>
      </c>
      <c r="N116" s="851">
        <v>20</v>
      </c>
      <c r="O116" s="242">
        <v>6</v>
      </c>
      <c r="P116" s="243">
        <v>6</v>
      </c>
      <c r="Q116" s="242">
        <v>3</v>
      </c>
      <c r="R116" s="243">
        <v>0</v>
      </c>
      <c r="S116" s="307">
        <v>77</v>
      </c>
      <c r="T116" s="308">
        <v>47</v>
      </c>
      <c r="U116" s="307">
        <v>36</v>
      </c>
      <c r="V116" s="309">
        <v>21</v>
      </c>
      <c r="W116" s="278" t="s">
        <v>206</v>
      </c>
      <c r="AB116" s="2" t="str">
        <f t="shared" si="30"/>
        <v>Frontière</v>
      </c>
    </row>
    <row r="117" spans="1:28" ht="15" customHeight="1">
      <c r="A117" s="20" t="str">
        <f t="shared" si="33"/>
        <v>X</v>
      </c>
      <c r="B117" s="1007"/>
      <c r="C117" s="1016"/>
      <c r="D117" s="994"/>
      <c r="E117" s="905" t="s">
        <v>148</v>
      </c>
      <c r="F117" s="435" t="s">
        <v>62</v>
      </c>
      <c r="G117" s="252">
        <v>52</v>
      </c>
      <c r="H117" s="253">
        <v>30</v>
      </c>
      <c r="I117" s="254">
        <f t="shared" si="26"/>
        <v>0.40384615384615385</v>
      </c>
      <c r="J117" s="255">
        <v>21</v>
      </c>
      <c r="K117" s="254">
        <f t="shared" si="23"/>
        <v>0.32692307692307693</v>
      </c>
      <c r="L117" s="255">
        <v>17</v>
      </c>
      <c r="M117" s="254">
        <f t="shared" si="24"/>
        <v>0.47058823529411764</v>
      </c>
      <c r="N117" s="851">
        <v>8</v>
      </c>
      <c r="O117" s="242">
        <v>0</v>
      </c>
      <c r="P117" s="243">
        <v>0</v>
      </c>
      <c r="Q117" s="242">
        <v>1</v>
      </c>
      <c r="R117" s="243">
        <v>1</v>
      </c>
      <c r="S117" s="307">
        <v>46</v>
      </c>
      <c r="T117" s="308">
        <v>28</v>
      </c>
      <c r="U117" s="307">
        <v>7</v>
      </c>
      <c r="V117" s="309">
        <v>3</v>
      </c>
      <c r="W117" s="278" t="s">
        <v>206</v>
      </c>
      <c r="AB117" s="2" t="str">
        <f t="shared" si="30"/>
        <v>Frontière</v>
      </c>
    </row>
    <row r="118" spans="1:28" ht="15" customHeight="1">
      <c r="A118" s="20" t="str">
        <f t="shared" si="33"/>
        <v/>
      </c>
      <c r="B118" s="1007"/>
      <c r="C118" s="1016"/>
      <c r="D118" s="994"/>
      <c r="E118" s="905" t="s">
        <v>149</v>
      </c>
      <c r="F118" s="438" t="s">
        <v>62</v>
      </c>
      <c r="G118" s="738"/>
      <c r="H118" s="739"/>
      <c r="I118" s="740" t="str">
        <f t="shared" si="26"/>
        <v/>
      </c>
      <c r="J118" s="741"/>
      <c r="K118" s="740" t="str">
        <f t="shared" si="23"/>
        <v/>
      </c>
      <c r="L118" s="741"/>
      <c r="M118" s="740" t="str">
        <f t="shared" si="24"/>
        <v/>
      </c>
      <c r="N118" s="741"/>
      <c r="O118" s="742"/>
      <c r="P118" s="743"/>
      <c r="Q118" s="742"/>
      <c r="R118" s="743"/>
      <c r="S118" s="744"/>
      <c r="T118" s="745"/>
      <c r="U118" s="744"/>
      <c r="V118" s="746"/>
      <c r="W118" s="278" t="s">
        <v>206</v>
      </c>
      <c r="AB118" s="2" t="str">
        <f t="shared" si="30"/>
        <v/>
      </c>
    </row>
    <row r="119" spans="1:28" ht="15" customHeight="1">
      <c r="A119" s="20" t="str">
        <f t="shared" si="33"/>
        <v/>
      </c>
      <c r="B119" s="1007"/>
      <c r="C119" s="1016"/>
      <c r="D119" s="994"/>
      <c r="E119" s="961" t="s">
        <v>166</v>
      </c>
      <c r="F119" s="438" t="s">
        <v>62</v>
      </c>
      <c r="G119" s="252"/>
      <c r="H119" s="253"/>
      <c r="I119" s="254" t="str">
        <f t="shared" si="26"/>
        <v/>
      </c>
      <c r="J119" s="255"/>
      <c r="K119" s="254" t="str">
        <f t="shared" si="23"/>
        <v/>
      </c>
      <c r="L119" s="255"/>
      <c r="M119" s="254" t="str">
        <f t="shared" si="24"/>
        <v/>
      </c>
      <c r="N119" s="851"/>
      <c r="O119" s="242"/>
      <c r="P119" s="243"/>
      <c r="Q119" s="242"/>
      <c r="R119" s="243"/>
      <c r="S119" s="307"/>
      <c r="T119" s="308"/>
      <c r="U119" s="307"/>
      <c r="V119" s="309"/>
      <c r="W119" s="278" t="s">
        <v>206</v>
      </c>
      <c r="AB119" s="2" t="str">
        <f t="shared" si="30"/>
        <v/>
      </c>
    </row>
    <row r="120" spans="1:28" ht="15" customHeight="1">
      <c r="A120" s="20" t="str">
        <f t="shared" si="33"/>
        <v/>
      </c>
      <c r="B120" s="1007"/>
      <c r="C120" s="1016"/>
      <c r="D120" s="994"/>
      <c r="E120" s="961" t="s">
        <v>166</v>
      </c>
      <c r="F120" s="438" t="s">
        <v>62</v>
      </c>
      <c r="G120" s="252"/>
      <c r="H120" s="253"/>
      <c r="I120" s="254" t="str">
        <f t="shared" si="26"/>
        <v/>
      </c>
      <c r="J120" s="255"/>
      <c r="K120" s="254" t="str">
        <f t="shared" si="23"/>
        <v/>
      </c>
      <c r="L120" s="255"/>
      <c r="M120" s="254" t="str">
        <f t="shared" si="24"/>
        <v/>
      </c>
      <c r="N120" s="851"/>
      <c r="O120" s="242"/>
      <c r="P120" s="243"/>
      <c r="Q120" s="242"/>
      <c r="R120" s="243"/>
      <c r="S120" s="307"/>
      <c r="T120" s="308"/>
      <c r="U120" s="307"/>
      <c r="V120" s="309"/>
      <c r="W120" s="278" t="s">
        <v>206</v>
      </c>
      <c r="AB120" s="2" t="str">
        <f t="shared" si="30"/>
        <v/>
      </c>
    </row>
    <row r="121" spans="1:28" ht="15" customHeight="1">
      <c r="A121" s="20" t="str">
        <f t="shared" si="33"/>
        <v/>
      </c>
      <c r="B121" s="1007"/>
      <c r="C121" s="1016"/>
      <c r="D121" s="994"/>
      <c r="E121" s="905" t="s">
        <v>152</v>
      </c>
      <c r="F121" s="438" t="s">
        <v>62</v>
      </c>
      <c r="G121" s="738"/>
      <c r="H121" s="739"/>
      <c r="I121" s="740" t="str">
        <f t="shared" si="26"/>
        <v/>
      </c>
      <c r="J121" s="741"/>
      <c r="K121" s="740" t="str">
        <f t="shared" si="23"/>
        <v/>
      </c>
      <c r="L121" s="741"/>
      <c r="M121" s="740" t="str">
        <f t="shared" si="24"/>
        <v/>
      </c>
      <c r="N121" s="741"/>
      <c r="O121" s="742"/>
      <c r="P121" s="743"/>
      <c r="Q121" s="742"/>
      <c r="R121" s="743"/>
      <c r="S121" s="744"/>
      <c r="T121" s="745"/>
      <c r="U121" s="744"/>
      <c r="V121" s="746"/>
      <c r="W121" s="278" t="s">
        <v>206</v>
      </c>
      <c r="AB121" s="2" t="str">
        <f t="shared" si="30"/>
        <v/>
      </c>
    </row>
    <row r="122" spans="1:28" ht="15" customHeight="1">
      <c r="A122" s="20" t="str">
        <f t="shared" si="33"/>
        <v/>
      </c>
      <c r="B122" s="1007"/>
      <c r="C122" s="1016"/>
      <c r="D122" s="994"/>
      <c r="E122" s="961" t="s">
        <v>166</v>
      </c>
      <c r="F122" s="438"/>
      <c r="G122" s="738"/>
      <c r="H122" s="739"/>
      <c r="I122" s="740"/>
      <c r="J122" s="741"/>
      <c r="K122" s="740"/>
      <c r="L122" s="741"/>
      <c r="M122" s="740"/>
      <c r="N122" s="741"/>
      <c r="O122" s="742"/>
      <c r="P122" s="743"/>
      <c r="Q122" s="742"/>
      <c r="R122" s="743"/>
      <c r="S122" s="744"/>
      <c r="T122" s="745"/>
      <c r="U122" s="744"/>
      <c r="V122" s="746"/>
      <c r="W122" s="279"/>
    </row>
    <row r="123" spans="1:28" ht="15" customHeight="1">
      <c r="A123" s="20" t="str">
        <f t="shared" si="33"/>
        <v/>
      </c>
      <c r="B123" s="1007"/>
      <c r="C123" s="1016"/>
      <c r="D123" s="994"/>
      <c r="E123" s="961" t="s">
        <v>166</v>
      </c>
      <c r="F123" s="438"/>
      <c r="G123" s="738"/>
      <c r="H123" s="739"/>
      <c r="I123" s="740"/>
      <c r="J123" s="741"/>
      <c r="K123" s="740"/>
      <c r="L123" s="741"/>
      <c r="M123" s="740"/>
      <c r="N123" s="741"/>
      <c r="O123" s="742"/>
      <c r="P123" s="743"/>
      <c r="Q123" s="742"/>
      <c r="R123" s="743"/>
      <c r="S123" s="744"/>
      <c r="T123" s="745"/>
      <c r="U123" s="744"/>
      <c r="V123" s="746"/>
      <c r="W123" s="279"/>
    </row>
    <row r="124" spans="1:28" ht="15" customHeight="1">
      <c r="A124" s="20" t="str">
        <f t="shared" si="33"/>
        <v/>
      </c>
      <c r="B124" s="1007"/>
      <c r="C124" s="1016"/>
      <c r="D124" s="994"/>
      <c r="E124" s="962" t="s">
        <v>166</v>
      </c>
      <c r="F124" s="480"/>
      <c r="G124" s="766"/>
      <c r="H124" s="767"/>
      <c r="I124" s="768"/>
      <c r="J124" s="769"/>
      <c r="K124" s="768"/>
      <c r="L124" s="769"/>
      <c r="M124" s="768"/>
      <c r="N124" s="769"/>
      <c r="O124" s="770"/>
      <c r="P124" s="771"/>
      <c r="Q124" s="770"/>
      <c r="R124" s="771"/>
      <c r="S124" s="772"/>
      <c r="T124" s="773"/>
      <c r="U124" s="772"/>
      <c r="V124" s="774"/>
      <c r="W124" s="279"/>
    </row>
    <row r="125" spans="1:28" ht="15.75">
      <c r="A125" s="20" t="str">
        <f t="shared" si="33"/>
        <v>S</v>
      </c>
      <c r="B125" s="1007"/>
      <c r="C125" s="1016"/>
      <c r="D125" s="333" t="s">
        <v>138</v>
      </c>
      <c r="E125" s="898"/>
      <c r="F125" s="264"/>
      <c r="G125" s="7">
        <f>SUM(G110:G124)</f>
        <v>1242</v>
      </c>
      <c r="H125" s="8">
        <f>SUM(H110:H124)</f>
        <v>672</v>
      </c>
      <c r="I125" s="9">
        <f t="shared" si="26"/>
        <v>0.38405797101449274</v>
      </c>
      <c r="J125" s="213">
        <f>SUM(J110:J124)</f>
        <v>477</v>
      </c>
      <c r="K125" s="52">
        <f t="shared" si="23"/>
        <v>0.32125603864734298</v>
      </c>
      <c r="L125" s="213">
        <f>SUM(L110:L124)</f>
        <v>399</v>
      </c>
      <c r="M125" s="9">
        <f t="shared" si="24"/>
        <v>0.48872180451127817</v>
      </c>
      <c r="N125" s="213">
        <f t="shared" ref="N125:V125" si="34">SUM(N110:N124)</f>
        <v>195</v>
      </c>
      <c r="O125" s="120">
        <f t="shared" si="34"/>
        <v>66</v>
      </c>
      <c r="P125" s="121">
        <f t="shared" si="34"/>
        <v>35</v>
      </c>
      <c r="Q125" s="120">
        <f t="shared" si="34"/>
        <v>147</v>
      </c>
      <c r="R125" s="121">
        <f t="shared" si="34"/>
        <v>64</v>
      </c>
      <c r="S125" s="120">
        <f t="shared" si="34"/>
        <v>1258</v>
      </c>
      <c r="T125" s="121">
        <f t="shared" si="34"/>
        <v>662</v>
      </c>
      <c r="U125" s="120">
        <f t="shared" si="34"/>
        <v>131</v>
      </c>
      <c r="V125" s="122">
        <f t="shared" si="34"/>
        <v>74</v>
      </c>
      <c r="W125" s="279"/>
      <c r="AB125" s="2">
        <f t="shared" si="30"/>
        <v>0</v>
      </c>
    </row>
    <row r="126" spans="1:28" ht="15.75" customHeight="1">
      <c r="A126" s="20" t="str">
        <f t="shared" si="33"/>
        <v>X</v>
      </c>
      <c r="B126" s="1022" t="s">
        <v>72</v>
      </c>
      <c r="C126" s="1016" t="s">
        <v>76</v>
      </c>
      <c r="D126" s="994">
        <v>3</v>
      </c>
      <c r="E126" s="903" t="s">
        <v>150</v>
      </c>
      <c r="F126" s="473" t="s">
        <v>62</v>
      </c>
      <c r="G126" s="247">
        <v>45</v>
      </c>
      <c r="H126" s="248">
        <v>24</v>
      </c>
      <c r="I126" s="249">
        <f t="shared" si="26"/>
        <v>0.28888888888888886</v>
      </c>
      <c r="J126" s="250">
        <v>13</v>
      </c>
      <c r="K126" s="249">
        <f t="shared" si="23"/>
        <v>0.24444444444444444</v>
      </c>
      <c r="L126" s="250">
        <v>11</v>
      </c>
      <c r="M126" s="249">
        <f t="shared" si="24"/>
        <v>0.45454545454545453</v>
      </c>
      <c r="N126" s="846">
        <v>5</v>
      </c>
      <c r="O126" s="240">
        <v>2</v>
      </c>
      <c r="P126" s="241">
        <v>1</v>
      </c>
      <c r="Q126" s="240">
        <v>22</v>
      </c>
      <c r="R126" s="241">
        <v>12</v>
      </c>
      <c r="S126" s="304">
        <v>58</v>
      </c>
      <c r="T126" s="305">
        <v>33</v>
      </c>
      <c r="U126" s="304">
        <v>9</v>
      </c>
      <c r="V126" s="306">
        <v>3</v>
      </c>
      <c r="W126" s="216" t="s">
        <v>206</v>
      </c>
      <c r="AB126" s="2" t="str">
        <f t="shared" si="30"/>
        <v>Frontière</v>
      </c>
    </row>
    <row r="127" spans="1:28" ht="15.75" customHeight="1">
      <c r="A127" s="20" t="str">
        <f t="shared" si="33"/>
        <v>X</v>
      </c>
      <c r="B127" s="1022"/>
      <c r="C127" s="1016"/>
      <c r="D127" s="994"/>
      <c r="E127" s="905" t="s">
        <v>153</v>
      </c>
      <c r="F127" s="438" t="s">
        <v>62</v>
      </c>
      <c r="G127" s="252">
        <v>16</v>
      </c>
      <c r="H127" s="253">
        <v>10</v>
      </c>
      <c r="I127" s="254">
        <f t="shared" si="26"/>
        <v>0.25</v>
      </c>
      <c r="J127" s="255">
        <v>4</v>
      </c>
      <c r="K127" s="254">
        <f t="shared" si="23"/>
        <v>0.3125</v>
      </c>
      <c r="L127" s="255">
        <v>5</v>
      </c>
      <c r="M127" s="254">
        <f t="shared" si="24"/>
        <v>0.2</v>
      </c>
      <c r="N127" s="851">
        <v>1</v>
      </c>
      <c r="O127" s="242">
        <v>0</v>
      </c>
      <c r="P127" s="243">
        <v>0</v>
      </c>
      <c r="Q127" s="242">
        <v>4</v>
      </c>
      <c r="R127" s="243">
        <v>2</v>
      </c>
      <c r="S127" s="307">
        <v>17</v>
      </c>
      <c r="T127" s="308">
        <v>9</v>
      </c>
      <c r="U127" s="307">
        <v>3</v>
      </c>
      <c r="V127" s="309">
        <v>3</v>
      </c>
      <c r="W127" s="216" t="s">
        <v>206</v>
      </c>
      <c r="AB127" s="2" t="str">
        <f t="shared" si="30"/>
        <v>Frontière</v>
      </c>
    </row>
    <row r="128" spans="1:28" ht="15.75" customHeight="1">
      <c r="A128" s="20" t="str">
        <f t="shared" si="33"/>
        <v/>
      </c>
      <c r="B128" s="1022"/>
      <c r="C128" s="1016"/>
      <c r="D128" s="994"/>
      <c r="E128" s="961" t="s">
        <v>166</v>
      </c>
      <c r="F128" s="438" t="s">
        <v>62</v>
      </c>
      <c r="G128" s="252"/>
      <c r="H128" s="253"/>
      <c r="I128" s="254" t="str">
        <f t="shared" si="26"/>
        <v/>
      </c>
      <c r="J128" s="255"/>
      <c r="K128" s="254" t="str">
        <f t="shared" si="23"/>
        <v/>
      </c>
      <c r="L128" s="255"/>
      <c r="M128" s="254" t="str">
        <f t="shared" si="24"/>
        <v/>
      </c>
      <c r="N128" s="851"/>
      <c r="O128" s="242"/>
      <c r="P128" s="243"/>
      <c r="Q128" s="242"/>
      <c r="R128" s="243"/>
      <c r="S128" s="307"/>
      <c r="T128" s="308"/>
      <c r="U128" s="307"/>
      <c r="V128" s="309"/>
      <c r="W128" s="216" t="s">
        <v>206</v>
      </c>
      <c r="AB128" s="2" t="str">
        <f t="shared" si="30"/>
        <v/>
      </c>
    </row>
    <row r="129" spans="1:28" ht="15.75" customHeight="1">
      <c r="A129" s="20" t="str">
        <f t="shared" si="33"/>
        <v/>
      </c>
      <c r="B129" s="1022"/>
      <c r="C129" s="1016"/>
      <c r="D129" s="994"/>
      <c r="E129" s="961" t="s">
        <v>166</v>
      </c>
      <c r="F129" s="438" t="s">
        <v>62</v>
      </c>
      <c r="G129" s="252"/>
      <c r="H129" s="253"/>
      <c r="I129" s="254" t="str">
        <f t="shared" si="26"/>
        <v/>
      </c>
      <c r="J129" s="255"/>
      <c r="K129" s="254" t="str">
        <f t="shared" ref="K129:K161" si="35">IF(L129="","",L129/G129)</f>
        <v/>
      </c>
      <c r="L129" s="255"/>
      <c r="M129" s="254" t="str">
        <f t="shared" ref="M129:M161" si="36">IF(N129="","",N129/L129)</f>
        <v/>
      </c>
      <c r="N129" s="851"/>
      <c r="O129" s="242"/>
      <c r="P129" s="243"/>
      <c r="Q129" s="242"/>
      <c r="R129" s="243"/>
      <c r="S129" s="307"/>
      <c r="T129" s="308"/>
      <c r="U129" s="307"/>
      <c r="V129" s="309"/>
      <c r="W129" s="216" t="s">
        <v>206</v>
      </c>
      <c r="AB129" s="2" t="str">
        <f t="shared" si="30"/>
        <v/>
      </c>
    </row>
    <row r="130" spans="1:28" ht="15.75" customHeight="1">
      <c r="A130" s="20" t="str">
        <f t="shared" si="33"/>
        <v>X</v>
      </c>
      <c r="B130" s="1022"/>
      <c r="C130" s="1016"/>
      <c r="D130" s="994"/>
      <c r="E130" s="905" t="s">
        <v>36</v>
      </c>
      <c r="F130" s="438" t="s">
        <v>62</v>
      </c>
      <c r="G130" s="252">
        <v>9</v>
      </c>
      <c r="H130" s="253">
        <v>8</v>
      </c>
      <c r="I130" s="254">
        <f t="shared" si="26"/>
        <v>0.22222222222222221</v>
      </c>
      <c r="J130" s="255">
        <v>2</v>
      </c>
      <c r="K130" s="254">
        <f t="shared" si="35"/>
        <v>0.44444444444444442</v>
      </c>
      <c r="L130" s="255">
        <v>4</v>
      </c>
      <c r="M130" s="254">
        <f t="shared" si="36"/>
        <v>0.25</v>
      </c>
      <c r="N130" s="851">
        <v>1</v>
      </c>
      <c r="O130" s="242">
        <v>0</v>
      </c>
      <c r="P130" s="243">
        <v>0</v>
      </c>
      <c r="Q130" s="242">
        <v>0</v>
      </c>
      <c r="R130" s="243">
        <v>0</v>
      </c>
      <c r="S130" s="307">
        <v>7</v>
      </c>
      <c r="T130" s="308">
        <v>6</v>
      </c>
      <c r="U130" s="307">
        <v>2</v>
      </c>
      <c r="V130" s="309">
        <v>2</v>
      </c>
      <c r="W130" s="216" t="s">
        <v>206</v>
      </c>
      <c r="AB130" s="2" t="str">
        <f t="shared" si="30"/>
        <v>Frontière</v>
      </c>
    </row>
    <row r="131" spans="1:28" ht="15.75" customHeight="1">
      <c r="A131" s="20" t="str">
        <f t="shared" si="33"/>
        <v/>
      </c>
      <c r="B131" s="1022"/>
      <c r="C131" s="1016"/>
      <c r="D131" s="994"/>
      <c r="E131" s="961" t="s">
        <v>166</v>
      </c>
      <c r="F131" s="438"/>
      <c r="G131" s="252"/>
      <c r="H131" s="253"/>
      <c r="I131" s="254"/>
      <c r="J131" s="255"/>
      <c r="K131" s="254"/>
      <c r="L131" s="255"/>
      <c r="M131" s="254"/>
      <c r="N131" s="851"/>
      <c r="O131" s="242"/>
      <c r="P131" s="243"/>
      <c r="Q131" s="242"/>
      <c r="R131" s="243"/>
      <c r="S131" s="307"/>
      <c r="T131" s="308"/>
      <c r="U131" s="307"/>
      <c r="V131" s="309"/>
      <c r="W131" s="216"/>
    </row>
    <row r="132" spans="1:28" ht="15.75" customHeight="1">
      <c r="A132" s="20" t="str">
        <f t="shared" si="33"/>
        <v/>
      </c>
      <c r="B132" s="1022"/>
      <c r="C132" s="1016"/>
      <c r="D132" s="994"/>
      <c r="E132" s="961" t="s">
        <v>166</v>
      </c>
      <c r="F132" s="438"/>
      <c r="G132" s="252"/>
      <c r="H132" s="253"/>
      <c r="I132" s="254"/>
      <c r="J132" s="255"/>
      <c r="K132" s="254"/>
      <c r="L132" s="255"/>
      <c r="M132" s="254"/>
      <c r="N132" s="851"/>
      <c r="O132" s="242"/>
      <c r="P132" s="243"/>
      <c r="Q132" s="242"/>
      <c r="R132" s="243"/>
      <c r="S132" s="307"/>
      <c r="T132" s="308"/>
      <c r="U132" s="307"/>
      <c r="V132" s="309"/>
      <c r="W132" s="216"/>
    </row>
    <row r="133" spans="1:28" ht="15.75" customHeight="1">
      <c r="A133" s="20" t="str">
        <f t="shared" si="33"/>
        <v/>
      </c>
      <c r="B133" s="1022"/>
      <c r="C133" s="1016"/>
      <c r="D133" s="994"/>
      <c r="E133" s="962" t="s">
        <v>166</v>
      </c>
      <c r="F133" s="480"/>
      <c r="G133" s="257"/>
      <c r="H133" s="258"/>
      <c r="I133" s="259"/>
      <c r="J133" s="260"/>
      <c r="K133" s="259"/>
      <c r="L133" s="260"/>
      <c r="M133" s="259"/>
      <c r="N133" s="856"/>
      <c r="O133" s="244"/>
      <c r="P133" s="245"/>
      <c r="Q133" s="244"/>
      <c r="R133" s="245"/>
      <c r="S133" s="310"/>
      <c r="T133" s="311"/>
      <c r="U133" s="310"/>
      <c r="V133" s="312"/>
      <c r="W133" s="216"/>
    </row>
    <row r="134" spans="1:28" ht="15.75" customHeight="1">
      <c r="A134" s="20" t="str">
        <f t="shared" si="33"/>
        <v>S</v>
      </c>
      <c r="B134" s="1022"/>
      <c r="C134" s="1016"/>
      <c r="D134" s="333" t="s">
        <v>138</v>
      </c>
      <c r="E134" s="898"/>
      <c r="F134" s="264"/>
      <c r="G134" s="7">
        <f>SUM(G126:G133)</f>
        <v>70</v>
      </c>
      <c r="H134" s="8">
        <f>SUM(H126:H133)</f>
        <v>42</v>
      </c>
      <c r="I134" s="9">
        <f t="shared" si="26"/>
        <v>0.27142857142857141</v>
      </c>
      <c r="J134" s="213">
        <f>SUM(J126:J133)</f>
        <v>19</v>
      </c>
      <c r="K134" s="52">
        <f t="shared" si="35"/>
        <v>0.2857142857142857</v>
      </c>
      <c r="L134" s="213">
        <f>SUM(L126:L133)</f>
        <v>20</v>
      </c>
      <c r="M134" s="9">
        <f t="shared" si="36"/>
        <v>0.35</v>
      </c>
      <c r="N134" s="213">
        <f t="shared" ref="N134:V134" si="37">SUM(N126:N133)</f>
        <v>7</v>
      </c>
      <c r="O134" s="120">
        <f t="shared" si="37"/>
        <v>2</v>
      </c>
      <c r="P134" s="121">
        <f t="shared" si="37"/>
        <v>1</v>
      </c>
      <c r="Q134" s="120">
        <f t="shared" si="37"/>
        <v>26</v>
      </c>
      <c r="R134" s="121">
        <f t="shared" si="37"/>
        <v>14</v>
      </c>
      <c r="S134" s="120">
        <f t="shared" si="37"/>
        <v>82</v>
      </c>
      <c r="T134" s="121">
        <f t="shared" si="37"/>
        <v>48</v>
      </c>
      <c r="U134" s="120">
        <f t="shared" si="37"/>
        <v>14</v>
      </c>
      <c r="V134" s="122">
        <f t="shared" si="37"/>
        <v>8</v>
      </c>
      <c r="W134" s="216"/>
      <c r="AB134" s="2">
        <f t="shared" si="30"/>
        <v>0</v>
      </c>
    </row>
    <row r="135" spans="1:28" ht="15.75" customHeight="1">
      <c r="A135" s="20" t="str">
        <f t="shared" si="33"/>
        <v/>
      </c>
      <c r="B135" s="980" t="s">
        <v>3</v>
      </c>
      <c r="C135" s="983" t="s">
        <v>76</v>
      </c>
      <c r="D135" s="988">
        <v>17</v>
      </c>
      <c r="E135" s="901" t="s">
        <v>48</v>
      </c>
      <c r="F135" s="246" t="s">
        <v>61</v>
      </c>
      <c r="G135" s="247"/>
      <c r="H135" s="248"/>
      <c r="I135" s="249" t="str">
        <f t="shared" si="26"/>
        <v/>
      </c>
      <c r="J135" s="250"/>
      <c r="K135" s="249" t="str">
        <f t="shared" si="35"/>
        <v/>
      </c>
      <c r="L135" s="250"/>
      <c r="M135" s="249" t="str">
        <f t="shared" si="36"/>
        <v/>
      </c>
      <c r="N135" s="846"/>
      <c r="O135" s="240" t="s">
        <v>21</v>
      </c>
      <c r="P135" s="241" t="s">
        <v>21</v>
      </c>
      <c r="Q135" s="240" t="s">
        <v>21</v>
      </c>
      <c r="R135" s="241" t="s">
        <v>21</v>
      </c>
      <c r="S135" s="721"/>
      <c r="T135" s="722"/>
      <c r="U135" s="721"/>
      <c r="V135" s="723"/>
      <c r="W135" s="216" t="s">
        <v>206</v>
      </c>
      <c r="AB135" s="2" t="str">
        <f t="shared" si="30"/>
        <v/>
      </c>
    </row>
    <row r="136" spans="1:28" ht="15.75" customHeight="1">
      <c r="A136" s="20" t="str">
        <f t="shared" si="33"/>
        <v/>
      </c>
      <c r="B136" s="981"/>
      <c r="C136" s="984"/>
      <c r="D136" s="989"/>
      <c r="E136" s="902" t="s">
        <v>49</v>
      </c>
      <c r="F136" s="251" t="s">
        <v>61</v>
      </c>
      <c r="G136" s="252"/>
      <c r="H136" s="253"/>
      <c r="I136" s="254" t="str">
        <f t="shared" si="26"/>
        <v/>
      </c>
      <c r="J136" s="255"/>
      <c r="K136" s="254" t="str">
        <f t="shared" si="35"/>
        <v/>
      </c>
      <c r="L136" s="255"/>
      <c r="M136" s="254" t="str">
        <f t="shared" si="36"/>
        <v/>
      </c>
      <c r="N136" s="851"/>
      <c r="O136" s="242" t="s">
        <v>21</v>
      </c>
      <c r="P136" s="243" t="s">
        <v>21</v>
      </c>
      <c r="Q136" s="242" t="s">
        <v>21</v>
      </c>
      <c r="R136" s="243" t="s">
        <v>21</v>
      </c>
      <c r="S136" s="724"/>
      <c r="T136" s="725"/>
      <c r="U136" s="724"/>
      <c r="V136" s="726"/>
      <c r="W136" s="216" t="s">
        <v>206</v>
      </c>
      <c r="AB136" s="2" t="str">
        <f t="shared" si="30"/>
        <v/>
      </c>
    </row>
    <row r="137" spans="1:28" ht="15.75" customHeight="1">
      <c r="A137" s="20" t="str">
        <f t="shared" si="33"/>
        <v/>
      </c>
      <c r="B137" s="981"/>
      <c r="C137" s="984"/>
      <c r="D137" s="989"/>
      <c r="E137" s="902" t="s">
        <v>81</v>
      </c>
      <c r="F137" s="251" t="s">
        <v>61</v>
      </c>
      <c r="G137" s="252"/>
      <c r="H137" s="253"/>
      <c r="I137" s="254" t="str">
        <f t="shared" si="26"/>
        <v/>
      </c>
      <c r="J137" s="255"/>
      <c r="K137" s="254" t="str">
        <f t="shared" si="35"/>
        <v/>
      </c>
      <c r="L137" s="255"/>
      <c r="M137" s="254" t="str">
        <f t="shared" si="36"/>
        <v/>
      </c>
      <c r="N137" s="851"/>
      <c r="O137" s="242" t="s">
        <v>21</v>
      </c>
      <c r="P137" s="243" t="s">
        <v>21</v>
      </c>
      <c r="Q137" s="242" t="s">
        <v>21</v>
      </c>
      <c r="R137" s="243" t="s">
        <v>21</v>
      </c>
      <c r="S137" s="724"/>
      <c r="T137" s="725"/>
      <c r="U137" s="724"/>
      <c r="V137" s="726"/>
      <c r="W137" s="216" t="s">
        <v>206</v>
      </c>
      <c r="AB137" s="2" t="str">
        <f t="shared" si="30"/>
        <v/>
      </c>
    </row>
    <row r="138" spans="1:28" ht="15.75" customHeight="1">
      <c r="A138" s="20" t="str">
        <f t="shared" si="33"/>
        <v/>
      </c>
      <c r="B138" s="981"/>
      <c r="C138" s="984"/>
      <c r="D138" s="989"/>
      <c r="E138" s="902" t="s">
        <v>73</v>
      </c>
      <c r="F138" s="251" t="s">
        <v>61</v>
      </c>
      <c r="G138" s="252"/>
      <c r="H138" s="253"/>
      <c r="I138" s="254" t="str">
        <f t="shared" si="26"/>
        <v/>
      </c>
      <c r="J138" s="255"/>
      <c r="K138" s="254" t="str">
        <f t="shared" si="35"/>
        <v/>
      </c>
      <c r="L138" s="255"/>
      <c r="M138" s="254" t="str">
        <f t="shared" si="36"/>
        <v/>
      </c>
      <c r="N138" s="851"/>
      <c r="O138" s="242" t="s">
        <v>21</v>
      </c>
      <c r="P138" s="243" t="s">
        <v>21</v>
      </c>
      <c r="Q138" s="242" t="s">
        <v>21</v>
      </c>
      <c r="R138" s="243" t="s">
        <v>21</v>
      </c>
      <c r="S138" s="724"/>
      <c r="T138" s="725"/>
      <c r="U138" s="724"/>
      <c r="V138" s="726"/>
      <c r="W138" s="216" t="s">
        <v>206</v>
      </c>
      <c r="AB138" s="2" t="str">
        <f t="shared" si="30"/>
        <v/>
      </c>
    </row>
    <row r="139" spans="1:28" ht="15.75" customHeight="1">
      <c r="A139" s="20" t="str">
        <f t="shared" si="33"/>
        <v/>
      </c>
      <c r="B139" s="981"/>
      <c r="C139" s="984"/>
      <c r="D139" s="989"/>
      <c r="E139" s="902" t="s">
        <v>50</v>
      </c>
      <c r="F139" s="251" t="s">
        <v>61</v>
      </c>
      <c r="G139" s="252"/>
      <c r="H139" s="253"/>
      <c r="I139" s="254" t="str">
        <f t="shared" si="26"/>
        <v/>
      </c>
      <c r="J139" s="255"/>
      <c r="K139" s="254" t="str">
        <f t="shared" si="35"/>
        <v/>
      </c>
      <c r="L139" s="255"/>
      <c r="M139" s="254" t="str">
        <f t="shared" si="36"/>
        <v/>
      </c>
      <c r="N139" s="851"/>
      <c r="O139" s="242" t="s">
        <v>21</v>
      </c>
      <c r="P139" s="243" t="s">
        <v>21</v>
      </c>
      <c r="Q139" s="242" t="s">
        <v>21</v>
      </c>
      <c r="R139" s="243" t="s">
        <v>21</v>
      </c>
      <c r="S139" s="724"/>
      <c r="T139" s="725"/>
      <c r="U139" s="724"/>
      <c r="V139" s="726"/>
      <c r="W139" s="216" t="s">
        <v>206</v>
      </c>
      <c r="AB139" s="2" t="str">
        <f t="shared" si="30"/>
        <v/>
      </c>
    </row>
    <row r="140" spans="1:28" ht="15.75" customHeight="1">
      <c r="A140" s="20" t="str">
        <f t="shared" si="33"/>
        <v/>
      </c>
      <c r="B140" s="981"/>
      <c r="C140" s="984"/>
      <c r="D140" s="989"/>
      <c r="E140" s="902" t="s">
        <v>144</v>
      </c>
      <c r="F140" s="251" t="s">
        <v>61</v>
      </c>
      <c r="G140" s="252"/>
      <c r="H140" s="253"/>
      <c r="I140" s="254" t="str">
        <f t="shared" si="26"/>
        <v/>
      </c>
      <c r="J140" s="255"/>
      <c r="K140" s="254" t="str">
        <f t="shared" si="35"/>
        <v/>
      </c>
      <c r="L140" s="255"/>
      <c r="M140" s="254" t="str">
        <f t="shared" si="36"/>
        <v/>
      </c>
      <c r="N140" s="851"/>
      <c r="O140" s="242" t="s">
        <v>21</v>
      </c>
      <c r="P140" s="243" t="s">
        <v>21</v>
      </c>
      <c r="Q140" s="242" t="s">
        <v>21</v>
      </c>
      <c r="R140" s="243" t="s">
        <v>21</v>
      </c>
      <c r="S140" s="724"/>
      <c r="T140" s="725"/>
      <c r="U140" s="724"/>
      <c r="V140" s="726"/>
      <c r="W140" s="216" t="s">
        <v>206</v>
      </c>
      <c r="AB140" s="2" t="str">
        <f t="shared" si="30"/>
        <v/>
      </c>
    </row>
    <row r="141" spans="1:28" ht="15.75" customHeight="1">
      <c r="A141" s="20" t="str">
        <f t="shared" si="33"/>
        <v/>
      </c>
      <c r="B141" s="981"/>
      <c r="C141" s="984"/>
      <c r="D141" s="989"/>
      <c r="E141" s="902" t="s">
        <v>143</v>
      </c>
      <c r="F141" s="251" t="s">
        <v>61</v>
      </c>
      <c r="G141" s="252"/>
      <c r="H141" s="253"/>
      <c r="I141" s="254" t="str">
        <f t="shared" si="26"/>
        <v/>
      </c>
      <c r="J141" s="255"/>
      <c r="K141" s="254" t="str">
        <f t="shared" si="35"/>
        <v/>
      </c>
      <c r="L141" s="255"/>
      <c r="M141" s="254" t="str">
        <f t="shared" si="36"/>
        <v/>
      </c>
      <c r="N141" s="851"/>
      <c r="O141" s="242" t="s">
        <v>21</v>
      </c>
      <c r="P141" s="243" t="s">
        <v>21</v>
      </c>
      <c r="Q141" s="242" t="s">
        <v>21</v>
      </c>
      <c r="R141" s="243" t="s">
        <v>21</v>
      </c>
      <c r="S141" s="724"/>
      <c r="T141" s="725"/>
      <c r="U141" s="724"/>
      <c r="V141" s="726"/>
      <c r="W141" s="216" t="s">
        <v>206</v>
      </c>
      <c r="AB141" s="2" t="str">
        <f t="shared" si="30"/>
        <v/>
      </c>
    </row>
    <row r="142" spans="1:28" ht="15.75" customHeight="1">
      <c r="A142" s="20" t="str">
        <f t="shared" si="33"/>
        <v>X</v>
      </c>
      <c r="B142" s="981"/>
      <c r="C142" s="984"/>
      <c r="D142" s="989"/>
      <c r="E142" s="902" t="s">
        <v>176</v>
      </c>
      <c r="F142" s="251" t="s">
        <v>61</v>
      </c>
      <c r="G142" s="252">
        <v>299</v>
      </c>
      <c r="H142" s="253">
        <v>299</v>
      </c>
      <c r="I142" s="254">
        <f t="shared" si="26"/>
        <v>0.51170568561872909</v>
      </c>
      <c r="J142" s="255">
        <v>153</v>
      </c>
      <c r="K142" s="254">
        <f t="shared" si="35"/>
        <v>0.37123745819397991</v>
      </c>
      <c r="L142" s="255">
        <v>111</v>
      </c>
      <c r="M142" s="254">
        <f t="shared" si="36"/>
        <v>0.70270270270270274</v>
      </c>
      <c r="N142" s="851">
        <f>61+17</f>
        <v>78</v>
      </c>
      <c r="O142" s="242">
        <v>9</v>
      </c>
      <c r="P142" s="243">
        <v>9</v>
      </c>
      <c r="Q142" s="242">
        <v>7</v>
      </c>
      <c r="R142" s="243">
        <v>7</v>
      </c>
      <c r="S142" s="724"/>
      <c r="T142" s="725"/>
      <c r="U142" s="724"/>
      <c r="V142" s="726"/>
      <c r="W142" s="216" t="s">
        <v>206</v>
      </c>
      <c r="AB142" s="2" t="str">
        <f t="shared" si="30"/>
        <v>Suisse</v>
      </c>
    </row>
    <row r="143" spans="1:28" ht="15.75" customHeight="1">
      <c r="A143" s="20" t="str">
        <f t="shared" si="33"/>
        <v>X</v>
      </c>
      <c r="B143" s="981"/>
      <c r="C143" s="984"/>
      <c r="D143" s="989"/>
      <c r="E143" s="902" t="s">
        <v>177</v>
      </c>
      <c r="F143" s="251" t="s">
        <v>61</v>
      </c>
      <c r="G143" s="252">
        <v>385</v>
      </c>
      <c r="H143" s="253">
        <v>385</v>
      </c>
      <c r="I143" s="254">
        <f t="shared" ref="I143:I161" si="38">IF(J143="","",J143/G143)</f>
        <v>0.55844155844155841</v>
      </c>
      <c r="J143" s="255">
        <v>215</v>
      </c>
      <c r="K143" s="254">
        <f t="shared" si="35"/>
        <v>0.41558441558441561</v>
      </c>
      <c r="L143" s="255">
        <v>160</v>
      </c>
      <c r="M143" s="254">
        <f t="shared" si="36"/>
        <v>0.71250000000000002</v>
      </c>
      <c r="N143" s="851">
        <f>87+27</f>
        <v>114</v>
      </c>
      <c r="O143" s="242">
        <v>14</v>
      </c>
      <c r="P143" s="243">
        <v>14</v>
      </c>
      <c r="Q143" s="242">
        <v>151</v>
      </c>
      <c r="R143" s="243">
        <v>151</v>
      </c>
      <c r="S143" s="724"/>
      <c r="T143" s="725"/>
      <c r="U143" s="724"/>
      <c r="V143" s="726"/>
      <c r="W143" s="216" t="s">
        <v>206</v>
      </c>
      <c r="AB143" s="2" t="str">
        <f t="shared" si="30"/>
        <v>Suisse</v>
      </c>
    </row>
    <row r="144" spans="1:28" ht="15.75" customHeight="1">
      <c r="A144" s="20" t="str">
        <f t="shared" si="33"/>
        <v/>
      </c>
      <c r="B144" s="981"/>
      <c r="C144" s="984"/>
      <c r="D144" s="989"/>
      <c r="E144" s="902" t="s">
        <v>178</v>
      </c>
      <c r="F144" s="251" t="s">
        <v>61</v>
      </c>
      <c r="G144" s="252"/>
      <c r="H144" s="253"/>
      <c r="I144" s="254" t="str">
        <f t="shared" si="38"/>
        <v/>
      </c>
      <c r="J144" s="255"/>
      <c r="K144" s="254" t="str">
        <f t="shared" si="35"/>
        <v/>
      </c>
      <c r="L144" s="255"/>
      <c r="M144" s="254" t="str">
        <f t="shared" si="36"/>
        <v/>
      </c>
      <c r="N144" s="851"/>
      <c r="O144" s="242"/>
      <c r="P144" s="243"/>
      <c r="Q144" s="242"/>
      <c r="R144" s="243"/>
      <c r="S144" s="724"/>
      <c r="T144" s="725"/>
      <c r="U144" s="724"/>
      <c r="V144" s="726"/>
      <c r="W144" s="216" t="s">
        <v>206</v>
      </c>
      <c r="AB144" s="2" t="str">
        <f t="shared" si="30"/>
        <v/>
      </c>
    </row>
    <row r="145" spans="1:28" ht="15.75" customHeight="1">
      <c r="A145" s="20" t="str">
        <f t="shared" si="33"/>
        <v>X</v>
      </c>
      <c r="B145" s="981"/>
      <c r="C145" s="984"/>
      <c r="D145" s="989"/>
      <c r="E145" s="902" t="s">
        <v>179</v>
      </c>
      <c r="F145" s="251" t="s">
        <v>61</v>
      </c>
      <c r="G145" s="252">
        <v>252</v>
      </c>
      <c r="H145" s="253">
        <v>252</v>
      </c>
      <c r="I145" s="254">
        <f t="shared" si="38"/>
        <v>0.31746031746031744</v>
      </c>
      <c r="J145" s="255">
        <v>80</v>
      </c>
      <c r="K145" s="254">
        <f t="shared" si="35"/>
        <v>0.40079365079365081</v>
      </c>
      <c r="L145" s="255">
        <v>101</v>
      </c>
      <c r="M145" s="254">
        <f t="shared" si="36"/>
        <v>0.37623762376237624</v>
      </c>
      <c r="N145" s="851">
        <f>22+16</f>
        <v>38</v>
      </c>
      <c r="O145" s="242">
        <v>33</v>
      </c>
      <c r="P145" s="243">
        <v>33</v>
      </c>
      <c r="Q145" s="242">
        <v>199</v>
      </c>
      <c r="R145" s="243">
        <v>199</v>
      </c>
      <c r="S145" s="724"/>
      <c r="T145" s="725"/>
      <c r="U145" s="724"/>
      <c r="V145" s="726"/>
      <c r="W145" s="216" t="s">
        <v>206</v>
      </c>
      <c r="AB145" s="2" t="str">
        <f t="shared" si="30"/>
        <v>Suisse</v>
      </c>
    </row>
    <row r="146" spans="1:28" ht="15.75" customHeight="1">
      <c r="A146" s="20" t="str">
        <f t="shared" si="33"/>
        <v>X</v>
      </c>
      <c r="B146" s="981"/>
      <c r="C146" s="984"/>
      <c r="D146" s="989"/>
      <c r="E146" s="902" t="s">
        <v>180</v>
      </c>
      <c r="F146" s="251" t="s">
        <v>61</v>
      </c>
      <c r="G146" s="252">
        <v>17</v>
      </c>
      <c r="H146" s="253">
        <v>17</v>
      </c>
      <c r="I146" s="254">
        <f t="shared" si="38"/>
        <v>0.47058823529411764</v>
      </c>
      <c r="J146" s="255">
        <v>8</v>
      </c>
      <c r="K146" s="254">
        <f t="shared" si="35"/>
        <v>0.35294117647058826</v>
      </c>
      <c r="L146" s="255">
        <v>6</v>
      </c>
      <c r="M146" s="254">
        <f t="shared" si="36"/>
        <v>0.83333333333333337</v>
      </c>
      <c r="N146" s="851">
        <v>5</v>
      </c>
      <c r="O146" s="242">
        <v>3</v>
      </c>
      <c r="P146" s="243">
        <v>3</v>
      </c>
      <c r="Q146" s="242">
        <v>26</v>
      </c>
      <c r="R146" s="243">
        <v>26</v>
      </c>
      <c r="S146" s="724"/>
      <c r="T146" s="725"/>
      <c r="U146" s="724"/>
      <c r="V146" s="726"/>
      <c r="W146" s="216" t="s">
        <v>206</v>
      </c>
      <c r="AB146" s="2" t="str">
        <f t="shared" si="30"/>
        <v>Suisse</v>
      </c>
    </row>
    <row r="147" spans="1:28" ht="15.75" customHeight="1">
      <c r="A147" s="20" t="str">
        <f t="shared" si="33"/>
        <v>X</v>
      </c>
      <c r="B147" s="981"/>
      <c r="C147" s="984"/>
      <c r="D147" s="989"/>
      <c r="E147" s="902" t="s">
        <v>181</v>
      </c>
      <c r="F147" s="251" t="s">
        <v>61</v>
      </c>
      <c r="G147" s="252">
        <v>24</v>
      </c>
      <c r="H147" s="253">
        <v>24</v>
      </c>
      <c r="I147" s="254">
        <f t="shared" si="38"/>
        <v>0.41666666666666669</v>
      </c>
      <c r="J147" s="255">
        <v>10</v>
      </c>
      <c r="K147" s="254">
        <f t="shared" si="35"/>
        <v>0.33333333333333331</v>
      </c>
      <c r="L147" s="255">
        <v>8</v>
      </c>
      <c r="M147" s="254">
        <f t="shared" si="36"/>
        <v>0.75</v>
      </c>
      <c r="N147" s="851">
        <v>6</v>
      </c>
      <c r="O147" s="242">
        <v>2</v>
      </c>
      <c r="P147" s="243">
        <v>2</v>
      </c>
      <c r="Q147" s="242">
        <v>11</v>
      </c>
      <c r="R147" s="243">
        <v>11</v>
      </c>
      <c r="S147" s="724"/>
      <c r="T147" s="725"/>
      <c r="U147" s="724"/>
      <c r="V147" s="726"/>
      <c r="W147" s="216" t="s">
        <v>206</v>
      </c>
      <c r="AB147" s="2" t="str">
        <f t="shared" si="30"/>
        <v>Suisse</v>
      </c>
    </row>
    <row r="148" spans="1:28" ht="15.75" customHeight="1">
      <c r="A148" s="20" t="str">
        <f t="shared" si="33"/>
        <v>X</v>
      </c>
      <c r="B148" s="981"/>
      <c r="C148" s="984"/>
      <c r="D148" s="989"/>
      <c r="E148" s="902" t="s">
        <v>80</v>
      </c>
      <c r="F148" s="251" t="s">
        <v>61</v>
      </c>
      <c r="G148" s="252">
        <v>853</v>
      </c>
      <c r="H148" s="253">
        <v>853</v>
      </c>
      <c r="I148" s="254">
        <f t="shared" si="38"/>
        <v>0.43259085580304807</v>
      </c>
      <c r="J148" s="255">
        <v>369</v>
      </c>
      <c r="K148" s="254">
        <f t="shared" si="35"/>
        <v>0.38452520515826494</v>
      </c>
      <c r="L148" s="255">
        <v>328</v>
      </c>
      <c r="M148" s="254">
        <f t="shared" si="36"/>
        <v>0.61280487804878048</v>
      </c>
      <c r="N148" s="851">
        <f>185+16</f>
        <v>201</v>
      </c>
      <c r="O148" s="242">
        <v>59</v>
      </c>
      <c r="P148" s="243">
        <v>59</v>
      </c>
      <c r="Q148" s="242">
        <v>118</v>
      </c>
      <c r="R148" s="243">
        <v>118</v>
      </c>
      <c r="S148" s="724"/>
      <c r="T148" s="725"/>
      <c r="U148" s="724"/>
      <c r="V148" s="726"/>
      <c r="W148" s="216" t="s">
        <v>206</v>
      </c>
      <c r="AB148" s="2" t="str">
        <f t="shared" si="30"/>
        <v>Suisse</v>
      </c>
    </row>
    <row r="149" spans="1:28" ht="15.75" customHeight="1">
      <c r="A149" s="20" t="str">
        <f t="shared" si="33"/>
        <v>X</v>
      </c>
      <c r="B149" s="981"/>
      <c r="C149" s="984"/>
      <c r="D149" s="989"/>
      <c r="E149" s="902" t="s">
        <v>51</v>
      </c>
      <c r="F149" s="251" t="s">
        <v>61</v>
      </c>
      <c r="G149" s="252">
        <v>822</v>
      </c>
      <c r="H149" s="253">
        <v>822</v>
      </c>
      <c r="I149" s="254">
        <f t="shared" si="38"/>
        <v>0.38442822384428221</v>
      </c>
      <c r="J149" s="255">
        <v>316</v>
      </c>
      <c r="K149" s="254">
        <f t="shared" si="35"/>
        <v>0.4002433090024331</v>
      </c>
      <c r="L149" s="255">
        <v>329</v>
      </c>
      <c r="M149" s="254">
        <f t="shared" si="36"/>
        <v>0.49240121580547114</v>
      </c>
      <c r="N149" s="851">
        <f>131+31</f>
        <v>162</v>
      </c>
      <c r="O149" s="242">
        <v>45</v>
      </c>
      <c r="P149" s="243">
        <v>45</v>
      </c>
      <c r="Q149" s="242">
        <v>63</v>
      </c>
      <c r="R149" s="243">
        <v>63</v>
      </c>
      <c r="S149" s="724"/>
      <c r="T149" s="725"/>
      <c r="U149" s="724"/>
      <c r="V149" s="726"/>
      <c r="W149" s="216" t="s">
        <v>206</v>
      </c>
      <c r="AB149" s="2" t="str">
        <f t="shared" si="30"/>
        <v>Suisse</v>
      </c>
    </row>
    <row r="150" spans="1:28" ht="15" customHeight="1">
      <c r="A150" s="20" t="str">
        <f>IF(D150="Sous-total","S",IF(G150="","","X"))</f>
        <v/>
      </c>
      <c r="B150" s="981"/>
      <c r="C150" s="984"/>
      <c r="D150" s="989"/>
      <c r="E150" s="632" t="s">
        <v>31</v>
      </c>
      <c r="F150" s="435" t="s">
        <v>62</v>
      </c>
      <c r="G150" s="252"/>
      <c r="H150" s="253"/>
      <c r="I150" s="254" t="str">
        <f>IF(J150="","",J150/G150)</f>
        <v/>
      </c>
      <c r="J150" s="255"/>
      <c r="K150" s="254" t="str">
        <f>IF(L150="","",L150/G150)</f>
        <v/>
      </c>
      <c r="L150" s="255"/>
      <c r="M150" s="254" t="str">
        <f>IF(N150="","",N150/L150)</f>
        <v/>
      </c>
      <c r="N150" s="851"/>
      <c r="O150" s="242"/>
      <c r="P150" s="243"/>
      <c r="Q150" s="242"/>
      <c r="R150" s="243"/>
      <c r="S150" s="307"/>
      <c r="T150" s="308"/>
      <c r="U150" s="307"/>
      <c r="V150" s="309"/>
      <c r="W150" s="216" t="s">
        <v>206</v>
      </c>
      <c r="X150" s="492" t="s">
        <v>199</v>
      </c>
      <c r="AB150" s="2" t="str">
        <f>IF(G150&lt;&gt;"",$F150,"")</f>
        <v/>
      </c>
    </row>
    <row r="151" spans="1:28" ht="15.75" customHeight="1">
      <c r="A151" s="20" t="str">
        <f t="shared" si="33"/>
        <v/>
      </c>
      <c r="B151" s="981"/>
      <c r="C151" s="984"/>
      <c r="D151" s="989"/>
      <c r="E151" s="961" t="s">
        <v>166</v>
      </c>
      <c r="F151" s="251" t="s">
        <v>203</v>
      </c>
      <c r="G151" s="252"/>
      <c r="H151" s="253"/>
      <c r="I151" s="254" t="str">
        <f t="shared" si="38"/>
        <v/>
      </c>
      <c r="J151" s="255"/>
      <c r="K151" s="254" t="str">
        <f t="shared" si="35"/>
        <v/>
      </c>
      <c r="L151" s="255"/>
      <c r="M151" s="254" t="str">
        <f t="shared" si="36"/>
        <v/>
      </c>
      <c r="N151" s="851"/>
      <c r="O151" s="242"/>
      <c r="P151" s="243"/>
      <c r="Q151" s="242"/>
      <c r="R151" s="243"/>
      <c r="S151" s="724"/>
      <c r="T151" s="725"/>
      <c r="U151" s="724"/>
      <c r="V151" s="726"/>
      <c r="W151" s="216" t="s">
        <v>206</v>
      </c>
      <c r="AB151" s="2" t="str">
        <f t="shared" si="30"/>
        <v/>
      </c>
    </row>
    <row r="152" spans="1:28" ht="15.75" customHeight="1">
      <c r="A152" s="20" t="str">
        <f t="shared" si="33"/>
        <v/>
      </c>
      <c r="B152" s="981"/>
      <c r="C152" s="984"/>
      <c r="D152" s="989"/>
      <c r="E152" s="961" t="s">
        <v>166</v>
      </c>
      <c r="F152" s="251" t="s">
        <v>203</v>
      </c>
      <c r="G152" s="252"/>
      <c r="H152" s="253"/>
      <c r="I152" s="254" t="str">
        <f t="shared" si="38"/>
        <v/>
      </c>
      <c r="J152" s="255"/>
      <c r="K152" s="254" t="str">
        <f t="shared" si="35"/>
        <v/>
      </c>
      <c r="L152" s="255"/>
      <c r="M152" s="254" t="str">
        <f t="shared" si="36"/>
        <v/>
      </c>
      <c r="N152" s="851"/>
      <c r="O152" s="242"/>
      <c r="P152" s="243"/>
      <c r="Q152" s="242"/>
      <c r="R152" s="243"/>
      <c r="S152" s="724"/>
      <c r="T152" s="725"/>
      <c r="U152" s="724"/>
      <c r="V152" s="726"/>
      <c r="W152" s="216" t="s">
        <v>206</v>
      </c>
      <c r="AB152" s="2" t="str">
        <f t="shared" si="30"/>
        <v/>
      </c>
    </row>
    <row r="153" spans="1:28" ht="15.75" customHeight="1">
      <c r="A153" s="20" t="str">
        <f t="shared" si="33"/>
        <v/>
      </c>
      <c r="B153" s="981"/>
      <c r="C153" s="984"/>
      <c r="D153" s="989"/>
      <c r="E153" s="902" t="s">
        <v>52</v>
      </c>
      <c r="F153" s="251" t="s">
        <v>61</v>
      </c>
      <c r="G153" s="252"/>
      <c r="H153" s="253"/>
      <c r="I153" s="254" t="str">
        <f t="shared" si="38"/>
        <v/>
      </c>
      <c r="J153" s="255"/>
      <c r="K153" s="254" t="str">
        <f t="shared" si="35"/>
        <v/>
      </c>
      <c r="L153" s="255"/>
      <c r="M153" s="254" t="str">
        <f t="shared" si="36"/>
        <v/>
      </c>
      <c r="N153" s="851"/>
      <c r="O153" s="242" t="s">
        <v>21</v>
      </c>
      <c r="P153" s="243" t="s">
        <v>21</v>
      </c>
      <c r="Q153" s="242" t="s">
        <v>21</v>
      </c>
      <c r="R153" s="243" t="s">
        <v>21</v>
      </c>
      <c r="S153" s="724"/>
      <c r="T153" s="725"/>
      <c r="U153" s="724"/>
      <c r="V153" s="726"/>
      <c r="W153" s="216" t="s">
        <v>206</v>
      </c>
      <c r="AB153" s="2" t="str">
        <f t="shared" si="30"/>
        <v/>
      </c>
    </row>
    <row r="154" spans="1:28" ht="15.75" customHeight="1">
      <c r="A154" s="20" t="str">
        <f t="shared" si="33"/>
        <v/>
      </c>
      <c r="B154" s="981"/>
      <c r="C154" s="984"/>
      <c r="D154" s="989"/>
      <c r="E154" s="961" t="s">
        <v>166</v>
      </c>
      <c r="F154" s="251"/>
      <c r="G154" s="252"/>
      <c r="H154" s="253"/>
      <c r="I154" s="254"/>
      <c r="J154" s="255"/>
      <c r="K154" s="254"/>
      <c r="L154" s="255"/>
      <c r="M154" s="254"/>
      <c r="N154" s="851"/>
      <c r="O154" s="242"/>
      <c r="P154" s="243"/>
      <c r="Q154" s="242"/>
      <c r="R154" s="243"/>
      <c r="S154" s="724"/>
      <c r="T154" s="725"/>
      <c r="U154" s="724"/>
      <c r="V154" s="726"/>
      <c r="W154" s="216"/>
    </row>
    <row r="155" spans="1:28" ht="15.75" customHeight="1">
      <c r="A155" s="20" t="str">
        <f t="shared" si="33"/>
        <v/>
      </c>
      <c r="B155" s="981"/>
      <c r="C155" s="984"/>
      <c r="D155" s="989"/>
      <c r="E155" s="961" t="s">
        <v>166</v>
      </c>
      <c r="F155" s="251"/>
      <c r="G155" s="252"/>
      <c r="H155" s="253"/>
      <c r="I155" s="254"/>
      <c r="J155" s="255"/>
      <c r="K155" s="254"/>
      <c r="L155" s="255"/>
      <c r="M155" s="254"/>
      <c r="N155" s="851"/>
      <c r="O155" s="242"/>
      <c r="P155" s="243"/>
      <c r="Q155" s="242"/>
      <c r="R155" s="243"/>
      <c r="S155" s="724"/>
      <c r="T155" s="725"/>
      <c r="U155" s="724"/>
      <c r="V155" s="726"/>
      <c r="W155" s="216"/>
    </row>
    <row r="156" spans="1:28" ht="15.75" customHeight="1">
      <c r="A156" s="20" t="str">
        <f t="shared" si="33"/>
        <v/>
      </c>
      <c r="B156" s="981"/>
      <c r="C156" s="984"/>
      <c r="D156" s="989"/>
      <c r="E156" s="961" t="s">
        <v>166</v>
      </c>
      <c r="F156" s="251"/>
      <c r="G156" s="252"/>
      <c r="H156" s="253"/>
      <c r="I156" s="254"/>
      <c r="J156" s="255"/>
      <c r="K156" s="254"/>
      <c r="L156" s="255"/>
      <c r="M156" s="254"/>
      <c r="N156" s="851"/>
      <c r="O156" s="242"/>
      <c r="P156" s="243"/>
      <c r="Q156" s="242"/>
      <c r="R156" s="243"/>
      <c r="S156" s="724"/>
      <c r="T156" s="725"/>
      <c r="U156" s="724"/>
      <c r="V156" s="726"/>
      <c r="W156" s="216"/>
    </row>
    <row r="157" spans="1:28" ht="15.75" customHeight="1">
      <c r="A157" s="20" t="str">
        <f t="shared" si="33"/>
        <v/>
      </c>
      <c r="B157" s="981"/>
      <c r="C157" s="984"/>
      <c r="D157" s="989"/>
      <c r="E157" s="961" t="s">
        <v>166</v>
      </c>
      <c r="F157" s="251"/>
      <c r="G157" s="252"/>
      <c r="H157" s="253"/>
      <c r="I157" s="254"/>
      <c r="J157" s="255"/>
      <c r="K157" s="254"/>
      <c r="L157" s="255"/>
      <c r="M157" s="254"/>
      <c r="N157" s="851"/>
      <c r="O157" s="242"/>
      <c r="P157" s="243"/>
      <c r="Q157" s="242"/>
      <c r="R157" s="243"/>
      <c r="S157" s="724"/>
      <c r="T157" s="725"/>
      <c r="U157" s="724"/>
      <c r="V157" s="726"/>
      <c r="W157" s="216"/>
    </row>
    <row r="158" spans="1:28" ht="15.75" customHeight="1">
      <c r="A158" s="20" t="str">
        <f t="shared" si="33"/>
        <v/>
      </c>
      <c r="B158" s="981"/>
      <c r="C158" s="984"/>
      <c r="D158" s="990"/>
      <c r="E158" s="962" t="s">
        <v>166</v>
      </c>
      <c r="F158" s="459"/>
      <c r="G158" s="257"/>
      <c r="H158" s="258"/>
      <c r="I158" s="259"/>
      <c r="J158" s="260"/>
      <c r="K158" s="259"/>
      <c r="L158" s="260"/>
      <c r="M158" s="259"/>
      <c r="N158" s="856"/>
      <c r="O158" s="244"/>
      <c r="P158" s="245"/>
      <c r="Q158" s="244"/>
      <c r="R158" s="245"/>
      <c r="S158" s="727"/>
      <c r="T158" s="728"/>
      <c r="U158" s="727"/>
      <c r="V158" s="729"/>
      <c r="W158" s="216"/>
    </row>
    <row r="159" spans="1:28" ht="16.5" thickBot="1">
      <c r="A159" s="20" t="str">
        <f t="shared" si="33"/>
        <v>S</v>
      </c>
      <c r="B159" s="982"/>
      <c r="C159" s="985"/>
      <c r="D159" s="875" t="s">
        <v>138</v>
      </c>
      <c r="E159" s="899"/>
      <c r="F159" s="204"/>
      <c r="G159" s="205">
        <f>SUM(G135:G158)</f>
        <v>2652</v>
      </c>
      <c r="H159" s="206">
        <f>SUM(H135:H158)</f>
        <v>2652</v>
      </c>
      <c r="I159" s="9">
        <f t="shared" si="38"/>
        <v>0.43401206636500755</v>
      </c>
      <c r="J159" s="214">
        <f>SUM(J135:J158)</f>
        <v>1151</v>
      </c>
      <c r="K159" s="52">
        <f t="shared" si="35"/>
        <v>0.39328808446455504</v>
      </c>
      <c r="L159" s="214">
        <f>SUM(L135:L158)</f>
        <v>1043</v>
      </c>
      <c r="M159" s="9">
        <f t="shared" si="36"/>
        <v>0.57909875359539786</v>
      </c>
      <c r="N159" s="214">
        <f t="shared" ref="N159:V159" si="39">SUM(N135:N158)</f>
        <v>604</v>
      </c>
      <c r="O159" s="131">
        <f t="shared" si="39"/>
        <v>165</v>
      </c>
      <c r="P159" s="132">
        <f t="shared" si="39"/>
        <v>165</v>
      </c>
      <c r="Q159" s="131">
        <f t="shared" si="39"/>
        <v>575</v>
      </c>
      <c r="R159" s="132">
        <f t="shared" si="39"/>
        <v>575</v>
      </c>
      <c r="S159" s="131">
        <f t="shared" si="39"/>
        <v>0</v>
      </c>
      <c r="T159" s="132">
        <f t="shared" si="39"/>
        <v>0</v>
      </c>
      <c r="U159" s="131">
        <f t="shared" si="39"/>
        <v>0</v>
      </c>
      <c r="V159" s="133">
        <f t="shared" si="39"/>
        <v>0</v>
      </c>
      <c r="W159" s="216" t="s">
        <v>206</v>
      </c>
      <c r="X159" s="211"/>
      <c r="Y159" s="211"/>
    </row>
    <row r="160" spans="1:28" s="15" customFormat="1" ht="27.75" customHeight="1" thickBot="1">
      <c r="A160" s="20" t="s">
        <v>106</v>
      </c>
      <c r="B160" s="103" t="s">
        <v>77</v>
      </c>
      <c r="C160" s="331"/>
      <c r="D160" s="618">
        <f>SUM(D66:D159)</f>
        <v>79</v>
      </c>
      <c r="E160" s="688" t="s">
        <v>79</v>
      </c>
      <c r="F160" s="396"/>
      <c r="G160" s="57">
        <f>G77+G85+G95+G109+G125+G134+G159</f>
        <v>6112</v>
      </c>
      <c r="H160" s="36">
        <f>H77+H85+H95+H109+H125+H134+H159</f>
        <v>4726</v>
      </c>
      <c r="I160" s="33">
        <f t="shared" si="38"/>
        <v>0.44273560209424084</v>
      </c>
      <c r="J160" s="34">
        <f>J77+J85+J95+J109+J125+J134+J159</f>
        <v>2706</v>
      </c>
      <c r="K160" s="33">
        <f t="shared" si="35"/>
        <v>0.37107329842931935</v>
      </c>
      <c r="L160" s="34">
        <f>L77+L85+L95+L109+L125+L134+L159</f>
        <v>2268</v>
      </c>
      <c r="M160" s="230">
        <f t="shared" si="36"/>
        <v>0.41754850088183421</v>
      </c>
      <c r="N160" s="34">
        <f t="shared" ref="N160:V160" si="40">N77+N85+N95+N109+N125+N134+N159</f>
        <v>947</v>
      </c>
      <c r="O160" s="35">
        <f t="shared" si="40"/>
        <v>263</v>
      </c>
      <c r="P160" s="36">
        <f t="shared" si="40"/>
        <v>227</v>
      </c>
      <c r="Q160" s="35">
        <f t="shared" si="40"/>
        <v>753</v>
      </c>
      <c r="R160" s="36">
        <f t="shared" si="40"/>
        <v>653</v>
      </c>
      <c r="S160" s="35">
        <f t="shared" si="40"/>
        <v>1845</v>
      </c>
      <c r="T160" s="36">
        <f t="shared" si="40"/>
        <v>1134</v>
      </c>
      <c r="U160" s="35">
        <f t="shared" si="40"/>
        <v>166</v>
      </c>
      <c r="V160" s="37">
        <f t="shared" si="40"/>
        <v>96</v>
      </c>
      <c r="W160" s="516"/>
      <c r="X160" s="386"/>
      <c r="Y160" s="212"/>
      <c r="AB160" s="2"/>
    </row>
    <row r="161" spans="1:28" s="378" customFormat="1" ht="31.5" customHeight="1" thickBot="1">
      <c r="A161" s="20" t="s">
        <v>106</v>
      </c>
      <c r="B161" s="368" t="s">
        <v>66</v>
      </c>
      <c r="C161" s="369"/>
      <c r="D161" s="369">
        <f>D160+D65</f>
        <v>116</v>
      </c>
      <c r="E161" s="689" t="s">
        <v>79</v>
      </c>
      <c r="F161" s="388"/>
      <c r="G161" s="370">
        <f>G65+G160</f>
        <v>7331</v>
      </c>
      <c r="H161" s="371">
        <f>H65+H160</f>
        <v>5620</v>
      </c>
      <c r="I161" s="372">
        <f t="shared" si="38"/>
        <v>0.41563224662392578</v>
      </c>
      <c r="J161" s="373">
        <f>J65+J160</f>
        <v>3047</v>
      </c>
      <c r="K161" s="372">
        <f t="shared" si="35"/>
        <v>0.36066021006683946</v>
      </c>
      <c r="L161" s="373">
        <f>L65+L160</f>
        <v>2644</v>
      </c>
      <c r="M161" s="374">
        <f t="shared" si="36"/>
        <v>0.40317700453857791</v>
      </c>
      <c r="N161" s="373">
        <f t="shared" ref="N161:V161" si="41">N65+N160</f>
        <v>1066</v>
      </c>
      <c r="O161" s="375">
        <f t="shared" si="41"/>
        <v>616</v>
      </c>
      <c r="P161" s="371">
        <f t="shared" si="41"/>
        <v>234</v>
      </c>
      <c r="Q161" s="375">
        <f t="shared" si="41"/>
        <v>821</v>
      </c>
      <c r="R161" s="371">
        <f t="shared" si="41"/>
        <v>692</v>
      </c>
      <c r="S161" s="375">
        <f t="shared" si="41"/>
        <v>1980</v>
      </c>
      <c r="T161" s="371">
        <f t="shared" si="41"/>
        <v>1202</v>
      </c>
      <c r="U161" s="375">
        <f t="shared" si="41"/>
        <v>173</v>
      </c>
      <c r="V161" s="376">
        <f t="shared" si="41"/>
        <v>101</v>
      </c>
      <c r="W161" s="516"/>
      <c r="X161" s="395"/>
      <c r="AB161" s="2"/>
    </row>
    <row r="162" spans="1:28">
      <c r="A162" s="20" t="s">
        <v>106</v>
      </c>
      <c r="B162" s="5"/>
      <c r="C162" s="14"/>
      <c r="D162" s="14"/>
      <c r="E162" s="5"/>
      <c r="F162" s="14"/>
      <c r="G162" s="58"/>
      <c r="H162" s="58"/>
      <c r="I162" s="59"/>
      <c r="J162" s="59"/>
      <c r="K162" s="59"/>
      <c r="L162" s="59"/>
      <c r="M162" s="992" t="s">
        <v>68</v>
      </c>
      <c r="N162" s="992"/>
      <c r="O162" s="58"/>
      <c r="P162" s="58"/>
      <c r="Q162" s="58"/>
      <c r="R162" s="58"/>
      <c r="S162" s="58"/>
      <c r="T162" s="58"/>
      <c r="U162" s="58"/>
      <c r="V162" s="58"/>
      <c r="AB162" s="2" t="str">
        <f t="shared" ref="AB162" si="42">IF(G162&gt;0,$F162,"")</f>
        <v/>
      </c>
    </row>
    <row r="163" spans="1:28">
      <c r="A163" s="20" t="s">
        <v>106</v>
      </c>
      <c r="E163" s="211"/>
    </row>
    <row r="164" spans="1:28">
      <c r="A164" s="20" t="s">
        <v>106</v>
      </c>
      <c r="E164" s="26" t="s">
        <v>205</v>
      </c>
      <c r="F164" s="413" t="s">
        <v>204</v>
      </c>
    </row>
    <row r="165" spans="1:28">
      <c r="A165" s="20" t="s">
        <v>106</v>
      </c>
      <c r="E165" s="235" t="s">
        <v>60</v>
      </c>
      <c r="F165" s="775">
        <f>COUNTIF(AB$5:AB$153,$E164)</f>
        <v>0</v>
      </c>
    </row>
    <row r="166" spans="1:28">
      <c r="A166" s="20" t="s">
        <v>106</v>
      </c>
      <c r="E166" s="1" t="s">
        <v>61</v>
      </c>
      <c r="F166" s="2">
        <f>COUNTIF(AB$5:AB$153,$E165)</f>
        <v>35</v>
      </c>
    </row>
    <row r="167" spans="1:28" ht="15.75" thickBot="1">
      <c r="A167" s="20" t="s">
        <v>106</v>
      </c>
      <c r="E167" s="551" t="s">
        <v>62</v>
      </c>
      <c r="F167" s="552">
        <f>COUNTIF(AB$5:AB$153,$E166)</f>
        <v>7</v>
      </c>
    </row>
    <row r="168" spans="1:28">
      <c r="A168" s="20" t="s">
        <v>106</v>
      </c>
      <c r="E168" s="553" t="s">
        <v>66</v>
      </c>
      <c r="F168" s="776">
        <f t="shared" ref="F168" si="43">SUM(F165:F167)</f>
        <v>42</v>
      </c>
    </row>
    <row r="169" spans="1:28">
      <c r="E169" s="520"/>
    </row>
    <row r="170" spans="1:28">
      <c r="E170" s="520"/>
    </row>
    <row r="171" spans="1:28">
      <c r="E171" s="520"/>
    </row>
    <row r="172" spans="1:28">
      <c r="E172" s="520"/>
    </row>
    <row r="175" spans="1:28" ht="15" customHeight="1"/>
    <row r="176" spans="1:28" ht="15" customHeight="1"/>
    <row r="177" spans="5:5" ht="15" customHeight="1"/>
    <row r="178" spans="5:5" ht="15" customHeight="1"/>
    <row r="179" spans="5:5" ht="15" customHeight="1"/>
    <row r="180" spans="5:5" ht="15" customHeight="1"/>
    <row r="181" spans="5:5" ht="15" customHeight="1"/>
    <row r="182" spans="5:5" ht="15" customHeight="1"/>
    <row r="183" spans="5:5" ht="15" customHeight="1"/>
    <row r="184" spans="5:5" ht="15.75" customHeight="1"/>
    <row r="185" spans="5:5" ht="15.75" customHeight="1">
      <c r="E185" s="568"/>
    </row>
    <row r="186" spans="5:5" ht="15" customHeight="1"/>
    <row r="187" spans="5:5" ht="15" customHeight="1">
      <c r="E187" s="520"/>
    </row>
    <row r="188" spans="5:5" ht="15" customHeight="1">
      <c r="E188" s="520"/>
    </row>
    <row r="189" spans="5:5" ht="15" customHeight="1"/>
    <row r="201" spans="5:5">
      <c r="E201" s="568"/>
    </row>
    <row r="203" spans="5:5">
      <c r="E203" s="520"/>
    </row>
    <row r="204" spans="5:5">
      <c r="E204" s="520"/>
    </row>
    <row r="217" spans="5:5">
      <c r="E217" s="568"/>
    </row>
    <row r="219" spans="5:5">
      <c r="E219" s="520"/>
    </row>
    <row r="220" spans="5:5">
      <c r="E220" s="520"/>
    </row>
    <row r="233" spans="5:5">
      <c r="E233" s="568"/>
    </row>
  </sheetData>
  <sheetProtection password="D0CE" sheet="1" objects="1" scenarios="1"/>
  <autoFilter ref="A1:V167"/>
  <mergeCells count="53">
    <mergeCell ref="B9:B12"/>
    <mergeCell ref="C9:C12"/>
    <mergeCell ref="E2:E4"/>
    <mergeCell ref="D5:D7"/>
    <mergeCell ref="D9:D11"/>
    <mergeCell ref="O2:P2"/>
    <mergeCell ref="Q2:R2"/>
    <mergeCell ref="S2:T2"/>
    <mergeCell ref="B5:B8"/>
    <mergeCell ref="C5:C8"/>
    <mergeCell ref="U2:V2"/>
    <mergeCell ref="B35:B49"/>
    <mergeCell ref="C35:C49"/>
    <mergeCell ref="I2:I4"/>
    <mergeCell ref="J2:J4"/>
    <mergeCell ref="K2:K4"/>
    <mergeCell ref="L2:L4"/>
    <mergeCell ref="M2:M4"/>
    <mergeCell ref="N2:N4"/>
    <mergeCell ref="B2:B4"/>
    <mergeCell ref="C2:C4"/>
    <mergeCell ref="D2:D4"/>
    <mergeCell ref="B13:B34"/>
    <mergeCell ref="C13:C34"/>
    <mergeCell ref="F2:F4"/>
    <mergeCell ref="G2:H2"/>
    <mergeCell ref="B96:B109"/>
    <mergeCell ref="C96:C109"/>
    <mergeCell ref="D96:D108"/>
    <mergeCell ref="C86:C95"/>
    <mergeCell ref="B86:B95"/>
    <mergeCell ref="D86:D94"/>
    <mergeCell ref="B50:B64"/>
    <mergeCell ref="C50:C64"/>
    <mergeCell ref="B66:B77"/>
    <mergeCell ref="C66:C77"/>
    <mergeCell ref="B78:B85"/>
    <mergeCell ref="C78:C85"/>
    <mergeCell ref="M162:N162"/>
    <mergeCell ref="B110:B125"/>
    <mergeCell ref="C110:C125"/>
    <mergeCell ref="B126:B134"/>
    <mergeCell ref="C126:C134"/>
    <mergeCell ref="D110:D124"/>
    <mergeCell ref="D126:D133"/>
    <mergeCell ref="B135:B159"/>
    <mergeCell ref="C135:C159"/>
    <mergeCell ref="D135:D158"/>
    <mergeCell ref="D13:D33"/>
    <mergeCell ref="D35:D48"/>
    <mergeCell ref="D50:D63"/>
    <mergeCell ref="D66:D76"/>
    <mergeCell ref="D78:D84"/>
  </mergeCells>
  <conditionalFormatting sqref="G50:R63">
    <cfRule type="expression" dxfId="46" priority="3" stopIfTrue="1">
      <formula>$G50=""</formula>
    </cfRule>
  </conditionalFormatting>
  <pageMargins left="0.23622047244094491" right="0.23622047244094491" top="0.35433070866141736" bottom="0.15748031496062992" header="0.31496062992125984" footer="0.31496062992125984"/>
  <pageSetup paperSize="8" scale="45" orientation="portrait" horizontalDpi="300" verticalDpi="300" r:id="rId1"/>
  <ignoredErrors>
    <ignoredError sqref="N13:R16 N18:R28 O17:R17 N9 G9 N5 G13:G28" formulaRange="1"/>
    <ignoredError sqref="H9 J9 L9 H13:H28 J13:J28 L13:L28" formula="1" formulaRange="1"/>
    <ignoredError sqref="J5 L5" evalError="1" formula="1" formulaRange="1"/>
    <ignoredError sqref="G43:H44 G66:H73 G45:H45 J43:J44 L43:L44 J66:J73 L66:L73" evalError="1"/>
    <ignoredError sqref="I49 I125 I109 I134 I126:I130 K126:K130 M126:M130 K125 M125 K109 M109 K134 M134" evalError="1" formula="1"/>
    <ignoredError sqref="I34 K34 M34 K49 M49 I64:I65 K64:K65 M64:M65 I95 I161 I159 I118:M121 I160 K160 M160 I103:M104 I96:I102 K96:K102 I105 K105 M96:M102 M105 I110:I117 K110:K117 M110:M117 I8 I9 M9 K9 I78:M91 I151:M153 I135:M149 K95 M95 K8 M8 I77 K77 M77 K159 M159 K161 M161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33CC"/>
    <pageSetUpPr fitToPage="1"/>
  </sheetPr>
  <dimension ref="A1:AB233"/>
  <sheetViews>
    <sheetView tabSelected="1" view="pageBreakPreview" zoomScale="90" zoomScaleNormal="55" zoomScaleSheetLayoutView="90" workbookViewId="0">
      <pane xSplit="6" ySplit="4" topLeftCell="G128" activePane="bottomRight" state="frozen"/>
      <selection activeCell="B2" sqref="B2:B4"/>
      <selection pane="topRight" activeCell="B2" sqref="B2:B4"/>
      <selection pane="bottomLeft" activeCell="B2" sqref="B2:B4"/>
      <selection pane="bottomRight" activeCell="O150" sqref="O150"/>
    </sheetView>
  </sheetViews>
  <sheetFormatPr baseColWidth="10" defaultRowHeight="15"/>
  <cols>
    <col min="1" max="1" width="3" style="20" customWidth="1"/>
    <col min="2" max="2" width="33.7109375" style="1" customWidth="1"/>
    <col min="3" max="3" width="11.5703125" style="2" customWidth="1"/>
    <col min="4" max="4" width="8.42578125" style="2" customWidth="1"/>
    <col min="5" max="5" width="44.85546875" style="1" customWidth="1"/>
    <col min="6" max="6" width="11.140625" style="2" customWidth="1"/>
    <col min="7" max="7" width="11.42578125" style="2"/>
    <col min="8" max="8" width="11.42578125" style="2" customWidth="1"/>
    <col min="9" max="9" width="11.42578125" style="3" customWidth="1"/>
    <col min="10" max="10" width="11.42578125" style="4" customWidth="1"/>
    <col min="11" max="11" width="11.42578125" style="3" customWidth="1"/>
    <col min="12" max="12" width="11.42578125" style="4" customWidth="1"/>
    <col min="13" max="13" width="11.42578125" style="3" customWidth="1"/>
    <col min="14" max="14" width="11.42578125" style="4" customWidth="1"/>
    <col min="15" max="22" width="7.5703125" style="2" customWidth="1"/>
    <col min="23" max="23" width="5.28515625" style="2" customWidth="1"/>
    <col min="24" max="25" width="11.42578125" style="1"/>
    <col min="26" max="27" width="11.42578125" style="1" customWidth="1"/>
    <col min="28" max="28" width="0" style="2" hidden="1" customWidth="1"/>
    <col min="29" max="16384" width="11.42578125" style="1"/>
  </cols>
  <sheetData>
    <row r="1" spans="1:28" s="20" customFormat="1" ht="17.25" customHeight="1" thickBot="1">
      <c r="C1" s="23"/>
      <c r="D1" s="23"/>
      <c r="E1" s="23">
        <v>7</v>
      </c>
      <c r="F1" s="23"/>
      <c r="G1" s="23"/>
      <c r="H1" s="23"/>
      <c r="I1" s="24"/>
      <c r="J1" s="25"/>
      <c r="K1" s="24"/>
      <c r="L1" s="25"/>
      <c r="M1" s="24"/>
      <c r="N1" s="25"/>
      <c r="O1" s="23"/>
      <c r="P1" s="23"/>
      <c r="Q1" s="23"/>
      <c r="R1" s="23"/>
      <c r="S1" s="23"/>
      <c r="T1" s="23"/>
      <c r="U1" s="23"/>
      <c r="V1" s="23"/>
      <c r="W1" s="23"/>
      <c r="AB1" s="23"/>
    </row>
    <row r="2" spans="1:28" s="6" customFormat="1" ht="30" customHeight="1" thickBot="1">
      <c r="A2" s="21" t="s">
        <v>106</v>
      </c>
      <c r="B2" s="1003" t="s">
        <v>53</v>
      </c>
      <c r="C2" s="1006" t="s">
        <v>74</v>
      </c>
      <c r="D2" s="1006" t="s">
        <v>69</v>
      </c>
      <c r="E2" s="999" t="s">
        <v>79</v>
      </c>
      <c r="F2" s="995" t="s">
        <v>59</v>
      </c>
      <c r="G2" s="1020" t="s">
        <v>54</v>
      </c>
      <c r="H2" s="1005"/>
      <c r="I2" s="1021" t="s">
        <v>55</v>
      </c>
      <c r="J2" s="998" t="s">
        <v>63</v>
      </c>
      <c r="K2" s="1021" t="s">
        <v>56</v>
      </c>
      <c r="L2" s="998" t="s">
        <v>65</v>
      </c>
      <c r="M2" s="1021" t="s">
        <v>57</v>
      </c>
      <c r="N2" s="998" t="s">
        <v>64</v>
      </c>
      <c r="O2" s="1004" t="s">
        <v>39</v>
      </c>
      <c r="P2" s="1005"/>
      <c r="Q2" s="1004" t="s">
        <v>40</v>
      </c>
      <c r="R2" s="1005"/>
      <c r="S2" s="1004" t="s">
        <v>41</v>
      </c>
      <c r="T2" s="1005"/>
      <c r="U2" s="995" t="s">
        <v>42</v>
      </c>
      <c r="V2" s="1019"/>
      <c r="W2" s="215"/>
      <c r="AB2" s="500"/>
    </row>
    <row r="3" spans="1:28" s="6" customFormat="1" ht="30" customHeight="1" thickBot="1">
      <c r="A3" s="21" t="s">
        <v>106</v>
      </c>
      <c r="B3" s="1003"/>
      <c r="C3" s="1006"/>
      <c r="D3" s="1006"/>
      <c r="E3" s="999"/>
      <c r="F3" s="996"/>
      <c r="G3" s="110"/>
      <c r="H3" s="107"/>
      <c r="I3" s="1021"/>
      <c r="J3" s="998"/>
      <c r="K3" s="1021"/>
      <c r="L3" s="998"/>
      <c r="M3" s="1021"/>
      <c r="N3" s="998"/>
      <c r="O3" s="106"/>
      <c r="P3" s="107"/>
      <c r="Q3" s="106"/>
      <c r="R3" s="107"/>
      <c r="S3" s="106"/>
      <c r="T3" s="107"/>
      <c r="U3" s="566"/>
      <c r="V3" s="567"/>
      <c r="W3" s="215"/>
      <c r="AB3" s="500"/>
    </row>
    <row r="4" spans="1:28" s="6" customFormat="1" ht="30" customHeight="1" thickBot="1">
      <c r="A4" s="21" t="s">
        <v>106</v>
      </c>
      <c r="B4" s="1003"/>
      <c r="C4" s="1006"/>
      <c r="D4" s="1006"/>
      <c r="E4" s="999"/>
      <c r="F4" s="997"/>
      <c r="G4" s="10" t="s">
        <v>43</v>
      </c>
      <c r="H4" s="11" t="s">
        <v>44</v>
      </c>
      <c r="I4" s="1021"/>
      <c r="J4" s="998"/>
      <c r="K4" s="1021"/>
      <c r="L4" s="998"/>
      <c r="M4" s="1021"/>
      <c r="N4" s="998"/>
      <c r="O4" s="12" t="s">
        <v>43</v>
      </c>
      <c r="P4" s="11" t="s">
        <v>44</v>
      </c>
      <c r="Q4" s="12" t="s">
        <v>43</v>
      </c>
      <c r="R4" s="11" t="s">
        <v>44</v>
      </c>
      <c r="S4" s="12" t="s">
        <v>43</v>
      </c>
      <c r="T4" s="11" t="s">
        <v>44</v>
      </c>
      <c r="U4" s="12" t="s">
        <v>43</v>
      </c>
      <c r="V4" s="13" t="s">
        <v>44</v>
      </c>
      <c r="W4" s="215"/>
      <c r="AB4" s="500">
        <v>2020</v>
      </c>
    </row>
    <row r="5" spans="1:28" ht="15.75" customHeight="1">
      <c r="A5" s="20" t="str">
        <f t="shared" ref="A5:A49" si="0">IF(D5="Sous-total","S",IF(G5="","","X"))</f>
        <v>X</v>
      </c>
      <c r="B5" s="1012" t="s">
        <v>70</v>
      </c>
      <c r="C5" s="1015" t="s">
        <v>75</v>
      </c>
      <c r="D5" s="1000">
        <v>2</v>
      </c>
      <c r="E5" s="628" t="s">
        <v>71</v>
      </c>
      <c r="F5" s="631" t="s">
        <v>60</v>
      </c>
      <c r="G5" s="752">
        <v>176</v>
      </c>
      <c r="H5" s="753"/>
      <c r="I5" s="505">
        <f t="shared" ref="I5:I45" si="1">IF(J5="","",J5/G5)</f>
        <v>0.25568181818181818</v>
      </c>
      <c r="J5" s="754">
        <f>16+29</f>
        <v>45</v>
      </c>
      <c r="K5" s="504">
        <f t="shared" ref="K5:K49" si="2">IF(L5="","",L5/G5)</f>
        <v>0.34090909090909088</v>
      </c>
      <c r="L5" s="754">
        <f>22+16+22</f>
        <v>60</v>
      </c>
      <c r="M5" s="504">
        <f t="shared" ref="M5:M49" si="3">IF(N5="","",N5/L5)</f>
        <v>0.26666666666666666</v>
      </c>
      <c r="N5" s="754">
        <v>16</v>
      </c>
      <c r="O5" s="755"/>
      <c r="P5" s="756"/>
      <c r="Q5" s="755"/>
      <c r="R5" s="756"/>
      <c r="S5" s="757" t="s">
        <v>21</v>
      </c>
      <c r="T5" s="758" t="s">
        <v>21</v>
      </c>
      <c r="U5" s="757" t="s">
        <v>21</v>
      </c>
      <c r="V5" s="759" t="s">
        <v>21</v>
      </c>
      <c r="W5" s="216"/>
      <c r="AB5" s="2" t="str">
        <f>IF(G5&lt;&gt;"",$F5,"")</f>
        <v>France</v>
      </c>
    </row>
    <row r="6" spans="1:28" ht="15.75" customHeight="1">
      <c r="A6" s="20" t="str">
        <f t="shared" si="0"/>
        <v/>
      </c>
      <c r="B6" s="1013"/>
      <c r="C6" s="1016"/>
      <c r="D6" s="991"/>
      <c r="E6" s="961" t="s">
        <v>166</v>
      </c>
      <c r="F6" s="251"/>
      <c r="G6" s="252"/>
      <c r="H6" s="253"/>
      <c r="I6" s="747"/>
      <c r="J6" s="255"/>
      <c r="K6" s="254"/>
      <c r="L6" s="255"/>
      <c r="M6" s="254"/>
      <c r="N6" s="851"/>
      <c r="O6" s="242"/>
      <c r="P6" s="243"/>
      <c r="Q6" s="242"/>
      <c r="R6" s="243"/>
      <c r="S6" s="724" t="s">
        <v>21</v>
      </c>
      <c r="T6" s="725" t="s">
        <v>21</v>
      </c>
      <c r="U6" s="724" t="s">
        <v>21</v>
      </c>
      <c r="V6" s="726" t="s">
        <v>21</v>
      </c>
      <c r="W6" s="216"/>
    </row>
    <row r="7" spans="1:28" ht="15.75" customHeight="1">
      <c r="A7" s="20" t="str">
        <f t="shared" si="0"/>
        <v/>
      </c>
      <c r="B7" s="1013"/>
      <c r="C7" s="1016"/>
      <c r="D7" s="991"/>
      <c r="E7" s="962" t="s">
        <v>166</v>
      </c>
      <c r="F7" s="459"/>
      <c r="G7" s="257"/>
      <c r="H7" s="258"/>
      <c r="I7" s="748"/>
      <c r="J7" s="260"/>
      <c r="K7" s="259"/>
      <c r="L7" s="260"/>
      <c r="M7" s="259"/>
      <c r="N7" s="856"/>
      <c r="O7" s="244"/>
      <c r="P7" s="245"/>
      <c r="Q7" s="244"/>
      <c r="R7" s="245"/>
      <c r="S7" s="727" t="s">
        <v>21</v>
      </c>
      <c r="T7" s="728" t="s">
        <v>21</v>
      </c>
      <c r="U7" s="727" t="s">
        <v>21</v>
      </c>
      <c r="V7" s="729" t="s">
        <v>21</v>
      </c>
      <c r="W7" s="216"/>
    </row>
    <row r="8" spans="1:28" ht="15.75">
      <c r="A8" s="20" t="str">
        <f t="shared" si="0"/>
        <v>S</v>
      </c>
      <c r="B8" s="1013"/>
      <c r="C8" s="1017"/>
      <c r="D8" s="332" t="s">
        <v>138</v>
      </c>
      <c r="E8" s="896"/>
      <c r="F8" s="16"/>
      <c r="G8" s="265">
        <f>SUM(G5:G7)</f>
        <v>176</v>
      </c>
      <c r="H8" s="121">
        <f>SUM(H5:H7)</f>
        <v>0</v>
      </c>
      <c r="I8" s="9">
        <f t="shared" si="1"/>
        <v>0.25568181818181818</v>
      </c>
      <c r="J8" s="213">
        <f>SUM(J5:J7)</f>
        <v>45</v>
      </c>
      <c r="K8" s="9">
        <f t="shared" si="2"/>
        <v>0.34090909090909088</v>
      </c>
      <c r="L8" s="213">
        <f>SUM(L5:L7)</f>
        <v>60</v>
      </c>
      <c r="M8" s="9">
        <f t="shared" si="3"/>
        <v>0.26666666666666666</v>
      </c>
      <c r="N8" s="213">
        <f t="shared" ref="N8:V8" si="4">SUM(N5:N7)</f>
        <v>16</v>
      </c>
      <c r="O8" s="120">
        <f t="shared" si="4"/>
        <v>0</v>
      </c>
      <c r="P8" s="121">
        <f t="shared" si="4"/>
        <v>0</v>
      </c>
      <c r="Q8" s="120">
        <f t="shared" si="4"/>
        <v>0</v>
      </c>
      <c r="R8" s="121">
        <f t="shared" si="4"/>
        <v>0</v>
      </c>
      <c r="S8" s="120">
        <f t="shared" si="4"/>
        <v>0</v>
      </c>
      <c r="T8" s="121">
        <f t="shared" si="4"/>
        <v>0</v>
      </c>
      <c r="U8" s="120">
        <f t="shared" si="4"/>
        <v>0</v>
      </c>
      <c r="V8" s="122">
        <f t="shared" si="4"/>
        <v>0</v>
      </c>
      <c r="W8" s="216"/>
    </row>
    <row r="9" spans="1:28" ht="15.75" customHeight="1">
      <c r="A9" s="20" t="str">
        <f t="shared" si="0"/>
        <v/>
      </c>
      <c r="B9" s="1013" t="s">
        <v>163</v>
      </c>
      <c r="C9" s="1016" t="s">
        <v>75</v>
      </c>
      <c r="D9" s="991"/>
      <c r="E9" s="901" t="s">
        <v>164</v>
      </c>
      <c r="F9" s="246" t="s">
        <v>60</v>
      </c>
      <c r="G9" s="247"/>
      <c r="H9" s="248"/>
      <c r="I9" s="439" t="str">
        <f t="shared" si="1"/>
        <v/>
      </c>
      <c r="J9" s="250"/>
      <c r="K9" s="249" t="str">
        <f t="shared" si="2"/>
        <v/>
      </c>
      <c r="L9" s="250"/>
      <c r="M9" s="249" t="str">
        <f t="shared" si="3"/>
        <v/>
      </c>
      <c r="N9" s="846"/>
      <c r="O9" s="240"/>
      <c r="P9" s="241"/>
      <c r="Q9" s="240"/>
      <c r="R9" s="241"/>
      <c r="S9" s="721" t="s">
        <v>21</v>
      </c>
      <c r="T9" s="722" t="s">
        <v>21</v>
      </c>
      <c r="U9" s="721" t="s">
        <v>21</v>
      </c>
      <c r="V9" s="723" t="s">
        <v>21</v>
      </c>
      <c r="W9" s="216" t="s">
        <v>206</v>
      </c>
      <c r="AB9" s="2" t="str">
        <f t="shared" ref="AB9:AB89" si="5">IF(G9&lt;&gt;"",$F9,"")</f>
        <v/>
      </c>
    </row>
    <row r="10" spans="1:28" ht="15.75" customHeight="1">
      <c r="A10" s="20" t="str">
        <f t="shared" si="0"/>
        <v/>
      </c>
      <c r="B10" s="1013"/>
      <c r="C10" s="1016"/>
      <c r="D10" s="991"/>
      <c r="E10" s="902"/>
      <c r="F10" s="251"/>
      <c r="G10" s="252"/>
      <c r="H10" s="253"/>
      <c r="I10" s="747"/>
      <c r="J10" s="851"/>
      <c r="K10" s="254"/>
      <c r="L10" s="255"/>
      <c r="M10" s="254"/>
      <c r="N10" s="851"/>
      <c r="O10" s="242"/>
      <c r="P10" s="243"/>
      <c r="Q10" s="242"/>
      <c r="R10" s="243"/>
      <c r="S10" s="724" t="s">
        <v>21</v>
      </c>
      <c r="T10" s="725" t="s">
        <v>21</v>
      </c>
      <c r="U10" s="724" t="s">
        <v>21</v>
      </c>
      <c r="V10" s="726" t="s">
        <v>21</v>
      </c>
      <c r="W10" s="216"/>
    </row>
    <row r="11" spans="1:28" ht="15.75" customHeight="1">
      <c r="A11" s="20" t="str">
        <f t="shared" si="0"/>
        <v/>
      </c>
      <c r="B11" s="1013"/>
      <c r="C11" s="1016"/>
      <c r="D11" s="991"/>
      <c r="E11" s="911"/>
      <c r="F11" s="459"/>
      <c r="G11" s="257"/>
      <c r="H11" s="258"/>
      <c r="I11" s="748"/>
      <c r="J11" s="856"/>
      <c r="K11" s="259"/>
      <c r="L11" s="260"/>
      <c r="M11" s="259"/>
      <c r="N11" s="856"/>
      <c r="O11" s="244"/>
      <c r="P11" s="245"/>
      <c r="Q11" s="244"/>
      <c r="R11" s="245"/>
      <c r="S11" s="727" t="s">
        <v>21</v>
      </c>
      <c r="T11" s="728" t="s">
        <v>21</v>
      </c>
      <c r="U11" s="727" t="s">
        <v>21</v>
      </c>
      <c r="V11" s="729" t="s">
        <v>21</v>
      </c>
      <c r="W11" s="216"/>
    </row>
    <row r="12" spans="1:28" ht="15.75">
      <c r="A12" s="20" t="str">
        <f t="shared" si="0"/>
        <v>S</v>
      </c>
      <c r="B12" s="1014"/>
      <c r="C12" s="1017"/>
      <c r="D12" s="332" t="s">
        <v>138</v>
      </c>
      <c r="E12" s="896"/>
      <c r="F12" s="16"/>
      <c r="G12" s="858">
        <f>SUM(G9:G11)</f>
        <v>0</v>
      </c>
      <c r="H12" s="816">
        <f>SUM(H9:H11)</f>
        <v>0</v>
      </c>
      <c r="I12" s="785" t="e">
        <f t="shared" ref="I12" si="6">IF(J12="","",J12/G12)</f>
        <v>#DIV/0!</v>
      </c>
      <c r="J12" s="827">
        <f>SUM(J9:J11)</f>
        <v>0</v>
      </c>
      <c r="K12" s="785" t="e">
        <f t="shared" ref="K12" si="7">IF(L12="","",L12/G12)</f>
        <v>#DIV/0!</v>
      </c>
      <c r="L12" s="827">
        <f>SUM(L9:L11)</f>
        <v>0</v>
      </c>
      <c r="M12" s="785" t="e">
        <f t="shared" ref="M12" si="8">IF(N12="","",N12/L12)</f>
        <v>#DIV/0!</v>
      </c>
      <c r="N12" s="827">
        <f t="shared" ref="N12" si="9">SUM(N9:N11)</f>
        <v>0</v>
      </c>
      <c r="O12" s="815">
        <f t="shared" ref="O12" si="10">SUM(O9:O11)</f>
        <v>0</v>
      </c>
      <c r="P12" s="816">
        <f t="shared" ref="P12" si="11">SUM(P9:P11)</f>
        <v>0</v>
      </c>
      <c r="Q12" s="815">
        <f t="shared" ref="Q12" si="12">SUM(Q9:Q11)</f>
        <v>0</v>
      </c>
      <c r="R12" s="816">
        <f t="shared" ref="R12" si="13">SUM(R9:R11)</f>
        <v>0</v>
      </c>
      <c r="S12" s="815">
        <f t="shared" ref="S12" si="14">SUM(S9:S11)</f>
        <v>0</v>
      </c>
      <c r="T12" s="816">
        <f t="shared" ref="T12" si="15">SUM(T9:T11)</f>
        <v>0</v>
      </c>
      <c r="U12" s="815">
        <f t="shared" ref="U12" si="16">SUM(U9:U11)</f>
        <v>0</v>
      </c>
      <c r="V12" s="817">
        <f t="shared" ref="V12" si="17">SUM(V9:V11)</f>
        <v>0</v>
      </c>
      <c r="W12" s="216" t="s">
        <v>206</v>
      </c>
    </row>
    <row r="13" spans="1:28" ht="15" customHeight="1">
      <c r="A13" s="20" t="str">
        <f t="shared" si="0"/>
        <v/>
      </c>
      <c r="B13" s="1007" t="s">
        <v>168</v>
      </c>
      <c r="C13" s="1009" t="s">
        <v>75</v>
      </c>
      <c r="D13" s="1001">
        <v>18</v>
      </c>
      <c r="E13" s="901" t="s">
        <v>182</v>
      </c>
      <c r="F13" s="246" t="s">
        <v>60</v>
      </c>
      <c r="G13" s="763"/>
      <c r="H13" s="764"/>
      <c r="I13" s="439" t="str">
        <f t="shared" si="1"/>
        <v/>
      </c>
      <c r="J13" s="765"/>
      <c r="K13" s="249" t="str">
        <f t="shared" si="2"/>
        <v/>
      </c>
      <c r="L13" s="765"/>
      <c r="M13" s="249" t="str">
        <f t="shared" si="3"/>
        <v/>
      </c>
      <c r="N13" s="846"/>
      <c r="O13" s="240"/>
      <c r="P13" s="241"/>
      <c r="Q13" s="240"/>
      <c r="R13" s="241"/>
      <c r="S13" s="721"/>
      <c r="T13" s="722"/>
      <c r="U13" s="721"/>
      <c r="V13" s="723"/>
      <c r="W13" s="216" t="s">
        <v>206</v>
      </c>
      <c r="AB13" s="2" t="str">
        <f t="shared" si="5"/>
        <v/>
      </c>
    </row>
    <row r="14" spans="1:28" ht="15" customHeight="1">
      <c r="A14" s="20" t="str">
        <f t="shared" si="0"/>
        <v/>
      </c>
      <c r="B14" s="1007"/>
      <c r="C14" s="1009"/>
      <c r="D14" s="1001"/>
      <c r="E14" s="902" t="s">
        <v>183</v>
      </c>
      <c r="F14" s="251" t="s">
        <v>60</v>
      </c>
      <c r="G14" s="749"/>
      <c r="H14" s="750"/>
      <c r="I14" s="448" t="str">
        <f t="shared" si="1"/>
        <v/>
      </c>
      <c r="J14" s="751"/>
      <c r="K14" s="254" t="str">
        <f t="shared" si="2"/>
        <v/>
      </c>
      <c r="L14" s="751"/>
      <c r="M14" s="254" t="str">
        <f t="shared" si="3"/>
        <v/>
      </c>
      <c r="N14" s="851"/>
      <c r="O14" s="242"/>
      <c r="P14" s="243"/>
      <c r="Q14" s="242"/>
      <c r="R14" s="243"/>
      <c r="S14" s="724"/>
      <c r="T14" s="725"/>
      <c r="U14" s="724"/>
      <c r="V14" s="726"/>
      <c r="W14" s="216" t="s">
        <v>206</v>
      </c>
      <c r="AB14" s="2" t="str">
        <f t="shared" si="5"/>
        <v/>
      </c>
    </row>
    <row r="15" spans="1:28" ht="15" customHeight="1">
      <c r="A15" s="20" t="str">
        <f t="shared" si="0"/>
        <v/>
      </c>
      <c r="B15" s="1007"/>
      <c r="C15" s="1009"/>
      <c r="D15" s="1001"/>
      <c r="E15" s="902" t="s">
        <v>184</v>
      </c>
      <c r="F15" s="251" t="s">
        <v>60</v>
      </c>
      <c r="G15" s="749"/>
      <c r="H15" s="750"/>
      <c r="I15" s="448" t="str">
        <f t="shared" si="1"/>
        <v/>
      </c>
      <c r="J15" s="751"/>
      <c r="K15" s="254" t="str">
        <f t="shared" si="2"/>
        <v/>
      </c>
      <c r="L15" s="751"/>
      <c r="M15" s="254" t="str">
        <f t="shared" si="3"/>
        <v/>
      </c>
      <c r="N15" s="851"/>
      <c r="O15" s="242"/>
      <c r="P15" s="243"/>
      <c r="Q15" s="242"/>
      <c r="R15" s="243"/>
      <c r="S15" s="724"/>
      <c r="T15" s="725"/>
      <c r="U15" s="724"/>
      <c r="V15" s="726"/>
      <c r="W15" s="216" t="s">
        <v>206</v>
      </c>
      <c r="AB15" s="2" t="str">
        <f t="shared" si="5"/>
        <v/>
      </c>
    </row>
    <row r="16" spans="1:28" ht="15" customHeight="1">
      <c r="A16" s="20" t="str">
        <f t="shared" si="0"/>
        <v/>
      </c>
      <c r="B16" s="1007"/>
      <c r="C16" s="1009"/>
      <c r="D16" s="1001"/>
      <c r="E16" s="902" t="s">
        <v>185</v>
      </c>
      <c r="F16" s="251" t="s">
        <v>60</v>
      </c>
      <c r="G16" s="749"/>
      <c r="H16" s="750"/>
      <c r="I16" s="448" t="str">
        <f t="shared" si="1"/>
        <v/>
      </c>
      <c r="J16" s="751"/>
      <c r="K16" s="254" t="str">
        <f t="shared" si="2"/>
        <v/>
      </c>
      <c r="L16" s="751"/>
      <c r="M16" s="254" t="str">
        <f t="shared" si="3"/>
        <v/>
      </c>
      <c r="N16" s="851"/>
      <c r="O16" s="242"/>
      <c r="P16" s="243"/>
      <c r="Q16" s="242"/>
      <c r="R16" s="243"/>
      <c r="S16" s="724"/>
      <c r="T16" s="725"/>
      <c r="U16" s="724"/>
      <c r="V16" s="726"/>
      <c r="W16" s="216" t="s">
        <v>206</v>
      </c>
      <c r="AB16" s="2" t="str">
        <f t="shared" si="5"/>
        <v/>
      </c>
    </row>
    <row r="17" spans="1:28" ht="15" customHeight="1">
      <c r="A17" s="20" t="str">
        <f t="shared" si="0"/>
        <v/>
      </c>
      <c r="B17" s="1007"/>
      <c r="C17" s="1009"/>
      <c r="D17" s="1001"/>
      <c r="E17" s="902" t="s">
        <v>186</v>
      </c>
      <c r="F17" s="251" t="s">
        <v>60</v>
      </c>
      <c r="G17" s="749"/>
      <c r="H17" s="750"/>
      <c r="I17" s="448" t="str">
        <f t="shared" si="1"/>
        <v/>
      </c>
      <c r="J17" s="751"/>
      <c r="K17" s="254" t="str">
        <f t="shared" si="2"/>
        <v/>
      </c>
      <c r="L17" s="751"/>
      <c r="M17" s="254" t="str">
        <f t="shared" si="3"/>
        <v/>
      </c>
      <c r="N17" s="851"/>
      <c r="O17" s="242"/>
      <c r="P17" s="243"/>
      <c r="Q17" s="242"/>
      <c r="R17" s="243"/>
      <c r="S17" s="724"/>
      <c r="T17" s="725"/>
      <c r="U17" s="724"/>
      <c r="V17" s="726"/>
      <c r="W17" s="216" t="s">
        <v>206</v>
      </c>
      <c r="AB17" s="2" t="str">
        <f t="shared" si="5"/>
        <v/>
      </c>
    </row>
    <row r="18" spans="1:28" ht="15" customHeight="1">
      <c r="A18" s="20" t="str">
        <f t="shared" si="0"/>
        <v/>
      </c>
      <c r="B18" s="1007"/>
      <c r="C18" s="1009"/>
      <c r="D18" s="1001"/>
      <c r="E18" s="902" t="s">
        <v>187</v>
      </c>
      <c r="F18" s="251" t="s">
        <v>62</v>
      </c>
      <c r="G18" s="749"/>
      <c r="H18" s="750"/>
      <c r="I18" s="448" t="str">
        <f t="shared" si="1"/>
        <v/>
      </c>
      <c r="J18" s="751"/>
      <c r="K18" s="254" t="str">
        <f t="shared" si="2"/>
        <v/>
      </c>
      <c r="L18" s="751"/>
      <c r="M18" s="254" t="str">
        <f t="shared" si="3"/>
        <v/>
      </c>
      <c r="N18" s="851"/>
      <c r="O18" s="242"/>
      <c r="P18" s="243"/>
      <c r="Q18" s="242"/>
      <c r="R18" s="243"/>
      <c r="S18" s="867"/>
      <c r="T18" s="868"/>
      <c r="U18" s="867"/>
      <c r="V18" s="869"/>
      <c r="W18" s="216" t="s">
        <v>206</v>
      </c>
      <c r="AB18" s="2" t="str">
        <f t="shared" si="5"/>
        <v/>
      </c>
    </row>
    <row r="19" spans="1:28" ht="15" customHeight="1">
      <c r="A19" s="20" t="str">
        <f t="shared" si="0"/>
        <v/>
      </c>
      <c r="B19" s="1007"/>
      <c r="C19" s="1009"/>
      <c r="D19" s="1001"/>
      <c r="E19" s="902" t="s">
        <v>188</v>
      </c>
      <c r="F19" s="251" t="s">
        <v>60</v>
      </c>
      <c r="G19" s="749"/>
      <c r="H19" s="750"/>
      <c r="I19" s="448" t="str">
        <f t="shared" si="1"/>
        <v/>
      </c>
      <c r="J19" s="751"/>
      <c r="K19" s="254" t="str">
        <f t="shared" si="2"/>
        <v/>
      </c>
      <c r="L19" s="751"/>
      <c r="M19" s="254" t="str">
        <f t="shared" si="3"/>
        <v/>
      </c>
      <c r="N19" s="851"/>
      <c r="O19" s="242"/>
      <c r="P19" s="243"/>
      <c r="Q19" s="242"/>
      <c r="R19" s="243"/>
      <c r="S19" s="724"/>
      <c r="T19" s="725"/>
      <c r="U19" s="724"/>
      <c r="V19" s="726"/>
      <c r="W19" s="216" t="s">
        <v>206</v>
      </c>
      <c r="AB19" s="2" t="str">
        <f t="shared" si="5"/>
        <v/>
      </c>
    </row>
    <row r="20" spans="1:28" ht="15" customHeight="1">
      <c r="A20" s="20" t="str">
        <f t="shared" si="0"/>
        <v/>
      </c>
      <c r="B20" s="1007"/>
      <c r="C20" s="1009"/>
      <c r="D20" s="1001"/>
      <c r="E20" s="902" t="s">
        <v>189</v>
      </c>
      <c r="F20" s="251" t="s">
        <v>60</v>
      </c>
      <c r="G20" s="749"/>
      <c r="H20" s="750"/>
      <c r="I20" s="448" t="str">
        <f t="shared" si="1"/>
        <v/>
      </c>
      <c r="J20" s="751"/>
      <c r="K20" s="254" t="str">
        <f t="shared" si="2"/>
        <v/>
      </c>
      <c r="L20" s="751"/>
      <c r="M20" s="254" t="str">
        <f t="shared" si="3"/>
        <v/>
      </c>
      <c r="N20" s="851"/>
      <c r="O20" s="242"/>
      <c r="P20" s="243"/>
      <c r="Q20" s="242"/>
      <c r="R20" s="243"/>
      <c r="S20" s="724"/>
      <c r="T20" s="725"/>
      <c r="U20" s="724"/>
      <c r="V20" s="726"/>
      <c r="W20" s="216" t="s">
        <v>206</v>
      </c>
      <c r="AB20" s="2" t="str">
        <f t="shared" si="5"/>
        <v/>
      </c>
    </row>
    <row r="21" spans="1:28" ht="15" customHeight="1">
      <c r="A21" s="20" t="str">
        <f t="shared" si="0"/>
        <v/>
      </c>
      <c r="B21" s="1007"/>
      <c r="C21" s="1009"/>
      <c r="D21" s="1001"/>
      <c r="E21" s="902" t="s">
        <v>190</v>
      </c>
      <c r="F21" s="251" t="s">
        <v>60</v>
      </c>
      <c r="G21" s="749"/>
      <c r="H21" s="750"/>
      <c r="I21" s="448" t="str">
        <f t="shared" si="1"/>
        <v/>
      </c>
      <c r="J21" s="751"/>
      <c r="K21" s="254" t="str">
        <f t="shared" si="2"/>
        <v/>
      </c>
      <c r="L21" s="751"/>
      <c r="M21" s="254" t="str">
        <f t="shared" si="3"/>
        <v/>
      </c>
      <c r="N21" s="851"/>
      <c r="O21" s="242"/>
      <c r="P21" s="243"/>
      <c r="Q21" s="242"/>
      <c r="R21" s="243"/>
      <c r="S21" s="724"/>
      <c r="T21" s="725"/>
      <c r="U21" s="724"/>
      <c r="V21" s="726"/>
      <c r="W21" s="216" t="s">
        <v>206</v>
      </c>
      <c r="AB21" s="2" t="str">
        <f t="shared" si="5"/>
        <v/>
      </c>
    </row>
    <row r="22" spans="1:28" ht="15" customHeight="1">
      <c r="A22" s="20" t="str">
        <f t="shared" si="0"/>
        <v/>
      </c>
      <c r="B22" s="1007"/>
      <c r="C22" s="1009"/>
      <c r="D22" s="1001"/>
      <c r="E22" s="902" t="s">
        <v>191</v>
      </c>
      <c r="F22" s="251" t="s">
        <v>60</v>
      </c>
      <c r="G22" s="749"/>
      <c r="H22" s="750"/>
      <c r="I22" s="448" t="str">
        <f t="shared" si="1"/>
        <v/>
      </c>
      <c r="J22" s="751"/>
      <c r="K22" s="254" t="str">
        <f t="shared" si="2"/>
        <v/>
      </c>
      <c r="L22" s="751"/>
      <c r="M22" s="254" t="str">
        <f t="shared" si="3"/>
        <v/>
      </c>
      <c r="N22" s="851"/>
      <c r="O22" s="242"/>
      <c r="P22" s="243"/>
      <c r="Q22" s="242"/>
      <c r="R22" s="243"/>
      <c r="S22" s="724"/>
      <c r="T22" s="725"/>
      <c r="U22" s="724"/>
      <c r="V22" s="726"/>
      <c r="W22" s="216" t="s">
        <v>206</v>
      </c>
      <c r="X22" s="975"/>
      <c r="AB22" s="2" t="str">
        <f t="shared" si="5"/>
        <v/>
      </c>
    </row>
    <row r="23" spans="1:28" ht="15" customHeight="1">
      <c r="A23" s="20" t="str">
        <f t="shared" si="0"/>
        <v/>
      </c>
      <c r="B23" s="1007"/>
      <c r="C23" s="1009"/>
      <c r="D23" s="1001"/>
      <c r="E23" s="902" t="s">
        <v>192</v>
      </c>
      <c r="F23" s="251" t="s">
        <v>60</v>
      </c>
      <c r="G23" s="749"/>
      <c r="H23" s="750"/>
      <c r="I23" s="448" t="str">
        <f t="shared" si="1"/>
        <v/>
      </c>
      <c r="J23" s="751"/>
      <c r="K23" s="254" t="str">
        <f t="shared" si="2"/>
        <v/>
      </c>
      <c r="L23" s="751"/>
      <c r="M23" s="254" t="str">
        <f t="shared" si="3"/>
        <v/>
      </c>
      <c r="N23" s="851"/>
      <c r="O23" s="242"/>
      <c r="P23" s="243"/>
      <c r="Q23" s="242"/>
      <c r="R23" s="243"/>
      <c r="S23" s="724"/>
      <c r="T23" s="725"/>
      <c r="U23" s="724"/>
      <c r="V23" s="726"/>
      <c r="W23" s="216" t="s">
        <v>206</v>
      </c>
      <c r="AB23" s="2" t="str">
        <f t="shared" si="5"/>
        <v/>
      </c>
    </row>
    <row r="24" spans="1:28" ht="15" customHeight="1">
      <c r="A24" s="20" t="str">
        <f t="shared" si="0"/>
        <v/>
      </c>
      <c r="B24" s="1007"/>
      <c r="C24" s="1009"/>
      <c r="D24" s="1001"/>
      <c r="E24" s="902" t="s">
        <v>193</v>
      </c>
      <c r="F24" s="251" t="s">
        <v>60</v>
      </c>
      <c r="G24" s="749"/>
      <c r="H24" s="750"/>
      <c r="I24" s="448" t="str">
        <f t="shared" si="1"/>
        <v/>
      </c>
      <c r="J24" s="751"/>
      <c r="K24" s="254" t="str">
        <f t="shared" si="2"/>
        <v/>
      </c>
      <c r="L24" s="751"/>
      <c r="M24" s="254" t="str">
        <f t="shared" si="3"/>
        <v/>
      </c>
      <c r="N24" s="851"/>
      <c r="O24" s="242"/>
      <c r="P24" s="243"/>
      <c r="Q24" s="242"/>
      <c r="R24" s="243"/>
      <c r="S24" s="724"/>
      <c r="T24" s="725"/>
      <c r="U24" s="724"/>
      <c r="V24" s="726"/>
      <c r="W24" s="216" t="s">
        <v>206</v>
      </c>
      <c r="AB24" s="2" t="str">
        <f t="shared" si="5"/>
        <v/>
      </c>
    </row>
    <row r="25" spans="1:28" ht="15" customHeight="1">
      <c r="A25" s="20" t="str">
        <f t="shared" si="0"/>
        <v/>
      </c>
      <c r="B25" s="1007"/>
      <c r="C25" s="1009"/>
      <c r="D25" s="1001"/>
      <c r="E25" s="902" t="s">
        <v>194</v>
      </c>
      <c r="F25" s="251" t="s">
        <v>60</v>
      </c>
      <c r="G25" s="749"/>
      <c r="H25" s="750"/>
      <c r="I25" s="448" t="str">
        <f t="shared" si="1"/>
        <v/>
      </c>
      <c r="J25" s="751"/>
      <c r="K25" s="254" t="str">
        <f t="shared" si="2"/>
        <v/>
      </c>
      <c r="L25" s="751"/>
      <c r="M25" s="254" t="str">
        <f t="shared" si="3"/>
        <v/>
      </c>
      <c r="N25" s="851"/>
      <c r="O25" s="242"/>
      <c r="P25" s="243"/>
      <c r="Q25" s="242"/>
      <c r="R25" s="243"/>
      <c r="S25" s="724"/>
      <c r="T25" s="725"/>
      <c r="U25" s="724"/>
      <c r="V25" s="726"/>
      <c r="W25" s="216" t="s">
        <v>206</v>
      </c>
      <c r="AB25" s="2" t="str">
        <f t="shared" si="5"/>
        <v/>
      </c>
    </row>
    <row r="26" spans="1:28" ht="15" customHeight="1">
      <c r="A26" s="20" t="str">
        <f t="shared" si="0"/>
        <v/>
      </c>
      <c r="B26" s="1007"/>
      <c r="C26" s="1009"/>
      <c r="D26" s="1001"/>
      <c r="E26" s="902" t="s">
        <v>195</v>
      </c>
      <c r="F26" s="251" t="s">
        <v>60</v>
      </c>
      <c r="G26" s="749"/>
      <c r="H26" s="750"/>
      <c r="I26" s="448" t="str">
        <f t="shared" si="1"/>
        <v/>
      </c>
      <c r="J26" s="751"/>
      <c r="K26" s="254" t="str">
        <f t="shared" si="2"/>
        <v/>
      </c>
      <c r="L26" s="751"/>
      <c r="M26" s="254" t="str">
        <f t="shared" si="3"/>
        <v/>
      </c>
      <c r="N26" s="851"/>
      <c r="O26" s="242"/>
      <c r="P26" s="243"/>
      <c r="Q26" s="242"/>
      <c r="R26" s="243"/>
      <c r="S26" s="724"/>
      <c r="T26" s="725"/>
      <c r="U26" s="724"/>
      <c r="V26" s="726"/>
      <c r="W26" s="216" t="s">
        <v>206</v>
      </c>
      <c r="AB26" s="2" t="str">
        <f t="shared" si="5"/>
        <v/>
      </c>
    </row>
    <row r="27" spans="1:28" ht="15" customHeight="1">
      <c r="A27" s="20" t="str">
        <f t="shared" si="0"/>
        <v/>
      </c>
      <c r="B27" s="1007"/>
      <c r="C27" s="1009"/>
      <c r="D27" s="1001"/>
      <c r="E27" s="902" t="s">
        <v>196</v>
      </c>
      <c r="F27" s="251" t="s">
        <v>60</v>
      </c>
      <c r="G27" s="749"/>
      <c r="H27" s="750"/>
      <c r="I27" s="448" t="str">
        <f t="shared" si="1"/>
        <v/>
      </c>
      <c r="J27" s="751"/>
      <c r="K27" s="254" t="str">
        <f t="shared" si="2"/>
        <v/>
      </c>
      <c r="L27" s="751"/>
      <c r="M27" s="254" t="str">
        <f t="shared" si="3"/>
        <v/>
      </c>
      <c r="N27" s="851"/>
      <c r="O27" s="242"/>
      <c r="P27" s="243"/>
      <c r="Q27" s="242"/>
      <c r="R27" s="243"/>
      <c r="S27" s="724"/>
      <c r="T27" s="725"/>
      <c r="U27" s="724"/>
      <c r="V27" s="726"/>
      <c r="W27" s="216" t="s">
        <v>206</v>
      </c>
      <c r="AB27" s="2" t="str">
        <f t="shared" si="5"/>
        <v/>
      </c>
    </row>
    <row r="28" spans="1:28" ht="15" customHeight="1">
      <c r="A28" s="20" t="str">
        <f t="shared" si="0"/>
        <v/>
      </c>
      <c r="B28" s="1007"/>
      <c r="C28" s="1009"/>
      <c r="D28" s="1001"/>
      <c r="E28" s="902" t="s">
        <v>197</v>
      </c>
      <c r="F28" s="251" t="s">
        <v>62</v>
      </c>
      <c r="G28" s="252"/>
      <c r="H28" s="253"/>
      <c r="I28" s="448" t="str">
        <f t="shared" si="1"/>
        <v/>
      </c>
      <c r="J28" s="255"/>
      <c r="K28" s="254" t="str">
        <f t="shared" si="2"/>
        <v/>
      </c>
      <c r="L28" s="255"/>
      <c r="M28" s="254" t="str">
        <f t="shared" si="3"/>
        <v/>
      </c>
      <c r="N28" s="851"/>
      <c r="O28" s="242"/>
      <c r="P28" s="243"/>
      <c r="Q28" s="242"/>
      <c r="R28" s="243"/>
      <c r="S28" s="867"/>
      <c r="T28" s="868"/>
      <c r="U28" s="867"/>
      <c r="V28" s="869"/>
      <c r="W28" s="216" t="s">
        <v>206</v>
      </c>
      <c r="AB28" s="2" t="str">
        <f t="shared" si="5"/>
        <v/>
      </c>
    </row>
    <row r="29" spans="1:28" ht="15" customHeight="1">
      <c r="A29" s="20" t="str">
        <f t="shared" si="0"/>
        <v/>
      </c>
      <c r="B29" s="1007"/>
      <c r="C29" s="1009"/>
      <c r="D29" s="1001"/>
      <c r="E29" s="961" t="s">
        <v>166</v>
      </c>
      <c r="F29" s="251"/>
      <c r="G29" s="252"/>
      <c r="H29" s="253"/>
      <c r="I29" s="747"/>
      <c r="J29" s="255"/>
      <c r="K29" s="254"/>
      <c r="L29" s="255"/>
      <c r="M29" s="254"/>
      <c r="N29" s="851"/>
      <c r="O29" s="242"/>
      <c r="P29" s="243"/>
      <c r="Q29" s="242"/>
      <c r="R29" s="243"/>
      <c r="S29" s="724"/>
      <c r="T29" s="725"/>
      <c r="U29" s="724"/>
      <c r="V29" s="726"/>
      <c r="W29" s="216"/>
    </row>
    <row r="30" spans="1:28" ht="15" customHeight="1">
      <c r="A30" s="20" t="str">
        <f t="shared" si="0"/>
        <v/>
      </c>
      <c r="B30" s="1007"/>
      <c r="C30" s="1009"/>
      <c r="D30" s="1001"/>
      <c r="E30" s="961" t="s">
        <v>166</v>
      </c>
      <c r="F30" s="251"/>
      <c r="G30" s="252"/>
      <c r="H30" s="253"/>
      <c r="I30" s="747"/>
      <c r="J30" s="255"/>
      <c r="K30" s="254"/>
      <c r="L30" s="255"/>
      <c r="M30" s="254"/>
      <c r="N30" s="851"/>
      <c r="O30" s="242"/>
      <c r="P30" s="243"/>
      <c r="Q30" s="242"/>
      <c r="R30" s="243"/>
      <c r="S30" s="724"/>
      <c r="T30" s="725"/>
      <c r="U30" s="724"/>
      <c r="V30" s="726"/>
      <c r="W30" s="216"/>
    </row>
    <row r="31" spans="1:28" ht="15" customHeight="1">
      <c r="A31" s="20" t="str">
        <f t="shared" si="0"/>
        <v/>
      </c>
      <c r="B31" s="1007"/>
      <c r="C31" s="1009"/>
      <c r="D31" s="1001"/>
      <c r="E31" s="961" t="s">
        <v>166</v>
      </c>
      <c r="F31" s="251"/>
      <c r="G31" s="252"/>
      <c r="H31" s="253"/>
      <c r="I31" s="747"/>
      <c r="J31" s="255"/>
      <c r="K31" s="254"/>
      <c r="L31" s="255"/>
      <c r="M31" s="254"/>
      <c r="N31" s="851"/>
      <c r="O31" s="242"/>
      <c r="P31" s="243"/>
      <c r="Q31" s="242"/>
      <c r="R31" s="243"/>
      <c r="S31" s="724"/>
      <c r="T31" s="725"/>
      <c r="U31" s="724"/>
      <c r="V31" s="726"/>
      <c r="W31" s="216"/>
    </row>
    <row r="32" spans="1:28" ht="15" customHeight="1">
      <c r="A32" s="20" t="str">
        <f t="shared" si="0"/>
        <v/>
      </c>
      <c r="B32" s="1007"/>
      <c r="C32" s="1009"/>
      <c r="D32" s="1001"/>
      <c r="E32" s="961" t="s">
        <v>166</v>
      </c>
      <c r="F32" s="251"/>
      <c r="G32" s="252"/>
      <c r="H32" s="253"/>
      <c r="I32" s="747"/>
      <c r="J32" s="255"/>
      <c r="K32" s="254"/>
      <c r="L32" s="255"/>
      <c r="M32" s="254"/>
      <c r="N32" s="851"/>
      <c r="O32" s="242"/>
      <c r="P32" s="243"/>
      <c r="Q32" s="242"/>
      <c r="R32" s="243"/>
      <c r="S32" s="724"/>
      <c r="T32" s="725"/>
      <c r="U32" s="724"/>
      <c r="V32" s="726"/>
      <c r="W32" s="216"/>
    </row>
    <row r="33" spans="1:28" ht="15" customHeight="1">
      <c r="A33" s="20" t="str">
        <f t="shared" si="0"/>
        <v/>
      </c>
      <c r="B33" s="1007"/>
      <c r="C33" s="1009"/>
      <c r="D33" s="1001"/>
      <c r="E33" s="962" t="s">
        <v>166</v>
      </c>
      <c r="F33" s="459"/>
      <c r="G33" s="257"/>
      <c r="H33" s="258"/>
      <c r="I33" s="748"/>
      <c r="J33" s="260"/>
      <c r="K33" s="259"/>
      <c r="L33" s="260"/>
      <c r="M33" s="259"/>
      <c r="N33" s="856"/>
      <c r="O33" s="244"/>
      <c r="P33" s="245"/>
      <c r="Q33" s="244"/>
      <c r="R33" s="245"/>
      <c r="S33" s="727"/>
      <c r="T33" s="728"/>
      <c r="U33" s="727"/>
      <c r="V33" s="729"/>
      <c r="W33" s="216"/>
    </row>
    <row r="34" spans="1:28" ht="15.75">
      <c r="A34" s="20" t="str">
        <f t="shared" si="0"/>
        <v>S</v>
      </c>
      <c r="B34" s="1007"/>
      <c r="C34" s="1010"/>
      <c r="D34" s="332" t="s">
        <v>138</v>
      </c>
      <c r="E34" s="896"/>
      <c r="F34" s="16"/>
      <c r="G34" s="7">
        <f>SUM(G13:G33)</f>
        <v>0</v>
      </c>
      <c r="H34" s="8">
        <f>SUM(H13:H33)</f>
        <v>0</v>
      </c>
      <c r="I34" s="9" t="e">
        <f t="shared" si="1"/>
        <v>#DIV/0!</v>
      </c>
      <c r="J34" s="213">
        <f>SUM(J13:J33)</f>
        <v>0</v>
      </c>
      <c r="K34" s="9" t="e">
        <f t="shared" si="2"/>
        <v>#DIV/0!</v>
      </c>
      <c r="L34" s="213">
        <f>SUM(L13:L33)</f>
        <v>0</v>
      </c>
      <c r="M34" s="9" t="e">
        <f t="shared" si="3"/>
        <v>#DIV/0!</v>
      </c>
      <c r="N34" s="213">
        <f t="shared" ref="N34:V34" si="18">SUM(N13:N33)</f>
        <v>0</v>
      </c>
      <c r="O34" s="120">
        <f t="shared" si="18"/>
        <v>0</v>
      </c>
      <c r="P34" s="121">
        <f t="shared" si="18"/>
        <v>0</v>
      </c>
      <c r="Q34" s="120">
        <f t="shared" si="18"/>
        <v>0</v>
      </c>
      <c r="R34" s="121">
        <f t="shared" si="18"/>
        <v>0</v>
      </c>
      <c r="S34" s="120">
        <f t="shared" si="18"/>
        <v>0</v>
      </c>
      <c r="T34" s="121">
        <f t="shared" si="18"/>
        <v>0</v>
      </c>
      <c r="U34" s="120">
        <f t="shared" si="18"/>
        <v>0</v>
      </c>
      <c r="V34" s="122">
        <f t="shared" si="18"/>
        <v>0</v>
      </c>
      <c r="W34" s="216" t="s">
        <v>206</v>
      </c>
      <c r="AB34" s="2">
        <f t="shared" si="5"/>
        <v>0</v>
      </c>
    </row>
    <row r="35" spans="1:28" ht="15" customHeight="1">
      <c r="A35" s="20" t="str">
        <f t="shared" si="0"/>
        <v/>
      </c>
      <c r="B35" s="1007" t="s">
        <v>82</v>
      </c>
      <c r="C35" s="1009" t="s">
        <v>75</v>
      </c>
      <c r="D35" s="1001">
        <v>11</v>
      </c>
      <c r="E35" s="901" t="s">
        <v>13</v>
      </c>
      <c r="F35" s="246" t="s">
        <v>60</v>
      </c>
      <c r="G35" s="763"/>
      <c r="H35" s="764"/>
      <c r="I35" s="439" t="str">
        <f t="shared" si="1"/>
        <v/>
      </c>
      <c r="J35" s="765"/>
      <c r="K35" s="249" t="str">
        <f t="shared" si="2"/>
        <v/>
      </c>
      <c r="L35" s="765"/>
      <c r="M35" s="249" t="str">
        <f t="shared" si="3"/>
        <v/>
      </c>
      <c r="N35" s="846"/>
      <c r="O35" s="240"/>
      <c r="P35" s="241"/>
      <c r="Q35" s="240"/>
      <c r="R35" s="241"/>
      <c r="S35" s="721" t="s">
        <v>21</v>
      </c>
      <c r="T35" s="722" t="s">
        <v>21</v>
      </c>
      <c r="U35" s="721" t="s">
        <v>21</v>
      </c>
      <c r="V35" s="723" t="s">
        <v>21</v>
      </c>
      <c r="W35" s="216" t="s">
        <v>206</v>
      </c>
      <c r="AB35" s="2" t="str">
        <f t="shared" si="5"/>
        <v/>
      </c>
    </row>
    <row r="36" spans="1:28" ht="15" customHeight="1">
      <c r="A36" s="20" t="str">
        <f t="shared" si="0"/>
        <v/>
      </c>
      <c r="B36" s="1007"/>
      <c r="C36" s="1009"/>
      <c r="D36" s="1001"/>
      <c r="E36" s="902" t="s">
        <v>14</v>
      </c>
      <c r="F36" s="251" t="s">
        <v>60</v>
      </c>
      <c r="G36" s="749"/>
      <c r="H36" s="750"/>
      <c r="I36" s="448" t="str">
        <f t="shared" si="1"/>
        <v/>
      </c>
      <c r="J36" s="751"/>
      <c r="K36" s="254" t="str">
        <f t="shared" si="2"/>
        <v/>
      </c>
      <c r="L36" s="751"/>
      <c r="M36" s="254" t="str">
        <f t="shared" si="3"/>
        <v/>
      </c>
      <c r="N36" s="851"/>
      <c r="O36" s="242"/>
      <c r="P36" s="243"/>
      <c r="Q36" s="242"/>
      <c r="R36" s="243"/>
      <c r="S36" s="724" t="s">
        <v>21</v>
      </c>
      <c r="T36" s="725" t="s">
        <v>21</v>
      </c>
      <c r="U36" s="724" t="s">
        <v>21</v>
      </c>
      <c r="V36" s="726" t="s">
        <v>21</v>
      </c>
      <c r="W36" s="216" t="s">
        <v>206</v>
      </c>
      <c r="AB36" s="2" t="str">
        <f t="shared" si="5"/>
        <v/>
      </c>
    </row>
    <row r="37" spans="1:28" ht="15" customHeight="1">
      <c r="A37" s="20" t="str">
        <f t="shared" si="0"/>
        <v/>
      </c>
      <c r="B37" s="1007"/>
      <c r="C37" s="1009"/>
      <c r="D37" s="1001"/>
      <c r="E37" s="902" t="s">
        <v>15</v>
      </c>
      <c r="F37" s="251" t="s">
        <v>60</v>
      </c>
      <c r="G37" s="749"/>
      <c r="H37" s="750"/>
      <c r="I37" s="448" t="str">
        <f t="shared" si="1"/>
        <v/>
      </c>
      <c r="J37" s="751"/>
      <c r="K37" s="254" t="str">
        <f t="shared" si="2"/>
        <v/>
      </c>
      <c r="L37" s="751"/>
      <c r="M37" s="254" t="str">
        <f t="shared" si="3"/>
        <v/>
      </c>
      <c r="N37" s="851"/>
      <c r="O37" s="242"/>
      <c r="P37" s="243"/>
      <c r="Q37" s="242"/>
      <c r="R37" s="243"/>
      <c r="S37" s="724" t="s">
        <v>21</v>
      </c>
      <c r="T37" s="725" t="s">
        <v>21</v>
      </c>
      <c r="U37" s="724" t="s">
        <v>21</v>
      </c>
      <c r="V37" s="726" t="s">
        <v>21</v>
      </c>
      <c r="W37" s="216" t="s">
        <v>206</v>
      </c>
      <c r="AB37" s="2" t="str">
        <f t="shared" si="5"/>
        <v/>
      </c>
    </row>
    <row r="38" spans="1:28" ht="15" customHeight="1">
      <c r="A38" s="20" t="str">
        <f t="shared" si="0"/>
        <v/>
      </c>
      <c r="B38" s="1007"/>
      <c r="C38" s="1009"/>
      <c r="D38" s="1001"/>
      <c r="E38" s="902" t="s">
        <v>141</v>
      </c>
      <c r="F38" s="251" t="s">
        <v>60</v>
      </c>
      <c r="G38" s="749"/>
      <c r="H38" s="750"/>
      <c r="I38" s="448" t="str">
        <f t="shared" si="1"/>
        <v/>
      </c>
      <c r="J38" s="751"/>
      <c r="K38" s="254" t="str">
        <f t="shared" si="2"/>
        <v/>
      </c>
      <c r="L38" s="751"/>
      <c r="M38" s="254" t="str">
        <f t="shared" si="3"/>
        <v/>
      </c>
      <c r="N38" s="851"/>
      <c r="O38" s="242"/>
      <c r="P38" s="243"/>
      <c r="Q38" s="242"/>
      <c r="R38" s="243"/>
      <c r="S38" s="724" t="s">
        <v>21</v>
      </c>
      <c r="T38" s="725" t="s">
        <v>21</v>
      </c>
      <c r="U38" s="724" t="s">
        <v>21</v>
      </c>
      <c r="V38" s="726" t="s">
        <v>21</v>
      </c>
      <c r="W38" s="216" t="s">
        <v>206</v>
      </c>
      <c r="AB38" s="2" t="str">
        <f t="shared" si="5"/>
        <v/>
      </c>
    </row>
    <row r="39" spans="1:28" ht="15" customHeight="1">
      <c r="A39" s="20" t="str">
        <f t="shared" si="0"/>
        <v/>
      </c>
      <c r="B39" s="1007"/>
      <c r="C39" s="1009"/>
      <c r="D39" s="1001"/>
      <c r="E39" s="902" t="s">
        <v>16</v>
      </c>
      <c r="F39" s="251" t="s">
        <v>60</v>
      </c>
      <c r="G39" s="749"/>
      <c r="H39" s="750"/>
      <c r="I39" s="448" t="str">
        <f t="shared" si="1"/>
        <v/>
      </c>
      <c r="J39" s="751"/>
      <c r="K39" s="254" t="str">
        <f t="shared" si="2"/>
        <v/>
      </c>
      <c r="L39" s="751"/>
      <c r="M39" s="254" t="str">
        <f t="shared" si="3"/>
        <v/>
      </c>
      <c r="N39" s="851"/>
      <c r="O39" s="242"/>
      <c r="P39" s="243"/>
      <c r="Q39" s="242"/>
      <c r="R39" s="243"/>
      <c r="S39" s="724" t="s">
        <v>21</v>
      </c>
      <c r="T39" s="725" t="s">
        <v>21</v>
      </c>
      <c r="U39" s="724" t="s">
        <v>21</v>
      </c>
      <c r="V39" s="726" t="s">
        <v>21</v>
      </c>
      <c r="W39" s="216" t="s">
        <v>206</v>
      </c>
      <c r="AB39" s="2" t="str">
        <f t="shared" si="5"/>
        <v/>
      </c>
    </row>
    <row r="40" spans="1:28" ht="15" customHeight="1">
      <c r="A40" s="20" t="str">
        <f t="shared" si="0"/>
        <v/>
      </c>
      <c r="B40" s="1007"/>
      <c r="C40" s="1009"/>
      <c r="D40" s="1001"/>
      <c r="E40" s="902" t="s">
        <v>17</v>
      </c>
      <c r="F40" s="251" t="s">
        <v>60</v>
      </c>
      <c r="G40" s="749"/>
      <c r="H40" s="750"/>
      <c r="I40" s="448" t="str">
        <f t="shared" si="1"/>
        <v/>
      </c>
      <c r="J40" s="751"/>
      <c r="K40" s="254" t="str">
        <f t="shared" si="2"/>
        <v/>
      </c>
      <c r="L40" s="751"/>
      <c r="M40" s="254" t="str">
        <f t="shared" si="3"/>
        <v/>
      </c>
      <c r="N40" s="851"/>
      <c r="O40" s="242"/>
      <c r="P40" s="243"/>
      <c r="Q40" s="242"/>
      <c r="R40" s="243"/>
      <c r="S40" s="724" t="s">
        <v>21</v>
      </c>
      <c r="T40" s="725" t="s">
        <v>21</v>
      </c>
      <c r="U40" s="724" t="s">
        <v>21</v>
      </c>
      <c r="V40" s="726" t="s">
        <v>21</v>
      </c>
      <c r="W40" s="216" t="s">
        <v>206</v>
      </c>
      <c r="AB40" s="2" t="str">
        <f t="shared" si="5"/>
        <v/>
      </c>
    </row>
    <row r="41" spans="1:28" ht="15" customHeight="1">
      <c r="A41" s="20" t="str">
        <f t="shared" si="0"/>
        <v/>
      </c>
      <c r="B41" s="1007"/>
      <c r="C41" s="1009"/>
      <c r="D41" s="1001"/>
      <c r="E41" s="902" t="s">
        <v>18</v>
      </c>
      <c r="F41" s="251" t="s">
        <v>60</v>
      </c>
      <c r="G41" s="749"/>
      <c r="H41" s="750"/>
      <c r="I41" s="448" t="str">
        <f t="shared" si="1"/>
        <v/>
      </c>
      <c r="J41" s="751"/>
      <c r="K41" s="254" t="str">
        <f t="shared" si="2"/>
        <v/>
      </c>
      <c r="L41" s="751"/>
      <c r="M41" s="254" t="str">
        <f t="shared" si="3"/>
        <v/>
      </c>
      <c r="N41" s="851"/>
      <c r="O41" s="242"/>
      <c r="P41" s="243"/>
      <c r="Q41" s="242"/>
      <c r="R41" s="243"/>
      <c r="S41" s="724" t="s">
        <v>21</v>
      </c>
      <c r="T41" s="725" t="s">
        <v>21</v>
      </c>
      <c r="U41" s="724" t="s">
        <v>21</v>
      </c>
      <c r="V41" s="726" t="s">
        <v>21</v>
      </c>
      <c r="W41" s="216" t="s">
        <v>206</v>
      </c>
      <c r="AB41" s="2" t="str">
        <f t="shared" si="5"/>
        <v/>
      </c>
    </row>
    <row r="42" spans="1:28" ht="15" customHeight="1">
      <c r="A42" s="20" t="str">
        <f t="shared" si="0"/>
        <v/>
      </c>
      <c r="B42" s="1007"/>
      <c r="C42" s="1009"/>
      <c r="D42" s="1001"/>
      <c r="E42" s="902" t="s">
        <v>19</v>
      </c>
      <c r="F42" s="251" t="s">
        <v>60</v>
      </c>
      <c r="G42" s="749"/>
      <c r="H42" s="750"/>
      <c r="I42" s="448" t="str">
        <f t="shared" si="1"/>
        <v/>
      </c>
      <c r="J42" s="751"/>
      <c r="K42" s="254" t="str">
        <f t="shared" si="2"/>
        <v/>
      </c>
      <c r="L42" s="751"/>
      <c r="M42" s="254" t="str">
        <f t="shared" si="3"/>
        <v/>
      </c>
      <c r="N42" s="851"/>
      <c r="O42" s="242"/>
      <c r="P42" s="243"/>
      <c r="Q42" s="242"/>
      <c r="R42" s="243"/>
      <c r="S42" s="724" t="s">
        <v>21</v>
      </c>
      <c r="T42" s="725" t="s">
        <v>21</v>
      </c>
      <c r="U42" s="724" t="s">
        <v>21</v>
      </c>
      <c r="V42" s="726" t="s">
        <v>21</v>
      </c>
      <c r="W42" s="216" t="s">
        <v>206</v>
      </c>
      <c r="AB42" s="2" t="str">
        <f t="shared" si="5"/>
        <v/>
      </c>
    </row>
    <row r="43" spans="1:28" ht="15" customHeight="1">
      <c r="A43" s="20" t="str">
        <f t="shared" si="0"/>
        <v/>
      </c>
      <c r="B43" s="1007"/>
      <c r="C43" s="1009"/>
      <c r="D43" s="1001"/>
      <c r="E43" s="902" t="s">
        <v>169</v>
      </c>
      <c r="F43" s="251" t="s">
        <v>60</v>
      </c>
      <c r="G43" s="749"/>
      <c r="H43" s="750"/>
      <c r="I43" s="448" t="str">
        <f t="shared" si="1"/>
        <v/>
      </c>
      <c r="J43" s="751"/>
      <c r="K43" s="254" t="str">
        <f t="shared" si="2"/>
        <v/>
      </c>
      <c r="L43" s="751"/>
      <c r="M43" s="254" t="str">
        <f t="shared" si="3"/>
        <v/>
      </c>
      <c r="N43" s="851"/>
      <c r="O43" s="242"/>
      <c r="P43" s="243"/>
      <c r="Q43" s="242"/>
      <c r="R43" s="243"/>
      <c r="S43" s="724" t="s">
        <v>21</v>
      </c>
      <c r="T43" s="725" t="s">
        <v>21</v>
      </c>
      <c r="U43" s="724" t="s">
        <v>21</v>
      </c>
      <c r="V43" s="726" t="s">
        <v>21</v>
      </c>
      <c r="W43" s="216" t="s">
        <v>206</v>
      </c>
      <c r="AB43" s="2" t="str">
        <f t="shared" si="5"/>
        <v/>
      </c>
    </row>
    <row r="44" spans="1:28" ht="15" customHeight="1">
      <c r="A44" s="20" t="str">
        <f t="shared" si="0"/>
        <v/>
      </c>
      <c r="B44" s="1007"/>
      <c r="C44" s="1009"/>
      <c r="D44" s="1001"/>
      <c r="E44" s="902" t="s">
        <v>170</v>
      </c>
      <c r="F44" s="251" t="s">
        <v>60</v>
      </c>
      <c r="G44" s="749"/>
      <c r="H44" s="750"/>
      <c r="I44" s="448" t="str">
        <f t="shared" si="1"/>
        <v/>
      </c>
      <c r="J44" s="751"/>
      <c r="K44" s="254" t="str">
        <f t="shared" si="2"/>
        <v/>
      </c>
      <c r="L44" s="751"/>
      <c r="M44" s="254" t="str">
        <f t="shared" si="3"/>
        <v/>
      </c>
      <c r="N44" s="851"/>
      <c r="O44" s="242"/>
      <c r="P44" s="243"/>
      <c r="Q44" s="242"/>
      <c r="R44" s="243"/>
      <c r="S44" s="724" t="s">
        <v>21</v>
      </c>
      <c r="T44" s="725" t="s">
        <v>21</v>
      </c>
      <c r="U44" s="724" t="s">
        <v>21</v>
      </c>
      <c r="V44" s="726" t="s">
        <v>21</v>
      </c>
      <c r="W44" s="216" t="s">
        <v>206</v>
      </c>
      <c r="AB44" s="2" t="str">
        <f t="shared" si="5"/>
        <v/>
      </c>
    </row>
    <row r="45" spans="1:28" ht="15" customHeight="1">
      <c r="A45" s="20" t="str">
        <f t="shared" si="0"/>
        <v/>
      </c>
      <c r="B45" s="1007"/>
      <c r="C45" s="1009"/>
      <c r="D45" s="1001"/>
      <c r="E45" s="902" t="s">
        <v>5</v>
      </c>
      <c r="F45" s="251" t="s">
        <v>60</v>
      </c>
      <c r="G45" s="252"/>
      <c r="H45" s="253"/>
      <c r="I45" s="448" t="str">
        <f t="shared" si="1"/>
        <v/>
      </c>
      <c r="J45" s="255"/>
      <c r="K45" s="254" t="str">
        <f t="shared" si="2"/>
        <v/>
      </c>
      <c r="L45" s="255"/>
      <c r="M45" s="254" t="str">
        <f t="shared" si="3"/>
        <v/>
      </c>
      <c r="N45" s="851"/>
      <c r="O45" s="242"/>
      <c r="P45" s="243"/>
      <c r="Q45" s="242"/>
      <c r="R45" s="243"/>
      <c r="S45" s="724" t="s">
        <v>21</v>
      </c>
      <c r="T45" s="725" t="s">
        <v>21</v>
      </c>
      <c r="U45" s="724" t="s">
        <v>21</v>
      </c>
      <c r="V45" s="726" t="s">
        <v>21</v>
      </c>
      <c r="W45" s="216" t="s">
        <v>206</v>
      </c>
      <c r="AB45" s="2" t="str">
        <f t="shared" si="5"/>
        <v/>
      </c>
    </row>
    <row r="46" spans="1:28" ht="15" customHeight="1">
      <c r="A46" s="20" t="str">
        <f t="shared" si="0"/>
        <v/>
      </c>
      <c r="B46" s="1007"/>
      <c r="C46" s="1009"/>
      <c r="D46" s="1001"/>
      <c r="E46" s="961" t="s">
        <v>166</v>
      </c>
      <c r="F46" s="251"/>
      <c r="G46" s="252"/>
      <c r="H46" s="253"/>
      <c r="I46" s="747"/>
      <c r="J46" s="255"/>
      <c r="K46" s="254"/>
      <c r="L46" s="255"/>
      <c r="M46" s="254"/>
      <c r="N46" s="851"/>
      <c r="O46" s="242"/>
      <c r="P46" s="243"/>
      <c r="Q46" s="242"/>
      <c r="R46" s="243"/>
      <c r="S46" s="724" t="s">
        <v>21</v>
      </c>
      <c r="T46" s="725" t="s">
        <v>21</v>
      </c>
      <c r="U46" s="724" t="s">
        <v>21</v>
      </c>
      <c r="V46" s="726" t="s">
        <v>21</v>
      </c>
      <c r="W46" s="216"/>
    </row>
    <row r="47" spans="1:28" ht="15" customHeight="1">
      <c r="A47" s="20" t="str">
        <f t="shared" si="0"/>
        <v/>
      </c>
      <c r="B47" s="1007"/>
      <c r="C47" s="1009"/>
      <c r="D47" s="1001"/>
      <c r="E47" s="961" t="s">
        <v>166</v>
      </c>
      <c r="F47" s="251"/>
      <c r="G47" s="252"/>
      <c r="H47" s="253"/>
      <c r="I47" s="747"/>
      <c r="J47" s="255"/>
      <c r="K47" s="254"/>
      <c r="L47" s="255"/>
      <c r="M47" s="254"/>
      <c r="N47" s="851"/>
      <c r="O47" s="242"/>
      <c r="P47" s="243"/>
      <c r="Q47" s="242"/>
      <c r="R47" s="243"/>
      <c r="S47" s="724" t="s">
        <v>21</v>
      </c>
      <c r="T47" s="725" t="s">
        <v>21</v>
      </c>
      <c r="U47" s="724" t="s">
        <v>21</v>
      </c>
      <c r="V47" s="726" t="s">
        <v>21</v>
      </c>
      <c r="W47" s="216"/>
    </row>
    <row r="48" spans="1:28" ht="15" customHeight="1">
      <c r="A48" s="20" t="str">
        <f t="shared" si="0"/>
        <v/>
      </c>
      <c r="B48" s="1007"/>
      <c r="C48" s="1009"/>
      <c r="D48" s="1001"/>
      <c r="E48" s="962" t="s">
        <v>166</v>
      </c>
      <c r="F48" s="459"/>
      <c r="G48" s="257"/>
      <c r="H48" s="258"/>
      <c r="I48" s="748"/>
      <c r="J48" s="260"/>
      <c r="K48" s="259"/>
      <c r="L48" s="260"/>
      <c r="M48" s="259"/>
      <c r="N48" s="856"/>
      <c r="O48" s="244"/>
      <c r="P48" s="245"/>
      <c r="Q48" s="244"/>
      <c r="R48" s="245"/>
      <c r="S48" s="727" t="s">
        <v>21</v>
      </c>
      <c r="T48" s="728" t="s">
        <v>21</v>
      </c>
      <c r="U48" s="727" t="s">
        <v>21</v>
      </c>
      <c r="V48" s="729" t="s">
        <v>21</v>
      </c>
      <c r="W48" s="216"/>
    </row>
    <row r="49" spans="1:28" ht="15.75">
      <c r="A49" s="20" t="str">
        <f t="shared" si="0"/>
        <v>S</v>
      </c>
      <c r="B49" s="1007"/>
      <c r="C49" s="1010"/>
      <c r="D49" s="332" t="s">
        <v>138</v>
      </c>
      <c r="E49" s="896"/>
      <c r="F49" s="16"/>
      <c r="G49" s="7">
        <f>SUM(G35:G48)</f>
        <v>0</v>
      </c>
      <c r="H49" s="8">
        <f>SUM(H35:H48)</f>
        <v>0</v>
      </c>
      <c r="I49" s="9" t="e">
        <f>J49/G49</f>
        <v>#DIV/0!</v>
      </c>
      <c r="J49" s="213">
        <f>SUM(J35:J48)</f>
        <v>0</v>
      </c>
      <c r="K49" s="9" t="e">
        <f t="shared" si="2"/>
        <v>#DIV/0!</v>
      </c>
      <c r="L49" s="213">
        <f>SUM(L35:L48)</f>
        <v>0</v>
      </c>
      <c r="M49" s="9" t="e">
        <f t="shared" si="3"/>
        <v>#DIV/0!</v>
      </c>
      <c r="N49" s="213">
        <f t="shared" ref="N49:V49" si="19">SUM(N35:N48)</f>
        <v>0</v>
      </c>
      <c r="O49" s="120">
        <f t="shared" si="19"/>
        <v>0</v>
      </c>
      <c r="P49" s="121">
        <f t="shared" si="19"/>
        <v>0</v>
      </c>
      <c r="Q49" s="120">
        <f t="shared" si="19"/>
        <v>0</v>
      </c>
      <c r="R49" s="121">
        <f t="shared" si="19"/>
        <v>0</v>
      </c>
      <c r="S49" s="120">
        <f t="shared" si="19"/>
        <v>0</v>
      </c>
      <c r="T49" s="121">
        <f t="shared" si="19"/>
        <v>0</v>
      </c>
      <c r="U49" s="120">
        <f t="shared" si="19"/>
        <v>0</v>
      </c>
      <c r="V49" s="122">
        <f t="shared" si="19"/>
        <v>0</v>
      </c>
      <c r="W49" s="216" t="s">
        <v>206</v>
      </c>
      <c r="AB49" s="2">
        <f t="shared" si="5"/>
        <v>0</v>
      </c>
    </row>
    <row r="50" spans="1:28">
      <c r="A50" s="20" t="str">
        <f>IF(D50="Sous-total","S",IF(G50="","","X"))</f>
        <v>X</v>
      </c>
      <c r="B50" s="1007" t="s">
        <v>83</v>
      </c>
      <c r="C50" s="1009" t="s">
        <v>75</v>
      </c>
      <c r="D50" s="991">
        <v>9</v>
      </c>
      <c r="E50" s="901" t="s">
        <v>10</v>
      </c>
      <c r="F50" s="246" t="s">
        <v>60</v>
      </c>
      <c r="G50" s="247">
        <v>81</v>
      </c>
      <c r="H50" s="248">
        <v>54</v>
      </c>
      <c r="I50" s="439">
        <f>IF(J50="","",J50/G50)</f>
        <v>0.59259259259259256</v>
      </c>
      <c r="J50" s="248">
        <v>48</v>
      </c>
      <c r="K50" s="249">
        <f>IF(L50="","",L50/G50)</f>
        <v>0.30864197530864196</v>
      </c>
      <c r="L50" s="250">
        <v>25</v>
      </c>
      <c r="M50" s="249">
        <f>IF(N50="","",N50/L50)</f>
        <v>0.8</v>
      </c>
      <c r="N50" s="846">
        <v>20</v>
      </c>
      <c r="O50" s="240">
        <v>0</v>
      </c>
      <c r="P50" s="241">
        <v>0</v>
      </c>
      <c r="Q50" s="240">
        <v>3</v>
      </c>
      <c r="R50" s="241">
        <v>2</v>
      </c>
      <c r="S50" s="721" t="s">
        <v>21</v>
      </c>
      <c r="T50" s="722" t="s">
        <v>21</v>
      </c>
      <c r="U50" s="721" t="s">
        <v>21</v>
      </c>
      <c r="V50" s="723" t="s">
        <v>21</v>
      </c>
      <c r="W50" s="216" t="s">
        <v>206</v>
      </c>
      <c r="AB50" s="2" t="str">
        <f t="shared" si="5"/>
        <v>France</v>
      </c>
    </row>
    <row r="51" spans="1:28">
      <c r="A51" s="20" t="str">
        <f t="shared" ref="A51:A113" si="20">IF(D51="Sous-total","S",IF(G51="","","X"))</f>
        <v>X</v>
      </c>
      <c r="B51" s="1007"/>
      <c r="C51" s="1009"/>
      <c r="D51" s="991"/>
      <c r="E51" s="902" t="s">
        <v>11</v>
      </c>
      <c r="F51" s="251" t="s">
        <v>60</v>
      </c>
      <c r="G51" s="252">
        <v>50</v>
      </c>
      <c r="H51" s="253">
        <v>29</v>
      </c>
      <c r="I51" s="448">
        <f t="shared" ref="I51:I60" si="21">IF(J51="","",J51/G51)</f>
        <v>0.5</v>
      </c>
      <c r="J51" s="253">
        <v>25</v>
      </c>
      <c r="K51" s="254">
        <f t="shared" ref="K51:K128" si="22">IF(L51="","",L51/G51)</f>
        <v>0.28000000000000003</v>
      </c>
      <c r="L51" s="255">
        <v>14.000000000000002</v>
      </c>
      <c r="M51" s="254">
        <f t="shared" ref="M51:M128" si="23">IF(N51="","",N51/L51)</f>
        <v>0.85714285714285698</v>
      </c>
      <c r="N51" s="851">
        <v>12</v>
      </c>
      <c r="O51" s="242">
        <v>0</v>
      </c>
      <c r="P51" s="243">
        <v>0</v>
      </c>
      <c r="Q51" s="242" t="s">
        <v>21</v>
      </c>
      <c r="R51" s="243" t="s">
        <v>21</v>
      </c>
      <c r="S51" s="724" t="s">
        <v>21</v>
      </c>
      <c r="T51" s="725" t="s">
        <v>21</v>
      </c>
      <c r="U51" s="724" t="s">
        <v>21</v>
      </c>
      <c r="V51" s="726" t="s">
        <v>21</v>
      </c>
      <c r="W51" s="216" t="s">
        <v>206</v>
      </c>
      <c r="AB51" s="2" t="str">
        <f t="shared" si="5"/>
        <v>France</v>
      </c>
    </row>
    <row r="52" spans="1:28">
      <c r="A52" s="20" t="str">
        <f t="shared" si="20"/>
        <v/>
      </c>
      <c r="B52" s="1007"/>
      <c r="C52" s="1009"/>
      <c r="D52" s="991"/>
      <c r="E52" s="902" t="s">
        <v>12</v>
      </c>
      <c r="F52" s="251" t="s">
        <v>60</v>
      </c>
      <c r="G52" s="252"/>
      <c r="H52" s="253"/>
      <c r="I52" s="448" t="str">
        <f t="shared" si="21"/>
        <v/>
      </c>
      <c r="J52" s="253"/>
      <c r="K52" s="254" t="str">
        <f t="shared" si="22"/>
        <v/>
      </c>
      <c r="L52" s="255"/>
      <c r="M52" s="254" t="str">
        <f t="shared" si="23"/>
        <v/>
      </c>
      <c r="N52" s="851" t="s">
        <v>203</v>
      </c>
      <c r="O52" s="242"/>
      <c r="P52" s="243"/>
      <c r="Q52" s="242"/>
      <c r="R52" s="243"/>
      <c r="S52" s="724" t="s">
        <v>21</v>
      </c>
      <c r="T52" s="725" t="s">
        <v>21</v>
      </c>
      <c r="U52" s="724" t="s">
        <v>21</v>
      </c>
      <c r="V52" s="726" t="s">
        <v>21</v>
      </c>
      <c r="W52" s="216" t="s">
        <v>206</v>
      </c>
      <c r="AB52" s="2" t="str">
        <f t="shared" si="5"/>
        <v/>
      </c>
    </row>
    <row r="53" spans="1:28">
      <c r="A53" s="20" t="str">
        <f t="shared" si="20"/>
        <v/>
      </c>
      <c r="B53" s="1007"/>
      <c r="C53" s="1009"/>
      <c r="D53" s="991"/>
      <c r="E53" s="902" t="s">
        <v>7</v>
      </c>
      <c r="F53" s="251" t="s">
        <v>60</v>
      </c>
      <c r="G53" s="252"/>
      <c r="H53" s="253"/>
      <c r="I53" s="448" t="str">
        <f t="shared" si="21"/>
        <v/>
      </c>
      <c r="J53" s="253"/>
      <c r="K53" s="254" t="str">
        <f t="shared" si="22"/>
        <v/>
      </c>
      <c r="L53" s="255"/>
      <c r="M53" s="254" t="str">
        <f t="shared" si="23"/>
        <v/>
      </c>
      <c r="N53" s="851" t="s">
        <v>203</v>
      </c>
      <c r="O53" s="242"/>
      <c r="P53" s="243"/>
      <c r="Q53" s="242"/>
      <c r="R53" s="243"/>
      <c r="S53" s="724" t="s">
        <v>21</v>
      </c>
      <c r="T53" s="725" t="s">
        <v>21</v>
      </c>
      <c r="U53" s="724" t="s">
        <v>21</v>
      </c>
      <c r="V53" s="726" t="s">
        <v>21</v>
      </c>
      <c r="W53" s="216" t="s">
        <v>206</v>
      </c>
      <c r="AB53" s="2" t="str">
        <f t="shared" si="5"/>
        <v/>
      </c>
    </row>
    <row r="54" spans="1:28">
      <c r="A54" s="20" t="str">
        <f t="shared" si="20"/>
        <v>X</v>
      </c>
      <c r="B54" s="1007"/>
      <c r="C54" s="1009"/>
      <c r="D54" s="991"/>
      <c r="E54" s="902" t="s">
        <v>132</v>
      </c>
      <c r="F54" s="251" t="s">
        <v>60</v>
      </c>
      <c r="G54" s="252">
        <v>26</v>
      </c>
      <c r="H54" s="253">
        <v>13</v>
      </c>
      <c r="I54" s="448">
        <f t="shared" si="21"/>
        <v>0.61538461538461542</v>
      </c>
      <c r="J54" s="253">
        <v>16</v>
      </c>
      <c r="K54" s="254">
        <f t="shared" si="22"/>
        <v>0.15384615384615385</v>
      </c>
      <c r="L54" s="255">
        <v>4</v>
      </c>
      <c r="M54" s="254">
        <f t="shared" si="23"/>
        <v>1</v>
      </c>
      <c r="N54" s="851">
        <v>4</v>
      </c>
      <c r="O54" s="242"/>
      <c r="P54" s="243"/>
      <c r="Q54" s="242"/>
      <c r="R54" s="243"/>
      <c r="S54" s="724" t="s">
        <v>21</v>
      </c>
      <c r="T54" s="725" t="s">
        <v>21</v>
      </c>
      <c r="U54" s="724" t="s">
        <v>21</v>
      </c>
      <c r="V54" s="726" t="s">
        <v>21</v>
      </c>
      <c r="W54" s="216" t="s">
        <v>206</v>
      </c>
      <c r="AB54" s="2" t="str">
        <f t="shared" si="5"/>
        <v>France</v>
      </c>
    </row>
    <row r="55" spans="1:28">
      <c r="A55" s="20" t="str">
        <f t="shared" si="20"/>
        <v/>
      </c>
      <c r="B55" s="1007"/>
      <c r="C55" s="1009"/>
      <c r="D55" s="991"/>
      <c r="E55" s="902" t="s">
        <v>8</v>
      </c>
      <c r="F55" s="251" t="s">
        <v>60</v>
      </c>
      <c r="G55" s="252"/>
      <c r="H55" s="253"/>
      <c r="I55" s="448" t="str">
        <f t="shared" si="21"/>
        <v/>
      </c>
      <c r="J55" s="253"/>
      <c r="K55" s="254" t="str">
        <f t="shared" si="22"/>
        <v/>
      </c>
      <c r="L55" s="255"/>
      <c r="M55" s="254" t="str">
        <f t="shared" si="23"/>
        <v/>
      </c>
      <c r="N55" s="851" t="s">
        <v>203</v>
      </c>
      <c r="O55" s="242"/>
      <c r="P55" s="243"/>
      <c r="Q55" s="242"/>
      <c r="R55" s="243"/>
      <c r="S55" s="724" t="s">
        <v>21</v>
      </c>
      <c r="T55" s="725" t="s">
        <v>21</v>
      </c>
      <c r="U55" s="724" t="s">
        <v>21</v>
      </c>
      <c r="V55" s="726" t="s">
        <v>21</v>
      </c>
      <c r="W55" s="216" t="s">
        <v>206</v>
      </c>
      <c r="AB55" s="2" t="str">
        <f t="shared" si="5"/>
        <v/>
      </c>
    </row>
    <row r="56" spans="1:28">
      <c r="A56" s="20" t="str">
        <f t="shared" si="20"/>
        <v>X</v>
      </c>
      <c r="B56" s="1007"/>
      <c r="C56" s="1009"/>
      <c r="D56" s="991"/>
      <c r="E56" s="902" t="s">
        <v>6</v>
      </c>
      <c r="F56" s="251" t="s">
        <v>60</v>
      </c>
      <c r="G56" s="252">
        <v>27</v>
      </c>
      <c r="H56" s="253">
        <v>17</v>
      </c>
      <c r="I56" s="448">
        <f t="shared" si="21"/>
        <v>0.44444444444444442</v>
      </c>
      <c r="J56" s="253">
        <v>12</v>
      </c>
      <c r="K56" s="254">
        <f t="shared" si="22"/>
        <v>0.48148148148148145</v>
      </c>
      <c r="L56" s="255">
        <v>13</v>
      </c>
      <c r="M56" s="254">
        <f t="shared" si="23"/>
        <v>0.61538461538461542</v>
      </c>
      <c r="N56" s="851">
        <v>8</v>
      </c>
      <c r="O56" s="242">
        <v>0</v>
      </c>
      <c r="P56" s="243">
        <v>0</v>
      </c>
      <c r="Q56" s="242">
        <v>2</v>
      </c>
      <c r="R56" s="243">
        <v>2</v>
      </c>
      <c r="S56" s="724" t="s">
        <v>21</v>
      </c>
      <c r="T56" s="725" t="s">
        <v>21</v>
      </c>
      <c r="U56" s="724" t="s">
        <v>21</v>
      </c>
      <c r="V56" s="726" t="s">
        <v>21</v>
      </c>
      <c r="W56" s="216" t="s">
        <v>206</v>
      </c>
      <c r="AB56" s="2" t="str">
        <f t="shared" si="5"/>
        <v>France</v>
      </c>
    </row>
    <row r="57" spans="1:28" ht="15" customHeight="1">
      <c r="A57" s="20" t="str">
        <f t="shared" si="20"/>
        <v>X</v>
      </c>
      <c r="B57" s="1007"/>
      <c r="C57" s="1009"/>
      <c r="D57" s="991"/>
      <c r="E57" s="902" t="s">
        <v>228</v>
      </c>
      <c r="F57" s="251" t="s">
        <v>60</v>
      </c>
      <c r="G57" s="252">
        <v>65</v>
      </c>
      <c r="H57" s="253">
        <v>30</v>
      </c>
      <c r="I57" s="448">
        <f t="shared" si="21"/>
        <v>0.53846153846153844</v>
      </c>
      <c r="J57" s="253">
        <v>35</v>
      </c>
      <c r="K57" s="254">
        <f t="shared" si="22"/>
        <v>0.38461538461538464</v>
      </c>
      <c r="L57" s="255">
        <v>25</v>
      </c>
      <c r="M57" s="254">
        <f t="shared" si="23"/>
        <v>0.76</v>
      </c>
      <c r="N57" s="851">
        <v>19</v>
      </c>
      <c r="O57" s="242">
        <v>7</v>
      </c>
      <c r="P57" s="243">
        <v>5</v>
      </c>
      <c r="Q57" s="242" t="s">
        <v>21</v>
      </c>
      <c r="R57" s="243" t="s">
        <v>21</v>
      </c>
      <c r="S57" s="724" t="s">
        <v>21</v>
      </c>
      <c r="T57" s="725" t="s">
        <v>21</v>
      </c>
      <c r="U57" s="724" t="s">
        <v>21</v>
      </c>
      <c r="V57" s="726" t="s">
        <v>21</v>
      </c>
      <c r="W57" s="216" t="s">
        <v>206</v>
      </c>
      <c r="AB57" s="2" t="str">
        <f t="shared" si="5"/>
        <v>France</v>
      </c>
    </row>
    <row r="58" spans="1:28" ht="15" customHeight="1">
      <c r="A58" s="20" t="str">
        <f t="shared" si="20"/>
        <v>X</v>
      </c>
      <c r="B58" s="1007"/>
      <c r="C58" s="1009"/>
      <c r="D58" s="991"/>
      <c r="E58" s="902" t="s">
        <v>229</v>
      </c>
      <c r="F58" s="251" t="s">
        <v>60</v>
      </c>
      <c r="G58" s="252">
        <v>36</v>
      </c>
      <c r="H58" s="253">
        <v>25</v>
      </c>
      <c r="I58" s="448">
        <f t="shared" si="21"/>
        <v>0.66666666666666663</v>
      </c>
      <c r="J58" s="253">
        <v>24</v>
      </c>
      <c r="K58" s="254">
        <f t="shared" si="22"/>
        <v>0.33333333333333331</v>
      </c>
      <c r="L58" s="255">
        <v>12</v>
      </c>
      <c r="M58" s="254">
        <f t="shared" si="23"/>
        <v>0.75</v>
      </c>
      <c r="N58" s="851">
        <v>9</v>
      </c>
      <c r="O58" s="242">
        <v>5</v>
      </c>
      <c r="P58" s="243">
        <v>5</v>
      </c>
      <c r="Q58" s="242" t="s">
        <v>21</v>
      </c>
      <c r="R58" s="243" t="s">
        <v>21</v>
      </c>
      <c r="S58" s="724" t="s">
        <v>21</v>
      </c>
      <c r="T58" s="725" t="s">
        <v>21</v>
      </c>
      <c r="U58" s="724" t="s">
        <v>21</v>
      </c>
      <c r="V58" s="726" t="s">
        <v>21</v>
      </c>
      <c r="W58" s="216" t="s">
        <v>206</v>
      </c>
      <c r="AB58" s="2" t="str">
        <f t="shared" si="5"/>
        <v>France</v>
      </c>
    </row>
    <row r="59" spans="1:28">
      <c r="A59" s="20" t="str">
        <f t="shared" si="20"/>
        <v>X</v>
      </c>
      <c r="B59" s="1007"/>
      <c r="C59" s="1009"/>
      <c r="D59" s="991"/>
      <c r="E59" s="902" t="s">
        <v>198</v>
      </c>
      <c r="F59" s="251" t="s">
        <v>60</v>
      </c>
      <c r="G59" s="252">
        <v>28</v>
      </c>
      <c r="H59" s="253">
        <v>20</v>
      </c>
      <c r="I59" s="448">
        <f t="shared" si="21"/>
        <v>0.5357142857142857</v>
      </c>
      <c r="J59" s="253">
        <v>15</v>
      </c>
      <c r="K59" s="254">
        <f t="shared" si="22"/>
        <v>0.21428571428571427</v>
      </c>
      <c r="L59" s="255">
        <v>6</v>
      </c>
      <c r="M59" s="254">
        <f t="shared" si="23"/>
        <v>1</v>
      </c>
      <c r="N59" s="851">
        <v>6</v>
      </c>
      <c r="O59" s="242"/>
      <c r="P59" s="243"/>
      <c r="Q59" s="242"/>
      <c r="R59" s="243"/>
      <c r="S59" s="724" t="s">
        <v>21</v>
      </c>
      <c r="T59" s="725" t="s">
        <v>21</v>
      </c>
      <c r="U59" s="724" t="s">
        <v>21</v>
      </c>
      <c r="V59" s="726" t="s">
        <v>21</v>
      </c>
      <c r="W59" s="216" t="s">
        <v>206</v>
      </c>
      <c r="AB59" s="2" t="str">
        <f t="shared" si="5"/>
        <v>France</v>
      </c>
    </row>
    <row r="60" spans="1:28">
      <c r="A60" s="20" t="str">
        <f t="shared" si="20"/>
        <v>X</v>
      </c>
      <c r="B60" s="1007"/>
      <c r="C60" s="1009"/>
      <c r="D60" s="991"/>
      <c r="E60" s="902" t="s">
        <v>9</v>
      </c>
      <c r="F60" s="251" t="s">
        <v>60</v>
      </c>
      <c r="G60" s="252">
        <v>43</v>
      </c>
      <c r="H60" s="253">
        <v>28</v>
      </c>
      <c r="I60" s="448">
        <f t="shared" si="21"/>
        <v>0.34883720930232559</v>
      </c>
      <c r="J60" s="253">
        <v>15</v>
      </c>
      <c r="K60" s="254">
        <f t="shared" si="22"/>
        <v>0.39534883720930231</v>
      </c>
      <c r="L60" s="255">
        <v>17</v>
      </c>
      <c r="M60" s="254">
        <f t="shared" si="23"/>
        <v>0.17647058823529413</v>
      </c>
      <c r="N60" s="851">
        <v>3</v>
      </c>
      <c r="O60" s="242">
        <v>5</v>
      </c>
      <c r="P60" s="243">
        <v>5</v>
      </c>
      <c r="Q60" s="242">
        <v>19</v>
      </c>
      <c r="R60" s="243">
        <v>15</v>
      </c>
      <c r="S60" s="724" t="s">
        <v>21</v>
      </c>
      <c r="T60" s="725" t="s">
        <v>21</v>
      </c>
      <c r="U60" s="724" t="s">
        <v>21</v>
      </c>
      <c r="V60" s="726" t="s">
        <v>21</v>
      </c>
      <c r="W60" s="216" t="s">
        <v>206</v>
      </c>
      <c r="AB60" s="2" t="str">
        <f t="shared" si="5"/>
        <v>France</v>
      </c>
    </row>
    <row r="61" spans="1:28" ht="15.75" customHeight="1">
      <c r="A61" s="20" t="str">
        <f t="shared" si="20"/>
        <v/>
      </c>
      <c r="B61" s="1007"/>
      <c r="C61" s="1009"/>
      <c r="D61" s="991"/>
      <c r="E61" s="905" t="s">
        <v>166</v>
      </c>
      <c r="F61" s="251"/>
      <c r="G61" s="252"/>
      <c r="H61" s="253"/>
      <c r="I61" s="747"/>
      <c r="J61" s="253"/>
      <c r="K61" s="254"/>
      <c r="L61" s="255"/>
      <c r="M61" s="254"/>
      <c r="N61" s="851"/>
      <c r="O61" s="242"/>
      <c r="P61" s="243"/>
      <c r="Q61" s="242"/>
      <c r="R61" s="243"/>
      <c r="S61" s="724" t="s">
        <v>21</v>
      </c>
      <c r="T61" s="725" t="s">
        <v>21</v>
      </c>
      <c r="U61" s="724" t="s">
        <v>21</v>
      </c>
      <c r="V61" s="726" t="s">
        <v>21</v>
      </c>
      <c r="W61" s="216" t="s">
        <v>206</v>
      </c>
    </row>
    <row r="62" spans="1:28" ht="15.75" customHeight="1">
      <c r="A62" s="20" t="str">
        <f t="shared" si="20"/>
        <v/>
      </c>
      <c r="B62" s="1007"/>
      <c r="C62" s="1009"/>
      <c r="D62" s="991"/>
      <c r="E62" s="905" t="s">
        <v>166</v>
      </c>
      <c r="F62" s="251"/>
      <c r="G62" s="252"/>
      <c r="H62" s="253"/>
      <c r="I62" s="747"/>
      <c r="J62" s="253"/>
      <c r="K62" s="254"/>
      <c r="L62" s="255"/>
      <c r="M62" s="254"/>
      <c r="N62" s="851"/>
      <c r="O62" s="242"/>
      <c r="P62" s="243"/>
      <c r="Q62" s="242"/>
      <c r="R62" s="243"/>
      <c r="S62" s="724" t="s">
        <v>21</v>
      </c>
      <c r="T62" s="725" t="s">
        <v>21</v>
      </c>
      <c r="U62" s="724" t="s">
        <v>21</v>
      </c>
      <c r="V62" s="726" t="s">
        <v>21</v>
      </c>
      <c r="W62" s="216" t="s">
        <v>206</v>
      </c>
    </row>
    <row r="63" spans="1:28" ht="15.75" customHeight="1">
      <c r="A63" s="20" t="str">
        <f t="shared" si="20"/>
        <v/>
      </c>
      <c r="B63" s="1007"/>
      <c r="C63" s="1009"/>
      <c r="D63" s="991"/>
      <c r="E63" s="907" t="s">
        <v>166</v>
      </c>
      <c r="F63" s="459"/>
      <c r="G63" s="257"/>
      <c r="H63" s="258"/>
      <c r="I63" s="748"/>
      <c r="J63" s="258"/>
      <c r="K63" s="259"/>
      <c r="L63" s="260"/>
      <c r="M63" s="259"/>
      <c r="N63" s="856"/>
      <c r="O63" s="244"/>
      <c r="P63" s="245"/>
      <c r="Q63" s="244"/>
      <c r="R63" s="245"/>
      <c r="S63" s="727" t="s">
        <v>21</v>
      </c>
      <c r="T63" s="728" t="s">
        <v>21</v>
      </c>
      <c r="U63" s="727" t="s">
        <v>21</v>
      </c>
      <c r="V63" s="729" t="s">
        <v>21</v>
      </c>
      <c r="W63" s="216" t="s">
        <v>206</v>
      </c>
    </row>
    <row r="64" spans="1:28" ht="16.5" thickBot="1">
      <c r="A64" s="20" t="str">
        <f t="shared" si="20"/>
        <v>S</v>
      </c>
      <c r="B64" s="1008"/>
      <c r="C64" s="1011"/>
      <c r="D64" s="334" t="s">
        <v>138</v>
      </c>
      <c r="E64" s="913"/>
      <c r="F64" s="231"/>
      <c r="G64" s="7">
        <f>SUM(G50:G63)</f>
        <v>356</v>
      </c>
      <c r="H64" s="8">
        <f>SUM(H50:H63)</f>
        <v>216</v>
      </c>
      <c r="I64" s="9">
        <f>IF(J64="","",J64/G64)</f>
        <v>0.5337078651685393</v>
      </c>
      <c r="J64" s="213">
        <f>SUM(J50:J63)</f>
        <v>190</v>
      </c>
      <c r="K64" s="9">
        <f t="shared" si="22"/>
        <v>0.3258426966292135</v>
      </c>
      <c r="L64" s="213">
        <f>SUM(L50:L63)</f>
        <v>116</v>
      </c>
      <c r="M64" s="9">
        <f t="shared" si="23"/>
        <v>0.69827586206896552</v>
      </c>
      <c r="N64" s="213">
        <f t="shared" ref="N64:V64" si="24">SUM(N50:N63)</f>
        <v>81</v>
      </c>
      <c r="O64" s="542">
        <f t="shared" si="24"/>
        <v>17</v>
      </c>
      <c r="P64" s="543">
        <f t="shared" si="24"/>
        <v>15</v>
      </c>
      <c r="Q64" s="542">
        <f t="shared" si="24"/>
        <v>24</v>
      </c>
      <c r="R64" s="543">
        <f t="shared" si="24"/>
        <v>19</v>
      </c>
      <c r="S64" s="542">
        <f t="shared" si="24"/>
        <v>0</v>
      </c>
      <c r="T64" s="543">
        <f t="shared" si="24"/>
        <v>0</v>
      </c>
      <c r="U64" s="542">
        <f t="shared" si="24"/>
        <v>0</v>
      </c>
      <c r="V64" s="544">
        <f t="shared" si="24"/>
        <v>0</v>
      </c>
      <c r="W64" s="216" t="s">
        <v>206</v>
      </c>
      <c r="AB64" s="2">
        <f t="shared" si="5"/>
        <v>0</v>
      </c>
    </row>
    <row r="65" spans="1:28" s="15" customFormat="1" ht="27.75" customHeight="1" thickBot="1">
      <c r="A65" s="20" t="str">
        <f t="shared" si="20"/>
        <v>X</v>
      </c>
      <c r="B65" s="565" t="s">
        <v>78</v>
      </c>
      <c r="C65" s="564"/>
      <c r="D65" s="564">
        <f>SUM(D5:D60)</f>
        <v>40</v>
      </c>
      <c r="E65" s="895" t="s">
        <v>79</v>
      </c>
      <c r="F65" s="396"/>
      <c r="G65" s="364">
        <f>G8+G12+G34+G49+G64</f>
        <v>532</v>
      </c>
      <c r="H65" s="365">
        <f>H8+H12+H34+H49+H64</f>
        <v>216</v>
      </c>
      <c r="I65" s="366">
        <f t="shared" ref="I65:I142" si="25">IF(J65="","",J65/G65)</f>
        <v>0.44172932330827069</v>
      </c>
      <c r="J65" s="34">
        <f>J8+J12+J34+J49+J64</f>
        <v>235</v>
      </c>
      <c r="K65" s="230">
        <f t="shared" si="22"/>
        <v>0.33082706766917291</v>
      </c>
      <c r="L65" s="34">
        <f>L8+L12+L34+L49+L64</f>
        <v>176</v>
      </c>
      <c r="M65" s="366">
        <f t="shared" si="23"/>
        <v>0.55113636363636365</v>
      </c>
      <c r="N65" s="34">
        <f t="shared" ref="N65:V65" si="26">N8+N12+N34+N49+N64</f>
        <v>97</v>
      </c>
      <c r="O65" s="35">
        <f t="shared" si="26"/>
        <v>17</v>
      </c>
      <c r="P65" s="36">
        <f t="shared" si="26"/>
        <v>15</v>
      </c>
      <c r="Q65" s="35">
        <f t="shared" si="26"/>
        <v>24</v>
      </c>
      <c r="R65" s="36">
        <f t="shared" si="26"/>
        <v>19</v>
      </c>
      <c r="S65" s="285">
        <f t="shared" si="26"/>
        <v>0</v>
      </c>
      <c r="T65" s="284">
        <f t="shared" si="26"/>
        <v>0</v>
      </c>
      <c r="U65" s="285">
        <f t="shared" si="26"/>
        <v>0</v>
      </c>
      <c r="V65" s="363">
        <f t="shared" si="26"/>
        <v>0</v>
      </c>
      <c r="W65" s="516" t="s">
        <v>206</v>
      </c>
      <c r="X65" s="386"/>
      <c r="Y65" s="1"/>
      <c r="AB65" s="2">
        <f t="shared" si="5"/>
        <v>0</v>
      </c>
    </row>
    <row r="66" spans="1:28" ht="15" customHeight="1">
      <c r="A66" s="20" t="str">
        <f t="shared" si="20"/>
        <v/>
      </c>
      <c r="B66" s="1012" t="s">
        <v>84</v>
      </c>
      <c r="C66" s="1015" t="s">
        <v>76</v>
      </c>
      <c r="D66" s="1002">
        <v>10</v>
      </c>
      <c r="E66" s="921" t="s">
        <v>25</v>
      </c>
      <c r="F66" s="503" t="s">
        <v>60</v>
      </c>
      <c r="G66" s="247"/>
      <c r="H66" s="248"/>
      <c r="I66" s="249" t="str">
        <f t="shared" si="25"/>
        <v/>
      </c>
      <c r="J66" s="250"/>
      <c r="K66" s="249" t="str">
        <f t="shared" si="22"/>
        <v/>
      </c>
      <c r="L66" s="250"/>
      <c r="M66" s="249" t="str">
        <f t="shared" si="23"/>
        <v/>
      </c>
      <c r="N66" s="846"/>
      <c r="O66" s="240"/>
      <c r="P66" s="241"/>
      <c r="Q66" s="240"/>
      <c r="R66" s="241"/>
      <c r="S66" s="721"/>
      <c r="T66" s="722"/>
      <c r="U66" s="721"/>
      <c r="V66" s="723"/>
      <c r="W66" s="516" t="s">
        <v>206</v>
      </c>
      <c r="AB66" s="2" t="str">
        <f t="shared" si="5"/>
        <v/>
      </c>
    </row>
    <row r="67" spans="1:28" ht="15" customHeight="1">
      <c r="A67" s="20" t="str">
        <f t="shared" si="20"/>
        <v/>
      </c>
      <c r="B67" s="1013"/>
      <c r="C67" s="1016"/>
      <c r="D67" s="994"/>
      <c r="E67" s="905" t="s">
        <v>26</v>
      </c>
      <c r="F67" s="438" t="s">
        <v>60</v>
      </c>
      <c r="G67" s="252"/>
      <c r="H67" s="253"/>
      <c r="I67" s="254" t="str">
        <f t="shared" si="25"/>
        <v/>
      </c>
      <c r="J67" s="255"/>
      <c r="K67" s="254" t="str">
        <f t="shared" si="22"/>
        <v/>
      </c>
      <c r="L67" s="255"/>
      <c r="M67" s="254" t="str">
        <f t="shared" si="23"/>
        <v/>
      </c>
      <c r="N67" s="851"/>
      <c r="O67" s="242"/>
      <c r="P67" s="243"/>
      <c r="Q67" s="242"/>
      <c r="R67" s="243"/>
      <c r="S67" s="724"/>
      <c r="T67" s="725"/>
      <c r="U67" s="724"/>
      <c r="V67" s="726"/>
      <c r="W67" s="516" t="s">
        <v>206</v>
      </c>
      <c r="AB67" s="2" t="str">
        <f t="shared" si="5"/>
        <v/>
      </c>
    </row>
    <row r="68" spans="1:28" ht="15" customHeight="1">
      <c r="A68" s="20" t="str">
        <f t="shared" si="20"/>
        <v/>
      </c>
      <c r="B68" s="1013"/>
      <c r="C68" s="1016"/>
      <c r="D68" s="994"/>
      <c r="E68" s="905" t="s">
        <v>58</v>
      </c>
      <c r="F68" s="438" t="s">
        <v>60</v>
      </c>
      <c r="G68" s="252"/>
      <c r="H68" s="253"/>
      <c r="I68" s="254" t="str">
        <f t="shared" si="25"/>
        <v/>
      </c>
      <c r="J68" s="255"/>
      <c r="K68" s="254" t="str">
        <f t="shared" si="22"/>
        <v/>
      </c>
      <c r="L68" s="255"/>
      <c r="M68" s="254" t="str">
        <f t="shared" si="23"/>
        <v/>
      </c>
      <c r="N68" s="851"/>
      <c r="O68" s="242"/>
      <c r="P68" s="243"/>
      <c r="Q68" s="242"/>
      <c r="R68" s="243"/>
      <c r="S68" s="724" t="s">
        <v>21</v>
      </c>
      <c r="T68" s="725" t="s">
        <v>21</v>
      </c>
      <c r="U68" s="724" t="s">
        <v>21</v>
      </c>
      <c r="V68" s="726" t="s">
        <v>21</v>
      </c>
      <c r="W68" s="516" t="s">
        <v>206</v>
      </c>
      <c r="AB68" s="2" t="str">
        <f t="shared" si="5"/>
        <v/>
      </c>
    </row>
    <row r="69" spans="1:28" ht="15" customHeight="1">
      <c r="A69" s="20" t="str">
        <f t="shared" si="20"/>
        <v/>
      </c>
      <c r="B69" s="1013"/>
      <c r="C69" s="1016"/>
      <c r="D69" s="994"/>
      <c r="E69" s="905" t="s">
        <v>24</v>
      </c>
      <c r="F69" s="438" t="s">
        <v>62</v>
      </c>
      <c r="G69" s="252"/>
      <c r="H69" s="253"/>
      <c r="I69" s="254" t="str">
        <f t="shared" si="25"/>
        <v/>
      </c>
      <c r="J69" s="255"/>
      <c r="K69" s="254" t="str">
        <f t="shared" si="22"/>
        <v/>
      </c>
      <c r="L69" s="255"/>
      <c r="M69" s="254" t="str">
        <f t="shared" si="23"/>
        <v/>
      </c>
      <c r="N69" s="851"/>
      <c r="O69" s="242"/>
      <c r="P69" s="243"/>
      <c r="Q69" s="242"/>
      <c r="R69" s="243"/>
      <c r="S69" s="724"/>
      <c r="T69" s="725"/>
      <c r="U69" s="724"/>
      <c r="V69" s="726"/>
      <c r="W69" s="516" t="s">
        <v>206</v>
      </c>
      <c r="AB69" s="2" t="str">
        <f t="shared" si="5"/>
        <v/>
      </c>
    </row>
    <row r="70" spans="1:28" ht="15" customHeight="1">
      <c r="A70" s="20" t="str">
        <f t="shared" si="20"/>
        <v/>
      </c>
      <c r="B70" s="1013"/>
      <c r="C70" s="1016"/>
      <c r="D70" s="994"/>
      <c r="E70" s="905" t="s">
        <v>23</v>
      </c>
      <c r="F70" s="438" t="s">
        <v>60</v>
      </c>
      <c r="G70" s="252"/>
      <c r="H70" s="253"/>
      <c r="I70" s="254" t="str">
        <f t="shared" si="25"/>
        <v/>
      </c>
      <c r="J70" s="255"/>
      <c r="K70" s="254" t="str">
        <f t="shared" si="22"/>
        <v/>
      </c>
      <c r="L70" s="255"/>
      <c r="M70" s="254" t="str">
        <f t="shared" si="23"/>
        <v/>
      </c>
      <c r="N70" s="851"/>
      <c r="O70" s="242"/>
      <c r="P70" s="243"/>
      <c r="Q70" s="242"/>
      <c r="R70" s="243"/>
      <c r="S70" s="724" t="s">
        <v>21</v>
      </c>
      <c r="T70" s="725" t="s">
        <v>21</v>
      </c>
      <c r="U70" s="724" t="s">
        <v>21</v>
      </c>
      <c r="V70" s="726" t="s">
        <v>21</v>
      </c>
      <c r="W70" s="516" t="s">
        <v>206</v>
      </c>
      <c r="AB70" s="2" t="str">
        <f t="shared" si="5"/>
        <v/>
      </c>
    </row>
    <row r="71" spans="1:28" ht="15" customHeight="1">
      <c r="A71" s="20" t="str">
        <f t="shared" si="20"/>
        <v/>
      </c>
      <c r="B71" s="1013"/>
      <c r="C71" s="1016"/>
      <c r="D71" s="994"/>
      <c r="E71" s="961" t="s">
        <v>166</v>
      </c>
      <c r="F71" s="438" t="s">
        <v>203</v>
      </c>
      <c r="G71" s="252"/>
      <c r="H71" s="253"/>
      <c r="I71" s="254" t="str">
        <f t="shared" si="25"/>
        <v/>
      </c>
      <c r="J71" s="255"/>
      <c r="K71" s="254" t="str">
        <f t="shared" si="22"/>
        <v/>
      </c>
      <c r="L71" s="255"/>
      <c r="M71" s="254" t="str">
        <f t="shared" si="23"/>
        <v/>
      </c>
      <c r="N71" s="851"/>
      <c r="O71" s="242"/>
      <c r="P71" s="243"/>
      <c r="Q71" s="242"/>
      <c r="R71" s="243"/>
      <c r="S71" s="724"/>
      <c r="T71" s="725"/>
      <c r="U71" s="724"/>
      <c r="V71" s="726"/>
      <c r="W71" s="516" t="s">
        <v>206</v>
      </c>
      <c r="AB71" s="2" t="str">
        <f t="shared" si="5"/>
        <v/>
      </c>
    </row>
    <row r="72" spans="1:28" ht="15" customHeight="1">
      <c r="A72" s="20" t="str">
        <f t="shared" si="20"/>
        <v/>
      </c>
      <c r="B72" s="1013"/>
      <c r="C72" s="1016"/>
      <c r="D72" s="994"/>
      <c r="E72" s="961" t="s">
        <v>166</v>
      </c>
      <c r="F72" s="438" t="s">
        <v>203</v>
      </c>
      <c r="G72" s="252"/>
      <c r="H72" s="253"/>
      <c r="I72" s="254" t="str">
        <f t="shared" si="25"/>
        <v/>
      </c>
      <c r="J72" s="255"/>
      <c r="K72" s="254" t="str">
        <f t="shared" si="22"/>
        <v/>
      </c>
      <c r="L72" s="255"/>
      <c r="M72" s="254" t="str">
        <f t="shared" si="23"/>
        <v/>
      </c>
      <c r="N72" s="851"/>
      <c r="O72" s="242"/>
      <c r="P72" s="243"/>
      <c r="Q72" s="242"/>
      <c r="R72" s="243"/>
      <c r="S72" s="724"/>
      <c r="T72" s="725"/>
      <c r="U72" s="724"/>
      <c r="V72" s="726"/>
      <c r="W72" s="516" t="s">
        <v>206</v>
      </c>
      <c r="AB72" s="2" t="str">
        <f t="shared" si="5"/>
        <v/>
      </c>
    </row>
    <row r="73" spans="1:28" ht="15" customHeight="1">
      <c r="A73" s="20" t="str">
        <f t="shared" si="20"/>
        <v/>
      </c>
      <c r="B73" s="1013"/>
      <c r="C73" s="1016"/>
      <c r="D73" s="994"/>
      <c r="E73" s="905" t="s">
        <v>22</v>
      </c>
      <c r="F73" s="438" t="s">
        <v>62</v>
      </c>
      <c r="G73" s="252"/>
      <c r="H73" s="253"/>
      <c r="I73" s="254" t="str">
        <f t="shared" si="25"/>
        <v/>
      </c>
      <c r="J73" s="255"/>
      <c r="K73" s="254" t="str">
        <f t="shared" si="22"/>
        <v/>
      </c>
      <c r="L73" s="255"/>
      <c r="M73" s="254" t="str">
        <f t="shared" si="23"/>
        <v/>
      </c>
      <c r="N73" s="851"/>
      <c r="O73" s="242"/>
      <c r="P73" s="243"/>
      <c r="Q73" s="242"/>
      <c r="R73" s="243"/>
      <c r="S73" s="724"/>
      <c r="T73" s="725"/>
      <c r="U73" s="724"/>
      <c r="V73" s="726"/>
      <c r="W73" s="516" t="s">
        <v>206</v>
      </c>
      <c r="AB73" s="2" t="str">
        <f t="shared" si="5"/>
        <v/>
      </c>
    </row>
    <row r="74" spans="1:28" ht="15" customHeight="1">
      <c r="A74" s="20" t="str">
        <f t="shared" si="20"/>
        <v/>
      </c>
      <c r="B74" s="1013"/>
      <c r="C74" s="1016"/>
      <c r="D74" s="994"/>
      <c r="E74" s="961" t="s">
        <v>166</v>
      </c>
      <c r="F74" s="438"/>
      <c r="G74" s="252"/>
      <c r="H74" s="253"/>
      <c r="I74" s="254"/>
      <c r="J74" s="255"/>
      <c r="K74" s="254"/>
      <c r="L74" s="255"/>
      <c r="M74" s="254"/>
      <c r="N74" s="851"/>
      <c r="O74" s="242"/>
      <c r="P74" s="243"/>
      <c r="Q74" s="242"/>
      <c r="R74" s="243"/>
      <c r="S74" s="724"/>
      <c r="T74" s="725"/>
      <c r="U74" s="724"/>
      <c r="V74" s="726"/>
      <c r="W74" s="516"/>
    </row>
    <row r="75" spans="1:28" ht="15" customHeight="1">
      <c r="A75" s="20" t="str">
        <f t="shared" si="20"/>
        <v/>
      </c>
      <c r="B75" s="1013"/>
      <c r="C75" s="1016"/>
      <c r="D75" s="994"/>
      <c r="E75" s="961" t="s">
        <v>166</v>
      </c>
      <c r="F75" s="438"/>
      <c r="G75" s="252"/>
      <c r="H75" s="253"/>
      <c r="I75" s="254"/>
      <c r="J75" s="255"/>
      <c r="K75" s="254"/>
      <c r="L75" s="255"/>
      <c r="M75" s="254"/>
      <c r="N75" s="851"/>
      <c r="O75" s="242"/>
      <c r="P75" s="243"/>
      <c r="Q75" s="242"/>
      <c r="R75" s="243"/>
      <c r="S75" s="724"/>
      <c r="T75" s="725"/>
      <c r="U75" s="724"/>
      <c r="V75" s="726"/>
      <c r="W75" s="516"/>
    </row>
    <row r="76" spans="1:28" ht="15" customHeight="1">
      <c r="A76" s="20" t="str">
        <f t="shared" si="20"/>
        <v/>
      </c>
      <c r="B76" s="1013"/>
      <c r="C76" s="1016"/>
      <c r="D76" s="994"/>
      <c r="E76" s="962" t="s">
        <v>166</v>
      </c>
      <c r="F76" s="480"/>
      <c r="G76" s="257"/>
      <c r="H76" s="258"/>
      <c r="I76" s="259"/>
      <c r="J76" s="260"/>
      <c r="K76" s="259"/>
      <c r="L76" s="260"/>
      <c r="M76" s="259"/>
      <c r="N76" s="856"/>
      <c r="O76" s="244"/>
      <c r="P76" s="245"/>
      <c r="Q76" s="244"/>
      <c r="R76" s="245"/>
      <c r="S76" s="727"/>
      <c r="T76" s="728"/>
      <c r="U76" s="727"/>
      <c r="V76" s="729"/>
      <c r="W76" s="516"/>
    </row>
    <row r="77" spans="1:28" ht="15.75">
      <c r="A77" s="20" t="str">
        <f t="shared" si="20"/>
        <v>S</v>
      </c>
      <c r="B77" s="1018"/>
      <c r="C77" s="1016"/>
      <c r="D77" s="332" t="s">
        <v>138</v>
      </c>
      <c r="E77" s="896"/>
      <c r="F77" s="16"/>
      <c r="G77" s="7">
        <f>SUM(G66:G76)</f>
        <v>0</v>
      </c>
      <c r="H77" s="8">
        <f>SUM(H66:H76)</f>
        <v>0</v>
      </c>
      <c r="I77" s="9" t="e">
        <f t="shared" si="25"/>
        <v>#DIV/0!</v>
      </c>
      <c r="J77" s="213">
        <f>SUM(J66:J76)</f>
        <v>0</v>
      </c>
      <c r="K77" s="52" t="e">
        <f t="shared" si="22"/>
        <v>#DIV/0!</v>
      </c>
      <c r="L77" s="213">
        <f>SUM(L66:L76)</f>
        <v>0</v>
      </c>
      <c r="M77" s="9" t="e">
        <f t="shared" si="23"/>
        <v>#DIV/0!</v>
      </c>
      <c r="N77" s="213">
        <f>SUM(N66:N76)</f>
        <v>0</v>
      </c>
      <c r="O77" s="120">
        <f t="shared" ref="O77:V77" si="27">SUM(O66:O76)</f>
        <v>0</v>
      </c>
      <c r="P77" s="121">
        <f t="shared" si="27"/>
        <v>0</v>
      </c>
      <c r="Q77" s="120">
        <f t="shared" si="27"/>
        <v>0</v>
      </c>
      <c r="R77" s="121">
        <f t="shared" si="27"/>
        <v>0</v>
      </c>
      <c r="S77" s="120">
        <f t="shared" si="27"/>
        <v>0</v>
      </c>
      <c r="T77" s="121">
        <f t="shared" si="27"/>
        <v>0</v>
      </c>
      <c r="U77" s="120">
        <f t="shared" si="27"/>
        <v>0</v>
      </c>
      <c r="V77" s="122">
        <f t="shared" si="27"/>
        <v>0</v>
      </c>
      <c r="W77" s="216" t="s">
        <v>206</v>
      </c>
      <c r="AB77" s="2">
        <f t="shared" si="5"/>
        <v>0</v>
      </c>
    </row>
    <row r="78" spans="1:28">
      <c r="A78" s="20" t="str">
        <f t="shared" si="20"/>
        <v/>
      </c>
      <c r="B78" s="1013" t="s">
        <v>167</v>
      </c>
      <c r="C78" s="1016" t="s">
        <v>76</v>
      </c>
      <c r="D78" s="991">
        <v>4</v>
      </c>
      <c r="E78" s="901" t="s">
        <v>171</v>
      </c>
      <c r="F78" s="246" t="s">
        <v>62</v>
      </c>
      <c r="G78" s="247"/>
      <c r="H78" s="248"/>
      <c r="I78" s="249" t="str">
        <f t="shared" si="25"/>
        <v/>
      </c>
      <c r="J78" s="250"/>
      <c r="K78" s="249" t="str">
        <f t="shared" si="22"/>
        <v/>
      </c>
      <c r="L78" s="250"/>
      <c r="M78" s="249" t="str">
        <f t="shared" si="23"/>
        <v/>
      </c>
      <c r="N78" s="846"/>
      <c r="O78" s="240"/>
      <c r="P78" s="241"/>
      <c r="Q78" s="240"/>
      <c r="R78" s="241"/>
      <c r="S78" s="304"/>
      <c r="T78" s="305"/>
      <c r="U78" s="304"/>
      <c r="V78" s="306"/>
      <c r="W78" s="216" t="s">
        <v>206</v>
      </c>
      <c r="X78" s="1" t="s">
        <v>172</v>
      </c>
      <c r="AB78" s="2" t="str">
        <f t="shared" si="5"/>
        <v/>
      </c>
    </row>
    <row r="79" spans="1:28">
      <c r="A79" s="20" t="str">
        <f t="shared" si="20"/>
        <v/>
      </c>
      <c r="B79" s="1013"/>
      <c r="C79" s="1016"/>
      <c r="D79" s="991"/>
      <c r="E79" s="902" t="s">
        <v>173</v>
      </c>
      <c r="F79" s="251" t="s">
        <v>62</v>
      </c>
      <c r="G79" s="252"/>
      <c r="H79" s="253"/>
      <c r="I79" s="254" t="str">
        <f t="shared" si="25"/>
        <v/>
      </c>
      <c r="J79" s="255"/>
      <c r="K79" s="254" t="str">
        <f t="shared" si="22"/>
        <v/>
      </c>
      <c r="L79" s="255"/>
      <c r="M79" s="254" t="str">
        <f t="shared" si="23"/>
        <v/>
      </c>
      <c r="N79" s="851"/>
      <c r="O79" s="242"/>
      <c r="P79" s="243"/>
      <c r="Q79" s="242"/>
      <c r="R79" s="243"/>
      <c r="S79" s="307"/>
      <c r="T79" s="308"/>
      <c r="U79" s="307"/>
      <c r="V79" s="309"/>
      <c r="W79" s="216" t="s">
        <v>206</v>
      </c>
      <c r="X79" s="1" t="s">
        <v>174</v>
      </c>
      <c r="AB79" s="2" t="str">
        <f t="shared" si="5"/>
        <v/>
      </c>
    </row>
    <row r="80" spans="1:28" ht="15" customHeight="1">
      <c r="A80" s="20" t="str">
        <f t="shared" si="20"/>
        <v/>
      </c>
      <c r="B80" s="1013"/>
      <c r="C80" s="1016"/>
      <c r="D80" s="991"/>
      <c r="E80" s="961" t="s">
        <v>166</v>
      </c>
      <c r="F80" s="251"/>
      <c r="G80" s="252"/>
      <c r="H80" s="253"/>
      <c r="I80" s="254" t="str">
        <f t="shared" si="25"/>
        <v/>
      </c>
      <c r="J80" s="255"/>
      <c r="K80" s="254" t="str">
        <f t="shared" si="22"/>
        <v/>
      </c>
      <c r="L80" s="255"/>
      <c r="M80" s="254" t="str">
        <f t="shared" si="23"/>
        <v/>
      </c>
      <c r="N80" s="851"/>
      <c r="O80" s="242"/>
      <c r="P80" s="243"/>
      <c r="Q80" s="242"/>
      <c r="R80" s="243"/>
      <c r="S80" s="307"/>
      <c r="T80" s="308"/>
      <c r="U80" s="307"/>
      <c r="V80" s="309"/>
      <c r="W80" s="216" t="s">
        <v>206</v>
      </c>
      <c r="AB80" s="2" t="str">
        <f t="shared" si="5"/>
        <v/>
      </c>
    </row>
    <row r="81" spans="1:28" ht="15" customHeight="1">
      <c r="A81" s="20" t="str">
        <f t="shared" si="20"/>
        <v/>
      </c>
      <c r="B81" s="1013"/>
      <c r="C81" s="1016"/>
      <c r="D81" s="991"/>
      <c r="E81" s="961" t="s">
        <v>166</v>
      </c>
      <c r="F81" s="251"/>
      <c r="G81" s="252"/>
      <c r="H81" s="253"/>
      <c r="I81" s="254" t="str">
        <f t="shared" si="25"/>
        <v/>
      </c>
      <c r="J81" s="255"/>
      <c r="K81" s="254" t="str">
        <f t="shared" si="22"/>
        <v/>
      </c>
      <c r="L81" s="255"/>
      <c r="M81" s="254" t="str">
        <f t="shared" si="23"/>
        <v/>
      </c>
      <c r="N81" s="851"/>
      <c r="O81" s="242"/>
      <c r="P81" s="243"/>
      <c r="Q81" s="242"/>
      <c r="R81" s="243"/>
      <c r="S81" s="307"/>
      <c r="T81" s="308"/>
      <c r="U81" s="307"/>
      <c r="V81" s="309"/>
      <c r="W81" s="216" t="s">
        <v>206</v>
      </c>
      <c r="AB81" s="2" t="str">
        <f t="shared" si="5"/>
        <v/>
      </c>
    </row>
    <row r="82" spans="1:28" ht="15" customHeight="1">
      <c r="A82" s="20" t="str">
        <f t="shared" si="20"/>
        <v/>
      </c>
      <c r="B82" s="1013"/>
      <c r="C82" s="1016"/>
      <c r="D82" s="991"/>
      <c r="E82" s="961" t="s">
        <v>166</v>
      </c>
      <c r="F82" s="251" t="s">
        <v>203</v>
      </c>
      <c r="G82" s="252"/>
      <c r="H82" s="253"/>
      <c r="I82" s="254" t="str">
        <f t="shared" si="25"/>
        <v/>
      </c>
      <c r="J82" s="255"/>
      <c r="K82" s="254" t="str">
        <f t="shared" si="22"/>
        <v/>
      </c>
      <c r="L82" s="255"/>
      <c r="M82" s="254" t="str">
        <f t="shared" si="23"/>
        <v/>
      </c>
      <c r="N82" s="851"/>
      <c r="O82" s="242"/>
      <c r="P82" s="243"/>
      <c r="Q82" s="242"/>
      <c r="R82" s="243"/>
      <c r="S82" s="307"/>
      <c r="T82" s="308"/>
      <c r="U82" s="307"/>
      <c r="V82" s="309"/>
      <c r="W82" s="216" t="s">
        <v>206</v>
      </c>
      <c r="AB82" s="2" t="str">
        <f t="shared" si="5"/>
        <v/>
      </c>
    </row>
    <row r="83" spans="1:28" ht="15" customHeight="1">
      <c r="A83" s="20" t="str">
        <f t="shared" si="20"/>
        <v/>
      </c>
      <c r="B83" s="1013"/>
      <c r="C83" s="1016"/>
      <c r="D83" s="991"/>
      <c r="E83" s="961" t="s">
        <v>166</v>
      </c>
      <c r="F83" s="251" t="s">
        <v>203</v>
      </c>
      <c r="G83" s="252"/>
      <c r="H83" s="253"/>
      <c r="I83" s="254" t="str">
        <f t="shared" si="25"/>
        <v/>
      </c>
      <c r="J83" s="255"/>
      <c r="K83" s="254" t="str">
        <f t="shared" si="22"/>
        <v/>
      </c>
      <c r="L83" s="255"/>
      <c r="M83" s="254" t="str">
        <f t="shared" si="23"/>
        <v/>
      </c>
      <c r="N83" s="851"/>
      <c r="O83" s="242"/>
      <c r="P83" s="243"/>
      <c r="Q83" s="242"/>
      <c r="R83" s="243"/>
      <c r="S83" s="307"/>
      <c r="T83" s="308"/>
      <c r="U83" s="307"/>
      <c r="V83" s="309"/>
      <c r="W83" s="216" t="s">
        <v>206</v>
      </c>
      <c r="AB83" s="2" t="str">
        <f t="shared" si="5"/>
        <v/>
      </c>
    </row>
    <row r="84" spans="1:28" ht="15" customHeight="1">
      <c r="A84" s="20" t="str">
        <f t="shared" si="20"/>
        <v/>
      </c>
      <c r="B84" s="1013"/>
      <c r="C84" s="1016"/>
      <c r="D84" s="991"/>
      <c r="E84" s="962" t="s">
        <v>166</v>
      </c>
      <c r="F84" s="256"/>
      <c r="G84" s="257"/>
      <c r="H84" s="258"/>
      <c r="I84" s="259" t="str">
        <f t="shared" si="25"/>
        <v/>
      </c>
      <c r="J84" s="260"/>
      <c r="K84" s="259" t="str">
        <f t="shared" si="22"/>
        <v/>
      </c>
      <c r="L84" s="260"/>
      <c r="M84" s="259" t="str">
        <f t="shared" si="23"/>
        <v/>
      </c>
      <c r="N84" s="856"/>
      <c r="O84" s="244"/>
      <c r="P84" s="245"/>
      <c r="Q84" s="244"/>
      <c r="R84" s="245"/>
      <c r="S84" s="310"/>
      <c r="T84" s="311"/>
      <c r="U84" s="310"/>
      <c r="V84" s="312"/>
      <c r="W84" s="216" t="s">
        <v>206</v>
      </c>
      <c r="AB84" s="2" t="str">
        <f t="shared" si="5"/>
        <v/>
      </c>
    </row>
    <row r="85" spans="1:28" ht="15.75">
      <c r="A85" s="20" t="str">
        <f t="shared" si="20"/>
        <v>S</v>
      </c>
      <c r="B85" s="1018"/>
      <c r="C85" s="1016"/>
      <c r="D85" s="332" t="s">
        <v>138</v>
      </c>
      <c r="E85" s="897"/>
      <c r="F85" s="210"/>
      <c r="G85" s="7">
        <f>SUM(G78:G84)</f>
        <v>0</v>
      </c>
      <c r="H85" s="8">
        <f>SUM(H78:H84)</f>
        <v>0</v>
      </c>
      <c r="I85" s="9" t="e">
        <f t="shared" si="25"/>
        <v>#DIV/0!</v>
      </c>
      <c r="J85" s="213">
        <f>SUM(J78:J84)</f>
        <v>0</v>
      </c>
      <c r="K85" s="52" t="e">
        <f t="shared" si="22"/>
        <v>#DIV/0!</v>
      </c>
      <c r="L85" s="213">
        <f>SUM(L78:L84)</f>
        <v>0</v>
      </c>
      <c r="M85" s="9" t="e">
        <f t="shared" si="23"/>
        <v>#DIV/0!</v>
      </c>
      <c r="N85" s="213">
        <f t="shared" ref="N85:V85" si="28">SUM(N78:N84)</f>
        <v>0</v>
      </c>
      <c r="O85" s="120">
        <f t="shared" si="28"/>
        <v>0</v>
      </c>
      <c r="P85" s="121">
        <f t="shared" si="28"/>
        <v>0</v>
      </c>
      <c r="Q85" s="120">
        <f t="shared" si="28"/>
        <v>0</v>
      </c>
      <c r="R85" s="121">
        <f t="shared" si="28"/>
        <v>0</v>
      </c>
      <c r="S85" s="120">
        <f t="shared" si="28"/>
        <v>0</v>
      </c>
      <c r="T85" s="121">
        <f t="shared" si="28"/>
        <v>0</v>
      </c>
      <c r="U85" s="120">
        <f t="shared" si="28"/>
        <v>0</v>
      </c>
      <c r="V85" s="122">
        <f t="shared" si="28"/>
        <v>0</v>
      </c>
      <c r="W85" s="216" t="s">
        <v>206</v>
      </c>
      <c r="AB85" s="2">
        <f t="shared" si="5"/>
        <v>0</v>
      </c>
    </row>
    <row r="86" spans="1:28" ht="15" customHeight="1">
      <c r="A86" s="20" t="str">
        <f t="shared" si="20"/>
        <v/>
      </c>
      <c r="B86" s="980" t="s">
        <v>1</v>
      </c>
      <c r="C86" s="983" t="s">
        <v>76</v>
      </c>
      <c r="D86" s="988">
        <v>10</v>
      </c>
      <c r="E86" s="901" t="s">
        <v>27</v>
      </c>
      <c r="F86" s="246" t="s">
        <v>62</v>
      </c>
      <c r="G86" s="247"/>
      <c r="H86" s="248"/>
      <c r="I86" s="249" t="str">
        <f t="shared" si="25"/>
        <v/>
      </c>
      <c r="J86" s="250"/>
      <c r="K86" s="249" t="str">
        <f t="shared" si="22"/>
        <v/>
      </c>
      <c r="L86" s="250"/>
      <c r="M86" s="249" t="str">
        <f t="shared" si="23"/>
        <v/>
      </c>
      <c r="N86" s="846"/>
      <c r="O86" s="240"/>
      <c r="P86" s="241"/>
      <c r="Q86" s="240"/>
      <c r="R86" s="241"/>
      <c r="S86" s="304"/>
      <c r="T86" s="305"/>
      <c r="U86" s="304"/>
      <c r="V86" s="306"/>
      <c r="W86" s="216" t="s">
        <v>206</v>
      </c>
      <c r="AB86" s="2" t="str">
        <f t="shared" si="5"/>
        <v/>
      </c>
    </row>
    <row r="87" spans="1:28" ht="15" customHeight="1">
      <c r="A87" s="20" t="str">
        <f t="shared" si="20"/>
        <v/>
      </c>
      <c r="B87" s="981"/>
      <c r="C87" s="984"/>
      <c r="D87" s="989"/>
      <c r="E87" s="902" t="s">
        <v>28</v>
      </c>
      <c r="F87" s="251" t="s">
        <v>62</v>
      </c>
      <c r="G87" s="252"/>
      <c r="H87" s="253"/>
      <c r="I87" s="254" t="str">
        <f t="shared" si="25"/>
        <v/>
      </c>
      <c r="J87" s="255"/>
      <c r="K87" s="254" t="str">
        <f t="shared" si="22"/>
        <v/>
      </c>
      <c r="L87" s="255"/>
      <c r="M87" s="254" t="str">
        <f t="shared" si="23"/>
        <v/>
      </c>
      <c r="N87" s="851"/>
      <c r="O87" s="242"/>
      <c r="P87" s="243"/>
      <c r="Q87" s="242"/>
      <c r="R87" s="243"/>
      <c r="S87" s="307"/>
      <c r="T87" s="308"/>
      <c r="U87" s="307"/>
      <c r="V87" s="309"/>
      <c r="W87" s="216" t="s">
        <v>206</v>
      </c>
      <c r="AB87" s="2" t="str">
        <f t="shared" si="5"/>
        <v/>
      </c>
    </row>
    <row r="88" spans="1:28" ht="15" customHeight="1">
      <c r="A88" s="20" t="str">
        <f t="shared" si="20"/>
        <v/>
      </c>
      <c r="B88" s="981"/>
      <c r="C88" s="984"/>
      <c r="D88" s="989"/>
      <c r="E88" s="902" t="s">
        <v>29</v>
      </c>
      <c r="F88" s="251" t="s">
        <v>62</v>
      </c>
      <c r="G88" s="252"/>
      <c r="H88" s="253"/>
      <c r="I88" s="254" t="str">
        <f t="shared" si="25"/>
        <v/>
      </c>
      <c r="J88" s="255"/>
      <c r="K88" s="254" t="str">
        <f t="shared" si="22"/>
        <v/>
      </c>
      <c r="L88" s="255"/>
      <c r="M88" s="254" t="str">
        <f t="shared" si="23"/>
        <v/>
      </c>
      <c r="N88" s="851"/>
      <c r="O88" s="242"/>
      <c r="P88" s="243"/>
      <c r="Q88" s="242"/>
      <c r="R88" s="243"/>
      <c r="S88" s="307"/>
      <c r="T88" s="308"/>
      <c r="U88" s="307"/>
      <c r="V88" s="309"/>
      <c r="W88" s="216" t="s">
        <v>206</v>
      </c>
      <c r="AB88" s="2" t="str">
        <f t="shared" si="5"/>
        <v/>
      </c>
    </row>
    <row r="89" spans="1:28" ht="15" customHeight="1">
      <c r="A89" s="20" t="str">
        <f t="shared" si="20"/>
        <v/>
      </c>
      <c r="B89" s="981"/>
      <c r="C89" s="984"/>
      <c r="D89" s="989"/>
      <c r="E89" s="902" t="s">
        <v>30</v>
      </c>
      <c r="F89" s="251" t="s">
        <v>62</v>
      </c>
      <c r="G89" s="252"/>
      <c r="H89" s="253"/>
      <c r="I89" s="254" t="str">
        <f t="shared" si="25"/>
        <v/>
      </c>
      <c r="J89" s="255"/>
      <c r="K89" s="254" t="str">
        <f t="shared" si="22"/>
        <v/>
      </c>
      <c r="L89" s="255"/>
      <c r="M89" s="254" t="str">
        <f t="shared" si="23"/>
        <v/>
      </c>
      <c r="N89" s="851"/>
      <c r="O89" s="242"/>
      <c r="P89" s="243"/>
      <c r="Q89" s="242"/>
      <c r="R89" s="243"/>
      <c r="S89" s="307"/>
      <c r="T89" s="308"/>
      <c r="U89" s="307"/>
      <c r="V89" s="309"/>
      <c r="W89" s="216" t="s">
        <v>206</v>
      </c>
      <c r="AB89" s="2" t="str">
        <f t="shared" si="5"/>
        <v/>
      </c>
    </row>
    <row r="90" spans="1:28" ht="15" customHeight="1">
      <c r="A90" s="20" t="str">
        <f t="shared" si="20"/>
        <v/>
      </c>
      <c r="B90" s="981"/>
      <c r="C90" s="984"/>
      <c r="D90" s="989"/>
      <c r="E90" s="902" t="s">
        <v>175</v>
      </c>
      <c r="F90" s="251" t="s">
        <v>62</v>
      </c>
      <c r="G90" s="252"/>
      <c r="H90" s="253"/>
      <c r="I90" s="254" t="str">
        <f t="shared" si="25"/>
        <v/>
      </c>
      <c r="J90" s="255"/>
      <c r="K90" s="254" t="str">
        <f t="shared" si="22"/>
        <v/>
      </c>
      <c r="L90" s="255"/>
      <c r="M90" s="254" t="str">
        <f t="shared" si="23"/>
        <v/>
      </c>
      <c r="N90" s="851"/>
      <c r="O90" s="242"/>
      <c r="P90" s="243"/>
      <c r="Q90" s="242"/>
      <c r="R90" s="243"/>
      <c r="S90" s="307"/>
      <c r="T90" s="308"/>
      <c r="U90" s="307"/>
      <c r="V90" s="309"/>
      <c r="W90" s="216" t="s">
        <v>206</v>
      </c>
      <c r="AB90" s="2" t="str">
        <f t="shared" ref="AB90:AB153" si="29">IF(G90&lt;&gt;"",$F90,"")</f>
        <v/>
      </c>
    </row>
    <row r="91" spans="1:28" ht="15" customHeight="1">
      <c r="A91" s="20" t="str">
        <f t="shared" si="20"/>
        <v/>
      </c>
      <c r="B91" s="981"/>
      <c r="C91" s="984"/>
      <c r="D91" s="989"/>
      <c r="E91" s="961" t="s">
        <v>166</v>
      </c>
      <c r="F91" s="251" t="s">
        <v>203</v>
      </c>
      <c r="G91" s="252"/>
      <c r="H91" s="253"/>
      <c r="I91" s="254" t="str">
        <f t="shared" si="25"/>
        <v/>
      </c>
      <c r="J91" s="255"/>
      <c r="K91" s="254" t="str">
        <f t="shared" si="22"/>
        <v/>
      </c>
      <c r="L91" s="255"/>
      <c r="M91" s="254" t="str">
        <f t="shared" si="23"/>
        <v/>
      </c>
      <c r="N91" s="851"/>
      <c r="O91" s="242"/>
      <c r="P91" s="243"/>
      <c r="Q91" s="242"/>
      <c r="R91" s="243"/>
      <c r="S91" s="307"/>
      <c r="T91" s="308"/>
      <c r="U91" s="307"/>
      <c r="V91" s="309"/>
      <c r="W91" s="216" t="s">
        <v>206</v>
      </c>
      <c r="AB91" s="2" t="str">
        <f t="shared" si="29"/>
        <v/>
      </c>
    </row>
    <row r="92" spans="1:28" ht="15.75" customHeight="1">
      <c r="A92" s="20" t="str">
        <f t="shared" si="20"/>
        <v/>
      </c>
      <c r="B92" s="981"/>
      <c r="C92" s="984"/>
      <c r="D92" s="989"/>
      <c r="E92" s="961" t="s">
        <v>166</v>
      </c>
      <c r="F92" s="435"/>
      <c r="G92" s="252"/>
      <c r="H92" s="253"/>
      <c r="I92" s="254"/>
      <c r="J92" s="255"/>
      <c r="K92" s="254"/>
      <c r="L92" s="255"/>
      <c r="M92" s="254"/>
      <c r="N92" s="851"/>
      <c r="O92" s="242"/>
      <c r="P92" s="243"/>
      <c r="Q92" s="242"/>
      <c r="R92" s="243"/>
      <c r="S92" s="307"/>
      <c r="T92" s="308"/>
      <c r="U92" s="307"/>
      <c r="V92" s="309"/>
      <c r="W92" s="216"/>
      <c r="X92" s="492"/>
    </row>
    <row r="93" spans="1:28" ht="15.75" customHeight="1">
      <c r="A93" s="20" t="str">
        <f t="shared" si="20"/>
        <v/>
      </c>
      <c r="B93" s="981"/>
      <c r="C93" s="984"/>
      <c r="D93" s="989"/>
      <c r="E93" s="961" t="s">
        <v>166</v>
      </c>
      <c r="F93" s="435"/>
      <c r="G93" s="252"/>
      <c r="H93" s="253"/>
      <c r="I93" s="254"/>
      <c r="J93" s="255"/>
      <c r="K93" s="254"/>
      <c r="L93" s="255"/>
      <c r="M93" s="254"/>
      <c r="N93" s="851"/>
      <c r="O93" s="242"/>
      <c r="P93" s="243"/>
      <c r="Q93" s="242"/>
      <c r="R93" s="243"/>
      <c r="S93" s="307"/>
      <c r="T93" s="308"/>
      <c r="U93" s="307"/>
      <c r="V93" s="309"/>
      <c r="W93" s="216"/>
      <c r="X93" s="492"/>
    </row>
    <row r="94" spans="1:28" ht="15.75" customHeight="1">
      <c r="A94" s="20" t="str">
        <f t="shared" si="20"/>
        <v/>
      </c>
      <c r="B94" s="981"/>
      <c r="C94" s="984"/>
      <c r="D94" s="990"/>
      <c r="E94" s="962" t="s">
        <v>166</v>
      </c>
      <c r="F94" s="256"/>
      <c r="G94" s="257"/>
      <c r="H94" s="258"/>
      <c r="I94" s="259"/>
      <c r="J94" s="260"/>
      <c r="K94" s="259"/>
      <c r="L94" s="260"/>
      <c r="M94" s="259"/>
      <c r="N94" s="856"/>
      <c r="O94" s="244"/>
      <c r="P94" s="245"/>
      <c r="Q94" s="244"/>
      <c r="R94" s="245"/>
      <c r="S94" s="310"/>
      <c r="T94" s="311"/>
      <c r="U94" s="310"/>
      <c r="V94" s="312"/>
      <c r="W94" s="216"/>
      <c r="X94" s="492"/>
    </row>
    <row r="95" spans="1:28" ht="15.75">
      <c r="A95" s="20" t="str">
        <f t="shared" si="20"/>
        <v>S</v>
      </c>
      <c r="B95" s="987"/>
      <c r="C95" s="986"/>
      <c r="D95" s="873" t="s">
        <v>138</v>
      </c>
      <c r="E95" s="897"/>
      <c r="F95" s="210"/>
      <c r="G95" s="7">
        <f>SUM(G86:G94)</f>
        <v>0</v>
      </c>
      <c r="H95" s="8">
        <f>SUM(H86:H94)</f>
        <v>0</v>
      </c>
      <c r="I95" s="9" t="e">
        <f t="shared" si="25"/>
        <v>#DIV/0!</v>
      </c>
      <c r="J95" s="213">
        <f>SUM(J86:J94)</f>
        <v>0</v>
      </c>
      <c r="K95" s="52" t="e">
        <f t="shared" si="22"/>
        <v>#DIV/0!</v>
      </c>
      <c r="L95" s="213">
        <f>SUM(L86:L94)</f>
        <v>0</v>
      </c>
      <c r="M95" s="9" t="e">
        <f t="shared" si="23"/>
        <v>#DIV/0!</v>
      </c>
      <c r="N95" s="213">
        <f t="shared" ref="N95:V95" si="30">SUM(N86:N94)</f>
        <v>0</v>
      </c>
      <c r="O95" s="120">
        <f t="shared" si="30"/>
        <v>0</v>
      </c>
      <c r="P95" s="121">
        <f t="shared" si="30"/>
        <v>0</v>
      </c>
      <c r="Q95" s="120">
        <f t="shared" si="30"/>
        <v>0</v>
      </c>
      <c r="R95" s="121">
        <f t="shared" si="30"/>
        <v>0</v>
      </c>
      <c r="S95" s="120">
        <f t="shared" si="30"/>
        <v>0</v>
      </c>
      <c r="T95" s="121">
        <f t="shared" si="30"/>
        <v>0</v>
      </c>
      <c r="U95" s="120">
        <f t="shared" si="30"/>
        <v>0</v>
      </c>
      <c r="V95" s="122">
        <f t="shared" si="30"/>
        <v>0</v>
      </c>
      <c r="W95" s="216" t="s">
        <v>206</v>
      </c>
      <c r="AB95" s="2">
        <f t="shared" si="29"/>
        <v>0</v>
      </c>
    </row>
    <row r="96" spans="1:28" ht="15" customHeight="1">
      <c r="A96" s="20" t="str">
        <f t="shared" si="20"/>
        <v/>
      </c>
      <c r="B96" s="1013" t="s">
        <v>45</v>
      </c>
      <c r="C96" s="1009" t="s">
        <v>76</v>
      </c>
      <c r="D96" s="993">
        <v>12</v>
      </c>
      <c r="E96" s="903" t="s">
        <v>32</v>
      </c>
      <c r="F96" s="432" t="s">
        <v>62</v>
      </c>
      <c r="G96" s="247"/>
      <c r="H96" s="248"/>
      <c r="I96" s="249" t="str">
        <f t="shared" si="25"/>
        <v/>
      </c>
      <c r="J96" s="250"/>
      <c r="K96" s="249" t="str">
        <f t="shared" si="22"/>
        <v/>
      </c>
      <c r="L96" s="250"/>
      <c r="M96" s="249" t="str">
        <f t="shared" si="23"/>
        <v/>
      </c>
      <c r="N96" s="846"/>
      <c r="O96" s="240"/>
      <c r="P96" s="241"/>
      <c r="Q96" s="240"/>
      <c r="R96" s="241"/>
      <c r="S96" s="304"/>
      <c r="T96" s="305"/>
      <c r="U96" s="304"/>
      <c r="V96" s="306"/>
      <c r="W96" s="216" t="s">
        <v>206</v>
      </c>
      <c r="AB96" s="2" t="str">
        <f t="shared" si="29"/>
        <v/>
      </c>
    </row>
    <row r="97" spans="1:28" ht="15" customHeight="1">
      <c r="A97" s="20" t="str">
        <f t="shared" si="20"/>
        <v/>
      </c>
      <c r="B97" s="1013"/>
      <c r="C97" s="1009"/>
      <c r="D97" s="993"/>
      <c r="E97" s="905" t="s">
        <v>33</v>
      </c>
      <c r="F97" s="435" t="s">
        <v>62</v>
      </c>
      <c r="G97" s="252"/>
      <c r="H97" s="253"/>
      <c r="I97" s="254" t="str">
        <f t="shared" si="25"/>
        <v/>
      </c>
      <c r="J97" s="255"/>
      <c r="K97" s="254" t="str">
        <f t="shared" si="22"/>
        <v/>
      </c>
      <c r="L97" s="255"/>
      <c r="M97" s="254" t="str">
        <f t="shared" si="23"/>
        <v/>
      </c>
      <c r="N97" s="851"/>
      <c r="O97" s="242"/>
      <c r="P97" s="243"/>
      <c r="Q97" s="242"/>
      <c r="R97" s="243"/>
      <c r="S97" s="307"/>
      <c r="T97" s="308"/>
      <c r="U97" s="307"/>
      <c r="V97" s="309"/>
      <c r="W97" s="216" t="s">
        <v>206</v>
      </c>
      <c r="AB97" s="2" t="str">
        <f t="shared" si="29"/>
        <v/>
      </c>
    </row>
    <row r="98" spans="1:28" ht="15" customHeight="1">
      <c r="A98" s="20" t="str">
        <f t="shared" si="20"/>
        <v/>
      </c>
      <c r="B98" s="1013"/>
      <c r="C98" s="1009"/>
      <c r="D98" s="993"/>
      <c r="E98" s="905" t="s">
        <v>47</v>
      </c>
      <c r="F98" s="435" t="s">
        <v>62</v>
      </c>
      <c r="G98" s="252"/>
      <c r="H98" s="253"/>
      <c r="I98" s="254" t="str">
        <f t="shared" si="25"/>
        <v/>
      </c>
      <c r="J98" s="255"/>
      <c r="K98" s="254" t="str">
        <f t="shared" si="22"/>
        <v/>
      </c>
      <c r="L98" s="255"/>
      <c r="M98" s="254" t="str">
        <f t="shared" si="23"/>
        <v/>
      </c>
      <c r="N98" s="851"/>
      <c r="O98" s="242"/>
      <c r="P98" s="243"/>
      <c r="Q98" s="242"/>
      <c r="R98" s="243"/>
      <c r="S98" s="307"/>
      <c r="T98" s="308"/>
      <c r="U98" s="307"/>
      <c r="V98" s="309"/>
      <c r="W98" s="216" t="s">
        <v>206</v>
      </c>
      <c r="AB98" s="2" t="str">
        <f t="shared" si="29"/>
        <v/>
      </c>
    </row>
    <row r="99" spans="1:28" ht="15" customHeight="1">
      <c r="A99" s="20" t="str">
        <f t="shared" si="20"/>
        <v/>
      </c>
      <c r="B99" s="1013"/>
      <c r="C99" s="1009"/>
      <c r="D99" s="993"/>
      <c r="E99" s="905" t="s">
        <v>46</v>
      </c>
      <c r="F99" s="435" t="s">
        <v>62</v>
      </c>
      <c r="G99" s="252"/>
      <c r="H99" s="253"/>
      <c r="I99" s="254" t="str">
        <f t="shared" si="25"/>
        <v/>
      </c>
      <c r="J99" s="255"/>
      <c r="K99" s="254" t="str">
        <f t="shared" si="22"/>
        <v/>
      </c>
      <c r="L99" s="255"/>
      <c r="M99" s="254" t="str">
        <f t="shared" si="23"/>
        <v/>
      </c>
      <c r="N99" s="851"/>
      <c r="O99" s="242"/>
      <c r="P99" s="243"/>
      <c r="Q99" s="242"/>
      <c r="R99" s="243"/>
      <c r="S99" s="307"/>
      <c r="T99" s="308"/>
      <c r="U99" s="307"/>
      <c r="V99" s="309"/>
      <c r="W99" s="216" t="s">
        <v>206</v>
      </c>
      <c r="AB99" s="2" t="str">
        <f t="shared" si="29"/>
        <v/>
      </c>
    </row>
    <row r="100" spans="1:28" ht="15" customHeight="1">
      <c r="A100" s="20" t="str">
        <f t="shared" si="20"/>
        <v/>
      </c>
      <c r="B100" s="1013"/>
      <c r="C100" s="1009"/>
      <c r="D100" s="993"/>
      <c r="E100" s="905" t="s">
        <v>35</v>
      </c>
      <c r="F100" s="435" t="s">
        <v>62</v>
      </c>
      <c r="G100" s="738"/>
      <c r="H100" s="739"/>
      <c r="I100" s="740" t="str">
        <f t="shared" si="25"/>
        <v/>
      </c>
      <c r="J100" s="741"/>
      <c r="K100" s="740" t="str">
        <f t="shared" si="22"/>
        <v/>
      </c>
      <c r="L100" s="741"/>
      <c r="M100" s="740" t="str">
        <f t="shared" si="23"/>
        <v/>
      </c>
      <c r="N100" s="741"/>
      <c r="O100" s="742"/>
      <c r="P100" s="743"/>
      <c r="Q100" s="742"/>
      <c r="R100" s="743"/>
      <c r="S100" s="744"/>
      <c r="T100" s="745"/>
      <c r="U100" s="744"/>
      <c r="V100" s="746"/>
      <c r="W100" s="216" t="s">
        <v>206</v>
      </c>
      <c r="AB100" s="2" t="str">
        <f t="shared" si="29"/>
        <v/>
      </c>
    </row>
    <row r="101" spans="1:28" ht="15" customHeight="1">
      <c r="A101" s="20" t="str">
        <f t="shared" si="20"/>
        <v/>
      </c>
      <c r="B101" s="1013"/>
      <c r="C101" s="1009"/>
      <c r="D101" s="993"/>
      <c r="E101" s="905" t="s">
        <v>34</v>
      </c>
      <c r="F101" s="435" t="s">
        <v>62</v>
      </c>
      <c r="G101" s="252"/>
      <c r="H101" s="253"/>
      <c r="I101" s="254" t="str">
        <f t="shared" si="25"/>
        <v/>
      </c>
      <c r="J101" s="255"/>
      <c r="K101" s="254" t="str">
        <f t="shared" si="22"/>
        <v/>
      </c>
      <c r="L101" s="255"/>
      <c r="M101" s="254" t="str">
        <f t="shared" si="23"/>
        <v/>
      </c>
      <c r="N101" s="851"/>
      <c r="O101" s="242"/>
      <c r="P101" s="243"/>
      <c r="Q101" s="242"/>
      <c r="R101" s="243"/>
      <c r="S101" s="307"/>
      <c r="T101" s="308"/>
      <c r="U101" s="307"/>
      <c r="V101" s="309"/>
      <c r="W101" s="216" t="s">
        <v>206</v>
      </c>
      <c r="AB101" s="2" t="str">
        <f t="shared" si="29"/>
        <v/>
      </c>
    </row>
    <row r="102" spans="1:28" ht="15.75" customHeight="1">
      <c r="A102" s="20" t="str">
        <f t="shared" si="20"/>
        <v/>
      </c>
      <c r="B102" s="1013"/>
      <c r="C102" s="1009"/>
      <c r="D102" s="993"/>
      <c r="E102" s="905" t="s">
        <v>147</v>
      </c>
      <c r="F102" s="435" t="s">
        <v>62</v>
      </c>
      <c r="G102" s="252"/>
      <c r="H102" s="253"/>
      <c r="I102" s="254" t="str">
        <f t="shared" si="25"/>
        <v/>
      </c>
      <c r="J102" s="255"/>
      <c r="K102" s="254" t="str">
        <f t="shared" si="22"/>
        <v/>
      </c>
      <c r="L102" s="255"/>
      <c r="M102" s="254" t="str">
        <f t="shared" si="23"/>
        <v/>
      </c>
      <c r="N102" s="851"/>
      <c r="O102" s="242"/>
      <c r="P102" s="243"/>
      <c r="Q102" s="242"/>
      <c r="R102" s="243"/>
      <c r="S102" s="307"/>
      <c r="T102" s="308"/>
      <c r="U102" s="307"/>
      <c r="V102" s="309"/>
      <c r="W102" s="216" t="s">
        <v>206</v>
      </c>
      <c r="AB102" s="2" t="str">
        <f t="shared" si="29"/>
        <v/>
      </c>
    </row>
    <row r="103" spans="1:28" ht="15.75" customHeight="1">
      <c r="A103" s="20" t="str">
        <f t="shared" si="20"/>
        <v/>
      </c>
      <c r="B103" s="1013"/>
      <c r="C103" s="1009"/>
      <c r="D103" s="993"/>
      <c r="E103" s="961" t="s">
        <v>166</v>
      </c>
      <c r="F103" s="435" t="s">
        <v>62</v>
      </c>
      <c r="G103" s="252"/>
      <c r="H103" s="253"/>
      <c r="I103" s="254" t="str">
        <f t="shared" si="25"/>
        <v/>
      </c>
      <c r="J103" s="255"/>
      <c r="K103" s="254" t="str">
        <f t="shared" si="22"/>
        <v/>
      </c>
      <c r="L103" s="255"/>
      <c r="M103" s="254" t="str">
        <f t="shared" si="23"/>
        <v/>
      </c>
      <c r="N103" s="851"/>
      <c r="O103" s="242"/>
      <c r="P103" s="243"/>
      <c r="Q103" s="242"/>
      <c r="R103" s="243"/>
      <c r="S103" s="307"/>
      <c r="T103" s="308"/>
      <c r="U103" s="307"/>
      <c r="V103" s="309"/>
      <c r="W103" s="216" t="s">
        <v>206</v>
      </c>
      <c r="AB103" s="2" t="str">
        <f t="shared" si="29"/>
        <v/>
      </c>
    </row>
    <row r="104" spans="1:28" ht="15.75" customHeight="1">
      <c r="A104" s="20" t="str">
        <f t="shared" si="20"/>
        <v/>
      </c>
      <c r="B104" s="1013"/>
      <c r="C104" s="1009"/>
      <c r="D104" s="993"/>
      <c r="E104" s="961" t="s">
        <v>166</v>
      </c>
      <c r="F104" s="435" t="s">
        <v>62</v>
      </c>
      <c r="G104" s="252"/>
      <c r="H104" s="253"/>
      <c r="I104" s="254" t="str">
        <f t="shared" si="25"/>
        <v/>
      </c>
      <c r="J104" s="255"/>
      <c r="K104" s="254" t="str">
        <f t="shared" si="22"/>
        <v/>
      </c>
      <c r="L104" s="255"/>
      <c r="M104" s="254" t="str">
        <f t="shared" si="23"/>
        <v/>
      </c>
      <c r="N104" s="851"/>
      <c r="O104" s="242"/>
      <c r="P104" s="243"/>
      <c r="Q104" s="242"/>
      <c r="R104" s="243"/>
      <c r="S104" s="307"/>
      <c r="T104" s="308"/>
      <c r="U104" s="307"/>
      <c r="V104" s="309"/>
      <c r="W104" s="216" t="s">
        <v>206</v>
      </c>
      <c r="AB104" s="2" t="str">
        <f t="shared" si="29"/>
        <v/>
      </c>
    </row>
    <row r="105" spans="1:28" ht="15.75" customHeight="1">
      <c r="A105" s="20" t="str">
        <f t="shared" si="20"/>
        <v/>
      </c>
      <c r="B105" s="1013"/>
      <c r="C105" s="1009"/>
      <c r="D105" s="993"/>
      <c r="E105" s="905" t="s">
        <v>146</v>
      </c>
      <c r="F105" s="435" t="s">
        <v>62</v>
      </c>
      <c r="G105" s="252"/>
      <c r="H105" s="253"/>
      <c r="I105" s="254" t="str">
        <f t="shared" si="25"/>
        <v/>
      </c>
      <c r="J105" s="255"/>
      <c r="K105" s="254" t="str">
        <f t="shared" si="22"/>
        <v/>
      </c>
      <c r="L105" s="255"/>
      <c r="M105" s="254" t="str">
        <f t="shared" si="23"/>
        <v/>
      </c>
      <c r="N105" s="851"/>
      <c r="O105" s="242"/>
      <c r="P105" s="243"/>
      <c r="Q105" s="242"/>
      <c r="R105" s="243"/>
      <c r="S105" s="307"/>
      <c r="T105" s="308"/>
      <c r="U105" s="307"/>
      <c r="V105" s="309"/>
      <c r="W105" s="216" t="s">
        <v>206</v>
      </c>
      <c r="AB105" s="2" t="str">
        <f t="shared" si="29"/>
        <v/>
      </c>
    </row>
    <row r="106" spans="1:28" ht="15.75" customHeight="1">
      <c r="A106" s="20" t="str">
        <f t="shared" si="20"/>
        <v/>
      </c>
      <c r="B106" s="1013"/>
      <c r="C106" s="1009"/>
      <c r="D106" s="993"/>
      <c r="E106" s="961" t="s">
        <v>166</v>
      </c>
      <c r="F106" s="435"/>
      <c r="G106" s="252"/>
      <c r="H106" s="253"/>
      <c r="I106" s="254"/>
      <c r="J106" s="255"/>
      <c r="K106" s="254"/>
      <c r="L106" s="255"/>
      <c r="M106" s="254"/>
      <c r="N106" s="851"/>
      <c r="O106" s="242"/>
      <c r="P106" s="243"/>
      <c r="Q106" s="242"/>
      <c r="R106" s="243"/>
      <c r="S106" s="307"/>
      <c r="T106" s="308"/>
      <c r="U106" s="307"/>
      <c r="V106" s="309"/>
      <c r="W106" s="216"/>
    </row>
    <row r="107" spans="1:28" ht="15.75" customHeight="1">
      <c r="A107" s="20" t="str">
        <f t="shared" si="20"/>
        <v/>
      </c>
      <c r="B107" s="1013"/>
      <c r="C107" s="1009"/>
      <c r="D107" s="993"/>
      <c r="E107" s="961" t="s">
        <v>166</v>
      </c>
      <c r="F107" s="435"/>
      <c r="G107" s="252"/>
      <c r="H107" s="253"/>
      <c r="I107" s="254"/>
      <c r="J107" s="255"/>
      <c r="K107" s="254"/>
      <c r="L107" s="255"/>
      <c r="M107" s="254"/>
      <c r="N107" s="851"/>
      <c r="O107" s="242"/>
      <c r="P107" s="243"/>
      <c r="Q107" s="242"/>
      <c r="R107" s="243"/>
      <c r="S107" s="307"/>
      <c r="T107" s="308"/>
      <c r="U107" s="307"/>
      <c r="V107" s="309"/>
      <c r="W107" s="216"/>
    </row>
    <row r="108" spans="1:28" ht="15.75" customHeight="1">
      <c r="A108" s="20" t="str">
        <f t="shared" si="20"/>
        <v/>
      </c>
      <c r="B108" s="1013"/>
      <c r="C108" s="1009"/>
      <c r="D108" s="993"/>
      <c r="E108" s="962" t="s">
        <v>166</v>
      </c>
      <c r="F108" s="256"/>
      <c r="G108" s="257"/>
      <c r="H108" s="258"/>
      <c r="I108" s="259"/>
      <c r="J108" s="260"/>
      <c r="K108" s="259"/>
      <c r="L108" s="260"/>
      <c r="M108" s="259"/>
      <c r="N108" s="856"/>
      <c r="O108" s="244"/>
      <c r="P108" s="245"/>
      <c r="Q108" s="244"/>
      <c r="R108" s="245"/>
      <c r="S108" s="310"/>
      <c r="T108" s="311"/>
      <c r="U108" s="310"/>
      <c r="V108" s="312"/>
      <c r="W108" s="216"/>
    </row>
    <row r="109" spans="1:28" ht="15.75">
      <c r="A109" s="20" t="str">
        <f t="shared" si="20"/>
        <v>S</v>
      </c>
      <c r="B109" s="1018"/>
      <c r="C109" s="1009"/>
      <c r="D109" s="332" t="s">
        <v>138</v>
      </c>
      <c r="E109" s="898"/>
      <c r="F109" s="210"/>
      <c r="G109" s="7">
        <f>SUM(G96:G108)</f>
        <v>0</v>
      </c>
      <c r="H109" s="8">
        <f>SUM(H96:H108)</f>
        <v>0</v>
      </c>
      <c r="I109" s="9" t="e">
        <f t="shared" si="25"/>
        <v>#DIV/0!</v>
      </c>
      <c r="J109" s="213">
        <f>SUM(J96:J108)</f>
        <v>0</v>
      </c>
      <c r="K109" s="52" t="e">
        <f t="shared" si="22"/>
        <v>#DIV/0!</v>
      </c>
      <c r="L109" s="213">
        <f>SUM(L96:L108)</f>
        <v>0</v>
      </c>
      <c r="M109" s="9" t="e">
        <f t="shared" si="23"/>
        <v>#DIV/0!</v>
      </c>
      <c r="N109" s="213">
        <f t="shared" ref="N109:V109" si="31">SUM(N96:N108)</f>
        <v>0</v>
      </c>
      <c r="O109" s="120">
        <f t="shared" si="31"/>
        <v>0</v>
      </c>
      <c r="P109" s="121">
        <f t="shared" si="31"/>
        <v>0</v>
      </c>
      <c r="Q109" s="120">
        <f t="shared" si="31"/>
        <v>0</v>
      </c>
      <c r="R109" s="121">
        <f t="shared" si="31"/>
        <v>0</v>
      </c>
      <c r="S109" s="120">
        <f t="shared" si="31"/>
        <v>0</v>
      </c>
      <c r="T109" s="121">
        <f t="shared" si="31"/>
        <v>0</v>
      </c>
      <c r="U109" s="120">
        <f t="shared" si="31"/>
        <v>0</v>
      </c>
      <c r="V109" s="122">
        <f t="shared" si="31"/>
        <v>0</v>
      </c>
      <c r="W109" s="216"/>
      <c r="AB109" s="2">
        <f t="shared" si="29"/>
        <v>0</v>
      </c>
    </row>
    <row r="110" spans="1:28">
      <c r="A110" s="20" t="str">
        <f t="shared" si="20"/>
        <v/>
      </c>
      <c r="B110" s="1007" t="s">
        <v>151</v>
      </c>
      <c r="C110" s="1016" t="s">
        <v>76</v>
      </c>
      <c r="D110" s="994">
        <v>23</v>
      </c>
      <c r="E110" s="903" t="s">
        <v>154</v>
      </c>
      <c r="F110" s="432" t="s">
        <v>62</v>
      </c>
      <c r="G110" s="734"/>
      <c r="H110" s="735"/>
      <c r="I110" s="238" t="str">
        <f t="shared" si="25"/>
        <v/>
      </c>
      <c r="J110" s="250"/>
      <c r="K110" s="249" t="str">
        <f t="shared" si="22"/>
        <v/>
      </c>
      <c r="L110" s="250"/>
      <c r="M110" s="238" t="str">
        <f t="shared" si="23"/>
        <v/>
      </c>
      <c r="N110" s="846"/>
      <c r="O110" s="240"/>
      <c r="P110" s="241"/>
      <c r="Q110" s="240"/>
      <c r="R110" s="241"/>
      <c r="S110" s="304"/>
      <c r="T110" s="305"/>
      <c r="U110" s="304"/>
      <c r="V110" s="306"/>
      <c r="W110" s="277" t="s">
        <v>206</v>
      </c>
      <c r="AB110" s="2" t="str">
        <f t="shared" si="29"/>
        <v/>
      </c>
    </row>
    <row r="111" spans="1:28" ht="15.75" customHeight="1">
      <c r="A111" s="20" t="str">
        <f t="shared" si="20"/>
        <v/>
      </c>
      <c r="B111" s="1007"/>
      <c r="C111" s="1016"/>
      <c r="D111" s="994"/>
      <c r="E111" s="905" t="s">
        <v>155</v>
      </c>
      <c r="F111" s="435" t="s">
        <v>62</v>
      </c>
      <c r="G111" s="736"/>
      <c r="H111" s="737"/>
      <c r="I111" s="239" t="str">
        <f t="shared" si="25"/>
        <v/>
      </c>
      <c r="J111" s="255"/>
      <c r="K111" s="254" t="str">
        <f t="shared" si="22"/>
        <v/>
      </c>
      <c r="L111" s="255"/>
      <c r="M111" s="239" t="str">
        <f t="shared" si="23"/>
        <v/>
      </c>
      <c r="N111" s="851"/>
      <c r="O111" s="242"/>
      <c r="P111" s="243"/>
      <c r="Q111" s="242"/>
      <c r="R111" s="243"/>
      <c r="S111" s="307"/>
      <c r="T111" s="308"/>
      <c r="U111" s="307"/>
      <c r="V111" s="309"/>
      <c r="W111" s="278" t="s">
        <v>206</v>
      </c>
      <c r="AB111" s="2" t="str">
        <f t="shared" si="29"/>
        <v/>
      </c>
    </row>
    <row r="112" spans="1:28" ht="15.75" customHeight="1">
      <c r="A112" s="20" t="str">
        <f t="shared" si="20"/>
        <v/>
      </c>
      <c r="B112" s="1007"/>
      <c r="C112" s="1016"/>
      <c r="D112" s="994"/>
      <c r="E112" s="905" t="s">
        <v>156</v>
      </c>
      <c r="F112" s="435" t="s">
        <v>62</v>
      </c>
      <c r="G112" s="736"/>
      <c r="H112" s="737"/>
      <c r="I112" s="239" t="str">
        <f t="shared" si="25"/>
        <v/>
      </c>
      <c r="J112" s="255"/>
      <c r="K112" s="254" t="str">
        <f t="shared" si="22"/>
        <v/>
      </c>
      <c r="L112" s="255"/>
      <c r="M112" s="239" t="str">
        <f t="shared" si="23"/>
        <v/>
      </c>
      <c r="N112" s="851"/>
      <c r="O112" s="242"/>
      <c r="P112" s="243"/>
      <c r="Q112" s="242"/>
      <c r="R112" s="243"/>
      <c r="S112" s="307"/>
      <c r="T112" s="308"/>
      <c r="U112" s="307"/>
      <c r="V112" s="309"/>
      <c r="W112" s="278" t="s">
        <v>206</v>
      </c>
      <c r="AB112" s="2" t="str">
        <f t="shared" si="29"/>
        <v/>
      </c>
    </row>
    <row r="113" spans="1:28" ht="15" customHeight="1">
      <c r="A113" s="20" t="str">
        <f t="shared" si="20"/>
        <v/>
      </c>
      <c r="B113" s="1007"/>
      <c r="C113" s="1016"/>
      <c r="D113" s="994"/>
      <c r="E113" s="905" t="s">
        <v>37</v>
      </c>
      <c r="F113" s="438" t="s">
        <v>62</v>
      </c>
      <c r="G113" s="252"/>
      <c r="H113" s="253"/>
      <c r="I113" s="254" t="str">
        <f t="shared" si="25"/>
        <v/>
      </c>
      <c r="J113" s="255"/>
      <c r="K113" s="254" t="str">
        <f t="shared" si="22"/>
        <v/>
      </c>
      <c r="L113" s="255"/>
      <c r="M113" s="254" t="str">
        <f t="shared" si="23"/>
        <v/>
      </c>
      <c r="N113" s="851"/>
      <c r="O113" s="242"/>
      <c r="P113" s="243"/>
      <c r="Q113" s="242"/>
      <c r="R113" s="243"/>
      <c r="S113" s="307"/>
      <c r="T113" s="308"/>
      <c r="U113" s="307"/>
      <c r="V113" s="309"/>
      <c r="W113" s="278" t="s">
        <v>206</v>
      </c>
      <c r="AB113" s="2" t="str">
        <f t="shared" si="29"/>
        <v/>
      </c>
    </row>
    <row r="114" spans="1:28" ht="15" customHeight="1">
      <c r="A114" s="20" t="str">
        <f t="shared" ref="A114:A159" si="32">IF(D114="Sous-total","S",IF(G114="","","X"))</f>
        <v/>
      </c>
      <c r="B114" s="1007"/>
      <c r="C114" s="1016"/>
      <c r="D114" s="994"/>
      <c r="E114" s="905" t="s">
        <v>157</v>
      </c>
      <c r="F114" s="438" t="s">
        <v>62</v>
      </c>
      <c r="G114" s="252"/>
      <c r="H114" s="253"/>
      <c r="I114" s="254" t="str">
        <f t="shared" si="25"/>
        <v/>
      </c>
      <c r="J114" s="255"/>
      <c r="K114" s="254" t="str">
        <f t="shared" si="22"/>
        <v/>
      </c>
      <c r="L114" s="255"/>
      <c r="M114" s="254" t="str">
        <f t="shared" si="23"/>
        <v/>
      </c>
      <c r="N114" s="851"/>
      <c r="O114" s="242"/>
      <c r="P114" s="243"/>
      <c r="Q114" s="242"/>
      <c r="R114" s="243"/>
      <c r="S114" s="307"/>
      <c r="T114" s="308"/>
      <c r="U114" s="307"/>
      <c r="V114" s="309"/>
      <c r="W114" s="278" t="s">
        <v>206</v>
      </c>
      <c r="AB114" s="2" t="str">
        <f t="shared" si="29"/>
        <v/>
      </c>
    </row>
    <row r="115" spans="1:28" ht="15" customHeight="1">
      <c r="A115" s="20" t="str">
        <f t="shared" si="32"/>
        <v/>
      </c>
      <c r="B115" s="1007"/>
      <c r="C115" s="1016"/>
      <c r="D115" s="994"/>
      <c r="E115" s="905" t="s">
        <v>38</v>
      </c>
      <c r="F115" s="438" t="s">
        <v>62</v>
      </c>
      <c r="G115" s="252"/>
      <c r="H115" s="253"/>
      <c r="I115" s="254" t="str">
        <f t="shared" si="25"/>
        <v/>
      </c>
      <c r="J115" s="255"/>
      <c r="K115" s="254" t="str">
        <f t="shared" si="22"/>
        <v/>
      </c>
      <c r="L115" s="255"/>
      <c r="M115" s="254" t="str">
        <f t="shared" si="23"/>
        <v/>
      </c>
      <c r="N115" s="851"/>
      <c r="O115" s="242"/>
      <c r="P115" s="243"/>
      <c r="Q115" s="242"/>
      <c r="R115" s="243"/>
      <c r="S115" s="307"/>
      <c r="T115" s="308"/>
      <c r="U115" s="307"/>
      <c r="V115" s="309"/>
      <c r="W115" s="278" t="s">
        <v>206</v>
      </c>
      <c r="AB115" s="2" t="str">
        <f t="shared" si="29"/>
        <v/>
      </c>
    </row>
    <row r="116" spans="1:28" ht="15" customHeight="1">
      <c r="A116" s="20" t="str">
        <f t="shared" si="32"/>
        <v/>
      </c>
      <c r="B116" s="1007"/>
      <c r="C116" s="1016"/>
      <c r="D116" s="994"/>
      <c r="E116" s="905" t="s">
        <v>158</v>
      </c>
      <c r="F116" s="435" t="s">
        <v>62</v>
      </c>
      <c r="G116" s="252"/>
      <c r="H116" s="253"/>
      <c r="I116" s="254" t="str">
        <f t="shared" si="25"/>
        <v/>
      </c>
      <c r="J116" s="255"/>
      <c r="K116" s="254" t="str">
        <f t="shared" si="22"/>
        <v/>
      </c>
      <c r="L116" s="255"/>
      <c r="M116" s="254" t="str">
        <f t="shared" si="23"/>
        <v/>
      </c>
      <c r="N116" s="851"/>
      <c r="O116" s="242"/>
      <c r="P116" s="243"/>
      <c r="Q116" s="242"/>
      <c r="R116" s="243"/>
      <c r="S116" s="307"/>
      <c r="T116" s="308"/>
      <c r="U116" s="307"/>
      <c r="V116" s="309"/>
      <c r="W116" s="278" t="s">
        <v>206</v>
      </c>
      <c r="AB116" s="2" t="str">
        <f t="shared" si="29"/>
        <v/>
      </c>
    </row>
    <row r="117" spans="1:28" ht="15" customHeight="1">
      <c r="A117" s="20" t="str">
        <f t="shared" si="32"/>
        <v/>
      </c>
      <c r="B117" s="1007"/>
      <c r="C117" s="1016"/>
      <c r="D117" s="994"/>
      <c r="E117" s="905" t="s">
        <v>148</v>
      </c>
      <c r="F117" s="435" t="s">
        <v>62</v>
      </c>
      <c r="G117" s="252"/>
      <c r="H117" s="253"/>
      <c r="I117" s="254" t="str">
        <f t="shared" si="25"/>
        <v/>
      </c>
      <c r="J117" s="255"/>
      <c r="K117" s="254" t="str">
        <f t="shared" si="22"/>
        <v/>
      </c>
      <c r="L117" s="255"/>
      <c r="M117" s="254" t="str">
        <f t="shared" si="23"/>
        <v/>
      </c>
      <c r="N117" s="851"/>
      <c r="O117" s="242"/>
      <c r="P117" s="243"/>
      <c r="Q117" s="242"/>
      <c r="R117" s="243"/>
      <c r="S117" s="307"/>
      <c r="T117" s="308"/>
      <c r="U117" s="307"/>
      <c r="V117" s="309"/>
      <c r="W117" s="278" t="s">
        <v>206</v>
      </c>
      <c r="AB117" s="2" t="str">
        <f t="shared" si="29"/>
        <v/>
      </c>
    </row>
    <row r="118" spans="1:28" ht="15" customHeight="1">
      <c r="A118" s="20" t="str">
        <f t="shared" si="32"/>
        <v/>
      </c>
      <c r="B118" s="1007"/>
      <c r="C118" s="1016"/>
      <c r="D118" s="994"/>
      <c r="E118" s="905" t="s">
        <v>149</v>
      </c>
      <c r="F118" s="438" t="s">
        <v>62</v>
      </c>
      <c r="G118" s="738"/>
      <c r="H118" s="739"/>
      <c r="I118" s="740" t="str">
        <f t="shared" si="25"/>
        <v/>
      </c>
      <c r="J118" s="741"/>
      <c r="K118" s="740" t="str">
        <f t="shared" si="22"/>
        <v/>
      </c>
      <c r="L118" s="741"/>
      <c r="M118" s="740" t="str">
        <f t="shared" si="23"/>
        <v/>
      </c>
      <c r="N118" s="741"/>
      <c r="O118" s="742"/>
      <c r="P118" s="743"/>
      <c r="Q118" s="742"/>
      <c r="R118" s="743"/>
      <c r="S118" s="744"/>
      <c r="T118" s="745"/>
      <c r="U118" s="744"/>
      <c r="V118" s="746"/>
      <c r="W118" s="278" t="s">
        <v>206</v>
      </c>
      <c r="AB118" s="2" t="str">
        <f t="shared" si="29"/>
        <v/>
      </c>
    </row>
    <row r="119" spans="1:28" ht="15" customHeight="1">
      <c r="A119" s="20" t="str">
        <f t="shared" si="32"/>
        <v/>
      </c>
      <c r="B119" s="1007"/>
      <c r="C119" s="1016"/>
      <c r="D119" s="994"/>
      <c r="E119" s="961" t="s">
        <v>166</v>
      </c>
      <c r="F119" s="438" t="s">
        <v>62</v>
      </c>
      <c r="G119" s="252"/>
      <c r="H119" s="253"/>
      <c r="I119" s="254" t="str">
        <f t="shared" si="25"/>
        <v/>
      </c>
      <c r="J119" s="255"/>
      <c r="K119" s="254" t="str">
        <f t="shared" si="22"/>
        <v/>
      </c>
      <c r="L119" s="255"/>
      <c r="M119" s="254" t="str">
        <f t="shared" si="23"/>
        <v/>
      </c>
      <c r="N119" s="851"/>
      <c r="O119" s="242"/>
      <c r="P119" s="243"/>
      <c r="Q119" s="242"/>
      <c r="R119" s="243"/>
      <c r="S119" s="307"/>
      <c r="T119" s="308"/>
      <c r="U119" s="307"/>
      <c r="V119" s="309"/>
      <c r="W119" s="278" t="s">
        <v>206</v>
      </c>
      <c r="AB119" s="2" t="str">
        <f t="shared" si="29"/>
        <v/>
      </c>
    </row>
    <row r="120" spans="1:28" ht="15" customHeight="1">
      <c r="A120" s="20" t="str">
        <f t="shared" si="32"/>
        <v/>
      </c>
      <c r="B120" s="1007"/>
      <c r="C120" s="1016"/>
      <c r="D120" s="994"/>
      <c r="E120" s="961" t="s">
        <v>166</v>
      </c>
      <c r="F120" s="438" t="s">
        <v>62</v>
      </c>
      <c r="G120" s="252"/>
      <c r="H120" s="253"/>
      <c r="I120" s="254" t="str">
        <f t="shared" si="25"/>
        <v/>
      </c>
      <c r="J120" s="255"/>
      <c r="K120" s="254" t="str">
        <f t="shared" si="22"/>
        <v/>
      </c>
      <c r="L120" s="255"/>
      <c r="M120" s="254" t="str">
        <f t="shared" si="23"/>
        <v/>
      </c>
      <c r="N120" s="851"/>
      <c r="O120" s="242"/>
      <c r="P120" s="243"/>
      <c r="Q120" s="242"/>
      <c r="R120" s="243"/>
      <c r="S120" s="307"/>
      <c r="T120" s="308"/>
      <c r="U120" s="307"/>
      <c r="V120" s="309"/>
      <c r="W120" s="278" t="s">
        <v>206</v>
      </c>
      <c r="AB120" s="2" t="str">
        <f t="shared" si="29"/>
        <v/>
      </c>
    </row>
    <row r="121" spans="1:28" ht="15" customHeight="1">
      <c r="A121" s="20" t="str">
        <f t="shared" si="32"/>
        <v/>
      </c>
      <c r="B121" s="1007"/>
      <c r="C121" s="1016"/>
      <c r="D121" s="994"/>
      <c r="E121" s="905" t="s">
        <v>152</v>
      </c>
      <c r="F121" s="438" t="s">
        <v>62</v>
      </c>
      <c r="G121" s="738"/>
      <c r="H121" s="739"/>
      <c r="I121" s="740" t="str">
        <f t="shared" si="25"/>
        <v/>
      </c>
      <c r="J121" s="741"/>
      <c r="K121" s="740" t="str">
        <f t="shared" si="22"/>
        <v/>
      </c>
      <c r="L121" s="741"/>
      <c r="M121" s="740" t="str">
        <f t="shared" si="23"/>
        <v/>
      </c>
      <c r="N121" s="741"/>
      <c r="O121" s="742"/>
      <c r="P121" s="743"/>
      <c r="Q121" s="742"/>
      <c r="R121" s="743"/>
      <c r="S121" s="744"/>
      <c r="T121" s="745"/>
      <c r="U121" s="744"/>
      <c r="V121" s="746"/>
      <c r="W121" s="278" t="s">
        <v>206</v>
      </c>
      <c r="AB121" s="2" t="str">
        <f t="shared" si="29"/>
        <v/>
      </c>
    </row>
    <row r="122" spans="1:28" ht="15" customHeight="1">
      <c r="A122" s="20" t="str">
        <f t="shared" si="32"/>
        <v/>
      </c>
      <c r="B122" s="1007"/>
      <c r="C122" s="1016"/>
      <c r="D122" s="994"/>
      <c r="E122" s="961" t="s">
        <v>166</v>
      </c>
      <c r="F122" s="438"/>
      <c r="G122" s="738"/>
      <c r="H122" s="739"/>
      <c r="I122" s="740"/>
      <c r="J122" s="741"/>
      <c r="K122" s="740"/>
      <c r="L122" s="741"/>
      <c r="M122" s="740"/>
      <c r="N122" s="741"/>
      <c r="O122" s="742"/>
      <c r="P122" s="743"/>
      <c r="Q122" s="742"/>
      <c r="R122" s="743"/>
      <c r="S122" s="744"/>
      <c r="T122" s="745"/>
      <c r="U122" s="744"/>
      <c r="V122" s="746"/>
      <c r="W122" s="279"/>
    </row>
    <row r="123" spans="1:28" ht="15" customHeight="1">
      <c r="A123" s="20" t="str">
        <f t="shared" si="32"/>
        <v/>
      </c>
      <c r="B123" s="1007"/>
      <c r="C123" s="1016"/>
      <c r="D123" s="994"/>
      <c r="E123" s="961" t="s">
        <v>166</v>
      </c>
      <c r="F123" s="438"/>
      <c r="G123" s="738"/>
      <c r="H123" s="739"/>
      <c r="I123" s="740"/>
      <c r="J123" s="741"/>
      <c r="K123" s="740"/>
      <c r="L123" s="741"/>
      <c r="M123" s="740"/>
      <c r="N123" s="741"/>
      <c r="O123" s="742"/>
      <c r="P123" s="743"/>
      <c r="Q123" s="742"/>
      <c r="R123" s="743"/>
      <c r="S123" s="744"/>
      <c r="T123" s="745"/>
      <c r="U123" s="744"/>
      <c r="V123" s="746"/>
      <c r="W123" s="279"/>
    </row>
    <row r="124" spans="1:28" ht="15" customHeight="1">
      <c r="A124" s="20" t="str">
        <f t="shared" si="32"/>
        <v/>
      </c>
      <c r="B124" s="1007"/>
      <c r="C124" s="1016"/>
      <c r="D124" s="994"/>
      <c r="E124" s="962" t="s">
        <v>166</v>
      </c>
      <c r="F124" s="480"/>
      <c r="G124" s="766"/>
      <c r="H124" s="767"/>
      <c r="I124" s="768"/>
      <c r="J124" s="769"/>
      <c r="K124" s="768"/>
      <c r="L124" s="769"/>
      <c r="M124" s="768"/>
      <c r="N124" s="769"/>
      <c r="O124" s="770"/>
      <c r="P124" s="771"/>
      <c r="Q124" s="770"/>
      <c r="R124" s="771"/>
      <c r="S124" s="772"/>
      <c r="T124" s="773"/>
      <c r="U124" s="772"/>
      <c r="V124" s="774"/>
      <c r="W124" s="279"/>
    </row>
    <row r="125" spans="1:28" ht="15.75">
      <c r="A125" s="20" t="str">
        <f t="shared" si="32"/>
        <v>S</v>
      </c>
      <c r="B125" s="1007"/>
      <c r="C125" s="1016"/>
      <c r="D125" s="333" t="s">
        <v>138</v>
      </c>
      <c r="E125" s="898"/>
      <c r="F125" s="264"/>
      <c r="G125" s="7">
        <f>SUM(G110:G124)</f>
        <v>0</v>
      </c>
      <c r="H125" s="8">
        <f>SUM(H110:H124)</f>
        <v>0</v>
      </c>
      <c r="I125" s="9" t="e">
        <f t="shared" si="25"/>
        <v>#DIV/0!</v>
      </c>
      <c r="J125" s="213">
        <f>SUM(J110:J124)</f>
        <v>0</v>
      </c>
      <c r="K125" s="52" t="e">
        <f t="shared" si="22"/>
        <v>#DIV/0!</v>
      </c>
      <c r="L125" s="213">
        <f>SUM(L110:L124)</f>
        <v>0</v>
      </c>
      <c r="M125" s="9" t="e">
        <f t="shared" si="23"/>
        <v>#DIV/0!</v>
      </c>
      <c r="N125" s="213">
        <f t="shared" ref="N125:V125" si="33">SUM(N110:N124)</f>
        <v>0</v>
      </c>
      <c r="O125" s="120">
        <f t="shared" si="33"/>
        <v>0</v>
      </c>
      <c r="P125" s="121">
        <f t="shared" si="33"/>
        <v>0</v>
      </c>
      <c r="Q125" s="120">
        <f t="shared" si="33"/>
        <v>0</v>
      </c>
      <c r="R125" s="121">
        <f t="shared" si="33"/>
        <v>0</v>
      </c>
      <c r="S125" s="120">
        <f t="shared" si="33"/>
        <v>0</v>
      </c>
      <c r="T125" s="121">
        <f t="shared" si="33"/>
        <v>0</v>
      </c>
      <c r="U125" s="120">
        <f t="shared" si="33"/>
        <v>0</v>
      </c>
      <c r="V125" s="122">
        <f t="shared" si="33"/>
        <v>0</v>
      </c>
      <c r="W125" s="279"/>
      <c r="AB125" s="2">
        <f t="shared" si="29"/>
        <v>0</v>
      </c>
    </row>
    <row r="126" spans="1:28" ht="15.75" customHeight="1">
      <c r="A126" s="20" t="str">
        <f t="shared" si="32"/>
        <v/>
      </c>
      <c r="B126" s="1022" t="s">
        <v>72</v>
      </c>
      <c r="C126" s="1016" t="s">
        <v>76</v>
      </c>
      <c r="D126" s="994">
        <v>3</v>
      </c>
      <c r="E126" s="903" t="s">
        <v>150</v>
      </c>
      <c r="F126" s="473" t="s">
        <v>62</v>
      </c>
      <c r="G126" s="247"/>
      <c r="H126" s="248"/>
      <c r="I126" s="249" t="str">
        <f t="shared" si="25"/>
        <v/>
      </c>
      <c r="J126" s="250"/>
      <c r="K126" s="249" t="str">
        <f t="shared" si="22"/>
        <v/>
      </c>
      <c r="L126" s="250"/>
      <c r="M126" s="249" t="str">
        <f t="shared" si="23"/>
        <v/>
      </c>
      <c r="N126" s="846"/>
      <c r="O126" s="240"/>
      <c r="P126" s="241"/>
      <c r="Q126" s="240"/>
      <c r="R126" s="241"/>
      <c r="S126" s="304"/>
      <c r="T126" s="305"/>
      <c r="U126" s="304"/>
      <c r="V126" s="306"/>
      <c r="W126" s="216" t="s">
        <v>206</v>
      </c>
      <c r="AB126" s="2" t="str">
        <f t="shared" si="29"/>
        <v/>
      </c>
    </row>
    <row r="127" spans="1:28" ht="15.75" customHeight="1">
      <c r="A127" s="20" t="str">
        <f t="shared" si="32"/>
        <v/>
      </c>
      <c r="B127" s="1022"/>
      <c r="C127" s="1016"/>
      <c r="D127" s="994"/>
      <c r="E127" s="905" t="s">
        <v>153</v>
      </c>
      <c r="F127" s="438" t="s">
        <v>62</v>
      </c>
      <c r="G127" s="252"/>
      <c r="H127" s="253"/>
      <c r="I127" s="254" t="str">
        <f t="shared" si="25"/>
        <v/>
      </c>
      <c r="J127" s="255"/>
      <c r="K127" s="254" t="str">
        <f t="shared" si="22"/>
        <v/>
      </c>
      <c r="L127" s="255"/>
      <c r="M127" s="254" t="str">
        <f t="shared" si="23"/>
        <v/>
      </c>
      <c r="N127" s="851"/>
      <c r="O127" s="242"/>
      <c r="P127" s="243"/>
      <c r="Q127" s="242"/>
      <c r="R127" s="243"/>
      <c r="S127" s="307"/>
      <c r="T127" s="308"/>
      <c r="U127" s="307"/>
      <c r="V127" s="309"/>
      <c r="W127" s="216" t="s">
        <v>206</v>
      </c>
      <c r="AB127" s="2" t="str">
        <f t="shared" si="29"/>
        <v/>
      </c>
    </row>
    <row r="128" spans="1:28" ht="15.75" customHeight="1">
      <c r="A128" s="20" t="str">
        <f t="shared" si="32"/>
        <v/>
      </c>
      <c r="B128" s="1022"/>
      <c r="C128" s="1016"/>
      <c r="D128" s="994"/>
      <c r="E128" s="961" t="s">
        <v>166</v>
      </c>
      <c r="F128" s="438" t="s">
        <v>62</v>
      </c>
      <c r="G128" s="252"/>
      <c r="H128" s="253"/>
      <c r="I128" s="254" t="str">
        <f t="shared" si="25"/>
        <v/>
      </c>
      <c r="J128" s="255"/>
      <c r="K128" s="254" t="str">
        <f t="shared" si="22"/>
        <v/>
      </c>
      <c r="L128" s="255"/>
      <c r="M128" s="254" t="str">
        <f t="shared" si="23"/>
        <v/>
      </c>
      <c r="N128" s="851"/>
      <c r="O128" s="242"/>
      <c r="P128" s="243"/>
      <c r="Q128" s="242"/>
      <c r="R128" s="243"/>
      <c r="S128" s="307"/>
      <c r="T128" s="308"/>
      <c r="U128" s="307"/>
      <c r="V128" s="309"/>
      <c r="W128" s="216" t="s">
        <v>206</v>
      </c>
      <c r="AB128" s="2" t="str">
        <f t="shared" si="29"/>
        <v/>
      </c>
    </row>
    <row r="129" spans="1:28" ht="15.75" customHeight="1">
      <c r="A129" s="20" t="str">
        <f t="shared" si="32"/>
        <v/>
      </c>
      <c r="B129" s="1022"/>
      <c r="C129" s="1016"/>
      <c r="D129" s="994"/>
      <c r="E129" s="961" t="s">
        <v>166</v>
      </c>
      <c r="F129" s="438" t="s">
        <v>62</v>
      </c>
      <c r="G129" s="252"/>
      <c r="H129" s="253"/>
      <c r="I129" s="254" t="str">
        <f t="shared" si="25"/>
        <v/>
      </c>
      <c r="J129" s="255"/>
      <c r="K129" s="254" t="str">
        <f t="shared" ref="K129:K161" si="34">IF(L129="","",L129/G129)</f>
        <v/>
      </c>
      <c r="L129" s="255"/>
      <c r="M129" s="254" t="str">
        <f t="shared" ref="M129:M161" si="35">IF(N129="","",N129/L129)</f>
        <v/>
      </c>
      <c r="N129" s="851"/>
      <c r="O129" s="242"/>
      <c r="P129" s="243"/>
      <c r="Q129" s="242"/>
      <c r="R129" s="243"/>
      <c r="S129" s="307"/>
      <c r="T129" s="308"/>
      <c r="U129" s="307"/>
      <c r="V129" s="309"/>
      <c r="W129" s="216" t="s">
        <v>206</v>
      </c>
      <c r="AB129" s="2" t="str">
        <f t="shared" si="29"/>
        <v/>
      </c>
    </row>
    <row r="130" spans="1:28" ht="15.75" customHeight="1">
      <c r="A130" s="20" t="str">
        <f t="shared" si="32"/>
        <v/>
      </c>
      <c r="B130" s="1022"/>
      <c r="C130" s="1016"/>
      <c r="D130" s="994"/>
      <c r="E130" s="905" t="s">
        <v>36</v>
      </c>
      <c r="F130" s="438" t="s">
        <v>62</v>
      </c>
      <c r="G130" s="252"/>
      <c r="H130" s="253"/>
      <c r="I130" s="254" t="str">
        <f t="shared" si="25"/>
        <v/>
      </c>
      <c r="J130" s="255"/>
      <c r="K130" s="254" t="str">
        <f t="shared" si="34"/>
        <v/>
      </c>
      <c r="L130" s="255"/>
      <c r="M130" s="254" t="str">
        <f t="shared" si="35"/>
        <v/>
      </c>
      <c r="N130" s="851"/>
      <c r="O130" s="242"/>
      <c r="P130" s="243"/>
      <c r="Q130" s="242"/>
      <c r="R130" s="243"/>
      <c r="S130" s="307"/>
      <c r="T130" s="308"/>
      <c r="U130" s="307"/>
      <c r="V130" s="309"/>
      <c r="W130" s="216" t="s">
        <v>206</v>
      </c>
      <c r="AB130" s="2" t="str">
        <f t="shared" si="29"/>
        <v/>
      </c>
    </row>
    <row r="131" spans="1:28" ht="15.75" customHeight="1">
      <c r="A131" s="20" t="str">
        <f t="shared" si="32"/>
        <v/>
      </c>
      <c r="B131" s="1022"/>
      <c r="C131" s="1016"/>
      <c r="D131" s="994"/>
      <c r="E131" s="961" t="s">
        <v>166</v>
      </c>
      <c r="F131" s="438"/>
      <c r="G131" s="252"/>
      <c r="H131" s="253"/>
      <c r="I131" s="254"/>
      <c r="J131" s="255"/>
      <c r="K131" s="254"/>
      <c r="L131" s="255"/>
      <c r="M131" s="254"/>
      <c r="N131" s="851"/>
      <c r="O131" s="242"/>
      <c r="P131" s="243"/>
      <c r="Q131" s="242"/>
      <c r="R131" s="243"/>
      <c r="S131" s="307"/>
      <c r="T131" s="308"/>
      <c r="U131" s="307"/>
      <c r="V131" s="309"/>
      <c r="W131" s="216"/>
    </row>
    <row r="132" spans="1:28" ht="15.75" customHeight="1">
      <c r="A132" s="20" t="str">
        <f t="shared" si="32"/>
        <v/>
      </c>
      <c r="B132" s="1022"/>
      <c r="C132" s="1016"/>
      <c r="D132" s="994"/>
      <c r="E132" s="961" t="s">
        <v>166</v>
      </c>
      <c r="F132" s="438"/>
      <c r="G132" s="252"/>
      <c r="H132" s="253"/>
      <c r="I132" s="254"/>
      <c r="J132" s="255"/>
      <c r="K132" s="254"/>
      <c r="L132" s="255"/>
      <c r="M132" s="254"/>
      <c r="N132" s="851"/>
      <c r="O132" s="242"/>
      <c r="P132" s="243"/>
      <c r="Q132" s="242"/>
      <c r="R132" s="243"/>
      <c r="S132" s="307"/>
      <c r="T132" s="308"/>
      <c r="U132" s="307"/>
      <c r="V132" s="309"/>
      <c r="W132" s="216"/>
    </row>
    <row r="133" spans="1:28" ht="15.75" customHeight="1">
      <c r="A133" s="20" t="str">
        <f t="shared" si="32"/>
        <v/>
      </c>
      <c r="B133" s="1022"/>
      <c r="C133" s="1016"/>
      <c r="D133" s="994"/>
      <c r="E133" s="962" t="s">
        <v>166</v>
      </c>
      <c r="F133" s="480"/>
      <c r="G133" s="257"/>
      <c r="H133" s="258"/>
      <c r="I133" s="259"/>
      <c r="J133" s="260"/>
      <c r="K133" s="259"/>
      <c r="L133" s="260"/>
      <c r="M133" s="259"/>
      <c r="N133" s="856"/>
      <c r="O133" s="244"/>
      <c r="P133" s="245"/>
      <c r="Q133" s="244"/>
      <c r="R133" s="245"/>
      <c r="S133" s="310"/>
      <c r="T133" s="311"/>
      <c r="U133" s="310"/>
      <c r="V133" s="312"/>
      <c r="W133" s="216"/>
    </row>
    <row r="134" spans="1:28" ht="15.75" customHeight="1">
      <c r="A134" s="20" t="str">
        <f t="shared" si="32"/>
        <v>S</v>
      </c>
      <c r="B134" s="1022"/>
      <c r="C134" s="1016"/>
      <c r="D134" s="333" t="s">
        <v>138</v>
      </c>
      <c r="E134" s="898"/>
      <c r="F134" s="264"/>
      <c r="G134" s="7">
        <f>SUM(G126:G133)</f>
        <v>0</v>
      </c>
      <c r="H134" s="8">
        <f>SUM(H126:H133)</f>
        <v>0</v>
      </c>
      <c r="I134" s="9" t="e">
        <f t="shared" si="25"/>
        <v>#DIV/0!</v>
      </c>
      <c r="J134" s="213">
        <f>SUM(J126:J133)</f>
        <v>0</v>
      </c>
      <c r="K134" s="52" t="e">
        <f t="shared" si="34"/>
        <v>#DIV/0!</v>
      </c>
      <c r="L134" s="213">
        <f>SUM(L126:L133)</f>
        <v>0</v>
      </c>
      <c r="M134" s="9" t="e">
        <f t="shared" si="35"/>
        <v>#DIV/0!</v>
      </c>
      <c r="N134" s="213">
        <f t="shared" ref="N134:V134" si="36">SUM(N126:N133)</f>
        <v>0</v>
      </c>
      <c r="O134" s="120">
        <f t="shared" si="36"/>
        <v>0</v>
      </c>
      <c r="P134" s="121">
        <f t="shared" si="36"/>
        <v>0</v>
      </c>
      <c r="Q134" s="120">
        <f t="shared" si="36"/>
        <v>0</v>
      </c>
      <c r="R134" s="121">
        <f t="shared" si="36"/>
        <v>0</v>
      </c>
      <c r="S134" s="120">
        <f t="shared" si="36"/>
        <v>0</v>
      </c>
      <c r="T134" s="121">
        <f t="shared" si="36"/>
        <v>0</v>
      </c>
      <c r="U134" s="120">
        <f t="shared" si="36"/>
        <v>0</v>
      </c>
      <c r="V134" s="122">
        <f t="shared" si="36"/>
        <v>0</v>
      </c>
      <c r="W134" s="216"/>
      <c r="AB134" s="2">
        <f t="shared" si="29"/>
        <v>0</v>
      </c>
    </row>
    <row r="135" spans="1:28" ht="15.75" customHeight="1">
      <c r="A135" s="20" t="str">
        <f t="shared" si="32"/>
        <v/>
      </c>
      <c r="B135" s="980" t="s">
        <v>3</v>
      </c>
      <c r="C135" s="983" t="s">
        <v>76</v>
      </c>
      <c r="D135" s="988">
        <v>14</v>
      </c>
      <c r="E135" s="901" t="s">
        <v>48</v>
      </c>
      <c r="F135" s="246" t="s">
        <v>61</v>
      </c>
      <c r="G135" s="247"/>
      <c r="H135" s="248"/>
      <c r="I135" s="249" t="str">
        <f t="shared" si="25"/>
        <v/>
      </c>
      <c r="J135" s="250"/>
      <c r="K135" s="249" t="str">
        <f t="shared" si="34"/>
        <v/>
      </c>
      <c r="L135" s="250"/>
      <c r="M135" s="249" t="str">
        <f t="shared" si="35"/>
        <v/>
      </c>
      <c r="N135" s="846"/>
      <c r="O135" s="240"/>
      <c r="P135" s="241"/>
      <c r="Q135" s="240"/>
      <c r="R135" s="241"/>
      <c r="S135" s="721"/>
      <c r="T135" s="722"/>
      <c r="U135" s="721"/>
      <c r="V135" s="723"/>
      <c r="W135" s="216" t="s">
        <v>206</v>
      </c>
      <c r="AB135" s="2" t="str">
        <f t="shared" si="29"/>
        <v/>
      </c>
    </row>
    <row r="136" spans="1:28" ht="15.75" customHeight="1">
      <c r="A136" s="20" t="str">
        <f t="shared" si="32"/>
        <v>X</v>
      </c>
      <c r="B136" s="981"/>
      <c r="C136" s="984"/>
      <c r="D136" s="989"/>
      <c r="E136" s="902" t="s">
        <v>49</v>
      </c>
      <c r="F136" s="251" t="s">
        <v>61</v>
      </c>
      <c r="G136" s="252">
        <v>503</v>
      </c>
      <c r="H136" s="253">
        <v>503</v>
      </c>
      <c r="I136" s="254">
        <f t="shared" si="25"/>
        <v>0.27634194831013914</v>
      </c>
      <c r="J136" s="255">
        <v>139</v>
      </c>
      <c r="K136" s="254">
        <f t="shared" si="34"/>
        <v>0.37773359840954274</v>
      </c>
      <c r="L136" s="255">
        <v>190</v>
      </c>
      <c r="M136" s="254">
        <f t="shared" si="35"/>
        <v>0.36842105263157893</v>
      </c>
      <c r="N136" s="851">
        <v>70</v>
      </c>
      <c r="O136" s="242">
        <v>19</v>
      </c>
      <c r="P136" s="243">
        <v>19</v>
      </c>
      <c r="Q136" s="242"/>
      <c r="R136" s="243"/>
      <c r="S136" s="724"/>
      <c r="T136" s="725"/>
      <c r="U136" s="724"/>
      <c r="V136" s="726"/>
      <c r="W136" s="216" t="s">
        <v>206</v>
      </c>
      <c r="AB136" s="2" t="str">
        <f t="shared" si="29"/>
        <v>Suisse</v>
      </c>
    </row>
    <row r="137" spans="1:28" ht="15.75" customHeight="1">
      <c r="A137" s="20" t="str">
        <f t="shared" si="32"/>
        <v/>
      </c>
      <c r="B137" s="981"/>
      <c r="C137" s="984"/>
      <c r="D137" s="989"/>
      <c r="E137" s="902" t="s">
        <v>81</v>
      </c>
      <c r="F137" s="251" t="s">
        <v>61</v>
      </c>
      <c r="G137" s="252"/>
      <c r="H137" s="253"/>
      <c r="I137" s="254" t="str">
        <f t="shared" si="25"/>
        <v/>
      </c>
      <c r="J137" s="255"/>
      <c r="K137" s="254" t="str">
        <f t="shared" si="34"/>
        <v/>
      </c>
      <c r="L137" s="255"/>
      <c r="M137" s="254" t="str">
        <f t="shared" si="35"/>
        <v/>
      </c>
      <c r="N137" s="851"/>
      <c r="O137" s="242"/>
      <c r="P137" s="243"/>
      <c r="Q137" s="242"/>
      <c r="R137" s="243"/>
      <c r="S137" s="724"/>
      <c r="T137" s="725"/>
      <c r="U137" s="724"/>
      <c r="V137" s="726"/>
      <c r="W137" s="216" t="s">
        <v>206</v>
      </c>
      <c r="AB137" s="2" t="str">
        <f t="shared" si="29"/>
        <v/>
      </c>
    </row>
    <row r="138" spans="1:28" ht="15.75" customHeight="1">
      <c r="A138" s="20" t="str">
        <f t="shared" si="32"/>
        <v/>
      </c>
      <c r="B138" s="981"/>
      <c r="C138" s="984"/>
      <c r="D138" s="989"/>
      <c r="E138" s="902" t="s">
        <v>73</v>
      </c>
      <c r="F138" s="251" t="s">
        <v>61</v>
      </c>
      <c r="G138" s="252"/>
      <c r="H138" s="253"/>
      <c r="I138" s="254" t="str">
        <f t="shared" si="25"/>
        <v/>
      </c>
      <c r="J138" s="255"/>
      <c r="K138" s="254" t="str">
        <f t="shared" si="34"/>
        <v/>
      </c>
      <c r="L138" s="255"/>
      <c r="M138" s="254" t="str">
        <f t="shared" si="35"/>
        <v/>
      </c>
      <c r="N138" s="851"/>
      <c r="O138" s="242"/>
      <c r="P138" s="243"/>
      <c r="Q138" s="242"/>
      <c r="R138" s="243"/>
      <c r="S138" s="724"/>
      <c r="T138" s="725"/>
      <c r="U138" s="724"/>
      <c r="V138" s="726"/>
      <c r="W138" s="216" t="s">
        <v>206</v>
      </c>
      <c r="AB138" s="2" t="str">
        <f t="shared" si="29"/>
        <v/>
      </c>
    </row>
    <row r="139" spans="1:28" ht="15.75" customHeight="1">
      <c r="A139" s="20" t="str">
        <f t="shared" si="32"/>
        <v/>
      </c>
      <c r="B139" s="981"/>
      <c r="C139" s="984"/>
      <c r="D139" s="989"/>
      <c r="E139" s="902" t="s">
        <v>50</v>
      </c>
      <c r="F139" s="251" t="s">
        <v>61</v>
      </c>
      <c r="G139" s="252"/>
      <c r="H139" s="253"/>
      <c r="I139" s="254" t="str">
        <f t="shared" si="25"/>
        <v/>
      </c>
      <c r="J139" s="255"/>
      <c r="K139" s="254" t="str">
        <f t="shared" si="34"/>
        <v/>
      </c>
      <c r="L139" s="255"/>
      <c r="M139" s="254" t="str">
        <f t="shared" si="35"/>
        <v/>
      </c>
      <c r="N139" s="851"/>
      <c r="O139" s="242"/>
      <c r="P139" s="243"/>
      <c r="Q139" s="242"/>
      <c r="R139" s="243"/>
      <c r="S139" s="724"/>
      <c r="T139" s="725"/>
      <c r="U139" s="724"/>
      <c r="V139" s="726"/>
      <c r="W139" s="216" t="s">
        <v>206</v>
      </c>
      <c r="AB139" s="2" t="str">
        <f t="shared" si="29"/>
        <v/>
      </c>
    </row>
    <row r="140" spans="1:28" ht="15.75" customHeight="1">
      <c r="A140" s="20" t="str">
        <f t="shared" si="32"/>
        <v/>
      </c>
      <c r="B140" s="981"/>
      <c r="C140" s="984"/>
      <c r="D140" s="989"/>
      <c r="E140" s="902" t="s">
        <v>144</v>
      </c>
      <c r="F140" s="251" t="s">
        <v>61</v>
      </c>
      <c r="G140" s="252"/>
      <c r="H140" s="253"/>
      <c r="I140" s="254" t="str">
        <f t="shared" si="25"/>
        <v/>
      </c>
      <c r="J140" s="255"/>
      <c r="K140" s="254" t="str">
        <f t="shared" si="34"/>
        <v/>
      </c>
      <c r="L140" s="255"/>
      <c r="M140" s="254" t="str">
        <f t="shared" si="35"/>
        <v/>
      </c>
      <c r="N140" s="851"/>
      <c r="O140" s="242"/>
      <c r="P140" s="243"/>
      <c r="Q140" s="242"/>
      <c r="R140" s="243"/>
      <c r="S140" s="724"/>
      <c r="T140" s="725"/>
      <c r="U140" s="724"/>
      <c r="V140" s="726"/>
      <c r="W140" s="216" t="s">
        <v>206</v>
      </c>
      <c r="AB140" s="2" t="str">
        <f t="shared" si="29"/>
        <v/>
      </c>
    </row>
    <row r="141" spans="1:28" ht="15.75" customHeight="1">
      <c r="A141" s="20" t="str">
        <f t="shared" si="32"/>
        <v/>
      </c>
      <c r="B141" s="981"/>
      <c r="C141" s="984"/>
      <c r="D141" s="989"/>
      <c r="E141" s="902" t="s">
        <v>143</v>
      </c>
      <c r="F141" s="251" t="s">
        <v>61</v>
      </c>
      <c r="G141" s="252"/>
      <c r="H141" s="253"/>
      <c r="I141" s="254" t="str">
        <f t="shared" si="25"/>
        <v/>
      </c>
      <c r="J141" s="255"/>
      <c r="K141" s="254" t="str">
        <f t="shared" si="34"/>
        <v/>
      </c>
      <c r="L141" s="255"/>
      <c r="M141" s="254" t="str">
        <f t="shared" si="35"/>
        <v/>
      </c>
      <c r="N141" s="851"/>
      <c r="O141" s="242"/>
      <c r="P141" s="243"/>
      <c r="Q141" s="242"/>
      <c r="R141" s="243"/>
      <c r="S141" s="724"/>
      <c r="T141" s="725"/>
      <c r="U141" s="724"/>
      <c r="V141" s="726"/>
      <c r="W141" s="216" t="s">
        <v>206</v>
      </c>
      <c r="AB141" s="2" t="str">
        <f t="shared" si="29"/>
        <v/>
      </c>
    </row>
    <row r="142" spans="1:28" ht="15.75" customHeight="1">
      <c r="A142" s="20" t="str">
        <f t="shared" si="32"/>
        <v>X</v>
      </c>
      <c r="B142" s="981"/>
      <c r="C142" s="984"/>
      <c r="D142" s="989"/>
      <c r="E142" s="902" t="s">
        <v>176</v>
      </c>
      <c r="F142" s="251" t="s">
        <v>61</v>
      </c>
      <c r="G142" s="252">
        <v>386</v>
      </c>
      <c r="H142" s="253">
        <v>386</v>
      </c>
      <c r="I142" s="254">
        <f t="shared" si="25"/>
        <v>0.4844559585492228</v>
      </c>
      <c r="J142" s="255">
        <v>187</v>
      </c>
      <c r="K142" s="254">
        <f t="shared" si="34"/>
        <v>0.40673575129533679</v>
      </c>
      <c r="L142" s="255">
        <v>157</v>
      </c>
      <c r="M142" s="254">
        <f t="shared" si="35"/>
        <v>0.60509554140127386</v>
      </c>
      <c r="N142" s="851">
        <v>95</v>
      </c>
      <c r="O142" s="242">
        <v>3</v>
      </c>
      <c r="P142" s="243">
        <v>3</v>
      </c>
      <c r="Q142" s="242">
        <v>16</v>
      </c>
      <c r="R142" s="243">
        <v>16</v>
      </c>
      <c r="S142" s="724"/>
      <c r="T142" s="725"/>
      <c r="U142" s="724"/>
      <c r="V142" s="726"/>
      <c r="W142" s="216" t="s">
        <v>206</v>
      </c>
      <c r="AB142" s="2" t="str">
        <f t="shared" si="29"/>
        <v>Suisse</v>
      </c>
    </row>
    <row r="143" spans="1:28" ht="15.75" customHeight="1">
      <c r="A143" s="20" t="str">
        <f t="shared" si="32"/>
        <v>X</v>
      </c>
      <c r="B143" s="981"/>
      <c r="C143" s="984"/>
      <c r="D143" s="989"/>
      <c r="E143" s="902" t="s">
        <v>177</v>
      </c>
      <c r="F143" s="251" t="s">
        <v>61</v>
      </c>
      <c r="G143" s="252">
        <v>393</v>
      </c>
      <c r="H143" s="253">
        <v>393</v>
      </c>
      <c r="I143" s="254">
        <f t="shared" ref="I143:I161" si="37">IF(J143="","",J143/G143)</f>
        <v>0.54452926208651398</v>
      </c>
      <c r="J143" s="255">
        <v>214</v>
      </c>
      <c r="K143" s="254">
        <f t="shared" si="34"/>
        <v>0.37659033078880405</v>
      </c>
      <c r="L143" s="255">
        <v>148</v>
      </c>
      <c r="M143" s="254">
        <f>IF(N143="","",N143/L143)</f>
        <v>0.69594594594594594</v>
      </c>
      <c r="N143" s="851">
        <v>103</v>
      </c>
      <c r="O143" s="242">
        <v>13</v>
      </c>
      <c r="P143" s="243">
        <v>13</v>
      </c>
      <c r="Q143" s="242">
        <v>188</v>
      </c>
      <c r="R143" s="243">
        <v>188</v>
      </c>
      <c r="S143" s="724"/>
      <c r="T143" s="725"/>
      <c r="U143" s="724"/>
      <c r="V143" s="726"/>
      <c r="W143" s="216" t="s">
        <v>206</v>
      </c>
      <c r="AB143" s="2" t="str">
        <f t="shared" si="29"/>
        <v>Suisse</v>
      </c>
    </row>
    <row r="144" spans="1:28" ht="15.75" customHeight="1">
      <c r="A144" s="20" t="str">
        <f t="shared" si="32"/>
        <v/>
      </c>
      <c r="B144" s="981"/>
      <c r="C144" s="984"/>
      <c r="D144" s="989"/>
      <c r="E144" s="902" t="s">
        <v>178</v>
      </c>
      <c r="F144" s="251" t="s">
        <v>61</v>
      </c>
      <c r="G144" s="252"/>
      <c r="H144" s="253"/>
      <c r="I144" s="254" t="str">
        <f t="shared" si="37"/>
        <v/>
      </c>
      <c r="J144" s="255"/>
      <c r="K144" s="254" t="str">
        <f t="shared" si="34"/>
        <v/>
      </c>
      <c r="L144" s="255"/>
      <c r="M144" s="254" t="str">
        <f t="shared" si="35"/>
        <v/>
      </c>
      <c r="N144" s="851"/>
      <c r="O144" s="242"/>
      <c r="P144" s="243"/>
      <c r="Q144" s="242"/>
      <c r="R144" s="243"/>
      <c r="S144" s="724"/>
      <c r="T144" s="725"/>
      <c r="U144" s="724"/>
      <c r="V144" s="726"/>
      <c r="W144" s="216" t="s">
        <v>206</v>
      </c>
      <c r="AB144" s="2" t="str">
        <f t="shared" si="29"/>
        <v/>
      </c>
    </row>
    <row r="145" spans="1:28" ht="15.75" customHeight="1">
      <c r="A145" s="20" t="str">
        <f t="shared" si="32"/>
        <v/>
      </c>
      <c r="B145" s="981"/>
      <c r="C145" s="984"/>
      <c r="D145" s="989"/>
      <c r="E145" s="902" t="s">
        <v>179</v>
      </c>
      <c r="F145" s="251" t="s">
        <v>61</v>
      </c>
      <c r="G145" s="252"/>
      <c r="H145" s="253"/>
      <c r="I145" s="254" t="str">
        <f t="shared" si="37"/>
        <v/>
      </c>
      <c r="J145" s="255"/>
      <c r="K145" s="254" t="str">
        <f t="shared" si="34"/>
        <v/>
      </c>
      <c r="L145" s="255"/>
      <c r="M145" s="254" t="str">
        <f t="shared" si="35"/>
        <v/>
      </c>
      <c r="N145" s="851"/>
      <c r="O145" s="242"/>
      <c r="P145" s="243"/>
      <c r="Q145" s="242"/>
      <c r="R145" s="243"/>
      <c r="S145" s="724"/>
      <c r="T145" s="725"/>
      <c r="U145" s="724"/>
      <c r="V145" s="726"/>
      <c r="W145" s="216" t="s">
        <v>206</v>
      </c>
      <c r="AB145" s="2" t="str">
        <f t="shared" si="29"/>
        <v/>
      </c>
    </row>
    <row r="146" spans="1:28" ht="15.75" customHeight="1">
      <c r="A146" s="20" t="str">
        <f t="shared" si="32"/>
        <v/>
      </c>
      <c r="B146" s="981"/>
      <c r="C146" s="984"/>
      <c r="D146" s="989"/>
      <c r="E146" s="902" t="s">
        <v>180</v>
      </c>
      <c r="F146" s="251" t="s">
        <v>61</v>
      </c>
      <c r="G146" s="252"/>
      <c r="H146" s="253"/>
      <c r="I146" s="254" t="str">
        <f t="shared" si="37"/>
        <v/>
      </c>
      <c r="J146" s="255"/>
      <c r="K146" s="254" t="str">
        <f t="shared" si="34"/>
        <v/>
      </c>
      <c r="L146" s="255"/>
      <c r="M146" s="254" t="str">
        <f t="shared" si="35"/>
        <v/>
      </c>
      <c r="N146" s="851"/>
      <c r="O146" s="242"/>
      <c r="P146" s="243"/>
      <c r="Q146" s="242"/>
      <c r="R146" s="243"/>
      <c r="S146" s="724"/>
      <c r="T146" s="725"/>
      <c r="U146" s="724"/>
      <c r="V146" s="726"/>
      <c r="W146" s="216" t="s">
        <v>206</v>
      </c>
      <c r="AB146" s="2" t="str">
        <f t="shared" si="29"/>
        <v/>
      </c>
    </row>
    <row r="147" spans="1:28" ht="15.75" customHeight="1">
      <c r="A147" s="20" t="str">
        <f t="shared" si="32"/>
        <v/>
      </c>
      <c r="B147" s="981"/>
      <c r="C147" s="984"/>
      <c r="D147" s="989"/>
      <c r="E147" s="902" t="s">
        <v>181</v>
      </c>
      <c r="F147" s="251" t="s">
        <v>61</v>
      </c>
      <c r="G147" s="252"/>
      <c r="H147" s="253"/>
      <c r="I147" s="254" t="str">
        <f t="shared" si="37"/>
        <v/>
      </c>
      <c r="J147" s="255"/>
      <c r="K147" s="254" t="str">
        <f t="shared" si="34"/>
        <v/>
      </c>
      <c r="L147" s="255"/>
      <c r="M147" s="254" t="str">
        <f t="shared" si="35"/>
        <v/>
      </c>
      <c r="N147" s="851"/>
      <c r="O147" s="242"/>
      <c r="P147" s="243"/>
      <c r="Q147" s="242"/>
      <c r="R147" s="243"/>
      <c r="S147" s="724"/>
      <c r="T147" s="725"/>
      <c r="U147" s="724"/>
      <c r="V147" s="726"/>
      <c r="W147" s="216" t="s">
        <v>206</v>
      </c>
      <c r="AB147" s="2" t="str">
        <f t="shared" si="29"/>
        <v/>
      </c>
    </row>
    <row r="148" spans="1:28" ht="15.75" customHeight="1">
      <c r="A148" s="20" t="str">
        <f t="shared" si="32"/>
        <v>X</v>
      </c>
      <c r="B148" s="981"/>
      <c r="C148" s="984"/>
      <c r="D148" s="989"/>
      <c r="E148" s="902" t="s">
        <v>80</v>
      </c>
      <c r="F148" s="251" t="s">
        <v>61</v>
      </c>
      <c r="G148" s="252">
        <v>663</v>
      </c>
      <c r="H148" s="253">
        <v>663</v>
      </c>
      <c r="I148" s="254">
        <f t="shared" si="37"/>
        <v>0.45701357466063347</v>
      </c>
      <c r="J148" s="255">
        <v>303</v>
      </c>
      <c r="K148" s="254">
        <f t="shared" si="34"/>
        <v>0.40271493212669685</v>
      </c>
      <c r="L148" s="255">
        <v>267</v>
      </c>
      <c r="M148" s="254">
        <f t="shared" si="35"/>
        <v>0.54307116104868913</v>
      </c>
      <c r="N148" s="851">
        <v>145</v>
      </c>
      <c r="O148" s="242">
        <v>75</v>
      </c>
      <c r="P148" s="243">
        <v>75</v>
      </c>
      <c r="Q148" s="242">
        <v>73</v>
      </c>
      <c r="R148" s="243">
        <v>73</v>
      </c>
      <c r="S148" s="724"/>
      <c r="T148" s="725"/>
      <c r="U148" s="724"/>
      <c r="V148" s="726"/>
      <c r="W148" s="216" t="s">
        <v>206</v>
      </c>
      <c r="AB148" s="2" t="str">
        <f t="shared" si="29"/>
        <v>Suisse</v>
      </c>
    </row>
    <row r="149" spans="1:28" ht="15.75" customHeight="1">
      <c r="A149" s="20" t="str">
        <f t="shared" si="32"/>
        <v>X</v>
      </c>
      <c r="B149" s="981"/>
      <c r="C149" s="984"/>
      <c r="D149" s="989"/>
      <c r="E149" s="902" t="s">
        <v>51</v>
      </c>
      <c r="F149" s="251" t="s">
        <v>61</v>
      </c>
      <c r="G149" s="252">
        <v>788</v>
      </c>
      <c r="H149" s="253">
        <v>788</v>
      </c>
      <c r="I149" s="254">
        <f t="shared" si="37"/>
        <v>0.48096446700507617</v>
      </c>
      <c r="J149" s="255">
        <v>379</v>
      </c>
      <c r="K149" s="254">
        <f t="shared" si="34"/>
        <v>0.40101522842639592</v>
      </c>
      <c r="L149" s="255">
        <v>316</v>
      </c>
      <c r="M149" s="254">
        <f t="shared" si="35"/>
        <v>0.53481012658227844</v>
      </c>
      <c r="N149" s="851">
        <v>169</v>
      </c>
      <c r="O149" s="242">
        <v>52</v>
      </c>
      <c r="P149" s="243">
        <v>52</v>
      </c>
      <c r="Q149" s="242">
        <v>47</v>
      </c>
      <c r="R149" s="243">
        <v>47</v>
      </c>
      <c r="S149" s="724"/>
      <c r="T149" s="725"/>
      <c r="U149" s="724"/>
      <c r="V149" s="726"/>
      <c r="W149" s="216" t="s">
        <v>206</v>
      </c>
      <c r="AB149" s="2" t="str">
        <f t="shared" si="29"/>
        <v>Suisse</v>
      </c>
    </row>
    <row r="150" spans="1:28" ht="15" customHeight="1">
      <c r="A150" s="20" t="str">
        <f>IF(D150="Sous-total","S",IF(G150="","","X"))</f>
        <v/>
      </c>
      <c r="B150" s="981"/>
      <c r="C150" s="984"/>
      <c r="D150" s="989"/>
      <c r="E150" s="632" t="s">
        <v>31</v>
      </c>
      <c r="F150" s="435" t="s">
        <v>62</v>
      </c>
      <c r="G150" s="252"/>
      <c r="H150" s="253"/>
      <c r="I150" s="254" t="str">
        <f>IF(J150="","",J150/G150)</f>
        <v/>
      </c>
      <c r="J150" s="255"/>
      <c r="K150" s="254" t="str">
        <f>IF(L150="","",L150/G150)</f>
        <v/>
      </c>
      <c r="L150" s="255"/>
      <c r="M150" s="254" t="str">
        <f>IF(N150="","",N150/L150)</f>
        <v/>
      </c>
      <c r="N150" s="851"/>
      <c r="O150" s="242"/>
      <c r="P150" s="243"/>
      <c r="Q150" s="242"/>
      <c r="R150" s="243"/>
      <c r="S150" s="307"/>
      <c r="T150" s="308"/>
      <c r="U150" s="307"/>
      <c r="V150" s="309"/>
      <c r="W150" s="216" t="s">
        <v>206</v>
      </c>
      <c r="X150" s="492" t="s">
        <v>199</v>
      </c>
      <c r="AB150" s="2" t="str">
        <f>IF(G150&lt;&gt;"",$F150,"")</f>
        <v/>
      </c>
    </row>
    <row r="151" spans="1:28" ht="15.75" customHeight="1">
      <c r="A151" s="20" t="str">
        <f t="shared" si="32"/>
        <v/>
      </c>
      <c r="B151" s="981"/>
      <c r="C151" s="984"/>
      <c r="D151" s="989"/>
      <c r="E151" s="961" t="s">
        <v>166</v>
      </c>
      <c r="F151" s="251" t="s">
        <v>203</v>
      </c>
      <c r="G151" s="252"/>
      <c r="H151" s="253"/>
      <c r="I151" s="254" t="str">
        <f t="shared" si="37"/>
        <v/>
      </c>
      <c r="J151" s="255"/>
      <c r="K151" s="254" t="str">
        <f t="shared" si="34"/>
        <v/>
      </c>
      <c r="L151" s="255"/>
      <c r="M151" s="254" t="str">
        <f t="shared" si="35"/>
        <v/>
      </c>
      <c r="N151" s="851"/>
      <c r="O151" s="242"/>
      <c r="P151" s="243"/>
      <c r="Q151" s="242"/>
      <c r="R151" s="243"/>
      <c r="S151" s="724"/>
      <c r="T151" s="725"/>
      <c r="U151" s="724"/>
      <c r="V151" s="726"/>
      <c r="W151" s="216" t="s">
        <v>206</v>
      </c>
      <c r="AB151" s="2" t="str">
        <f t="shared" si="29"/>
        <v/>
      </c>
    </row>
    <row r="152" spans="1:28" ht="15.75" customHeight="1">
      <c r="A152" s="20" t="str">
        <f t="shared" si="32"/>
        <v/>
      </c>
      <c r="B152" s="981"/>
      <c r="C152" s="984"/>
      <c r="D152" s="989"/>
      <c r="E152" s="961" t="s">
        <v>166</v>
      </c>
      <c r="F152" s="251" t="s">
        <v>203</v>
      </c>
      <c r="G152" s="252"/>
      <c r="H152" s="253"/>
      <c r="I152" s="254" t="str">
        <f t="shared" si="37"/>
        <v/>
      </c>
      <c r="J152" s="255"/>
      <c r="K152" s="254" t="str">
        <f t="shared" si="34"/>
        <v/>
      </c>
      <c r="L152" s="255"/>
      <c r="M152" s="254" t="str">
        <f t="shared" si="35"/>
        <v/>
      </c>
      <c r="N152" s="851"/>
      <c r="O152" s="242"/>
      <c r="P152" s="243"/>
      <c r="Q152" s="242"/>
      <c r="R152" s="243"/>
      <c r="S152" s="724"/>
      <c r="T152" s="725"/>
      <c r="U152" s="724"/>
      <c r="V152" s="726"/>
      <c r="W152" s="216" t="s">
        <v>206</v>
      </c>
      <c r="AB152" s="2" t="str">
        <f t="shared" si="29"/>
        <v/>
      </c>
    </row>
    <row r="153" spans="1:28" ht="15.75" customHeight="1">
      <c r="A153" s="20" t="str">
        <f t="shared" si="32"/>
        <v/>
      </c>
      <c r="B153" s="981"/>
      <c r="C153" s="984"/>
      <c r="D153" s="989"/>
      <c r="E153" s="902" t="s">
        <v>52</v>
      </c>
      <c r="F153" s="251" t="s">
        <v>61</v>
      </c>
      <c r="G153" s="252"/>
      <c r="H153" s="253"/>
      <c r="I153" s="254" t="str">
        <f t="shared" si="37"/>
        <v/>
      </c>
      <c r="J153" s="255"/>
      <c r="K153" s="254" t="str">
        <f t="shared" si="34"/>
        <v/>
      </c>
      <c r="L153" s="255"/>
      <c r="M153" s="254" t="str">
        <f t="shared" si="35"/>
        <v/>
      </c>
      <c r="N153" s="851"/>
      <c r="O153" s="242"/>
      <c r="P153" s="243"/>
      <c r="Q153" s="242"/>
      <c r="R153" s="243"/>
      <c r="S153" s="724"/>
      <c r="T153" s="725"/>
      <c r="U153" s="724"/>
      <c r="V153" s="726"/>
      <c r="W153" s="216" t="s">
        <v>206</v>
      </c>
      <c r="AB153" s="2" t="str">
        <f t="shared" si="29"/>
        <v/>
      </c>
    </row>
    <row r="154" spans="1:28" ht="15.75" customHeight="1">
      <c r="A154" s="20" t="str">
        <f t="shared" si="32"/>
        <v/>
      </c>
      <c r="B154" s="981"/>
      <c r="C154" s="984"/>
      <c r="D154" s="989"/>
      <c r="E154" s="961" t="s">
        <v>166</v>
      </c>
      <c r="F154" s="251"/>
      <c r="G154" s="252"/>
      <c r="H154" s="253"/>
      <c r="I154" s="254"/>
      <c r="J154" s="255"/>
      <c r="K154" s="254"/>
      <c r="L154" s="255"/>
      <c r="M154" s="254"/>
      <c r="N154" s="851"/>
      <c r="O154" s="242"/>
      <c r="P154" s="243"/>
      <c r="Q154" s="242"/>
      <c r="R154" s="243"/>
      <c r="S154" s="724"/>
      <c r="T154" s="725"/>
      <c r="U154" s="724"/>
      <c r="V154" s="726"/>
      <c r="W154" s="216"/>
    </row>
    <row r="155" spans="1:28" ht="15.75" customHeight="1">
      <c r="A155" s="20" t="str">
        <f t="shared" si="32"/>
        <v/>
      </c>
      <c r="B155" s="981"/>
      <c r="C155" s="984"/>
      <c r="D155" s="989"/>
      <c r="E155" s="961" t="s">
        <v>166</v>
      </c>
      <c r="F155" s="251"/>
      <c r="G155" s="252"/>
      <c r="H155" s="253"/>
      <c r="I155" s="254"/>
      <c r="J155" s="255"/>
      <c r="K155" s="254"/>
      <c r="L155" s="255"/>
      <c r="M155" s="254"/>
      <c r="N155" s="851"/>
      <c r="O155" s="242"/>
      <c r="P155" s="243"/>
      <c r="Q155" s="242"/>
      <c r="R155" s="243"/>
      <c r="S155" s="724"/>
      <c r="T155" s="725"/>
      <c r="U155" s="724"/>
      <c r="V155" s="726"/>
      <c r="W155" s="216"/>
    </row>
    <row r="156" spans="1:28" ht="15.75" customHeight="1">
      <c r="A156" s="20" t="str">
        <f t="shared" si="32"/>
        <v/>
      </c>
      <c r="B156" s="981"/>
      <c r="C156" s="984"/>
      <c r="D156" s="989"/>
      <c r="E156" s="961" t="s">
        <v>166</v>
      </c>
      <c r="F156" s="251"/>
      <c r="G156" s="252"/>
      <c r="H156" s="253"/>
      <c r="I156" s="254"/>
      <c r="J156" s="255"/>
      <c r="K156" s="254"/>
      <c r="L156" s="255"/>
      <c r="M156" s="254"/>
      <c r="N156" s="851"/>
      <c r="O156" s="242"/>
      <c r="P156" s="243"/>
      <c r="Q156" s="242"/>
      <c r="R156" s="243"/>
      <c r="S156" s="724"/>
      <c r="T156" s="725"/>
      <c r="U156" s="724"/>
      <c r="V156" s="726"/>
      <c r="W156" s="216"/>
    </row>
    <row r="157" spans="1:28" ht="15.75" customHeight="1">
      <c r="A157" s="20" t="str">
        <f t="shared" si="32"/>
        <v/>
      </c>
      <c r="B157" s="981"/>
      <c r="C157" s="984"/>
      <c r="D157" s="989"/>
      <c r="E157" s="961" t="s">
        <v>166</v>
      </c>
      <c r="F157" s="251"/>
      <c r="G157" s="252"/>
      <c r="H157" s="253"/>
      <c r="I157" s="254"/>
      <c r="J157" s="255"/>
      <c r="K157" s="254"/>
      <c r="L157" s="255"/>
      <c r="M157" s="254"/>
      <c r="N157" s="851"/>
      <c r="O157" s="242"/>
      <c r="P157" s="243"/>
      <c r="Q157" s="242"/>
      <c r="R157" s="243"/>
      <c r="S157" s="724"/>
      <c r="T157" s="725"/>
      <c r="U157" s="724"/>
      <c r="V157" s="726"/>
      <c r="W157" s="216"/>
    </row>
    <row r="158" spans="1:28" ht="15.75" customHeight="1">
      <c r="A158" s="20" t="str">
        <f t="shared" si="32"/>
        <v/>
      </c>
      <c r="B158" s="981"/>
      <c r="C158" s="984"/>
      <c r="D158" s="990"/>
      <c r="E158" s="962" t="s">
        <v>166</v>
      </c>
      <c r="F158" s="459"/>
      <c r="G158" s="257"/>
      <c r="H158" s="258"/>
      <c r="I158" s="259"/>
      <c r="J158" s="260"/>
      <c r="K158" s="259"/>
      <c r="L158" s="260"/>
      <c r="M158" s="259"/>
      <c r="N158" s="856"/>
      <c r="O158" s="244"/>
      <c r="P158" s="245"/>
      <c r="Q158" s="244"/>
      <c r="R158" s="245"/>
      <c r="S158" s="727"/>
      <c r="T158" s="728"/>
      <c r="U158" s="727"/>
      <c r="V158" s="729"/>
      <c r="W158" s="216"/>
    </row>
    <row r="159" spans="1:28" ht="16.5" thickBot="1">
      <c r="A159" s="20" t="str">
        <f t="shared" si="32"/>
        <v>S</v>
      </c>
      <c r="B159" s="982"/>
      <c r="C159" s="985"/>
      <c r="D159" s="875" t="s">
        <v>138</v>
      </c>
      <c r="E159" s="899"/>
      <c r="F159" s="204"/>
      <c r="G159" s="205">
        <f>SUM(G135:G158)</f>
        <v>2733</v>
      </c>
      <c r="H159" s="206">
        <f>SUM(H135:H158)</f>
        <v>2733</v>
      </c>
      <c r="I159" s="9">
        <f t="shared" si="37"/>
        <v>0.44712769849981704</v>
      </c>
      <c r="J159" s="214">
        <f>SUM(J135:J158)</f>
        <v>1222</v>
      </c>
      <c r="K159" s="52">
        <f t="shared" si="34"/>
        <v>0.39443834613977313</v>
      </c>
      <c r="L159" s="214">
        <f>SUM(L135:L158)</f>
        <v>1078</v>
      </c>
      <c r="M159" s="9">
        <f t="shared" si="35"/>
        <v>0.53988868274582558</v>
      </c>
      <c r="N159" s="214">
        <f t="shared" ref="N159:V159" si="38">SUM(N135:N158)</f>
        <v>582</v>
      </c>
      <c r="O159" s="131">
        <f t="shared" si="38"/>
        <v>162</v>
      </c>
      <c r="P159" s="132">
        <f t="shared" si="38"/>
        <v>162</v>
      </c>
      <c r="Q159" s="131">
        <f t="shared" si="38"/>
        <v>324</v>
      </c>
      <c r="R159" s="132">
        <f t="shared" si="38"/>
        <v>324</v>
      </c>
      <c r="S159" s="131">
        <f t="shared" si="38"/>
        <v>0</v>
      </c>
      <c r="T159" s="132">
        <f t="shared" si="38"/>
        <v>0</v>
      </c>
      <c r="U159" s="131">
        <f t="shared" si="38"/>
        <v>0</v>
      </c>
      <c r="V159" s="133">
        <f t="shared" si="38"/>
        <v>0</v>
      </c>
      <c r="W159" s="216" t="s">
        <v>206</v>
      </c>
      <c r="X159" s="211"/>
      <c r="Y159" s="211"/>
    </row>
    <row r="160" spans="1:28" s="15" customFormat="1" ht="27.75" customHeight="1" thickBot="1">
      <c r="A160" s="20" t="s">
        <v>106</v>
      </c>
      <c r="B160" s="565" t="s">
        <v>77</v>
      </c>
      <c r="C160" s="564"/>
      <c r="D160" s="618">
        <f>SUM(D66:D159)</f>
        <v>76</v>
      </c>
      <c r="E160" s="688" t="s">
        <v>79</v>
      </c>
      <c r="F160" s="396"/>
      <c r="G160" s="57">
        <f>G77+G85+G95+G109+G125+G134+G159</f>
        <v>2733</v>
      </c>
      <c r="H160" s="36">
        <f>H77+H85+H95+H109+H125+H134+H159</f>
        <v>2733</v>
      </c>
      <c r="I160" s="33">
        <f t="shared" si="37"/>
        <v>0.44712769849981704</v>
      </c>
      <c r="J160" s="34">
        <f>J77+J85+J95+J109+J125+J134+J159</f>
        <v>1222</v>
      </c>
      <c r="K160" s="33">
        <f t="shared" si="34"/>
        <v>0.39443834613977313</v>
      </c>
      <c r="L160" s="34">
        <f>L77+L85+L95+L109+L125+L134+L159</f>
        <v>1078</v>
      </c>
      <c r="M160" s="230">
        <f t="shared" si="35"/>
        <v>0.53988868274582558</v>
      </c>
      <c r="N160" s="34">
        <f t="shared" ref="N160:V160" si="39">N77+N85+N95+N109+N125+N134+N159</f>
        <v>582</v>
      </c>
      <c r="O160" s="35">
        <f t="shared" si="39"/>
        <v>162</v>
      </c>
      <c r="P160" s="36">
        <f t="shared" si="39"/>
        <v>162</v>
      </c>
      <c r="Q160" s="35">
        <f t="shared" si="39"/>
        <v>324</v>
      </c>
      <c r="R160" s="36">
        <f t="shared" si="39"/>
        <v>324</v>
      </c>
      <c r="S160" s="35">
        <f t="shared" si="39"/>
        <v>0</v>
      </c>
      <c r="T160" s="36">
        <f t="shared" si="39"/>
        <v>0</v>
      </c>
      <c r="U160" s="35">
        <f t="shared" si="39"/>
        <v>0</v>
      </c>
      <c r="V160" s="37">
        <f t="shared" si="39"/>
        <v>0</v>
      </c>
      <c r="W160" s="516"/>
      <c r="X160" s="386"/>
      <c r="Y160" s="212"/>
      <c r="AB160" s="2"/>
    </row>
    <row r="161" spans="1:28" s="378" customFormat="1" ht="31.5" customHeight="1" thickBot="1">
      <c r="A161" s="20" t="s">
        <v>106</v>
      </c>
      <c r="B161" s="368" t="s">
        <v>66</v>
      </c>
      <c r="C161" s="369"/>
      <c r="D161" s="369">
        <f>D160+D65</f>
        <v>116</v>
      </c>
      <c r="E161" s="689" t="s">
        <v>79</v>
      </c>
      <c r="F161" s="388"/>
      <c r="G161" s="370">
        <f>G65+G160</f>
        <v>3265</v>
      </c>
      <c r="H161" s="371">
        <f>H65+H160</f>
        <v>2949</v>
      </c>
      <c r="I161" s="372">
        <f t="shared" si="37"/>
        <v>0.44624808575803981</v>
      </c>
      <c r="J161" s="373">
        <f>J65+J160</f>
        <v>1457</v>
      </c>
      <c r="K161" s="372">
        <f t="shared" si="34"/>
        <v>0.38407350689127107</v>
      </c>
      <c r="L161" s="373">
        <f>L65+L160</f>
        <v>1254</v>
      </c>
      <c r="M161" s="374">
        <f t="shared" si="35"/>
        <v>0.54146730462519932</v>
      </c>
      <c r="N161" s="373">
        <f t="shared" ref="N161:V161" si="40">N65+N160</f>
        <v>679</v>
      </c>
      <c r="O161" s="375">
        <f t="shared" si="40"/>
        <v>179</v>
      </c>
      <c r="P161" s="371">
        <f t="shared" si="40"/>
        <v>177</v>
      </c>
      <c r="Q161" s="375">
        <f t="shared" si="40"/>
        <v>348</v>
      </c>
      <c r="R161" s="371">
        <f t="shared" si="40"/>
        <v>343</v>
      </c>
      <c r="S161" s="375">
        <f t="shared" si="40"/>
        <v>0</v>
      </c>
      <c r="T161" s="371">
        <f t="shared" si="40"/>
        <v>0</v>
      </c>
      <c r="U161" s="375">
        <f t="shared" si="40"/>
        <v>0</v>
      </c>
      <c r="V161" s="376">
        <f t="shared" si="40"/>
        <v>0</v>
      </c>
      <c r="W161" s="516"/>
      <c r="X161" s="395"/>
      <c r="AB161" s="2"/>
    </row>
    <row r="162" spans="1:28">
      <c r="A162" s="20" t="s">
        <v>106</v>
      </c>
      <c r="B162" s="5"/>
      <c r="C162" s="14"/>
      <c r="D162" s="14"/>
      <c r="E162" s="5"/>
      <c r="F162" s="14"/>
      <c r="G162" s="58"/>
      <c r="H162" s="58"/>
      <c r="I162" s="59"/>
      <c r="J162" s="59"/>
      <c r="K162" s="59"/>
      <c r="L162" s="59"/>
      <c r="M162" s="992" t="s">
        <v>68</v>
      </c>
      <c r="N162" s="992"/>
      <c r="O162" s="58"/>
      <c r="P162" s="58"/>
      <c r="Q162" s="58"/>
      <c r="R162" s="58"/>
      <c r="S162" s="58"/>
      <c r="T162" s="58"/>
      <c r="U162" s="58"/>
      <c r="V162" s="58"/>
      <c r="AB162" s="2" t="str">
        <f t="shared" ref="AB162" si="41">IF(G162&gt;0,$F162,"")</f>
        <v/>
      </c>
    </row>
    <row r="163" spans="1:28">
      <c r="A163" s="20" t="s">
        <v>106</v>
      </c>
      <c r="E163" s="211"/>
    </row>
    <row r="164" spans="1:28">
      <c r="A164" s="20" t="s">
        <v>106</v>
      </c>
      <c r="E164" s="26" t="s">
        <v>205</v>
      </c>
      <c r="F164" s="413" t="s">
        <v>204</v>
      </c>
    </row>
    <row r="165" spans="1:28">
      <c r="A165" s="20" t="s">
        <v>106</v>
      </c>
      <c r="E165" s="235" t="s">
        <v>60</v>
      </c>
      <c r="F165" s="775">
        <f>COUNTIF(AB$5:AB$153,$E164)</f>
        <v>0</v>
      </c>
    </row>
    <row r="166" spans="1:28">
      <c r="A166" s="20" t="s">
        <v>106</v>
      </c>
      <c r="E166" s="1" t="s">
        <v>61</v>
      </c>
      <c r="F166" s="2">
        <f>COUNTIF(AB$5:AB$153,$E165)</f>
        <v>9</v>
      </c>
    </row>
    <row r="167" spans="1:28" ht="15.75" thickBot="1">
      <c r="A167" s="20" t="s">
        <v>106</v>
      </c>
      <c r="E167" s="551" t="s">
        <v>62</v>
      </c>
      <c r="F167" s="552">
        <f>COUNTIF(AB$5:AB$153,$E166)</f>
        <v>5</v>
      </c>
    </row>
    <row r="168" spans="1:28">
      <c r="A168" s="20" t="s">
        <v>106</v>
      </c>
      <c r="E168" s="553" t="s">
        <v>66</v>
      </c>
      <c r="F168" s="776">
        <f t="shared" ref="F168" si="42">SUM(F165:F167)</f>
        <v>14</v>
      </c>
    </row>
    <row r="169" spans="1:28">
      <c r="E169" s="520"/>
    </row>
    <row r="170" spans="1:28">
      <c r="E170" s="520"/>
    </row>
    <row r="171" spans="1:28">
      <c r="E171" s="520"/>
    </row>
    <row r="172" spans="1:28">
      <c r="E172" s="520"/>
    </row>
    <row r="175" spans="1:28" ht="15" customHeight="1"/>
    <row r="176" spans="1:28" ht="15" customHeight="1"/>
    <row r="177" spans="5:5" s="1" customFormat="1" ht="15" customHeight="1"/>
    <row r="178" spans="5:5" s="1" customFormat="1" ht="15" customHeight="1"/>
    <row r="179" spans="5:5" s="1" customFormat="1" ht="15" customHeight="1"/>
    <row r="180" spans="5:5" s="1" customFormat="1" ht="15" customHeight="1"/>
    <row r="181" spans="5:5" s="1" customFormat="1" ht="15" customHeight="1"/>
    <row r="182" spans="5:5" s="1" customFormat="1" ht="15" customHeight="1"/>
    <row r="183" spans="5:5" s="1" customFormat="1" ht="15" customHeight="1"/>
    <row r="184" spans="5:5" s="1" customFormat="1" ht="15.75" customHeight="1"/>
    <row r="185" spans="5:5" s="1" customFormat="1" ht="15.75" customHeight="1">
      <c r="E185" s="568"/>
    </row>
    <row r="186" spans="5:5" s="1" customFormat="1" ht="15" customHeight="1"/>
    <row r="187" spans="5:5" s="1" customFormat="1" ht="15" customHeight="1">
      <c r="E187" s="520"/>
    </row>
    <row r="188" spans="5:5" s="1" customFormat="1" ht="15" customHeight="1">
      <c r="E188" s="520"/>
    </row>
    <row r="189" spans="5:5" s="1" customFormat="1" ht="15" customHeight="1"/>
    <row r="201" spans="5:5" s="1" customFormat="1">
      <c r="E201" s="568"/>
    </row>
    <row r="203" spans="5:5" s="1" customFormat="1">
      <c r="E203" s="520"/>
    </row>
    <row r="204" spans="5:5" s="1" customFormat="1">
      <c r="E204" s="520"/>
    </row>
    <row r="217" spans="5:5" s="1" customFormat="1">
      <c r="E217" s="568"/>
    </row>
    <row r="219" spans="5:5" s="1" customFormat="1">
      <c r="E219" s="520"/>
    </row>
    <row r="220" spans="5:5" s="1" customFormat="1">
      <c r="E220" s="520"/>
    </row>
    <row r="233" spans="5:5" s="1" customFormat="1">
      <c r="E233" s="568"/>
    </row>
  </sheetData>
  <autoFilter ref="A1:V167"/>
  <mergeCells count="53">
    <mergeCell ref="B110:B125"/>
    <mergeCell ref="C110:C125"/>
    <mergeCell ref="D96:D108"/>
    <mergeCell ref="D110:D124"/>
    <mergeCell ref="M162:N162"/>
    <mergeCell ref="B126:B134"/>
    <mergeCell ref="C126:C134"/>
    <mergeCell ref="D126:D133"/>
    <mergeCell ref="B135:B159"/>
    <mergeCell ref="C135:C159"/>
    <mergeCell ref="B78:B85"/>
    <mergeCell ref="C78:C85"/>
    <mergeCell ref="D78:D84"/>
    <mergeCell ref="B96:B109"/>
    <mergeCell ref="C96:C109"/>
    <mergeCell ref="B50:B64"/>
    <mergeCell ref="C50:C64"/>
    <mergeCell ref="B66:B77"/>
    <mergeCell ref="C66:C77"/>
    <mergeCell ref="D50:D63"/>
    <mergeCell ref="D66:D76"/>
    <mergeCell ref="U2:V2"/>
    <mergeCell ref="B5:B8"/>
    <mergeCell ref="C5:C8"/>
    <mergeCell ref="I2:I4"/>
    <mergeCell ref="J2:J4"/>
    <mergeCell ref="K2:K4"/>
    <mergeCell ref="L2:L4"/>
    <mergeCell ref="M2:M4"/>
    <mergeCell ref="N2:N4"/>
    <mergeCell ref="B2:B4"/>
    <mergeCell ref="C2:C4"/>
    <mergeCell ref="D2:D4"/>
    <mergeCell ref="E2:E4"/>
    <mergeCell ref="F2:F4"/>
    <mergeCell ref="G2:H2"/>
    <mergeCell ref="O2:P2"/>
    <mergeCell ref="C86:C95"/>
    <mergeCell ref="B86:B95"/>
    <mergeCell ref="D135:D158"/>
    <mergeCell ref="D86:D94"/>
    <mergeCell ref="S2:T2"/>
    <mergeCell ref="B35:B49"/>
    <mergeCell ref="C35:C49"/>
    <mergeCell ref="Q2:R2"/>
    <mergeCell ref="D5:D7"/>
    <mergeCell ref="D9:D11"/>
    <mergeCell ref="D13:D33"/>
    <mergeCell ref="D35:D48"/>
    <mergeCell ref="B9:B12"/>
    <mergeCell ref="C9:C12"/>
    <mergeCell ref="B13:B34"/>
    <mergeCell ref="C13:C34"/>
  </mergeCells>
  <conditionalFormatting sqref="G50:R63">
    <cfRule type="expression" dxfId="45" priority="3" stopIfTrue="1">
      <formula>$G50=""</formula>
    </cfRule>
  </conditionalFormatting>
  <conditionalFormatting sqref="E5:F159">
    <cfRule type="expression" dxfId="44" priority="1">
      <formula>$G5=""</formula>
    </cfRule>
  </conditionalFormatting>
  <pageMargins left="0.23622047244094491" right="0.23622047244094491" top="0.35433070866141736" bottom="0.15748031496062992" header="0.31496062992125984" footer="0.31496062992125984"/>
  <pageSetup paperSize="8" scale="45" orientation="portrait" horizontalDpi="300" verticalDpi="300" r:id="rId1"/>
  <ignoredErrors>
    <ignoredError sqref="I64:M6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B233"/>
  <sheetViews>
    <sheetView view="pageBreakPreview" zoomScale="90" zoomScaleNormal="55" zoomScaleSheetLayoutView="90" workbookViewId="0">
      <pane xSplit="6" ySplit="4" topLeftCell="G5" activePane="bottomRight" state="frozen"/>
      <selection activeCell="B2" sqref="B2:B4"/>
      <selection pane="topRight" activeCell="B2" sqref="B2:B4"/>
      <selection pane="bottomLeft" activeCell="B2" sqref="B2:B4"/>
      <selection pane="bottomRight" activeCell="C86" sqref="C86:C95"/>
    </sheetView>
  </sheetViews>
  <sheetFormatPr baseColWidth="10" defaultRowHeight="15"/>
  <cols>
    <col min="1" max="1" width="3" style="793" customWidth="1"/>
    <col min="2" max="2" width="33.7109375" style="777" customWidth="1"/>
    <col min="3" max="3" width="11.5703125" style="778" customWidth="1"/>
    <col min="4" max="4" width="8.42578125" style="778" customWidth="1"/>
    <col min="5" max="5" width="44.85546875" style="777" customWidth="1"/>
    <col min="6" max="6" width="11.140625" style="778" customWidth="1"/>
    <col min="7" max="7" width="11.42578125" style="778"/>
    <col min="8" max="8" width="11.42578125" style="778" customWidth="1"/>
    <col min="9" max="9" width="11.42578125" style="779" customWidth="1"/>
    <col min="10" max="10" width="11.42578125" style="780" customWidth="1"/>
    <col min="11" max="11" width="11.42578125" style="779" customWidth="1"/>
    <col min="12" max="12" width="11.42578125" style="780" customWidth="1"/>
    <col min="13" max="13" width="11.42578125" style="779" customWidth="1"/>
    <col min="14" max="14" width="11.42578125" style="780" customWidth="1"/>
    <col min="15" max="22" width="7.5703125" style="778" customWidth="1"/>
    <col min="23" max="23" width="5.28515625" style="778" customWidth="1"/>
    <col min="24" max="25" width="11.42578125" style="777"/>
    <col min="26" max="27" width="11.42578125" style="777" customWidth="1"/>
    <col min="28" max="28" width="0" style="778" hidden="1" customWidth="1"/>
    <col min="29" max="16384" width="11.42578125" style="777"/>
  </cols>
  <sheetData>
    <row r="1" spans="1:28" s="793" customFormat="1" ht="17.25" customHeight="1" thickBot="1">
      <c r="C1" s="795"/>
      <c r="D1" s="795"/>
      <c r="E1" s="795">
        <v>7</v>
      </c>
      <c r="F1" s="795"/>
      <c r="G1" s="795"/>
      <c r="H1" s="795"/>
      <c r="I1" s="796"/>
      <c r="J1" s="797"/>
      <c r="K1" s="796"/>
      <c r="L1" s="797"/>
      <c r="M1" s="796"/>
      <c r="N1" s="797"/>
      <c r="O1" s="795"/>
      <c r="P1" s="795"/>
      <c r="Q1" s="795"/>
      <c r="R1" s="795"/>
      <c r="S1" s="795"/>
      <c r="T1" s="795"/>
      <c r="U1" s="795"/>
      <c r="V1" s="795"/>
      <c r="W1" s="795"/>
      <c r="AB1" s="795"/>
    </row>
    <row r="2" spans="1:28" s="782" customFormat="1" ht="30" customHeight="1" thickBot="1">
      <c r="A2" s="794" t="s">
        <v>106</v>
      </c>
      <c r="B2" s="1003" t="s">
        <v>53</v>
      </c>
      <c r="C2" s="1006" t="s">
        <v>74</v>
      </c>
      <c r="D2" s="1006" t="s">
        <v>69</v>
      </c>
      <c r="E2" s="999" t="s">
        <v>79</v>
      </c>
      <c r="F2" s="995" t="s">
        <v>59</v>
      </c>
      <c r="G2" s="1020" t="s">
        <v>54</v>
      </c>
      <c r="H2" s="1005"/>
      <c r="I2" s="1021" t="s">
        <v>55</v>
      </c>
      <c r="J2" s="998" t="s">
        <v>63</v>
      </c>
      <c r="K2" s="1021" t="s">
        <v>56</v>
      </c>
      <c r="L2" s="998" t="s">
        <v>65</v>
      </c>
      <c r="M2" s="1021" t="s">
        <v>57</v>
      </c>
      <c r="N2" s="998" t="s">
        <v>64</v>
      </c>
      <c r="O2" s="1004" t="s">
        <v>39</v>
      </c>
      <c r="P2" s="1005"/>
      <c r="Q2" s="1004" t="s">
        <v>40</v>
      </c>
      <c r="R2" s="1005"/>
      <c r="S2" s="1004" t="s">
        <v>41</v>
      </c>
      <c r="T2" s="1005"/>
      <c r="U2" s="995" t="s">
        <v>42</v>
      </c>
      <c r="V2" s="1019"/>
      <c r="W2" s="829"/>
      <c r="AB2" s="920"/>
    </row>
    <row r="3" spans="1:28" s="782" customFormat="1" ht="30" customHeight="1" thickBot="1">
      <c r="A3" s="794" t="s">
        <v>106</v>
      </c>
      <c r="B3" s="1003"/>
      <c r="C3" s="1006"/>
      <c r="D3" s="1006"/>
      <c r="E3" s="999"/>
      <c r="F3" s="996"/>
      <c r="G3" s="814"/>
      <c r="H3" s="811"/>
      <c r="I3" s="1021"/>
      <c r="J3" s="998"/>
      <c r="K3" s="1021"/>
      <c r="L3" s="998"/>
      <c r="M3" s="1021"/>
      <c r="N3" s="998"/>
      <c r="O3" s="810"/>
      <c r="P3" s="811"/>
      <c r="Q3" s="810"/>
      <c r="R3" s="811"/>
      <c r="S3" s="810"/>
      <c r="T3" s="811"/>
      <c r="U3" s="812"/>
      <c r="V3" s="813"/>
      <c r="W3" s="829"/>
      <c r="AB3" s="920"/>
    </row>
    <row r="4" spans="1:28" s="782" customFormat="1" ht="30" customHeight="1" thickBot="1">
      <c r="A4" s="794" t="s">
        <v>106</v>
      </c>
      <c r="B4" s="1003"/>
      <c r="C4" s="1006"/>
      <c r="D4" s="1006"/>
      <c r="E4" s="999"/>
      <c r="F4" s="997"/>
      <c r="G4" s="786" t="s">
        <v>43</v>
      </c>
      <c r="H4" s="787" t="s">
        <v>44</v>
      </c>
      <c r="I4" s="1021"/>
      <c r="J4" s="998"/>
      <c r="K4" s="1021"/>
      <c r="L4" s="998"/>
      <c r="M4" s="1021"/>
      <c r="N4" s="998"/>
      <c r="O4" s="788" t="s">
        <v>43</v>
      </c>
      <c r="P4" s="787" t="s">
        <v>44</v>
      </c>
      <c r="Q4" s="788" t="s">
        <v>43</v>
      </c>
      <c r="R4" s="787" t="s">
        <v>44</v>
      </c>
      <c r="S4" s="788" t="s">
        <v>43</v>
      </c>
      <c r="T4" s="787" t="s">
        <v>44</v>
      </c>
      <c r="U4" s="788" t="s">
        <v>43</v>
      </c>
      <c r="V4" s="789" t="s">
        <v>44</v>
      </c>
      <c r="W4" s="829"/>
      <c r="AB4" s="920">
        <v>2020</v>
      </c>
    </row>
    <row r="5" spans="1:28" ht="15.75" customHeight="1">
      <c r="A5" s="793" t="str">
        <f t="shared" ref="A5:A49" si="0">IF(D5="Sous-total","S",IF(G5="","","X"))</f>
        <v/>
      </c>
      <c r="B5" s="1012" t="s">
        <v>70</v>
      </c>
      <c r="C5" s="1015" t="s">
        <v>75</v>
      </c>
      <c r="D5" s="1000">
        <v>2</v>
      </c>
      <c r="E5" s="628" t="s">
        <v>71</v>
      </c>
      <c r="F5" s="631" t="s">
        <v>60</v>
      </c>
      <c r="G5" s="752"/>
      <c r="H5" s="753"/>
      <c r="I5" s="924" t="str">
        <f t="shared" ref="I5:I45" si="1">IF(J5="","",J5/G5)</f>
        <v/>
      </c>
      <c r="J5" s="754"/>
      <c r="K5" s="923" t="str">
        <f t="shared" ref="K5:K49" si="2">IF(L5="","",L5/G5)</f>
        <v/>
      </c>
      <c r="L5" s="754"/>
      <c r="M5" s="923" t="str">
        <f t="shared" ref="M5:M49" si="3">IF(N5="","",N5/L5)</f>
        <v/>
      </c>
      <c r="N5" s="754"/>
      <c r="O5" s="755"/>
      <c r="P5" s="756"/>
      <c r="Q5" s="755"/>
      <c r="R5" s="756"/>
      <c r="S5" s="757" t="s">
        <v>21</v>
      </c>
      <c r="T5" s="758" t="s">
        <v>21</v>
      </c>
      <c r="U5" s="757" t="s">
        <v>21</v>
      </c>
      <c r="V5" s="759" t="s">
        <v>21</v>
      </c>
      <c r="W5" s="830"/>
      <c r="AB5" s="778" t="str">
        <f>IF(G5&lt;&gt;"",$F5,"")</f>
        <v/>
      </c>
    </row>
    <row r="6" spans="1:28" ht="15.75" customHeight="1">
      <c r="A6" s="793" t="str">
        <f t="shared" si="0"/>
        <v/>
      </c>
      <c r="B6" s="1013"/>
      <c r="C6" s="1016"/>
      <c r="D6" s="991"/>
      <c r="E6" s="961" t="s">
        <v>166</v>
      </c>
      <c r="F6" s="847"/>
      <c r="G6" s="848"/>
      <c r="H6" s="849"/>
      <c r="I6" s="747"/>
      <c r="J6" s="851"/>
      <c r="K6" s="850"/>
      <c r="L6" s="851"/>
      <c r="M6" s="850"/>
      <c r="N6" s="851"/>
      <c r="O6" s="838"/>
      <c r="P6" s="839"/>
      <c r="Q6" s="838"/>
      <c r="R6" s="839"/>
      <c r="S6" s="724" t="s">
        <v>21</v>
      </c>
      <c r="T6" s="725" t="s">
        <v>21</v>
      </c>
      <c r="U6" s="724" t="s">
        <v>21</v>
      </c>
      <c r="V6" s="726" t="s">
        <v>21</v>
      </c>
      <c r="W6" s="830"/>
    </row>
    <row r="7" spans="1:28" ht="15.75" customHeight="1">
      <c r="A7" s="793" t="str">
        <f t="shared" si="0"/>
        <v/>
      </c>
      <c r="B7" s="1013"/>
      <c r="C7" s="1016"/>
      <c r="D7" s="991"/>
      <c r="E7" s="962" t="s">
        <v>166</v>
      </c>
      <c r="F7" s="912"/>
      <c r="G7" s="853"/>
      <c r="H7" s="854"/>
      <c r="I7" s="748"/>
      <c r="J7" s="856"/>
      <c r="K7" s="855"/>
      <c r="L7" s="856"/>
      <c r="M7" s="855"/>
      <c r="N7" s="856"/>
      <c r="O7" s="840"/>
      <c r="P7" s="841"/>
      <c r="Q7" s="840"/>
      <c r="R7" s="841"/>
      <c r="S7" s="727" t="s">
        <v>21</v>
      </c>
      <c r="T7" s="728" t="s">
        <v>21</v>
      </c>
      <c r="U7" s="727" t="s">
        <v>21</v>
      </c>
      <c r="V7" s="729" t="s">
        <v>21</v>
      </c>
      <c r="W7" s="830"/>
    </row>
    <row r="8" spans="1:28" ht="15.75">
      <c r="A8" s="793" t="str">
        <f t="shared" si="0"/>
        <v>S</v>
      </c>
      <c r="B8" s="1013"/>
      <c r="C8" s="1017"/>
      <c r="D8" s="873" t="s">
        <v>138</v>
      </c>
      <c r="E8" s="896"/>
      <c r="F8" s="792"/>
      <c r="G8" s="858">
        <f>SUM(G5:G7)</f>
        <v>0</v>
      </c>
      <c r="H8" s="816">
        <f>SUM(H5:H7)</f>
        <v>0</v>
      </c>
      <c r="I8" s="785" t="e">
        <f t="shared" si="1"/>
        <v>#DIV/0!</v>
      </c>
      <c r="J8" s="827">
        <f>SUM(J5:J7)</f>
        <v>0</v>
      </c>
      <c r="K8" s="785" t="e">
        <f t="shared" si="2"/>
        <v>#DIV/0!</v>
      </c>
      <c r="L8" s="827">
        <f>SUM(L5:L7)</f>
        <v>0</v>
      </c>
      <c r="M8" s="785" t="e">
        <f t="shared" si="3"/>
        <v>#DIV/0!</v>
      </c>
      <c r="N8" s="827">
        <f t="shared" ref="N8:V8" si="4">SUM(N5:N7)</f>
        <v>0</v>
      </c>
      <c r="O8" s="815">
        <f t="shared" si="4"/>
        <v>0</v>
      </c>
      <c r="P8" s="816">
        <f t="shared" si="4"/>
        <v>0</v>
      </c>
      <c r="Q8" s="815">
        <f t="shared" si="4"/>
        <v>0</v>
      </c>
      <c r="R8" s="816">
        <f t="shared" si="4"/>
        <v>0</v>
      </c>
      <c r="S8" s="815">
        <f t="shared" si="4"/>
        <v>0</v>
      </c>
      <c r="T8" s="816">
        <f t="shared" si="4"/>
        <v>0</v>
      </c>
      <c r="U8" s="815">
        <f t="shared" si="4"/>
        <v>0</v>
      </c>
      <c r="V8" s="817">
        <f t="shared" si="4"/>
        <v>0</v>
      </c>
      <c r="W8" s="830"/>
    </row>
    <row r="9" spans="1:28" ht="15.75" customHeight="1">
      <c r="A9" s="793" t="str">
        <f t="shared" si="0"/>
        <v/>
      </c>
      <c r="B9" s="1013" t="s">
        <v>163</v>
      </c>
      <c r="C9" s="1016" t="s">
        <v>75</v>
      </c>
      <c r="D9" s="991"/>
      <c r="E9" s="901" t="s">
        <v>164</v>
      </c>
      <c r="F9" s="842" t="s">
        <v>60</v>
      </c>
      <c r="G9" s="843"/>
      <c r="H9" s="844"/>
      <c r="I9" s="909" t="str">
        <f t="shared" si="1"/>
        <v/>
      </c>
      <c r="J9" s="846"/>
      <c r="K9" s="845" t="str">
        <f t="shared" si="2"/>
        <v/>
      </c>
      <c r="L9" s="846"/>
      <c r="M9" s="845" t="str">
        <f t="shared" si="3"/>
        <v/>
      </c>
      <c r="N9" s="846"/>
      <c r="O9" s="836"/>
      <c r="P9" s="837"/>
      <c r="Q9" s="836"/>
      <c r="R9" s="837"/>
      <c r="S9" s="721" t="s">
        <v>21</v>
      </c>
      <c r="T9" s="722" t="s">
        <v>21</v>
      </c>
      <c r="U9" s="721" t="s">
        <v>21</v>
      </c>
      <c r="V9" s="723" t="s">
        <v>21</v>
      </c>
      <c r="W9" s="830" t="s">
        <v>206</v>
      </c>
      <c r="AB9" s="778" t="str">
        <f t="shared" ref="AB9:AB89" si="5">IF(G9&lt;&gt;"",$F9,"")</f>
        <v/>
      </c>
    </row>
    <row r="10" spans="1:28" ht="15.75" customHeight="1">
      <c r="A10" s="793" t="str">
        <f t="shared" si="0"/>
        <v/>
      </c>
      <c r="B10" s="1013"/>
      <c r="C10" s="1016"/>
      <c r="D10" s="991"/>
      <c r="E10" s="902"/>
      <c r="F10" s="847"/>
      <c r="G10" s="848"/>
      <c r="H10" s="849"/>
      <c r="I10" s="747"/>
      <c r="J10" s="851"/>
      <c r="K10" s="850"/>
      <c r="L10" s="851"/>
      <c r="M10" s="850"/>
      <c r="N10" s="851"/>
      <c r="O10" s="838"/>
      <c r="P10" s="839"/>
      <c r="Q10" s="838"/>
      <c r="R10" s="839"/>
      <c r="S10" s="724" t="s">
        <v>21</v>
      </c>
      <c r="T10" s="725" t="s">
        <v>21</v>
      </c>
      <c r="U10" s="724" t="s">
        <v>21</v>
      </c>
      <c r="V10" s="726" t="s">
        <v>21</v>
      </c>
      <c r="W10" s="830"/>
    </row>
    <row r="11" spans="1:28" ht="15.75" customHeight="1">
      <c r="A11" s="793" t="str">
        <f t="shared" si="0"/>
        <v/>
      </c>
      <c r="B11" s="1013"/>
      <c r="C11" s="1016"/>
      <c r="D11" s="991"/>
      <c r="E11" s="911"/>
      <c r="F11" s="912"/>
      <c r="G11" s="853"/>
      <c r="H11" s="854"/>
      <c r="I11" s="748"/>
      <c r="J11" s="856"/>
      <c r="K11" s="855"/>
      <c r="L11" s="856"/>
      <c r="M11" s="855"/>
      <c r="N11" s="856"/>
      <c r="O11" s="840"/>
      <c r="P11" s="841"/>
      <c r="Q11" s="840"/>
      <c r="R11" s="841"/>
      <c r="S11" s="727" t="s">
        <v>21</v>
      </c>
      <c r="T11" s="728" t="s">
        <v>21</v>
      </c>
      <c r="U11" s="727" t="s">
        <v>21</v>
      </c>
      <c r="V11" s="729" t="s">
        <v>21</v>
      </c>
      <c r="W11" s="830"/>
    </row>
    <row r="12" spans="1:28" ht="15.75">
      <c r="A12" s="793" t="str">
        <f t="shared" si="0"/>
        <v>S</v>
      </c>
      <c r="B12" s="1014"/>
      <c r="C12" s="1017"/>
      <c r="D12" s="873" t="s">
        <v>138</v>
      </c>
      <c r="E12" s="896"/>
      <c r="F12" s="792"/>
      <c r="G12" s="858">
        <f>SUM(G9:G11)</f>
        <v>0</v>
      </c>
      <c r="H12" s="816">
        <f>SUM(H9:H11)</f>
        <v>0</v>
      </c>
      <c r="I12" s="785" t="e">
        <f t="shared" ref="I12" si="6">IF(J12="","",J12/G12)</f>
        <v>#DIV/0!</v>
      </c>
      <c r="J12" s="827">
        <f>SUM(J9:J11)</f>
        <v>0</v>
      </c>
      <c r="K12" s="785" t="e">
        <f t="shared" ref="K12" si="7">IF(L12="","",L12/G12)</f>
        <v>#DIV/0!</v>
      </c>
      <c r="L12" s="827">
        <f>SUM(L9:L11)</f>
        <v>0</v>
      </c>
      <c r="M12" s="785" t="e">
        <f t="shared" ref="M12" si="8">IF(N12="","",N12/L12)</f>
        <v>#DIV/0!</v>
      </c>
      <c r="N12" s="827">
        <f t="shared" ref="N12" si="9">SUM(N9:N11)</f>
        <v>0</v>
      </c>
      <c r="O12" s="815">
        <f t="shared" ref="O12" si="10">SUM(O9:O11)</f>
        <v>0</v>
      </c>
      <c r="P12" s="816">
        <f t="shared" ref="P12" si="11">SUM(P9:P11)</f>
        <v>0</v>
      </c>
      <c r="Q12" s="815">
        <f t="shared" ref="Q12" si="12">SUM(Q9:Q11)</f>
        <v>0</v>
      </c>
      <c r="R12" s="816">
        <f t="shared" ref="R12" si="13">SUM(R9:R11)</f>
        <v>0</v>
      </c>
      <c r="S12" s="815">
        <f t="shared" ref="S12" si="14">SUM(S9:S11)</f>
        <v>0</v>
      </c>
      <c r="T12" s="816">
        <f t="shared" ref="T12" si="15">SUM(T9:T11)</f>
        <v>0</v>
      </c>
      <c r="U12" s="815">
        <f t="shared" ref="U12" si="16">SUM(U9:U11)</f>
        <v>0</v>
      </c>
      <c r="V12" s="817">
        <f t="shared" ref="V12" si="17">SUM(V9:V11)</f>
        <v>0</v>
      </c>
      <c r="W12" s="830" t="s">
        <v>206</v>
      </c>
    </row>
    <row r="13" spans="1:28" ht="15" customHeight="1">
      <c r="A13" s="793" t="str">
        <f t="shared" si="0"/>
        <v/>
      </c>
      <c r="B13" s="1007" t="s">
        <v>168</v>
      </c>
      <c r="C13" s="1009" t="s">
        <v>75</v>
      </c>
      <c r="D13" s="1001">
        <v>18</v>
      </c>
      <c r="E13" s="901" t="s">
        <v>182</v>
      </c>
      <c r="F13" s="842" t="s">
        <v>60</v>
      </c>
      <c r="G13" s="763"/>
      <c r="H13" s="764"/>
      <c r="I13" s="909" t="str">
        <f t="shared" si="1"/>
        <v/>
      </c>
      <c r="J13" s="765"/>
      <c r="K13" s="845" t="str">
        <f t="shared" si="2"/>
        <v/>
      </c>
      <c r="L13" s="765"/>
      <c r="M13" s="845" t="str">
        <f t="shared" si="3"/>
        <v/>
      </c>
      <c r="N13" s="846"/>
      <c r="O13" s="836"/>
      <c r="P13" s="837"/>
      <c r="Q13" s="836"/>
      <c r="R13" s="837"/>
      <c r="S13" s="721"/>
      <c r="T13" s="722"/>
      <c r="U13" s="721"/>
      <c r="V13" s="723"/>
      <c r="W13" s="830" t="s">
        <v>206</v>
      </c>
      <c r="AB13" s="778" t="str">
        <f t="shared" si="5"/>
        <v/>
      </c>
    </row>
    <row r="14" spans="1:28" ht="15" customHeight="1">
      <c r="A14" s="793" t="str">
        <f t="shared" si="0"/>
        <v/>
      </c>
      <c r="B14" s="1007"/>
      <c r="C14" s="1009"/>
      <c r="D14" s="1001"/>
      <c r="E14" s="902" t="s">
        <v>183</v>
      </c>
      <c r="F14" s="847" t="s">
        <v>60</v>
      </c>
      <c r="G14" s="749"/>
      <c r="H14" s="750"/>
      <c r="I14" s="910" t="str">
        <f t="shared" si="1"/>
        <v/>
      </c>
      <c r="J14" s="751"/>
      <c r="K14" s="850" t="str">
        <f t="shared" si="2"/>
        <v/>
      </c>
      <c r="L14" s="751"/>
      <c r="M14" s="850" t="str">
        <f t="shared" si="3"/>
        <v/>
      </c>
      <c r="N14" s="851"/>
      <c r="O14" s="838"/>
      <c r="P14" s="839"/>
      <c r="Q14" s="838"/>
      <c r="R14" s="839"/>
      <c r="S14" s="724"/>
      <c r="T14" s="725"/>
      <c r="U14" s="724"/>
      <c r="V14" s="726"/>
      <c r="W14" s="830" t="s">
        <v>206</v>
      </c>
      <c r="AB14" s="778" t="str">
        <f t="shared" si="5"/>
        <v/>
      </c>
    </row>
    <row r="15" spans="1:28" ht="15" customHeight="1">
      <c r="A15" s="793" t="str">
        <f t="shared" si="0"/>
        <v/>
      </c>
      <c r="B15" s="1007"/>
      <c r="C15" s="1009"/>
      <c r="D15" s="1001"/>
      <c r="E15" s="902" t="s">
        <v>184</v>
      </c>
      <c r="F15" s="847" t="s">
        <v>60</v>
      </c>
      <c r="G15" s="749"/>
      <c r="H15" s="750"/>
      <c r="I15" s="910" t="str">
        <f t="shared" si="1"/>
        <v/>
      </c>
      <c r="J15" s="751"/>
      <c r="K15" s="850" t="str">
        <f t="shared" si="2"/>
        <v/>
      </c>
      <c r="L15" s="751"/>
      <c r="M15" s="850" t="str">
        <f t="shared" si="3"/>
        <v/>
      </c>
      <c r="N15" s="851"/>
      <c r="O15" s="838"/>
      <c r="P15" s="839"/>
      <c r="Q15" s="838"/>
      <c r="R15" s="839"/>
      <c r="S15" s="724"/>
      <c r="T15" s="725"/>
      <c r="U15" s="724"/>
      <c r="V15" s="726"/>
      <c r="W15" s="830" t="s">
        <v>206</v>
      </c>
      <c r="AB15" s="778" t="str">
        <f t="shared" si="5"/>
        <v/>
      </c>
    </row>
    <row r="16" spans="1:28" ht="15" customHeight="1">
      <c r="A16" s="793" t="str">
        <f t="shared" si="0"/>
        <v/>
      </c>
      <c r="B16" s="1007"/>
      <c r="C16" s="1009"/>
      <c r="D16" s="1001"/>
      <c r="E16" s="902" t="s">
        <v>185</v>
      </c>
      <c r="F16" s="847" t="s">
        <v>60</v>
      </c>
      <c r="G16" s="749"/>
      <c r="H16" s="750"/>
      <c r="I16" s="910" t="str">
        <f t="shared" si="1"/>
        <v/>
      </c>
      <c r="J16" s="751"/>
      <c r="K16" s="850" t="str">
        <f t="shared" si="2"/>
        <v/>
      </c>
      <c r="L16" s="751"/>
      <c r="M16" s="850" t="str">
        <f t="shared" si="3"/>
        <v/>
      </c>
      <c r="N16" s="851"/>
      <c r="O16" s="838"/>
      <c r="P16" s="839"/>
      <c r="Q16" s="838"/>
      <c r="R16" s="839"/>
      <c r="S16" s="724"/>
      <c r="T16" s="725"/>
      <c r="U16" s="724"/>
      <c r="V16" s="726"/>
      <c r="W16" s="830" t="s">
        <v>206</v>
      </c>
      <c r="AB16" s="778" t="str">
        <f t="shared" si="5"/>
        <v/>
      </c>
    </row>
    <row r="17" spans="1:28" ht="15" customHeight="1">
      <c r="A17" s="793" t="str">
        <f t="shared" si="0"/>
        <v/>
      </c>
      <c r="B17" s="1007"/>
      <c r="C17" s="1009"/>
      <c r="D17" s="1001"/>
      <c r="E17" s="902" t="s">
        <v>186</v>
      </c>
      <c r="F17" s="847" t="s">
        <v>60</v>
      </c>
      <c r="G17" s="749"/>
      <c r="H17" s="750"/>
      <c r="I17" s="910" t="str">
        <f t="shared" si="1"/>
        <v/>
      </c>
      <c r="J17" s="751"/>
      <c r="K17" s="850" t="str">
        <f t="shared" si="2"/>
        <v/>
      </c>
      <c r="L17" s="751"/>
      <c r="M17" s="850" t="str">
        <f t="shared" si="3"/>
        <v/>
      </c>
      <c r="N17" s="851"/>
      <c r="O17" s="838"/>
      <c r="P17" s="839"/>
      <c r="Q17" s="838"/>
      <c r="R17" s="839"/>
      <c r="S17" s="724"/>
      <c r="T17" s="725"/>
      <c r="U17" s="724"/>
      <c r="V17" s="726"/>
      <c r="W17" s="830" t="s">
        <v>206</v>
      </c>
      <c r="AB17" s="778" t="str">
        <f t="shared" si="5"/>
        <v/>
      </c>
    </row>
    <row r="18" spans="1:28" ht="15" customHeight="1">
      <c r="A18" s="793" t="str">
        <f t="shared" si="0"/>
        <v/>
      </c>
      <c r="B18" s="1007"/>
      <c r="C18" s="1009"/>
      <c r="D18" s="1001"/>
      <c r="E18" s="902" t="s">
        <v>187</v>
      </c>
      <c r="F18" s="847" t="s">
        <v>62</v>
      </c>
      <c r="G18" s="749"/>
      <c r="H18" s="750"/>
      <c r="I18" s="910" t="str">
        <f t="shared" si="1"/>
        <v/>
      </c>
      <c r="J18" s="751"/>
      <c r="K18" s="850" t="str">
        <f t="shared" si="2"/>
        <v/>
      </c>
      <c r="L18" s="751"/>
      <c r="M18" s="850" t="str">
        <f t="shared" si="3"/>
        <v/>
      </c>
      <c r="N18" s="851"/>
      <c r="O18" s="838"/>
      <c r="P18" s="839"/>
      <c r="Q18" s="838"/>
      <c r="R18" s="839"/>
      <c r="S18" s="867"/>
      <c r="T18" s="868"/>
      <c r="U18" s="867"/>
      <c r="V18" s="869"/>
      <c r="W18" s="830" t="s">
        <v>206</v>
      </c>
      <c r="AB18" s="778" t="str">
        <f t="shared" si="5"/>
        <v/>
      </c>
    </row>
    <row r="19" spans="1:28" ht="15" customHeight="1">
      <c r="A19" s="793" t="str">
        <f t="shared" si="0"/>
        <v/>
      </c>
      <c r="B19" s="1007"/>
      <c r="C19" s="1009"/>
      <c r="D19" s="1001"/>
      <c r="E19" s="902" t="s">
        <v>188</v>
      </c>
      <c r="F19" s="847" t="s">
        <v>60</v>
      </c>
      <c r="G19" s="749"/>
      <c r="H19" s="750"/>
      <c r="I19" s="910" t="str">
        <f t="shared" si="1"/>
        <v/>
      </c>
      <c r="J19" s="751"/>
      <c r="K19" s="850" t="str">
        <f t="shared" si="2"/>
        <v/>
      </c>
      <c r="L19" s="751"/>
      <c r="M19" s="850" t="str">
        <f t="shared" si="3"/>
        <v/>
      </c>
      <c r="N19" s="851"/>
      <c r="O19" s="838"/>
      <c r="P19" s="839"/>
      <c r="Q19" s="838"/>
      <c r="R19" s="839"/>
      <c r="S19" s="724"/>
      <c r="T19" s="725"/>
      <c r="U19" s="724"/>
      <c r="V19" s="726"/>
      <c r="W19" s="830" t="s">
        <v>206</v>
      </c>
      <c r="AB19" s="778" t="str">
        <f t="shared" si="5"/>
        <v/>
      </c>
    </row>
    <row r="20" spans="1:28" ht="15" customHeight="1">
      <c r="A20" s="793" t="str">
        <f t="shared" si="0"/>
        <v/>
      </c>
      <c r="B20" s="1007"/>
      <c r="C20" s="1009"/>
      <c r="D20" s="1001"/>
      <c r="E20" s="902" t="s">
        <v>189</v>
      </c>
      <c r="F20" s="847" t="s">
        <v>60</v>
      </c>
      <c r="G20" s="749"/>
      <c r="H20" s="750"/>
      <c r="I20" s="910" t="str">
        <f t="shared" si="1"/>
        <v/>
      </c>
      <c r="J20" s="751"/>
      <c r="K20" s="850" t="str">
        <f t="shared" si="2"/>
        <v/>
      </c>
      <c r="L20" s="751"/>
      <c r="M20" s="850" t="str">
        <f t="shared" si="3"/>
        <v/>
      </c>
      <c r="N20" s="851"/>
      <c r="O20" s="838"/>
      <c r="P20" s="839"/>
      <c r="Q20" s="838"/>
      <c r="R20" s="839"/>
      <c r="S20" s="724"/>
      <c r="T20" s="725"/>
      <c r="U20" s="724"/>
      <c r="V20" s="726"/>
      <c r="W20" s="830" t="s">
        <v>206</v>
      </c>
      <c r="AB20" s="778" t="str">
        <f t="shared" si="5"/>
        <v/>
      </c>
    </row>
    <row r="21" spans="1:28" ht="15" customHeight="1">
      <c r="A21" s="793" t="str">
        <f t="shared" si="0"/>
        <v/>
      </c>
      <c r="B21" s="1007"/>
      <c r="C21" s="1009"/>
      <c r="D21" s="1001"/>
      <c r="E21" s="902" t="s">
        <v>190</v>
      </c>
      <c r="F21" s="847" t="s">
        <v>60</v>
      </c>
      <c r="G21" s="749"/>
      <c r="H21" s="750"/>
      <c r="I21" s="910" t="str">
        <f t="shared" si="1"/>
        <v/>
      </c>
      <c r="J21" s="751"/>
      <c r="K21" s="850" t="str">
        <f t="shared" si="2"/>
        <v/>
      </c>
      <c r="L21" s="751"/>
      <c r="M21" s="850" t="str">
        <f t="shared" si="3"/>
        <v/>
      </c>
      <c r="N21" s="851"/>
      <c r="O21" s="838"/>
      <c r="P21" s="839"/>
      <c r="Q21" s="838"/>
      <c r="R21" s="839"/>
      <c r="S21" s="724"/>
      <c r="T21" s="725"/>
      <c r="U21" s="724"/>
      <c r="V21" s="726"/>
      <c r="W21" s="830" t="s">
        <v>206</v>
      </c>
      <c r="AB21" s="778" t="str">
        <f t="shared" si="5"/>
        <v/>
      </c>
    </row>
    <row r="22" spans="1:28" ht="15" customHeight="1">
      <c r="A22" s="793" t="str">
        <f t="shared" si="0"/>
        <v/>
      </c>
      <c r="B22" s="1007"/>
      <c r="C22" s="1009"/>
      <c r="D22" s="1001"/>
      <c r="E22" s="902" t="s">
        <v>191</v>
      </c>
      <c r="F22" s="847" t="s">
        <v>60</v>
      </c>
      <c r="G22" s="749"/>
      <c r="H22" s="750"/>
      <c r="I22" s="910" t="str">
        <f t="shared" si="1"/>
        <v/>
      </c>
      <c r="J22" s="751"/>
      <c r="K22" s="850" t="str">
        <f t="shared" si="2"/>
        <v/>
      </c>
      <c r="L22" s="751"/>
      <c r="M22" s="850" t="str">
        <f t="shared" si="3"/>
        <v/>
      </c>
      <c r="N22" s="851"/>
      <c r="O22" s="838"/>
      <c r="P22" s="839"/>
      <c r="Q22" s="838"/>
      <c r="R22" s="839"/>
      <c r="S22" s="724"/>
      <c r="T22" s="725"/>
      <c r="U22" s="724"/>
      <c r="V22" s="726"/>
      <c r="W22" s="830" t="s">
        <v>206</v>
      </c>
      <c r="X22" s="975"/>
      <c r="AB22" s="778" t="str">
        <f t="shared" si="5"/>
        <v/>
      </c>
    </row>
    <row r="23" spans="1:28" ht="15" customHeight="1">
      <c r="A23" s="793" t="str">
        <f t="shared" si="0"/>
        <v/>
      </c>
      <c r="B23" s="1007"/>
      <c r="C23" s="1009"/>
      <c r="D23" s="1001"/>
      <c r="E23" s="902" t="s">
        <v>192</v>
      </c>
      <c r="F23" s="847" t="s">
        <v>60</v>
      </c>
      <c r="G23" s="749"/>
      <c r="H23" s="750"/>
      <c r="I23" s="910" t="str">
        <f t="shared" si="1"/>
        <v/>
      </c>
      <c r="J23" s="751"/>
      <c r="K23" s="850" t="str">
        <f t="shared" si="2"/>
        <v/>
      </c>
      <c r="L23" s="751"/>
      <c r="M23" s="850" t="str">
        <f t="shared" si="3"/>
        <v/>
      </c>
      <c r="N23" s="851"/>
      <c r="O23" s="838"/>
      <c r="P23" s="839"/>
      <c r="Q23" s="838"/>
      <c r="R23" s="839"/>
      <c r="S23" s="724"/>
      <c r="T23" s="725"/>
      <c r="U23" s="724"/>
      <c r="V23" s="726"/>
      <c r="W23" s="830" t="s">
        <v>206</v>
      </c>
      <c r="AB23" s="778" t="str">
        <f t="shared" si="5"/>
        <v/>
      </c>
    </row>
    <row r="24" spans="1:28" ht="15" customHeight="1">
      <c r="A24" s="793" t="str">
        <f t="shared" si="0"/>
        <v/>
      </c>
      <c r="B24" s="1007"/>
      <c r="C24" s="1009"/>
      <c r="D24" s="1001"/>
      <c r="E24" s="902" t="s">
        <v>193</v>
      </c>
      <c r="F24" s="847" t="s">
        <v>60</v>
      </c>
      <c r="G24" s="749"/>
      <c r="H24" s="750"/>
      <c r="I24" s="910" t="str">
        <f t="shared" si="1"/>
        <v/>
      </c>
      <c r="J24" s="751"/>
      <c r="K24" s="850" t="str">
        <f t="shared" si="2"/>
        <v/>
      </c>
      <c r="L24" s="751"/>
      <c r="M24" s="850" t="str">
        <f t="shared" si="3"/>
        <v/>
      </c>
      <c r="N24" s="851"/>
      <c r="O24" s="838"/>
      <c r="P24" s="839"/>
      <c r="Q24" s="838"/>
      <c r="R24" s="839"/>
      <c r="S24" s="724"/>
      <c r="T24" s="725"/>
      <c r="U24" s="724"/>
      <c r="V24" s="726"/>
      <c r="W24" s="830" t="s">
        <v>206</v>
      </c>
      <c r="AB24" s="778" t="str">
        <f t="shared" si="5"/>
        <v/>
      </c>
    </row>
    <row r="25" spans="1:28" ht="15" customHeight="1">
      <c r="A25" s="793" t="str">
        <f t="shared" si="0"/>
        <v/>
      </c>
      <c r="B25" s="1007"/>
      <c r="C25" s="1009"/>
      <c r="D25" s="1001"/>
      <c r="E25" s="902" t="s">
        <v>194</v>
      </c>
      <c r="F25" s="847" t="s">
        <v>60</v>
      </c>
      <c r="G25" s="749"/>
      <c r="H25" s="750"/>
      <c r="I25" s="910" t="str">
        <f t="shared" si="1"/>
        <v/>
      </c>
      <c r="J25" s="751"/>
      <c r="K25" s="850" t="str">
        <f t="shared" si="2"/>
        <v/>
      </c>
      <c r="L25" s="751"/>
      <c r="M25" s="850" t="str">
        <f t="shared" si="3"/>
        <v/>
      </c>
      <c r="N25" s="851"/>
      <c r="O25" s="838"/>
      <c r="P25" s="839"/>
      <c r="Q25" s="838"/>
      <c r="R25" s="839"/>
      <c r="S25" s="724"/>
      <c r="T25" s="725"/>
      <c r="U25" s="724"/>
      <c r="V25" s="726"/>
      <c r="W25" s="830" t="s">
        <v>206</v>
      </c>
      <c r="AB25" s="778" t="str">
        <f t="shared" si="5"/>
        <v/>
      </c>
    </row>
    <row r="26" spans="1:28" ht="15" customHeight="1">
      <c r="A26" s="793" t="str">
        <f t="shared" si="0"/>
        <v/>
      </c>
      <c r="B26" s="1007"/>
      <c r="C26" s="1009"/>
      <c r="D26" s="1001"/>
      <c r="E26" s="902" t="s">
        <v>195</v>
      </c>
      <c r="F26" s="847" t="s">
        <v>60</v>
      </c>
      <c r="G26" s="749"/>
      <c r="H26" s="750"/>
      <c r="I26" s="910" t="str">
        <f t="shared" si="1"/>
        <v/>
      </c>
      <c r="J26" s="751"/>
      <c r="K26" s="850" t="str">
        <f t="shared" si="2"/>
        <v/>
      </c>
      <c r="L26" s="751"/>
      <c r="M26" s="850" t="str">
        <f t="shared" si="3"/>
        <v/>
      </c>
      <c r="N26" s="851"/>
      <c r="O26" s="838"/>
      <c r="P26" s="839"/>
      <c r="Q26" s="838"/>
      <c r="R26" s="839"/>
      <c r="S26" s="724"/>
      <c r="T26" s="725"/>
      <c r="U26" s="724"/>
      <c r="V26" s="726"/>
      <c r="W26" s="830" t="s">
        <v>206</v>
      </c>
      <c r="AB26" s="778" t="str">
        <f t="shared" si="5"/>
        <v/>
      </c>
    </row>
    <row r="27" spans="1:28" ht="15" customHeight="1">
      <c r="A27" s="793" t="str">
        <f t="shared" si="0"/>
        <v/>
      </c>
      <c r="B27" s="1007"/>
      <c r="C27" s="1009"/>
      <c r="D27" s="1001"/>
      <c r="E27" s="902" t="s">
        <v>196</v>
      </c>
      <c r="F27" s="847" t="s">
        <v>60</v>
      </c>
      <c r="G27" s="749"/>
      <c r="H27" s="750"/>
      <c r="I27" s="910" t="str">
        <f t="shared" si="1"/>
        <v/>
      </c>
      <c r="J27" s="751"/>
      <c r="K27" s="850" t="str">
        <f t="shared" si="2"/>
        <v/>
      </c>
      <c r="L27" s="751"/>
      <c r="M27" s="850" t="str">
        <f t="shared" si="3"/>
        <v/>
      </c>
      <c r="N27" s="851"/>
      <c r="O27" s="838"/>
      <c r="P27" s="839"/>
      <c r="Q27" s="838"/>
      <c r="R27" s="839"/>
      <c r="S27" s="724"/>
      <c r="T27" s="725"/>
      <c r="U27" s="724"/>
      <c r="V27" s="726"/>
      <c r="W27" s="830" t="s">
        <v>206</v>
      </c>
      <c r="AB27" s="778" t="str">
        <f t="shared" si="5"/>
        <v/>
      </c>
    </row>
    <row r="28" spans="1:28" ht="15" customHeight="1">
      <c r="A28" s="793" t="str">
        <f t="shared" si="0"/>
        <v/>
      </c>
      <c r="B28" s="1007"/>
      <c r="C28" s="1009"/>
      <c r="D28" s="1001"/>
      <c r="E28" s="902" t="s">
        <v>197</v>
      </c>
      <c r="F28" s="847" t="s">
        <v>62</v>
      </c>
      <c r="G28" s="848"/>
      <c r="H28" s="849"/>
      <c r="I28" s="910" t="str">
        <f t="shared" si="1"/>
        <v/>
      </c>
      <c r="J28" s="851"/>
      <c r="K28" s="850" t="str">
        <f t="shared" si="2"/>
        <v/>
      </c>
      <c r="L28" s="851"/>
      <c r="M28" s="850" t="str">
        <f t="shared" si="3"/>
        <v/>
      </c>
      <c r="N28" s="851"/>
      <c r="O28" s="838"/>
      <c r="P28" s="839"/>
      <c r="Q28" s="838"/>
      <c r="R28" s="839"/>
      <c r="S28" s="867"/>
      <c r="T28" s="868"/>
      <c r="U28" s="867"/>
      <c r="V28" s="869"/>
      <c r="W28" s="830" t="s">
        <v>206</v>
      </c>
      <c r="AB28" s="778" t="str">
        <f t="shared" si="5"/>
        <v/>
      </c>
    </row>
    <row r="29" spans="1:28" ht="15" customHeight="1">
      <c r="A29" s="793" t="str">
        <f t="shared" si="0"/>
        <v/>
      </c>
      <c r="B29" s="1007"/>
      <c r="C29" s="1009"/>
      <c r="D29" s="1001"/>
      <c r="E29" s="961" t="s">
        <v>166</v>
      </c>
      <c r="F29" s="847"/>
      <c r="G29" s="848"/>
      <c r="H29" s="849"/>
      <c r="I29" s="747"/>
      <c r="J29" s="851"/>
      <c r="K29" s="850"/>
      <c r="L29" s="851"/>
      <c r="M29" s="850"/>
      <c r="N29" s="851"/>
      <c r="O29" s="838"/>
      <c r="P29" s="839"/>
      <c r="Q29" s="838"/>
      <c r="R29" s="839"/>
      <c r="S29" s="724"/>
      <c r="T29" s="725"/>
      <c r="U29" s="724"/>
      <c r="V29" s="726"/>
      <c r="W29" s="830"/>
    </row>
    <row r="30" spans="1:28" ht="15" customHeight="1">
      <c r="A30" s="793" t="str">
        <f t="shared" si="0"/>
        <v/>
      </c>
      <c r="B30" s="1007"/>
      <c r="C30" s="1009"/>
      <c r="D30" s="1001"/>
      <c r="E30" s="961" t="s">
        <v>166</v>
      </c>
      <c r="F30" s="847"/>
      <c r="G30" s="848"/>
      <c r="H30" s="849"/>
      <c r="I30" s="747"/>
      <c r="J30" s="851"/>
      <c r="K30" s="850"/>
      <c r="L30" s="851"/>
      <c r="M30" s="850"/>
      <c r="N30" s="851"/>
      <c r="O30" s="838"/>
      <c r="P30" s="839"/>
      <c r="Q30" s="838"/>
      <c r="R30" s="839"/>
      <c r="S30" s="724"/>
      <c r="T30" s="725"/>
      <c r="U30" s="724"/>
      <c r="V30" s="726"/>
      <c r="W30" s="830"/>
    </row>
    <row r="31" spans="1:28" ht="15" customHeight="1">
      <c r="A31" s="793" t="str">
        <f t="shared" si="0"/>
        <v/>
      </c>
      <c r="B31" s="1007"/>
      <c r="C31" s="1009"/>
      <c r="D31" s="1001"/>
      <c r="E31" s="961" t="s">
        <v>166</v>
      </c>
      <c r="F31" s="847"/>
      <c r="G31" s="848"/>
      <c r="H31" s="849"/>
      <c r="I31" s="747"/>
      <c r="J31" s="851"/>
      <c r="K31" s="850"/>
      <c r="L31" s="851"/>
      <c r="M31" s="850"/>
      <c r="N31" s="851"/>
      <c r="O31" s="838"/>
      <c r="P31" s="839"/>
      <c r="Q31" s="838"/>
      <c r="R31" s="839"/>
      <c r="S31" s="724"/>
      <c r="T31" s="725"/>
      <c r="U31" s="724"/>
      <c r="V31" s="726"/>
      <c r="W31" s="830"/>
    </row>
    <row r="32" spans="1:28" ht="15" customHeight="1">
      <c r="A32" s="793" t="str">
        <f t="shared" si="0"/>
        <v/>
      </c>
      <c r="B32" s="1007"/>
      <c r="C32" s="1009"/>
      <c r="D32" s="1001"/>
      <c r="E32" s="961" t="s">
        <v>166</v>
      </c>
      <c r="F32" s="847"/>
      <c r="G32" s="848"/>
      <c r="H32" s="849"/>
      <c r="I32" s="747"/>
      <c r="J32" s="851"/>
      <c r="K32" s="850"/>
      <c r="L32" s="851"/>
      <c r="M32" s="850"/>
      <c r="N32" s="851"/>
      <c r="O32" s="838"/>
      <c r="P32" s="839"/>
      <c r="Q32" s="838"/>
      <c r="R32" s="839"/>
      <c r="S32" s="724"/>
      <c r="T32" s="725"/>
      <c r="U32" s="724"/>
      <c r="V32" s="726"/>
      <c r="W32" s="830"/>
    </row>
    <row r="33" spans="1:28" ht="15" customHeight="1">
      <c r="A33" s="793" t="str">
        <f t="shared" si="0"/>
        <v/>
      </c>
      <c r="B33" s="1007"/>
      <c r="C33" s="1009"/>
      <c r="D33" s="1001"/>
      <c r="E33" s="962" t="s">
        <v>166</v>
      </c>
      <c r="F33" s="912"/>
      <c r="G33" s="853"/>
      <c r="H33" s="854"/>
      <c r="I33" s="748"/>
      <c r="J33" s="856"/>
      <c r="K33" s="855"/>
      <c r="L33" s="856"/>
      <c r="M33" s="855"/>
      <c r="N33" s="856"/>
      <c r="O33" s="840"/>
      <c r="P33" s="841"/>
      <c r="Q33" s="840"/>
      <c r="R33" s="841"/>
      <c r="S33" s="727"/>
      <c r="T33" s="728"/>
      <c r="U33" s="727"/>
      <c r="V33" s="729"/>
      <c r="W33" s="830"/>
    </row>
    <row r="34" spans="1:28" ht="15.75">
      <c r="A34" s="793" t="str">
        <f t="shared" si="0"/>
        <v>S</v>
      </c>
      <c r="B34" s="1007"/>
      <c r="C34" s="1010"/>
      <c r="D34" s="873" t="s">
        <v>138</v>
      </c>
      <c r="E34" s="896"/>
      <c r="F34" s="792"/>
      <c r="G34" s="783">
        <f>SUM(G13:G33)</f>
        <v>0</v>
      </c>
      <c r="H34" s="784">
        <f>SUM(H13:H33)</f>
        <v>0</v>
      </c>
      <c r="I34" s="785" t="e">
        <f t="shared" si="1"/>
        <v>#DIV/0!</v>
      </c>
      <c r="J34" s="827">
        <f>SUM(J13:J33)</f>
        <v>0</v>
      </c>
      <c r="K34" s="785" t="e">
        <f t="shared" si="2"/>
        <v>#DIV/0!</v>
      </c>
      <c r="L34" s="827">
        <f>SUM(L13:L33)</f>
        <v>0</v>
      </c>
      <c r="M34" s="785" t="e">
        <f t="shared" si="3"/>
        <v>#DIV/0!</v>
      </c>
      <c r="N34" s="827">
        <f t="shared" ref="N34:V34" si="18">SUM(N13:N33)</f>
        <v>0</v>
      </c>
      <c r="O34" s="815">
        <f t="shared" si="18"/>
        <v>0</v>
      </c>
      <c r="P34" s="816">
        <f t="shared" si="18"/>
        <v>0</v>
      </c>
      <c r="Q34" s="815">
        <f t="shared" si="18"/>
        <v>0</v>
      </c>
      <c r="R34" s="816">
        <f t="shared" si="18"/>
        <v>0</v>
      </c>
      <c r="S34" s="815">
        <f t="shared" si="18"/>
        <v>0</v>
      </c>
      <c r="T34" s="816">
        <f t="shared" si="18"/>
        <v>0</v>
      </c>
      <c r="U34" s="815">
        <f t="shared" si="18"/>
        <v>0</v>
      </c>
      <c r="V34" s="817">
        <f t="shared" si="18"/>
        <v>0</v>
      </c>
      <c r="W34" s="830" t="s">
        <v>206</v>
      </c>
      <c r="AB34" s="778">
        <f t="shared" si="5"/>
        <v>0</v>
      </c>
    </row>
    <row r="35" spans="1:28" ht="15" customHeight="1">
      <c r="A35" s="793" t="str">
        <f t="shared" si="0"/>
        <v/>
      </c>
      <c r="B35" s="1007" t="s">
        <v>82</v>
      </c>
      <c r="C35" s="1009" t="s">
        <v>75</v>
      </c>
      <c r="D35" s="1001">
        <v>11</v>
      </c>
      <c r="E35" s="901" t="s">
        <v>13</v>
      </c>
      <c r="F35" s="842" t="s">
        <v>60</v>
      </c>
      <c r="G35" s="763"/>
      <c r="H35" s="764"/>
      <c r="I35" s="909" t="str">
        <f t="shared" si="1"/>
        <v/>
      </c>
      <c r="J35" s="765"/>
      <c r="K35" s="845" t="str">
        <f t="shared" si="2"/>
        <v/>
      </c>
      <c r="L35" s="765"/>
      <c r="M35" s="845" t="str">
        <f t="shared" si="3"/>
        <v/>
      </c>
      <c r="N35" s="846"/>
      <c r="O35" s="836"/>
      <c r="P35" s="837"/>
      <c r="Q35" s="836"/>
      <c r="R35" s="837"/>
      <c r="S35" s="721" t="s">
        <v>21</v>
      </c>
      <c r="T35" s="722" t="s">
        <v>21</v>
      </c>
      <c r="U35" s="721" t="s">
        <v>21</v>
      </c>
      <c r="V35" s="723" t="s">
        <v>21</v>
      </c>
      <c r="W35" s="830" t="s">
        <v>206</v>
      </c>
      <c r="AB35" s="778" t="str">
        <f t="shared" si="5"/>
        <v/>
      </c>
    </row>
    <row r="36" spans="1:28" ht="15" customHeight="1">
      <c r="A36" s="793" t="str">
        <f t="shared" si="0"/>
        <v/>
      </c>
      <c r="B36" s="1007"/>
      <c r="C36" s="1009"/>
      <c r="D36" s="1001"/>
      <c r="E36" s="902" t="s">
        <v>14</v>
      </c>
      <c r="F36" s="847" t="s">
        <v>60</v>
      </c>
      <c r="G36" s="749"/>
      <c r="H36" s="750"/>
      <c r="I36" s="910" t="str">
        <f t="shared" si="1"/>
        <v/>
      </c>
      <c r="J36" s="751"/>
      <c r="K36" s="850" t="str">
        <f t="shared" si="2"/>
        <v/>
      </c>
      <c r="L36" s="751"/>
      <c r="M36" s="850" t="str">
        <f t="shared" si="3"/>
        <v/>
      </c>
      <c r="N36" s="851"/>
      <c r="O36" s="838"/>
      <c r="P36" s="839"/>
      <c r="Q36" s="838"/>
      <c r="R36" s="839"/>
      <c r="S36" s="724" t="s">
        <v>21</v>
      </c>
      <c r="T36" s="725" t="s">
        <v>21</v>
      </c>
      <c r="U36" s="724" t="s">
        <v>21</v>
      </c>
      <c r="V36" s="726" t="s">
        <v>21</v>
      </c>
      <c r="W36" s="830" t="s">
        <v>206</v>
      </c>
      <c r="AB36" s="778" t="str">
        <f t="shared" si="5"/>
        <v/>
      </c>
    </row>
    <row r="37" spans="1:28" ht="15" customHeight="1">
      <c r="A37" s="793" t="str">
        <f t="shared" si="0"/>
        <v/>
      </c>
      <c r="B37" s="1007"/>
      <c r="C37" s="1009"/>
      <c r="D37" s="1001"/>
      <c r="E37" s="902" t="s">
        <v>15</v>
      </c>
      <c r="F37" s="847" t="s">
        <v>60</v>
      </c>
      <c r="G37" s="749"/>
      <c r="H37" s="750"/>
      <c r="I37" s="910" t="str">
        <f t="shared" si="1"/>
        <v/>
      </c>
      <c r="J37" s="751"/>
      <c r="K37" s="850" t="str">
        <f t="shared" si="2"/>
        <v/>
      </c>
      <c r="L37" s="751"/>
      <c r="M37" s="850" t="str">
        <f t="shared" si="3"/>
        <v/>
      </c>
      <c r="N37" s="851"/>
      <c r="O37" s="838"/>
      <c r="P37" s="839"/>
      <c r="Q37" s="838"/>
      <c r="R37" s="839"/>
      <c r="S37" s="724" t="s">
        <v>21</v>
      </c>
      <c r="T37" s="725" t="s">
        <v>21</v>
      </c>
      <c r="U37" s="724" t="s">
        <v>21</v>
      </c>
      <c r="V37" s="726" t="s">
        <v>21</v>
      </c>
      <c r="W37" s="830" t="s">
        <v>206</v>
      </c>
      <c r="AB37" s="778" t="str">
        <f t="shared" si="5"/>
        <v/>
      </c>
    </row>
    <row r="38" spans="1:28" ht="15" customHeight="1">
      <c r="A38" s="793" t="str">
        <f t="shared" si="0"/>
        <v/>
      </c>
      <c r="B38" s="1007"/>
      <c r="C38" s="1009"/>
      <c r="D38" s="1001"/>
      <c r="E38" s="902" t="s">
        <v>141</v>
      </c>
      <c r="F38" s="847" t="s">
        <v>60</v>
      </c>
      <c r="G38" s="749"/>
      <c r="H38" s="750"/>
      <c r="I38" s="910" t="str">
        <f t="shared" si="1"/>
        <v/>
      </c>
      <c r="J38" s="751"/>
      <c r="K38" s="850" t="str">
        <f t="shared" si="2"/>
        <v/>
      </c>
      <c r="L38" s="751"/>
      <c r="M38" s="850" t="str">
        <f t="shared" si="3"/>
        <v/>
      </c>
      <c r="N38" s="851"/>
      <c r="O38" s="838"/>
      <c r="P38" s="839"/>
      <c r="Q38" s="838"/>
      <c r="R38" s="839"/>
      <c r="S38" s="724" t="s">
        <v>21</v>
      </c>
      <c r="T38" s="725" t="s">
        <v>21</v>
      </c>
      <c r="U38" s="724" t="s">
        <v>21</v>
      </c>
      <c r="V38" s="726" t="s">
        <v>21</v>
      </c>
      <c r="W38" s="830" t="s">
        <v>206</v>
      </c>
      <c r="AB38" s="778" t="str">
        <f t="shared" si="5"/>
        <v/>
      </c>
    </row>
    <row r="39" spans="1:28" ht="15" customHeight="1">
      <c r="A39" s="793" t="str">
        <f t="shared" si="0"/>
        <v/>
      </c>
      <c r="B39" s="1007"/>
      <c r="C39" s="1009"/>
      <c r="D39" s="1001"/>
      <c r="E39" s="902" t="s">
        <v>16</v>
      </c>
      <c r="F39" s="847" t="s">
        <v>60</v>
      </c>
      <c r="G39" s="749"/>
      <c r="H39" s="750"/>
      <c r="I39" s="910" t="str">
        <f t="shared" si="1"/>
        <v/>
      </c>
      <c r="J39" s="751"/>
      <c r="K39" s="850" t="str">
        <f t="shared" si="2"/>
        <v/>
      </c>
      <c r="L39" s="751"/>
      <c r="M39" s="850" t="str">
        <f t="shared" si="3"/>
        <v/>
      </c>
      <c r="N39" s="851"/>
      <c r="O39" s="838"/>
      <c r="P39" s="839"/>
      <c r="Q39" s="838"/>
      <c r="R39" s="839"/>
      <c r="S39" s="724" t="s">
        <v>21</v>
      </c>
      <c r="T39" s="725" t="s">
        <v>21</v>
      </c>
      <c r="U39" s="724" t="s">
        <v>21</v>
      </c>
      <c r="V39" s="726" t="s">
        <v>21</v>
      </c>
      <c r="W39" s="830" t="s">
        <v>206</v>
      </c>
      <c r="AB39" s="778" t="str">
        <f t="shared" si="5"/>
        <v/>
      </c>
    </row>
    <row r="40" spans="1:28" ht="15" customHeight="1">
      <c r="A40" s="793" t="str">
        <f t="shared" si="0"/>
        <v/>
      </c>
      <c r="B40" s="1007"/>
      <c r="C40" s="1009"/>
      <c r="D40" s="1001"/>
      <c r="E40" s="902" t="s">
        <v>17</v>
      </c>
      <c r="F40" s="847" t="s">
        <v>60</v>
      </c>
      <c r="G40" s="749"/>
      <c r="H40" s="750"/>
      <c r="I40" s="910" t="str">
        <f t="shared" si="1"/>
        <v/>
      </c>
      <c r="J40" s="751"/>
      <c r="K40" s="850" t="str">
        <f t="shared" si="2"/>
        <v/>
      </c>
      <c r="L40" s="751"/>
      <c r="M40" s="850" t="str">
        <f t="shared" si="3"/>
        <v/>
      </c>
      <c r="N40" s="851"/>
      <c r="O40" s="838"/>
      <c r="P40" s="839"/>
      <c r="Q40" s="838"/>
      <c r="R40" s="839"/>
      <c r="S40" s="724" t="s">
        <v>21</v>
      </c>
      <c r="T40" s="725" t="s">
        <v>21</v>
      </c>
      <c r="U40" s="724" t="s">
        <v>21</v>
      </c>
      <c r="V40" s="726" t="s">
        <v>21</v>
      </c>
      <c r="W40" s="830" t="s">
        <v>206</v>
      </c>
      <c r="AB40" s="778" t="str">
        <f t="shared" si="5"/>
        <v/>
      </c>
    </row>
    <row r="41" spans="1:28" ht="15" customHeight="1">
      <c r="A41" s="793" t="str">
        <f t="shared" si="0"/>
        <v/>
      </c>
      <c r="B41" s="1007"/>
      <c r="C41" s="1009"/>
      <c r="D41" s="1001"/>
      <c r="E41" s="902" t="s">
        <v>18</v>
      </c>
      <c r="F41" s="847" t="s">
        <v>60</v>
      </c>
      <c r="G41" s="749"/>
      <c r="H41" s="750"/>
      <c r="I41" s="910" t="str">
        <f t="shared" si="1"/>
        <v/>
      </c>
      <c r="J41" s="751"/>
      <c r="K41" s="850" t="str">
        <f t="shared" si="2"/>
        <v/>
      </c>
      <c r="L41" s="751"/>
      <c r="M41" s="850" t="str">
        <f t="shared" si="3"/>
        <v/>
      </c>
      <c r="N41" s="851"/>
      <c r="O41" s="838"/>
      <c r="P41" s="839"/>
      <c r="Q41" s="838"/>
      <c r="R41" s="839"/>
      <c r="S41" s="724" t="s">
        <v>21</v>
      </c>
      <c r="T41" s="725" t="s">
        <v>21</v>
      </c>
      <c r="U41" s="724" t="s">
        <v>21</v>
      </c>
      <c r="V41" s="726" t="s">
        <v>21</v>
      </c>
      <c r="W41" s="830" t="s">
        <v>206</v>
      </c>
      <c r="AB41" s="778" t="str">
        <f t="shared" si="5"/>
        <v/>
      </c>
    </row>
    <row r="42" spans="1:28" ht="15" customHeight="1">
      <c r="A42" s="793" t="str">
        <f t="shared" si="0"/>
        <v/>
      </c>
      <c r="B42" s="1007"/>
      <c r="C42" s="1009"/>
      <c r="D42" s="1001"/>
      <c r="E42" s="902" t="s">
        <v>19</v>
      </c>
      <c r="F42" s="847" t="s">
        <v>60</v>
      </c>
      <c r="G42" s="749"/>
      <c r="H42" s="750"/>
      <c r="I42" s="910" t="str">
        <f t="shared" si="1"/>
        <v/>
      </c>
      <c r="J42" s="751"/>
      <c r="K42" s="850" t="str">
        <f t="shared" si="2"/>
        <v/>
      </c>
      <c r="L42" s="751"/>
      <c r="M42" s="850" t="str">
        <f t="shared" si="3"/>
        <v/>
      </c>
      <c r="N42" s="851"/>
      <c r="O42" s="838"/>
      <c r="P42" s="839"/>
      <c r="Q42" s="838"/>
      <c r="R42" s="839"/>
      <c r="S42" s="724" t="s">
        <v>21</v>
      </c>
      <c r="T42" s="725" t="s">
        <v>21</v>
      </c>
      <c r="U42" s="724" t="s">
        <v>21</v>
      </c>
      <c r="V42" s="726" t="s">
        <v>21</v>
      </c>
      <c r="W42" s="830" t="s">
        <v>206</v>
      </c>
      <c r="AB42" s="778" t="str">
        <f t="shared" si="5"/>
        <v/>
      </c>
    </row>
    <row r="43" spans="1:28" ht="15" customHeight="1">
      <c r="A43" s="793" t="str">
        <f t="shared" si="0"/>
        <v/>
      </c>
      <c r="B43" s="1007"/>
      <c r="C43" s="1009"/>
      <c r="D43" s="1001"/>
      <c r="E43" s="902" t="s">
        <v>169</v>
      </c>
      <c r="F43" s="847" t="s">
        <v>60</v>
      </c>
      <c r="G43" s="749"/>
      <c r="H43" s="750"/>
      <c r="I43" s="910" t="str">
        <f t="shared" si="1"/>
        <v/>
      </c>
      <c r="J43" s="751"/>
      <c r="K43" s="850" t="str">
        <f t="shared" si="2"/>
        <v/>
      </c>
      <c r="L43" s="751"/>
      <c r="M43" s="850" t="str">
        <f t="shared" si="3"/>
        <v/>
      </c>
      <c r="N43" s="851"/>
      <c r="O43" s="838"/>
      <c r="P43" s="839"/>
      <c r="Q43" s="838"/>
      <c r="R43" s="839"/>
      <c r="S43" s="724" t="s">
        <v>21</v>
      </c>
      <c r="T43" s="725" t="s">
        <v>21</v>
      </c>
      <c r="U43" s="724" t="s">
        <v>21</v>
      </c>
      <c r="V43" s="726" t="s">
        <v>21</v>
      </c>
      <c r="W43" s="830" t="s">
        <v>206</v>
      </c>
      <c r="AB43" s="778" t="str">
        <f t="shared" si="5"/>
        <v/>
      </c>
    </row>
    <row r="44" spans="1:28" ht="15" customHeight="1">
      <c r="A44" s="793" t="str">
        <f t="shared" si="0"/>
        <v/>
      </c>
      <c r="B44" s="1007"/>
      <c r="C44" s="1009"/>
      <c r="D44" s="1001"/>
      <c r="E44" s="902" t="s">
        <v>170</v>
      </c>
      <c r="F44" s="847" t="s">
        <v>60</v>
      </c>
      <c r="G44" s="749"/>
      <c r="H44" s="750"/>
      <c r="I44" s="910" t="str">
        <f t="shared" si="1"/>
        <v/>
      </c>
      <c r="J44" s="751"/>
      <c r="K44" s="850" t="str">
        <f t="shared" si="2"/>
        <v/>
      </c>
      <c r="L44" s="751"/>
      <c r="M44" s="850" t="str">
        <f t="shared" si="3"/>
        <v/>
      </c>
      <c r="N44" s="851"/>
      <c r="O44" s="838"/>
      <c r="P44" s="839"/>
      <c r="Q44" s="838"/>
      <c r="R44" s="839"/>
      <c r="S44" s="724" t="s">
        <v>21</v>
      </c>
      <c r="T44" s="725" t="s">
        <v>21</v>
      </c>
      <c r="U44" s="724" t="s">
        <v>21</v>
      </c>
      <c r="V44" s="726" t="s">
        <v>21</v>
      </c>
      <c r="W44" s="830" t="s">
        <v>206</v>
      </c>
      <c r="AB44" s="778" t="str">
        <f t="shared" si="5"/>
        <v/>
      </c>
    </row>
    <row r="45" spans="1:28" ht="15" customHeight="1">
      <c r="A45" s="793" t="str">
        <f t="shared" si="0"/>
        <v/>
      </c>
      <c r="B45" s="1007"/>
      <c r="C45" s="1009"/>
      <c r="D45" s="1001"/>
      <c r="E45" s="902" t="s">
        <v>5</v>
      </c>
      <c r="F45" s="847" t="s">
        <v>60</v>
      </c>
      <c r="G45" s="848"/>
      <c r="H45" s="849"/>
      <c r="I45" s="910" t="str">
        <f t="shared" si="1"/>
        <v/>
      </c>
      <c r="J45" s="851"/>
      <c r="K45" s="850" t="str">
        <f t="shared" si="2"/>
        <v/>
      </c>
      <c r="L45" s="851"/>
      <c r="M45" s="850" t="str">
        <f t="shared" si="3"/>
        <v/>
      </c>
      <c r="N45" s="851"/>
      <c r="O45" s="838"/>
      <c r="P45" s="839"/>
      <c r="Q45" s="838"/>
      <c r="R45" s="839"/>
      <c r="S45" s="724" t="s">
        <v>21</v>
      </c>
      <c r="T45" s="725" t="s">
        <v>21</v>
      </c>
      <c r="U45" s="724" t="s">
        <v>21</v>
      </c>
      <c r="V45" s="726" t="s">
        <v>21</v>
      </c>
      <c r="W45" s="830" t="s">
        <v>206</v>
      </c>
      <c r="AB45" s="778" t="str">
        <f t="shared" si="5"/>
        <v/>
      </c>
    </row>
    <row r="46" spans="1:28" ht="15" customHeight="1">
      <c r="A46" s="793" t="str">
        <f t="shared" si="0"/>
        <v/>
      </c>
      <c r="B46" s="1007"/>
      <c r="C46" s="1009"/>
      <c r="D46" s="1001"/>
      <c r="E46" s="961" t="s">
        <v>166</v>
      </c>
      <c r="F46" s="847"/>
      <c r="G46" s="848"/>
      <c r="H46" s="849"/>
      <c r="I46" s="747"/>
      <c r="J46" s="851"/>
      <c r="K46" s="850"/>
      <c r="L46" s="851"/>
      <c r="M46" s="850"/>
      <c r="N46" s="851"/>
      <c r="O46" s="838"/>
      <c r="P46" s="839"/>
      <c r="Q46" s="838"/>
      <c r="R46" s="839"/>
      <c r="S46" s="724" t="s">
        <v>21</v>
      </c>
      <c r="T46" s="725" t="s">
        <v>21</v>
      </c>
      <c r="U46" s="724" t="s">
        <v>21</v>
      </c>
      <c r="V46" s="726" t="s">
        <v>21</v>
      </c>
      <c r="W46" s="830"/>
    </row>
    <row r="47" spans="1:28" ht="15" customHeight="1">
      <c r="A47" s="793" t="str">
        <f t="shared" si="0"/>
        <v/>
      </c>
      <c r="B47" s="1007"/>
      <c r="C47" s="1009"/>
      <c r="D47" s="1001"/>
      <c r="E47" s="961" t="s">
        <v>166</v>
      </c>
      <c r="F47" s="847"/>
      <c r="G47" s="848"/>
      <c r="H47" s="849"/>
      <c r="I47" s="747"/>
      <c r="J47" s="851"/>
      <c r="K47" s="850"/>
      <c r="L47" s="851"/>
      <c r="M47" s="850"/>
      <c r="N47" s="851"/>
      <c r="O47" s="838"/>
      <c r="P47" s="839"/>
      <c r="Q47" s="838"/>
      <c r="R47" s="839"/>
      <c r="S47" s="724" t="s">
        <v>21</v>
      </c>
      <c r="T47" s="725" t="s">
        <v>21</v>
      </c>
      <c r="U47" s="724" t="s">
        <v>21</v>
      </c>
      <c r="V47" s="726" t="s">
        <v>21</v>
      </c>
      <c r="W47" s="830"/>
    </row>
    <row r="48" spans="1:28" ht="15" customHeight="1">
      <c r="A48" s="793" t="str">
        <f t="shared" si="0"/>
        <v/>
      </c>
      <c r="B48" s="1007"/>
      <c r="C48" s="1009"/>
      <c r="D48" s="1001"/>
      <c r="E48" s="962" t="s">
        <v>166</v>
      </c>
      <c r="F48" s="912"/>
      <c r="G48" s="853"/>
      <c r="H48" s="854"/>
      <c r="I48" s="748"/>
      <c r="J48" s="856"/>
      <c r="K48" s="855"/>
      <c r="L48" s="856"/>
      <c r="M48" s="855"/>
      <c r="N48" s="856"/>
      <c r="O48" s="840"/>
      <c r="P48" s="841"/>
      <c r="Q48" s="840"/>
      <c r="R48" s="841"/>
      <c r="S48" s="727" t="s">
        <v>21</v>
      </c>
      <c r="T48" s="728" t="s">
        <v>21</v>
      </c>
      <c r="U48" s="727" t="s">
        <v>21</v>
      </c>
      <c r="V48" s="729" t="s">
        <v>21</v>
      </c>
      <c r="W48" s="830"/>
    </row>
    <row r="49" spans="1:28" ht="15.75">
      <c r="A49" s="793" t="str">
        <f t="shared" si="0"/>
        <v>S</v>
      </c>
      <c r="B49" s="1007"/>
      <c r="C49" s="1010"/>
      <c r="D49" s="873" t="s">
        <v>138</v>
      </c>
      <c r="E49" s="896"/>
      <c r="F49" s="792"/>
      <c r="G49" s="783">
        <f>SUM(G35:G48)</f>
        <v>0</v>
      </c>
      <c r="H49" s="784">
        <f>SUM(H35:H48)</f>
        <v>0</v>
      </c>
      <c r="I49" s="785" t="e">
        <f>J49/G49</f>
        <v>#DIV/0!</v>
      </c>
      <c r="J49" s="827">
        <f>SUM(J35:J48)</f>
        <v>0</v>
      </c>
      <c r="K49" s="785" t="e">
        <f t="shared" si="2"/>
        <v>#DIV/0!</v>
      </c>
      <c r="L49" s="827">
        <f>SUM(L35:L48)</f>
        <v>0</v>
      </c>
      <c r="M49" s="785" t="e">
        <f t="shared" si="3"/>
        <v>#DIV/0!</v>
      </c>
      <c r="N49" s="827">
        <f t="shared" ref="N49:V49" si="19">SUM(N35:N48)</f>
        <v>0</v>
      </c>
      <c r="O49" s="815">
        <f t="shared" si="19"/>
        <v>0</v>
      </c>
      <c r="P49" s="816">
        <f t="shared" si="19"/>
        <v>0</v>
      </c>
      <c r="Q49" s="815">
        <f t="shared" si="19"/>
        <v>0</v>
      </c>
      <c r="R49" s="816">
        <f t="shared" si="19"/>
        <v>0</v>
      </c>
      <c r="S49" s="815">
        <f t="shared" si="19"/>
        <v>0</v>
      </c>
      <c r="T49" s="816">
        <f t="shared" si="19"/>
        <v>0</v>
      </c>
      <c r="U49" s="815">
        <f t="shared" si="19"/>
        <v>0</v>
      </c>
      <c r="V49" s="817">
        <f t="shared" si="19"/>
        <v>0</v>
      </c>
      <c r="W49" s="830" t="s">
        <v>206</v>
      </c>
      <c r="AB49" s="778">
        <f t="shared" si="5"/>
        <v>0</v>
      </c>
    </row>
    <row r="50" spans="1:28">
      <c r="A50" s="793" t="str">
        <f>IF(D50="Sous-total","S",IF(G50="","","X"))</f>
        <v/>
      </c>
      <c r="B50" s="1007" t="s">
        <v>83</v>
      </c>
      <c r="C50" s="1009" t="s">
        <v>75</v>
      </c>
      <c r="D50" s="991">
        <v>9</v>
      </c>
      <c r="E50" s="901" t="s">
        <v>10</v>
      </c>
      <c r="F50" s="842" t="s">
        <v>60</v>
      </c>
      <c r="G50" s="843"/>
      <c r="H50" s="844"/>
      <c r="I50" s="909" t="str">
        <f>IF(J50="","",J50/G50)</f>
        <v/>
      </c>
      <c r="J50" s="844"/>
      <c r="K50" s="845" t="str">
        <f>IF(L50="","",L50/G50)</f>
        <v/>
      </c>
      <c r="L50" s="846"/>
      <c r="M50" s="845" t="str">
        <f>IF(N50="","",N50/L50)</f>
        <v/>
      </c>
      <c r="N50" s="846"/>
      <c r="O50" s="836"/>
      <c r="P50" s="837"/>
      <c r="Q50" s="836"/>
      <c r="R50" s="837"/>
      <c r="S50" s="721" t="s">
        <v>21</v>
      </c>
      <c r="T50" s="722" t="s">
        <v>21</v>
      </c>
      <c r="U50" s="721" t="s">
        <v>21</v>
      </c>
      <c r="V50" s="723" t="s">
        <v>21</v>
      </c>
      <c r="W50" s="830" t="s">
        <v>206</v>
      </c>
      <c r="AB50" s="778" t="str">
        <f t="shared" si="5"/>
        <v/>
      </c>
    </row>
    <row r="51" spans="1:28">
      <c r="A51" s="793" t="str">
        <f t="shared" ref="A51:A113" si="20">IF(D51="Sous-total","S",IF(G51="","","X"))</f>
        <v/>
      </c>
      <c r="B51" s="1007"/>
      <c r="C51" s="1009"/>
      <c r="D51" s="991"/>
      <c r="E51" s="902" t="s">
        <v>11</v>
      </c>
      <c r="F51" s="847" t="s">
        <v>60</v>
      </c>
      <c r="G51" s="848"/>
      <c r="H51" s="849"/>
      <c r="I51" s="910" t="str">
        <f t="shared" ref="I51:I60" si="21">IF(J51="","",J51/G51)</f>
        <v/>
      </c>
      <c r="J51" s="849"/>
      <c r="K51" s="850" t="str">
        <f t="shared" ref="K51:K128" si="22">IF(L51="","",L51/G51)</f>
        <v/>
      </c>
      <c r="L51" s="851"/>
      <c r="M51" s="850" t="str">
        <f t="shared" ref="M51:M128" si="23">IF(N51="","",N51/L51)</f>
        <v/>
      </c>
      <c r="N51" s="851"/>
      <c r="O51" s="838"/>
      <c r="P51" s="839"/>
      <c r="Q51" s="838"/>
      <c r="R51" s="839"/>
      <c r="S51" s="724" t="s">
        <v>21</v>
      </c>
      <c r="T51" s="725" t="s">
        <v>21</v>
      </c>
      <c r="U51" s="724" t="s">
        <v>21</v>
      </c>
      <c r="V51" s="726" t="s">
        <v>21</v>
      </c>
      <c r="W51" s="830" t="s">
        <v>206</v>
      </c>
      <c r="AB51" s="778" t="str">
        <f t="shared" si="5"/>
        <v/>
      </c>
    </row>
    <row r="52" spans="1:28">
      <c r="A52" s="793" t="str">
        <f t="shared" si="20"/>
        <v/>
      </c>
      <c r="B52" s="1007"/>
      <c r="C52" s="1009"/>
      <c r="D52" s="991"/>
      <c r="E52" s="902" t="s">
        <v>12</v>
      </c>
      <c r="F52" s="847" t="s">
        <v>60</v>
      </c>
      <c r="G52" s="848"/>
      <c r="H52" s="849"/>
      <c r="I52" s="910" t="str">
        <f t="shared" si="21"/>
        <v/>
      </c>
      <c r="J52" s="849"/>
      <c r="K52" s="850" t="str">
        <f t="shared" si="22"/>
        <v/>
      </c>
      <c r="L52" s="851"/>
      <c r="M52" s="850" t="str">
        <f t="shared" si="23"/>
        <v/>
      </c>
      <c r="N52" s="851"/>
      <c r="O52" s="838"/>
      <c r="P52" s="839"/>
      <c r="Q52" s="838"/>
      <c r="R52" s="839"/>
      <c r="S52" s="724" t="s">
        <v>21</v>
      </c>
      <c r="T52" s="725" t="s">
        <v>21</v>
      </c>
      <c r="U52" s="724" t="s">
        <v>21</v>
      </c>
      <c r="V52" s="726" t="s">
        <v>21</v>
      </c>
      <c r="W52" s="830" t="s">
        <v>206</v>
      </c>
      <c r="AB52" s="778" t="str">
        <f t="shared" si="5"/>
        <v/>
      </c>
    </row>
    <row r="53" spans="1:28">
      <c r="A53" s="793" t="str">
        <f t="shared" si="20"/>
        <v/>
      </c>
      <c r="B53" s="1007"/>
      <c r="C53" s="1009"/>
      <c r="D53" s="991"/>
      <c r="E53" s="902" t="s">
        <v>7</v>
      </c>
      <c r="F53" s="847" t="s">
        <v>60</v>
      </c>
      <c r="G53" s="848"/>
      <c r="H53" s="849"/>
      <c r="I53" s="910" t="str">
        <f t="shared" si="21"/>
        <v/>
      </c>
      <c r="J53" s="849"/>
      <c r="K53" s="850" t="str">
        <f t="shared" si="22"/>
        <v/>
      </c>
      <c r="L53" s="851"/>
      <c r="M53" s="850" t="str">
        <f t="shared" si="23"/>
        <v/>
      </c>
      <c r="N53" s="851"/>
      <c r="O53" s="838"/>
      <c r="P53" s="839"/>
      <c r="Q53" s="838"/>
      <c r="R53" s="839"/>
      <c r="S53" s="724" t="s">
        <v>21</v>
      </c>
      <c r="T53" s="725" t="s">
        <v>21</v>
      </c>
      <c r="U53" s="724" t="s">
        <v>21</v>
      </c>
      <c r="V53" s="726" t="s">
        <v>21</v>
      </c>
      <c r="W53" s="830" t="s">
        <v>206</v>
      </c>
      <c r="AB53" s="778" t="str">
        <f t="shared" si="5"/>
        <v/>
      </c>
    </row>
    <row r="54" spans="1:28">
      <c r="A54" s="793" t="str">
        <f t="shared" si="20"/>
        <v/>
      </c>
      <c r="B54" s="1007"/>
      <c r="C54" s="1009"/>
      <c r="D54" s="991"/>
      <c r="E54" s="902" t="s">
        <v>132</v>
      </c>
      <c r="F54" s="847" t="s">
        <v>60</v>
      </c>
      <c r="G54" s="848"/>
      <c r="H54" s="849"/>
      <c r="I54" s="910" t="str">
        <f t="shared" si="21"/>
        <v/>
      </c>
      <c r="J54" s="849"/>
      <c r="K54" s="850" t="str">
        <f t="shared" si="22"/>
        <v/>
      </c>
      <c r="L54" s="851"/>
      <c r="M54" s="850" t="str">
        <f t="shared" si="23"/>
        <v/>
      </c>
      <c r="N54" s="851"/>
      <c r="O54" s="838"/>
      <c r="P54" s="839"/>
      <c r="Q54" s="838"/>
      <c r="R54" s="839"/>
      <c r="S54" s="724" t="s">
        <v>21</v>
      </c>
      <c r="T54" s="725" t="s">
        <v>21</v>
      </c>
      <c r="U54" s="724" t="s">
        <v>21</v>
      </c>
      <c r="V54" s="726" t="s">
        <v>21</v>
      </c>
      <c r="W54" s="830" t="s">
        <v>206</v>
      </c>
      <c r="AB54" s="778" t="str">
        <f t="shared" si="5"/>
        <v/>
      </c>
    </row>
    <row r="55" spans="1:28">
      <c r="A55" s="793" t="str">
        <f t="shared" si="20"/>
        <v/>
      </c>
      <c r="B55" s="1007"/>
      <c r="C55" s="1009"/>
      <c r="D55" s="991"/>
      <c r="E55" s="902" t="s">
        <v>8</v>
      </c>
      <c r="F55" s="847" t="s">
        <v>60</v>
      </c>
      <c r="G55" s="848"/>
      <c r="H55" s="849"/>
      <c r="I55" s="910" t="str">
        <f t="shared" si="21"/>
        <v/>
      </c>
      <c r="J55" s="849"/>
      <c r="K55" s="850" t="str">
        <f t="shared" si="22"/>
        <v/>
      </c>
      <c r="L55" s="851"/>
      <c r="M55" s="850" t="str">
        <f t="shared" si="23"/>
        <v/>
      </c>
      <c r="N55" s="851"/>
      <c r="O55" s="838"/>
      <c r="P55" s="839"/>
      <c r="Q55" s="838"/>
      <c r="R55" s="839"/>
      <c r="S55" s="724" t="s">
        <v>21</v>
      </c>
      <c r="T55" s="725" t="s">
        <v>21</v>
      </c>
      <c r="U55" s="724" t="s">
        <v>21</v>
      </c>
      <c r="V55" s="726" t="s">
        <v>21</v>
      </c>
      <c r="W55" s="830" t="s">
        <v>206</v>
      </c>
      <c r="AB55" s="778" t="str">
        <f t="shared" si="5"/>
        <v/>
      </c>
    </row>
    <row r="56" spans="1:28">
      <c r="A56" s="793" t="str">
        <f t="shared" si="20"/>
        <v/>
      </c>
      <c r="B56" s="1007"/>
      <c r="C56" s="1009"/>
      <c r="D56" s="991"/>
      <c r="E56" s="902" t="s">
        <v>6</v>
      </c>
      <c r="F56" s="847" t="s">
        <v>60</v>
      </c>
      <c r="G56" s="848"/>
      <c r="H56" s="849"/>
      <c r="I56" s="910" t="str">
        <f t="shared" si="21"/>
        <v/>
      </c>
      <c r="J56" s="849"/>
      <c r="K56" s="850" t="str">
        <f t="shared" si="22"/>
        <v/>
      </c>
      <c r="L56" s="851"/>
      <c r="M56" s="850" t="str">
        <f t="shared" si="23"/>
        <v/>
      </c>
      <c r="N56" s="851"/>
      <c r="O56" s="838"/>
      <c r="P56" s="839"/>
      <c r="Q56" s="838"/>
      <c r="R56" s="839"/>
      <c r="S56" s="724" t="s">
        <v>21</v>
      </c>
      <c r="T56" s="725" t="s">
        <v>21</v>
      </c>
      <c r="U56" s="724" t="s">
        <v>21</v>
      </c>
      <c r="V56" s="726" t="s">
        <v>21</v>
      </c>
      <c r="W56" s="830" t="s">
        <v>206</v>
      </c>
      <c r="AB56" s="778" t="str">
        <f t="shared" si="5"/>
        <v/>
      </c>
    </row>
    <row r="57" spans="1:28" ht="15" customHeight="1">
      <c r="A57" s="793" t="str">
        <f t="shared" si="20"/>
        <v/>
      </c>
      <c r="B57" s="1007"/>
      <c r="C57" s="1009"/>
      <c r="D57" s="991"/>
      <c r="E57" s="902" t="s">
        <v>228</v>
      </c>
      <c r="F57" s="847" t="s">
        <v>60</v>
      </c>
      <c r="G57" s="848"/>
      <c r="H57" s="849"/>
      <c r="I57" s="910" t="str">
        <f t="shared" si="21"/>
        <v/>
      </c>
      <c r="J57" s="849"/>
      <c r="K57" s="850" t="str">
        <f t="shared" si="22"/>
        <v/>
      </c>
      <c r="L57" s="851"/>
      <c r="M57" s="850" t="str">
        <f t="shared" si="23"/>
        <v/>
      </c>
      <c r="N57" s="851"/>
      <c r="O57" s="838"/>
      <c r="P57" s="839"/>
      <c r="Q57" s="838"/>
      <c r="R57" s="839"/>
      <c r="S57" s="724" t="s">
        <v>21</v>
      </c>
      <c r="T57" s="725" t="s">
        <v>21</v>
      </c>
      <c r="U57" s="724" t="s">
        <v>21</v>
      </c>
      <c r="V57" s="726" t="s">
        <v>21</v>
      </c>
      <c r="W57" s="830" t="s">
        <v>206</v>
      </c>
      <c r="AB57" s="778" t="str">
        <f t="shared" si="5"/>
        <v/>
      </c>
    </row>
    <row r="58" spans="1:28" ht="15" customHeight="1">
      <c r="A58" s="793" t="str">
        <f t="shared" si="20"/>
        <v/>
      </c>
      <c r="B58" s="1007"/>
      <c r="C58" s="1009"/>
      <c r="D58" s="991"/>
      <c r="E58" s="902" t="s">
        <v>229</v>
      </c>
      <c r="F58" s="847" t="s">
        <v>60</v>
      </c>
      <c r="G58" s="848"/>
      <c r="H58" s="849"/>
      <c r="I58" s="910" t="str">
        <f t="shared" si="21"/>
        <v/>
      </c>
      <c r="J58" s="849"/>
      <c r="K58" s="850" t="str">
        <f t="shared" si="22"/>
        <v/>
      </c>
      <c r="L58" s="851"/>
      <c r="M58" s="850" t="str">
        <f t="shared" si="23"/>
        <v/>
      </c>
      <c r="N58" s="851"/>
      <c r="O58" s="838"/>
      <c r="P58" s="839"/>
      <c r="Q58" s="838"/>
      <c r="R58" s="839"/>
      <c r="S58" s="724" t="s">
        <v>21</v>
      </c>
      <c r="T58" s="725" t="s">
        <v>21</v>
      </c>
      <c r="U58" s="724" t="s">
        <v>21</v>
      </c>
      <c r="V58" s="726" t="s">
        <v>21</v>
      </c>
      <c r="W58" s="830" t="s">
        <v>206</v>
      </c>
      <c r="AB58" s="778" t="str">
        <f t="shared" si="5"/>
        <v/>
      </c>
    </row>
    <row r="59" spans="1:28">
      <c r="A59" s="793" t="str">
        <f t="shared" si="20"/>
        <v/>
      </c>
      <c r="B59" s="1007"/>
      <c r="C59" s="1009"/>
      <c r="D59" s="991"/>
      <c r="E59" s="902" t="s">
        <v>198</v>
      </c>
      <c r="F59" s="847" t="s">
        <v>60</v>
      </c>
      <c r="G59" s="848"/>
      <c r="H59" s="849"/>
      <c r="I59" s="910" t="str">
        <f t="shared" si="21"/>
        <v/>
      </c>
      <c r="J59" s="849"/>
      <c r="K59" s="850" t="str">
        <f t="shared" si="22"/>
        <v/>
      </c>
      <c r="L59" s="851"/>
      <c r="M59" s="850" t="str">
        <f t="shared" si="23"/>
        <v/>
      </c>
      <c r="N59" s="851"/>
      <c r="O59" s="838"/>
      <c r="P59" s="839"/>
      <c r="Q59" s="838"/>
      <c r="R59" s="839"/>
      <c r="S59" s="724" t="s">
        <v>21</v>
      </c>
      <c r="T59" s="725" t="s">
        <v>21</v>
      </c>
      <c r="U59" s="724" t="s">
        <v>21</v>
      </c>
      <c r="V59" s="726" t="s">
        <v>21</v>
      </c>
      <c r="W59" s="830" t="s">
        <v>206</v>
      </c>
      <c r="AB59" s="778" t="str">
        <f t="shared" si="5"/>
        <v/>
      </c>
    </row>
    <row r="60" spans="1:28">
      <c r="A60" s="793" t="str">
        <f t="shared" si="20"/>
        <v/>
      </c>
      <c r="B60" s="1007"/>
      <c r="C60" s="1009"/>
      <c r="D60" s="991"/>
      <c r="E60" s="902" t="s">
        <v>9</v>
      </c>
      <c r="F60" s="847" t="s">
        <v>60</v>
      </c>
      <c r="G60" s="848"/>
      <c r="H60" s="849"/>
      <c r="I60" s="910" t="str">
        <f t="shared" si="21"/>
        <v/>
      </c>
      <c r="J60" s="849"/>
      <c r="K60" s="850" t="str">
        <f t="shared" si="22"/>
        <v/>
      </c>
      <c r="L60" s="851"/>
      <c r="M60" s="850" t="str">
        <f t="shared" si="23"/>
        <v/>
      </c>
      <c r="N60" s="851"/>
      <c r="O60" s="838"/>
      <c r="P60" s="839"/>
      <c r="Q60" s="838"/>
      <c r="R60" s="839"/>
      <c r="S60" s="724" t="s">
        <v>21</v>
      </c>
      <c r="T60" s="725" t="s">
        <v>21</v>
      </c>
      <c r="U60" s="724" t="s">
        <v>21</v>
      </c>
      <c r="V60" s="726" t="s">
        <v>21</v>
      </c>
      <c r="W60" s="830" t="s">
        <v>206</v>
      </c>
      <c r="AB60" s="778" t="str">
        <f t="shared" si="5"/>
        <v/>
      </c>
    </row>
    <row r="61" spans="1:28" ht="15.75" customHeight="1">
      <c r="A61" s="793" t="str">
        <f t="shared" si="20"/>
        <v/>
      </c>
      <c r="B61" s="1007"/>
      <c r="C61" s="1009"/>
      <c r="D61" s="991"/>
      <c r="E61" s="905" t="s">
        <v>166</v>
      </c>
      <c r="F61" s="847"/>
      <c r="G61" s="848"/>
      <c r="H61" s="849"/>
      <c r="I61" s="747"/>
      <c r="J61" s="849"/>
      <c r="K61" s="850"/>
      <c r="L61" s="851"/>
      <c r="M61" s="850"/>
      <c r="N61" s="851"/>
      <c r="O61" s="838"/>
      <c r="P61" s="839"/>
      <c r="Q61" s="838"/>
      <c r="R61" s="839"/>
      <c r="S61" s="724" t="s">
        <v>21</v>
      </c>
      <c r="T61" s="725" t="s">
        <v>21</v>
      </c>
      <c r="U61" s="724" t="s">
        <v>21</v>
      </c>
      <c r="V61" s="726" t="s">
        <v>21</v>
      </c>
      <c r="W61" s="830"/>
    </row>
    <row r="62" spans="1:28" ht="15.75" customHeight="1">
      <c r="A62" s="793" t="str">
        <f t="shared" si="20"/>
        <v/>
      </c>
      <c r="B62" s="1007"/>
      <c r="C62" s="1009"/>
      <c r="D62" s="991"/>
      <c r="E62" s="905" t="s">
        <v>166</v>
      </c>
      <c r="F62" s="847"/>
      <c r="G62" s="848"/>
      <c r="H62" s="849"/>
      <c r="I62" s="747"/>
      <c r="J62" s="849"/>
      <c r="K62" s="850"/>
      <c r="L62" s="851"/>
      <c r="M62" s="850"/>
      <c r="N62" s="851"/>
      <c r="O62" s="838"/>
      <c r="P62" s="839"/>
      <c r="Q62" s="838"/>
      <c r="R62" s="839"/>
      <c r="S62" s="724" t="s">
        <v>21</v>
      </c>
      <c r="T62" s="725" t="s">
        <v>21</v>
      </c>
      <c r="U62" s="724" t="s">
        <v>21</v>
      </c>
      <c r="V62" s="726" t="s">
        <v>21</v>
      </c>
      <c r="W62" s="830"/>
    </row>
    <row r="63" spans="1:28" ht="15.75" customHeight="1">
      <c r="A63" s="793" t="str">
        <f t="shared" si="20"/>
        <v/>
      </c>
      <c r="B63" s="1007"/>
      <c r="C63" s="1009"/>
      <c r="D63" s="991"/>
      <c r="E63" s="907" t="s">
        <v>166</v>
      </c>
      <c r="F63" s="912"/>
      <c r="G63" s="853"/>
      <c r="H63" s="854"/>
      <c r="I63" s="748"/>
      <c r="J63" s="854"/>
      <c r="K63" s="855"/>
      <c r="L63" s="856"/>
      <c r="M63" s="855"/>
      <c r="N63" s="856"/>
      <c r="O63" s="840"/>
      <c r="P63" s="841"/>
      <c r="Q63" s="840"/>
      <c r="R63" s="841"/>
      <c r="S63" s="727" t="s">
        <v>21</v>
      </c>
      <c r="T63" s="728" t="s">
        <v>21</v>
      </c>
      <c r="U63" s="727" t="s">
        <v>21</v>
      </c>
      <c r="V63" s="729" t="s">
        <v>21</v>
      </c>
      <c r="W63" s="830"/>
    </row>
    <row r="64" spans="1:28" ht="16.5" thickBot="1">
      <c r="A64" s="793" t="str">
        <f t="shared" si="20"/>
        <v>S</v>
      </c>
      <c r="B64" s="1008"/>
      <c r="C64" s="1011"/>
      <c r="D64" s="875" t="s">
        <v>138</v>
      </c>
      <c r="E64" s="913"/>
      <c r="F64" s="832"/>
      <c r="G64" s="783">
        <f>SUM(G50:G63)</f>
        <v>0</v>
      </c>
      <c r="H64" s="784">
        <f>SUM(H50:H63)</f>
        <v>0</v>
      </c>
      <c r="I64" s="785" t="e">
        <f>IF(J64="","",J64/G64)</f>
        <v>#DIV/0!</v>
      </c>
      <c r="J64" s="827">
        <f>SUM(J50:J63)</f>
        <v>0</v>
      </c>
      <c r="K64" s="785" t="e">
        <f t="shared" si="22"/>
        <v>#DIV/0!</v>
      </c>
      <c r="L64" s="827">
        <f>SUM(L50:L63)</f>
        <v>0</v>
      </c>
      <c r="M64" s="785" t="e">
        <f t="shared" si="23"/>
        <v>#DIV/0!</v>
      </c>
      <c r="N64" s="827">
        <f t="shared" ref="N64:V64" si="24">SUM(N50:N63)</f>
        <v>0</v>
      </c>
      <c r="O64" s="951">
        <f t="shared" si="24"/>
        <v>0</v>
      </c>
      <c r="P64" s="952">
        <f t="shared" si="24"/>
        <v>0</v>
      </c>
      <c r="Q64" s="951">
        <f t="shared" si="24"/>
        <v>0</v>
      </c>
      <c r="R64" s="952">
        <f t="shared" si="24"/>
        <v>0</v>
      </c>
      <c r="S64" s="951">
        <f t="shared" si="24"/>
        <v>0</v>
      </c>
      <c r="T64" s="952">
        <f t="shared" si="24"/>
        <v>0</v>
      </c>
      <c r="U64" s="951">
        <f t="shared" si="24"/>
        <v>0</v>
      </c>
      <c r="V64" s="953">
        <f t="shared" si="24"/>
        <v>0</v>
      </c>
      <c r="W64" s="830" t="s">
        <v>206</v>
      </c>
      <c r="AB64" s="778">
        <f t="shared" si="5"/>
        <v>0</v>
      </c>
    </row>
    <row r="65" spans="1:28" s="791" customFormat="1" ht="27.75" customHeight="1" thickBot="1">
      <c r="A65" s="793" t="str">
        <f t="shared" si="20"/>
        <v>X</v>
      </c>
      <c r="B65" s="808" t="s">
        <v>78</v>
      </c>
      <c r="C65" s="809"/>
      <c r="D65" s="809">
        <f>SUM(D5:D60)</f>
        <v>40</v>
      </c>
      <c r="E65" s="895" t="s">
        <v>79</v>
      </c>
      <c r="F65" s="894"/>
      <c r="G65" s="878">
        <f>G8+G12+G34+G49+G64</f>
        <v>0</v>
      </c>
      <c r="H65" s="879">
        <f>H8+H12+H34+H49+H64</f>
        <v>0</v>
      </c>
      <c r="I65" s="880" t="e">
        <f t="shared" ref="I65:I142" si="25">IF(J65="","",J65/G65)</f>
        <v>#DIV/0!</v>
      </c>
      <c r="J65" s="800">
        <f>J8+J12+J34+J49+J64</f>
        <v>0</v>
      </c>
      <c r="K65" s="831" t="e">
        <f t="shared" si="22"/>
        <v>#DIV/0!</v>
      </c>
      <c r="L65" s="800">
        <f>L8+L12+L34+L49+L64</f>
        <v>0</v>
      </c>
      <c r="M65" s="880" t="e">
        <f t="shared" si="23"/>
        <v>#DIV/0!</v>
      </c>
      <c r="N65" s="800">
        <f t="shared" ref="N65:V65" si="26">N8+N12+N34+N49+N64</f>
        <v>0</v>
      </c>
      <c r="O65" s="801">
        <f t="shared" si="26"/>
        <v>0</v>
      </c>
      <c r="P65" s="802">
        <f t="shared" si="26"/>
        <v>0</v>
      </c>
      <c r="Q65" s="801">
        <f t="shared" si="26"/>
        <v>0</v>
      </c>
      <c r="R65" s="802">
        <f t="shared" si="26"/>
        <v>0</v>
      </c>
      <c r="S65" s="863">
        <f t="shared" si="26"/>
        <v>0</v>
      </c>
      <c r="T65" s="862">
        <f t="shared" si="26"/>
        <v>0</v>
      </c>
      <c r="U65" s="863">
        <f t="shared" si="26"/>
        <v>0</v>
      </c>
      <c r="V65" s="877">
        <f t="shared" si="26"/>
        <v>0</v>
      </c>
      <c r="W65" s="925" t="s">
        <v>206</v>
      </c>
      <c r="X65" s="891"/>
      <c r="Y65" s="777"/>
      <c r="AB65" s="778">
        <f t="shared" si="5"/>
        <v>0</v>
      </c>
    </row>
    <row r="66" spans="1:28" ht="15" customHeight="1">
      <c r="A66" s="793" t="str">
        <f t="shared" si="20"/>
        <v/>
      </c>
      <c r="B66" s="1012" t="s">
        <v>84</v>
      </c>
      <c r="C66" s="1015" t="s">
        <v>76</v>
      </c>
      <c r="D66" s="1002">
        <v>10</v>
      </c>
      <c r="E66" s="921" t="s">
        <v>25</v>
      </c>
      <c r="F66" s="922" t="s">
        <v>60</v>
      </c>
      <c r="G66" s="843"/>
      <c r="H66" s="844"/>
      <c r="I66" s="845" t="str">
        <f t="shared" si="25"/>
        <v/>
      </c>
      <c r="J66" s="846"/>
      <c r="K66" s="845" t="str">
        <f t="shared" si="22"/>
        <v/>
      </c>
      <c r="L66" s="846"/>
      <c r="M66" s="845" t="str">
        <f t="shared" si="23"/>
        <v/>
      </c>
      <c r="N66" s="846"/>
      <c r="O66" s="836"/>
      <c r="P66" s="837"/>
      <c r="Q66" s="836"/>
      <c r="R66" s="837"/>
      <c r="S66" s="721"/>
      <c r="T66" s="722"/>
      <c r="U66" s="721"/>
      <c r="V66" s="723"/>
      <c r="W66" s="925" t="s">
        <v>206</v>
      </c>
      <c r="AB66" s="778" t="str">
        <f t="shared" si="5"/>
        <v/>
      </c>
    </row>
    <row r="67" spans="1:28" ht="15" customHeight="1">
      <c r="A67" s="793" t="str">
        <f t="shared" si="20"/>
        <v/>
      </c>
      <c r="B67" s="1013"/>
      <c r="C67" s="1016"/>
      <c r="D67" s="994"/>
      <c r="E67" s="905" t="s">
        <v>26</v>
      </c>
      <c r="F67" s="908" t="s">
        <v>60</v>
      </c>
      <c r="G67" s="848"/>
      <c r="H67" s="849"/>
      <c r="I67" s="850" t="str">
        <f t="shared" si="25"/>
        <v/>
      </c>
      <c r="J67" s="851"/>
      <c r="K67" s="850" t="str">
        <f t="shared" si="22"/>
        <v/>
      </c>
      <c r="L67" s="851"/>
      <c r="M67" s="850" t="str">
        <f t="shared" si="23"/>
        <v/>
      </c>
      <c r="N67" s="851"/>
      <c r="O67" s="838"/>
      <c r="P67" s="839"/>
      <c r="Q67" s="838"/>
      <c r="R67" s="839"/>
      <c r="S67" s="724"/>
      <c r="T67" s="725"/>
      <c r="U67" s="724"/>
      <c r="V67" s="726"/>
      <c r="W67" s="925" t="s">
        <v>206</v>
      </c>
      <c r="AB67" s="778" t="str">
        <f t="shared" si="5"/>
        <v/>
      </c>
    </row>
    <row r="68" spans="1:28" ht="15" customHeight="1">
      <c r="A68" s="793" t="str">
        <f t="shared" si="20"/>
        <v/>
      </c>
      <c r="B68" s="1013"/>
      <c r="C68" s="1016"/>
      <c r="D68" s="994"/>
      <c r="E68" s="905" t="s">
        <v>58</v>
      </c>
      <c r="F68" s="908" t="s">
        <v>60</v>
      </c>
      <c r="G68" s="848"/>
      <c r="H68" s="849"/>
      <c r="I68" s="850" t="str">
        <f t="shared" si="25"/>
        <v/>
      </c>
      <c r="J68" s="851"/>
      <c r="K68" s="850" t="str">
        <f t="shared" si="22"/>
        <v/>
      </c>
      <c r="L68" s="851"/>
      <c r="M68" s="850" t="str">
        <f t="shared" si="23"/>
        <v/>
      </c>
      <c r="N68" s="851"/>
      <c r="O68" s="838"/>
      <c r="P68" s="839"/>
      <c r="Q68" s="838"/>
      <c r="R68" s="839"/>
      <c r="S68" s="724" t="s">
        <v>21</v>
      </c>
      <c r="T68" s="725" t="s">
        <v>21</v>
      </c>
      <c r="U68" s="724" t="s">
        <v>21</v>
      </c>
      <c r="V68" s="726" t="s">
        <v>21</v>
      </c>
      <c r="W68" s="925" t="s">
        <v>206</v>
      </c>
      <c r="AB68" s="778" t="str">
        <f t="shared" si="5"/>
        <v/>
      </c>
    </row>
    <row r="69" spans="1:28" ht="15" customHeight="1">
      <c r="A69" s="793" t="str">
        <f t="shared" si="20"/>
        <v/>
      </c>
      <c r="B69" s="1013"/>
      <c r="C69" s="1016"/>
      <c r="D69" s="994"/>
      <c r="E69" s="905" t="s">
        <v>24</v>
      </c>
      <c r="F69" s="908" t="s">
        <v>62</v>
      </c>
      <c r="G69" s="848"/>
      <c r="H69" s="849"/>
      <c r="I69" s="850" t="str">
        <f t="shared" si="25"/>
        <v/>
      </c>
      <c r="J69" s="851"/>
      <c r="K69" s="850" t="str">
        <f t="shared" si="22"/>
        <v/>
      </c>
      <c r="L69" s="851"/>
      <c r="M69" s="850" t="str">
        <f t="shared" si="23"/>
        <v/>
      </c>
      <c r="N69" s="851"/>
      <c r="O69" s="838"/>
      <c r="P69" s="839"/>
      <c r="Q69" s="838"/>
      <c r="R69" s="839"/>
      <c r="S69" s="724"/>
      <c r="T69" s="725"/>
      <c r="U69" s="724"/>
      <c r="V69" s="726"/>
      <c r="W69" s="925" t="s">
        <v>206</v>
      </c>
      <c r="AB69" s="778" t="str">
        <f t="shared" si="5"/>
        <v/>
      </c>
    </row>
    <row r="70" spans="1:28" ht="15" customHeight="1">
      <c r="A70" s="793" t="str">
        <f t="shared" si="20"/>
        <v/>
      </c>
      <c r="B70" s="1013"/>
      <c r="C70" s="1016"/>
      <c r="D70" s="994"/>
      <c r="E70" s="905" t="s">
        <v>23</v>
      </c>
      <c r="F70" s="908" t="s">
        <v>60</v>
      </c>
      <c r="G70" s="848"/>
      <c r="H70" s="849"/>
      <c r="I70" s="850" t="str">
        <f t="shared" si="25"/>
        <v/>
      </c>
      <c r="J70" s="851"/>
      <c r="K70" s="850" t="str">
        <f t="shared" si="22"/>
        <v/>
      </c>
      <c r="L70" s="851"/>
      <c r="M70" s="850" t="str">
        <f t="shared" si="23"/>
        <v/>
      </c>
      <c r="N70" s="851"/>
      <c r="O70" s="838"/>
      <c r="P70" s="839"/>
      <c r="Q70" s="838"/>
      <c r="R70" s="839"/>
      <c r="S70" s="724" t="s">
        <v>21</v>
      </c>
      <c r="T70" s="725" t="s">
        <v>21</v>
      </c>
      <c r="U70" s="724" t="s">
        <v>21</v>
      </c>
      <c r="V70" s="726" t="s">
        <v>21</v>
      </c>
      <c r="W70" s="925" t="s">
        <v>206</v>
      </c>
      <c r="AB70" s="778" t="str">
        <f t="shared" si="5"/>
        <v/>
      </c>
    </row>
    <row r="71" spans="1:28" ht="15" customHeight="1">
      <c r="A71" s="793" t="str">
        <f t="shared" si="20"/>
        <v/>
      </c>
      <c r="B71" s="1013"/>
      <c r="C71" s="1016"/>
      <c r="D71" s="994"/>
      <c r="E71" s="961" t="s">
        <v>166</v>
      </c>
      <c r="F71" s="908" t="s">
        <v>203</v>
      </c>
      <c r="G71" s="848"/>
      <c r="H71" s="849"/>
      <c r="I71" s="850" t="str">
        <f t="shared" si="25"/>
        <v/>
      </c>
      <c r="J71" s="851"/>
      <c r="K71" s="850" t="str">
        <f t="shared" si="22"/>
        <v/>
      </c>
      <c r="L71" s="851"/>
      <c r="M71" s="850" t="str">
        <f t="shared" si="23"/>
        <v/>
      </c>
      <c r="N71" s="851"/>
      <c r="O71" s="838"/>
      <c r="P71" s="839"/>
      <c r="Q71" s="838"/>
      <c r="R71" s="839"/>
      <c r="S71" s="724"/>
      <c r="T71" s="725"/>
      <c r="U71" s="724"/>
      <c r="V71" s="726"/>
      <c r="W71" s="925" t="s">
        <v>206</v>
      </c>
      <c r="AB71" s="778" t="str">
        <f t="shared" si="5"/>
        <v/>
      </c>
    </row>
    <row r="72" spans="1:28" ht="15" customHeight="1">
      <c r="A72" s="793" t="str">
        <f t="shared" si="20"/>
        <v/>
      </c>
      <c r="B72" s="1013"/>
      <c r="C72" s="1016"/>
      <c r="D72" s="994"/>
      <c r="E72" s="961" t="s">
        <v>166</v>
      </c>
      <c r="F72" s="908" t="s">
        <v>203</v>
      </c>
      <c r="G72" s="848"/>
      <c r="H72" s="849"/>
      <c r="I72" s="850" t="str">
        <f t="shared" si="25"/>
        <v/>
      </c>
      <c r="J72" s="851"/>
      <c r="K72" s="850" t="str">
        <f t="shared" si="22"/>
        <v/>
      </c>
      <c r="L72" s="851"/>
      <c r="M72" s="850" t="str">
        <f t="shared" si="23"/>
        <v/>
      </c>
      <c r="N72" s="851"/>
      <c r="O72" s="838"/>
      <c r="P72" s="839"/>
      <c r="Q72" s="838"/>
      <c r="R72" s="839"/>
      <c r="S72" s="724"/>
      <c r="T72" s="725"/>
      <c r="U72" s="724"/>
      <c r="V72" s="726"/>
      <c r="W72" s="925" t="s">
        <v>206</v>
      </c>
      <c r="AB72" s="778" t="str">
        <f t="shared" si="5"/>
        <v/>
      </c>
    </row>
    <row r="73" spans="1:28" ht="15" customHeight="1">
      <c r="A73" s="793" t="str">
        <f t="shared" si="20"/>
        <v/>
      </c>
      <c r="B73" s="1013"/>
      <c r="C73" s="1016"/>
      <c r="D73" s="994"/>
      <c r="E73" s="905" t="s">
        <v>22</v>
      </c>
      <c r="F73" s="908" t="s">
        <v>62</v>
      </c>
      <c r="G73" s="848"/>
      <c r="H73" s="849"/>
      <c r="I73" s="850" t="str">
        <f t="shared" si="25"/>
        <v/>
      </c>
      <c r="J73" s="851"/>
      <c r="K73" s="850" t="str">
        <f t="shared" si="22"/>
        <v/>
      </c>
      <c r="L73" s="851"/>
      <c r="M73" s="850" t="str">
        <f t="shared" si="23"/>
        <v/>
      </c>
      <c r="N73" s="851"/>
      <c r="O73" s="838"/>
      <c r="P73" s="839"/>
      <c r="Q73" s="838"/>
      <c r="R73" s="839"/>
      <c r="S73" s="724"/>
      <c r="T73" s="725"/>
      <c r="U73" s="724"/>
      <c r="V73" s="726"/>
      <c r="W73" s="925" t="s">
        <v>206</v>
      </c>
      <c r="AB73" s="778" t="str">
        <f t="shared" si="5"/>
        <v/>
      </c>
    </row>
    <row r="74" spans="1:28" ht="15" customHeight="1">
      <c r="A74" s="793" t="str">
        <f t="shared" si="20"/>
        <v/>
      </c>
      <c r="B74" s="1013"/>
      <c r="C74" s="1016"/>
      <c r="D74" s="994"/>
      <c r="E74" s="961" t="s">
        <v>166</v>
      </c>
      <c r="F74" s="908"/>
      <c r="G74" s="848"/>
      <c r="H74" s="849"/>
      <c r="I74" s="850"/>
      <c r="J74" s="851"/>
      <c r="K74" s="850"/>
      <c r="L74" s="851"/>
      <c r="M74" s="850"/>
      <c r="N74" s="851"/>
      <c r="O74" s="838"/>
      <c r="P74" s="839"/>
      <c r="Q74" s="838"/>
      <c r="R74" s="839"/>
      <c r="S74" s="724"/>
      <c r="T74" s="725"/>
      <c r="U74" s="724"/>
      <c r="V74" s="726"/>
      <c r="W74" s="925"/>
    </row>
    <row r="75" spans="1:28" ht="15" customHeight="1">
      <c r="A75" s="793" t="str">
        <f t="shared" si="20"/>
        <v/>
      </c>
      <c r="B75" s="1013"/>
      <c r="C75" s="1016"/>
      <c r="D75" s="994"/>
      <c r="E75" s="961" t="s">
        <v>166</v>
      </c>
      <c r="F75" s="908"/>
      <c r="G75" s="848"/>
      <c r="H75" s="849"/>
      <c r="I75" s="850"/>
      <c r="J75" s="851"/>
      <c r="K75" s="850"/>
      <c r="L75" s="851"/>
      <c r="M75" s="850"/>
      <c r="N75" s="851"/>
      <c r="O75" s="838"/>
      <c r="P75" s="839"/>
      <c r="Q75" s="838"/>
      <c r="R75" s="839"/>
      <c r="S75" s="724"/>
      <c r="T75" s="725"/>
      <c r="U75" s="724"/>
      <c r="V75" s="726"/>
      <c r="W75" s="925"/>
    </row>
    <row r="76" spans="1:28" ht="15" customHeight="1">
      <c r="A76" s="793" t="str">
        <f t="shared" si="20"/>
        <v/>
      </c>
      <c r="B76" s="1013"/>
      <c r="C76" s="1016"/>
      <c r="D76" s="994"/>
      <c r="E76" s="962" t="s">
        <v>166</v>
      </c>
      <c r="F76" s="915"/>
      <c r="G76" s="853"/>
      <c r="H76" s="854"/>
      <c r="I76" s="855"/>
      <c r="J76" s="856"/>
      <c r="K76" s="855"/>
      <c r="L76" s="856"/>
      <c r="M76" s="855"/>
      <c r="N76" s="856"/>
      <c r="O76" s="840"/>
      <c r="P76" s="841"/>
      <c r="Q76" s="840"/>
      <c r="R76" s="841"/>
      <c r="S76" s="727"/>
      <c r="T76" s="728"/>
      <c r="U76" s="727"/>
      <c r="V76" s="729"/>
      <c r="W76" s="925"/>
    </row>
    <row r="77" spans="1:28" ht="15.75">
      <c r="A77" s="793" t="str">
        <f t="shared" si="20"/>
        <v>S</v>
      </c>
      <c r="B77" s="1018"/>
      <c r="C77" s="1016"/>
      <c r="D77" s="873" t="s">
        <v>138</v>
      </c>
      <c r="E77" s="896"/>
      <c r="F77" s="792"/>
      <c r="G77" s="783">
        <f>SUM(G66:G76)</f>
        <v>0</v>
      </c>
      <c r="H77" s="784">
        <f>SUM(H66:H76)</f>
        <v>0</v>
      </c>
      <c r="I77" s="785" t="e">
        <f t="shared" si="25"/>
        <v>#DIV/0!</v>
      </c>
      <c r="J77" s="827">
        <f>SUM(J66:J76)</f>
        <v>0</v>
      </c>
      <c r="K77" s="804" t="e">
        <f t="shared" si="22"/>
        <v>#DIV/0!</v>
      </c>
      <c r="L77" s="827">
        <f>SUM(L66:L76)</f>
        <v>0</v>
      </c>
      <c r="M77" s="785" t="e">
        <f t="shared" si="23"/>
        <v>#DIV/0!</v>
      </c>
      <c r="N77" s="827">
        <f>SUM(N66:N76)</f>
        <v>0</v>
      </c>
      <c r="O77" s="815">
        <f t="shared" ref="O77:V77" si="27">SUM(O66:O76)</f>
        <v>0</v>
      </c>
      <c r="P77" s="816">
        <f t="shared" si="27"/>
        <v>0</v>
      </c>
      <c r="Q77" s="815">
        <f t="shared" si="27"/>
        <v>0</v>
      </c>
      <c r="R77" s="816">
        <f t="shared" si="27"/>
        <v>0</v>
      </c>
      <c r="S77" s="815">
        <f t="shared" si="27"/>
        <v>0</v>
      </c>
      <c r="T77" s="816">
        <f t="shared" si="27"/>
        <v>0</v>
      </c>
      <c r="U77" s="815">
        <f t="shared" si="27"/>
        <v>0</v>
      </c>
      <c r="V77" s="817">
        <f t="shared" si="27"/>
        <v>0</v>
      </c>
      <c r="W77" s="830" t="s">
        <v>206</v>
      </c>
      <c r="AB77" s="778">
        <f t="shared" si="5"/>
        <v>0</v>
      </c>
    </row>
    <row r="78" spans="1:28">
      <c r="A78" s="793" t="str">
        <f t="shared" si="20"/>
        <v/>
      </c>
      <c r="B78" s="1013" t="s">
        <v>167</v>
      </c>
      <c r="C78" s="1016" t="s">
        <v>76</v>
      </c>
      <c r="D78" s="991">
        <v>4</v>
      </c>
      <c r="E78" s="901" t="s">
        <v>171</v>
      </c>
      <c r="F78" s="842" t="s">
        <v>62</v>
      </c>
      <c r="G78" s="843"/>
      <c r="H78" s="844"/>
      <c r="I78" s="845" t="str">
        <f t="shared" si="25"/>
        <v/>
      </c>
      <c r="J78" s="846"/>
      <c r="K78" s="845" t="str">
        <f t="shared" si="22"/>
        <v/>
      </c>
      <c r="L78" s="846"/>
      <c r="M78" s="845" t="str">
        <f t="shared" si="23"/>
        <v/>
      </c>
      <c r="N78" s="846"/>
      <c r="O78" s="836"/>
      <c r="P78" s="837"/>
      <c r="Q78" s="836"/>
      <c r="R78" s="837"/>
      <c r="S78" s="864"/>
      <c r="T78" s="865"/>
      <c r="U78" s="864"/>
      <c r="V78" s="866"/>
      <c r="W78" s="830" t="s">
        <v>206</v>
      </c>
      <c r="X78" s="777" t="s">
        <v>172</v>
      </c>
      <c r="AB78" s="778" t="str">
        <f t="shared" si="5"/>
        <v/>
      </c>
    </row>
    <row r="79" spans="1:28">
      <c r="A79" s="793" t="str">
        <f t="shared" si="20"/>
        <v/>
      </c>
      <c r="B79" s="1013"/>
      <c r="C79" s="1016"/>
      <c r="D79" s="991"/>
      <c r="E79" s="902" t="s">
        <v>173</v>
      </c>
      <c r="F79" s="847" t="s">
        <v>62</v>
      </c>
      <c r="G79" s="848"/>
      <c r="H79" s="849"/>
      <c r="I79" s="850" t="str">
        <f t="shared" si="25"/>
        <v/>
      </c>
      <c r="J79" s="851"/>
      <c r="K79" s="850" t="str">
        <f t="shared" si="22"/>
        <v/>
      </c>
      <c r="L79" s="851"/>
      <c r="M79" s="850" t="str">
        <f t="shared" si="23"/>
        <v/>
      </c>
      <c r="N79" s="851"/>
      <c r="O79" s="838"/>
      <c r="P79" s="839"/>
      <c r="Q79" s="838"/>
      <c r="R79" s="839"/>
      <c r="S79" s="867"/>
      <c r="T79" s="868"/>
      <c r="U79" s="867"/>
      <c r="V79" s="869"/>
      <c r="W79" s="830" t="s">
        <v>206</v>
      </c>
      <c r="X79" s="777" t="s">
        <v>174</v>
      </c>
      <c r="AB79" s="778" t="str">
        <f t="shared" si="5"/>
        <v/>
      </c>
    </row>
    <row r="80" spans="1:28" ht="15" customHeight="1">
      <c r="A80" s="793" t="str">
        <f t="shared" si="20"/>
        <v/>
      </c>
      <c r="B80" s="1013"/>
      <c r="C80" s="1016"/>
      <c r="D80" s="991"/>
      <c r="E80" s="961" t="s">
        <v>166</v>
      </c>
      <c r="F80" s="847"/>
      <c r="G80" s="848"/>
      <c r="H80" s="849"/>
      <c r="I80" s="850" t="str">
        <f t="shared" si="25"/>
        <v/>
      </c>
      <c r="J80" s="851"/>
      <c r="K80" s="850" t="str">
        <f t="shared" si="22"/>
        <v/>
      </c>
      <c r="L80" s="851"/>
      <c r="M80" s="850" t="str">
        <f t="shared" si="23"/>
        <v/>
      </c>
      <c r="N80" s="851"/>
      <c r="O80" s="838"/>
      <c r="P80" s="839"/>
      <c r="Q80" s="838"/>
      <c r="R80" s="839"/>
      <c r="S80" s="867"/>
      <c r="T80" s="868"/>
      <c r="U80" s="867"/>
      <c r="V80" s="869"/>
      <c r="W80" s="830" t="s">
        <v>206</v>
      </c>
      <c r="AB80" s="778" t="str">
        <f t="shared" si="5"/>
        <v/>
      </c>
    </row>
    <row r="81" spans="1:28" ht="15" customHeight="1">
      <c r="A81" s="793" t="str">
        <f t="shared" si="20"/>
        <v/>
      </c>
      <c r="B81" s="1013"/>
      <c r="C81" s="1016"/>
      <c r="D81" s="991"/>
      <c r="E81" s="961" t="s">
        <v>166</v>
      </c>
      <c r="F81" s="847"/>
      <c r="G81" s="848"/>
      <c r="H81" s="849"/>
      <c r="I81" s="850" t="str">
        <f t="shared" si="25"/>
        <v/>
      </c>
      <c r="J81" s="851"/>
      <c r="K81" s="850" t="str">
        <f t="shared" si="22"/>
        <v/>
      </c>
      <c r="L81" s="851"/>
      <c r="M81" s="850" t="str">
        <f t="shared" si="23"/>
        <v/>
      </c>
      <c r="N81" s="851"/>
      <c r="O81" s="838"/>
      <c r="P81" s="839"/>
      <c r="Q81" s="838"/>
      <c r="R81" s="839"/>
      <c r="S81" s="867"/>
      <c r="T81" s="868"/>
      <c r="U81" s="867"/>
      <c r="V81" s="869"/>
      <c r="W81" s="830" t="s">
        <v>206</v>
      </c>
      <c r="AB81" s="778" t="str">
        <f t="shared" si="5"/>
        <v/>
      </c>
    </row>
    <row r="82" spans="1:28" ht="15" customHeight="1">
      <c r="A82" s="793" t="str">
        <f t="shared" si="20"/>
        <v/>
      </c>
      <c r="B82" s="1013"/>
      <c r="C82" s="1016"/>
      <c r="D82" s="991"/>
      <c r="E82" s="961" t="s">
        <v>166</v>
      </c>
      <c r="F82" s="847" t="s">
        <v>203</v>
      </c>
      <c r="G82" s="848"/>
      <c r="H82" s="849"/>
      <c r="I82" s="850" t="str">
        <f t="shared" si="25"/>
        <v/>
      </c>
      <c r="J82" s="851"/>
      <c r="K82" s="850" t="str">
        <f t="shared" si="22"/>
        <v/>
      </c>
      <c r="L82" s="851"/>
      <c r="M82" s="850" t="str">
        <f t="shared" si="23"/>
        <v/>
      </c>
      <c r="N82" s="851"/>
      <c r="O82" s="838"/>
      <c r="P82" s="839"/>
      <c r="Q82" s="838"/>
      <c r="R82" s="839"/>
      <c r="S82" s="867"/>
      <c r="T82" s="868"/>
      <c r="U82" s="867"/>
      <c r="V82" s="869"/>
      <c r="W82" s="830" t="s">
        <v>206</v>
      </c>
      <c r="AB82" s="778" t="str">
        <f t="shared" si="5"/>
        <v/>
      </c>
    </row>
    <row r="83" spans="1:28" ht="15" customHeight="1">
      <c r="A83" s="793" t="str">
        <f t="shared" si="20"/>
        <v/>
      </c>
      <c r="B83" s="1013"/>
      <c r="C83" s="1016"/>
      <c r="D83" s="991"/>
      <c r="E83" s="961" t="s">
        <v>166</v>
      </c>
      <c r="F83" s="847" t="s">
        <v>203</v>
      </c>
      <c r="G83" s="848"/>
      <c r="H83" s="849"/>
      <c r="I83" s="850" t="str">
        <f t="shared" si="25"/>
        <v/>
      </c>
      <c r="J83" s="851"/>
      <c r="K83" s="850" t="str">
        <f t="shared" si="22"/>
        <v/>
      </c>
      <c r="L83" s="851"/>
      <c r="M83" s="850" t="str">
        <f t="shared" si="23"/>
        <v/>
      </c>
      <c r="N83" s="851"/>
      <c r="O83" s="838"/>
      <c r="P83" s="839"/>
      <c r="Q83" s="838"/>
      <c r="R83" s="839"/>
      <c r="S83" s="867"/>
      <c r="T83" s="868"/>
      <c r="U83" s="867"/>
      <c r="V83" s="869"/>
      <c r="W83" s="830" t="s">
        <v>206</v>
      </c>
      <c r="AB83" s="778" t="str">
        <f t="shared" si="5"/>
        <v/>
      </c>
    </row>
    <row r="84" spans="1:28" ht="15" customHeight="1">
      <c r="A84" s="793" t="str">
        <f t="shared" si="20"/>
        <v/>
      </c>
      <c r="B84" s="1013"/>
      <c r="C84" s="1016"/>
      <c r="D84" s="991"/>
      <c r="E84" s="962" t="s">
        <v>166</v>
      </c>
      <c r="F84" s="852"/>
      <c r="G84" s="853"/>
      <c r="H84" s="854"/>
      <c r="I84" s="855" t="str">
        <f t="shared" si="25"/>
        <v/>
      </c>
      <c r="J84" s="856"/>
      <c r="K84" s="855" t="str">
        <f t="shared" si="22"/>
        <v/>
      </c>
      <c r="L84" s="856"/>
      <c r="M84" s="855" t="str">
        <f t="shared" si="23"/>
        <v/>
      </c>
      <c r="N84" s="856"/>
      <c r="O84" s="840"/>
      <c r="P84" s="841"/>
      <c r="Q84" s="840"/>
      <c r="R84" s="841"/>
      <c r="S84" s="870"/>
      <c r="T84" s="871"/>
      <c r="U84" s="870"/>
      <c r="V84" s="872"/>
      <c r="W84" s="830" t="s">
        <v>206</v>
      </c>
      <c r="AB84" s="778" t="str">
        <f t="shared" si="5"/>
        <v/>
      </c>
    </row>
    <row r="85" spans="1:28" ht="15.75">
      <c r="A85" s="793" t="str">
        <f t="shared" si="20"/>
        <v>S</v>
      </c>
      <c r="B85" s="1018"/>
      <c r="C85" s="1016"/>
      <c r="D85" s="873" t="s">
        <v>138</v>
      </c>
      <c r="E85" s="897"/>
      <c r="F85" s="824"/>
      <c r="G85" s="783">
        <f>SUM(G78:G84)</f>
        <v>0</v>
      </c>
      <c r="H85" s="784">
        <f>SUM(H78:H84)</f>
        <v>0</v>
      </c>
      <c r="I85" s="785" t="e">
        <f t="shared" si="25"/>
        <v>#DIV/0!</v>
      </c>
      <c r="J85" s="827">
        <f>SUM(J78:J84)</f>
        <v>0</v>
      </c>
      <c r="K85" s="804" t="e">
        <f t="shared" si="22"/>
        <v>#DIV/0!</v>
      </c>
      <c r="L85" s="827">
        <f>SUM(L78:L84)</f>
        <v>0</v>
      </c>
      <c r="M85" s="785" t="e">
        <f t="shared" si="23"/>
        <v>#DIV/0!</v>
      </c>
      <c r="N85" s="827">
        <f t="shared" ref="N85:V85" si="28">SUM(N78:N84)</f>
        <v>0</v>
      </c>
      <c r="O85" s="815">
        <f t="shared" si="28"/>
        <v>0</v>
      </c>
      <c r="P85" s="816">
        <f t="shared" si="28"/>
        <v>0</v>
      </c>
      <c r="Q85" s="815">
        <f t="shared" si="28"/>
        <v>0</v>
      </c>
      <c r="R85" s="816">
        <f t="shared" si="28"/>
        <v>0</v>
      </c>
      <c r="S85" s="815">
        <f t="shared" si="28"/>
        <v>0</v>
      </c>
      <c r="T85" s="816">
        <f t="shared" si="28"/>
        <v>0</v>
      </c>
      <c r="U85" s="815">
        <f t="shared" si="28"/>
        <v>0</v>
      </c>
      <c r="V85" s="817">
        <f t="shared" si="28"/>
        <v>0</v>
      </c>
      <c r="W85" s="830" t="s">
        <v>206</v>
      </c>
      <c r="AB85" s="778">
        <f t="shared" si="5"/>
        <v>0</v>
      </c>
    </row>
    <row r="86" spans="1:28" ht="15" customHeight="1">
      <c r="A86" s="793" t="str">
        <f t="shared" si="20"/>
        <v/>
      </c>
      <c r="B86" s="980" t="s">
        <v>1</v>
      </c>
      <c r="C86" s="983" t="s">
        <v>76</v>
      </c>
      <c r="D86" s="988">
        <v>10</v>
      </c>
      <c r="E86" s="901" t="s">
        <v>27</v>
      </c>
      <c r="F86" s="842" t="s">
        <v>62</v>
      </c>
      <c r="G86" s="843"/>
      <c r="H86" s="844"/>
      <c r="I86" s="845" t="str">
        <f t="shared" si="25"/>
        <v/>
      </c>
      <c r="J86" s="846"/>
      <c r="K86" s="845" t="str">
        <f t="shared" si="22"/>
        <v/>
      </c>
      <c r="L86" s="846"/>
      <c r="M86" s="845" t="str">
        <f t="shared" si="23"/>
        <v/>
      </c>
      <c r="N86" s="846"/>
      <c r="O86" s="836"/>
      <c r="P86" s="837"/>
      <c r="Q86" s="836"/>
      <c r="R86" s="837"/>
      <c r="S86" s="864"/>
      <c r="T86" s="865"/>
      <c r="U86" s="864"/>
      <c r="V86" s="866"/>
      <c r="W86" s="830" t="s">
        <v>206</v>
      </c>
      <c r="AB86" s="778" t="str">
        <f t="shared" si="5"/>
        <v/>
      </c>
    </row>
    <row r="87" spans="1:28" ht="15" customHeight="1">
      <c r="A87" s="793" t="str">
        <f t="shared" si="20"/>
        <v/>
      </c>
      <c r="B87" s="981"/>
      <c r="C87" s="984"/>
      <c r="D87" s="989"/>
      <c r="E87" s="902" t="s">
        <v>28</v>
      </c>
      <c r="F87" s="847" t="s">
        <v>62</v>
      </c>
      <c r="G87" s="848"/>
      <c r="H87" s="849"/>
      <c r="I87" s="850" t="str">
        <f t="shared" si="25"/>
        <v/>
      </c>
      <c r="J87" s="851"/>
      <c r="K87" s="850" t="str">
        <f t="shared" si="22"/>
        <v/>
      </c>
      <c r="L87" s="851"/>
      <c r="M87" s="850" t="str">
        <f t="shared" si="23"/>
        <v/>
      </c>
      <c r="N87" s="851"/>
      <c r="O87" s="838"/>
      <c r="P87" s="839"/>
      <c r="Q87" s="838"/>
      <c r="R87" s="839"/>
      <c r="S87" s="867"/>
      <c r="T87" s="868"/>
      <c r="U87" s="867"/>
      <c r="V87" s="869"/>
      <c r="W87" s="830" t="s">
        <v>206</v>
      </c>
      <c r="AB87" s="778" t="str">
        <f t="shared" si="5"/>
        <v/>
      </c>
    </row>
    <row r="88" spans="1:28" ht="15" customHeight="1">
      <c r="A88" s="793" t="str">
        <f t="shared" si="20"/>
        <v/>
      </c>
      <c r="B88" s="981"/>
      <c r="C88" s="984"/>
      <c r="D88" s="989"/>
      <c r="E88" s="902" t="s">
        <v>29</v>
      </c>
      <c r="F88" s="847" t="s">
        <v>62</v>
      </c>
      <c r="G88" s="848"/>
      <c r="H88" s="849"/>
      <c r="I88" s="850" t="str">
        <f t="shared" si="25"/>
        <v/>
      </c>
      <c r="J88" s="851"/>
      <c r="K88" s="850" t="str">
        <f t="shared" si="22"/>
        <v/>
      </c>
      <c r="L88" s="851"/>
      <c r="M88" s="850" t="str">
        <f t="shared" si="23"/>
        <v/>
      </c>
      <c r="N88" s="851"/>
      <c r="O88" s="838"/>
      <c r="P88" s="839"/>
      <c r="Q88" s="838"/>
      <c r="R88" s="839"/>
      <c r="S88" s="867"/>
      <c r="T88" s="868"/>
      <c r="U88" s="867"/>
      <c r="V88" s="869"/>
      <c r="W88" s="830" t="s">
        <v>206</v>
      </c>
      <c r="AB88" s="778" t="str">
        <f t="shared" si="5"/>
        <v/>
      </c>
    </row>
    <row r="89" spans="1:28" ht="15" customHeight="1">
      <c r="A89" s="793" t="str">
        <f t="shared" si="20"/>
        <v/>
      </c>
      <c r="B89" s="981"/>
      <c r="C89" s="984"/>
      <c r="D89" s="989"/>
      <c r="E89" s="902" t="s">
        <v>30</v>
      </c>
      <c r="F89" s="847" t="s">
        <v>62</v>
      </c>
      <c r="G89" s="848"/>
      <c r="H89" s="849"/>
      <c r="I89" s="850" t="str">
        <f t="shared" si="25"/>
        <v/>
      </c>
      <c r="J89" s="851"/>
      <c r="K89" s="850" t="str">
        <f t="shared" si="22"/>
        <v/>
      </c>
      <c r="L89" s="851"/>
      <c r="M89" s="850" t="str">
        <f t="shared" si="23"/>
        <v/>
      </c>
      <c r="N89" s="851"/>
      <c r="O89" s="838"/>
      <c r="P89" s="839"/>
      <c r="Q89" s="838"/>
      <c r="R89" s="839"/>
      <c r="S89" s="867"/>
      <c r="T89" s="868"/>
      <c r="U89" s="867"/>
      <c r="V89" s="869"/>
      <c r="W89" s="830" t="s">
        <v>206</v>
      </c>
      <c r="AB89" s="778" t="str">
        <f t="shared" si="5"/>
        <v/>
      </c>
    </row>
    <row r="90" spans="1:28" ht="15" customHeight="1">
      <c r="A90" s="793" t="str">
        <f t="shared" si="20"/>
        <v/>
      </c>
      <c r="B90" s="981"/>
      <c r="C90" s="984"/>
      <c r="D90" s="989"/>
      <c r="E90" s="902" t="s">
        <v>175</v>
      </c>
      <c r="F90" s="847" t="s">
        <v>62</v>
      </c>
      <c r="G90" s="848"/>
      <c r="H90" s="849"/>
      <c r="I90" s="850" t="str">
        <f t="shared" si="25"/>
        <v/>
      </c>
      <c r="J90" s="851"/>
      <c r="K90" s="850" t="str">
        <f t="shared" si="22"/>
        <v/>
      </c>
      <c r="L90" s="851"/>
      <c r="M90" s="850" t="str">
        <f t="shared" si="23"/>
        <v/>
      </c>
      <c r="N90" s="851"/>
      <c r="O90" s="838"/>
      <c r="P90" s="839"/>
      <c r="Q90" s="838"/>
      <c r="R90" s="839"/>
      <c r="S90" s="867"/>
      <c r="T90" s="868"/>
      <c r="U90" s="867"/>
      <c r="V90" s="869"/>
      <c r="W90" s="830" t="s">
        <v>206</v>
      </c>
      <c r="AB90" s="778" t="str">
        <f t="shared" ref="AB90:AB153" si="29">IF(G90&lt;&gt;"",$F90,"")</f>
        <v/>
      </c>
    </row>
    <row r="91" spans="1:28" ht="15" customHeight="1">
      <c r="A91" s="793" t="str">
        <f t="shared" si="20"/>
        <v/>
      </c>
      <c r="B91" s="981"/>
      <c r="C91" s="984"/>
      <c r="D91" s="989"/>
      <c r="E91" s="961" t="s">
        <v>166</v>
      </c>
      <c r="F91" s="847" t="s">
        <v>203</v>
      </c>
      <c r="G91" s="848"/>
      <c r="H91" s="849"/>
      <c r="I91" s="850" t="str">
        <f t="shared" si="25"/>
        <v/>
      </c>
      <c r="J91" s="851"/>
      <c r="K91" s="850" t="str">
        <f t="shared" si="22"/>
        <v/>
      </c>
      <c r="L91" s="851"/>
      <c r="M91" s="850" t="str">
        <f t="shared" si="23"/>
        <v/>
      </c>
      <c r="N91" s="851"/>
      <c r="O91" s="838"/>
      <c r="P91" s="839"/>
      <c r="Q91" s="838"/>
      <c r="R91" s="839"/>
      <c r="S91" s="867"/>
      <c r="T91" s="868"/>
      <c r="U91" s="867"/>
      <c r="V91" s="869"/>
      <c r="W91" s="830" t="s">
        <v>206</v>
      </c>
      <c r="AB91" s="778" t="str">
        <f t="shared" si="29"/>
        <v/>
      </c>
    </row>
    <row r="92" spans="1:28" ht="15.75" customHeight="1">
      <c r="A92" s="793" t="str">
        <f t="shared" si="20"/>
        <v/>
      </c>
      <c r="B92" s="981"/>
      <c r="C92" s="984"/>
      <c r="D92" s="989"/>
      <c r="E92" s="961" t="s">
        <v>166</v>
      </c>
      <c r="F92" s="906"/>
      <c r="G92" s="848"/>
      <c r="H92" s="849"/>
      <c r="I92" s="850"/>
      <c r="J92" s="851"/>
      <c r="K92" s="850"/>
      <c r="L92" s="851"/>
      <c r="M92" s="850"/>
      <c r="N92" s="851"/>
      <c r="O92" s="838"/>
      <c r="P92" s="839"/>
      <c r="Q92" s="838"/>
      <c r="R92" s="839"/>
      <c r="S92" s="867"/>
      <c r="T92" s="868"/>
      <c r="U92" s="867"/>
      <c r="V92" s="869"/>
      <c r="W92" s="830"/>
      <c r="X92" s="919"/>
    </row>
    <row r="93" spans="1:28" ht="15.75" customHeight="1">
      <c r="A93" s="793" t="str">
        <f t="shared" si="20"/>
        <v/>
      </c>
      <c r="B93" s="981"/>
      <c r="C93" s="984"/>
      <c r="D93" s="989"/>
      <c r="E93" s="961" t="s">
        <v>166</v>
      </c>
      <c r="F93" s="906"/>
      <c r="G93" s="848"/>
      <c r="H93" s="849"/>
      <c r="I93" s="850"/>
      <c r="J93" s="851"/>
      <c r="K93" s="850"/>
      <c r="L93" s="851"/>
      <c r="M93" s="850"/>
      <c r="N93" s="851"/>
      <c r="O93" s="838"/>
      <c r="P93" s="839"/>
      <c r="Q93" s="838"/>
      <c r="R93" s="839"/>
      <c r="S93" s="867"/>
      <c r="T93" s="868"/>
      <c r="U93" s="867"/>
      <c r="V93" s="869"/>
      <c r="W93" s="830"/>
      <c r="X93" s="919"/>
    </row>
    <row r="94" spans="1:28" ht="15.75" customHeight="1">
      <c r="A94" s="793" t="str">
        <f t="shared" si="20"/>
        <v/>
      </c>
      <c r="B94" s="981"/>
      <c r="C94" s="984"/>
      <c r="D94" s="990"/>
      <c r="E94" s="962" t="s">
        <v>166</v>
      </c>
      <c r="F94" s="852"/>
      <c r="G94" s="853"/>
      <c r="H94" s="854"/>
      <c r="I94" s="855"/>
      <c r="J94" s="856"/>
      <c r="K94" s="855"/>
      <c r="L94" s="856"/>
      <c r="M94" s="855"/>
      <c r="N94" s="856"/>
      <c r="O94" s="840"/>
      <c r="P94" s="841"/>
      <c r="Q94" s="840"/>
      <c r="R94" s="841"/>
      <c r="S94" s="870"/>
      <c r="T94" s="871"/>
      <c r="U94" s="870"/>
      <c r="V94" s="872"/>
      <c r="W94" s="830"/>
      <c r="X94" s="919"/>
    </row>
    <row r="95" spans="1:28" ht="15.75">
      <c r="A95" s="793" t="str">
        <f t="shared" si="20"/>
        <v>S</v>
      </c>
      <c r="B95" s="987"/>
      <c r="C95" s="986"/>
      <c r="D95" s="873" t="s">
        <v>138</v>
      </c>
      <c r="E95" s="897"/>
      <c r="F95" s="824"/>
      <c r="G95" s="783">
        <f>SUM(G86:G94)</f>
        <v>0</v>
      </c>
      <c r="H95" s="784">
        <f>SUM(H86:H94)</f>
        <v>0</v>
      </c>
      <c r="I95" s="785" t="e">
        <f t="shared" si="25"/>
        <v>#DIV/0!</v>
      </c>
      <c r="J95" s="827">
        <f>SUM(J86:J94)</f>
        <v>0</v>
      </c>
      <c r="K95" s="804" t="e">
        <f t="shared" si="22"/>
        <v>#DIV/0!</v>
      </c>
      <c r="L95" s="827">
        <f>SUM(L86:L94)</f>
        <v>0</v>
      </c>
      <c r="M95" s="785" t="e">
        <f t="shared" si="23"/>
        <v>#DIV/0!</v>
      </c>
      <c r="N95" s="827">
        <f t="shared" ref="N95:V95" si="30">SUM(N86:N94)</f>
        <v>0</v>
      </c>
      <c r="O95" s="815">
        <f t="shared" si="30"/>
        <v>0</v>
      </c>
      <c r="P95" s="816">
        <f t="shared" si="30"/>
        <v>0</v>
      </c>
      <c r="Q95" s="815">
        <f t="shared" si="30"/>
        <v>0</v>
      </c>
      <c r="R95" s="816">
        <f t="shared" si="30"/>
        <v>0</v>
      </c>
      <c r="S95" s="815">
        <f t="shared" si="30"/>
        <v>0</v>
      </c>
      <c r="T95" s="816">
        <f t="shared" si="30"/>
        <v>0</v>
      </c>
      <c r="U95" s="815">
        <f t="shared" si="30"/>
        <v>0</v>
      </c>
      <c r="V95" s="817">
        <f t="shared" si="30"/>
        <v>0</v>
      </c>
      <c r="W95" s="830" t="s">
        <v>206</v>
      </c>
      <c r="AB95" s="778">
        <f t="shared" si="29"/>
        <v>0</v>
      </c>
    </row>
    <row r="96" spans="1:28" ht="15" customHeight="1">
      <c r="A96" s="793" t="str">
        <f t="shared" si="20"/>
        <v/>
      </c>
      <c r="B96" s="1013" t="s">
        <v>45</v>
      </c>
      <c r="C96" s="1009" t="s">
        <v>76</v>
      </c>
      <c r="D96" s="993">
        <v>12</v>
      </c>
      <c r="E96" s="903" t="s">
        <v>32</v>
      </c>
      <c r="F96" s="904" t="s">
        <v>62</v>
      </c>
      <c r="G96" s="843"/>
      <c r="H96" s="844"/>
      <c r="I96" s="845" t="str">
        <f t="shared" si="25"/>
        <v/>
      </c>
      <c r="J96" s="846"/>
      <c r="K96" s="845" t="str">
        <f t="shared" si="22"/>
        <v/>
      </c>
      <c r="L96" s="846"/>
      <c r="M96" s="845" t="str">
        <f t="shared" si="23"/>
        <v/>
      </c>
      <c r="N96" s="846"/>
      <c r="O96" s="836"/>
      <c r="P96" s="837"/>
      <c r="Q96" s="836"/>
      <c r="R96" s="837"/>
      <c r="S96" s="864"/>
      <c r="T96" s="865"/>
      <c r="U96" s="864"/>
      <c r="V96" s="866"/>
      <c r="W96" s="830" t="s">
        <v>206</v>
      </c>
      <c r="AB96" s="778" t="str">
        <f t="shared" si="29"/>
        <v/>
      </c>
    </row>
    <row r="97" spans="1:28" ht="15" customHeight="1">
      <c r="A97" s="793" t="str">
        <f t="shared" si="20"/>
        <v/>
      </c>
      <c r="B97" s="1013"/>
      <c r="C97" s="1009"/>
      <c r="D97" s="993"/>
      <c r="E97" s="905" t="s">
        <v>33</v>
      </c>
      <c r="F97" s="906" t="s">
        <v>62</v>
      </c>
      <c r="G97" s="848"/>
      <c r="H97" s="849"/>
      <c r="I97" s="850" t="str">
        <f t="shared" si="25"/>
        <v/>
      </c>
      <c r="J97" s="851"/>
      <c r="K97" s="850" t="str">
        <f t="shared" si="22"/>
        <v/>
      </c>
      <c r="L97" s="851"/>
      <c r="M97" s="850" t="str">
        <f t="shared" si="23"/>
        <v/>
      </c>
      <c r="N97" s="851"/>
      <c r="O97" s="838"/>
      <c r="P97" s="839"/>
      <c r="Q97" s="838"/>
      <c r="R97" s="839"/>
      <c r="S97" s="867"/>
      <c r="T97" s="868"/>
      <c r="U97" s="867"/>
      <c r="V97" s="869"/>
      <c r="W97" s="830" t="s">
        <v>206</v>
      </c>
      <c r="AB97" s="778" t="str">
        <f t="shared" si="29"/>
        <v/>
      </c>
    </row>
    <row r="98" spans="1:28" ht="15" customHeight="1">
      <c r="A98" s="793" t="str">
        <f t="shared" si="20"/>
        <v/>
      </c>
      <c r="B98" s="1013"/>
      <c r="C98" s="1009"/>
      <c r="D98" s="993"/>
      <c r="E98" s="905" t="s">
        <v>47</v>
      </c>
      <c r="F98" s="906" t="s">
        <v>62</v>
      </c>
      <c r="G98" s="848"/>
      <c r="H98" s="849"/>
      <c r="I98" s="850" t="str">
        <f t="shared" si="25"/>
        <v/>
      </c>
      <c r="J98" s="851"/>
      <c r="K98" s="850" t="str">
        <f t="shared" si="22"/>
        <v/>
      </c>
      <c r="L98" s="851"/>
      <c r="M98" s="850" t="str">
        <f t="shared" si="23"/>
        <v/>
      </c>
      <c r="N98" s="851"/>
      <c r="O98" s="838"/>
      <c r="P98" s="839"/>
      <c r="Q98" s="838"/>
      <c r="R98" s="839"/>
      <c r="S98" s="867"/>
      <c r="T98" s="868"/>
      <c r="U98" s="867"/>
      <c r="V98" s="869"/>
      <c r="W98" s="830" t="s">
        <v>206</v>
      </c>
      <c r="AB98" s="778" t="str">
        <f t="shared" si="29"/>
        <v/>
      </c>
    </row>
    <row r="99" spans="1:28" ht="15" customHeight="1">
      <c r="A99" s="793" t="str">
        <f t="shared" si="20"/>
        <v/>
      </c>
      <c r="B99" s="1013"/>
      <c r="C99" s="1009"/>
      <c r="D99" s="993"/>
      <c r="E99" s="905" t="s">
        <v>46</v>
      </c>
      <c r="F99" s="906" t="s">
        <v>62</v>
      </c>
      <c r="G99" s="848"/>
      <c r="H99" s="849"/>
      <c r="I99" s="850" t="str">
        <f t="shared" si="25"/>
        <v/>
      </c>
      <c r="J99" s="851"/>
      <c r="K99" s="850" t="str">
        <f t="shared" si="22"/>
        <v/>
      </c>
      <c r="L99" s="851"/>
      <c r="M99" s="850" t="str">
        <f t="shared" si="23"/>
        <v/>
      </c>
      <c r="N99" s="851"/>
      <c r="O99" s="838"/>
      <c r="P99" s="839"/>
      <c r="Q99" s="838"/>
      <c r="R99" s="839"/>
      <c r="S99" s="867"/>
      <c r="T99" s="868"/>
      <c r="U99" s="867"/>
      <c r="V99" s="869"/>
      <c r="W99" s="830" t="s">
        <v>206</v>
      </c>
      <c r="AB99" s="778" t="str">
        <f t="shared" si="29"/>
        <v/>
      </c>
    </row>
    <row r="100" spans="1:28" ht="15" customHeight="1">
      <c r="A100" s="793" t="str">
        <f t="shared" si="20"/>
        <v/>
      </c>
      <c r="B100" s="1013"/>
      <c r="C100" s="1009"/>
      <c r="D100" s="993"/>
      <c r="E100" s="905" t="s">
        <v>35</v>
      </c>
      <c r="F100" s="906" t="s">
        <v>62</v>
      </c>
      <c r="G100" s="738"/>
      <c r="H100" s="739"/>
      <c r="I100" s="740" t="str">
        <f t="shared" si="25"/>
        <v/>
      </c>
      <c r="J100" s="741"/>
      <c r="K100" s="740" t="str">
        <f t="shared" si="22"/>
        <v/>
      </c>
      <c r="L100" s="741"/>
      <c r="M100" s="740" t="str">
        <f t="shared" si="23"/>
        <v/>
      </c>
      <c r="N100" s="741"/>
      <c r="O100" s="742"/>
      <c r="P100" s="743"/>
      <c r="Q100" s="742"/>
      <c r="R100" s="743"/>
      <c r="S100" s="744"/>
      <c r="T100" s="745"/>
      <c r="U100" s="744"/>
      <c r="V100" s="746"/>
      <c r="W100" s="830" t="s">
        <v>206</v>
      </c>
      <c r="AB100" s="778" t="str">
        <f t="shared" si="29"/>
        <v/>
      </c>
    </row>
    <row r="101" spans="1:28" ht="15" customHeight="1">
      <c r="A101" s="793" t="str">
        <f t="shared" si="20"/>
        <v/>
      </c>
      <c r="B101" s="1013"/>
      <c r="C101" s="1009"/>
      <c r="D101" s="993"/>
      <c r="E101" s="905" t="s">
        <v>34</v>
      </c>
      <c r="F101" s="906" t="s">
        <v>62</v>
      </c>
      <c r="G101" s="848"/>
      <c r="H101" s="849"/>
      <c r="I101" s="850" t="str">
        <f t="shared" si="25"/>
        <v/>
      </c>
      <c r="J101" s="851"/>
      <c r="K101" s="850" t="str">
        <f t="shared" si="22"/>
        <v/>
      </c>
      <c r="L101" s="851"/>
      <c r="M101" s="850" t="str">
        <f t="shared" si="23"/>
        <v/>
      </c>
      <c r="N101" s="851"/>
      <c r="O101" s="838"/>
      <c r="P101" s="839"/>
      <c r="Q101" s="838"/>
      <c r="R101" s="839"/>
      <c r="S101" s="867"/>
      <c r="T101" s="868"/>
      <c r="U101" s="867"/>
      <c r="V101" s="869"/>
      <c r="W101" s="830" t="s">
        <v>206</v>
      </c>
      <c r="AB101" s="778" t="str">
        <f t="shared" si="29"/>
        <v/>
      </c>
    </row>
    <row r="102" spans="1:28" ht="15.75" customHeight="1">
      <c r="A102" s="793" t="str">
        <f t="shared" si="20"/>
        <v/>
      </c>
      <c r="B102" s="1013"/>
      <c r="C102" s="1009"/>
      <c r="D102" s="993"/>
      <c r="E102" s="905" t="s">
        <v>147</v>
      </c>
      <c r="F102" s="906" t="s">
        <v>62</v>
      </c>
      <c r="G102" s="848"/>
      <c r="H102" s="849"/>
      <c r="I102" s="850" t="str">
        <f t="shared" si="25"/>
        <v/>
      </c>
      <c r="J102" s="851"/>
      <c r="K102" s="850" t="str">
        <f t="shared" si="22"/>
        <v/>
      </c>
      <c r="L102" s="851"/>
      <c r="M102" s="850" t="str">
        <f t="shared" si="23"/>
        <v/>
      </c>
      <c r="N102" s="851"/>
      <c r="O102" s="838"/>
      <c r="P102" s="839"/>
      <c r="Q102" s="838"/>
      <c r="R102" s="839"/>
      <c r="S102" s="867"/>
      <c r="T102" s="868"/>
      <c r="U102" s="867"/>
      <c r="V102" s="869"/>
      <c r="W102" s="830" t="s">
        <v>206</v>
      </c>
      <c r="AB102" s="778" t="str">
        <f t="shared" si="29"/>
        <v/>
      </c>
    </row>
    <row r="103" spans="1:28" ht="15.75" customHeight="1">
      <c r="A103" s="793" t="str">
        <f t="shared" si="20"/>
        <v/>
      </c>
      <c r="B103" s="1013"/>
      <c r="C103" s="1009"/>
      <c r="D103" s="993"/>
      <c r="E103" s="961" t="s">
        <v>166</v>
      </c>
      <c r="F103" s="906" t="s">
        <v>62</v>
      </c>
      <c r="G103" s="848"/>
      <c r="H103" s="849"/>
      <c r="I103" s="850" t="str">
        <f t="shared" si="25"/>
        <v/>
      </c>
      <c r="J103" s="851"/>
      <c r="K103" s="850" t="str">
        <f t="shared" si="22"/>
        <v/>
      </c>
      <c r="L103" s="851"/>
      <c r="M103" s="850" t="str">
        <f t="shared" si="23"/>
        <v/>
      </c>
      <c r="N103" s="851"/>
      <c r="O103" s="838"/>
      <c r="P103" s="839"/>
      <c r="Q103" s="838"/>
      <c r="R103" s="839"/>
      <c r="S103" s="867"/>
      <c r="T103" s="868"/>
      <c r="U103" s="867"/>
      <c r="V103" s="869"/>
      <c r="W103" s="830" t="s">
        <v>206</v>
      </c>
      <c r="AB103" s="778" t="str">
        <f t="shared" si="29"/>
        <v/>
      </c>
    </row>
    <row r="104" spans="1:28" ht="15.75" customHeight="1">
      <c r="A104" s="793" t="str">
        <f t="shared" si="20"/>
        <v/>
      </c>
      <c r="B104" s="1013"/>
      <c r="C104" s="1009"/>
      <c r="D104" s="993"/>
      <c r="E104" s="961" t="s">
        <v>166</v>
      </c>
      <c r="F104" s="906" t="s">
        <v>62</v>
      </c>
      <c r="G104" s="848"/>
      <c r="H104" s="849"/>
      <c r="I104" s="850" t="str">
        <f t="shared" si="25"/>
        <v/>
      </c>
      <c r="J104" s="851"/>
      <c r="K104" s="850" t="str">
        <f t="shared" si="22"/>
        <v/>
      </c>
      <c r="L104" s="851"/>
      <c r="M104" s="850" t="str">
        <f t="shared" si="23"/>
        <v/>
      </c>
      <c r="N104" s="851"/>
      <c r="O104" s="838"/>
      <c r="P104" s="839"/>
      <c r="Q104" s="838"/>
      <c r="R104" s="839"/>
      <c r="S104" s="867"/>
      <c r="T104" s="868"/>
      <c r="U104" s="867"/>
      <c r="V104" s="869"/>
      <c r="W104" s="830" t="s">
        <v>206</v>
      </c>
      <c r="AB104" s="778" t="str">
        <f t="shared" si="29"/>
        <v/>
      </c>
    </row>
    <row r="105" spans="1:28" ht="15.75" customHeight="1">
      <c r="A105" s="793" t="str">
        <f t="shared" si="20"/>
        <v/>
      </c>
      <c r="B105" s="1013"/>
      <c r="C105" s="1009"/>
      <c r="D105" s="993"/>
      <c r="E105" s="905" t="s">
        <v>146</v>
      </c>
      <c r="F105" s="906" t="s">
        <v>62</v>
      </c>
      <c r="G105" s="848"/>
      <c r="H105" s="849"/>
      <c r="I105" s="850" t="str">
        <f t="shared" si="25"/>
        <v/>
      </c>
      <c r="J105" s="851"/>
      <c r="K105" s="850" t="str">
        <f t="shared" si="22"/>
        <v/>
      </c>
      <c r="L105" s="851"/>
      <c r="M105" s="850" t="str">
        <f t="shared" si="23"/>
        <v/>
      </c>
      <c r="N105" s="851"/>
      <c r="O105" s="838"/>
      <c r="P105" s="839"/>
      <c r="Q105" s="838"/>
      <c r="R105" s="839"/>
      <c r="S105" s="867"/>
      <c r="T105" s="868"/>
      <c r="U105" s="867"/>
      <c r="V105" s="869"/>
      <c r="W105" s="830" t="s">
        <v>206</v>
      </c>
      <c r="AB105" s="778" t="str">
        <f t="shared" si="29"/>
        <v/>
      </c>
    </row>
    <row r="106" spans="1:28" ht="15.75" customHeight="1">
      <c r="A106" s="793" t="str">
        <f t="shared" si="20"/>
        <v/>
      </c>
      <c r="B106" s="1013"/>
      <c r="C106" s="1009"/>
      <c r="D106" s="993"/>
      <c r="E106" s="961" t="s">
        <v>166</v>
      </c>
      <c r="F106" s="906"/>
      <c r="G106" s="848"/>
      <c r="H106" s="849"/>
      <c r="I106" s="850"/>
      <c r="J106" s="851"/>
      <c r="K106" s="850"/>
      <c r="L106" s="851"/>
      <c r="M106" s="850"/>
      <c r="N106" s="851"/>
      <c r="O106" s="838"/>
      <c r="P106" s="839"/>
      <c r="Q106" s="838"/>
      <c r="R106" s="839"/>
      <c r="S106" s="867"/>
      <c r="T106" s="868"/>
      <c r="U106" s="867"/>
      <c r="V106" s="869"/>
      <c r="W106" s="830"/>
    </row>
    <row r="107" spans="1:28" ht="15.75" customHeight="1">
      <c r="A107" s="793" t="str">
        <f t="shared" si="20"/>
        <v/>
      </c>
      <c r="B107" s="1013"/>
      <c r="C107" s="1009"/>
      <c r="D107" s="993"/>
      <c r="E107" s="961" t="s">
        <v>166</v>
      </c>
      <c r="F107" s="906"/>
      <c r="G107" s="848"/>
      <c r="H107" s="849"/>
      <c r="I107" s="850"/>
      <c r="J107" s="851"/>
      <c r="K107" s="850"/>
      <c r="L107" s="851"/>
      <c r="M107" s="850"/>
      <c r="N107" s="851"/>
      <c r="O107" s="838"/>
      <c r="P107" s="839"/>
      <c r="Q107" s="838"/>
      <c r="R107" s="839"/>
      <c r="S107" s="867"/>
      <c r="T107" s="868"/>
      <c r="U107" s="867"/>
      <c r="V107" s="869"/>
      <c r="W107" s="830"/>
    </row>
    <row r="108" spans="1:28" ht="15.75" customHeight="1">
      <c r="A108" s="793" t="str">
        <f t="shared" si="20"/>
        <v/>
      </c>
      <c r="B108" s="1013"/>
      <c r="C108" s="1009"/>
      <c r="D108" s="993"/>
      <c r="E108" s="962" t="s">
        <v>166</v>
      </c>
      <c r="F108" s="852"/>
      <c r="G108" s="853"/>
      <c r="H108" s="854"/>
      <c r="I108" s="855"/>
      <c r="J108" s="856"/>
      <c r="K108" s="855"/>
      <c r="L108" s="856"/>
      <c r="M108" s="855"/>
      <c r="N108" s="856"/>
      <c r="O108" s="840"/>
      <c r="P108" s="841"/>
      <c r="Q108" s="840"/>
      <c r="R108" s="841"/>
      <c r="S108" s="870"/>
      <c r="T108" s="871"/>
      <c r="U108" s="870"/>
      <c r="V108" s="872"/>
      <c r="W108" s="830"/>
    </row>
    <row r="109" spans="1:28" ht="15.75">
      <c r="A109" s="793" t="str">
        <f t="shared" si="20"/>
        <v>S</v>
      </c>
      <c r="B109" s="1018"/>
      <c r="C109" s="1009"/>
      <c r="D109" s="873" t="s">
        <v>138</v>
      </c>
      <c r="E109" s="898"/>
      <c r="F109" s="824"/>
      <c r="G109" s="783">
        <f>SUM(G96:G108)</f>
        <v>0</v>
      </c>
      <c r="H109" s="784">
        <f>SUM(H96:H108)</f>
        <v>0</v>
      </c>
      <c r="I109" s="785" t="e">
        <f t="shared" si="25"/>
        <v>#DIV/0!</v>
      </c>
      <c r="J109" s="827">
        <f>SUM(J96:J108)</f>
        <v>0</v>
      </c>
      <c r="K109" s="804" t="e">
        <f t="shared" si="22"/>
        <v>#DIV/0!</v>
      </c>
      <c r="L109" s="827">
        <f>SUM(L96:L108)</f>
        <v>0</v>
      </c>
      <c r="M109" s="785" t="e">
        <f t="shared" si="23"/>
        <v>#DIV/0!</v>
      </c>
      <c r="N109" s="827">
        <f t="shared" ref="N109:V109" si="31">SUM(N96:N108)</f>
        <v>0</v>
      </c>
      <c r="O109" s="815">
        <f t="shared" si="31"/>
        <v>0</v>
      </c>
      <c r="P109" s="816">
        <f t="shared" si="31"/>
        <v>0</v>
      </c>
      <c r="Q109" s="815">
        <f t="shared" si="31"/>
        <v>0</v>
      </c>
      <c r="R109" s="816">
        <f t="shared" si="31"/>
        <v>0</v>
      </c>
      <c r="S109" s="815">
        <f t="shared" si="31"/>
        <v>0</v>
      </c>
      <c r="T109" s="816">
        <f t="shared" si="31"/>
        <v>0</v>
      </c>
      <c r="U109" s="815">
        <f t="shared" si="31"/>
        <v>0</v>
      </c>
      <c r="V109" s="817">
        <f t="shared" si="31"/>
        <v>0</v>
      </c>
      <c r="W109" s="830"/>
      <c r="AB109" s="778">
        <f t="shared" si="29"/>
        <v>0</v>
      </c>
    </row>
    <row r="110" spans="1:28">
      <c r="A110" s="793" t="str">
        <f t="shared" si="20"/>
        <v/>
      </c>
      <c r="B110" s="1007" t="s">
        <v>151</v>
      </c>
      <c r="C110" s="1016" t="s">
        <v>76</v>
      </c>
      <c r="D110" s="994">
        <v>23</v>
      </c>
      <c r="E110" s="903" t="s">
        <v>154</v>
      </c>
      <c r="F110" s="904" t="s">
        <v>62</v>
      </c>
      <c r="G110" s="734"/>
      <c r="H110" s="735"/>
      <c r="I110" s="834" t="str">
        <f t="shared" si="25"/>
        <v/>
      </c>
      <c r="J110" s="846"/>
      <c r="K110" s="845" t="str">
        <f t="shared" si="22"/>
        <v/>
      </c>
      <c r="L110" s="846"/>
      <c r="M110" s="834" t="str">
        <f t="shared" si="23"/>
        <v/>
      </c>
      <c r="N110" s="846"/>
      <c r="O110" s="836"/>
      <c r="P110" s="837"/>
      <c r="Q110" s="836"/>
      <c r="R110" s="837"/>
      <c r="S110" s="864"/>
      <c r="T110" s="865"/>
      <c r="U110" s="864"/>
      <c r="V110" s="866"/>
      <c r="W110" s="859" t="s">
        <v>206</v>
      </c>
      <c r="AB110" s="778" t="str">
        <f t="shared" si="29"/>
        <v/>
      </c>
    </row>
    <row r="111" spans="1:28" ht="15.75" customHeight="1">
      <c r="A111" s="793" t="str">
        <f t="shared" si="20"/>
        <v/>
      </c>
      <c r="B111" s="1007"/>
      <c r="C111" s="1016"/>
      <c r="D111" s="994"/>
      <c r="E111" s="905" t="s">
        <v>155</v>
      </c>
      <c r="F111" s="906" t="s">
        <v>62</v>
      </c>
      <c r="G111" s="736"/>
      <c r="H111" s="737"/>
      <c r="I111" s="835" t="str">
        <f t="shared" si="25"/>
        <v/>
      </c>
      <c r="J111" s="851"/>
      <c r="K111" s="850" t="str">
        <f t="shared" si="22"/>
        <v/>
      </c>
      <c r="L111" s="851"/>
      <c r="M111" s="835" t="str">
        <f t="shared" si="23"/>
        <v/>
      </c>
      <c r="N111" s="851"/>
      <c r="O111" s="838"/>
      <c r="P111" s="839"/>
      <c r="Q111" s="838"/>
      <c r="R111" s="839"/>
      <c r="S111" s="867"/>
      <c r="T111" s="868"/>
      <c r="U111" s="867"/>
      <c r="V111" s="869"/>
      <c r="W111" s="860" t="s">
        <v>206</v>
      </c>
      <c r="AB111" s="778" t="str">
        <f t="shared" si="29"/>
        <v/>
      </c>
    </row>
    <row r="112" spans="1:28" ht="15.75" customHeight="1">
      <c r="A112" s="793" t="str">
        <f t="shared" si="20"/>
        <v/>
      </c>
      <c r="B112" s="1007"/>
      <c r="C112" s="1016"/>
      <c r="D112" s="994"/>
      <c r="E112" s="905" t="s">
        <v>156</v>
      </c>
      <c r="F112" s="906" t="s">
        <v>62</v>
      </c>
      <c r="G112" s="736"/>
      <c r="H112" s="737"/>
      <c r="I112" s="835" t="str">
        <f t="shared" si="25"/>
        <v/>
      </c>
      <c r="J112" s="851"/>
      <c r="K112" s="850" t="str">
        <f t="shared" si="22"/>
        <v/>
      </c>
      <c r="L112" s="851"/>
      <c r="M112" s="835" t="str">
        <f t="shared" si="23"/>
        <v/>
      </c>
      <c r="N112" s="851"/>
      <c r="O112" s="838"/>
      <c r="P112" s="839"/>
      <c r="Q112" s="838"/>
      <c r="R112" s="839"/>
      <c r="S112" s="867"/>
      <c r="T112" s="868"/>
      <c r="U112" s="867"/>
      <c r="V112" s="869"/>
      <c r="W112" s="860" t="s">
        <v>206</v>
      </c>
      <c r="AB112" s="778" t="str">
        <f t="shared" si="29"/>
        <v/>
      </c>
    </row>
    <row r="113" spans="1:28" ht="15" customHeight="1">
      <c r="A113" s="793" t="str">
        <f t="shared" si="20"/>
        <v/>
      </c>
      <c r="B113" s="1007"/>
      <c r="C113" s="1016"/>
      <c r="D113" s="994"/>
      <c r="E113" s="905" t="s">
        <v>37</v>
      </c>
      <c r="F113" s="908" t="s">
        <v>62</v>
      </c>
      <c r="G113" s="848"/>
      <c r="H113" s="849"/>
      <c r="I113" s="850" t="str">
        <f t="shared" si="25"/>
        <v/>
      </c>
      <c r="J113" s="851"/>
      <c r="K113" s="850" t="str">
        <f t="shared" si="22"/>
        <v/>
      </c>
      <c r="L113" s="851"/>
      <c r="M113" s="850" t="str">
        <f t="shared" si="23"/>
        <v/>
      </c>
      <c r="N113" s="851"/>
      <c r="O113" s="838"/>
      <c r="P113" s="839"/>
      <c r="Q113" s="838"/>
      <c r="R113" s="839"/>
      <c r="S113" s="867"/>
      <c r="T113" s="868"/>
      <c r="U113" s="867"/>
      <c r="V113" s="869"/>
      <c r="W113" s="860" t="s">
        <v>206</v>
      </c>
      <c r="AB113" s="778" t="str">
        <f t="shared" si="29"/>
        <v/>
      </c>
    </row>
    <row r="114" spans="1:28" ht="15" customHeight="1">
      <c r="A114" s="793" t="str">
        <f t="shared" ref="A114:A159" si="32">IF(D114="Sous-total","S",IF(G114="","","X"))</f>
        <v/>
      </c>
      <c r="B114" s="1007"/>
      <c r="C114" s="1016"/>
      <c r="D114" s="994"/>
      <c r="E114" s="905" t="s">
        <v>157</v>
      </c>
      <c r="F114" s="908" t="s">
        <v>62</v>
      </c>
      <c r="G114" s="848"/>
      <c r="H114" s="849"/>
      <c r="I114" s="850" t="str">
        <f t="shared" si="25"/>
        <v/>
      </c>
      <c r="J114" s="851"/>
      <c r="K114" s="850" t="str">
        <f t="shared" si="22"/>
        <v/>
      </c>
      <c r="L114" s="851"/>
      <c r="M114" s="850" t="str">
        <f t="shared" si="23"/>
        <v/>
      </c>
      <c r="N114" s="851"/>
      <c r="O114" s="838"/>
      <c r="P114" s="839"/>
      <c r="Q114" s="838"/>
      <c r="R114" s="839"/>
      <c r="S114" s="867"/>
      <c r="T114" s="868"/>
      <c r="U114" s="867"/>
      <c r="V114" s="869"/>
      <c r="W114" s="860" t="s">
        <v>206</v>
      </c>
      <c r="AB114" s="778" t="str">
        <f t="shared" si="29"/>
        <v/>
      </c>
    </row>
    <row r="115" spans="1:28" ht="15" customHeight="1">
      <c r="A115" s="793" t="str">
        <f t="shared" si="32"/>
        <v/>
      </c>
      <c r="B115" s="1007"/>
      <c r="C115" s="1016"/>
      <c r="D115" s="994"/>
      <c r="E115" s="905" t="s">
        <v>38</v>
      </c>
      <c r="F115" s="908" t="s">
        <v>62</v>
      </c>
      <c r="G115" s="848"/>
      <c r="H115" s="849"/>
      <c r="I115" s="850" t="str">
        <f t="shared" si="25"/>
        <v/>
      </c>
      <c r="J115" s="851"/>
      <c r="K115" s="850" t="str">
        <f t="shared" si="22"/>
        <v/>
      </c>
      <c r="L115" s="851"/>
      <c r="M115" s="850" t="str">
        <f t="shared" si="23"/>
        <v/>
      </c>
      <c r="N115" s="851"/>
      <c r="O115" s="838"/>
      <c r="P115" s="839"/>
      <c r="Q115" s="838"/>
      <c r="R115" s="839"/>
      <c r="S115" s="867"/>
      <c r="T115" s="868"/>
      <c r="U115" s="867"/>
      <c r="V115" s="869"/>
      <c r="W115" s="860" t="s">
        <v>206</v>
      </c>
      <c r="AB115" s="778" t="str">
        <f t="shared" si="29"/>
        <v/>
      </c>
    </row>
    <row r="116" spans="1:28" ht="15" customHeight="1">
      <c r="A116" s="793" t="str">
        <f t="shared" si="32"/>
        <v/>
      </c>
      <c r="B116" s="1007"/>
      <c r="C116" s="1016"/>
      <c r="D116" s="994"/>
      <c r="E116" s="905" t="s">
        <v>158</v>
      </c>
      <c r="F116" s="906" t="s">
        <v>62</v>
      </c>
      <c r="G116" s="848"/>
      <c r="H116" s="849"/>
      <c r="I116" s="850" t="str">
        <f t="shared" si="25"/>
        <v/>
      </c>
      <c r="J116" s="851"/>
      <c r="K116" s="850" t="str">
        <f t="shared" si="22"/>
        <v/>
      </c>
      <c r="L116" s="851"/>
      <c r="M116" s="850" t="str">
        <f t="shared" si="23"/>
        <v/>
      </c>
      <c r="N116" s="851"/>
      <c r="O116" s="838"/>
      <c r="P116" s="839"/>
      <c r="Q116" s="838"/>
      <c r="R116" s="839"/>
      <c r="S116" s="867"/>
      <c r="T116" s="868"/>
      <c r="U116" s="867"/>
      <c r="V116" s="869"/>
      <c r="W116" s="860" t="s">
        <v>206</v>
      </c>
      <c r="AB116" s="778" t="str">
        <f t="shared" si="29"/>
        <v/>
      </c>
    </row>
    <row r="117" spans="1:28" ht="15" customHeight="1">
      <c r="A117" s="793" t="str">
        <f t="shared" si="32"/>
        <v/>
      </c>
      <c r="B117" s="1007"/>
      <c r="C117" s="1016"/>
      <c r="D117" s="994"/>
      <c r="E117" s="905" t="s">
        <v>148</v>
      </c>
      <c r="F117" s="906" t="s">
        <v>62</v>
      </c>
      <c r="G117" s="848"/>
      <c r="H117" s="849"/>
      <c r="I117" s="850" t="str">
        <f t="shared" si="25"/>
        <v/>
      </c>
      <c r="J117" s="851"/>
      <c r="K117" s="850" t="str">
        <f t="shared" si="22"/>
        <v/>
      </c>
      <c r="L117" s="851"/>
      <c r="M117" s="850" t="str">
        <f t="shared" si="23"/>
        <v/>
      </c>
      <c r="N117" s="851"/>
      <c r="O117" s="838"/>
      <c r="P117" s="839"/>
      <c r="Q117" s="838"/>
      <c r="R117" s="839"/>
      <c r="S117" s="867"/>
      <c r="T117" s="868"/>
      <c r="U117" s="867"/>
      <c r="V117" s="869"/>
      <c r="W117" s="860" t="s">
        <v>206</v>
      </c>
      <c r="AB117" s="778" t="str">
        <f t="shared" si="29"/>
        <v/>
      </c>
    </row>
    <row r="118" spans="1:28" ht="15" customHeight="1">
      <c r="A118" s="793" t="str">
        <f t="shared" si="32"/>
        <v/>
      </c>
      <c r="B118" s="1007"/>
      <c r="C118" s="1016"/>
      <c r="D118" s="994"/>
      <c r="E118" s="905" t="s">
        <v>149</v>
      </c>
      <c r="F118" s="908" t="s">
        <v>62</v>
      </c>
      <c r="G118" s="738"/>
      <c r="H118" s="739"/>
      <c r="I118" s="740" t="str">
        <f t="shared" si="25"/>
        <v/>
      </c>
      <c r="J118" s="741"/>
      <c r="K118" s="740" t="str">
        <f t="shared" si="22"/>
        <v/>
      </c>
      <c r="L118" s="741"/>
      <c r="M118" s="740" t="str">
        <f t="shared" si="23"/>
        <v/>
      </c>
      <c r="N118" s="741"/>
      <c r="O118" s="742"/>
      <c r="P118" s="743"/>
      <c r="Q118" s="742"/>
      <c r="R118" s="743"/>
      <c r="S118" s="744"/>
      <c r="T118" s="745"/>
      <c r="U118" s="744"/>
      <c r="V118" s="746"/>
      <c r="W118" s="860" t="s">
        <v>206</v>
      </c>
      <c r="AB118" s="778" t="str">
        <f t="shared" si="29"/>
        <v/>
      </c>
    </row>
    <row r="119" spans="1:28" ht="15" customHeight="1">
      <c r="A119" s="793" t="str">
        <f t="shared" si="32"/>
        <v/>
      </c>
      <c r="B119" s="1007"/>
      <c r="C119" s="1016"/>
      <c r="D119" s="994"/>
      <c r="E119" s="961" t="s">
        <v>166</v>
      </c>
      <c r="F119" s="908" t="s">
        <v>62</v>
      </c>
      <c r="G119" s="848"/>
      <c r="H119" s="849"/>
      <c r="I119" s="850" t="str">
        <f t="shared" si="25"/>
        <v/>
      </c>
      <c r="J119" s="851"/>
      <c r="K119" s="850" t="str">
        <f t="shared" si="22"/>
        <v/>
      </c>
      <c r="L119" s="851"/>
      <c r="M119" s="850" t="str">
        <f t="shared" si="23"/>
        <v/>
      </c>
      <c r="N119" s="851"/>
      <c r="O119" s="838"/>
      <c r="P119" s="839"/>
      <c r="Q119" s="838"/>
      <c r="R119" s="839"/>
      <c r="S119" s="867"/>
      <c r="T119" s="868"/>
      <c r="U119" s="867"/>
      <c r="V119" s="869"/>
      <c r="W119" s="860" t="s">
        <v>206</v>
      </c>
      <c r="AB119" s="778" t="str">
        <f t="shared" si="29"/>
        <v/>
      </c>
    </row>
    <row r="120" spans="1:28" ht="15" customHeight="1">
      <c r="A120" s="793" t="str">
        <f t="shared" si="32"/>
        <v/>
      </c>
      <c r="B120" s="1007"/>
      <c r="C120" s="1016"/>
      <c r="D120" s="994"/>
      <c r="E120" s="961" t="s">
        <v>166</v>
      </c>
      <c r="F120" s="908" t="s">
        <v>62</v>
      </c>
      <c r="G120" s="848"/>
      <c r="H120" s="849"/>
      <c r="I120" s="850" t="str">
        <f t="shared" si="25"/>
        <v/>
      </c>
      <c r="J120" s="851"/>
      <c r="K120" s="850" t="str">
        <f t="shared" si="22"/>
        <v/>
      </c>
      <c r="L120" s="851"/>
      <c r="M120" s="850" t="str">
        <f t="shared" si="23"/>
        <v/>
      </c>
      <c r="N120" s="851"/>
      <c r="O120" s="838"/>
      <c r="P120" s="839"/>
      <c r="Q120" s="838"/>
      <c r="R120" s="839"/>
      <c r="S120" s="867"/>
      <c r="T120" s="868"/>
      <c r="U120" s="867"/>
      <c r="V120" s="869"/>
      <c r="W120" s="860" t="s">
        <v>206</v>
      </c>
      <c r="AB120" s="778" t="str">
        <f t="shared" si="29"/>
        <v/>
      </c>
    </row>
    <row r="121" spans="1:28" ht="15" customHeight="1">
      <c r="A121" s="793" t="str">
        <f t="shared" si="32"/>
        <v/>
      </c>
      <c r="B121" s="1007"/>
      <c r="C121" s="1016"/>
      <c r="D121" s="994"/>
      <c r="E121" s="905" t="s">
        <v>152</v>
      </c>
      <c r="F121" s="908" t="s">
        <v>62</v>
      </c>
      <c r="G121" s="738"/>
      <c r="H121" s="739"/>
      <c r="I121" s="740" t="str">
        <f t="shared" si="25"/>
        <v/>
      </c>
      <c r="J121" s="741"/>
      <c r="K121" s="740" t="str">
        <f t="shared" si="22"/>
        <v/>
      </c>
      <c r="L121" s="741"/>
      <c r="M121" s="740" t="str">
        <f t="shared" si="23"/>
        <v/>
      </c>
      <c r="N121" s="741"/>
      <c r="O121" s="742"/>
      <c r="P121" s="743"/>
      <c r="Q121" s="742"/>
      <c r="R121" s="743"/>
      <c r="S121" s="744"/>
      <c r="T121" s="745"/>
      <c r="U121" s="744"/>
      <c r="V121" s="746"/>
      <c r="W121" s="860" t="s">
        <v>206</v>
      </c>
      <c r="AB121" s="778" t="str">
        <f t="shared" si="29"/>
        <v/>
      </c>
    </row>
    <row r="122" spans="1:28" ht="15" customHeight="1">
      <c r="A122" s="793" t="str">
        <f t="shared" si="32"/>
        <v/>
      </c>
      <c r="B122" s="1007"/>
      <c r="C122" s="1016"/>
      <c r="D122" s="994"/>
      <c r="E122" s="961" t="s">
        <v>166</v>
      </c>
      <c r="F122" s="908"/>
      <c r="G122" s="738"/>
      <c r="H122" s="739"/>
      <c r="I122" s="740"/>
      <c r="J122" s="741"/>
      <c r="K122" s="740"/>
      <c r="L122" s="741"/>
      <c r="M122" s="740"/>
      <c r="N122" s="741"/>
      <c r="O122" s="742"/>
      <c r="P122" s="743"/>
      <c r="Q122" s="742"/>
      <c r="R122" s="743"/>
      <c r="S122" s="744"/>
      <c r="T122" s="745"/>
      <c r="U122" s="744"/>
      <c r="V122" s="746"/>
      <c r="W122" s="861"/>
    </row>
    <row r="123" spans="1:28" ht="15" customHeight="1">
      <c r="A123" s="793" t="str">
        <f t="shared" si="32"/>
        <v/>
      </c>
      <c r="B123" s="1007"/>
      <c r="C123" s="1016"/>
      <c r="D123" s="994"/>
      <c r="E123" s="961" t="s">
        <v>166</v>
      </c>
      <c r="F123" s="908"/>
      <c r="G123" s="738"/>
      <c r="H123" s="739"/>
      <c r="I123" s="740"/>
      <c r="J123" s="741"/>
      <c r="K123" s="740"/>
      <c r="L123" s="741"/>
      <c r="M123" s="740"/>
      <c r="N123" s="741"/>
      <c r="O123" s="742"/>
      <c r="P123" s="743"/>
      <c r="Q123" s="742"/>
      <c r="R123" s="743"/>
      <c r="S123" s="744"/>
      <c r="T123" s="745"/>
      <c r="U123" s="744"/>
      <c r="V123" s="746"/>
      <c r="W123" s="861"/>
    </row>
    <row r="124" spans="1:28" ht="15" customHeight="1">
      <c r="A124" s="793" t="str">
        <f t="shared" si="32"/>
        <v/>
      </c>
      <c r="B124" s="1007"/>
      <c r="C124" s="1016"/>
      <c r="D124" s="994"/>
      <c r="E124" s="962" t="s">
        <v>166</v>
      </c>
      <c r="F124" s="915"/>
      <c r="G124" s="766"/>
      <c r="H124" s="767"/>
      <c r="I124" s="768"/>
      <c r="J124" s="769"/>
      <c r="K124" s="768"/>
      <c r="L124" s="769"/>
      <c r="M124" s="768"/>
      <c r="N124" s="769"/>
      <c r="O124" s="770"/>
      <c r="P124" s="771"/>
      <c r="Q124" s="770"/>
      <c r="R124" s="771"/>
      <c r="S124" s="772"/>
      <c r="T124" s="773"/>
      <c r="U124" s="772"/>
      <c r="V124" s="774"/>
      <c r="W124" s="861"/>
    </row>
    <row r="125" spans="1:28" ht="15.75">
      <c r="A125" s="793" t="str">
        <f t="shared" si="32"/>
        <v>S</v>
      </c>
      <c r="B125" s="1007"/>
      <c r="C125" s="1016"/>
      <c r="D125" s="874" t="s">
        <v>138</v>
      </c>
      <c r="E125" s="898"/>
      <c r="F125" s="857"/>
      <c r="G125" s="783">
        <f>SUM(G110:G124)</f>
        <v>0</v>
      </c>
      <c r="H125" s="784">
        <f>SUM(H110:H124)</f>
        <v>0</v>
      </c>
      <c r="I125" s="785" t="e">
        <f t="shared" si="25"/>
        <v>#DIV/0!</v>
      </c>
      <c r="J125" s="827">
        <f>SUM(J110:J124)</f>
        <v>0</v>
      </c>
      <c r="K125" s="804" t="e">
        <f t="shared" si="22"/>
        <v>#DIV/0!</v>
      </c>
      <c r="L125" s="827">
        <f>SUM(L110:L124)</f>
        <v>0</v>
      </c>
      <c r="M125" s="785" t="e">
        <f t="shared" si="23"/>
        <v>#DIV/0!</v>
      </c>
      <c r="N125" s="827">
        <f t="shared" ref="N125:V125" si="33">SUM(N110:N124)</f>
        <v>0</v>
      </c>
      <c r="O125" s="815">
        <f t="shared" si="33"/>
        <v>0</v>
      </c>
      <c r="P125" s="816">
        <f t="shared" si="33"/>
        <v>0</v>
      </c>
      <c r="Q125" s="815">
        <f t="shared" si="33"/>
        <v>0</v>
      </c>
      <c r="R125" s="816">
        <f t="shared" si="33"/>
        <v>0</v>
      </c>
      <c r="S125" s="815">
        <f t="shared" si="33"/>
        <v>0</v>
      </c>
      <c r="T125" s="816">
        <f t="shared" si="33"/>
        <v>0</v>
      </c>
      <c r="U125" s="815">
        <f t="shared" si="33"/>
        <v>0</v>
      </c>
      <c r="V125" s="817">
        <f t="shared" si="33"/>
        <v>0</v>
      </c>
      <c r="W125" s="861"/>
      <c r="AB125" s="778">
        <f t="shared" si="29"/>
        <v>0</v>
      </c>
    </row>
    <row r="126" spans="1:28" ht="15.75" customHeight="1">
      <c r="A126" s="793" t="str">
        <f t="shared" si="32"/>
        <v/>
      </c>
      <c r="B126" s="1022" t="s">
        <v>72</v>
      </c>
      <c r="C126" s="1016" t="s">
        <v>76</v>
      </c>
      <c r="D126" s="994">
        <v>3</v>
      </c>
      <c r="E126" s="903" t="s">
        <v>150</v>
      </c>
      <c r="F126" s="914" t="s">
        <v>62</v>
      </c>
      <c r="G126" s="843"/>
      <c r="H126" s="844"/>
      <c r="I126" s="845" t="str">
        <f t="shared" si="25"/>
        <v/>
      </c>
      <c r="J126" s="846"/>
      <c r="K126" s="845" t="str">
        <f t="shared" si="22"/>
        <v/>
      </c>
      <c r="L126" s="846"/>
      <c r="M126" s="845" t="str">
        <f t="shared" si="23"/>
        <v/>
      </c>
      <c r="N126" s="846"/>
      <c r="O126" s="836"/>
      <c r="P126" s="837"/>
      <c r="Q126" s="836"/>
      <c r="R126" s="837"/>
      <c r="S126" s="864"/>
      <c r="T126" s="865"/>
      <c r="U126" s="864"/>
      <c r="V126" s="866"/>
      <c r="W126" s="830" t="s">
        <v>206</v>
      </c>
      <c r="AB126" s="778" t="str">
        <f t="shared" si="29"/>
        <v/>
      </c>
    </row>
    <row r="127" spans="1:28" ht="15.75" customHeight="1">
      <c r="A127" s="793" t="str">
        <f t="shared" si="32"/>
        <v/>
      </c>
      <c r="B127" s="1022"/>
      <c r="C127" s="1016"/>
      <c r="D127" s="994"/>
      <c r="E127" s="905" t="s">
        <v>153</v>
      </c>
      <c r="F127" s="908" t="s">
        <v>62</v>
      </c>
      <c r="G127" s="848"/>
      <c r="H127" s="849"/>
      <c r="I127" s="850" t="str">
        <f t="shared" si="25"/>
        <v/>
      </c>
      <c r="J127" s="851"/>
      <c r="K127" s="850" t="str">
        <f t="shared" si="22"/>
        <v/>
      </c>
      <c r="L127" s="851"/>
      <c r="M127" s="850" t="str">
        <f t="shared" si="23"/>
        <v/>
      </c>
      <c r="N127" s="851"/>
      <c r="O127" s="838"/>
      <c r="P127" s="839"/>
      <c r="Q127" s="838"/>
      <c r="R127" s="839"/>
      <c r="S127" s="867"/>
      <c r="T127" s="868"/>
      <c r="U127" s="867"/>
      <c r="V127" s="869"/>
      <c r="W127" s="830" t="s">
        <v>206</v>
      </c>
      <c r="AB127" s="778" t="str">
        <f t="shared" si="29"/>
        <v/>
      </c>
    </row>
    <row r="128" spans="1:28" ht="15.75" customHeight="1">
      <c r="A128" s="793" t="str">
        <f t="shared" si="32"/>
        <v/>
      </c>
      <c r="B128" s="1022"/>
      <c r="C128" s="1016"/>
      <c r="D128" s="994"/>
      <c r="E128" s="961" t="s">
        <v>166</v>
      </c>
      <c r="F128" s="908" t="s">
        <v>62</v>
      </c>
      <c r="G128" s="848"/>
      <c r="H128" s="849"/>
      <c r="I128" s="850" t="str">
        <f t="shared" si="25"/>
        <v/>
      </c>
      <c r="J128" s="851"/>
      <c r="K128" s="850" t="str">
        <f t="shared" si="22"/>
        <v/>
      </c>
      <c r="L128" s="851"/>
      <c r="M128" s="850" t="str">
        <f t="shared" si="23"/>
        <v/>
      </c>
      <c r="N128" s="851"/>
      <c r="O128" s="838"/>
      <c r="P128" s="839"/>
      <c r="Q128" s="838"/>
      <c r="R128" s="839"/>
      <c r="S128" s="867"/>
      <c r="T128" s="868"/>
      <c r="U128" s="867"/>
      <c r="V128" s="869"/>
      <c r="W128" s="830" t="s">
        <v>206</v>
      </c>
      <c r="AB128" s="778" t="str">
        <f t="shared" si="29"/>
        <v/>
      </c>
    </row>
    <row r="129" spans="1:28" ht="15.75" customHeight="1">
      <c r="A129" s="793" t="str">
        <f t="shared" si="32"/>
        <v/>
      </c>
      <c r="B129" s="1022"/>
      <c r="C129" s="1016"/>
      <c r="D129" s="994"/>
      <c r="E129" s="961" t="s">
        <v>166</v>
      </c>
      <c r="F129" s="908" t="s">
        <v>62</v>
      </c>
      <c r="G129" s="848"/>
      <c r="H129" s="849"/>
      <c r="I129" s="850" t="str">
        <f t="shared" si="25"/>
        <v/>
      </c>
      <c r="J129" s="851"/>
      <c r="K129" s="850" t="str">
        <f t="shared" ref="K129:K161" si="34">IF(L129="","",L129/G129)</f>
        <v/>
      </c>
      <c r="L129" s="851"/>
      <c r="M129" s="850" t="str">
        <f t="shared" ref="M129:M161" si="35">IF(N129="","",N129/L129)</f>
        <v/>
      </c>
      <c r="N129" s="851"/>
      <c r="O129" s="838"/>
      <c r="P129" s="839"/>
      <c r="Q129" s="838"/>
      <c r="R129" s="839"/>
      <c r="S129" s="867"/>
      <c r="T129" s="868"/>
      <c r="U129" s="867"/>
      <c r="V129" s="869"/>
      <c r="W129" s="830" t="s">
        <v>206</v>
      </c>
      <c r="AB129" s="778" t="str">
        <f t="shared" si="29"/>
        <v/>
      </c>
    </row>
    <row r="130" spans="1:28" ht="15.75" customHeight="1">
      <c r="A130" s="793" t="str">
        <f t="shared" si="32"/>
        <v/>
      </c>
      <c r="B130" s="1022"/>
      <c r="C130" s="1016"/>
      <c r="D130" s="994"/>
      <c r="E130" s="905" t="s">
        <v>36</v>
      </c>
      <c r="F130" s="908" t="s">
        <v>62</v>
      </c>
      <c r="G130" s="848"/>
      <c r="H130" s="849"/>
      <c r="I130" s="850" t="str">
        <f t="shared" si="25"/>
        <v/>
      </c>
      <c r="J130" s="851"/>
      <c r="K130" s="850" t="str">
        <f t="shared" si="34"/>
        <v/>
      </c>
      <c r="L130" s="851"/>
      <c r="M130" s="850" t="str">
        <f t="shared" si="35"/>
        <v/>
      </c>
      <c r="N130" s="851"/>
      <c r="O130" s="838"/>
      <c r="P130" s="839"/>
      <c r="Q130" s="838"/>
      <c r="R130" s="839"/>
      <c r="S130" s="867"/>
      <c r="T130" s="868"/>
      <c r="U130" s="867"/>
      <c r="V130" s="869"/>
      <c r="W130" s="830" t="s">
        <v>206</v>
      </c>
      <c r="AB130" s="778" t="str">
        <f t="shared" si="29"/>
        <v/>
      </c>
    </row>
    <row r="131" spans="1:28" ht="15.75" customHeight="1">
      <c r="A131" s="793" t="str">
        <f t="shared" si="32"/>
        <v/>
      </c>
      <c r="B131" s="1022"/>
      <c r="C131" s="1016"/>
      <c r="D131" s="994"/>
      <c r="E131" s="961" t="s">
        <v>166</v>
      </c>
      <c r="F131" s="908"/>
      <c r="G131" s="848"/>
      <c r="H131" s="849"/>
      <c r="I131" s="850"/>
      <c r="J131" s="851"/>
      <c r="K131" s="850"/>
      <c r="L131" s="851"/>
      <c r="M131" s="850"/>
      <c r="N131" s="851"/>
      <c r="O131" s="838"/>
      <c r="P131" s="839"/>
      <c r="Q131" s="838"/>
      <c r="R131" s="839"/>
      <c r="S131" s="867"/>
      <c r="T131" s="868"/>
      <c r="U131" s="867"/>
      <c r="V131" s="869"/>
      <c r="W131" s="830"/>
    </row>
    <row r="132" spans="1:28" ht="15.75" customHeight="1">
      <c r="A132" s="793" t="str">
        <f t="shared" si="32"/>
        <v/>
      </c>
      <c r="B132" s="1022"/>
      <c r="C132" s="1016"/>
      <c r="D132" s="994"/>
      <c r="E132" s="961" t="s">
        <v>166</v>
      </c>
      <c r="F132" s="908"/>
      <c r="G132" s="848"/>
      <c r="H132" s="849"/>
      <c r="I132" s="850"/>
      <c r="J132" s="851"/>
      <c r="K132" s="850"/>
      <c r="L132" s="851"/>
      <c r="M132" s="850"/>
      <c r="N132" s="851"/>
      <c r="O132" s="838"/>
      <c r="P132" s="839"/>
      <c r="Q132" s="838"/>
      <c r="R132" s="839"/>
      <c r="S132" s="867"/>
      <c r="T132" s="868"/>
      <c r="U132" s="867"/>
      <c r="V132" s="869"/>
      <c r="W132" s="830"/>
    </row>
    <row r="133" spans="1:28" ht="15.75" customHeight="1">
      <c r="A133" s="793" t="str">
        <f t="shared" si="32"/>
        <v/>
      </c>
      <c r="B133" s="1022"/>
      <c r="C133" s="1016"/>
      <c r="D133" s="994"/>
      <c r="E133" s="962" t="s">
        <v>166</v>
      </c>
      <c r="F133" s="915"/>
      <c r="G133" s="853"/>
      <c r="H133" s="854"/>
      <c r="I133" s="855"/>
      <c r="J133" s="856"/>
      <c r="K133" s="855"/>
      <c r="L133" s="856"/>
      <c r="M133" s="855"/>
      <c r="N133" s="856"/>
      <c r="O133" s="840"/>
      <c r="P133" s="841"/>
      <c r="Q133" s="840"/>
      <c r="R133" s="841"/>
      <c r="S133" s="870"/>
      <c r="T133" s="871"/>
      <c r="U133" s="870"/>
      <c r="V133" s="872"/>
      <c r="W133" s="830"/>
    </row>
    <row r="134" spans="1:28" ht="15.75" customHeight="1">
      <c r="A134" s="793" t="str">
        <f t="shared" si="32"/>
        <v>S</v>
      </c>
      <c r="B134" s="1022"/>
      <c r="C134" s="1016"/>
      <c r="D134" s="874" t="s">
        <v>138</v>
      </c>
      <c r="E134" s="898"/>
      <c r="F134" s="857"/>
      <c r="G134" s="783">
        <f>SUM(G126:G133)</f>
        <v>0</v>
      </c>
      <c r="H134" s="784">
        <f>SUM(H126:H133)</f>
        <v>0</v>
      </c>
      <c r="I134" s="785" t="e">
        <f t="shared" si="25"/>
        <v>#DIV/0!</v>
      </c>
      <c r="J134" s="827">
        <f>SUM(J126:J133)</f>
        <v>0</v>
      </c>
      <c r="K134" s="804" t="e">
        <f t="shared" si="34"/>
        <v>#DIV/0!</v>
      </c>
      <c r="L134" s="827">
        <f>SUM(L126:L133)</f>
        <v>0</v>
      </c>
      <c r="M134" s="785" t="e">
        <f t="shared" si="35"/>
        <v>#DIV/0!</v>
      </c>
      <c r="N134" s="827">
        <f t="shared" ref="N134:V134" si="36">SUM(N126:N133)</f>
        <v>0</v>
      </c>
      <c r="O134" s="815">
        <f t="shared" si="36"/>
        <v>0</v>
      </c>
      <c r="P134" s="816">
        <f t="shared" si="36"/>
        <v>0</v>
      </c>
      <c r="Q134" s="815">
        <f t="shared" si="36"/>
        <v>0</v>
      </c>
      <c r="R134" s="816">
        <f t="shared" si="36"/>
        <v>0</v>
      </c>
      <c r="S134" s="815">
        <f t="shared" si="36"/>
        <v>0</v>
      </c>
      <c r="T134" s="816">
        <f t="shared" si="36"/>
        <v>0</v>
      </c>
      <c r="U134" s="815">
        <f t="shared" si="36"/>
        <v>0</v>
      </c>
      <c r="V134" s="817">
        <f t="shared" si="36"/>
        <v>0</v>
      </c>
      <c r="W134" s="830"/>
      <c r="AB134" s="778">
        <f t="shared" si="29"/>
        <v>0</v>
      </c>
    </row>
    <row r="135" spans="1:28" ht="15.75" customHeight="1">
      <c r="A135" s="793" t="str">
        <f t="shared" si="32"/>
        <v/>
      </c>
      <c r="B135" s="980" t="s">
        <v>3</v>
      </c>
      <c r="C135" s="983" t="s">
        <v>76</v>
      </c>
      <c r="D135" s="988">
        <v>17</v>
      </c>
      <c r="E135" s="901" t="s">
        <v>48</v>
      </c>
      <c r="F135" s="842" t="s">
        <v>61</v>
      </c>
      <c r="G135" s="843"/>
      <c r="H135" s="844"/>
      <c r="I135" s="845" t="str">
        <f t="shared" si="25"/>
        <v/>
      </c>
      <c r="J135" s="846"/>
      <c r="K135" s="845" t="str">
        <f t="shared" si="34"/>
        <v/>
      </c>
      <c r="L135" s="846"/>
      <c r="M135" s="845" t="str">
        <f t="shared" si="35"/>
        <v/>
      </c>
      <c r="N135" s="846"/>
      <c r="O135" s="836"/>
      <c r="P135" s="837"/>
      <c r="Q135" s="836"/>
      <c r="R135" s="837"/>
      <c r="S135" s="721"/>
      <c r="T135" s="722"/>
      <c r="U135" s="721"/>
      <c r="V135" s="723"/>
      <c r="W135" s="830" t="s">
        <v>206</v>
      </c>
      <c r="AB135" s="778" t="str">
        <f t="shared" si="29"/>
        <v/>
      </c>
    </row>
    <row r="136" spans="1:28" ht="15.75" customHeight="1">
      <c r="A136" s="793" t="str">
        <f t="shared" si="32"/>
        <v/>
      </c>
      <c r="B136" s="981"/>
      <c r="C136" s="984"/>
      <c r="D136" s="989"/>
      <c r="E136" s="902" t="s">
        <v>49</v>
      </c>
      <c r="F136" s="847" t="s">
        <v>61</v>
      </c>
      <c r="G136" s="848"/>
      <c r="H136" s="849"/>
      <c r="I136" s="850" t="str">
        <f t="shared" si="25"/>
        <v/>
      </c>
      <c r="J136" s="851"/>
      <c r="K136" s="850" t="str">
        <f t="shared" si="34"/>
        <v/>
      </c>
      <c r="L136" s="851"/>
      <c r="M136" s="850" t="str">
        <f t="shared" si="35"/>
        <v/>
      </c>
      <c r="N136" s="851"/>
      <c r="O136" s="838"/>
      <c r="P136" s="839"/>
      <c r="Q136" s="838"/>
      <c r="R136" s="839"/>
      <c r="S136" s="724"/>
      <c r="T136" s="725"/>
      <c r="U136" s="724"/>
      <c r="V136" s="726"/>
      <c r="W136" s="830" t="s">
        <v>206</v>
      </c>
      <c r="AB136" s="778" t="str">
        <f t="shared" si="29"/>
        <v/>
      </c>
    </row>
    <row r="137" spans="1:28" ht="15.75" customHeight="1">
      <c r="A137" s="793" t="str">
        <f t="shared" si="32"/>
        <v/>
      </c>
      <c r="B137" s="981"/>
      <c r="C137" s="984"/>
      <c r="D137" s="989"/>
      <c r="E137" s="902" t="s">
        <v>81</v>
      </c>
      <c r="F137" s="847" t="s">
        <v>61</v>
      </c>
      <c r="G137" s="848"/>
      <c r="H137" s="849"/>
      <c r="I137" s="850" t="str">
        <f t="shared" si="25"/>
        <v/>
      </c>
      <c r="J137" s="851"/>
      <c r="K137" s="850" t="str">
        <f t="shared" si="34"/>
        <v/>
      </c>
      <c r="L137" s="851"/>
      <c r="M137" s="850" t="str">
        <f t="shared" si="35"/>
        <v/>
      </c>
      <c r="N137" s="851"/>
      <c r="O137" s="838"/>
      <c r="P137" s="839"/>
      <c r="Q137" s="838"/>
      <c r="R137" s="839"/>
      <c r="S137" s="724"/>
      <c r="T137" s="725"/>
      <c r="U137" s="724"/>
      <c r="V137" s="726"/>
      <c r="W137" s="830" t="s">
        <v>206</v>
      </c>
      <c r="AB137" s="778" t="str">
        <f t="shared" si="29"/>
        <v/>
      </c>
    </row>
    <row r="138" spans="1:28" ht="15.75" customHeight="1">
      <c r="A138" s="793" t="str">
        <f t="shared" si="32"/>
        <v/>
      </c>
      <c r="B138" s="981"/>
      <c r="C138" s="984"/>
      <c r="D138" s="989"/>
      <c r="E138" s="902" t="s">
        <v>73</v>
      </c>
      <c r="F138" s="847" t="s">
        <v>61</v>
      </c>
      <c r="G138" s="848"/>
      <c r="H138" s="849"/>
      <c r="I138" s="850" t="str">
        <f t="shared" si="25"/>
        <v/>
      </c>
      <c r="J138" s="851"/>
      <c r="K138" s="850" t="str">
        <f t="shared" si="34"/>
        <v/>
      </c>
      <c r="L138" s="851"/>
      <c r="M138" s="850" t="str">
        <f t="shared" si="35"/>
        <v/>
      </c>
      <c r="N138" s="851"/>
      <c r="O138" s="838"/>
      <c r="P138" s="839"/>
      <c r="Q138" s="838"/>
      <c r="R138" s="839"/>
      <c r="S138" s="724"/>
      <c r="T138" s="725"/>
      <c r="U138" s="724"/>
      <c r="V138" s="726"/>
      <c r="W138" s="830" t="s">
        <v>206</v>
      </c>
      <c r="AB138" s="778" t="str">
        <f t="shared" si="29"/>
        <v/>
      </c>
    </row>
    <row r="139" spans="1:28" ht="15.75" customHeight="1">
      <c r="A139" s="793" t="str">
        <f t="shared" si="32"/>
        <v/>
      </c>
      <c r="B139" s="981"/>
      <c r="C139" s="984"/>
      <c r="D139" s="989"/>
      <c r="E139" s="902" t="s">
        <v>50</v>
      </c>
      <c r="F139" s="847" t="s">
        <v>61</v>
      </c>
      <c r="G139" s="848"/>
      <c r="H139" s="849"/>
      <c r="I139" s="850" t="str">
        <f t="shared" si="25"/>
        <v/>
      </c>
      <c r="J139" s="851"/>
      <c r="K139" s="850" t="str">
        <f t="shared" si="34"/>
        <v/>
      </c>
      <c r="L139" s="851"/>
      <c r="M139" s="850" t="str">
        <f t="shared" si="35"/>
        <v/>
      </c>
      <c r="N139" s="851"/>
      <c r="O139" s="838"/>
      <c r="P139" s="839"/>
      <c r="Q139" s="838"/>
      <c r="R139" s="839"/>
      <c r="S139" s="724"/>
      <c r="T139" s="725"/>
      <c r="U139" s="724"/>
      <c r="V139" s="726"/>
      <c r="W139" s="830" t="s">
        <v>206</v>
      </c>
      <c r="AB139" s="778" t="str">
        <f t="shared" si="29"/>
        <v/>
      </c>
    </row>
    <row r="140" spans="1:28" ht="15.75" customHeight="1">
      <c r="A140" s="793" t="str">
        <f t="shared" si="32"/>
        <v/>
      </c>
      <c r="B140" s="981"/>
      <c r="C140" s="984"/>
      <c r="D140" s="989"/>
      <c r="E140" s="902" t="s">
        <v>144</v>
      </c>
      <c r="F140" s="847" t="s">
        <v>61</v>
      </c>
      <c r="G140" s="848"/>
      <c r="H140" s="849"/>
      <c r="I140" s="850" t="str">
        <f t="shared" si="25"/>
        <v/>
      </c>
      <c r="J140" s="851"/>
      <c r="K140" s="850" t="str">
        <f t="shared" si="34"/>
        <v/>
      </c>
      <c r="L140" s="851"/>
      <c r="M140" s="850" t="str">
        <f t="shared" si="35"/>
        <v/>
      </c>
      <c r="N140" s="851"/>
      <c r="O140" s="838"/>
      <c r="P140" s="839"/>
      <c r="Q140" s="838"/>
      <c r="R140" s="839"/>
      <c r="S140" s="724"/>
      <c r="T140" s="725"/>
      <c r="U140" s="724"/>
      <c r="V140" s="726"/>
      <c r="W140" s="830" t="s">
        <v>206</v>
      </c>
      <c r="AB140" s="778" t="str">
        <f t="shared" si="29"/>
        <v/>
      </c>
    </row>
    <row r="141" spans="1:28" ht="15.75" customHeight="1">
      <c r="A141" s="793" t="str">
        <f t="shared" si="32"/>
        <v/>
      </c>
      <c r="B141" s="981"/>
      <c r="C141" s="984"/>
      <c r="D141" s="989"/>
      <c r="E141" s="902" t="s">
        <v>143</v>
      </c>
      <c r="F141" s="847" t="s">
        <v>61</v>
      </c>
      <c r="G141" s="848"/>
      <c r="H141" s="849"/>
      <c r="I141" s="850" t="str">
        <f t="shared" si="25"/>
        <v/>
      </c>
      <c r="J141" s="851"/>
      <c r="K141" s="850" t="str">
        <f t="shared" si="34"/>
        <v/>
      </c>
      <c r="L141" s="851"/>
      <c r="M141" s="850" t="str">
        <f t="shared" si="35"/>
        <v/>
      </c>
      <c r="N141" s="851"/>
      <c r="O141" s="838"/>
      <c r="P141" s="839"/>
      <c r="Q141" s="838"/>
      <c r="R141" s="839"/>
      <c r="S141" s="724"/>
      <c r="T141" s="725"/>
      <c r="U141" s="724"/>
      <c r="V141" s="726"/>
      <c r="W141" s="830" t="s">
        <v>206</v>
      </c>
      <c r="AB141" s="778" t="str">
        <f t="shared" si="29"/>
        <v/>
      </c>
    </row>
    <row r="142" spans="1:28" ht="15.75" customHeight="1">
      <c r="A142" s="793" t="str">
        <f t="shared" si="32"/>
        <v/>
      </c>
      <c r="B142" s="981"/>
      <c r="C142" s="984"/>
      <c r="D142" s="989"/>
      <c r="E142" s="902" t="s">
        <v>176</v>
      </c>
      <c r="F142" s="847" t="s">
        <v>61</v>
      </c>
      <c r="G142" s="848"/>
      <c r="H142" s="849"/>
      <c r="I142" s="850" t="str">
        <f t="shared" si="25"/>
        <v/>
      </c>
      <c r="J142" s="851"/>
      <c r="K142" s="850" t="str">
        <f t="shared" si="34"/>
        <v/>
      </c>
      <c r="L142" s="851"/>
      <c r="M142" s="850" t="str">
        <f t="shared" si="35"/>
        <v/>
      </c>
      <c r="N142" s="851"/>
      <c r="O142" s="838"/>
      <c r="P142" s="839"/>
      <c r="Q142" s="838"/>
      <c r="R142" s="839"/>
      <c r="S142" s="724"/>
      <c r="T142" s="725"/>
      <c r="U142" s="724"/>
      <c r="V142" s="726"/>
      <c r="W142" s="830" t="s">
        <v>206</v>
      </c>
      <c r="AB142" s="778" t="str">
        <f t="shared" si="29"/>
        <v/>
      </c>
    </row>
    <row r="143" spans="1:28" ht="15.75" customHeight="1">
      <c r="A143" s="793" t="str">
        <f t="shared" si="32"/>
        <v/>
      </c>
      <c r="B143" s="981"/>
      <c r="C143" s="984"/>
      <c r="D143" s="989"/>
      <c r="E143" s="902" t="s">
        <v>177</v>
      </c>
      <c r="F143" s="847" t="s">
        <v>61</v>
      </c>
      <c r="G143" s="848"/>
      <c r="H143" s="849"/>
      <c r="I143" s="850" t="str">
        <f t="shared" ref="I143:I161" si="37">IF(J143="","",J143/G143)</f>
        <v/>
      </c>
      <c r="J143" s="851"/>
      <c r="K143" s="850" t="str">
        <f t="shared" si="34"/>
        <v/>
      </c>
      <c r="L143" s="851"/>
      <c r="M143" s="850" t="str">
        <f t="shared" si="35"/>
        <v/>
      </c>
      <c r="N143" s="851"/>
      <c r="O143" s="838"/>
      <c r="P143" s="839"/>
      <c r="Q143" s="838"/>
      <c r="R143" s="839"/>
      <c r="S143" s="724"/>
      <c r="T143" s="725"/>
      <c r="U143" s="724"/>
      <c r="V143" s="726"/>
      <c r="W143" s="830" t="s">
        <v>206</v>
      </c>
      <c r="AB143" s="778" t="str">
        <f t="shared" si="29"/>
        <v/>
      </c>
    </row>
    <row r="144" spans="1:28" ht="15.75" customHeight="1">
      <c r="A144" s="793" t="str">
        <f t="shared" si="32"/>
        <v/>
      </c>
      <c r="B144" s="981"/>
      <c r="C144" s="984"/>
      <c r="D144" s="989"/>
      <c r="E144" s="902" t="s">
        <v>178</v>
      </c>
      <c r="F144" s="847" t="s">
        <v>61</v>
      </c>
      <c r="G144" s="848"/>
      <c r="H144" s="849"/>
      <c r="I144" s="850" t="str">
        <f t="shared" si="37"/>
        <v/>
      </c>
      <c r="J144" s="851"/>
      <c r="K144" s="850" t="str">
        <f t="shared" si="34"/>
        <v/>
      </c>
      <c r="L144" s="851"/>
      <c r="M144" s="850" t="str">
        <f t="shared" si="35"/>
        <v/>
      </c>
      <c r="N144" s="851"/>
      <c r="O144" s="838"/>
      <c r="P144" s="839"/>
      <c r="Q144" s="838"/>
      <c r="R144" s="839"/>
      <c r="S144" s="724"/>
      <c r="T144" s="725"/>
      <c r="U144" s="724"/>
      <c r="V144" s="726"/>
      <c r="W144" s="830" t="s">
        <v>206</v>
      </c>
      <c r="AB144" s="778" t="str">
        <f t="shared" si="29"/>
        <v/>
      </c>
    </row>
    <row r="145" spans="1:28" ht="15.75" customHeight="1">
      <c r="A145" s="793" t="str">
        <f t="shared" si="32"/>
        <v/>
      </c>
      <c r="B145" s="981"/>
      <c r="C145" s="984"/>
      <c r="D145" s="989"/>
      <c r="E145" s="902" t="s">
        <v>179</v>
      </c>
      <c r="F145" s="847" t="s">
        <v>61</v>
      </c>
      <c r="G145" s="848"/>
      <c r="H145" s="849"/>
      <c r="I145" s="850" t="str">
        <f t="shared" si="37"/>
        <v/>
      </c>
      <c r="J145" s="851"/>
      <c r="K145" s="850" t="str">
        <f t="shared" si="34"/>
        <v/>
      </c>
      <c r="L145" s="851"/>
      <c r="M145" s="850" t="str">
        <f t="shared" si="35"/>
        <v/>
      </c>
      <c r="N145" s="851"/>
      <c r="O145" s="838"/>
      <c r="P145" s="839"/>
      <c r="Q145" s="838"/>
      <c r="R145" s="839"/>
      <c r="S145" s="724"/>
      <c r="T145" s="725"/>
      <c r="U145" s="724"/>
      <c r="V145" s="726"/>
      <c r="W145" s="830" t="s">
        <v>206</v>
      </c>
      <c r="AB145" s="778" t="str">
        <f t="shared" si="29"/>
        <v/>
      </c>
    </row>
    <row r="146" spans="1:28" ht="15.75" customHeight="1">
      <c r="A146" s="793" t="str">
        <f t="shared" si="32"/>
        <v/>
      </c>
      <c r="B146" s="981"/>
      <c r="C146" s="984"/>
      <c r="D146" s="989"/>
      <c r="E146" s="902" t="s">
        <v>180</v>
      </c>
      <c r="F146" s="847" t="s">
        <v>61</v>
      </c>
      <c r="G146" s="848"/>
      <c r="H146" s="849"/>
      <c r="I146" s="850" t="str">
        <f t="shared" si="37"/>
        <v/>
      </c>
      <c r="J146" s="851"/>
      <c r="K146" s="850" t="str">
        <f t="shared" si="34"/>
        <v/>
      </c>
      <c r="L146" s="851"/>
      <c r="M146" s="850" t="str">
        <f t="shared" si="35"/>
        <v/>
      </c>
      <c r="N146" s="851"/>
      <c r="O146" s="838"/>
      <c r="P146" s="839"/>
      <c r="Q146" s="838"/>
      <c r="R146" s="839"/>
      <c r="S146" s="724"/>
      <c r="T146" s="725"/>
      <c r="U146" s="724"/>
      <c r="V146" s="726"/>
      <c r="W146" s="830" t="s">
        <v>206</v>
      </c>
      <c r="AB146" s="778" t="str">
        <f t="shared" si="29"/>
        <v/>
      </c>
    </row>
    <row r="147" spans="1:28" ht="15.75" customHeight="1">
      <c r="A147" s="793" t="str">
        <f t="shared" si="32"/>
        <v/>
      </c>
      <c r="B147" s="981"/>
      <c r="C147" s="984"/>
      <c r="D147" s="989"/>
      <c r="E147" s="902" t="s">
        <v>181</v>
      </c>
      <c r="F147" s="847" t="s">
        <v>61</v>
      </c>
      <c r="G147" s="848"/>
      <c r="H147" s="849"/>
      <c r="I147" s="850" t="str">
        <f t="shared" si="37"/>
        <v/>
      </c>
      <c r="J147" s="851"/>
      <c r="K147" s="850" t="str">
        <f t="shared" si="34"/>
        <v/>
      </c>
      <c r="L147" s="851"/>
      <c r="M147" s="850" t="str">
        <f t="shared" si="35"/>
        <v/>
      </c>
      <c r="N147" s="851"/>
      <c r="O147" s="838"/>
      <c r="P147" s="839"/>
      <c r="Q147" s="838"/>
      <c r="R147" s="839"/>
      <c r="S147" s="724"/>
      <c r="T147" s="725"/>
      <c r="U147" s="724"/>
      <c r="V147" s="726"/>
      <c r="W147" s="830" t="s">
        <v>206</v>
      </c>
      <c r="AB147" s="778" t="str">
        <f t="shared" si="29"/>
        <v/>
      </c>
    </row>
    <row r="148" spans="1:28" ht="15.75" customHeight="1">
      <c r="A148" s="793" t="str">
        <f t="shared" si="32"/>
        <v/>
      </c>
      <c r="B148" s="981"/>
      <c r="C148" s="984"/>
      <c r="D148" s="989"/>
      <c r="E148" s="902" t="s">
        <v>80</v>
      </c>
      <c r="F148" s="847" t="s">
        <v>61</v>
      </c>
      <c r="G148" s="848"/>
      <c r="H148" s="849"/>
      <c r="I148" s="850" t="str">
        <f t="shared" si="37"/>
        <v/>
      </c>
      <c r="J148" s="851"/>
      <c r="K148" s="850" t="str">
        <f t="shared" si="34"/>
        <v/>
      </c>
      <c r="L148" s="851"/>
      <c r="M148" s="850" t="str">
        <f t="shared" si="35"/>
        <v/>
      </c>
      <c r="N148" s="851"/>
      <c r="O148" s="838"/>
      <c r="P148" s="839"/>
      <c r="Q148" s="838"/>
      <c r="R148" s="839"/>
      <c r="S148" s="724"/>
      <c r="T148" s="725"/>
      <c r="U148" s="724"/>
      <c r="V148" s="726"/>
      <c r="W148" s="830" t="s">
        <v>206</v>
      </c>
      <c r="AB148" s="778" t="str">
        <f t="shared" si="29"/>
        <v/>
      </c>
    </row>
    <row r="149" spans="1:28" ht="15.75" customHeight="1">
      <c r="A149" s="793" t="str">
        <f t="shared" si="32"/>
        <v/>
      </c>
      <c r="B149" s="981"/>
      <c r="C149" s="984"/>
      <c r="D149" s="989"/>
      <c r="E149" s="902" t="s">
        <v>51</v>
      </c>
      <c r="F149" s="847" t="s">
        <v>61</v>
      </c>
      <c r="G149" s="848"/>
      <c r="H149" s="849"/>
      <c r="I149" s="850" t="str">
        <f t="shared" si="37"/>
        <v/>
      </c>
      <c r="J149" s="851"/>
      <c r="K149" s="850" t="str">
        <f t="shared" si="34"/>
        <v/>
      </c>
      <c r="L149" s="851"/>
      <c r="M149" s="850" t="str">
        <f t="shared" si="35"/>
        <v/>
      </c>
      <c r="N149" s="851"/>
      <c r="O149" s="838"/>
      <c r="P149" s="839"/>
      <c r="Q149" s="838"/>
      <c r="R149" s="839"/>
      <c r="S149" s="724"/>
      <c r="T149" s="725"/>
      <c r="U149" s="724"/>
      <c r="V149" s="726"/>
      <c r="W149" s="830" t="s">
        <v>206</v>
      </c>
      <c r="AB149" s="778" t="str">
        <f t="shared" si="29"/>
        <v/>
      </c>
    </row>
    <row r="150" spans="1:28" ht="15" customHeight="1">
      <c r="A150" s="793" t="str">
        <f>IF(D150="Sous-total","S",IF(G150="","","X"))</f>
        <v/>
      </c>
      <c r="B150" s="981"/>
      <c r="C150" s="984"/>
      <c r="D150" s="989"/>
      <c r="E150" s="632" t="s">
        <v>31</v>
      </c>
      <c r="F150" s="906" t="s">
        <v>62</v>
      </c>
      <c r="G150" s="848"/>
      <c r="H150" s="849"/>
      <c r="I150" s="850" t="str">
        <f>IF(J150="","",J150/G150)</f>
        <v/>
      </c>
      <c r="J150" s="851"/>
      <c r="K150" s="850" t="str">
        <f>IF(L150="","",L150/G150)</f>
        <v/>
      </c>
      <c r="L150" s="851"/>
      <c r="M150" s="850" t="str">
        <f>IF(N150="","",N150/L150)</f>
        <v/>
      </c>
      <c r="N150" s="851"/>
      <c r="O150" s="838"/>
      <c r="P150" s="839"/>
      <c r="Q150" s="838"/>
      <c r="R150" s="839"/>
      <c r="S150" s="867"/>
      <c r="T150" s="868"/>
      <c r="U150" s="867"/>
      <c r="V150" s="869"/>
      <c r="W150" s="830" t="s">
        <v>206</v>
      </c>
      <c r="X150" s="919" t="s">
        <v>199</v>
      </c>
      <c r="AB150" s="778" t="str">
        <f>IF(G150&lt;&gt;"",$F150,"")</f>
        <v/>
      </c>
    </row>
    <row r="151" spans="1:28" ht="15.75" customHeight="1">
      <c r="A151" s="793" t="str">
        <f t="shared" si="32"/>
        <v/>
      </c>
      <c r="B151" s="981"/>
      <c r="C151" s="984"/>
      <c r="D151" s="989"/>
      <c r="E151" s="961" t="s">
        <v>166</v>
      </c>
      <c r="F151" s="847" t="s">
        <v>203</v>
      </c>
      <c r="G151" s="848"/>
      <c r="H151" s="849"/>
      <c r="I151" s="850" t="str">
        <f t="shared" si="37"/>
        <v/>
      </c>
      <c r="J151" s="851"/>
      <c r="K151" s="850" t="str">
        <f t="shared" si="34"/>
        <v/>
      </c>
      <c r="L151" s="851"/>
      <c r="M151" s="850" t="str">
        <f t="shared" si="35"/>
        <v/>
      </c>
      <c r="N151" s="851"/>
      <c r="O151" s="838"/>
      <c r="P151" s="839"/>
      <c r="Q151" s="838"/>
      <c r="R151" s="839"/>
      <c r="S151" s="724"/>
      <c r="T151" s="725"/>
      <c r="U151" s="724"/>
      <c r="V151" s="726"/>
      <c r="W151" s="830" t="s">
        <v>206</v>
      </c>
      <c r="AB151" s="778" t="str">
        <f t="shared" si="29"/>
        <v/>
      </c>
    </row>
    <row r="152" spans="1:28" ht="15.75" customHeight="1">
      <c r="A152" s="793" t="str">
        <f t="shared" si="32"/>
        <v/>
      </c>
      <c r="B152" s="981"/>
      <c r="C152" s="984"/>
      <c r="D152" s="989"/>
      <c r="E152" s="961" t="s">
        <v>166</v>
      </c>
      <c r="F152" s="847" t="s">
        <v>203</v>
      </c>
      <c r="G152" s="848"/>
      <c r="H152" s="849"/>
      <c r="I152" s="850" t="str">
        <f t="shared" si="37"/>
        <v/>
      </c>
      <c r="J152" s="851"/>
      <c r="K152" s="850" t="str">
        <f t="shared" si="34"/>
        <v/>
      </c>
      <c r="L152" s="851"/>
      <c r="M152" s="850" t="str">
        <f t="shared" si="35"/>
        <v/>
      </c>
      <c r="N152" s="851"/>
      <c r="O152" s="838"/>
      <c r="P152" s="839"/>
      <c r="Q152" s="838"/>
      <c r="R152" s="839"/>
      <c r="S152" s="724"/>
      <c r="T152" s="725"/>
      <c r="U152" s="724"/>
      <c r="V152" s="726"/>
      <c r="W152" s="830" t="s">
        <v>206</v>
      </c>
      <c r="AB152" s="778" t="str">
        <f t="shared" si="29"/>
        <v/>
      </c>
    </row>
    <row r="153" spans="1:28" ht="15.75" customHeight="1">
      <c r="A153" s="793" t="str">
        <f t="shared" si="32"/>
        <v/>
      </c>
      <c r="B153" s="981"/>
      <c r="C153" s="984"/>
      <c r="D153" s="989"/>
      <c r="E153" s="902" t="s">
        <v>52</v>
      </c>
      <c r="F153" s="847" t="s">
        <v>61</v>
      </c>
      <c r="G153" s="848"/>
      <c r="H153" s="849"/>
      <c r="I153" s="850" t="str">
        <f t="shared" si="37"/>
        <v/>
      </c>
      <c r="J153" s="851"/>
      <c r="K153" s="850" t="str">
        <f t="shared" si="34"/>
        <v/>
      </c>
      <c r="L153" s="851"/>
      <c r="M153" s="850" t="str">
        <f t="shared" si="35"/>
        <v/>
      </c>
      <c r="N153" s="851"/>
      <c r="O153" s="838"/>
      <c r="P153" s="839"/>
      <c r="Q153" s="838"/>
      <c r="R153" s="839"/>
      <c r="S153" s="724"/>
      <c r="T153" s="725"/>
      <c r="U153" s="724"/>
      <c r="V153" s="726"/>
      <c r="W153" s="830" t="s">
        <v>206</v>
      </c>
      <c r="AB153" s="778" t="str">
        <f t="shared" si="29"/>
        <v/>
      </c>
    </row>
    <row r="154" spans="1:28" ht="15.75" customHeight="1">
      <c r="A154" s="793" t="str">
        <f t="shared" si="32"/>
        <v/>
      </c>
      <c r="B154" s="981"/>
      <c r="C154" s="984"/>
      <c r="D154" s="989"/>
      <c r="E154" s="961" t="s">
        <v>166</v>
      </c>
      <c r="F154" s="847"/>
      <c r="G154" s="848"/>
      <c r="H154" s="849"/>
      <c r="I154" s="850"/>
      <c r="J154" s="851"/>
      <c r="K154" s="850"/>
      <c r="L154" s="851"/>
      <c r="M154" s="850"/>
      <c r="N154" s="851"/>
      <c r="O154" s="838"/>
      <c r="P154" s="839"/>
      <c r="Q154" s="838"/>
      <c r="R154" s="839"/>
      <c r="S154" s="724"/>
      <c r="T154" s="725"/>
      <c r="U154" s="724"/>
      <c r="V154" s="726"/>
      <c r="W154" s="830"/>
    </row>
    <row r="155" spans="1:28" ht="15.75" customHeight="1">
      <c r="A155" s="793" t="str">
        <f t="shared" si="32"/>
        <v/>
      </c>
      <c r="B155" s="981"/>
      <c r="C155" s="984"/>
      <c r="D155" s="989"/>
      <c r="E155" s="961" t="s">
        <v>166</v>
      </c>
      <c r="F155" s="847"/>
      <c r="G155" s="848"/>
      <c r="H155" s="849"/>
      <c r="I155" s="850"/>
      <c r="J155" s="851"/>
      <c r="K155" s="850"/>
      <c r="L155" s="851"/>
      <c r="M155" s="850"/>
      <c r="N155" s="851"/>
      <c r="O155" s="838"/>
      <c r="P155" s="839"/>
      <c r="Q155" s="838"/>
      <c r="R155" s="839"/>
      <c r="S155" s="724"/>
      <c r="T155" s="725"/>
      <c r="U155" s="724"/>
      <c r="V155" s="726"/>
      <c r="W155" s="830"/>
    </row>
    <row r="156" spans="1:28" ht="15.75" customHeight="1">
      <c r="A156" s="793" t="str">
        <f t="shared" si="32"/>
        <v/>
      </c>
      <c r="B156" s="981"/>
      <c r="C156" s="984"/>
      <c r="D156" s="989"/>
      <c r="E156" s="961" t="s">
        <v>166</v>
      </c>
      <c r="F156" s="847"/>
      <c r="G156" s="848"/>
      <c r="H156" s="849"/>
      <c r="I156" s="850"/>
      <c r="J156" s="851"/>
      <c r="K156" s="850"/>
      <c r="L156" s="851"/>
      <c r="M156" s="850"/>
      <c r="N156" s="851"/>
      <c r="O156" s="838"/>
      <c r="P156" s="839"/>
      <c r="Q156" s="838"/>
      <c r="R156" s="839"/>
      <c r="S156" s="724"/>
      <c r="T156" s="725"/>
      <c r="U156" s="724"/>
      <c r="V156" s="726"/>
      <c r="W156" s="830"/>
    </row>
    <row r="157" spans="1:28" ht="15.75" customHeight="1">
      <c r="A157" s="793" t="str">
        <f t="shared" si="32"/>
        <v/>
      </c>
      <c r="B157" s="981"/>
      <c r="C157" s="984"/>
      <c r="D157" s="989"/>
      <c r="E157" s="961" t="s">
        <v>166</v>
      </c>
      <c r="F157" s="847"/>
      <c r="G157" s="848"/>
      <c r="H157" s="849"/>
      <c r="I157" s="850"/>
      <c r="J157" s="851"/>
      <c r="K157" s="850"/>
      <c r="L157" s="851"/>
      <c r="M157" s="850"/>
      <c r="N157" s="851"/>
      <c r="O157" s="838"/>
      <c r="P157" s="839"/>
      <c r="Q157" s="838"/>
      <c r="R157" s="839"/>
      <c r="S157" s="724"/>
      <c r="T157" s="725"/>
      <c r="U157" s="724"/>
      <c r="V157" s="726"/>
      <c r="W157" s="830"/>
    </row>
    <row r="158" spans="1:28" ht="15.75" customHeight="1">
      <c r="A158" s="793" t="str">
        <f t="shared" si="32"/>
        <v/>
      </c>
      <c r="B158" s="981"/>
      <c r="C158" s="984"/>
      <c r="D158" s="990"/>
      <c r="E158" s="962" t="s">
        <v>166</v>
      </c>
      <c r="F158" s="912"/>
      <c r="G158" s="853"/>
      <c r="H158" s="854"/>
      <c r="I158" s="855"/>
      <c r="J158" s="856"/>
      <c r="K158" s="855"/>
      <c r="L158" s="856"/>
      <c r="M158" s="855"/>
      <c r="N158" s="856"/>
      <c r="O158" s="840"/>
      <c r="P158" s="841"/>
      <c r="Q158" s="840"/>
      <c r="R158" s="841"/>
      <c r="S158" s="727"/>
      <c r="T158" s="728"/>
      <c r="U158" s="727"/>
      <c r="V158" s="729"/>
      <c r="W158" s="830"/>
    </row>
    <row r="159" spans="1:28" ht="16.5" thickBot="1">
      <c r="A159" s="793" t="str">
        <f t="shared" si="32"/>
        <v>S</v>
      </c>
      <c r="B159" s="982"/>
      <c r="C159" s="985"/>
      <c r="D159" s="875" t="s">
        <v>138</v>
      </c>
      <c r="E159" s="899"/>
      <c r="F159" s="821"/>
      <c r="G159" s="822">
        <f>SUM(G135:G158)</f>
        <v>0</v>
      </c>
      <c r="H159" s="823">
        <f>SUM(H135:H158)</f>
        <v>0</v>
      </c>
      <c r="I159" s="785" t="e">
        <f t="shared" si="37"/>
        <v>#DIV/0!</v>
      </c>
      <c r="J159" s="828">
        <f>SUM(J135:J158)</f>
        <v>0</v>
      </c>
      <c r="K159" s="804" t="e">
        <f t="shared" si="34"/>
        <v>#DIV/0!</v>
      </c>
      <c r="L159" s="828">
        <f>SUM(L135:L158)</f>
        <v>0</v>
      </c>
      <c r="M159" s="785" t="e">
        <f t="shared" si="35"/>
        <v>#DIV/0!</v>
      </c>
      <c r="N159" s="828">
        <f t="shared" ref="N159:V159" si="38">SUM(N135:N158)</f>
        <v>0</v>
      </c>
      <c r="O159" s="818">
        <f t="shared" si="38"/>
        <v>0</v>
      </c>
      <c r="P159" s="819">
        <f t="shared" si="38"/>
        <v>0</v>
      </c>
      <c r="Q159" s="818">
        <f t="shared" si="38"/>
        <v>0</v>
      </c>
      <c r="R159" s="819">
        <f t="shared" si="38"/>
        <v>0</v>
      </c>
      <c r="S159" s="818">
        <f t="shared" si="38"/>
        <v>0</v>
      </c>
      <c r="T159" s="819">
        <f t="shared" si="38"/>
        <v>0</v>
      </c>
      <c r="U159" s="818">
        <f t="shared" si="38"/>
        <v>0</v>
      </c>
      <c r="V159" s="820">
        <f t="shared" si="38"/>
        <v>0</v>
      </c>
      <c r="W159" s="830" t="s">
        <v>206</v>
      </c>
      <c r="X159" s="825"/>
      <c r="Y159" s="825"/>
    </row>
    <row r="160" spans="1:28" s="791" customFormat="1" ht="27.75" customHeight="1" thickBot="1">
      <c r="A160" s="793" t="s">
        <v>106</v>
      </c>
      <c r="B160" s="808" t="s">
        <v>77</v>
      </c>
      <c r="C160" s="809"/>
      <c r="D160" s="809">
        <f>SUM(D66:D159)</f>
        <v>79</v>
      </c>
      <c r="E160" s="688" t="s">
        <v>79</v>
      </c>
      <c r="F160" s="894"/>
      <c r="G160" s="805">
        <f>G77+G85+G95+G109+G125+G134+G159</f>
        <v>0</v>
      </c>
      <c r="H160" s="802">
        <f>H77+H85+H95+H109+H125+H134+H159</f>
        <v>0</v>
      </c>
      <c r="I160" s="799" t="e">
        <f t="shared" si="37"/>
        <v>#DIV/0!</v>
      </c>
      <c r="J160" s="800">
        <f>J77+J85+J95+J109+J125+J134+J159</f>
        <v>0</v>
      </c>
      <c r="K160" s="799" t="e">
        <f t="shared" si="34"/>
        <v>#DIV/0!</v>
      </c>
      <c r="L160" s="800">
        <f>L77+L85+L95+L109+L125+L134+L159</f>
        <v>0</v>
      </c>
      <c r="M160" s="831" t="e">
        <f t="shared" si="35"/>
        <v>#DIV/0!</v>
      </c>
      <c r="N160" s="800">
        <f t="shared" ref="N160:V160" si="39">N77+N85+N95+N109+N125+N134+N159</f>
        <v>0</v>
      </c>
      <c r="O160" s="801">
        <f t="shared" si="39"/>
        <v>0</v>
      </c>
      <c r="P160" s="802">
        <f t="shared" si="39"/>
        <v>0</v>
      </c>
      <c r="Q160" s="801">
        <f t="shared" si="39"/>
        <v>0</v>
      </c>
      <c r="R160" s="802">
        <f t="shared" si="39"/>
        <v>0</v>
      </c>
      <c r="S160" s="801">
        <f t="shared" si="39"/>
        <v>0</v>
      </c>
      <c r="T160" s="802">
        <f t="shared" si="39"/>
        <v>0</v>
      </c>
      <c r="U160" s="801">
        <f t="shared" si="39"/>
        <v>0</v>
      </c>
      <c r="V160" s="803">
        <f t="shared" si="39"/>
        <v>0</v>
      </c>
      <c r="W160" s="925"/>
      <c r="X160" s="891"/>
      <c r="Y160" s="826"/>
      <c r="AB160" s="778"/>
    </row>
    <row r="161" spans="1:28" s="890" customFormat="1" ht="31.5" customHeight="1" thickBot="1">
      <c r="A161" s="793" t="s">
        <v>106</v>
      </c>
      <c r="B161" s="881" t="s">
        <v>66</v>
      </c>
      <c r="C161" s="882"/>
      <c r="D161" s="882">
        <f>D160+D65</f>
        <v>119</v>
      </c>
      <c r="E161" s="689" t="s">
        <v>79</v>
      </c>
      <c r="F161" s="892"/>
      <c r="G161" s="883">
        <f>G65+G160</f>
        <v>0</v>
      </c>
      <c r="H161" s="884">
        <f>H65+H160</f>
        <v>0</v>
      </c>
      <c r="I161" s="885" t="e">
        <f t="shared" si="37"/>
        <v>#DIV/0!</v>
      </c>
      <c r="J161" s="886">
        <f>J65+J160</f>
        <v>0</v>
      </c>
      <c r="K161" s="885" t="e">
        <f t="shared" si="34"/>
        <v>#DIV/0!</v>
      </c>
      <c r="L161" s="886">
        <f>L65+L160</f>
        <v>0</v>
      </c>
      <c r="M161" s="887" t="e">
        <f t="shared" si="35"/>
        <v>#DIV/0!</v>
      </c>
      <c r="N161" s="886">
        <f t="shared" ref="N161:V161" si="40">N65+N160</f>
        <v>0</v>
      </c>
      <c r="O161" s="888">
        <f t="shared" si="40"/>
        <v>0</v>
      </c>
      <c r="P161" s="884">
        <f t="shared" si="40"/>
        <v>0</v>
      </c>
      <c r="Q161" s="888">
        <f t="shared" si="40"/>
        <v>0</v>
      </c>
      <c r="R161" s="884">
        <f t="shared" si="40"/>
        <v>0</v>
      </c>
      <c r="S161" s="888">
        <f t="shared" si="40"/>
        <v>0</v>
      </c>
      <c r="T161" s="884">
        <f t="shared" si="40"/>
        <v>0</v>
      </c>
      <c r="U161" s="888">
        <f t="shared" si="40"/>
        <v>0</v>
      </c>
      <c r="V161" s="889">
        <f t="shared" si="40"/>
        <v>0</v>
      </c>
      <c r="W161" s="925"/>
      <c r="X161" s="893"/>
      <c r="AB161" s="778"/>
    </row>
    <row r="162" spans="1:28">
      <c r="A162" s="793" t="s">
        <v>106</v>
      </c>
      <c r="B162" s="781"/>
      <c r="C162" s="790"/>
      <c r="D162" s="790"/>
      <c r="E162" s="781"/>
      <c r="F162" s="790"/>
      <c r="G162" s="806"/>
      <c r="H162" s="806"/>
      <c r="I162" s="807"/>
      <c r="J162" s="807"/>
      <c r="K162" s="807"/>
      <c r="L162" s="807"/>
      <c r="M162" s="992" t="s">
        <v>68</v>
      </c>
      <c r="N162" s="992"/>
      <c r="O162" s="806"/>
      <c r="P162" s="806"/>
      <c r="Q162" s="806"/>
      <c r="R162" s="806"/>
      <c r="S162" s="806"/>
      <c r="T162" s="806"/>
      <c r="U162" s="806"/>
      <c r="V162" s="806"/>
      <c r="AB162" s="778" t="str">
        <f t="shared" ref="AB162" si="41">IF(G162&gt;0,$F162,"")</f>
        <v/>
      </c>
    </row>
    <row r="163" spans="1:28">
      <c r="A163" s="793" t="s">
        <v>106</v>
      </c>
      <c r="E163" s="825"/>
    </row>
    <row r="164" spans="1:28">
      <c r="A164" s="793" t="s">
        <v>106</v>
      </c>
      <c r="E164" s="798" t="s">
        <v>205</v>
      </c>
      <c r="F164" s="900" t="s">
        <v>204</v>
      </c>
    </row>
    <row r="165" spans="1:28">
      <c r="A165" s="793" t="s">
        <v>106</v>
      </c>
      <c r="E165" s="833" t="s">
        <v>60</v>
      </c>
      <c r="F165" s="775">
        <f>COUNTIF(AB$5:AB$153,$E164)</f>
        <v>0</v>
      </c>
    </row>
    <row r="166" spans="1:28">
      <c r="A166" s="793" t="s">
        <v>106</v>
      </c>
      <c r="E166" s="777" t="s">
        <v>61</v>
      </c>
      <c r="F166" s="778">
        <f>COUNTIF(AB$5:AB$153,$E165)</f>
        <v>0</v>
      </c>
    </row>
    <row r="167" spans="1:28" ht="15.75" thickBot="1">
      <c r="A167" s="793" t="s">
        <v>106</v>
      </c>
      <c r="E167" s="954" t="s">
        <v>62</v>
      </c>
      <c r="F167" s="955">
        <f>COUNTIF(AB$5:AB$153,$E166)</f>
        <v>0</v>
      </c>
    </row>
    <row r="168" spans="1:28">
      <c r="A168" s="793" t="s">
        <v>106</v>
      </c>
      <c r="E168" s="956" t="s">
        <v>66</v>
      </c>
      <c r="F168" s="776">
        <f t="shared" ref="F168" si="42">SUM(F165:F167)</f>
        <v>0</v>
      </c>
    </row>
    <row r="169" spans="1:28">
      <c r="E169" s="929"/>
    </row>
    <row r="170" spans="1:28">
      <c r="E170" s="929"/>
    </row>
    <row r="171" spans="1:28">
      <c r="E171" s="929"/>
    </row>
    <row r="172" spans="1:28">
      <c r="E172" s="929"/>
    </row>
    <row r="175" spans="1:28" ht="15" customHeight="1"/>
    <row r="176" spans="1:28" ht="15" customHeight="1"/>
    <row r="177" spans="1:28" ht="15" customHeight="1">
      <c r="A177" s="777"/>
      <c r="C177" s="777"/>
      <c r="D177" s="777"/>
      <c r="F177" s="777"/>
      <c r="G177" s="777"/>
      <c r="H177" s="777"/>
      <c r="I177" s="777"/>
      <c r="J177" s="777"/>
      <c r="K177" s="777"/>
      <c r="L177" s="777"/>
      <c r="M177" s="777"/>
      <c r="N177" s="777"/>
      <c r="O177" s="777"/>
      <c r="P177" s="777"/>
      <c r="Q177" s="777"/>
      <c r="R177" s="777"/>
      <c r="S177" s="777"/>
      <c r="T177" s="777"/>
      <c r="U177" s="777"/>
      <c r="V177" s="777"/>
      <c r="W177" s="777"/>
      <c r="AB177" s="777"/>
    </row>
    <row r="178" spans="1:28" ht="15" customHeight="1">
      <c r="A178" s="777"/>
      <c r="C178" s="777"/>
      <c r="D178" s="777"/>
      <c r="F178" s="777"/>
      <c r="G178" s="777"/>
      <c r="H178" s="777"/>
      <c r="I178" s="777"/>
      <c r="J178" s="777"/>
      <c r="K178" s="777"/>
      <c r="L178" s="777"/>
      <c r="M178" s="777"/>
      <c r="N178" s="777"/>
      <c r="O178" s="777"/>
      <c r="P178" s="777"/>
      <c r="Q178" s="777"/>
      <c r="R178" s="777"/>
      <c r="S178" s="777"/>
      <c r="T178" s="777"/>
      <c r="U178" s="777"/>
      <c r="V178" s="777"/>
      <c r="W178" s="777"/>
      <c r="AB178" s="777"/>
    </row>
    <row r="179" spans="1:28" ht="15" customHeight="1">
      <c r="A179" s="777"/>
      <c r="C179" s="777"/>
      <c r="D179" s="777"/>
      <c r="F179" s="777"/>
      <c r="G179" s="777"/>
      <c r="H179" s="777"/>
      <c r="I179" s="777"/>
      <c r="J179" s="777"/>
      <c r="K179" s="777"/>
      <c r="L179" s="777"/>
      <c r="M179" s="777"/>
      <c r="N179" s="777"/>
      <c r="O179" s="777"/>
      <c r="P179" s="777"/>
      <c r="Q179" s="777"/>
      <c r="R179" s="777"/>
      <c r="S179" s="777"/>
      <c r="T179" s="777"/>
      <c r="U179" s="777"/>
      <c r="V179" s="777"/>
      <c r="W179" s="777"/>
      <c r="AB179" s="777"/>
    </row>
    <row r="180" spans="1:28" ht="15" customHeight="1">
      <c r="A180" s="777"/>
      <c r="C180" s="777"/>
      <c r="D180" s="777"/>
      <c r="F180" s="777"/>
      <c r="G180" s="777"/>
      <c r="H180" s="777"/>
      <c r="I180" s="777"/>
      <c r="J180" s="777"/>
      <c r="K180" s="777"/>
      <c r="L180" s="777"/>
      <c r="M180" s="777"/>
      <c r="N180" s="777"/>
      <c r="O180" s="777"/>
      <c r="P180" s="777"/>
      <c r="Q180" s="777"/>
      <c r="R180" s="777"/>
      <c r="S180" s="777"/>
      <c r="T180" s="777"/>
      <c r="U180" s="777"/>
      <c r="V180" s="777"/>
      <c r="W180" s="777"/>
      <c r="AB180" s="777"/>
    </row>
    <row r="181" spans="1:28" ht="15" customHeight="1">
      <c r="A181" s="777"/>
      <c r="C181" s="777"/>
      <c r="D181" s="777"/>
      <c r="F181" s="777"/>
      <c r="G181" s="777"/>
      <c r="H181" s="777"/>
      <c r="I181" s="777"/>
      <c r="J181" s="777"/>
      <c r="K181" s="777"/>
      <c r="L181" s="777"/>
      <c r="M181" s="777"/>
      <c r="N181" s="777"/>
      <c r="O181" s="777"/>
      <c r="P181" s="777"/>
      <c r="Q181" s="777"/>
      <c r="R181" s="777"/>
      <c r="S181" s="777"/>
      <c r="T181" s="777"/>
      <c r="U181" s="777"/>
      <c r="V181" s="777"/>
      <c r="W181" s="777"/>
      <c r="AB181" s="777"/>
    </row>
    <row r="182" spans="1:28" ht="15" customHeight="1">
      <c r="A182" s="777"/>
      <c r="C182" s="777"/>
      <c r="D182" s="777"/>
      <c r="F182" s="777"/>
      <c r="G182" s="777"/>
      <c r="H182" s="777"/>
      <c r="I182" s="777"/>
      <c r="J182" s="777"/>
      <c r="K182" s="777"/>
      <c r="L182" s="777"/>
      <c r="M182" s="777"/>
      <c r="N182" s="777"/>
      <c r="O182" s="777"/>
      <c r="P182" s="777"/>
      <c r="Q182" s="777"/>
      <c r="R182" s="777"/>
      <c r="S182" s="777"/>
      <c r="T182" s="777"/>
      <c r="U182" s="777"/>
      <c r="V182" s="777"/>
      <c r="W182" s="777"/>
      <c r="AB182" s="777"/>
    </row>
    <row r="183" spans="1:28" ht="15" customHeight="1">
      <c r="A183" s="777"/>
      <c r="C183" s="777"/>
      <c r="D183" s="777"/>
      <c r="F183" s="777"/>
      <c r="G183" s="777"/>
      <c r="H183" s="777"/>
      <c r="I183" s="777"/>
      <c r="J183" s="777"/>
      <c r="K183" s="777"/>
      <c r="L183" s="777"/>
      <c r="M183" s="777"/>
      <c r="N183" s="777"/>
      <c r="O183" s="777"/>
      <c r="P183" s="777"/>
      <c r="Q183" s="777"/>
      <c r="R183" s="777"/>
      <c r="S183" s="777"/>
      <c r="T183" s="777"/>
      <c r="U183" s="777"/>
      <c r="V183" s="777"/>
      <c r="W183" s="777"/>
      <c r="AB183" s="777"/>
    </row>
    <row r="184" spans="1:28" ht="15.75" customHeight="1">
      <c r="A184" s="777"/>
      <c r="C184" s="777"/>
      <c r="D184" s="777"/>
      <c r="F184" s="777"/>
      <c r="G184" s="777"/>
      <c r="H184" s="777"/>
      <c r="I184" s="777"/>
      <c r="J184" s="777"/>
      <c r="K184" s="777"/>
      <c r="L184" s="777"/>
      <c r="M184" s="777"/>
      <c r="N184" s="777"/>
      <c r="O184" s="777"/>
      <c r="P184" s="777"/>
      <c r="Q184" s="777"/>
      <c r="R184" s="777"/>
      <c r="S184" s="777"/>
      <c r="T184" s="777"/>
      <c r="U184" s="777"/>
      <c r="V184" s="777"/>
      <c r="W184" s="777"/>
      <c r="AB184" s="777"/>
    </row>
    <row r="185" spans="1:28" ht="15.75" customHeight="1">
      <c r="A185" s="777"/>
      <c r="C185" s="777"/>
      <c r="D185" s="777"/>
      <c r="E185" s="959"/>
      <c r="F185" s="777"/>
      <c r="G185" s="777"/>
      <c r="H185" s="777"/>
      <c r="I185" s="777"/>
      <c r="J185" s="777"/>
      <c r="K185" s="777"/>
      <c r="L185" s="777"/>
      <c r="M185" s="777"/>
      <c r="N185" s="777"/>
      <c r="O185" s="777"/>
      <c r="P185" s="777"/>
      <c r="Q185" s="777"/>
      <c r="R185" s="777"/>
      <c r="S185" s="777"/>
      <c r="T185" s="777"/>
      <c r="U185" s="777"/>
      <c r="V185" s="777"/>
      <c r="W185" s="777"/>
      <c r="AB185" s="777"/>
    </row>
    <row r="186" spans="1:28" ht="15" customHeight="1">
      <c r="A186" s="777"/>
      <c r="C186" s="777"/>
      <c r="D186" s="777"/>
      <c r="F186" s="777"/>
      <c r="G186" s="777"/>
      <c r="H186" s="777"/>
      <c r="I186" s="777"/>
      <c r="J186" s="777"/>
      <c r="K186" s="777"/>
      <c r="L186" s="777"/>
      <c r="M186" s="777"/>
      <c r="N186" s="777"/>
      <c r="O186" s="777"/>
      <c r="P186" s="777"/>
      <c r="Q186" s="777"/>
      <c r="R186" s="777"/>
      <c r="S186" s="777"/>
      <c r="T186" s="777"/>
      <c r="U186" s="777"/>
      <c r="V186" s="777"/>
      <c r="W186" s="777"/>
      <c r="AB186" s="777"/>
    </row>
    <row r="187" spans="1:28" ht="15" customHeight="1">
      <c r="A187" s="777"/>
      <c r="C187" s="777"/>
      <c r="D187" s="777"/>
      <c r="E187" s="929"/>
      <c r="F187" s="777"/>
      <c r="G187" s="777"/>
      <c r="H187" s="777"/>
      <c r="I187" s="777"/>
      <c r="J187" s="777"/>
      <c r="K187" s="777"/>
      <c r="L187" s="777"/>
      <c r="M187" s="777"/>
      <c r="N187" s="777"/>
      <c r="O187" s="777"/>
      <c r="P187" s="777"/>
      <c r="Q187" s="777"/>
      <c r="R187" s="777"/>
      <c r="S187" s="777"/>
      <c r="T187" s="777"/>
      <c r="U187" s="777"/>
      <c r="V187" s="777"/>
      <c r="W187" s="777"/>
      <c r="AB187" s="777"/>
    </row>
    <row r="188" spans="1:28" ht="15" customHeight="1">
      <c r="A188" s="777"/>
      <c r="C188" s="777"/>
      <c r="D188" s="777"/>
      <c r="E188" s="929"/>
      <c r="F188" s="777"/>
      <c r="G188" s="777"/>
      <c r="H188" s="777"/>
      <c r="I188" s="777"/>
      <c r="J188" s="777"/>
      <c r="K188" s="777"/>
      <c r="L188" s="777"/>
      <c r="M188" s="777"/>
      <c r="N188" s="777"/>
      <c r="O188" s="777"/>
      <c r="P188" s="777"/>
      <c r="Q188" s="777"/>
      <c r="R188" s="777"/>
      <c r="S188" s="777"/>
      <c r="T188" s="777"/>
      <c r="U188" s="777"/>
      <c r="V188" s="777"/>
      <c r="W188" s="777"/>
      <c r="AB188" s="777"/>
    </row>
    <row r="189" spans="1:28" ht="15" customHeight="1">
      <c r="A189" s="777"/>
      <c r="C189" s="777"/>
      <c r="D189" s="777"/>
      <c r="F189" s="777"/>
      <c r="G189" s="777"/>
      <c r="H189" s="777"/>
      <c r="I189" s="777"/>
      <c r="J189" s="777"/>
      <c r="K189" s="777"/>
      <c r="L189" s="777"/>
      <c r="M189" s="777"/>
      <c r="N189" s="777"/>
      <c r="O189" s="777"/>
      <c r="P189" s="777"/>
      <c r="Q189" s="777"/>
      <c r="R189" s="777"/>
      <c r="S189" s="777"/>
      <c r="T189" s="777"/>
      <c r="U189" s="777"/>
      <c r="V189" s="777"/>
      <c r="W189" s="777"/>
      <c r="AB189" s="777"/>
    </row>
    <row r="201" spans="1:28">
      <c r="A201" s="777"/>
      <c r="C201" s="777"/>
      <c r="D201" s="777"/>
      <c r="E201" s="959"/>
      <c r="F201" s="777"/>
      <c r="G201" s="777"/>
      <c r="H201" s="777"/>
      <c r="I201" s="777"/>
      <c r="J201" s="777"/>
      <c r="K201" s="777"/>
      <c r="L201" s="777"/>
      <c r="M201" s="777"/>
      <c r="N201" s="777"/>
      <c r="O201" s="777"/>
      <c r="P201" s="777"/>
      <c r="Q201" s="777"/>
      <c r="R201" s="777"/>
      <c r="S201" s="777"/>
      <c r="T201" s="777"/>
      <c r="U201" s="777"/>
      <c r="V201" s="777"/>
      <c r="W201" s="777"/>
      <c r="AB201" s="777"/>
    </row>
    <row r="203" spans="1:28">
      <c r="A203" s="777"/>
      <c r="C203" s="777"/>
      <c r="D203" s="777"/>
      <c r="E203" s="929"/>
      <c r="F203" s="777"/>
      <c r="G203" s="777"/>
      <c r="H203" s="777"/>
      <c r="I203" s="777"/>
      <c r="J203" s="777"/>
      <c r="K203" s="777"/>
      <c r="L203" s="777"/>
      <c r="M203" s="777"/>
      <c r="N203" s="777"/>
      <c r="O203" s="777"/>
      <c r="P203" s="777"/>
      <c r="Q203" s="777"/>
      <c r="R203" s="777"/>
      <c r="S203" s="777"/>
      <c r="T203" s="777"/>
      <c r="U203" s="777"/>
      <c r="V203" s="777"/>
      <c r="W203" s="777"/>
      <c r="AB203" s="777"/>
    </row>
    <row r="204" spans="1:28">
      <c r="A204" s="777"/>
      <c r="C204" s="777"/>
      <c r="D204" s="777"/>
      <c r="E204" s="929"/>
      <c r="F204" s="777"/>
      <c r="G204" s="777"/>
      <c r="H204" s="777"/>
      <c r="I204" s="777"/>
      <c r="J204" s="777"/>
      <c r="K204" s="777"/>
      <c r="L204" s="777"/>
      <c r="M204" s="777"/>
      <c r="N204" s="777"/>
      <c r="O204" s="777"/>
      <c r="P204" s="777"/>
      <c r="Q204" s="777"/>
      <c r="R204" s="777"/>
      <c r="S204" s="777"/>
      <c r="T204" s="777"/>
      <c r="U204" s="777"/>
      <c r="V204" s="777"/>
      <c r="W204" s="777"/>
      <c r="AB204" s="777"/>
    </row>
    <row r="217" spans="1:28">
      <c r="A217" s="777"/>
      <c r="C217" s="777"/>
      <c r="D217" s="777"/>
      <c r="E217" s="959"/>
      <c r="F217" s="777"/>
      <c r="G217" s="777"/>
      <c r="H217" s="777"/>
      <c r="I217" s="777"/>
      <c r="J217" s="777"/>
      <c r="K217" s="777"/>
      <c r="L217" s="777"/>
      <c r="M217" s="777"/>
      <c r="N217" s="777"/>
      <c r="O217" s="777"/>
      <c r="P217" s="777"/>
      <c r="Q217" s="777"/>
      <c r="R217" s="777"/>
      <c r="S217" s="777"/>
      <c r="T217" s="777"/>
      <c r="U217" s="777"/>
      <c r="V217" s="777"/>
      <c r="W217" s="777"/>
      <c r="AB217" s="777"/>
    </row>
    <row r="219" spans="1:28">
      <c r="A219" s="777"/>
      <c r="C219" s="777"/>
      <c r="D219" s="777"/>
      <c r="E219" s="929"/>
      <c r="F219" s="777"/>
      <c r="G219" s="777"/>
      <c r="H219" s="777"/>
      <c r="I219" s="777"/>
      <c r="J219" s="777"/>
      <c r="K219" s="777"/>
      <c r="L219" s="777"/>
      <c r="M219" s="777"/>
      <c r="N219" s="777"/>
      <c r="O219" s="777"/>
      <c r="P219" s="777"/>
      <c r="Q219" s="777"/>
      <c r="R219" s="777"/>
      <c r="S219" s="777"/>
      <c r="T219" s="777"/>
      <c r="U219" s="777"/>
      <c r="V219" s="777"/>
      <c r="W219" s="777"/>
      <c r="AB219" s="777"/>
    </row>
    <row r="220" spans="1:28">
      <c r="A220" s="777"/>
      <c r="C220" s="777"/>
      <c r="D220" s="777"/>
      <c r="E220" s="929"/>
      <c r="F220" s="777"/>
      <c r="G220" s="777"/>
      <c r="H220" s="777"/>
      <c r="I220" s="777"/>
      <c r="J220" s="777"/>
      <c r="K220" s="777"/>
      <c r="L220" s="777"/>
      <c r="M220" s="777"/>
      <c r="N220" s="777"/>
      <c r="O220" s="777"/>
      <c r="P220" s="777"/>
      <c r="Q220" s="777"/>
      <c r="R220" s="777"/>
      <c r="S220" s="777"/>
      <c r="T220" s="777"/>
      <c r="U220" s="777"/>
      <c r="V220" s="777"/>
      <c r="W220" s="777"/>
      <c r="AB220" s="777"/>
    </row>
    <row r="233" spans="1:28">
      <c r="A233" s="777"/>
      <c r="C233" s="777"/>
      <c r="D233" s="777"/>
      <c r="E233" s="959"/>
      <c r="F233" s="777"/>
      <c r="G233" s="777"/>
      <c r="H233" s="777"/>
      <c r="I233" s="777"/>
      <c r="J233" s="777"/>
      <c r="K233" s="777"/>
      <c r="L233" s="777"/>
      <c r="M233" s="777"/>
      <c r="N233" s="777"/>
      <c r="O233" s="777"/>
      <c r="P233" s="777"/>
      <c r="Q233" s="777"/>
      <c r="R233" s="777"/>
      <c r="S233" s="777"/>
      <c r="T233" s="777"/>
      <c r="U233" s="777"/>
      <c r="V233" s="777"/>
      <c r="W233" s="777"/>
      <c r="AB233" s="777"/>
    </row>
  </sheetData>
  <sheetProtection password="D0CE" sheet="1" objects="1" scenarios="1"/>
  <autoFilter ref="A1:V167"/>
  <mergeCells count="53">
    <mergeCell ref="Q2:R2"/>
    <mergeCell ref="S2:T2"/>
    <mergeCell ref="U2:V2"/>
    <mergeCell ref="B5:B8"/>
    <mergeCell ref="C5:C8"/>
    <mergeCell ref="I2:I4"/>
    <mergeCell ref="J2:J4"/>
    <mergeCell ref="K2:K4"/>
    <mergeCell ref="L2:L4"/>
    <mergeCell ref="M2:M4"/>
    <mergeCell ref="N2:N4"/>
    <mergeCell ref="B2:B4"/>
    <mergeCell ref="C2:C4"/>
    <mergeCell ref="D2:D4"/>
    <mergeCell ref="E2:E4"/>
    <mergeCell ref="F2:F4"/>
    <mergeCell ref="G2:H2"/>
    <mergeCell ref="O2:P2"/>
    <mergeCell ref="B9:B12"/>
    <mergeCell ref="C9:C12"/>
    <mergeCell ref="B13:B34"/>
    <mergeCell ref="C13:C34"/>
    <mergeCell ref="B35:B49"/>
    <mergeCell ref="C35:C49"/>
    <mergeCell ref="B78:B85"/>
    <mergeCell ref="C78:C85"/>
    <mergeCell ref="D78:D84"/>
    <mergeCell ref="B50:B64"/>
    <mergeCell ref="C50:C64"/>
    <mergeCell ref="B66:B77"/>
    <mergeCell ref="C66:C77"/>
    <mergeCell ref="M162:N162"/>
    <mergeCell ref="D5:D7"/>
    <mergeCell ref="D9:D11"/>
    <mergeCell ref="D13:D33"/>
    <mergeCell ref="D35:D48"/>
    <mergeCell ref="D50:D63"/>
    <mergeCell ref="D66:D76"/>
    <mergeCell ref="D126:D133"/>
    <mergeCell ref="D96:D108"/>
    <mergeCell ref="D110:D124"/>
    <mergeCell ref="B135:B159"/>
    <mergeCell ref="C135:C159"/>
    <mergeCell ref="C86:C95"/>
    <mergeCell ref="B86:B95"/>
    <mergeCell ref="D135:D158"/>
    <mergeCell ref="D86:D94"/>
    <mergeCell ref="B126:B134"/>
    <mergeCell ref="C126:C134"/>
    <mergeCell ref="B96:B109"/>
    <mergeCell ref="C96:C109"/>
    <mergeCell ref="B110:B125"/>
    <mergeCell ref="C110:C125"/>
  </mergeCells>
  <conditionalFormatting sqref="G50:R63">
    <cfRule type="expression" dxfId="43" priority="2" stopIfTrue="1">
      <formula>$G50=""</formula>
    </cfRule>
  </conditionalFormatting>
  <conditionalFormatting sqref="E5:F159">
    <cfRule type="expression" dxfId="42" priority="1">
      <formula>$G5=""</formula>
    </cfRule>
  </conditionalFormatting>
  <pageMargins left="0.23622047244094491" right="0.23622047244094491" top="0.35433070866141736" bottom="0.15748031496062992" header="0.31496062992125984" footer="0.31496062992125984"/>
  <pageSetup paperSize="8" scale="45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B233"/>
  <sheetViews>
    <sheetView view="pageBreakPreview" zoomScale="90" zoomScaleNormal="55" zoomScaleSheetLayoutView="90" workbookViewId="0">
      <pane xSplit="6" ySplit="4" topLeftCell="G5" activePane="bottomRight" state="frozen"/>
      <selection activeCell="B2" sqref="B2:B4"/>
      <selection pane="topRight" activeCell="B2" sqref="B2:B4"/>
      <selection pane="bottomLeft" activeCell="B2" sqref="B2:B4"/>
      <selection pane="bottomRight" activeCell="B2" sqref="B2:B4"/>
    </sheetView>
  </sheetViews>
  <sheetFormatPr baseColWidth="10" defaultRowHeight="15"/>
  <cols>
    <col min="1" max="1" width="3" style="793" customWidth="1"/>
    <col min="2" max="2" width="33.7109375" style="777" customWidth="1"/>
    <col min="3" max="3" width="11.5703125" style="778" customWidth="1"/>
    <col min="4" max="4" width="8.42578125" style="778" customWidth="1"/>
    <col min="5" max="5" width="44.85546875" style="777" customWidth="1"/>
    <col min="6" max="6" width="11.140625" style="778" customWidth="1"/>
    <col min="7" max="7" width="11.42578125" style="778"/>
    <col min="8" max="8" width="11.42578125" style="778" customWidth="1"/>
    <col min="9" max="9" width="11.42578125" style="779" customWidth="1"/>
    <col min="10" max="10" width="11.42578125" style="780" customWidth="1"/>
    <col min="11" max="11" width="11.42578125" style="779" customWidth="1"/>
    <col min="12" max="12" width="11.42578125" style="780" customWidth="1"/>
    <col min="13" max="13" width="11.42578125" style="779" customWidth="1"/>
    <col min="14" max="14" width="11.42578125" style="780" customWidth="1"/>
    <col min="15" max="22" width="7.5703125" style="778" customWidth="1"/>
    <col min="23" max="23" width="5.28515625" style="778" customWidth="1"/>
    <col min="24" max="25" width="11.42578125" style="777"/>
    <col min="26" max="27" width="11.42578125" style="777" customWidth="1"/>
    <col min="28" max="28" width="0" style="778" hidden="1" customWidth="1"/>
    <col min="29" max="16384" width="11.42578125" style="777"/>
  </cols>
  <sheetData>
    <row r="1" spans="1:28" s="793" customFormat="1" ht="17.25" customHeight="1" thickBot="1">
      <c r="C1" s="795"/>
      <c r="D1" s="795"/>
      <c r="E1" s="795">
        <v>7</v>
      </c>
      <c r="F1" s="795"/>
      <c r="G1" s="795"/>
      <c r="H1" s="795"/>
      <c r="I1" s="796"/>
      <c r="J1" s="797"/>
      <c r="K1" s="796"/>
      <c r="L1" s="797"/>
      <c r="M1" s="796"/>
      <c r="N1" s="797"/>
      <c r="O1" s="795"/>
      <c r="P1" s="795"/>
      <c r="Q1" s="795"/>
      <c r="R1" s="795"/>
      <c r="S1" s="795"/>
      <c r="T1" s="795"/>
      <c r="U1" s="795"/>
      <c r="V1" s="795"/>
      <c r="W1" s="795"/>
      <c r="AB1" s="795"/>
    </row>
    <row r="2" spans="1:28" s="782" customFormat="1" ht="30" customHeight="1" thickBot="1">
      <c r="A2" s="794" t="s">
        <v>106</v>
      </c>
      <c r="B2" s="1003" t="s">
        <v>53</v>
      </c>
      <c r="C2" s="1006" t="s">
        <v>74</v>
      </c>
      <c r="D2" s="1006" t="s">
        <v>69</v>
      </c>
      <c r="E2" s="999" t="s">
        <v>79</v>
      </c>
      <c r="F2" s="995" t="s">
        <v>59</v>
      </c>
      <c r="G2" s="1020" t="s">
        <v>54</v>
      </c>
      <c r="H2" s="1005"/>
      <c r="I2" s="1021" t="s">
        <v>55</v>
      </c>
      <c r="J2" s="998" t="s">
        <v>63</v>
      </c>
      <c r="K2" s="1021" t="s">
        <v>56</v>
      </c>
      <c r="L2" s="998" t="s">
        <v>65</v>
      </c>
      <c r="M2" s="1021" t="s">
        <v>57</v>
      </c>
      <c r="N2" s="998" t="s">
        <v>64</v>
      </c>
      <c r="O2" s="1004" t="s">
        <v>39</v>
      </c>
      <c r="P2" s="1005"/>
      <c r="Q2" s="1004" t="s">
        <v>40</v>
      </c>
      <c r="R2" s="1005"/>
      <c r="S2" s="1004" t="s">
        <v>41</v>
      </c>
      <c r="T2" s="1005"/>
      <c r="U2" s="995" t="s">
        <v>42</v>
      </c>
      <c r="V2" s="1019"/>
      <c r="W2" s="829"/>
      <c r="AB2" s="920"/>
    </row>
    <row r="3" spans="1:28" s="782" customFormat="1" ht="30" customHeight="1" thickBot="1">
      <c r="A3" s="794" t="s">
        <v>106</v>
      </c>
      <c r="B3" s="1003"/>
      <c r="C3" s="1006"/>
      <c r="D3" s="1006"/>
      <c r="E3" s="999"/>
      <c r="F3" s="996"/>
      <c r="G3" s="814"/>
      <c r="H3" s="811"/>
      <c r="I3" s="1021"/>
      <c r="J3" s="998"/>
      <c r="K3" s="1021"/>
      <c r="L3" s="998"/>
      <c r="M3" s="1021"/>
      <c r="N3" s="998"/>
      <c r="O3" s="810"/>
      <c r="P3" s="811"/>
      <c r="Q3" s="810"/>
      <c r="R3" s="811"/>
      <c r="S3" s="810"/>
      <c r="T3" s="811"/>
      <c r="U3" s="812"/>
      <c r="V3" s="813"/>
      <c r="W3" s="829"/>
      <c r="AB3" s="920"/>
    </row>
    <row r="4" spans="1:28" s="782" customFormat="1" ht="30" customHeight="1" thickBot="1">
      <c r="A4" s="794" t="s">
        <v>106</v>
      </c>
      <c r="B4" s="1003"/>
      <c r="C4" s="1006"/>
      <c r="D4" s="1006"/>
      <c r="E4" s="999"/>
      <c r="F4" s="997"/>
      <c r="G4" s="786" t="s">
        <v>43</v>
      </c>
      <c r="H4" s="787" t="s">
        <v>44</v>
      </c>
      <c r="I4" s="1021"/>
      <c r="J4" s="998"/>
      <c r="K4" s="1021"/>
      <c r="L4" s="998"/>
      <c r="M4" s="1021"/>
      <c r="N4" s="998"/>
      <c r="O4" s="788" t="s">
        <v>43</v>
      </c>
      <c r="P4" s="787" t="s">
        <v>44</v>
      </c>
      <c r="Q4" s="788" t="s">
        <v>43</v>
      </c>
      <c r="R4" s="787" t="s">
        <v>44</v>
      </c>
      <c r="S4" s="788" t="s">
        <v>43</v>
      </c>
      <c r="T4" s="787" t="s">
        <v>44</v>
      </c>
      <c r="U4" s="788" t="s">
        <v>43</v>
      </c>
      <c r="V4" s="789" t="s">
        <v>44</v>
      </c>
      <c r="W4" s="829"/>
      <c r="AB4" s="920">
        <v>2020</v>
      </c>
    </row>
    <row r="5" spans="1:28" ht="15.75" customHeight="1">
      <c r="A5" s="793" t="str">
        <f t="shared" ref="A5:A49" si="0">IF(D5="Sous-total","S",IF(G5="","","X"))</f>
        <v/>
      </c>
      <c r="B5" s="1012" t="s">
        <v>70</v>
      </c>
      <c r="C5" s="1015" t="s">
        <v>75</v>
      </c>
      <c r="D5" s="1000">
        <v>2</v>
      </c>
      <c r="E5" s="628" t="s">
        <v>71</v>
      </c>
      <c r="F5" s="631" t="s">
        <v>60</v>
      </c>
      <c r="G5" s="752"/>
      <c r="H5" s="753"/>
      <c r="I5" s="924" t="str">
        <f t="shared" ref="I5:I45" si="1">IF(J5="","",J5/G5)</f>
        <v/>
      </c>
      <c r="J5" s="754"/>
      <c r="K5" s="923" t="str">
        <f t="shared" ref="K5:K49" si="2">IF(L5="","",L5/G5)</f>
        <v/>
      </c>
      <c r="L5" s="754"/>
      <c r="M5" s="923" t="str">
        <f t="shared" ref="M5:M49" si="3">IF(N5="","",N5/L5)</f>
        <v/>
      </c>
      <c r="N5" s="754"/>
      <c r="O5" s="755"/>
      <c r="P5" s="756"/>
      <c r="Q5" s="755"/>
      <c r="R5" s="756"/>
      <c r="S5" s="757" t="s">
        <v>21</v>
      </c>
      <c r="T5" s="758" t="s">
        <v>21</v>
      </c>
      <c r="U5" s="757" t="s">
        <v>21</v>
      </c>
      <c r="V5" s="759" t="s">
        <v>21</v>
      </c>
      <c r="W5" s="830"/>
      <c r="AB5" s="778" t="str">
        <f>IF(G5&lt;&gt;"",$F5,"")</f>
        <v/>
      </c>
    </row>
    <row r="6" spans="1:28" ht="15.75" customHeight="1">
      <c r="A6" s="793" t="str">
        <f t="shared" si="0"/>
        <v/>
      </c>
      <c r="B6" s="1013"/>
      <c r="C6" s="1016"/>
      <c r="D6" s="991"/>
      <c r="E6" s="961" t="s">
        <v>166</v>
      </c>
      <c r="F6" s="847"/>
      <c r="G6" s="848"/>
      <c r="H6" s="849"/>
      <c r="I6" s="747"/>
      <c r="J6" s="851"/>
      <c r="K6" s="850"/>
      <c r="L6" s="851"/>
      <c r="M6" s="850"/>
      <c r="N6" s="851"/>
      <c r="O6" s="838"/>
      <c r="P6" s="839"/>
      <c r="Q6" s="838"/>
      <c r="R6" s="839"/>
      <c r="S6" s="724" t="s">
        <v>21</v>
      </c>
      <c r="T6" s="725" t="s">
        <v>21</v>
      </c>
      <c r="U6" s="724" t="s">
        <v>21</v>
      </c>
      <c r="V6" s="726" t="s">
        <v>21</v>
      </c>
      <c r="W6" s="830"/>
    </row>
    <row r="7" spans="1:28" ht="15.75" customHeight="1">
      <c r="A7" s="793" t="str">
        <f t="shared" si="0"/>
        <v/>
      </c>
      <c r="B7" s="1013"/>
      <c r="C7" s="1016"/>
      <c r="D7" s="991"/>
      <c r="E7" s="962" t="s">
        <v>166</v>
      </c>
      <c r="F7" s="912"/>
      <c r="G7" s="853"/>
      <c r="H7" s="854"/>
      <c r="I7" s="748"/>
      <c r="J7" s="856"/>
      <c r="K7" s="855"/>
      <c r="L7" s="856"/>
      <c r="M7" s="855"/>
      <c r="N7" s="856"/>
      <c r="O7" s="840"/>
      <c r="P7" s="841"/>
      <c r="Q7" s="840"/>
      <c r="R7" s="841"/>
      <c r="S7" s="727" t="s">
        <v>21</v>
      </c>
      <c r="T7" s="728" t="s">
        <v>21</v>
      </c>
      <c r="U7" s="727" t="s">
        <v>21</v>
      </c>
      <c r="V7" s="729" t="s">
        <v>21</v>
      </c>
      <c r="W7" s="830"/>
    </row>
    <row r="8" spans="1:28" ht="15.75">
      <c r="A8" s="793" t="str">
        <f t="shared" si="0"/>
        <v>S</v>
      </c>
      <c r="B8" s="1013"/>
      <c r="C8" s="1017"/>
      <c r="D8" s="873" t="s">
        <v>138</v>
      </c>
      <c r="E8" s="896"/>
      <c r="F8" s="792"/>
      <c r="G8" s="858">
        <f>SUM(G5:G7)</f>
        <v>0</v>
      </c>
      <c r="H8" s="816">
        <f>SUM(H5:H7)</f>
        <v>0</v>
      </c>
      <c r="I8" s="785" t="e">
        <f t="shared" si="1"/>
        <v>#DIV/0!</v>
      </c>
      <c r="J8" s="827">
        <f>SUM(J5:J7)</f>
        <v>0</v>
      </c>
      <c r="K8" s="785" t="e">
        <f t="shared" si="2"/>
        <v>#DIV/0!</v>
      </c>
      <c r="L8" s="827">
        <f>SUM(L5:L7)</f>
        <v>0</v>
      </c>
      <c r="M8" s="785" t="e">
        <f t="shared" si="3"/>
        <v>#DIV/0!</v>
      </c>
      <c r="N8" s="827">
        <f t="shared" ref="N8:V8" si="4">SUM(N5:N7)</f>
        <v>0</v>
      </c>
      <c r="O8" s="815">
        <f t="shared" si="4"/>
        <v>0</v>
      </c>
      <c r="P8" s="816">
        <f t="shared" si="4"/>
        <v>0</v>
      </c>
      <c r="Q8" s="815">
        <f t="shared" si="4"/>
        <v>0</v>
      </c>
      <c r="R8" s="816">
        <f t="shared" si="4"/>
        <v>0</v>
      </c>
      <c r="S8" s="815">
        <f t="shared" si="4"/>
        <v>0</v>
      </c>
      <c r="T8" s="816">
        <f t="shared" si="4"/>
        <v>0</v>
      </c>
      <c r="U8" s="815">
        <f t="shared" si="4"/>
        <v>0</v>
      </c>
      <c r="V8" s="817">
        <f t="shared" si="4"/>
        <v>0</v>
      </c>
      <c r="W8" s="830"/>
    </row>
    <row r="9" spans="1:28" ht="15.75" customHeight="1">
      <c r="A9" s="793" t="str">
        <f t="shared" si="0"/>
        <v/>
      </c>
      <c r="B9" s="1013" t="s">
        <v>163</v>
      </c>
      <c r="C9" s="1016" t="s">
        <v>75</v>
      </c>
      <c r="D9" s="991"/>
      <c r="E9" s="901" t="s">
        <v>164</v>
      </c>
      <c r="F9" s="842" t="s">
        <v>60</v>
      </c>
      <c r="G9" s="843"/>
      <c r="H9" s="844"/>
      <c r="I9" s="909" t="str">
        <f t="shared" si="1"/>
        <v/>
      </c>
      <c r="J9" s="846"/>
      <c r="K9" s="845" t="str">
        <f t="shared" si="2"/>
        <v/>
      </c>
      <c r="L9" s="846"/>
      <c r="M9" s="845" t="str">
        <f t="shared" si="3"/>
        <v/>
      </c>
      <c r="N9" s="846"/>
      <c r="O9" s="836"/>
      <c r="P9" s="837"/>
      <c r="Q9" s="836"/>
      <c r="R9" s="837"/>
      <c r="S9" s="721" t="s">
        <v>21</v>
      </c>
      <c r="T9" s="722" t="s">
        <v>21</v>
      </c>
      <c r="U9" s="721" t="s">
        <v>21</v>
      </c>
      <c r="V9" s="723" t="s">
        <v>21</v>
      </c>
      <c r="W9" s="830" t="s">
        <v>206</v>
      </c>
      <c r="AB9" s="778" t="str">
        <f t="shared" ref="AB9:AB89" si="5">IF(G9&lt;&gt;"",$F9,"")</f>
        <v/>
      </c>
    </row>
    <row r="10" spans="1:28" ht="15.75" customHeight="1">
      <c r="A10" s="793" t="str">
        <f t="shared" si="0"/>
        <v/>
      </c>
      <c r="B10" s="1013"/>
      <c r="C10" s="1016"/>
      <c r="D10" s="991"/>
      <c r="E10" s="902"/>
      <c r="F10" s="847"/>
      <c r="G10" s="848"/>
      <c r="H10" s="849"/>
      <c r="I10" s="747"/>
      <c r="J10" s="851"/>
      <c r="K10" s="850"/>
      <c r="L10" s="851"/>
      <c r="M10" s="850"/>
      <c r="N10" s="851"/>
      <c r="O10" s="838"/>
      <c r="P10" s="839"/>
      <c r="Q10" s="838"/>
      <c r="R10" s="839"/>
      <c r="S10" s="724" t="s">
        <v>21</v>
      </c>
      <c r="T10" s="725" t="s">
        <v>21</v>
      </c>
      <c r="U10" s="724" t="s">
        <v>21</v>
      </c>
      <c r="V10" s="726" t="s">
        <v>21</v>
      </c>
      <c r="W10" s="830"/>
    </row>
    <row r="11" spans="1:28" ht="15.75" customHeight="1">
      <c r="A11" s="793" t="str">
        <f t="shared" si="0"/>
        <v/>
      </c>
      <c r="B11" s="1013"/>
      <c r="C11" s="1016"/>
      <c r="D11" s="991"/>
      <c r="E11" s="911"/>
      <c r="F11" s="912"/>
      <c r="G11" s="853"/>
      <c r="H11" s="854"/>
      <c r="I11" s="748"/>
      <c r="J11" s="856"/>
      <c r="K11" s="855"/>
      <c r="L11" s="856"/>
      <c r="M11" s="855"/>
      <c r="N11" s="856"/>
      <c r="O11" s="840"/>
      <c r="P11" s="841"/>
      <c r="Q11" s="840"/>
      <c r="R11" s="841"/>
      <c r="S11" s="727" t="s">
        <v>21</v>
      </c>
      <c r="T11" s="728" t="s">
        <v>21</v>
      </c>
      <c r="U11" s="727" t="s">
        <v>21</v>
      </c>
      <c r="V11" s="729" t="s">
        <v>21</v>
      </c>
      <c r="W11" s="830"/>
    </row>
    <row r="12" spans="1:28" ht="15.75">
      <c r="A12" s="793" t="str">
        <f t="shared" si="0"/>
        <v>S</v>
      </c>
      <c r="B12" s="1014"/>
      <c r="C12" s="1017"/>
      <c r="D12" s="873" t="s">
        <v>138</v>
      </c>
      <c r="E12" s="896"/>
      <c r="F12" s="792"/>
      <c r="G12" s="858">
        <f>SUM(G9:G11)</f>
        <v>0</v>
      </c>
      <c r="H12" s="816">
        <f>SUM(H9:H11)</f>
        <v>0</v>
      </c>
      <c r="I12" s="785" t="e">
        <f t="shared" ref="I12" si="6">IF(J12="","",J12/G12)</f>
        <v>#DIV/0!</v>
      </c>
      <c r="J12" s="827">
        <f>SUM(J9:J11)</f>
        <v>0</v>
      </c>
      <c r="K12" s="785" t="e">
        <f t="shared" ref="K12" si="7">IF(L12="","",L12/G12)</f>
        <v>#DIV/0!</v>
      </c>
      <c r="L12" s="827">
        <f>SUM(L9:L11)</f>
        <v>0</v>
      </c>
      <c r="M12" s="785" t="e">
        <f t="shared" ref="M12" si="8">IF(N12="","",N12/L12)</f>
        <v>#DIV/0!</v>
      </c>
      <c r="N12" s="827">
        <f t="shared" ref="N12" si="9">SUM(N9:N11)</f>
        <v>0</v>
      </c>
      <c r="O12" s="815">
        <f t="shared" ref="O12" si="10">SUM(O9:O11)</f>
        <v>0</v>
      </c>
      <c r="P12" s="816">
        <f t="shared" ref="P12" si="11">SUM(P9:P11)</f>
        <v>0</v>
      </c>
      <c r="Q12" s="815">
        <f t="shared" ref="Q12" si="12">SUM(Q9:Q11)</f>
        <v>0</v>
      </c>
      <c r="R12" s="816">
        <f t="shared" ref="R12" si="13">SUM(R9:R11)</f>
        <v>0</v>
      </c>
      <c r="S12" s="815">
        <f t="shared" ref="S12" si="14">SUM(S9:S11)</f>
        <v>0</v>
      </c>
      <c r="T12" s="816">
        <f t="shared" ref="T12" si="15">SUM(T9:T11)</f>
        <v>0</v>
      </c>
      <c r="U12" s="815">
        <f t="shared" ref="U12" si="16">SUM(U9:U11)</f>
        <v>0</v>
      </c>
      <c r="V12" s="817">
        <f t="shared" ref="V12" si="17">SUM(V9:V11)</f>
        <v>0</v>
      </c>
      <c r="W12" s="830" t="s">
        <v>206</v>
      </c>
    </row>
    <row r="13" spans="1:28" ht="15" customHeight="1">
      <c r="A13" s="793" t="str">
        <f t="shared" si="0"/>
        <v/>
      </c>
      <c r="B13" s="1007" t="s">
        <v>168</v>
      </c>
      <c r="C13" s="1009" t="s">
        <v>75</v>
      </c>
      <c r="D13" s="1001">
        <v>18</v>
      </c>
      <c r="E13" s="901" t="s">
        <v>182</v>
      </c>
      <c r="F13" s="842" t="s">
        <v>60</v>
      </c>
      <c r="G13" s="763"/>
      <c r="H13" s="764"/>
      <c r="I13" s="909" t="str">
        <f t="shared" si="1"/>
        <v/>
      </c>
      <c r="J13" s="765"/>
      <c r="K13" s="845" t="str">
        <f t="shared" si="2"/>
        <v/>
      </c>
      <c r="L13" s="765"/>
      <c r="M13" s="845" t="str">
        <f t="shared" si="3"/>
        <v/>
      </c>
      <c r="N13" s="846"/>
      <c r="O13" s="836"/>
      <c r="P13" s="837"/>
      <c r="Q13" s="836"/>
      <c r="R13" s="837"/>
      <c r="S13" s="721"/>
      <c r="T13" s="722"/>
      <c r="U13" s="721"/>
      <c r="V13" s="723"/>
      <c r="W13" s="830" t="s">
        <v>206</v>
      </c>
      <c r="AB13" s="778" t="str">
        <f t="shared" si="5"/>
        <v/>
      </c>
    </row>
    <row r="14" spans="1:28" ht="15" customHeight="1">
      <c r="A14" s="793" t="str">
        <f t="shared" si="0"/>
        <v/>
      </c>
      <c r="B14" s="1007"/>
      <c r="C14" s="1009"/>
      <c r="D14" s="1001"/>
      <c r="E14" s="902" t="s">
        <v>183</v>
      </c>
      <c r="F14" s="847" t="s">
        <v>60</v>
      </c>
      <c r="G14" s="749"/>
      <c r="H14" s="750"/>
      <c r="I14" s="910" t="str">
        <f t="shared" si="1"/>
        <v/>
      </c>
      <c r="J14" s="751"/>
      <c r="K14" s="850" t="str">
        <f t="shared" si="2"/>
        <v/>
      </c>
      <c r="L14" s="751"/>
      <c r="M14" s="850" t="str">
        <f t="shared" si="3"/>
        <v/>
      </c>
      <c r="N14" s="851"/>
      <c r="O14" s="838"/>
      <c r="P14" s="839"/>
      <c r="Q14" s="838"/>
      <c r="R14" s="839"/>
      <c r="S14" s="724"/>
      <c r="T14" s="725"/>
      <c r="U14" s="724"/>
      <c r="V14" s="726"/>
      <c r="W14" s="830" t="s">
        <v>206</v>
      </c>
      <c r="AB14" s="778" t="str">
        <f t="shared" si="5"/>
        <v/>
      </c>
    </row>
    <row r="15" spans="1:28" ht="15" customHeight="1">
      <c r="A15" s="793" t="str">
        <f t="shared" si="0"/>
        <v/>
      </c>
      <c r="B15" s="1007"/>
      <c r="C15" s="1009"/>
      <c r="D15" s="1001"/>
      <c r="E15" s="902" t="s">
        <v>184</v>
      </c>
      <c r="F15" s="847" t="s">
        <v>60</v>
      </c>
      <c r="G15" s="749"/>
      <c r="H15" s="750"/>
      <c r="I15" s="910" t="str">
        <f t="shared" si="1"/>
        <v/>
      </c>
      <c r="J15" s="751"/>
      <c r="K15" s="850" t="str">
        <f t="shared" si="2"/>
        <v/>
      </c>
      <c r="L15" s="751"/>
      <c r="M15" s="850" t="str">
        <f t="shared" si="3"/>
        <v/>
      </c>
      <c r="N15" s="851"/>
      <c r="O15" s="838"/>
      <c r="P15" s="839"/>
      <c r="Q15" s="838"/>
      <c r="R15" s="839"/>
      <c r="S15" s="724"/>
      <c r="T15" s="725"/>
      <c r="U15" s="724"/>
      <c r="V15" s="726"/>
      <c r="W15" s="830" t="s">
        <v>206</v>
      </c>
      <c r="AB15" s="778" t="str">
        <f t="shared" si="5"/>
        <v/>
      </c>
    </row>
    <row r="16" spans="1:28" ht="15" customHeight="1">
      <c r="A16" s="793" t="str">
        <f t="shared" si="0"/>
        <v/>
      </c>
      <c r="B16" s="1007"/>
      <c r="C16" s="1009"/>
      <c r="D16" s="1001"/>
      <c r="E16" s="902" t="s">
        <v>185</v>
      </c>
      <c r="F16" s="847" t="s">
        <v>60</v>
      </c>
      <c r="G16" s="749"/>
      <c r="H16" s="750"/>
      <c r="I16" s="910" t="str">
        <f t="shared" si="1"/>
        <v/>
      </c>
      <c r="J16" s="751"/>
      <c r="K16" s="850" t="str">
        <f t="shared" si="2"/>
        <v/>
      </c>
      <c r="L16" s="751"/>
      <c r="M16" s="850" t="str">
        <f t="shared" si="3"/>
        <v/>
      </c>
      <c r="N16" s="851"/>
      <c r="O16" s="838"/>
      <c r="P16" s="839"/>
      <c r="Q16" s="838"/>
      <c r="R16" s="839"/>
      <c r="S16" s="724"/>
      <c r="T16" s="725"/>
      <c r="U16" s="724"/>
      <c r="V16" s="726"/>
      <c r="W16" s="830" t="s">
        <v>206</v>
      </c>
      <c r="AB16" s="778" t="str">
        <f t="shared" si="5"/>
        <v/>
      </c>
    </row>
    <row r="17" spans="1:28" ht="15" customHeight="1">
      <c r="A17" s="793" t="str">
        <f t="shared" si="0"/>
        <v/>
      </c>
      <c r="B17" s="1007"/>
      <c r="C17" s="1009"/>
      <c r="D17" s="1001"/>
      <c r="E17" s="902" t="s">
        <v>186</v>
      </c>
      <c r="F17" s="847" t="s">
        <v>60</v>
      </c>
      <c r="G17" s="749"/>
      <c r="H17" s="750"/>
      <c r="I17" s="910" t="str">
        <f t="shared" si="1"/>
        <v/>
      </c>
      <c r="J17" s="751"/>
      <c r="K17" s="850" t="str">
        <f t="shared" si="2"/>
        <v/>
      </c>
      <c r="L17" s="751"/>
      <c r="M17" s="850" t="str">
        <f t="shared" si="3"/>
        <v/>
      </c>
      <c r="N17" s="851"/>
      <c r="O17" s="838"/>
      <c r="P17" s="839"/>
      <c r="Q17" s="838"/>
      <c r="R17" s="839"/>
      <c r="S17" s="724"/>
      <c r="T17" s="725"/>
      <c r="U17" s="724"/>
      <c r="V17" s="726"/>
      <c r="W17" s="830" t="s">
        <v>206</v>
      </c>
      <c r="AB17" s="778" t="str">
        <f t="shared" si="5"/>
        <v/>
      </c>
    </row>
    <row r="18" spans="1:28" ht="15" customHeight="1">
      <c r="A18" s="793" t="str">
        <f t="shared" si="0"/>
        <v/>
      </c>
      <c r="B18" s="1007"/>
      <c r="C18" s="1009"/>
      <c r="D18" s="1001"/>
      <c r="E18" s="902" t="s">
        <v>187</v>
      </c>
      <c r="F18" s="847" t="s">
        <v>62</v>
      </c>
      <c r="G18" s="749"/>
      <c r="H18" s="750"/>
      <c r="I18" s="910" t="str">
        <f t="shared" si="1"/>
        <v/>
      </c>
      <c r="J18" s="751"/>
      <c r="K18" s="850" t="str">
        <f t="shared" si="2"/>
        <v/>
      </c>
      <c r="L18" s="751"/>
      <c r="M18" s="850" t="str">
        <f t="shared" si="3"/>
        <v/>
      </c>
      <c r="N18" s="851"/>
      <c r="O18" s="838"/>
      <c r="P18" s="839"/>
      <c r="Q18" s="838"/>
      <c r="R18" s="839"/>
      <c r="S18" s="867"/>
      <c r="T18" s="868"/>
      <c r="U18" s="867"/>
      <c r="V18" s="869"/>
      <c r="W18" s="830" t="s">
        <v>206</v>
      </c>
      <c r="AB18" s="778" t="str">
        <f t="shared" si="5"/>
        <v/>
      </c>
    </row>
    <row r="19" spans="1:28" ht="15" customHeight="1">
      <c r="A19" s="793" t="str">
        <f t="shared" si="0"/>
        <v/>
      </c>
      <c r="B19" s="1007"/>
      <c r="C19" s="1009"/>
      <c r="D19" s="1001"/>
      <c r="E19" s="902" t="s">
        <v>188</v>
      </c>
      <c r="F19" s="847" t="s">
        <v>60</v>
      </c>
      <c r="G19" s="749"/>
      <c r="H19" s="750"/>
      <c r="I19" s="910" t="str">
        <f t="shared" si="1"/>
        <v/>
      </c>
      <c r="J19" s="751"/>
      <c r="K19" s="850" t="str">
        <f t="shared" si="2"/>
        <v/>
      </c>
      <c r="L19" s="751"/>
      <c r="M19" s="850" t="str">
        <f t="shared" si="3"/>
        <v/>
      </c>
      <c r="N19" s="851"/>
      <c r="O19" s="838"/>
      <c r="P19" s="839"/>
      <c r="Q19" s="838"/>
      <c r="R19" s="839"/>
      <c r="S19" s="724"/>
      <c r="T19" s="725"/>
      <c r="U19" s="724"/>
      <c r="V19" s="726"/>
      <c r="W19" s="830" t="s">
        <v>206</v>
      </c>
      <c r="AB19" s="778" t="str">
        <f t="shared" si="5"/>
        <v/>
      </c>
    </row>
    <row r="20" spans="1:28" ht="15" customHeight="1">
      <c r="A20" s="793" t="str">
        <f t="shared" si="0"/>
        <v/>
      </c>
      <c r="B20" s="1007"/>
      <c r="C20" s="1009"/>
      <c r="D20" s="1001"/>
      <c r="E20" s="902" t="s">
        <v>189</v>
      </c>
      <c r="F20" s="847" t="s">
        <v>60</v>
      </c>
      <c r="G20" s="749"/>
      <c r="H20" s="750"/>
      <c r="I20" s="910" t="str">
        <f t="shared" si="1"/>
        <v/>
      </c>
      <c r="J20" s="751"/>
      <c r="K20" s="850" t="str">
        <f t="shared" si="2"/>
        <v/>
      </c>
      <c r="L20" s="751"/>
      <c r="M20" s="850" t="str">
        <f t="shared" si="3"/>
        <v/>
      </c>
      <c r="N20" s="851"/>
      <c r="O20" s="838"/>
      <c r="P20" s="839"/>
      <c r="Q20" s="838"/>
      <c r="R20" s="839"/>
      <c r="S20" s="724"/>
      <c r="T20" s="725"/>
      <c r="U20" s="724"/>
      <c r="V20" s="726"/>
      <c r="W20" s="830" t="s">
        <v>206</v>
      </c>
      <c r="AB20" s="778" t="str">
        <f t="shared" si="5"/>
        <v/>
      </c>
    </row>
    <row r="21" spans="1:28" ht="15" customHeight="1">
      <c r="A21" s="793" t="str">
        <f t="shared" si="0"/>
        <v/>
      </c>
      <c r="B21" s="1007"/>
      <c r="C21" s="1009"/>
      <c r="D21" s="1001"/>
      <c r="E21" s="902" t="s">
        <v>190</v>
      </c>
      <c r="F21" s="847" t="s">
        <v>60</v>
      </c>
      <c r="G21" s="749"/>
      <c r="H21" s="750"/>
      <c r="I21" s="910" t="str">
        <f t="shared" si="1"/>
        <v/>
      </c>
      <c r="J21" s="751"/>
      <c r="K21" s="850" t="str">
        <f t="shared" si="2"/>
        <v/>
      </c>
      <c r="L21" s="751"/>
      <c r="M21" s="850" t="str">
        <f t="shared" si="3"/>
        <v/>
      </c>
      <c r="N21" s="851"/>
      <c r="O21" s="838"/>
      <c r="P21" s="839"/>
      <c r="Q21" s="838"/>
      <c r="R21" s="839"/>
      <c r="S21" s="724"/>
      <c r="T21" s="725"/>
      <c r="U21" s="724"/>
      <c r="V21" s="726"/>
      <c r="W21" s="830" t="s">
        <v>206</v>
      </c>
      <c r="AB21" s="778" t="str">
        <f t="shared" si="5"/>
        <v/>
      </c>
    </row>
    <row r="22" spans="1:28" ht="15" customHeight="1">
      <c r="A22" s="793" t="str">
        <f t="shared" si="0"/>
        <v/>
      </c>
      <c r="B22" s="1007"/>
      <c r="C22" s="1009"/>
      <c r="D22" s="1001"/>
      <c r="E22" s="902" t="s">
        <v>191</v>
      </c>
      <c r="F22" s="847" t="s">
        <v>60</v>
      </c>
      <c r="G22" s="749"/>
      <c r="H22" s="750"/>
      <c r="I22" s="910" t="str">
        <f t="shared" si="1"/>
        <v/>
      </c>
      <c r="J22" s="751"/>
      <c r="K22" s="850" t="str">
        <f t="shared" si="2"/>
        <v/>
      </c>
      <c r="L22" s="751"/>
      <c r="M22" s="850" t="str">
        <f t="shared" si="3"/>
        <v/>
      </c>
      <c r="N22" s="851"/>
      <c r="O22" s="838"/>
      <c r="P22" s="839"/>
      <c r="Q22" s="838"/>
      <c r="R22" s="839"/>
      <c r="S22" s="724"/>
      <c r="T22" s="725"/>
      <c r="U22" s="724"/>
      <c r="V22" s="726"/>
      <c r="W22" s="830" t="s">
        <v>206</v>
      </c>
      <c r="X22" s="975"/>
      <c r="AB22" s="778" t="str">
        <f t="shared" si="5"/>
        <v/>
      </c>
    </row>
    <row r="23" spans="1:28" ht="15" customHeight="1">
      <c r="A23" s="793" t="str">
        <f t="shared" si="0"/>
        <v/>
      </c>
      <c r="B23" s="1007"/>
      <c r="C23" s="1009"/>
      <c r="D23" s="1001"/>
      <c r="E23" s="902" t="s">
        <v>192</v>
      </c>
      <c r="F23" s="847" t="s">
        <v>60</v>
      </c>
      <c r="G23" s="749"/>
      <c r="H23" s="750"/>
      <c r="I23" s="910" t="str">
        <f t="shared" si="1"/>
        <v/>
      </c>
      <c r="J23" s="751"/>
      <c r="K23" s="850" t="str">
        <f t="shared" si="2"/>
        <v/>
      </c>
      <c r="L23" s="751"/>
      <c r="M23" s="850" t="str">
        <f t="shared" si="3"/>
        <v/>
      </c>
      <c r="N23" s="851"/>
      <c r="O23" s="838"/>
      <c r="P23" s="839"/>
      <c r="Q23" s="838"/>
      <c r="R23" s="839"/>
      <c r="S23" s="724"/>
      <c r="T23" s="725"/>
      <c r="U23" s="724"/>
      <c r="V23" s="726"/>
      <c r="W23" s="830" t="s">
        <v>206</v>
      </c>
      <c r="AB23" s="778" t="str">
        <f t="shared" si="5"/>
        <v/>
      </c>
    </row>
    <row r="24" spans="1:28" ht="15" customHeight="1">
      <c r="A24" s="793" t="str">
        <f t="shared" si="0"/>
        <v/>
      </c>
      <c r="B24" s="1007"/>
      <c r="C24" s="1009"/>
      <c r="D24" s="1001"/>
      <c r="E24" s="902" t="s">
        <v>193</v>
      </c>
      <c r="F24" s="847" t="s">
        <v>60</v>
      </c>
      <c r="G24" s="749"/>
      <c r="H24" s="750"/>
      <c r="I24" s="910" t="str">
        <f t="shared" si="1"/>
        <v/>
      </c>
      <c r="J24" s="751"/>
      <c r="K24" s="850" t="str">
        <f t="shared" si="2"/>
        <v/>
      </c>
      <c r="L24" s="751"/>
      <c r="M24" s="850" t="str">
        <f t="shared" si="3"/>
        <v/>
      </c>
      <c r="N24" s="851"/>
      <c r="O24" s="838"/>
      <c r="P24" s="839"/>
      <c r="Q24" s="838"/>
      <c r="R24" s="839"/>
      <c r="S24" s="724"/>
      <c r="T24" s="725"/>
      <c r="U24" s="724"/>
      <c r="V24" s="726"/>
      <c r="W24" s="830" t="s">
        <v>206</v>
      </c>
      <c r="AB24" s="778" t="str">
        <f t="shared" si="5"/>
        <v/>
      </c>
    </row>
    <row r="25" spans="1:28" ht="15" customHeight="1">
      <c r="A25" s="793" t="str">
        <f t="shared" si="0"/>
        <v/>
      </c>
      <c r="B25" s="1007"/>
      <c r="C25" s="1009"/>
      <c r="D25" s="1001"/>
      <c r="E25" s="902" t="s">
        <v>194</v>
      </c>
      <c r="F25" s="847" t="s">
        <v>60</v>
      </c>
      <c r="G25" s="749"/>
      <c r="H25" s="750"/>
      <c r="I25" s="910" t="str">
        <f t="shared" si="1"/>
        <v/>
      </c>
      <c r="J25" s="751"/>
      <c r="K25" s="850" t="str">
        <f t="shared" si="2"/>
        <v/>
      </c>
      <c r="L25" s="751"/>
      <c r="M25" s="850" t="str">
        <f t="shared" si="3"/>
        <v/>
      </c>
      <c r="N25" s="851"/>
      <c r="O25" s="838"/>
      <c r="P25" s="839"/>
      <c r="Q25" s="838"/>
      <c r="R25" s="839"/>
      <c r="S25" s="724"/>
      <c r="T25" s="725"/>
      <c r="U25" s="724"/>
      <c r="V25" s="726"/>
      <c r="W25" s="830" t="s">
        <v>206</v>
      </c>
      <c r="AB25" s="778" t="str">
        <f t="shared" si="5"/>
        <v/>
      </c>
    </row>
    <row r="26" spans="1:28" ht="15" customHeight="1">
      <c r="A26" s="793" t="str">
        <f t="shared" si="0"/>
        <v/>
      </c>
      <c r="B26" s="1007"/>
      <c r="C26" s="1009"/>
      <c r="D26" s="1001"/>
      <c r="E26" s="902" t="s">
        <v>195</v>
      </c>
      <c r="F26" s="847" t="s">
        <v>60</v>
      </c>
      <c r="G26" s="749"/>
      <c r="H26" s="750"/>
      <c r="I26" s="910" t="str">
        <f t="shared" si="1"/>
        <v/>
      </c>
      <c r="J26" s="751"/>
      <c r="K26" s="850" t="str">
        <f t="shared" si="2"/>
        <v/>
      </c>
      <c r="L26" s="751"/>
      <c r="M26" s="850" t="str">
        <f t="shared" si="3"/>
        <v/>
      </c>
      <c r="N26" s="851"/>
      <c r="O26" s="838"/>
      <c r="P26" s="839"/>
      <c r="Q26" s="838"/>
      <c r="R26" s="839"/>
      <c r="S26" s="724"/>
      <c r="T26" s="725"/>
      <c r="U26" s="724"/>
      <c r="V26" s="726"/>
      <c r="W26" s="830" t="s">
        <v>206</v>
      </c>
      <c r="AB26" s="778" t="str">
        <f t="shared" si="5"/>
        <v/>
      </c>
    </row>
    <row r="27" spans="1:28" ht="15" customHeight="1">
      <c r="A27" s="793" t="str">
        <f t="shared" si="0"/>
        <v/>
      </c>
      <c r="B27" s="1007"/>
      <c r="C27" s="1009"/>
      <c r="D27" s="1001"/>
      <c r="E27" s="902" t="s">
        <v>196</v>
      </c>
      <c r="F27" s="847" t="s">
        <v>60</v>
      </c>
      <c r="G27" s="749"/>
      <c r="H27" s="750"/>
      <c r="I27" s="910" t="str">
        <f t="shared" si="1"/>
        <v/>
      </c>
      <c r="J27" s="751"/>
      <c r="K27" s="850" t="str">
        <f t="shared" si="2"/>
        <v/>
      </c>
      <c r="L27" s="751"/>
      <c r="M27" s="850" t="str">
        <f t="shared" si="3"/>
        <v/>
      </c>
      <c r="N27" s="851"/>
      <c r="O27" s="838"/>
      <c r="P27" s="839"/>
      <c r="Q27" s="838"/>
      <c r="R27" s="839"/>
      <c r="S27" s="724"/>
      <c r="T27" s="725"/>
      <c r="U27" s="724"/>
      <c r="V27" s="726"/>
      <c r="W27" s="830" t="s">
        <v>206</v>
      </c>
      <c r="AB27" s="778" t="str">
        <f t="shared" si="5"/>
        <v/>
      </c>
    </row>
    <row r="28" spans="1:28" ht="15" customHeight="1">
      <c r="A28" s="793" t="str">
        <f t="shared" si="0"/>
        <v/>
      </c>
      <c r="B28" s="1007"/>
      <c r="C28" s="1009"/>
      <c r="D28" s="1001"/>
      <c r="E28" s="902" t="s">
        <v>197</v>
      </c>
      <c r="F28" s="847" t="s">
        <v>62</v>
      </c>
      <c r="G28" s="848"/>
      <c r="H28" s="849"/>
      <c r="I28" s="910" t="str">
        <f t="shared" si="1"/>
        <v/>
      </c>
      <c r="J28" s="851"/>
      <c r="K28" s="850" t="str">
        <f t="shared" si="2"/>
        <v/>
      </c>
      <c r="L28" s="851"/>
      <c r="M28" s="850" t="str">
        <f t="shared" si="3"/>
        <v/>
      </c>
      <c r="N28" s="851"/>
      <c r="O28" s="838"/>
      <c r="P28" s="839"/>
      <c r="Q28" s="838"/>
      <c r="R28" s="839"/>
      <c r="S28" s="867"/>
      <c r="T28" s="868"/>
      <c r="U28" s="867"/>
      <c r="V28" s="869"/>
      <c r="W28" s="830" t="s">
        <v>206</v>
      </c>
      <c r="AB28" s="778" t="str">
        <f t="shared" si="5"/>
        <v/>
      </c>
    </row>
    <row r="29" spans="1:28" ht="15" customHeight="1">
      <c r="A29" s="793" t="str">
        <f t="shared" si="0"/>
        <v/>
      </c>
      <c r="B29" s="1007"/>
      <c r="C29" s="1009"/>
      <c r="D29" s="1001"/>
      <c r="E29" s="961" t="s">
        <v>166</v>
      </c>
      <c r="F29" s="847"/>
      <c r="G29" s="848"/>
      <c r="H29" s="849"/>
      <c r="I29" s="747"/>
      <c r="J29" s="851"/>
      <c r="K29" s="850"/>
      <c r="L29" s="851"/>
      <c r="M29" s="850"/>
      <c r="N29" s="851"/>
      <c r="O29" s="838"/>
      <c r="P29" s="839"/>
      <c r="Q29" s="838"/>
      <c r="R29" s="839"/>
      <c r="S29" s="724"/>
      <c r="T29" s="725"/>
      <c r="U29" s="724"/>
      <c r="V29" s="726"/>
      <c r="W29" s="830"/>
    </row>
    <row r="30" spans="1:28" ht="15" customHeight="1">
      <c r="A30" s="793" t="str">
        <f t="shared" si="0"/>
        <v/>
      </c>
      <c r="B30" s="1007"/>
      <c r="C30" s="1009"/>
      <c r="D30" s="1001"/>
      <c r="E30" s="961" t="s">
        <v>166</v>
      </c>
      <c r="F30" s="847"/>
      <c r="G30" s="848"/>
      <c r="H30" s="849"/>
      <c r="I30" s="747"/>
      <c r="J30" s="851"/>
      <c r="K30" s="850"/>
      <c r="L30" s="851"/>
      <c r="M30" s="850"/>
      <c r="N30" s="851"/>
      <c r="O30" s="838"/>
      <c r="P30" s="839"/>
      <c r="Q30" s="838"/>
      <c r="R30" s="839"/>
      <c r="S30" s="724"/>
      <c r="T30" s="725"/>
      <c r="U30" s="724"/>
      <c r="V30" s="726"/>
      <c r="W30" s="830"/>
    </row>
    <row r="31" spans="1:28" ht="15" customHeight="1">
      <c r="A31" s="793" t="str">
        <f t="shared" si="0"/>
        <v/>
      </c>
      <c r="B31" s="1007"/>
      <c r="C31" s="1009"/>
      <c r="D31" s="1001"/>
      <c r="E31" s="961" t="s">
        <v>166</v>
      </c>
      <c r="F31" s="847"/>
      <c r="G31" s="848"/>
      <c r="H31" s="849"/>
      <c r="I31" s="747"/>
      <c r="J31" s="851"/>
      <c r="K31" s="850"/>
      <c r="L31" s="851"/>
      <c r="M31" s="850"/>
      <c r="N31" s="851"/>
      <c r="O31" s="838"/>
      <c r="P31" s="839"/>
      <c r="Q31" s="838"/>
      <c r="R31" s="839"/>
      <c r="S31" s="724"/>
      <c r="T31" s="725"/>
      <c r="U31" s="724"/>
      <c r="V31" s="726"/>
      <c r="W31" s="830"/>
    </row>
    <row r="32" spans="1:28" ht="15" customHeight="1">
      <c r="A32" s="793" t="str">
        <f t="shared" si="0"/>
        <v/>
      </c>
      <c r="B32" s="1007"/>
      <c r="C32" s="1009"/>
      <c r="D32" s="1001"/>
      <c r="E32" s="961" t="s">
        <v>166</v>
      </c>
      <c r="F32" s="847"/>
      <c r="G32" s="848"/>
      <c r="H32" s="849"/>
      <c r="I32" s="747"/>
      <c r="J32" s="851"/>
      <c r="K32" s="850"/>
      <c r="L32" s="851"/>
      <c r="M32" s="850"/>
      <c r="N32" s="851"/>
      <c r="O32" s="838"/>
      <c r="P32" s="839"/>
      <c r="Q32" s="838"/>
      <c r="R32" s="839"/>
      <c r="S32" s="724"/>
      <c r="T32" s="725"/>
      <c r="U32" s="724"/>
      <c r="V32" s="726"/>
      <c r="W32" s="830"/>
    </row>
    <row r="33" spans="1:28" ht="15" customHeight="1">
      <c r="A33" s="793" t="str">
        <f t="shared" si="0"/>
        <v/>
      </c>
      <c r="B33" s="1007"/>
      <c r="C33" s="1009"/>
      <c r="D33" s="1001"/>
      <c r="E33" s="962" t="s">
        <v>166</v>
      </c>
      <c r="F33" s="912"/>
      <c r="G33" s="853"/>
      <c r="H33" s="854"/>
      <c r="I33" s="748"/>
      <c r="J33" s="856"/>
      <c r="K33" s="855"/>
      <c r="L33" s="856"/>
      <c r="M33" s="855"/>
      <c r="N33" s="856"/>
      <c r="O33" s="840"/>
      <c r="P33" s="841"/>
      <c r="Q33" s="840"/>
      <c r="R33" s="841"/>
      <c r="S33" s="727"/>
      <c r="T33" s="728"/>
      <c r="U33" s="727"/>
      <c r="V33" s="729"/>
      <c r="W33" s="830"/>
    </row>
    <row r="34" spans="1:28" ht="15.75">
      <c r="A34" s="793" t="str">
        <f t="shared" si="0"/>
        <v>S</v>
      </c>
      <c r="B34" s="1007"/>
      <c r="C34" s="1010"/>
      <c r="D34" s="873" t="s">
        <v>138</v>
      </c>
      <c r="E34" s="896"/>
      <c r="F34" s="792"/>
      <c r="G34" s="783">
        <f>SUM(G13:G33)</f>
        <v>0</v>
      </c>
      <c r="H34" s="784">
        <f>SUM(H13:H33)</f>
        <v>0</v>
      </c>
      <c r="I34" s="785" t="e">
        <f t="shared" si="1"/>
        <v>#DIV/0!</v>
      </c>
      <c r="J34" s="827">
        <f>SUM(J13:J33)</f>
        <v>0</v>
      </c>
      <c r="K34" s="785" t="e">
        <f t="shared" si="2"/>
        <v>#DIV/0!</v>
      </c>
      <c r="L34" s="827">
        <f>SUM(L13:L33)</f>
        <v>0</v>
      </c>
      <c r="M34" s="785" t="e">
        <f t="shared" si="3"/>
        <v>#DIV/0!</v>
      </c>
      <c r="N34" s="827">
        <f t="shared" ref="N34:V34" si="18">SUM(N13:N33)</f>
        <v>0</v>
      </c>
      <c r="O34" s="815">
        <f t="shared" si="18"/>
        <v>0</v>
      </c>
      <c r="P34" s="816">
        <f t="shared" si="18"/>
        <v>0</v>
      </c>
      <c r="Q34" s="815">
        <f t="shared" si="18"/>
        <v>0</v>
      </c>
      <c r="R34" s="816">
        <f t="shared" si="18"/>
        <v>0</v>
      </c>
      <c r="S34" s="815">
        <f t="shared" si="18"/>
        <v>0</v>
      </c>
      <c r="T34" s="816">
        <f t="shared" si="18"/>
        <v>0</v>
      </c>
      <c r="U34" s="815">
        <f t="shared" si="18"/>
        <v>0</v>
      </c>
      <c r="V34" s="817">
        <f t="shared" si="18"/>
        <v>0</v>
      </c>
      <c r="W34" s="830" t="s">
        <v>206</v>
      </c>
      <c r="AB34" s="778">
        <f t="shared" si="5"/>
        <v>0</v>
      </c>
    </row>
    <row r="35" spans="1:28" ht="15" customHeight="1">
      <c r="A35" s="793" t="str">
        <f t="shared" si="0"/>
        <v/>
      </c>
      <c r="B35" s="1007" t="s">
        <v>82</v>
      </c>
      <c r="C35" s="1009" t="s">
        <v>75</v>
      </c>
      <c r="D35" s="1001">
        <v>11</v>
      </c>
      <c r="E35" s="901" t="s">
        <v>13</v>
      </c>
      <c r="F35" s="842" t="s">
        <v>60</v>
      </c>
      <c r="G35" s="763"/>
      <c r="H35" s="764"/>
      <c r="I35" s="909" t="str">
        <f t="shared" si="1"/>
        <v/>
      </c>
      <c r="J35" s="765"/>
      <c r="K35" s="845" t="str">
        <f t="shared" si="2"/>
        <v/>
      </c>
      <c r="L35" s="765"/>
      <c r="M35" s="845" t="str">
        <f t="shared" si="3"/>
        <v/>
      </c>
      <c r="N35" s="846"/>
      <c r="O35" s="836"/>
      <c r="P35" s="837"/>
      <c r="Q35" s="836"/>
      <c r="R35" s="837"/>
      <c r="S35" s="721" t="s">
        <v>21</v>
      </c>
      <c r="T35" s="722" t="s">
        <v>21</v>
      </c>
      <c r="U35" s="721" t="s">
        <v>21</v>
      </c>
      <c r="V35" s="723" t="s">
        <v>21</v>
      </c>
      <c r="W35" s="830" t="s">
        <v>206</v>
      </c>
      <c r="AB35" s="778" t="str">
        <f t="shared" si="5"/>
        <v/>
      </c>
    </row>
    <row r="36" spans="1:28" ht="15" customHeight="1">
      <c r="A36" s="793" t="str">
        <f t="shared" si="0"/>
        <v/>
      </c>
      <c r="B36" s="1007"/>
      <c r="C36" s="1009"/>
      <c r="D36" s="1001"/>
      <c r="E36" s="902" t="s">
        <v>14</v>
      </c>
      <c r="F36" s="847" t="s">
        <v>60</v>
      </c>
      <c r="G36" s="749"/>
      <c r="H36" s="750"/>
      <c r="I36" s="910" t="str">
        <f t="shared" si="1"/>
        <v/>
      </c>
      <c r="J36" s="751"/>
      <c r="K36" s="850" t="str">
        <f t="shared" si="2"/>
        <v/>
      </c>
      <c r="L36" s="751"/>
      <c r="M36" s="850" t="str">
        <f t="shared" si="3"/>
        <v/>
      </c>
      <c r="N36" s="851"/>
      <c r="O36" s="838"/>
      <c r="P36" s="839"/>
      <c r="Q36" s="838"/>
      <c r="R36" s="839"/>
      <c r="S36" s="724" t="s">
        <v>21</v>
      </c>
      <c r="T36" s="725" t="s">
        <v>21</v>
      </c>
      <c r="U36" s="724" t="s">
        <v>21</v>
      </c>
      <c r="V36" s="726" t="s">
        <v>21</v>
      </c>
      <c r="W36" s="830" t="s">
        <v>206</v>
      </c>
      <c r="AB36" s="778" t="str">
        <f t="shared" si="5"/>
        <v/>
      </c>
    </row>
    <row r="37" spans="1:28" ht="15" customHeight="1">
      <c r="A37" s="793" t="str">
        <f t="shared" si="0"/>
        <v/>
      </c>
      <c r="B37" s="1007"/>
      <c r="C37" s="1009"/>
      <c r="D37" s="1001"/>
      <c r="E37" s="902" t="s">
        <v>15</v>
      </c>
      <c r="F37" s="847" t="s">
        <v>60</v>
      </c>
      <c r="G37" s="749"/>
      <c r="H37" s="750"/>
      <c r="I37" s="910" t="str">
        <f t="shared" si="1"/>
        <v/>
      </c>
      <c r="J37" s="751"/>
      <c r="K37" s="850" t="str">
        <f t="shared" si="2"/>
        <v/>
      </c>
      <c r="L37" s="751"/>
      <c r="M37" s="850" t="str">
        <f t="shared" si="3"/>
        <v/>
      </c>
      <c r="N37" s="851"/>
      <c r="O37" s="838"/>
      <c r="P37" s="839"/>
      <c r="Q37" s="838"/>
      <c r="R37" s="839"/>
      <c r="S37" s="724" t="s">
        <v>21</v>
      </c>
      <c r="T37" s="725" t="s">
        <v>21</v>
      </c>
      <c r="U37" s="724" t="s">
        <v>21</v>
      </c>
      <c r="V37" s="726" t="s">
        <v>21</v>
      </c>
      <c r="W37" s="830" t="s">
        <v>206</v>
      </c>
      <c r="AB37" s="778" t="str">
        <f t="shared" si="5"/>
        <v/>
      </c>
    </row>
    <row r="38" spans="1:28" ht="15" customHeight="1">
      <c r="A38" s="793" t="str">
        <f t="shared" si="0"/>
        <v/>
      </c>
      <c r="B38" s="1007"/>
      <c r="C38" s="1009"/>
      <c r="D38" s="1001"/>
      <c r="E38" s="902" t="s">
        <v>141</v>
      </c>
      <c r="F38" s="847" t="s">
        <v>60</v>
      </c>
      <c r="G38" s="749"/>
      <c r="H38" s="750"/>
      <c r="I38" s="910" t="str">
        <f t="shared" si="1"/>
        <v/>
      </c>
      <c r="J38" s="751"/>
      <c r="K38" s="850" t="str">
        <f t="shared" si="2"/>
        <v/>
      </c>
      <c r="L38" s="751"/>
      <c r="M38" s="850" t="str">
        <f t="shared" si="3"/>
        <v/>
      </c>
      <c r="N38" s="851"/>
      <c r="O38" s="838"/>
      <c r="P38" s="839"/>
      <c r="Q38" s="838"/>
      <c r="R38" s="839"/>
      <c r="S38" s="724" t="s">
        <v>21</v>
      </c>
      <c r="T38" s="725" t="s">
        <v>21</v>
      </c>
      <c r="U38" s="724" t="s">
        <v>21</v>
      </c>
      <c r="V38" s="726" t="s">
        <v>21</v>
      </c>
      <c r="W38" s="830" t="s">
        <v>206</v>
      </c>
      <c r="AB38" s="778" t="str">
        <f t="shared" si="5"/>
        <v/>
      </c>
    </row>
    <row r="39" spans="1:28" ht="15" customHeight="1">
      <c r="A39" s="793" t="str">
        <f t="shared" si="0"/>
        <v/>
      </c>
      <c r="B39" s="1007"/>
      <c r="C39" s="1009"/>
      <c r="D39" s="1001"/>
      <c r="E39" s="902" t="s">
        <v>16</v>
      </c>
      <c r="F39" s="847" t="s">
        <v>60</v>
      </c>
      <c r="G39" s="749"/>
      <c r="H39" s="750"/>
      <c r="I39" s="910" t="str">
        <f t="shared" si="1"/>
        <v/>
      </c>
      <c r="J39" s="751"/>
      <c r="K39" s="850" t="str">
        <f t="shared" si="2"/>
        <v/>
      </c>
      <c r="L39" s="751"/>
      <c r="M39" s="850" t="str">
        <f t="shared" si="3"/>
        <v/>
      </c>
      <c r="N39" s="851"/>
      <c r="O39" s="838"/>
      <c r="P39" s="839"/>
      <c r="Q39" s="838"/>
      <c r="R39" s="839"/>
      <c r="S39" s="724" t="s">
        <v>21</v>
      </c>
      <c r="T39" s="725" t="s">
        <v>21</v>
      </c>
      <c r="U39" s="724" t="s">
        <v>21</v>
      </c>
      <c r="V39" s="726" t="s">
        <v>21</v>
      </c>
      <c r="W39" s="830" t="s">
        <v>206</v>
      </c>
      <c r="AB39" s="778" t="str">
        <f t="shared" si="5"/>
        <v/>
      </c>
    </row>
    <row r="40" spans="1:28" ht="15" customHeight="1">
      <c r="A40" s="793" t="str">
        <f t="shared" si="0"/>
        <v/>
      </c>
      <c r="B40" s="1007"/>
      <c r="C40" s="1009"/>
      <c r="D40" s="1001"/>
      <c r="E40" s="902" t="s">
        <v>17</v>
      </c>
      <c r="F40" s="847" t="s">
        <v>60</v>
      </c>
      <c r="G40" s="749"/>
      <c r="H40" s="750"/>
      <c r="I40" s="910" t="str">
        <f t="shared" si="1"/>
        <v/>
      </c>
      <c r="J40" s="751"/>
      <c r="K40" s="850" t="str">
        <f t="shared" si="2"/>
        <v/>
      </c>
      <c r="L40" s="751"/>
      <c r="M40" s="850" t="str">
        <f t="shared" si="3"/>
        <v/>
      </c>
      <c r="N40" s="851"/>
      <c r="O40" s="838"/>
      <c r="P40" s="839"/>
      <c r="Q40" s="838"/>
      <c r="R40" s="839"/>
      <c r="S40" s="724" t="s">
        <v>21</v>
      </c>
      <c r="T40" s="725" t="s">
        <v>21</v>
      </c>
      <c r="U40" s="724" t="s">
        <v>21</v>
      </c>
      <c r="V40" s="726" t="s">
        <v>21</v>
      </c>
      <c r="W40" s="830" t="s">
        <v>206</v>
      </c>
      <c r="AB40" s="778" t="str">
        <f t="shared" si="5"/>
        <v/>
      </c>
    </row>
    <row r="41" spans="1:28" ht="15" customHeight="1">
      <c r="A41" s="793" t="str">
        <f t="shared" si="0"/>
        <v/>
      </c>
      <c r="B41" s="1007"/>
      <c r="C41" s="1009"/>
      <c r="D41" s="1001"/>
      <c r="E41" s="902" t="s">
        <v>18</v>
      </c>
      <c r="F41" s="847" t="s">
        <v>60</v>
      </c>
      <c r="G41" s="749"/>
      <c r="H41" s="750"/>
      <c r="I41" s="910" t="str">
        <f t="shared" si="1"/>
        <v/>
      </c>
      <c r="J41" s="751"/>
      <c r="K41" s="850" t="str">
        <f t="shared" si="2"/>
        <v/>
      </c>
      <c r="L41" s="751"/>
      <c r="M41" s="850" t="str">
        <f t="shared" si="3"/>
        <v/>
      </c>
      <c r="N41" s="851"/>
      <c r="O41" s="838"/>
      <c r="P41" s="839"/>
      <c r="Q41" s="838"/>
      <c r="R41" s="839"/>
      <c r="S41" s="724" t="s">
        <v>21</v>
      </c>
      <c r="T41" s="725" t="s">
        <v>21</v>
      </c>
      <c r="U41" s="724" t="s">
        <v>21</v>
      </c>
      <c r="V41" s="726" t="s">
        <v>21</v>
      </c>
      <c r="W41" s="830" t="s">
        <v>206</v>
      </c>
      <c r="AB41" s="778" t="str">
        <f t="shared" si="5"/>
        <v/>
      </c>
    </row>
    <row r="42" spans="1:28" ht="15" customHeight="1">
      <c r="A42" s="793" t="str">
        <f t="shared" si="0"/>
        <v/>
      </c>
      <c r="B42" s="1007"/>
      <c r="C42" s="1009"/>
      <c r="D42" s="1001"/>
      <c r="E42" s="902" t="s">
        <v>19</v>
      </c>
      <c r="F42" s="847" t="s">
        <v>60</v>
      </c>
      <c r="G42" s="749"/>
      <c r="H42" s="750"/>
      <c r="I42" s="910" t="str">
        <f t="shared" si="1"/>
        <v/>
      </c>
      <c r="J42" s="751"/>
      <c r="K42" s="850" t="str">
        <f t="shared" si="2"/>
        <v/>
      </c>
      <c r="L42" s="751"/>
      <c r="M42" s="850" t="str">
        <f t="shared" si="3"/>
        <v/>
      </c>
      <c r="N42" s="851"/>
      <c r="O42" s="838"/>
      <c r="P42" s="839"/>
      <c r="Q42" s="838"/>
      <c r="R42" s="839"/>
      <c r="S42" s="724" t="s">
        <v>21</v>
      </c>
      <c r="T42" s="725" t="s">
        <v>21</v>
      </c>
      <c r="U42" s="724" t="s">
        <v>21</v>
      </c>
      <c r="V42" s="726" t="s">
        <v>21</v>
      </c>
      <c r="W42" s="830" t="s">
        <v>206</v>
      </c>
      <c r="AB42" s="778" t="str">
        <f t="shared" si="5"/>
        <v/>
      </c>
    </row>
    <row r="43" spans="1:28" ht="15" customHeight="1">
      <c r="A43" s="793" t="str">
        <f t="shared" si="0"/>
        <v/>
      </c>
      <c r="B43" s="1007"/>
      <c r="C43" s="1009"/>
      <c r="D43" s="1001"/>
      <c r="E43" s="902" t="s">
        <v>169</v>
      </c>
      <c r="F43" s="847" t="s">
        <v>60</v>
      </c>
      <c r="G43" s="749"/>
      <c r="H43" s="750"/>
      <c r="I43" s="910" t="str">
        <f t="shared" si="1"/>
        <v/>
      </c>
      <c r="J43" s="751"/>
      <c r="K43" s="850" t="str">
        <f t="shared" si="2"/>
        <v/>
      </c>
      <c r="L43" s="751"/>
      <c r="M43" s="850" t="str">
        <f t="shared" si="3"/>
        <v/>
      </c>
      <c r="N43" s="851"/>
      <c r="O43" s="838"/>
      <c r="P43" s="839"/>
      <c r="Q43" s="838"/>
      <c r="R43" s="839"/>
      <c r="S43" s="724" t="s">
        <v>21</v>
      </c>
      <c r="T43" s="725" t="s">
        <v>21</v>
      </c>
      <c r="U43" s="724" t="s">
        <v>21</v>
      </c>
      <c r="V43" s="726" t="s">
        <v>21</v>
      </c>
      <c r="W43" s="830" t="s">
        <v>206</v>
      </c>
      <c r="AB43" s="778" t="str">
        <f t="shared" si="5"/>
        <v/>
      </c>
    </row>
    <row r="44" spans="1:28" ht="15" customHeight="1">
      <c r="A44" s="793" t="str">
        <f t="shared" si="0"/>
        <v/>
      </c>
      <c r="B44" s="1007"/>
      <c r="C44" s="1009"/>
      <c r="D44" s="1001"/>
      <c r="E44" s="902" t="s">
        <v>170</v>
      </c>
      <c r="F44" s="847" t="s">
        <v>60</v>
      </c>
      <c r="G44" s="749"/>
      <c r="H44" s="750"/>
      <c r="I44" s="910" t="str">
        <f t="shared" si="1"/>
        <v/>
      </c>
      <c r="J44" s="751"/>
      <c r="K44" s="850" t="str">
        <f t="shared" si="2"/>
        <v/>
      </c>
      <c r="L44" s="751"/>
      <c r="M44" s="850" t="str">
        <f t="shared" si="3"/>
        <v/>
      </c>
      <c r="N44" s="851"/>
      <c r="O44" s="838"/>
      <c r="P44" s="839"/>
      <c r="Q44" s="838"/>
      <c r="R44" s="839"/>
      <c r="S44" s="724" t="s">
        <v>21</v>
      </c>
      <c r="T44" s="725" t="s">
        <v>21</v>
      </c>
      <c r="U44" s="724" t="s">
        <v>21</v>
      </c>
      <c r="V44" s="726" t="s">
        <v>21</v>
      </c>
      <c r="W44" s="830" t="s">
        <v>206</v>
      </c>
      <c r="AB44" s="778" t="str">
        <f t="shared" si="5"/>
        <v/>
      </c>
    </row>
    <row r="45" spans="1:28" ht="15" customHeight="1">
      <c r="A45" s="793" t="str">
        <f t="shared" si="0"/>
        <v/>
      </c>
      <c r="B45" s="1007"/>
      <c r="C45" s="1009"/>
      <c r="D45" s="1001"/>
      <c r="E45" s="902" t="s">
        <v>5</v>
      </c>
      <c r="F45" s="847" t="s">
        <v>60</v>
      </c>
      <c r="G45" s="848"/>
      <c r="H45" s="849"/>
      <c r="I45" s="910" t="str">
        <f t="shared" si="1"/>
        <v/>
      </c>
      <c r="J45" s="851"/>
      <c r="K45" s="850" t="str">
        <f t="shared" si="2"/>
        <v/>
      </c>
      <c r="L45" s="851"/>
      <c r="M45" s="850" t="str">
        <f t="shared" si="3"/>
        <v/>
      </c>
      <c r="N45" s="851"/>
      <c r="O45" s="838"/>
      <c r="P45" s="839"/>
      <c r="Q45" s="838"/>
      <c r="R45" s="839"/>
      <c r="S45" s="724" t="s">
        <v>21</v>
      </c>
      <c r="T45" s="725" t="s">
        <v>21</v>
      </c>
      <c r="U45" s="724" t="s">
        <v>21</v>
      </c>
      <c r="V45" s="726" t="s">
        <v>21</v>
      </c>
      <c r="W45" s="830" t="s">
        <v>206</v>
      </c>
      <c r="AB45" s="778" t="str">
        <f t="shared" si="5"/>
        <v/>
      </c>
    </row>
    <row r="46" spans="1:28" ht="15" customHeight="1">
      <c r="A46" s="793" t="str">
        <f t="shared" si="0"/>
        <v/>
      </c>
      <c r="B46" s="1007"/>
      <c r="C46" s="1009"/>
      <c r="D46" s="1001"/>
      <c r="E46" s="961" t="s">
        <v>166</v>
      </c>
      <c r="F46" s="847"/>
      <c r="G46" s="848"/>
      <c r="H46" s="849"/>
      <c r="I46" s="747"/>
      <c r="J46" s="851"/>
      <c r="K46" s="850"/>
      <c r="L46" s="851"/>
      <c r="M46" s="850"/>
      <c r="N46" s="851"/>
      <c r="O46" s="838"/>
      <c r="P46" s="839"/>
      <c r="Q46" s="838"/>
      <c r="R46" s="839"/>
      <c r="S46" s="724" t="s">
        <v>21</v>
      </c>
      <c r="T46" s="725" t="s">
        <v>21</v>
      </c>
      <c r="U46" s="724" t="s">
        <v>21</v>
      </c>
      <c r="V46" s="726" t="s">
        <v>21</v>
      </c>
      <c r="W46" s="830"/>
    </row>
    <row r="47" spans="1:28" ht="15" customHeight="1">
      <c r="A47" s="793" t="str">
        <f t="shared" si="0"/>
        <v/>
      </c>
      <c r="B47" s="1007"/>
      <c r="C47" s="1009"/>
      <c r="D47" s="1001"/>
      <c r="E47" s="961" t="s">
        <v>166</v>
      </c>
      <c r="F47" s="847"/>
      <c r="G47" s="848"/>
      <c r="H47" s="849"/>
      <c r="I47" s="747"/>
      <c r="J47" s="851"/>
      <c r="K47" s="850"/>
      <c r="L47" s="851"/>
      <c r="M47" s="850"/>
      <c r="N47" s="851"/>
      <c r="O47" s="838"/>
      <c r="P47" s="839"/>
      <c r="Q47" s="838"/>
      <c r="R47" s="839"/>
      <c r="S47" s="724" t="s">
        <v>21</v>
      </c>
      <c r="T47" s="725" t="s">
        <v>21</v>
      </c>
      <c r="U47" s="724" t="s">
        <v>21</v>
      </c>
      <c r="V47" s="726" t="s">
        <v>21</v>
      </c>
      <c r="W47" s="830"/>
    </row>
    <row r="48" spans="1:28" ht="15" customHeight="1">
      <c r="A48" s="793" t="str">
        <f t="shared" si="0"/>
        <v/>
      </c>
      <c r="B48" s="1007"/>
      <c r="C48" s="1009"/>
      <c r="D48" s="1001"/>
      <c r="E48" s="962" t="s">
        <v>166</v>
      </c>
      <c r="F48" s="912"/>
      <c r="G48" s="853"/>
      <c r="H48" s="854"/>
      <c r="I48" s="748"/>
      <c r="J48" s="856"/>
      <c r="K48" s="855"/>
      <c r="L48" s="856"/>
      <c r="M48" s="855"/>
      <c r="N48" s="856"/>
      <c r="O48" s="840"/>
      <c r="P48" s="841"/>
      <c r="Q48" s="840"/>
      <c r="R48" s="841"/>
      <c r="S48" s="727" t="s">
        <v>21</v>
      </c>
      <c r="T48" s="728" t="s">
        <v>21</v>
      </c>
      <c r="U48" s="727" t="s">
        <v>21</v>
      </c>
      <c r="V48" s="729" t="s">
        <v>21</v>
      </c>
      <c r="W48" s="830"/>
    </row>
    <row r="49" spans="1:28" ht="15.75">
      <c r="A49" s="793" t="str">
        <f t="shared" si="0"/>
        <v>S</v>
      </c>
      <c r="B49" s="1007"/>
      <c r="C49" s="1010"/>
      <c r="D49" s="873" t="s">
        <v>138</v>
      </c>
      <c r="E49" s="896"/>
      <c r="F49" s="792"/>
      <c r="G49" s="783">
        <f>SUM(G35:G48)</f>
        <v>0</v>
      </c>
      <c r="H49" s="784">
        <f>SUM(H35:H48)</f>
        <v>0</v>
      </c>
      <c r="I49" s="785" t="e">
        <f>J49/G49</f>
        <v>#DIV/0!</v>
      </c>
      <c r="J49" s="827">
        <f>SUM(J35:J48)</f>
        <v>0</v>
      </c>
      <c r="K49" s="785" t="e">
        <f t="shared" si="2"/>
        <v>#DIV/0!</v>
      </c>
      <c r="L49" s="827">
        <f>SUM(L35:L48)</f>
        <v>0</v>
      </c>
      <c r="M49" s="785" t="e">
        <f t="shared" si="3"/>
        <v>#DIV/0!</v>
      </c>
      <c r="N49" s="827">
        <f t="shared" ref="N49:V49" si="19">SUM(N35:N48)</f>
        <v>0</v>
      </c>
      <c r="O49" s="815">
        <f t="shared" si="19"/>
        <v>0</v>
      </c>
      <c r="P49" s="816">
        <f t="shared" si="19"/>
        <v>0</v>
      </c>
      <c r="Q49" s="815">
        <f t="shared" si="19"/>
        <v>0</v>
      </c>
      <c r="R49" s="816">
        <f t="shared" si="19"/>
        <v>0</v>
      </c>
      <c r="S49" s="815">
        <f t="shared" si="19"/>
        <v>0</v>
      </c>
      <c r="T49" s="816">
        <f t="shared" si="19"/>
        <v>0</v>
      </c>
      <c r="U49" s="815">
        <f t="shared" si="19"/>
        <v>0</v>
      </c>
      <c r="V49" s="817">
        <f t="shared" si="19"/>
        <v>0</v>
      </c>
      <c r="W49" s="830" t="s">
        <v>206</v>
      </c>
      <c r="AB49" s="778">
        <f t="shared" si="5"/>
        <v>0</v>
      </c>
    </row>
    <row r="50" spans="1:28">
      <c r="A50" s="793" t="str">
        <f>IF(D50="Sous-total","S",IF(G50="","","X"))</f>
        <v/>
      </c>
      <c r="B50" s="1007" t="s">
        <v>83</v>
      </c>
      <c r="C50" s="1009" t="s">
        <v>75</v>
      </c>
      <c r="D50" s="991">
        <v>9</v>
      </c>
      <c r="E50" s="901" t="s">
        <v>10</v>
      </c>
      <c r="F50" s="842" t="s">
        <v>60</v>
      </c>
      <c r="G50" s="843"/>
      <c r="H50" s="844"/>
      <c r="I50" s="909" t="str">
        <f>IF(J50="","",J50/G50)</f>
        <v/>
      </c>
      <c r="J50" s="844"/>
      <c r="K50" s="845" t="str">
        <f>IF(L50="","",L50/G50)</f>
        <v/>
      </c>
      <c r="L50" s="846"/>
      <c r="M50" s="845" t="str">
        <f>IF(N50="","",N50/L50)</f>
        <v/>
      </c>
      <c r="N50" s="846"/>
      <c r="O50" s="836"/>
      <c r="P50" s="837"/>
      <c r="Q50" s="836"/>
      <c r="R50" s="837"/>
      <c r="S50" s="721" t="s">
        <v>21</v>
      </c>
      <c r="T50" s="722" t="s">
        <v>21</v>
      </c>
      <c r="U50" s="721" t="s">
        <v>21</v>
      </c>
      <c r="V50" s="723" t="s">
        <v>21</v>
      </c>
      <c r="W50" s="830" t="s">
        <v>206</v>
      </c>
      <c r="AB50" s="778" t="str">
        <f t="shared" si="5"/>
        <v/>
      </c>
    </row>
    <row r="51" spans="1:28">
      <c r="A51" s="793" t="str">
        <f t="shared" ref="A51:A113" si="20">IF(D51="Sous-total","S",IF(G51="","","X"))</f>
        <v/>
      </c>
      <c r="B51" s="1007"/>
      <c r="C51" s="1009"/>
      <c r="D51" s="991"/>
      <c r="E51" s="902" t="s">
        <v>11</v>
      </c>
      <c r="F51" s="847" t="s">
        <v>60</v>
      </c>
      <c r="G51" s="848"/>
      <c r="H51" s="849"/>
      <c r="I51" s="910" t="str">
        <f t="shared" ref="I51:I60" si="21">IF(J51="","",J51/G51)</f>
        <v/>
      </c>
      <c r="J51" s="849"/>
      <c r="K51" s="850" t="str">
        <f t="shared" ref="K51:K128" si="22">IF(L51="","",L51/G51)</f>
        <v/>
      </c>
      <c r="L51" s="851"/>
      <c r="M51" s="850" t="str">
        <f t="shared" ref="M51:M128" si="23">IF(N51="","",N51/L51)</f>
        <v/>
      </c>
      <c r="N51" s="851"/>
      <c r="O51" s="838"/>
      <c r="P51" s="839"/>
      <c r="Q51" s="838"/>
      <c r="R51" s="839"/>
      <c r="S51" s="724" t="s">
        <v>21</v>
      </c>
      <c r="T51" s="725" t="s">
        <v>21</v>
      </c>
      <c r="U51" s="724" t="s">
        <v>21</v>
      </c>
      <c r="V51" s="726" t="s">
        <v>21</v>
      </c>
      <c r="W51" s="830" t="s">
        <v>206</v>
      </c>
      <c r="AB51" s="778" t="str">
        <f t="shared" si="5"/>
        <v/>
      </c>
    </row>
    <row r="52" spans="1:28">
      <c r="A52" s="793" t="str">
        <f t="shared" si="20"/>
        <v/>
      </c>
      <c r="B52" s="1007"/>
      <c r="C52" s="1009"/>
      <c r="D52" s="991"/>
      <c r="E52" s="902" t="s">
        <v>12</v>
      </c>
      <c r="F52" s="847" t="s">
        <v>60</v>
      </c>
      <c r="G52" s="848"/>
      <c r="H52" s="849"/>
      <c r="I52" s="910" t="str">
        <f t="shared" si="21"/>
        <v/>
      </c>
      <c r="J52" s="849"/>
      <c r="K52" s="850" t="str">
        <f t="shared" si="22"/>
        <v/>
      </c>
      <c r="L52" s="851"/>
      <c r="M52" s="850" t="str">
        <f t="shared" si="23"/>
        <v/>
      </c>
      <c r="N52" s="851"/>
      <c r="O52" s="838"/>
      <c r="P52" s="839"/>
      <c r="Q52" s="838"/>
      <c r="R52" s="839"/>
      <c r="S52" s="724" t="s">
        <v>21</v>
      </c>
      <c r="T52" s="725" t="s">
        <v>21</v>
      </c>
      <c r="U52" s="724" t="s">
        <v>21</v>
      </c>
      <c r="V52" s="726" t="s">
        <v>21</v>
      </c>
      <c r="W52" s="830" t="s">
        <v>206</v>
      </c>
      <c r="AB52" s="778" t="str">
        <f t="shared" si="5"/>
        <v/>
      </c>
    </row>
    <row r="53" spans="1:28">
      <c r="A53" s="793" t="str">
        <f t="shared" si="20"/>
        <v/>
      </c>
      <c r="B53" s="1007"/>
      <c r="C53" s="1009"/>
      <c r="D53" s="991"/>
      <c r="E53" s="902" t="s">
        <v>7</v>
      </c>
      <c r="F53" s="847" t="s">
        <v>60</v>
      </c>
      <c r="G53" s="848"/>
      <c r="H53" s="849"/>
      <c r="I53" s="910" t="str">
        <f t="shared" si="21"/>
        <v/>
      </c>
      <c r="J53" s="849"/>
      <c r="K53" s="850" t="str">
        <f t="shared" si="22"/>
        <v/>
      </c>
      <c r="L53" s="851"/>
      <c r="M53" s="850" t="str">
        <f t="shared" si="23"/>
        <v/>
      </c>
      <c r="N53" s="851"/>
      <c r="O53" s="838"/>
      <c r="P53" s="839"/>
      <c r="Q53" s="838"/>
      <c r="R53" s="839"/>
      <c r="S53" s="724" t="s">
        <v>21</v>
      </c>
      <c r="T53" s="725" t="s">
        <v>21</v>
      </c>
      <c r="U53" s="724" t="s">
        <v>21</v>
      </c>
      <c r="V53" s="726" t="s">
        <v>21</v>
      </c>
      <c r="W53" s="830" t="s">
        <v>206</v>
      </c>
      <c r="AB53" s="778" t="str">
        <f t="shared" si="5"/>
        <v/>
      </c>
    </row>
    <row r="54" spans="1:28">
      <c r="A54" s="793" t="str">
        <f t="shared" si="20"/>
        <v/>
      </c>
      <c r="B54" s="1007"/>
      <c r="C54" s="1009"/>
      <c r="D54" s="991"/>
      <c r="E54" s="902" t="s">
        <v>132</v>
      </c>
      <c r="F54" s="847" t="s">
        <v>60</v>
      </c>
      <c r="G54" s="848"/>
      <c r="H54" s="849"/>
      <c r="I54" s="910" t="str">
        <f t="shared" si="21"/>
        <v/>
      </c>
      <c r="J54" s="849"/>
      <c r="K54" s="850" t="str">
        <f t="shared" si="22"/>
        <v/>
      </c>
      <c r="L54" s="851"/>
      <c r="M54" s="850" t="str">
        <f t="shared" si="23"/>
        <v/>
      </c>
      <c r="N54" s="851"/>
      <c r="O54" s="838"/>
      <c r="P54" s="839"/>
      <c r="Q54" s="838"/>
      <c r="R54" s="839"/>
      <c r="S54" s="724" t="s">
        <v>21</v>
      </c>
      <c r="T54" s="725" t="s">
        <v>21</v>
      </c>
      <c r="U54" s="724" t="s">
        <v>21</v>
      </c>
      <c r="V54" s="726" t="s">
        <v>21</v>
      </c>
      <c r="W54" s="830" t="s">
        <v>206</v>
      </c>
      <c r="AB54" s="778" t="str">
        <f t="shared" si="5"/>
        <v/>
      </c>
    </row>
    <row r="55" spans="1:28">
      <c r="A55" s="793" t="str">
        <f t="shared" si="20"/>
        <v/>
      </c>
      <c r="B55" s="1007"/>
      <c r="C55" s="1009"/>
      <c r="D55" s="991"/>
      <c r="E55" s="902" t="s">
        <v>8</v>
      </c>
      <c r="F55" s="847" t="s">
        <v>60</v>
      </c>
      <c r="G55" s="848"/>
      <c r="H55" s="849"/>
      <c r="I55" s="910" t="str">
        <f t="shared" si="21"/>
        <v/>
      </c>
      <c r="J55" s="849"/>
      <c r="K55" s="850" t="str">
        <f t="shared" si="22"/>
        <v/>
      </c>
      <c r="L55" s="851"/>
      <c r="M55" s="850" t="str">
        <f t="shared" si="23"/>
        <v/>
      </c>
      <c r="N55" s="851"/>
      <c r="O55" s="838"/>
      <c r="P55" s="839"/>
      <c r="Q55" s="838"/>
      <c r="R55" s="839"/>
      <c r="S55" s="724" t="s">
        <v>21</v>
      </c>
      <c r="T55" s="725" t="s">
        <v>21</v>
      </c>
      <c r="U55" s="724" t="s">
        <v>21</v>
      </c>
      <c r="V55" s="726" t="s">
        <v>21</v>
      </c>
      <c r="W55" s="830" t="s">
        <v>206</v>
      </c>
      <c r="AB55" s="778" t="str">
        <f t="shared" si="5"/>
        <v/>
      </c>
    </row>
    <row r="56" spans="1:28">
      <c r="A56" s="793" t="str">
        <f t="shared" si="20"/>
        <v/>
      </c>
      <c r="B56" s="1007"/>
      <c r="C56" s="1009"/>
      <c r="D56" s="991"/>
      <c r="E56" s="902" t="s">
        <v>6</v>
      </c>
      <c r="F56" s="847" t="s">
        <v>60</v>
      </c>
      <c r="G56" s="848"/>
      <c r="H56" s="849"/>
      <c r="I56" s="910" t="str">
        <f t="shared" si="21"/>
        <v/>
      </c>
      <c r="J56" s="849"/>
      <c r="K56" s="850" t="str">
        <f t="shared" si="22"/>
        <v/>
      </c>
      <c r="L56" s="851"/>
      <c r="M56" s="850" t="str">
        <f t="shared" si="23"/>
        <v/>
      </c>
      <c r="N56" s="851"/>
      <c r="O56" s="838"/>
      <c r="P56" s="839"/>
      <c r="Q56" s="838"/>
      <c r="R56" s="839"/>
      <c r="S56" s="724" t="s">
        <v>21</v>
      </c>
      <c r="T56" s="725" t="s">
        <v>21</v>
      </c>
      <c r="U56" s="724" t="s">
        <v>21</v>
      </c>
      <c r="V56" s="726" t="s">
        <v>21</v>
      </c>
      <c r="W56" s="830" t="s">
        <v>206</v>
      </c>
      <c r="AB56" s="778" t="str">
        <f t="shared" si="5"/>
        <v/>
      </c>
    </row>
    <row r="57" spans="1:28" ht="15" customHeight="1">
      <c r="A57" s="793" t="str">
        <f t="shared" si="20"/>
        <v/>
      </c>
      <c r="B57" s="1007"/>
      <c r="C57" s="1009"/>
      <c r="D57" s="991"/>
      <c r="E57" s="902" t="s">
        <v>228</v>
      </c>
      <c r="F57" s="847" t="s">
        <v>60</v>
      </c>
      <c r="G57" s="848"/>
      <c r="H57" s="849"/>
      <c r="I57" s="910" t="str">
        <f t="shared" si="21"/>
        <v/>
      </c>
      <c r="J57" s="849"/>
      <c r="K57" s="850" t="str">
        <f t="shared" si="22"/>
        <v/>
      </c>
      <c r="L57" s="851"/>
      <c r="M57" s="850" t="str">
        <f t="shared" si="23"/>
        <v/>
      </c>
      <c r="N57" s="851"/>
      <c r="O57" s="838"/>
      <c r="P57" s="839"/>
      <c r="Q57" s="838"/>
      <c r="R57" s="839"/>
      <c r="S57" s="724" t="s">
        <v>21</v>
      </c>
      <c r="T57" s="725" t="s">
        <v>21</v>
      </c>
      <c r="U57" s="724" t="s">
        <v>21</v>
      </c>
      <c r="V57" s="726" t="s">
        <v>21</v>
      </c>
      <c r="W57" s="830" t="s">
        <v>206</v>
      </c>
      <c r="AB57" s="778" t="str">
        <f t="shared" si="5"/>
        <v/>
      </c>
    </row>
    <row r="58" spans="1:28" ht="15" customHeight="1">
      <c r="A58" s="793" t="str">
        <f t="shared" si="20"/>
        <v/>
      </c>
      <c r="B58" s="1007"/>
      <c r="C58" s="1009"/>
      <c r="D58" s="991"/>
      <c r="E58" s="902" t="s">
        <v>229</v>
      </c>
      <c r="F58" s="847" t="s">
        <v>60</v>
      </c>
      <c r="G58" s="848"/>
      <c r="H58" s="849"/>
      <c r="I58" s="910" t="str">
        <f t="shared" si="21"/>
        <v/>
      </c>
      <c r="J58" s="849"/>
      <c r="K58" s="850" t="str">
        <f t="shared" si="22"/>
        <v/>
      </c>
      <c r="L58" s="851"/>
      <c r="M58" s="850" t="str">
        <f t="shared" si="23"/>
        <v/>
      </c>
      <c r="N58" s="851"/>
      <c r="O58" s="838"/>
      <c r="P58" s="839"/>
      <c r="Q58" s="838"/>
      <c r="R58" s="839"/>
      <c r="S58" s="724" t="s">
        <v>21</v>
      </c>
      <c r="T58" s="725" t="s">
        <v>21</v>
      </c>
      <c r="U58" s="724" t="s">
        <v>21</v>
      </c>
      <c r="V58" s="726" t="s">
        <v>21</v>
      </c>
      <c r="W58" s="830" t="s">
        <v>206</v>
      </c>
      <c r="AB58" s="778" t="str">
        <f t="shared" si="5"/>
        <v/>
      </c>
    </row>
    <row r="59" spans="1:28">
      <c r="A59" s="793" t="str">
        <f t="shared" si="20"/>
        <v/>
      </c>
      <c r="B59" s="1007"/>
      <c r="C59" s="1009"/>
      <c r="D59" s="991"/>
      <c r="E59" s="902" t="s">
        <v>198</v>
      </c>
      <c r="F59" s="847" t="s">
        <v>60</v>
      </c>
      <c r="G59" s="848"/>
      <c r="H59" s="849"/>
      <c r="I59" s="910" t="str">
        <f t="shared" si="21"/>
        <v/>
      </c>
      <c r="J59" s="849"/>
      <c r="K59" s="850" t="str">
        <f t="shared" si="22"/>
        <v/>
      </c>
      <c r="L59" s="851"/>
      <c r="M59" s="850" t="str">
        <f t="shared" si="23"/>
        <v/>
      </c>
      <c r="N59" s="851"/>
      <c r="O59" s="838"/>
      <c r="P59" s="839"/>
      <c r="Q59" s="838"/>
      <c r="R59" s="839"/>
      <c r="S59" s="724" t="s">
        <v>21</v>
      </c>
      <c r="T59" s="725" t="s">
        <v>21</v>
      </c>
      <c r="U59" s="724" t="s">
        <v>21</v>
      </c>
      <c r="V59" s="726" t="s">
        <v>21</v>
      </c>
      <c r="W59" s="830" t="s">
        <v>206</v>
      </c>
      <c r="AB59" s="778" t="str">
        <f t="shared" si="5"/>
        <v/>
      </c>
    </row>
    <row r="60" spans="1:28">
      <c r="A60" s="793" t="str">
        <f t="shared" si="20"/>
        <v/>
      </c>
      <c r="B60" s="1007"/>
      <c r="C60" s="1009"/>
      <c r="D60" s="991"/>
      <c r="E60" s="902" t="s">
        <v>9</v>
      </c>
      <c r="F60" s="847" t="s">
        <v>60</v>
      </c>
      <c r="G60" s="848"/>
      <c r="H60" s="849"/>
      <c r="I60" s="910" t="str">
        <f t="shared" si="21"/>
        <v/>
      </c>
      <c r="J60" s="849"/>
      <c r="K60" s="850" t="str">
        <f t="shared" si="22"/>
        <v/>
      </c>
      <c r="L60" s="851"/>
      <c r="M60" s="850" t="str">
        <f t="shared" si="23"/>
        <v/>
      </c>
      <c r="N60" s="851"/>
      <c r="O60" s="838"/>
      <c r="P60" s="839"/>
      <c r="Q60" s="838"/>
      <c r="R60" s="839"/>
      <c r="S60" s="724" t="s">
        <v>21</v>
      </c>
      <c r="T60" s="725" t="s">
        <v>21</v>
      </c>
      <c r="U60" s="724" t="s">
        <v>21</v>
      </c>
      <c r="V60" s="726" t="s">
        <v>21</v>
      </c>
      <c r="W60" s="830" t="s">
        <v>206</v>
      </c>
      <c r="AB60" s="778" t="str">
        <f t="shared" si="5"/>
        <v/>
      </c>
    </row>
    <row r="61" spans="1:28" ht="15.75" customHeight="1">
      <c r="A61" s="793" t="str">
        <f t="shared" si="20"/>
        <v/>
      </c>
      <c r="B61" s="1007"/>
      <c r="C61" s="1009"/>
      <c r="D61" s="991"/>
      <c r="E61" s="905" t="s">
        <v>166</v>
      </c>
      <c r="F61" s="847"/>
      <c r="G61" s="848"/>
      <c r="H61" s="849"/>
      <c r="I61" s="747"/>
      <c r="J61" s="849"/>
      <c r="K61" s="850"/>
      <c r="L61" s="851"/>
      <c r="M61" s="850"/>
      <c r="N61" s="851"/>
      <c r="O61" s="838"/>
      <c r="P61" s="839"/>
      <c r="Q61" s="838"/>
      <c r="R61" s="839"/>
      <c r="S61" s="724" t="s">
        <v>21</v>
      </c>
      <c r="T61" s="725" t="s">
        <v>21</v>
      </c>
      <c r="U61" s="724" t="s">
        <v>21</v>
      </c>
      <c r="V61" s="726" t="s">
        <v>21</v>
      </c>
      <c r="W61" s="830"/>
    </row>
    <row r="62" spans="1:28" ht="15.75" customHeight="1">
      <c r="A62" s="793" t="str">
        <f t="shared" si="20"/>
        <v/>
      </c>
      <c r="B62" s="1007"/>
      <c r="C62" s="1009"/>
      <c r="D62" s="991"/>
      <c r="E62" s="905" t="s">
        <v>166</v>
      </c>
      <c r="F62" s="847"/>
      <c r="G62" s="848"/>
      <c r="H62" s="849"/>
      <c r="I62" s="747"/>
      <c r="J62" s="849"/>
      <c r="K62" s="850"/>
      <c r="L62" s="851"/>
      <c r="M62" s="850"/>
      <c r="N62" s="851"/>
      <c r="O62" s="838"/>
      <c r="P62" s="839"/>
      <c r="Q62" s="838"/>
      <c r="R62" s="839"/>
      <c r="S62" s="724" t="s">
        <v>21</v>
      </c>
      <c r="T62" s="725" t="s">
        <v>21</v>
      </c>
      <c r="U62" s="724" t="s">
        <v>21</v>
      </c>
      <c r="V62" s="726" t="s">
        <v>21</v>
      </c>
      <c r="W62" s="830"/>
    </row>
    <row r="63" spans="1:28" ht="15.75" customHeight="1">
      <c r="A63" s="793" t="str">
        <f t="shared" si="20"/>
        <v/>
      </c>
      <c r="B63" s="1007"/>
      <c r="C63" s="1009"/>
      <c r="D63" s="991"/>
      <c r="E63" s="907" t="s">
        <v>166</v>
      </c>
      <c r="F63" s="912"/>
      <c r="G63" s="853"/>
      <c r="H63" s="854"/>
      <c r="I63" s="748"/>
      <c r="J63" s="854"/>
      <c r="K63" s="855"/>
      <c r="L63" s="856"/>
      <c r="M63" s="855"/>
      <c r="N63" s="856"/>
      <c r="O63" s="840"/>
      <c r="P63" s="841"/>
      <c r="Q63" s="840"/>
      <c r="R63" s="841"/>
      <c r="S63" s="727" t="s">
        <v>21</v>
      </c>
      <c r="T63" s="728" t="s">
        <v>21</v>
      </c>
      <c r="U63" s="727" t="s">
        <v>21</v>
      </c>
      <c r="V63" s="729" t="s">
        <v>21</v>
      </c>
      <c r="W63" s="830"/>
    </row>
    <row r="64" spans="1:28" ht="16.5" thickBot="1">
      <c r="A64" s="793" t="str">
        <f t="shared" si="20"/>
        <v>S</v>
      </c>
      <c r="B64" s="1008"/>
      <c r="C64" s="1011"/>
      <c r="D64" s="875" t="s">
        <v>138</v>
      </c>
      <c r="E64" s="913"/>
      <c r="F64" s="832"/>
      <c r="G64" s="783">
        <f>SUM(G50:G63)</f>
        <v>0</v>
      </c>
      <c r="H64" s="784">
        <f>SUM(H50:H63)</f>
        <v>0</v>
      </c>
      <c r="I64" s="785" t="e">
        <f>IF(J64="","",J64/G64)</f>
        <v>#DIV/0!</v>
      </c>
      <c r="J64" s="827">
        <f>SUM(J50:J63)</f>
        <v>0</v>
      </c>
      <c r="K64" s="785" t="e">
        <f t="shared" si="22"/>
        <v>#DIV/0!</v>
      </c>
      <c r="L64" s="827">
        <f>SUM(L50:L63)</f>
        <v>0</v>
      </c>
      <c r="M64" s="785" t="e">
        <f t="shared" si="23"/>
        <v>#DIV/0!</v>
      </c>
      <c r="N64" s="827">
        <f t="shared" ref="N64:V64" si="24">SUM(N50:N63)</f>
        <v>0</v>
      </c>
      <c r="O64" s="951">
        <f t="shared" si="24"/>
        <v>0</v>
      </c>
      <c r="P64" s="952">
        <f t="shared" si="24"/>
        <v>0</v>
      </c>
      <c r="Q64" s="951">
        <f t="shared" si="24"/>
        <v>0</v>
      </c>
      <c r="R64" s="952">
        <f t="shared" si="24"/>
        <v>0</v>
      </c>
      <c r="S64" s="951">
        <f t="shared" si="24"/>
        <v>0</v>
      </c>
      <c r="T64" s="952">
        <f t="shared" si="24"/>
        <v>0</v>
      </c>
      <c r="U64" s="951">
        <f t="shared" si="24"/>
        <v>0</v>
      </c>
      <c r="V64" s="953">
        <f t="shared" si="24"/>
        <v>0</v>
      </c>
      <c r="W64" s="830" t="s">
        <v>206</v>
      </c>
      <c r="AB64" s="778">
        <f t="shared" si="5"/>
        <v>0</v>
      </c>
    </row>
    <row r="65" spans="1:28" s="791" customFormat="1" ht="27.75" customHeight="1" thickBot="1">
      <c r="A65" s="793" t="str">
        <f t="shared" si="20"/>
        <v>X</v>
      </c>
      <c r="B65" s="808" t="s">
        <v>78</v>
      </c>
      <c r="C65" s="809"/>
      <c r="D65" s="809">
        <f>SUM(D5:D60)</f>
        <v>40</v>
      </c>
      <c r="E65" s="895" t="s">
        <v>79</v>
      </c>
      <c r="F65" s="894"/>
      <c r="G65" s="878">
        <f>G8+G12+G34+G49+G64</f>
        <v>0</v>
      </c>
      <c r="H65" s="879">
        <f>H8+H12+H34+H49+H64</f>
        <v>0</v>
      </c>
      <c r="I65" s="880" t="e">
        <f t="shared" ref="I65:I142" si="25">IF(J65="","",J65/G65)</f>
        <v>#DIV/0!</v>
      </c>
      <c r="J65" s="800">
        <f>J8+J12+J34+J49+J64</f>
        <v>0</v>
      </c>
      <c r="K65" s="831" t="e">
        <f t="shared" si="22"/>
        <v>#DIV/0!</v>
      </c>
      <c r="L65" s="800">
        <f>L8+L12+L34+L49+L64</f>
        <v>0</v>
      </c>
      <c r="M65" s="880" t="e">
        <f t="shared" si="23"/>
        <v>#DIV/0!</v>
      </c>
      <c r="N65" s="800">
        <f t="shared" ref="N65:V65" si="26">N8+N12+N34+N49+N64</f>
        <v>0</v>
      </c>
      <c r="O65" s="801">
        <f t="shared" si="26"/>
        <v>0</v>
      </c>
      <c r="P65" s="802">
        <f t="shared" si="26"/>
        <v>0</v>
      </c>
      <c r="Q65" s="801">
        <f t="shared" si="26"/>
        <v>0</v>
      </c>
      <c r="R65" s="802">
        <f t="shared" si="26"/>
        <v>0</v>
      </c>
      <c r="S65" s="863">
        <f t="shared" si="26"/>
        <v>0</v>
      </c>
      <c r="T65" s="862">
        <f t="shared" si="26"/>
        <v>0</v>
      </c>
      <c r="U65" s="863">
        <f t="shared" si="26"/>
        <v>0</v>
      </c>
      <c r="V65" s="877">
        <f t="shared" si="26"/>
        <v>0</v>
      </c>
      <c r="W65" s="925" t="s">
        <v>206</v>
      </c>
      <c r="X65" s="891"/>
      <c r="Y65" s="777"/>
      <c r="AB65" s="778">
        <f t="shared" si="5"/>
        <v>0</v>
      </c>
    </row>
    <row r="66" spans="1:28" ht="15" customHeight="1">
      <c r="A66" s="793" t="str">
        <f t="shared" si="20"/>
        <v/>
      </c>
      <c r="B66" s="1012" t="s">
        <v>84</v>
      </c>
      <c r="C66" s="1015" t="s">
        <v>76</v>
      </c>
      <c r="D66" s="1002">
        <v>10</v>
      </c>
      <c r="E66" s="921" t="s">
        <v>25</v>
      </c>
      <c r="F66" s="922" t="s">
        <v>60</v>
      </c>
      <c r="G66" s="843"/>
      <c r="H66" s="844"/>
      <c r="I66" s="845" t="str">
        <f t="shared" si="25"/>
        <v/>
      </c>
      <c r="J66" s="846"/>
      <c r="K66" s="845" t="str">
        <f t="shared" si="22"/>
        <v/>
      </c>
      <c r="L66" s="846"/>
      <c r="M66" s="845" t="str">
        <f t="shared" si="23"/>
        <v/>
      </c>
      <c r="N66" s="846"/>
      <c r="O66" s="836"/>
      <c r="P66" s="837"/>
      <c r="Q66" s="836"/>
      <c r="R66" s="837"/>
      <c r="S66" s="721"/>
      <c r="T66" s="722"/>
      <c r="U66" s="721"/>
      <c r="V66" s="723"/>
      <c r="W66" s="925" t="s">
        <v>206</v>
      </c>
      <c r="AB66" s="778" t="str">
        <f t="shared" si="5"/>
        <v/>
      </c>
    </row>
    <row r="67" spans="1:28" ht="15" customHeight="1">
      <c r="A67" s="793" t="str">
        <f t="shared" si="20"/>
        <v/>
      </c>
      <c r="B67" s="1013"/>
      <c r="C67" s="1016"/>
      <c r="D67" s="994"/>
      <c r="E67" s="905" t="s">
        <v>26</v>
      </c>
      <c r="F67" s="908" t="s">
        <v>60</v>
      </c>
      <c r="G67" s="848"/>
      <c r="H67" s="849"/>
      <c r="I67" s="850" t="str">
        <f t="shared" si="25"/>
        <v/>
      </c>
      <c r="J67" s="851"/>
      <c r="K67" s="850" t="str">
        <f t="shared" si="22"/>
        <v/>
      </c>
      <c r="L67" s="851"/>
      <c r="M67" s="850" t="str">
        <f t="shared" si="23"/>
        <v/>
      </c>
      <c r="N67" s="851"/>
      <c r="O67" s="838"/>
      <c r="P67" s="839"/>
      <c r="Q67" s="838"/>
      <c r="R67" s="839"/>
      <c r="S67" s="724"/>
      <c r="T67" s="725"/>
      <c r="U67" s="724"/>
      <c r="V67" s="726"/>
      <c r="W67" s="925" t="s">
        <v>206</v>
      </c>
      <c r="AB67" s="778" t="str">
        <f t="shared" si="5"/>
        <v/>
      </c>
    </row>
    <row r="68" spans="1:28" ht="15" customHeight="1">
      <c r="A68" s="793" t="str">
        <f t="shared" si="20"/>
        <v/>
      </c>
      <c r="B68" s="1013"/>
      <c r="C68" s="1016"/>
      <c r="D68" s="994"/>
      <c r="E68" s="905" t="s">
        <v>58</v>
      </c>
      <c r="F68" s="908" t="s">
        <v>60</v>
      </c>
      <c r="G68" s="848"/>
      <c r="H68" s="849"/>
      <c r="I68" s="850" t="str">
        <f t="shared" si="25"/>
        <v/>
      </c>
      <c r="J68" s="851"/>
      <c r="K68" s="850" t="str">
        <f t="shared" si="22"/>
        <v/>
      </c>
      <c r="L68" s="851"/>
      <c r="M68" s="850" t="str">
        <f t="shared" si="23"/>
        <v/>
      </c>
      <c r="N68" s="851"/>
      <c r="O68" s="838"/>
      <c r="P68" s="839"/>
      <c r="Q68" s="838"/>
      <c r="R68" s="839"/>
      <c r="S68" s="724" t="s">
        <v>21</v>
      </c>
      <c r="T68" s="725" t="s">
        <v>21</v>
      </c>
      <c r="U68" s="724" t="s">
        <v>21</v>
      </c>
      <c r="V68" s="726" t="s">
        <v>21</v>
      </c>
      <c r="W68" s="925" t="s">
        <v>206</v>
      </c>
      <c r="AB68" s="778" t="str">
        <f t="shared" si="5"/>
        <v/>
      </c>
    </row>
    <row r="69" spans="1:28" ht="15" customHeight="1">
      <c r="A69" s="793" t="str">
        <f t="shared" si="20"/>
        <v/>
      </c>
      <c r="B69" s="1013"/>
      <c r="C69" s="1016"/>
      <c r="D69" s="994"/>
      <c r="E69" s="905" t="s">
        <v>24</v>
      </c>
      <c r="F69" s="908" t="s">
        <v>62</v>
      </c>
      <c r="G69" s="848"/>
      <c r="H69" s="849"/>
      <c r="I69" s="850" t="str">
        <f t="shared" si="25"/>
        <v/>
      </c>
      <c r="J69" s="851"/>
      <c r="K69" s="850" t="str">
        <f t="shared" si="22"/>
        <v/>
      </c>
      <c r="L69" s="851"/>
      <c r="M69" s="850" t="str">
        <f t="shared" si="23"/>
        <v/>
      </c>
      <c r="N69" s="851"/>
      <c r="O69" s="838"/>
      <c r="P69" s="839"/>
      <c r="Q69" s="838"/>
      <c r="R69" s="839"/>
      <c r="S69" s="724"/>
      <c r="T69" s="725"/>
      <c r="U69" s="724"/>
      <c r="V69" s="726"/>
      <c r="W69" s="925" t="s">
        <v>206</v>
      </c>
      <c r="AB69" s="778" t="str">
        <f t="shared" si="5"/>
        <v/>
      </c>
    </row>
    <row r="70" spans="1:28" ht="15" customHeight="1">
      <c r="A70" s="793" t="str">
        <f t="shared" si="20"/>
        <v/>
      </c>
      <c r="B70" s="1013"/>
      <c r="C70" s="1016"/>
      <c r="D70" s="994"/>
      <c r="E70" s="905" t="s">
        <v>23</v>
      </c>
      <c r="F70" s="908" t="s">
        <v>60</v>
      </c>
      <c r="G70" s="848"/>
      <c r="H70" s="849"/>
      <c r="I70" s="850" t="str">
        <f t="shared" si="25"/>
        <v/>
      </c>
      <c r="J70" s="851"/>
      <c r="K70" s="850" t="str">
        <f t="shared" si="22"/>
        <v/>
      </c>
      <c r="L70" s="851"/>
      <c r="M70" s="850" t="str">
        <f t="shared" si="23"/>
        <v/>
      </c>
      <c r="N70" s="851"/>
      <c r="O70" s="838"/>
      <c r="P70" s="839"/>
      <c r="Q70" s="838"/>
      <c r="R70" s="839"/>
      <c r="S70" s="724" t="s">
        <v>21</v>
      </c>
      <c r="T70" s="725" t="s">
        <v>21</v>
      </c>
      <c r="U70" s="724" t="s">
        <v>21</v>
      </c>
      <c r="V70" s="726" t="s">
        <v>21</v>
      </c>
      <c r="W70" s="925" t="s">
        <v>206</v>
      </c>
      <c r="AB70" s="778" t="str">
        <f t="shared" si="5"/>
        <v/>
      </c>
    </row>
    <row r="71" spans="1:28" ht="15" customHeight="1">
      <c r="A71" s="793" t="str">
        <f t="shared" si="20"/>
        <v/>
      </c>
      <c r="B71" s="1013"/>
      <c r="C71" s="1016"/>
      <c r="D71" s="994"/>
      <c r="E71" s="961" t="s">
        <v>166</v>
      </c>
      <c r="F71" s="908" t="s">
        <v>203</v>
      </c>
      <c r="G71" s="848"/>
      <c r="H71" s="849"/>
      <c r="I71" s="850" t="str">
        <f t="shared" si="25"/>
        <v/>
      </c>
      <c r="J71" s="851"/>
      <c r="K71" s="850" t="str">
        <f t="shared" si="22"/>
        <v/>
      </c>
      <c r="L71" s="851"/>
      <c r="M71" s="850" t="str">
        <f t="shared" si="23"/>
        <v/>
      </c>
      <c r="N71" s="851"/>
      <c r="O71" s="838"/>
      <c r="P71" s="839"/>
      <c r="Q71" s="838"/>
      <c r="R71" s="839"/>
      <c r="S71" s="724"/>
      <c r="T71" s="725"/>
      <c r="U71" s="724"/>
      <c r="V71" s="726"/>
      <c r="W71" s="925" t="s">
        <v>206</v>
      </c>
      <c r="AB71" s="778" t="str">
        <f t="shared" si="5"/>
        <v/>
      </c>
    </row>
    <row r="72" spans="1:28" ht="15" customHeight="1">
      <c r="A72" s="793" t="str">
        <f t="shared" si="20"/>
        <v/>
      </c>
      <c r="B72" s="1013"/>
      <c r="C72" s="1016"/>
      <c r="D72" s="994"/>
      <c r="E72" s="961" t="s">
        <v>166</v>
      </c>
      <c r="F72" s="908" t="s">
        <v>203</v>
      </c>
      <c r="G72" s="848"/>
      <c r="H72" s="849"/>
      <c r="I72" s="850" t="str">
        <f t="shared" si="25"/>
        <v/>
      </c>
      <c r="J72" s="851"/>
      <c r="K72" s="850" t="str">
        <f t="shared" si="22"/>
        <v/>
      </c>
      <c r="L72" s="851"/>
      <c r="M72" s="850" t="str">
        <f t="shared" si="23"/>
        <v/>
      </c>
      <c r="N72" s="851"/>
      <c r="O72" s="838"/>
      <c r="P72" s="839"/>
      <c r="Q72" s="838"/>
      <c r="R72" s="839"/>
      <c r="S72" s="724"/>
      <c r="T72" s="725"/>
      <c r="U72" s="724"/>
      <c r="V72" s="726"/>
      <c r="W72" s="925" t="s">
        <v>206</v>
      </c>
      <c r="AB72" s="778" t="str">
        <f t="shared" si="5"/>
        <v/>
      </c>
    </row>
    <row r="73" spans="1:28" ht="15" customHeight="1">
      <c r="A73" s="793" t="str">
        <f t="shared" si="20"/>
        <v/>
      </c>
      <c r="B73" s="1013"/>
      <c r="C73" s="1016"/>
      <c r="D73" s="994"/>
      <c r="E73" s="905" t="s">
        <v>22</v>
      </c>
      <c r="F73" s="908" t="s">
        <v>62</v>
      </c>
      <c r="G73" s="848"/>
      <c r="H73" s="849"/>
      <c r="I73" s="850" t="str">
        <f t="shared" si="25"/>
        <v/>
      </c>
      <c r="J73" s="851"/>
      <c r="K73" s="850" t="str">
        <f t="shared" si="22"/>
        <v/>
      </c>
      <c r="L73" s="851"/>
      <c r="M73" s="850" t="str">
        <f t="shared" si="23"/>
        <v/>
      </c>
      <c r="N73" s="851"/>
      <c r="O73" s="838"/>
      <c r="P73" s="839"/>
      <c r="Q73" s="838"/>
      <c r="R73" s="839"/>
      <c r="S73" s="724"/>
      <c r="T73" s="725"/>
      <c r="U73" s="724"/>
      <c r="V73" s="726"/>
      <c r="W73" s="925" t="s">
        <v>206</v>
      </c>
      <c r="AB73" s="778" t="str">
        <f t="shared" si="5"/>
        <v/>
      </c>
    </row>
    <row r="74" spans="1:28" ht="15" customHeight="1">
      <c r="A74" s="793" t="str">
        <f t="shared" si="20"/>
        <v/>
      </c>
      <c r="B74" s="1013"/>
      <c r="C74" s="1016"/>
      <c r="D74" s="994"/>
      <c r="E74" s="961" t="s">
        <v>166</v>
      </c>
      <c r="F74" s="908"/>
      <c r="G74" s="848"/>
      <c r="H74" s="849"/>
      <c r="I74" s="850"/>
      <c r="J74" s="851"/>
      <c r="K74" s="850"/>
      <c r="L74" s="851"/>
      <c r="M74" s="850"/>
      <c r="N74" s="851"/>
      <c r="O74" s="838"/>
      <c r="P74" s="839"/>
      <c r="Q74" s="838"/>
      <c r="R74" s="839"/>
      <c r="S74" s="724"/>
      <c r="T74" s="725"/>
      <c r="U74" s="724"/>
      <c r="V74" s="726"/>
      <c r="W74" s="925"/>
    </row>
    <row r="75" spans="1:28" ht="15" customHeight="1">
      <c r="A75" s="793" t="str">
        <f t="shared" si="20"/>
        <v/>
      </c>
      <c r="B75" s="1013"/>
      <c r="C75" s="1016"/>
      <c r="D75" s="994"/>
      <c r="E75" s="961" t="s">
        <v>166</v>
      </c>
      <c r="F75" s="908"/>
      <c r="G75" s="848"/>
      <c r="H75" s="849"/>
      <c r="I75" s="850"/>
      <c r="J75" s="851"/>
      <c r="K75" s="850"/>
      <c r="L75" s="851"/>
      <c r="M75" s="850"/>
      <c r="N75" s="851"/>
      <c r="O75" s="838"/>
      <c r="P75" s="839"/>
      <c r="Q75" s="838"/>
      <c r="R75" s="839"/>
      <c r="S75" s="724"/>
      <c r="T75" s="725"/>
      <c r="U75" s="724"/>
      <c r="V75" s="726"/>
      <c r="W75" s="925"/>
    </row>
    <row r="76" spans="1:28" ht="15" customHeight="1">
      <c r="A76" s="793" t="str">
        <f t="shared" si="20"/>
        <v/>
      </c>
      <c r="B76" s="1013"/>
      <c r="C76" s="1016"/>
      <c r="D76" s="994"/>
      <c r="E76" s="962" t="s">
        <v>166</v>
      </c>
      <c r="F76" s="915"/>
      <c r="G76" s="853"/>
      <c r="H76" s="854"/>
      <c r="I76" s="855"/>
      <c r="J76" s="856"/>
      <c r="K76" s="855"/>
      <c r="L76" s="856"/>
      <c r="M76" s="855"/>
      <c r="N76" s="856"/>
      <c r="O76" s="840"/>
      <c r="P76" s="841"/>
      <c r="Q76" s="840"/>
      <c r="R76" s="841"/>
      <c r="S76" s="727"/>
      <c r="T76" s="728"/>
      <c r="U76" s="727"/>
      <c r="V76" s="729"/>
      <c r="W76" s="925"/>
    </row>
    <row r="77" spans="1:28" ht="15.75">
      <c r="A77" s="793" t="str">
        <f t="shared" si="20"/>
        <v>S</v>
      </c>
      <c r="B77" s="1018"/>
      <c r="C77" s="1016"/>
      <c r="D77" s="873" t="s">
        <v>138</v>
      </c>
      <c r="E77" s="896"/>
      <c r="F77" s="792"/>
      <c r="G77" s="783">
        <f>SUM(G66:G76)</f>
        <v>0</v>
      </c>
      <c r="H77" s="784">
        <f>SUM(H66:H76)</f>
        <v>0</v>
      </c>
      <c r="I77" s="785" t="e">
        <f t="shared" si="25"/>
        <v>#DIV/0!</v>
      </c>
      <c r="J77" s="827">
        <f>SUM(J66:J76)</f>
        <v>0</v>
      </c>
      <c r="K77" s="804" t="e">
        <f t="shared" si="22"/>
        <v>#DIV/0!</v>
      </c>
      <c r="L77" s="827">
        <f>SUM(L66:L76)</f>
        <v>0</v>
      </c>
      <c r="M77" s="785" t="e">
        <f t="shared" si="23"/>
        <v>#DIV/0!</v>
      </c>
      <c r="N77" s="827">
        <f>SUM(N66:N76)</f>
        <v>0</v>
      </c>
      <c r="O77" s="815">
        <f t="shared" ref="O77:V77" si="27">SUM(O66:O76)</f>
        <v>0</v>
      </c>
      <c r="P77" s="816">
        <f t="shared" si="27"/>
        <v>0</v>
      </c>
      <c r="Q77" s="815">
        <f t="shared" si="27"/>
        <v>0</v>
      </c>
      <c r="R77" s="816">
        <f t="shared" si="27"/>
        <v>0</v>
      </c>
      <c r="S77" s="815">
        <f t="shared" si="27"/>
        <v>0</v>
      </c>
      <c r="T77" s="816">
        <f t="shared" si="27"/>
        <v>0</v>
      </c>
      <c r="U77" s="815">
        <f t="shared" si="27"/>
        <v>0</v>
      </c>
      <c r="V77" s="817">
        <f t="shared" si="27"/>
        <v>0</v>
      </c>
      <c r="W77" s="830" t="s">
        <v>206</v>
      </c>
      <c r="AB77" s="778">
        <f t="shared" si="5"/>
        <v>0</v>
      </c>
    </row>
    <row r="78" spans="1:28">
      <c r="A78" s="793" t="str">
        <f t="shared" si="20"/>
        <v/>
      </c>
      <c r="B78" s="1013" t="s">
        <v>167</v>
      </c>
      <c r="C78" s="1016" t="s">
        <v>76</v>
      </c>
      <c r="D78" s="991">
        <v>4</v>
      </c>
      <c r="E78" s="901" t="s">
        <v>171</v>
      </c>
      <c r="F78" s="842" t="s">
        <v>62</v>
      </c>
      <c r="G78" s="843"/>
      <c r="H78" s="844"/>
      <c r="I78" s="845" t="str">
        <f t="shared" si="25"/>
        <v/>
      </c>
      <c r="J78" s="846"/>
      <c r="K78" s="845" t="str">
        <f t="shared" si="22"/>
        <v/>
      </c>
      <c r="L78" s="846"/>
      <c r="M78" s="845" t="str">
        <f t="shared" si="23"/>
        <v/>
      </c>
      <c r="N78" s="846"/>
      <c r="O78" s="836"/>
      <c r="P78" s="837"/>
      <c r="Q78" s="836"/>
      <c r="R78" s="837"/>
      <c r="S78" s="864"/>
      <c r="T78" s="865"/>
      <c r="U78" s="864"/>
      <c r="V78" s="866"/>
      <c r="W78" s="830" t="s">
        <v>206</v>
      </c>
      <c r="X78" s="777" t="s">
        <v>172</v>
      </c>
      <c r="AB78" s="778" t="str">
        <f t="shared" si="5"/>
        <v/>
      </c>
    </row>
    <row r="79" spans="1:28">
      <c r="A79" s="793" t="str">
        <f t="shared" si="20"/>
        <v/>
      </c>
      <c r="B79" s="1013"/>
      <c r="C79" s="1016"/>
      <c r="D79" s="991"/>
      <c r="E79" s="902" t="s">
        <v>173</v>
      </c>
      <c r="F79" s="847" t="s">
        <v>62</v>
      </c>
      <c r="G79" s="848"/>
      <c r="H79" s="849"/>
      <c r="I79" s="850" t="str">
        <f t="shared" si="25"/>
        <v/>
      </c>
      <c r="J79" s="851"/>
      <c r="K79" s="850" t="str">
        <f t="shared" si="22"/>
        <v/>
      </c>
      <c r="L79" s="851"/>
      <c r="M79" s="850" t="str">
        <f t="shared" si="23"/>
        <v/>
      </c>
      <c r="N79" s="851"/>
      <c r="O79" s="838"/>
      <c r="P79" s="839"/>
      <c r="Q79" s="838"/>
      <c r="R79" s="839"/>
      <c r="S79" s="867"/>
      <c r="T79" s="868"/>
      <c r="U79" s="867"/>
      <c r="V79" s="869"/>
      <c r="W79" s="830" t="s">
        <v>206</v>
      </c>
      <c r="X79" s="777" t="s">
        <v>174</v>
      </c>
      <c r="AB79" s="778" t="str">
        <f t="shared" si="5"/>
        <v/>
      </c>
    </row>
    <row r="80" spans="1:28" ht="15" customHeight="1">
      <c r="A80" s="793" t="str">
        <f t="shared" si="20"/>
        <v/>
      </c>
      <c r="B80" s="1013"/>
      <c r="C80" s="1016"/>
      <c r="D80" s="991"/>
      <c r="E80" s="961" t="s">
        <v>166</v>
      </c>
      <c r="F80" s="847"/>
      <c r="G80" s="848"/>
      <c r="H80" s="849"/>
      <c r="I80" s="850" t="str">
        <f t="shared" si="25"/>
        <v/>
      </c>
      <c r="J80" s="851"/>
      <c r="K80" s="850" t="str">
        <f t="shared" si="22"/>
        <v/>
      </c>
      <c r="L80" s="851"/>
      <c r="M80" s="850" t="str">
        <f t="shared" si="23"/>
        <v/>
      </c>
      <c r="N80" s="851"/>
      <c r="O80" s="838"/>
      <c r="P80" s="839"/>
      <c r="Q80" s="838"/>
      <c r="R80" s="839"/>
      <c r="S80" s="867"/>
      <c r="T80" s="868"/>
      <c r="U80" s="867"/>
      <c r="V80" s="869"/>
      <c r="W80" s="830" t="s">
        <v>206</v>
      </c>
      <c r="AB80" s="778" t="str">
        <f t="shared" si="5"/>
        <v/>
      </c>
    </row>
    <row r="81" spans="1:28" ht="15" customHeight="1">
      <c r="A81" s="793" t="str">
        <f t="shared" si="20"/>
        <v/>
      </c>
      <c r="B81" s="1013"/>
      <c r="C81" s="1016"/>
      <c r="D81" s="991"/>
      <c r="E81" s="961" t="s">
        <v>166</v>
      </c>
      <c r="F81" s="847"/>
      <c r="G81" s="848"/>
      <c r="H81" s="849"/>
      <c r="I81" s="850" t="str">
        <f t="shared" si="25"/>
        <v/>
      </c>
      <c r="J81" s="851"/>
      <c r="K81" s="850" t="str">
        <f t="shared" si="22"/>
        <v/>
      </c>
      <c r="L81" s="851"/>
      <c r="M81" s="850" t="str">
        <f t="shared" si="23"/>
        <v/>
      </c>
      <c r="N81" s="851"/>
      <c r="O81" s="838"/>
      <c r="P81" s="839"/>
      <c r="Q81" s="838"/>
      <c r="R81" s="839"/>
      <c r="S81" s="867"/>
      <c r="T81" s="868"/>
      <c r="U81" s="867"/>
      <c r="V81" s="869"/>
      <c r="W81" s="830" t="s">
        <v>206</v>
      </c>
      <c r="AB81" s="778" t="str">
        <f t="shared" si="5"/>
        <v/>
      </c>
    </row>
    <row r="82" spans="1:28" ht="15" customHeight="1">
      <c r="A82" s="793" t="str">
        <f t="shared" si="20"/>
        <v/>
      </c>
      <c r="B82" s="1013"/>
      <c r="C82" s="1016"/>
      <c r="D82" s="991"/>
      <c r="E82" s="961" t="s">
        <v>166</v>
      </c>
      <c r="F82" s="847" t="s">
        <v>203</v>
      </c>
      <c r="G82" s="848"/>
      <c r="H82" s="849"/>
      <c r="I82" s="850" t="str">
        <f t="shared" si="25"/>
        <v/>
      </c>
      <c r="J82" s="851"/>
      <c r="K82" s="850" t="str">
        <f t="shared" si="22"/>
        <v/>
      </c>
      <c r="L82" s="851"/>
      <c r="M82" s="850" t="str">
        <f t="shared" si="23"/>
        <v/>
      </c>
      <c r="N82" s="851"/>
      <c r="O82" s="838"/>
      <c r="P82" s="839"/>
      <c r="Q82" s="838"/>
      <c r="R82" s="839"/>
      <c r="S82" s="867"/>
      <c r="T82" s="868"/>
      <c r="U82" s="867"/>
      <c r="V82" s="869"/>
      <c r="W82" s="830" t="s">
        <v>206</v>
      </c>
      <c r="AB82" s="778" t="str">
        <f t="shared" si="5"/>
        <v/>
      </c>
    </row>
    <row r="83" spans="1:28" ht="15" customHeight="1">
      <c r="A83" s="793" t="str">
        <f t="shared" si="20"/>
        <v/>
      </c>
      <c r="B83" s="1013"/>
      <c r="C83" s="1016"/>
      <c r="D83" s="991"/>
      <c r="E83" s="961" t="s">
        <v>166</v>
      </c>
      <c r="F83" s="847" t="s">
        <v>203</v>
      </c>
      <c r="G83" s="848"/>
      <c r="H83" s="849"/>
      <c r="I83" s="850" t="str">
        <f t="shared" si="25"/>
        <v/>
      </c>
      <c r="J83" s="851"/>
      <c r="K83" s="850" t="str">
        <f t="shared" si="22"/>
        <v/>
      </c>
      <c r="L83" s="851"/>
      <c r="M83" s="850" t="str">
        <f t="shared" si="23"/>
        <v/>
      </c>
      <c r="N83" s="851"/>
      <c r="O83" s="838"/>
      <c r="P83" s="839"/>
      <c r="Q83" s="838"/>
      <c r="R83" s="839"/>
      <c r="S83" s="867"/>
      <c r="T83" s="868"/>
      <c r="U83" s="867"/>
      <c r="V83" s="869"/>
      <c r="W83" s="830" t="s">
        <v>206</v>
      </c>
      <c r="AB83" s="778" t="str">
        <f t="shared" si="5"/>
        <v/>
      </c>
    </row>
    <row r="84" spans="1:28" ht="15" customHeight="1">
      <c r="A84" s="793" t="str">
        <f t="shared" si="20"/>
        <v/>
      </c>
      <c r="B84" s="1013"/>
      <c r="C84" s="1016"/>
      <c r="D84" s="991"/>
      <c r="E84" s="962" t="s">
        <v>166</v>
      </c>
      <c r="F84" s="852"/>
      <c r="G84" s="853"/>
      <c r="H84" s="854"/>
      <c r="I84" s="855" t="str">
        <f t="shared" si="25"/>
        <v/>
      </c>
      <c r="J84" s="856"/>
      <c r="K84" s="855" t="str">
        <f t="shared" si="22"/>
        <v/>
      </c>
      <c r="L84" s="856"/>
      <c r="M84" s="855" t="str">
        <f t="shared" si="23"/>
        <v/>
      </c>
      <c r="N84" s="856"/>
      <c r="O84" s="840"/>
      <c r="P84" s="841"/>
      <c r="Q84" s="840"/>
      <c r="R84" s="841"/>
      <c r="S84" s="870"/>
      <c r="T84" s="871"/>
      <c r="U84" s="870"/>
      <c r="V84" s="872"/>
      <c r="W84" s="830" t="s">
        <v>206</v>
      </c>
      <c r="AB84" s="778" t="str">
        <f t="shared" si="5"/>
        <v/>
      </c>
    </row>
    <row r="85" spans="1:28" ht="15.75">
      <c r="A85" s="793" t="str">
        <f t="shared" si="20"/>
        <v>S</v>
      </c>
      <c r="B85" s="1018"/>
      <c r="C85" s="1016"/>
      <c r="D85" s="873" t="s">
        <v>138</v>
      </c>
      <c r="E85" s="897"/>
      <c r="F85" s="824"/>
      <c r="G85" s="783">
        <f>SUM(G78:G84)</f>
        <v>0</v>
      </c>
      <c r="H85" s="784">
        <f>SUM(H78:H84)</f>
        <v>0</v>
      </c>
      <c r="I85" s="785" t="e">
        <f t="shared" si="25"/>
        <v>#DIV/0!</v>
      </c>
      <c r="J85" s="827">
        <f>SUM(J78:J84)</f>
        <v>0</v>
      </c>
      <c r="K85" s="804" t="e">
        <f t="shared" si="22"/>
        <v>#DIV/0!</v>
      </c>
      <c r="L85" s="827">
        <f>SUM(L78:L84)</f>
        <v>0</v>
      </c>
      <c r="M85" s="785" t="e">
        <f t="shared" si="23"/>
        <v>#DIV/0!</v>
      </c>
      <c r="N85" s="827">
        <f t="shared" ref="N85:V85" si="28">SUM(N78:N84)</f>
        <v>0</v>
      </c>
      <c r="O85" s="815">
        <f t="shared" si="28"/>
        <v>0</v>
      </c>
      <c r="P85" s="816">
        <f t="shared" si="28"/>
        <v>0</v>
      </c>
      <c r="Q85" s="815">
        <f t="shared" si="28"/>
        <v>0</v>
      </c>
      <c r="R85" s="816">
        <f t="shared" si="28"/>
        <v>0</v>
      </c>
      <c r="S85" s="815">
        <f t="shared" si="28"/>
        <v>0</v>
      </c>
      <c r="T85" s="816">
        <f t="shared" si="28"/>
        <v>0</v>
      </c>
      <c r="U85" s="815">
        <f t="shared" si="28"/>
        <v>0</v>
      </c>
      <c r="V85" s="817">
        <f t="shared" si="28"/>
        <v>0</v>
      </c>
      <c r="W85" s="830" t="s">
        <v>206</v>
      </c>
      <c r="AB85" s="778">
        <f t="shared" si="5"/>
        <v>0</v>
      </c>
    </row>
    <row r="86" spans="1:28" ht="15" customHeight="1">
      <c r="A86" s="793" t="str">
        <f t="shared" si="20"/>
        <v/>
      </c>
      <c r="B86" s="980" t="s">
        <v>1</v>
      </c>
      <c r="C86" s="983" t="s">
        <v>76</v>
      </c>
      <c r="D86" s="988">
        <v>10</v>
      </c>
      <c r="E86" s="901" t="s">
        <v>27</v>
      </c>
      <c r="F86" s="842" t="s">
        <v>62</v>
      </c>
      <c r="G86" s="843"/>
      <c r="H86" s="844"/>
      <c r="I86" s="845" t="str">
        <f t="shared" si="25"/>
        <v/>
      </c>
      <c r="J86" s="846"/>
      <c r="K86" s="845" t="str">
        <f t="shared" si="22"/>
        <v/>
      </c>
      <c r="L86" s="846"/>
      <c r="M86" s="845" t="str">
        <f t="shared" si="23"/>
        <v/>
      </c>
      <c r="N86" s="846"/>
      <c r="O86" s="836"/>
      <c r="P86" s="837"/>
      <c r="Q86" s="836"/>
      <c r="R86" s="837"/>
      <c r="S86" s="864"/>
      <c r="T86" s="865"/>
      <c r="U86" s="864"/>
      <c r="V86" s="866"/>
      <c r="W86" s="830" t="s">
        <v>206</v>
      </c>
      <c r="AB86" s="778" t="str">
        <f t="shared" si="5"/>
        <v/>
      </c>
    </row>
    <row r="87" spans="1:28" ht="15" customHeight="1">
      <c r="A87" s="793" t="str">
        <f t="shared" si="20"/>
        <v/>
      </c>
      <c r="B87" s="981"/>
      <c r="C87" s="984"/>
      <c r="D87" s="989"/>
      <c r="E87" s="902" t="s">
        <v>28</v>
      </c>
      <c r="F87" s="847" t="s">
        <v>62</v>
      </c>
      <c r="G87" s="848"/>
      <c r="H87" s="849"/>
      <c r="I87" s="850" t="str">
        <f t="shared" si="25"/>
        <v/>
      </c>
      <c r="J87" s="851"/>
      <c r="K87" s="850" t="str">
        <f t="shared" si="22"/>
        <v/>
      </c>
      <c r="L87" s="851"/>
      <c r="M87" s="850" t="str">
        <f t="shared" si="23"/>
        <v/>
      </c>
      <c r="N87" s="851"/>
      <c r="O87" s="838"/>
      <c r="P87" s="839"/>
      <c r="Q87" s="838"/>
      <c r="R87" s="839"/>
      <c r="S87" s="867"/>
      <c r="T87" s="868"/>
      <c r="U87" s="867"/>
      <c r="V87" s="869"/>
      <c r="W87" s="830" t="s">
        <v>206</v>
      </c>
      <c r="AB87" s="778" t="str">
        <f t="shared" si="5"/>
        <v/>
      </c>
    </row>
    <row r="88" spans="1:28" ht="15" customHeight="1">
      <c r="A88" s="793" t="str">
        <f t="shared" si="20"/>
        <v/>
      </c>
      <c r="B88" s="981"/>
      <c r="C88" s="984"/>
      <c r="D88" s="989"/>
      <c r="E88" s="902" t="s">
        <v>29</v>
      </c>
      <c r="F88" s="847" t="s">
        <v>62</v>
      </c>
      <c r="G88" s="848"/>
      <c r="H88" s="849"/>
      <c r="I88" s="850" t="str">
        <f t="shared" si="25"/>
        <v/>
      </c>
      <c r="J88" s="851"/>
      <c r="K88" s="850" t="str">
        <f t="shared" si="22"/>
        <v/>
      </c>
      <c r="L88" s="851"/>
      <c r="M88" s="850" t="str">
        <f t="shared" si="23"/>
        <v/>
      </c>
      <c r="N88" s="851"/>
      <c r="O88" s="838"/>
      <c r="P88" s="839"/>
      <c r="Q88" s="838"/>
      <c r="R88" s="839"/>
      <c r="S88" s="867"/>
      <c r="T88" s="868"/>
      <c r="U88" s="867"/>
      <c r="V88" s="869"/>
      <c r="W88" s="830" t="s">
        <v>206</v>
      </c>
      <c r="AB88" s="778" t="str">
        <f t="shared" si="5"/>
        <v/>
      </c>
    </row>
    <row r="89" spans="1:28" ht="15" customHeight="1">
      <c r="A89" s="793" t="str">
        <f t="shared" si="20"/>
        <v/>
      </c>
      <c r="B89" s="981"/>
      <c r="C89" s="984"/>
      <c r="D89" s="989"/>
      <c r="E89" s="902" t="s">
        <v>30</v>
      </c>
      <c r="F89" s="847" t="s">
        <v>62</v>
      </c>
      <c r="G89" s="848"/>
      <c r="H89" s="849"/>
      <c r="I89" s="850" t="str">
        <f t="shared" si="25"/>
        <v/>
      </c>
      <c r="J89" s="851"/>
      <c r="K89" s="850" t="str">
        <f t="shared" si="22"/>
        <v/>
      </c>
      <c r="L89" s="851"/>
      <c r="M89" s="850" t="str">
        <f t="shared" si="23"/>
        <v/>
      </c>
      <c r="N89" s="851"/>
      <c r="O89" s="838"/>
      <c r="P89" s="839"/>
      <c r="Q89" s="838"/>
      <c r="R89" s="839"/>
      <c r="S89" s="867"/>
      <c r="T89" s="868"/>
      <c r="U89" s="867"/>
      <c r="V89" s="869"/>
      <c r="W89" s="830" t="s">
        <v>206</v>
      </c>
      <c r="AB89" s="778" t="str">
        <f t="shared" si="5"/>
        <v/>
      </c>
    </row>
    <row r="90" spans="1:28" ht="15" customHeight="1">
      <c r="A90" s="793" t="str">
        <f t="shared" si="20"/>
        <v/>
      </c>
      <c r="B90" s="981"/>
      <c r="C90" s="984"/>
      <c r="D90" s="989"/>
      <c r="E90" s="902" t="s">
        <v>175</v>
      </c>
      <c r="F90" s="847" t="s">
        <v>62</v>
      </c>
      <c r="G90" s="848"/>
      <c r="H90" s="849"/>
      <c r="I90" s="850" t="str">
        <f t="shared" si="25"/>
        <v/>
      </c>
      <c r="J90" s="851"/>
      <c r="K90" s="850" t="str">
        <f t="shared" si="22"/>
        <v/>
      </c>
      <c r="L90" s="851"/>
      <c r="M90" s="850" t="str">
        <f t="shared" si="23"/>
        <v/>
      </c>
      <c r="N90" s="851"/>
      <c r="O90" s="838"/>
      <c r="P90" s="839"/>
      <c r="Q90" s="838"/>
      <c r="R90" s="839"/>
      <c r="S90" s="867"/>
      <c r="T90" s="868"/>
      <c r="U90" s="867"/>
      <c r="V90" s="869"/>
      <c r="W90" s="830" t="s">
        <v>206</v>
      </c>
      <c r="AB90" s="778" t="str">
        <f t="shared" ref="AB90:AB153" si="29">IF(G90&lt;&gt;"",$F90,"")</f>
        <v/>
      </c>
    </row>
    <row r="91" spans="1:28" ht="15" customHeight="1">
      <c r="A91" s="793" t="str">
        <f t="shared" si="20"/>
        <v/>
      </c>
      <c r="B91" s="981"/>
      <c r="C91" s="984"/>
      <c r="D91" s="989"/>
      <c r="E91" s="961" t="s">
        <v>166</v>
      </c>
      <c r="F91" s="847" t="s">
        <v>203</v>
      </c>
      <c r="G91" s="848"/>
      <c r="H91" s="849"/>
      <c r="I91" s="850" t="str">
        <f t="shared" si="25"/>
        <v/>
      </c>
      <c r="J91" s="851"/>
      <c r="K91" s="850" t="str">
        <f t="shared" si="22"/>
        <v/>
      </c>
      <c r="L91" s="851"/>
      <c r="M91" s="850" t="str">
        <f t="shared" si="23"/>
        <v/>
      </c>
      <c r="N91" s="851"/>
      <c r="O91" s="838"/>
      <c r="P91" s="839"/>
      <c r="Q91" s="838"/>
      <c r="R91" s="839"/>
      <c r="S91" s="867"/>
      <c r="T91" s="868"/>
      <c r="U91" s="867"/>
      <c r="V91" s="869"/>
      <c r="W91" s="830" t="s">
        <v>206</v>
      </c>
      <c r="AB91" s="778" t="str">
        <f t="shared" si="29"/>
        <v/>
      </c>
    </row>
    <row r="92" spans="1:28" ht="15.75" customHeight="1">
      <c r="A92" s="793" t="str">
        <f t="shared" si="20"/>
        <v/>
      </c>
      <c r="B92" s="981"/>
      <c r="C92" s="984"/>
      <c r="D92" s="989"/>
      <c r="E92" s="961" t="s">
        <v>166</v>
      </c>
      <c r="F92" s="906"/>
      <c r="G92" s="848"/>
      <c r="H92" s="849"/>
      <c r="I92" s="850"/>
      <c r="J92" s="851"/>
      <c r="K92" s="850"/>
      <c r="L92" s="851"/>
      <c r="M92" s="850"/>
      <c r="N92" s="851"/>
      <c r="O92" s="838"/>
      <c r="P92" s="839"/>
      <c r="Q92" s="838"/>
      <c r="R92" s="839"/>
      <c r="S92" s="867"/>
      <c r="T92" s="868"/>
      <c r="U92" s="867"/>
      <c r="V92" s="869"/>
      <c r="W92" s="830"/>
      <c r="X92" s="919"/>
    </row>
    <row r="93" spans="1:28" ht="15.75" customHeight="1">
      <c r="A93" s="793" t="str">
        <f t="shared" si="20"/>
        <v/>
      </c>
      <c r="B93" s="981"/>
      <c r="C93" s="984"/>
      <c r="D93" s="989"/>
      <c r="E93" s="961" t="s">
        <v>166</v>
      </c>
      <c r="F93" s="906"/>
      <c r="G93" s="848"/>
      <c r="H93" s="849"/>
      <c r="I93" s="850"/>
      <c r="J93" s="851"/>
      <c r="K93" s="850"/>
      <c r="L93" s="851"/>
      <c r="M93" s="850"/>
      <c r="N93" s="851"/>
      <c r="O93" s="838"/>
      <c r="P93" s="839"/>
      <c r="Q93" s="838"/>
      <c r="R93" s="839"/>
      <c r="S93" s="867"/>
      <c r="T93" s="868"/>
      <c r="U93" s="867"/>
      <c r="V93" s="869"/>
      <c r="W93" s="830"/>
      <c r="X93" s="919"/>
    </row>
    <row r="94" spans="1:28" ht="15.75" customHeight="1">
      <c r="A94" s="793" t="str">
        <f t="shared" si="20"/>
        <v/>
      </c>
      <c r="B94" s="981"/>
      <c r="C94" s="984"/>
      <c r="D94" s="990"/>
      <c r="E94" s="962" t="s">
        <v>166</v>
      </c>
      <c r="F94" s="852"/>
      <c r="G94" s="853"/>
      <c r="H94" s="854"/>
      <c r="I94" s="855"/>
      <c r="J94" s="856"/>
      <c r="K94" s="855"/>
      <c r="L94" s="856"/>
      <c r="M94" s="855"/>
      <c r="N94" s="856"/>
      <c r="O94" s="840"/>
      <c r="P94" s="841"/>
      <c r="Q94" s="840"/>
      <c r="R94" s="841"/>
      <c r="S94" s="870"/>
      <c r="T94" s="871"/>
      <c r="U94" s="870"/>
      <c r="V94" s="872"/>
      <c r="W94" s="830"/>
      <c r="X94" s="919"/>
    </row>
    <row r="95" spans="1:28" ht="15.75">
      <c r="A95" s="793" t="str">
        <f t="shared" si="20"/>
        <v>S</v>
      </c>
      <c r="B95" s="987"/>
      <c r="C95" s="986"/>
      <c r="D95" s="873" t="s">
        <v>138</v>
      </c>
      <c r="E95" s="897"/>
      <c r="F95" s="824"/>
      <c r="G95" s="783">
        <f>SUM(G86:G94)</f>
        <v>0</v>
      </c>
      <c r="H95" s="784">
        <f>SUM(H86:H94)</f>
        <v>0</v>
      </c>
      <c r="I95" s="785" t="e">
        <f t="shared" si="25"/>
        <v>#DIV/0!</v>
      </c>
      <c r="J95" s="827">
        <f>SUM(J86:J94)</f>
        <v>0</v>
      </c>
      <c r="K95" s="804" t="e">
        <f t="shared" si="22"/>
        <v>#DIV/0!</v>
      </c>
      <c r="L95" s="827">
        <f>SUM(L86:L94)</f>
        <v>0</v>
      </c>
      <c r="M95" s="785" t="e">
        <f t="shared" si="23"/>
        <v>#DIV/0!</v>
      </c>
      <c r="N95" s="827">
        <f t="shared" ref="N95:V95" si="30">SUM(N86:N94)</f>
        <v>0</v>
      </c>
      <c r="O95" s="815">
        <f t="shared" si="30"/>
        <v>0</v>
      </c>
      <c r="P95" s="816">
        <f t="shared" si="30"/>
        <v>0</v>
      </c>
      <c r="Q95" s="815">
        <f t="shared" si="30"/>
        <v>0</v>
      </c>
      <c r="R95" s="816">
        <f t="shared" si="30"/>
        <v>0</v>
      </c>
      <c r="S95" s="815">
        <f t="shared" si="30"/>
        <v>0</v>
      </c>
      <c r="T95" s="816">
        <f t="shared" si="30"/>
        <v>0</v>
      </c>
      <c r="U95" s="815">
        <f t="shared" si="30"/>
        <v>0</v>
      </c>
      <c r="V95" s="817">
        <f t="shared" si="30"/>
        <v>0</v>
      </c>
      <c r="W95" s="830" t="s">
        <v>206</v>
      </c>
      <c r="AB95" s="778">
        <f t="shared" si="29"/>
        <v>0</v>
      </c>
    </row>
    <row r="96" spans="1:28" ht="15" customHeight="1">
      <c r="A96" s="793" t="str">
        <f t="shared" si="20"/>
        <v/>
      </c>
      <c r="B96" s="1013" t="s">
        <v>45</v>
      </c>
      <c r="C96" s="1009" t="s">
        <v>76</v>
      </c>
      <c r="D96" s="993">
        <v>12</v>
      </c>
      <c r="E96" s="903" t="s">
        <v>32</v>
      </c>
      <c r="F96" s="904" t="s">
        <v>62</v>
      </c>
      <c r="G96" s="843"/>
      <c r="H96" s="844"/>
      <c r="I96" s="845" t="str">
        <f t="shared" si="25"/>
        <v/>
      </c>
      <c r="J96" s="846"/>
      <c r="K96" s="845" t="str">
        <f t="shared" si="22"/>
        <v/>
      </c>
      <c r="L96" s="846"/>
      <c r="M96" s="845" t="str">
        <f t="shared" si="23"/>
        <v/>
      </c>
      <c r="N96" s="846"/>
      <c r="O96" s="836"/>
      <c r="P96" s="837"/>
      <c r="Q96" s="836"/>
      <c r="R96" s="837"/>
      <c r="S96" s="864"/>
      <c r="T96" s="865"/>
      <c r="U96" s="864"/>
      <c r="V96" s="866"/>
      <c r="W96" s="830" t="s">
        <v>206</v>
      </c>
      <c r="AB96" s="778" t="str">
        <f t="shared" si="29"/>
        <v/>
      </c>
    </row>
    <row r="97" spans="1:28" ht="15" customHeight="1">
      <c r="A97" s="793" t="str">
        <f t="shared" si="20"/>
        <v/>
      </c>
      <c r="B97" s="1013"/>
      <c r="C97" s="1009"/>
      <c r="D97" s="993"/>
      <c r="E97" s="905" t="s">
        <v>33</v>
      </c>
      <c r="F97" s="906" t="s">
        <v>62</v>
      </c>
      <c r="G97" s="848"/>
      <c r="H97" s="849"/>
      <c r="I97" s="850" t="str">
        <f t="shared" si="25"/>
        <v/>
      </c>
      <c r="J97" s="851"/>
      <c r="K97" s="850" t="str">
        <f t="shared" si="22"/>
        <v/>
      </c>
      <c r="L97" s="851"/>
      <c r="M97" s="850" t="str">
        <f t="shared" si="23"/>
        <v/>
      </c>
      <c r="N97" s="851"/>
      <c r="O97" s="838"/>
      <c r="P97" s="839"/>
      <c r="Q97" s="838"/>
      <c r="R97" s="839"/>
      <c r="S97" s="867"/>
      <c r="T97" s="868"/>
      <c r="U97" s="867"/>
      <c r="V97" s="869"/>
      <c r="W97" s="830" t="s">
        <v>206</v>
      </c>
      <c r="AB97" s="778" t="str">
        <f t="shared" si="29"/>
        <v/>
      </c>
    </row>
    <row r="98" spans="1:28" ht="15" customHeight="1">
      <c r="A98" s="793" t="str">
        <f t="shared" si="20"/>
        <v/>
      </c>
      <c r="B98" s="1013"/>
      <c r="C98" s="1009"/>
      <c r="D98" s="993"/>
      <c r="E98" s="905" t="s">
        <v>47</v>
      </c>
      <c r="F98" s="906" t="s">
        <v>62</v>
      </c>
      <c r="G98" s="848"/>
      <c r="H98" s="849"/>
      <c r="I98" s="850" t="str">
        <f t="shared" si="25"/>
        <v/>
      </c>
      <c r="J98" s="851"/>
      <c r="K98" s="850" t="str">
        <f t="shared" si="22"/>
        <v/>
      </c>
      <c r="L98" s="851"/>
      <c r="M98" s="850" t="str">
        <f t="shared" si="23"/>
        <v/>
      </c>
      <c r="N98" s="851"/>
      <c r="O98" s="838"/>
      <c r="P98" s="839"/>
      <c r="Q98" s="838"/>
      <c r="R98" s="839"/>
      <c r="S98" s="867"/>
      <c r="T98" s="868"/>
      <c r="U98" s="867"/>
      <c r="V98" s="869"/>
      <c r="W98" s="830" t="s">
        <v>206</v>
      </c>
      <c r="AB98" s="778" t="str">
        <f t="shared" si="29"/>
        <v/>
      </c>
    </row>
    <row r="99" spans="1:28" ht="15" customHeight="1">
      <c r="A99" s="793" t="str">
        <f t="shared" si="20"/>
        <v/>
      </c>
      <c r="B99" s="1013"/>
      <c r="C99" s="1009"/>
      <c r="D99" s="993"/>
      <c r="E99" s="905" t="s">
        <v>46</v>
      </c>
      <c r="F99" s="906" t="s">
        <v>62</v>
      </c>
      <c r="G99" s="848"/>
      <c r="H99" s="849"/>
      <c r="I99" s="850" t="str">
        <f t="shared" si="25"/>
        <v/>
      </c>
      <c r="J99" s="851"/>
      <c r="K99" s="850" t="str">
        <f t="shared" si="22"/>
        <v/>
      </c>
      <c r="L99" s="851"/>
      <c r="M99" s="850" t="str">
        <f t="shared" si="23"/>
        <v/>
      </c>
      <c r="N99" s="851"/>
      <c r="O99" s="838"/>
      <c r="P99" s="839"/>
      <c r="Q99" s="838"/>
      <c r="R99" s="839"/>
      <c r="S99" s="867"/>
      <c r="T99" s="868"/>
      <c r="U99" s="867"/>
      <c r="V99" s="869"/>
      <c r="W99" s="830" t="s">
        <v>206</v>
      </c>
      <c r="AB99" s="778" t="str">
        <f t="shared" si="29"/>
        <v/>
      </c>
    </row>
    <row r="100" spans="1:28" ht="15" customHeight="1">
      <c r="A100" s="793" t="str">
        <f t="shared" si="20"/>
        <v/>
      </c>
      <c r="B100" s="1013"/>
      <c r="C100" s="1009"/>
      <c r="D100" s="993"/>
      <c r="E100" s="905" t="s">
        <v>35</v>
      </c>
      <c r="F100" s="906" t="s">
        <v>62</v>
      </c>
      <c r="G100" s="738"/>
      <c r="H100" s="739"/>
      <c r="I100" s="740" t="str">
        <f t="shared" si="25"/>
        <v/>
      </c>
      <c r="J100" s="741"/>
      <c r="K100" s="740" t="str">
        <f t="shared" si="22"/>
        <v/>
      </c>
      <c r="L100" s="741"/>
      <c r="M100" s="740" t="str">
        <f t="shared" si="23"/>
        <v/>
      </c>
      <c r="N100" s="741"/>
      <c r="O100" s="742"/>
      <c r="P100" s="743"/>
      <c r="Q100" s="742"/>
      <c r="R100" s="743"/>
      <c r="S100" s="744"/>
      <c r="T100" s="745"/>
      <c r="U100" s="744"/>
      <c r="V100" s="746"/>
      <c r="W100" s="830" t="s">
        <v>206</v>
      </c>
      <c r="AB100" s="778" t="str">
        <f t="shared" si="29"/>
        <v/>
      </c>
    </row>
    <row r="101" spans="1:28" ht="15" customHeight="1">
      <c r="A101" s="793" t="str">
        <f t="shared" si="20"/>
        <v/>
      </c>
      <c r="B101" s="1013"/>
      <c r="C101" s="1009"/>
      <c r="D101" s="993"/>
      <c r="E101" s="905" t="s">
        <v>34</v>
      </c>
      <c r="F101" s="906" t="s">
        <v>62</v>
      </c>
      <c r="G101" s="848"/>
      <c r="H101" s="849"/>
      <c r="I101" s="850" t="str">
        <f t="shared" si="25"/>
        <v/>
      </c>
      <c r="J101" s="851"/>
      <c r="K101" s="850" t="str">
        <f t="shared" si="22"/>
        <v/>
      </c>
      <c r="L101" s="851"/>
      <c r="M101" s="850" t="str">
        <f t="shared" si="23"/>
        <v/>
      </c>
      <c r="N101" s="851"/>
      <c r="O101" s="838"/>
      <c r="P101" s="839"/>
      <c r="Q101" s="838"/>
      <c r="R101" s="839"/>
      <c r="S101" s="867"/>
      <c r="T101" s="868"/>
      <c r="U101" s="867"/>
      <c r="V101" s="869"/>
      <c r="W101" s="830" t="s">
        <v>206</v>
      </c>
      <c r="AB101" s="778" t="str">
        <f t="shared" si="29"/>
        <v/>
      </c>
    </row>
    <row r="102" spans="1:28" ht="15.75" customHeight="1">
      <c r="A102" s="793" t="str">
        <f t="shared" si="20"/>
        <v/>
      </c>
      <c r="B102" s="1013"/>
      <c r="C102" s="1009"/>
      <c r="D102" s="993"/>
      <c r="E102" s="905" t="s">
        <v>147</v>
      </c>
      <c r="F102" s="906" t="s">
        <v>62</v>
      </c>
      <c r="G102" s="848"/>
      <c r="H102" s="849"/>
      <c r="I102" s="850" t="str">
        <f t="shared" si="25"/>
        <v/>
      </c>
      <c r="J102" s="851"/>
      <c r="K102" s="850" t="str">
        <f t="shared" si="22"/>
        <v/>
      </c>
      <c r="L102" s="851"/>
      <c r="M102" s="850" t="str">
        <f t="shared" si="23"/>
        <v/>
      </c>
      <c r="N102" s="851"/>
      <c r="O102" s="838"/>
      <c r="P102" s="839"/>
      <c r="Q102" s="838"/>
      <c r="R102" s="839"/>
      <c r="S102" s="867"/>
      <c r="T102" s="868"/>
      <c r="U102" s="867"/>
      <c r="V102" s="869"/>
      <c r="W102" s="830" t="s">
        <v>206</v>
      </c>
      <c r="AB102" s="778" t="str">
        <f t="shared" si="29"/>
        <v/>
      </c>
    </row>
    <row r="103" spans="1:28" ht="15.75" customHeight="1">
      <c r="A103" s="793" t="str">
        <f t="shared" si="20"/>
        <v/>
      </c>
      <c r="B103" s="1013"/>
      <c r="C103" s="1009"/>
      <c r="D103" s="993"/>
      <c r="E103" s="961" t="s">
        <v>166</v>
      </c>
      <c r="F103" s="906" t="s">
        <v>62</v>
      </c>
      <c r="G103" s="848"/>
      <c r="H103" s="849"/>
      <c r="I103" s="850" t="str">
        <f t="shared" si="25"/>
        <v/>
      </c>
      <c r="J103" s="851"/>
      <c r="K103" s="850" t="str">
        <f t="shared" si="22"/>
        <v/>
      </c>
      <c r="L103" s="851"/>
      <c r="M103" s="850" t="str">
        <f t="shared" si="23"/>
        <v/>
      </c>
      <c r="N103" s="851"/>
      <c r="O103" s="838"/>
      <c r="P103" s="839"/>
      <c r="Q103" s="838"/>
      <c r="R103" s="839"/>
      <c r="S103" s="867"/>
      <c r="T103" s="868"/>
      <c r="U103" s="867"/>
      <c r="V103" s="869"/>
      <c r="W103" s="830" t="s">
        <v>206</v>
      </c>
      <c r="AB103" s="778" t="str">
        <f t="shared" si="29"/>
        <v/>
      </c>
    </row>
    <row r="104" spans="1:28" ht="15.75" customHeight="1">
      <c r="A104" s="793" t="str">
        <f t="shared" si="20"/>
        <v/>
      </c>
      <c r="B104" s="1013"/>
      <c r="C104" s="1009"/>
      <c r="D104" s="993"/>
      <c r="E104" s="961" t="s">
        <v>166</v>
      </c>
      <c r="F104" s="906" t="s">
        <v>62</v>
      </c>
      <c r="G104" s="848"/>
      <c r="H104" s="849"/>
      <c r="I104" s="850" t="str">
        <f t="shared" si="25"/>
        <v/>
      </c>
      <c r="J104" s="851"/>
      <c r="K104" s="850" t="str">
        <f t="shared" si="22"/>
        <v/>
      </c>
      <c r="L104" s="851"/>
      <c r="M104" s="850" t="str">
        <f t="shared" si="23"/>
        <v/>
      </c>
      <c r="N104" s="851"/>
      <c r="O104" s="838"/>
      <c r="P104" s="839"/>
      <c r="Q104" s="838"/>
      <c r="R104" s="839"/>
      <c r="S104" s="867"/>
      <c r="T104" s="868"/>
      <c r="U104" s="867"/>
      <c r="V104" s="869"/>
      <c r="W104" s="830" t="s">
        <v>206</v>
      </c>
      <c r="AB104" s="778" t="str">
        <f t="shared" si="29"/>
        <v/>
      </c>
    </row>
    <row r="105" spans="1:28" ht="15.75" customHeight="1">
      <c r="A105" s="793" t="str">
        <f t="shared" si="20"/>
        <v/>
      </c>
      <c r="B105" s="1013"/>
      <c r="C105" s="1009"/>
      <c r="D105" s="993"/>
      <c r="E105" s="905" t="s">
        <v>146</v>
      </c>
      <c r="F105" s="906" t="s">
        <v>62</v>
      </c>
      <c r="G105" s="848"/>
      <c r="H105" s="849"/>
      <c r="I105" s="850" t="str">
        <f t="shared" si="25"/>
        <v/>
      </c>
      <c r="J105" s="851"/>
      <c r="K105" s="850" t="str">
        <f t="shared" si="22"/>
        <v/>
      </c>
      <c r="L105" s="851"/>
      <c r="M105" s="850" t="str">
        <f t="shared" si="23"/>
        <v/>
      </c>
      <c r="N105" s="851"/>
      <c r="O105" s="838"/>
      <c r="P105" s="839"/>
      <c r="Q105" s="838"/>
      <c r="R105" s="839"/>
      <c r="S105" s="867"/>
      <c r="T105" s="868"/>
      <c r="U105" s="867"/>
      <c r="V105" s="869"/>
      <c r="W105" s="830" t="s">
        <v>206</v>
      </c>
      <c r="AB105" s="778" t="str">
        <f t="shared" si="29"/>
        <v/>
      </c>
    </row>
    <row r="106" spans="1:28" ht="15.75" customHeight="1">
      <c r="A106" s="793" t="str">
        <f t="shared" si="20"/>
        <v/>
      </c>
      <c r="B106" s="1013"/>
      <c r="C106" s="1009"/>
      <c r="D106" s="993"/>
      <c r="E106" s="961" t="s">
        <v>166</v>
      </c>
      <c r="F106" s="906"/>
      <c r="G106" s="848"/>
      <c r="H106" s="849"/>
      <c r="I106" s="850"/>
      <c r="J106" s="851"/>
      <c r="K106" s="850"/>
      <c r="L106" s="851"/>
      <c r="M106" s="850"/>
      <c r="N106" s="851"/>
      <c r="O106" s="838"/>
      <c r="P106" s="839"/>
      <c r="Q106" s="838"/>
      <c r="R106" s="839"/>
      <c r="S106" s="867"/>
      <c r="T106" s="868"/>
      <c r="U106" s="867"/>
      <c r="V106" s="869"/>
      <c r="W106" s="830"/>
    </row>
    <row r="107" spans="1:28" ht="15.75" customHeight="1">
      <c r="A107" s="793" t="str">
        <f t="shared" si="20"/>
        <v/>
      </c>
      <c r="B107" s="1013"/>
      <c r="C107" s="1009"/>
      <c r="D107" s="993"/>
      <c r="E107" s="961" t="s">
        <v>166</v>
      </c>
      <c r="F107" s="906"/>
      <c r="G107" s="848"/>
      <c r="H107" s="849"/>
      <c r="I107" s="850"/>
      <c r="J107" s="851"/>
      <c r="K107" s="850"/>
      <c r="L107" s="851"/>
      <c r="M107" s="850"/>
      <c r="N107" s="851"/>
      <c r="O107" s="838"/>
      <c r="P107" s="839"/>
      <c r="Q107" s="838"/>
      <c r="R107" s="839"/>
      <c r="S107" s="867"/>
      <c r="T107" s="868"/>
      <c r="U107" s="867"/>
      <c r="V107" s="869"/>
      <c r="W107" s="830"/>
    </row>
    <row r="108" spans="1:28" ht="15.75" customHeight="1">
      <c r="A108" s="793" t="str">
        <f t="shared" si="20"/>
        <v/>
      </c>
      <c r="B108" s="1013"/>
      <c r="C108" s="1009"/>
      <c r="D108" s="993"/>
      <c r="E108" s="962" t="s">
        <v>166</v>
      </c>
      <c r="F108" s="852"/>
      <c r="G108" s="853"/>
      <c r="H108" s="854"/>
      <c r="I108" s="855"/>
      <c r="J108" s="856"/>
      <c r="K108" s="855"/>
      <c r="L108" s="856"/>
      <c r="M108" s="855"/>
      <c r="N108" s="856"/>
      <c r="O108" s="840"/>
      <c r="P108" s="841"/>
      <c r="Q108" s="840"/>
      <c r="R108" s="841"/>
      <c r="S108" s="870"/>
      <c r="T108" s="871"/>
      <c r="U108" s="870"/>
      <c r="V108" s="872"/>
      <c r="W108" s="830"/>
    </row>
    <row r="109" spans="1:28" ht="15.75">
      <c r="A109" s="793" t="str">
        <f t="shared" si="20"/>
        <v>S</v>
      </c>
      <c r="B109" s="1018"/>
      <c r="C109" s="1009"/>
      <c r="D109" s="873" t="s">
        <v>138</v>
      </c>
      <c r="E109" s="898"/>
      <c r="F109" s="824"/>
      <c r="G109" s="783">
        <f>SUM(G96:G108)</f>
        <v>0</v>
      </c>
      <c r="H109" s="784">
        <f>SUM(H96:H108)</f>
        <v>0</v>
      </c>
      <c r="I109" s="785" t="e">
        <f t="shared" si="25"/>
        <v>#DIV/0!</v>
      </c>
      <c r="J109" s="827">
        <f>SUM(J96:J108)</f>
        <v>0</v>
      </c>
      <c r="K109" s="804" t="e">
        <f t="shared" si="22"/>
        <v>#DIV/0!</v>
      </c>
      <c r="L109" s="827">
        <f>SUM(L96:L108)</f>
        <v>0</v>
      </c>
      <c r="M109" s="785" t="e">
        <f t="shared" si="23"/>
        <v>#DIV/0!</v>
      </c>
      <c r="N109" s="827">
        <f t="shared" ref="N109:V109" si="31">SUM(N96:N108)</f>
        <v>0</v>
      </c>
      <c r="O109" s="815">
        <f t="shared" si="31"/>
        <v>0</v>
      </c>
      <c r="P109" s="816">
        <f t="shared" si="31"/>
        <v>0</v>
      </c>
      <c r="Q109" s="815">
        <f t="shared" si="31"/>
        <v>0</v>
      </c>
      <c r="R109" s="816">
        <f t="shared" si="31"/>
        <v>0</v>
      </c>
      <c r="S109" s="815">
        <f t="shared" si="31"/>
        <v>0</v>
      </c>
      <c r="T109" s="816">
        <f t="shared" si="31"/>
        <v>0</v>
      </c>
      <c r="U109" s="815">
        <f t="shared" si="31"/>
        <v>0</v>
      </c>
      <c r="V109" s="817">
        <f t="shared" si="31"/>
        <v>0</v>
      </c>
      <c r="W109" s="830"/>
      <c r="AB109" s="778">
        <f t="shared" si="29"/>
        <v>0</v>
      </c>
    </row>
    <row r="110" spans="1:28">
      <c r="A110" s="793" t="str">
        <f t="shared" si="20"/>
        <v/>
      </c>
      <c r="B110" s="1007" t="s">
        <v>151</v>
      </c>
      <c r="C110" s="1016" t="s">
        <v>76</v>
      </c>
      <c r="D110" s="994">
        <v>23</v>
      </c>
      <c r="E110" s="903" t="s">
        <v>154</v>
      </c>
      <c r="F110" s="904" t="s">
        <v>62</v>
      </c>
      <c r="G110" s="734"/>
      <c r="H110" s="735"/>
      <c r="I110" s="834" t="str">
        <f t="shared" si="25"/>
        <v/>
      </c>
      <c r="J110" s="846"/>
      <c r="K110" s="845" t="str">
        <f t="shared" si="22"/>
        <v/>
      </c>
      <c r="L110" s="846"/>
      <c r="M110" s="834" t="str">
        <f t="shared" si="23"/>
        <v/>
      </c>
      <c r="N110" s="846"/>
      <c r="O110" s="836"/>
      <c r="P110" s="837"/>
      <c r="Q110" s="836"/>
      <c r="R110" s="837"/>
      <c r="S110" s="864"/>
      <c r="T110" s="865"/>
      <c r="U110" s="864"/>
      <c r="V110" s="866"/>
      <c r="W110" s="859" t="s">
        <v>206</v>
      </c>
      <c r="AB110" s="778" t="str">
        <f t="shared" si="29"/>
        <v/>
      </c>
    </row>
    <row r="111" spans="1:28" ht="15.75" customHeight="1">
      <c r="A111" s="793" t="str">
        <f t="shared" si="20"/>
        <v/>
      </c>
      <c r="B111" s="1007"/>
      <c r="C111" s="1016"/>
      <c r="D111" s="994"/>
      <c r="E111" s="905" t="s">
        <v>155</v>
      </c>
      <c r="F111" s="906" t="s">
        <v>62</v>
      </c>
      <c r="G111" s="736"/>
      <c r="H111" s="737"/>
      <c r="I111" s="835" t="str">
        <f t="shared" si="25"/>
        <v/>
      </c>
      <c r="J111" s="851"/>
      <c r="K111" s="850" t="str">
        <f t="shared" si="22"/>
        <v/>
      </c>
      <c r="L111" s="851"/>
      <c r="M111" s="835" t="str">
        <f t="shared" si="23"/>
        <v/>
      </c>
      <c r="N111" s="851"/>
      <c r="O111" s="838"/>
      <c r="P111" s="839"/>
      <c r="Q111" s="838"/>
      <c r="R111" s="839"/>
      <c r="S111" s="867"/>
      <c r="T111" s="868"/>
      <c r="U111" s="867"/>
      <c r="V111" s="869"/>
      <c r="W111" s="860" t="s">
        <v>206</v>
      </c>
      <c r="AB111" s="778" t="str">
        <f t="shared" si="29"/>
        <v/>
      </c>
    </row>
    <row r="112" spans="1:28" ht="15.75" customHeight="1">
      <c r="A112" s="793" t="str">
        <f t="shared" si="20"/>
        <v/>
      </c>
      <c r="B112" s="1007"/>
      <c r="C112" s="1016"/>
      <c r="D112" s="994"/>
      <c r="E112" s="905" t="s">
        <v>156</v>
      </c>
      <c r="F112" s="906" t="s">
        <v>62</v>
      </c>
      <c r="G112" s="736"/>
      <c r="H112" s="737"/>
      <c r="I112" s="835" t="str">
        <f t="shared" si="25"/>
        <v/>
      </c>
      <c r="J112" s="851"/>
      <c r="K112" s="850" t="str">
        <f t="shared" si="22"/>
        <v/>
      </c>
      <c r="L112" s="851"/>
      <c r="M112" s="835" t="str">
        <f t="shared" si="23"/>
        <v/>
      </c>
      <c r="N112" s="851"/>
      <c r="O112" s="838"/>
      <c r="P112" s="839"/>
      <c r="Q112" s="838"/>
      <c r="R112" s="839"/>
      <c r="S112" s="867"/>
      <c r="T112" s="868"/>
      <c r="U112" s="867"/>
      <c r="V112" s="869"/>
      <c r="W112" s="860" t="s">
        <v>206</v>
      </c>
      <c r="AB112" s="778" t="str">
        <f t="shared" si="29"/>
        <v/>
      </c>
    </row>
    <row r="113" spans="1:28" ht="15" customHeight="1">
      <c r="A113" s="793" t="str">
        <f t="shared" si="20"/>
        <v/>
      </c>
      <c r="B113" s="1007"/>
      <c r="C113" s="1016"/>
      <c r="D113" s="994"/>
      <c r="E113" s="905" t="s">
        <v>37</v>
      </c>
      <c r="F113" s="908" t="s">
        <v>62</v>
      </c>
      <c r="G113" s="848"/>
      <c r="H113" s="849"/>
      <c r="I113" s="850" t="str">
        <f t="shared" si="25"/>
        <v/>
      </c>
      <c r="J113" s="851"/>
      <c r="K113" s="850" t="str">
        <f t="shared" si="22"/>
        <v/>
      </c>
      <c r="L113" s="851"/>
      <c r="M113" s="850" t="str">
        <f t="shared" si="23"/>
        <v/>
      </c>
      <c r="N113" s="851"/>
      <c r="O113" s="838"/>
      <c r="P113" s="839"/>
      <c r="Q113" s="838"/>
      <c r="R113" s="839"/>
      <c r="S113" s="867"/>
      <c r="T113" s="868"/>
      <c r="U113" s="867"/>
      <c r="V113" s="869"/>
      <c r="W113" s="860" t="s">
        <v>206</v>
      </c>
      <c r="AB113" s="778" t="str">
        <f t="shared" si="29"/>
        <v/>
      </c>
    </row>
    <row r="114" spans="1:28" ht="15" customHeight="1">
      <c r="A114" s="793" t="str">
        <f t="shared" ref="A114:A159" si="32">IF(D114="Sous-total","S",IF(G114="","","X"))</f>
        <v/>
      </c>
      <c r="B114" s="1007"/>
      <c r="C114" s="1016"/>
      <c r="D114" s="994"/>
      <c r="E114" s="905" t="s">
        <v>157</v>
      </c>
      <c r="F114" s="908" t="s">
        <v>62</v>
      </c>
      <c r="G114" s="848"/>
      <c r="H114" s="849"/>
      <c r="I114" s="850" t="str">
        <f t="shared" si="25"/>
        <v/>
      </c>
      <c r="J114" s="851"/>
      <c r="K114" s="850" t="str">
        <f t="shared" si="22"/>
        <v/>
      </c>
      <c r="L114" s="851"/>
      <c r="M114" s="850" t="str">
        <f t="shared" si="23"/>
        <v/>
      </c>
      <c r="N114" s="851"/>
      <c r="O114" s="838"/>
      <c r="P114" s="839"/>
      <c r="Q114" s="838"/>
      <c r="R114" s="839"/>
      <c r="S114" s="867"/>
      <c r="T114" s="868"/>
      <c r="U114" s="867"/>
      <c r="V114" s="869"/>
      <c r="W114" s="860" t="s">
        <v>206</v>
      </c>
      <c r="AB114" s="778" t="str">
        <f t="shared" si="29"/>
        <v/>
      </c>
    </row>
    <row r="115" spans="1:28" ht="15" customHeight="1">
      <c r="A115" s="793" t="str">
        <f t="shared" si="32"/>
        <v/>
      </c>
      <c r="B115" s="1007"/>
      <c r="C115" s="1016"/>
      <c r="D115" s="994"/>
      <c r="E115" s="905" t="s">
        <v>38</v>
      </c>
      <c r="F115" s="908" t="s">
        <v>62</v>
      </c>
      <c r="G115" s="848"/>
      <c r="H115" s="849"/>
      <c r="I115" s="850" t="str">
        <f t="shared" si="25"/>
        <v/>
      </c>
      <c r="J115" s="851"/>
      <c r="K115" s="850" t="str">
        <f t="shared" si="22"/>
        <v/>
      </c>
      <c r="L115" s="851"/>
      <c r="M115" s="850" t="str">
        <f t="shared" si="23"/>
        <v/>
      </c>
      <c r="N115" s="851"/>
      <c r="O115" s="838"/>
      <c r="P115" s="839"/>
      <c r="Q115" s="838"/>
      <c r="R115" s="839"/>
      <c r="S115" s="867"/>
      <c r="T115" s="868"/>
      <c r="U115" s="867"/>
      <c r="V115" s="869"/>
      <c r="W115" s="860" t="s">
        <v>206</v>
      </c>
      <c r="AB115" s="778" t="str">
        <f t="shared" si="29"/>
        <v/>
      </c>
    </row>
    <row r="116" spans="1:28" ht="15" customHeight="1">
      <c r="A116" s="793" t="str">
        <f t="shared" si="32"/>
        <v/>
      </c>
      <c r="B116" s="1007"/>
      <c r="C116" s="1016"/>
      <c r="D116" s="994"/>
      <c r="E116" s="905" t="s">
        <v>158</v>
      </c>
      <c r="F116" s="906" t="s">
        <v>62</v>
      </c>
      <c r="G116" s="848"/>
      <c r="H116" s="849"/>
      <c r="I116" s="850" t="str">
        <f t="shared" si="25"/>
        <v/>
      </c>
      <c r="J116" s="851"/>
      <c r="K116" s="850" t="str">
        <f t="shared" si="22"/>
        <v/>
      </c>
      <c r="L116" s="851"/>
      <c r="M116" s="850" t="str">
        <f t="shared" si="23"/>
        <v/>
      </c>
      <c r="N116" s="851"/>
      <c r="O116" s="838"/>
      <c r="P116" s="839"/>
      <c r="Q116" s="838"/>
      <c r="R116" s="839"/>
      <c r="S116" s="867"/>
      <c r="T116" s="868"/>
      <c r="U116" s="867"/>
      <c r="V116" s="869"/>
      <c r="W116" s="860" t="s">
        <v>206</v>
      </c>
      <c r="AB116" s="778" t="str">
        <f t="shared" si="29"/>
        <v/>
      </c>
    </row>
    <row r="117" spans="1:28" ht="15" customHeight="1">
      <c r="A117" s="793" t="str">
        <f t="shared" si="32"/>
        <v/>
      </c>
      <c r="B117" s="1007"/>
      <c r="C117" s="1016"/>
      <c r="D117" s="994"/>
      <c r="E117" s="905" t="s">
        <v>148</v>
      </c>
      <c r="F117" s="906" t="s">
        <v>62</v>
      </c>
      <c r="G117" s="848"/>
      <c r="H117" s="849"/>
      <c r="I117" s="850" t="str">
        <f t="shared" si="25"/>
        <v/>
      </c>
      <c r="J117" s="851"/>
      <c r="K117" s="850" t="str">
        <f t="shared" si="22"/>
        <v/>
      </c>
      <c r="L117" s="851"/>
      <c r="M117" s="850" t="str">
        <f t="shared" si="23"/>
        <v/>
      </c>
      <c r="N117" s="851"/>
      <c r="O117" s="838"/>
      <c r="P117" s="839"/>
      <c r="Q117" s="838"/>
      <c r="R117" s="839"/>
      <c r="S117" s="867"/>
      <c r="T117" s="868"/>
      <c r="U117" s="867"/>
      <c r="V117" s="869"/>
      <c r="W117" s="860" t="s">
        <v>206</v>
      </c>
      <c r="AB117" s="778" t="str">
        <f t="shared" si="29"/>
        <v/>
      </c>
    </row>
    <row r="118" spans="1:28" ht="15" customHeight="1">
      <c r="A118" s="793" t="str">
        <f t="shared" si="32"/>
        <v/>
      </c>
      <c r="B118" s="1007"/>
      <c r="C118" s="1016"/>
      <c r="D118" s="994"/>
      <c r="E118" s="905" t="s">
        <v>149</v>
      </c>
      <c r="F118" s="908" t="s">
        <v>62</v>
      </c>
      <c r="G118" s="738"/>
      <c r="H118" s="739"/>
      <c r="I118" s="740" t="str">
        <f t="shared" si="25"/>
        <v/>
      </c>
      <c r="J118" s="741"/>
      <c r="K118" s="740" t="str">
        <f t="shared" si="22"/>
        <v/>
      </c>
      <c r="L118" s="741"/>
      <c r="M118" s="740" t="str">
        <f t="shared" si="23"/>
        <v/>
      </c>
      <c r="N118" s="741"/>
      <c r="O118" s="742"/>
      <c r="P118" s="743"/>
      <c r="Q118" s="742"/>
      <c r="R118" s="743"/>
      <c r="S118" s="744"/>
      <c r="T118" s="745"/>
      <c r="U118" s="744"/>
      <c r="V118" s="746"/>
      <c r="W118" s="860" t="s">
        <v>206</v>
      </c>
      <c r="AB118" s="778" t="str">
        <f t="shared" si="29"/>
        <v/>
      </c>
    </row>
    <row r="119" spans="1:28" ht="15" customHeight="1">
      <c r="A119" s="793" t="str">
        <f t="shared" si="32"/>
        <v/>
      </c>
      <c r="B119" s="1007"/>
      <c r="C119" s="1016"/>
      <c r="D119" s="994"/>
      <c r="E119" s="961" t="s">
        <v>166</v>
      </c>
      <c r="F119" s="908" t="s">
        <v>62</v>
      </c>
      <c r="G119" s="848"/>
      <c r="H119" s="849"/>
      <c r="I119" s="850" t="str">
        <f t="shared" si="25"/>
        <v/>
      </c>
      <c r="J119" s="851"/>
      <c r="K119" s="850" t="str">
        <f t="shared" si="22"/>
        <v/>
      </c>
      <c r="L119" s="851"/>
      <c r="M119" s="850" t="str">
        <f t="shared" si="23"/>
        <v/>
      </c>
      <c r="N119" s="851"/>
      <c r="O119" s="838"/>
      <c r="P119" s="839"/>
      <c r="Q119" s="838"/>
      <c r="R119" s="839"/>
      <c r="S119" s="867"/>
      <c r="T119" s="868"/>
      <c r="U119" s="867"/>
      <c r="V119" s="869"/>
      <c r="W119" s="860" t="s">
        <v>206</v>
      </c>
      <c r="AB119" s="778" t="str">
        <f t="shared" si="29"/>
        <v/>
      </c>
    </row>
    <row r="120" spans="1:28" ht="15" customHeight="1">
      <c r="A120" s="793" t="str">
        <f t="shared" si="32"/>
        <v/>
      </c>
      <c r="B120" s="1007"/>
      <c r="C120" s="1016"/>
      <c r="D120" s="994"/>
      <c r="E120" s="961" t="s">
        <v>166</v>
      </c>
      <c r="F120" s="908" t="s">
        <v>62</v>
      </c>
      <c r="G120" s="848"/>
      <c r="H120" s="849"/>
      <c r="I120" s="850" t="str">
        <f t="shared" si="25"/>
        <v/>
      </c>
      <c r="J120" s="851"/>
      <c r="K120" s="850" t="str">
        <f t="shared" si="22"/>
        <v/>
      </c>
      <c r="L120" s="851"/>
      <c r="M120" s="850" t="str">
        <f t="shared" si="23"/>
        <v/>
      </c>
      <c r="N120" s="851"/>
      <c r="O120" s="838"/>
      <c r="P120" s="839"/>
      <c r="Q120" s="838"/>
      <c r="R120" s="839"/>
      <c r="S120" s="867"/>
      <c r="T120" s="868"/>
      <c r="U120" s="867"/>
      <c r="V120" s="869"/>
      <c r="W120" s="860" t="s">
        <v>206</v>
      </c>
      <c r="AB120" s="778" t="str">
        <f t="shared" si="29"/>
        <v/>
      </c>
    </row>
    <row r="121" spans="1:28" ht="15" customHeight="1">
      <c r="A121" s="793" t="str">
        <f t="shared" si="32"/>
        <v/>
      </c>
      <c r="B121" s="1007"/>
      <c r="C121" s="1016"/>
      <c r="D121" s="994"/>
      <c r="E121" s="905" t="s">
        <v>152</v>
      </c>
      <c r="F121" s="908" t="s">
        <v>62</v>
      </c>
      <c r="G121" s="738"/>
      <c r="H121" s="739"/>
      <c r="I121" s="740" t="str">
        <f t="shared" si="25"/>
        <v/>
      </c>
      <c r="J121" s="741"/>
      <c r="K121" s="740" t="str">
        <f t="shared" si="22"/>
        <v/>
      </c>
      <c r="L121" s="741"/>
      <c r="M121" s="740" t="str">
        <f t="shared" si="23"/>
        <v/>
      </c>
      <c r="N121" s="741"/>
      <c r="O121" s="742"/>
      <c r="P121" s="743"/>
      <c r="Q121" s="742"/>
      <c r="R121" s="743"/>
      <c r="S121" s="744"/>
      <c r="T121" s="745"/>
      <c r="U121" s="744"/>
      <c r="V121" s="746"/>
      <c r="W121" s="860" t="s">
        <v>206</v>
      </c>
      <c r="AB121" s="778" t="str">
        <f t="shared" si="29"/>
        <v/>
      </c>
    </row>
    <row r="122" spans="1:28" ht="15" customHeight="1">
      <c r="A122" s="793" t="str">
        <f t="shared" si="32"/>
        <v/>
      </c>
      <c r="B122" s="1007"/>
      <c r="C122" s="1016"/>
      <c r="D122" s="994"/>
      <c r="E122" s="961" t="s">
        <v>166</v>
      </c>
      <c r="F122" s="908"/>
      <c r="G122" s="738"/>
      <c r="H122" s="739"/>
      <c r="I122" s="740"/>
      <c r="J122" s="741"/>
      <c r="K122" s="740"/>
      <c r="L122" s="741"/>
      <c r="M122" s="740"/>
      <c r="N122" s="741"/>
      <c r="O122" s="742"/>
      <c r="P122" s="743"/>
      <c r="Q122" s="742"/>
      <c r="R122" s="743"/>
      <c r="S122" s="744"/>
      <c r="T122" s="745"/>
      <c r="U122" s="744"/>
      <c r="V122" s="746"/>
      <c r="W122" s="861"/>
    </row>
    <row r="123" spans="1:28" ht="15" customHeight="1">
      <c r="A123" s="793" t="str">
        <f t="shared" si="32"/>
        <v/>
      </c>
      <c r="B123" s="1007"/>
      <c r="C123" s="1016"/>
      <c r="D123" s="994"/>
      <c r="E123" s="961" t="s">
        <v>166</v>
      </c>
      <c r="F123" s="908"/>
      <c r="G123" s="738"/>
      <c r="H123" s="739"/>
      <c r="I123" s="740"/>
      <c r="J123" s="741"/>
      <c r="K123" s="740"/>
      <c r="L123" s="741"/>
      <c r="M123" s="740"/>
      <c r="N123" s="741"/>
      <c r="O123" s="742"/>
      <c r="P123" s="743"/>
      <c r="Q123" s="742"/>
      <c r="R123" s="743"/>
      <c r="S123" s="744"/>
      <c r="T123" s="745"/>
      <c r="U123" s="744"/>
      <c r="V123" s="746"/>
      <c r="W123" s="861"/>
    </row>
    <row r="124" spans="1:28" ht="15" customHeight="1">
      <c r="A124" s="793" t="str">
        <f t="shared" si="32"/>
        <v/>
      </c>
      <c r="B124" s="1007"/>
      <c r="C124" s="1016"/>
      <c r="D124" s="994"/>
      <c r="E124" s="962" t="s">
        <v>166</v>
      </c>
      <c r="F124" s="915"/>
      <c r="G124" s="766"/>
      <c r="H124" s="767"/>
      <c r="I124" s="768"/>
      <c r="J124" s="769"/>
      <c r="K124" s="768"/>
      <c r="L124" s="769"/>
      <c r="M124" s="768"/>
      <c r="N124" s="769"/>
      <c r="O124" s="770"/>
      <c r="P124" s="771"/>
      <c r="Q124" s="770"/>
      <c r="R124" s="771"/>
      <c r="S124" s="772"/>
      <c r="T124" s="773"/>
      <c r="U124" s="772"/>
      <c r="V124" s="774"/>
      <c r="W124" s="861"/>
    </row>
    <row r="125" spans="1:28" ht="15.75">
      <c r="A125" s="793" t="str">
        <f t="shared" si="32"/>
        <v>S</v>
      </c>
      <c r="B125" s="1007"/>
      <c r="C125" s="1016"/>
      <c r="D125" s="874" t="s">
        <v>138</v>
      </c>
      <c r="E125" s="898"/>
      <c r="F125" s="857"/>
      <c r="G125" s="783">
        <f>SUM(G110:G124)</f>
        <v>0</v>
      </c>
      <c r="H125" s="784">
        <f>SUM(H110:H124)</f>
        <v>0</v>
      </c>
      <c r="I125" s="785" t="e">
        <f t="shared" si="25"/>
        <v>#DIV/0!</v>
      </c>
      <c r="J125" s="827">
        <f>SUM(J110:J124)</f>
        <v>0</v>
      </c>
      <c r="K125" s="804" t="e">
        <f t="shared" si="22"/>
        <v>#DIV/0!</v>
      </c>
      <c r="L125" s="827">
        <f>SUM(L110:L124)</f>
        <v>0</v>
      </c>
      <c r="M125" s="785" t="e">
        <f t="shared" si="23"/>
        <v>#DIV/0!</v>
      </c>
      <c r="N125" s="827">
        <f t="shared" ref="N125:V125" si="33">SUM(N110:N124)</f>
        <v>0</v>
      </c>
      <c r="O125" s="815">
        <f t="shared" si="33"/>
        <v>0</v>
      </c>
      <c r="P125" s="816">
        <f t="shared" si="33"/>
        <v>0</v>
      </c>
      <c r="Q125" s="815">
        <f t="shared" si="33"/>
        <v>0</v>
      </c>
      <c r="R125" s="816">
        <f t="shared" si="33"/>
        <v>0</v>
      </c>
      <c r="S125" s="815">
        <f t="shared" si="33"/>
        <v>0</v>
      </c>
      <c r="T125" s="816">
        <f t="shared" si="33"/>
        <v>0</v>
      </c>
      <c r="U125" s="815">
        <f t="shared" si="33"/>
        <v>0</v>
      </c>
      <c r="V125" s="817">
        <f t="shared" si="33"/>
        <v>0</v>
      </c>
      <c r="W125" s="861"/>
      <c r="AB125" s="778">
        <f t="shared" si="29"/>
        <v>0</v>
      </c>
    </row>
    <row r="126" spans="1:28" ht="15.75" customHeight="1">
      <c r="A126" s="793" t="str">
        <f t="shared" si="32"/>
        <v/>
      </c>
      <c r="B126" s="1022" t="s">
        <v>72</v>
      </c>
      <c r="C126" s="1016" t="s">
        <v>76</v>
      </c>
      <c r="D126" s="994">
        <v>3</v>
      </c>
      <c r="E126" s="903" t="s">
        <v>150</v>
      </c>
      <c r="F126" s="914" t="s">
        <v>62</v>
      </c>
      <c r="G126" s="843"/>
      <c r="H126" s="844"/>
      <c r="I126" s="845" t="str">
        <f t="shared" si="25"/>
        <v/>
      </c>
      <c r="J126" s="846"/>
      <c r="K126" s="845" t="str">
        <f t="shared" si="22"/>
        <v/>
      </c>
      <c r="L126" s="846"/>
      <c r="M126" s="845" t="str">
        <f t="shared" si="23"/>
        <v/>
      </c>
      <c r="N126" s="846"/>
      <c r="O126" s="836"/>
      <c r="P126" s="837"/>
      <c r="Q126" s="836"/>
      <c r="R126" s="837"/>
      <c r="S126" s="864"/>
      <c r="T126" s="865"/>
      <c r="U126" s="864"/>
      <c r="V126" s="866"/>
      <c r="W126" s="830" t="s">
        <v>206</v>
      </c>
      <c r="AB126" s="778" t="str">
        <f t="shared" si="29"/>
        <v/>
      </c>
    </row>
    <row r="127" spans="1:28" ht="15.75" customHeight="1">
      <c r="A127" s="793" t="str">
        <f t="shared" si="32"/>
        <v/>
      </c>
      <c r="B127" s="1022"/>
      <c r="C127" s="1016"/>
      <c r="D127" s="994"/>
      <c r="E127" s="905" t="s">
        <v>153</v>
      </c>
      <c r="F127" s="908" t="s">
        <v>62</v>
      </c>
      <c r="G127" s="848"/>
      <c r="H127" s="849"/>
      <c r="I127" s="850" t="str">
        <f t="shared" si="25"/>
        <v/>
      </c>
      <c r="J127" s="851"/>
      <c r="K127" s="850" t="str">
        <f t="shared" si="22"/>
        <v/>
      </c>
      <c r="L127" s="851"/>
      <c r="M127" s="850" t="str">
        <f t="shared" si="23"/>
        <v/>
      </c>
      <c r="N127" s="851"/>
      <c r="O127" s="838"/>
      <c r="P127" s="839"/>
      <c r="Q127" s="838"/>
      <c r="R127" s="839"/>
      <c r="S127" s="867"/>
      <c r="T127" s="868"/>
      <c r="U127" s="867"/>
      <c r="V127" s="869"/>
      <c r="W127" s="830" t="s">
        <v>206</v>
      </c>
      <c r="AB127" s="778" t="str">
        <f t="shared" si="29"/>
        <v/>
      </c>
    </row>
    <row r="128" spans="1:28" ht="15.75" customHeight="1">
      <c r="A128" s="793" t="str">
        <f t="shared" si="32"/>
        <v/>
      </c>
      <c r="B128" s="1022"/>
      <c r="C128" s="1016"/>
      <c r="D128" s="994"/>
      <c r="E128" s="961" t="s">
        <v>166</v>
      </c>
      <c r="F128" s="908" t="s">
        <v>62</v>
      </c>
      <c r="G128" s="848"/>
      <c r="H128" s="849"/>
      <c r="I128" s="850" t="str">
        <f t="shared" si="25"/>
        <v/>
      </c>
      <c r="J128" s="851"/>
      <c r="K128" s="850" t="str">
        <f t="shared" si="22"/>
        <v/>
      </c>
      <c r="L128" s="851"/>
      <c r="M128" s="850" t="str">
        <f t="shared" si="23"/>
        <v/>
      </c>
      <c r="N128" s="851"/>
      <c r="O128" s="838"/>
      <c r="P128" s="839"/>
      <c r="Q128" s="838"/>
      <c r="R128" s="839"/>
      <c r="S128" s="867"/>
      <c r="T128" s="868"/>
      <c r="U128" s="867"/>
      <c r="V128" s="869"/>
      <c r="W128" s="830" t="s">
        <v>206</v>
      </c>
      <c r="AB128" s="778" t="str">
        <f t="shared" si="29"/>
        <v/>
      </c>
    </row>
    <row r="129" spans="1:28" ht="15.75" customHeight="1">
      <c r="A129" s="793" t="str">
        <f t="shared" si="32"/>
        <v/>
      </c>
      <c r="B129" s="1022"/>
      <c r="C129" s="1016"/>
      <c r="D129" s="994"/>
      <c r="E129" s="961" t="s">
        <v>166</v>
      </c>
      <c r="F129" s="908" t="s">
        <v>62</v>
      </c>
      <c r="G129" s="848"/>
      <c r="H129" s="849"/>
      <c r="I129" s="850" t="str">
        <f t="shared" si="25"/>
        <v/>
      </c>
      <c r="J129" s="851"/>
      <c r="K129" s="850" t="str">
        <f t="shared" ref="K129:K161" si="34">IF(L129="","",L129/G129)</f>
        <v/>
      </c>
      <c r="L129" s="851"/>
      <c r="M129" s="850" t="str">
        <f t="shared" ref="M129:M161" si="35">IF(N129="","",N129/L129)</f>
        <v/>
      </c>
      <c r="N129" s="851"/>
      <c r="O129" s="838"/>
      <c r="P129" s="839"/>
      <c r="Q129" s="838"/>
      <c r="R129" s="839"/>
      <c r="S129" s="867"/>
      <c r="T129" s="868"/>
      <c r="U129" s="867"/>
      <c r="V129" s="869"/>
      <c r="W129" s="830" t="s">
        <v>206</v>
      </c>
      <c r="AB129" s="778" t="str">
        <f t="shared" si="29"/>
        <v/>
      </c>
    </row>
    <row r="130" spans="1:28" ht="15.75" customHeight="1">
      <c r="A130" s="793" t="str">
        <f t="shared" si="32"/>
        <v/>
      </c>
      <c r="B130" s="1022"/>
      <c r="C130" s="1016"/>
      <c r="D130" s="994"/>
      <c r="E130" s="905" t="s">
        <v>36</v>
      </c>
      <c r="F130" s="908" t="s">
        <v>62</v>
      </c>
      <c r="G130" s="848"/>
      <c r="H130" s="849"/>
      <c r="I130" s="850" t="str">
        <f t="shared" si="25"/>
        <v/>
      </c>
      <c r="J130" s="851"/>
      <c r="K130" s="850" t="str">
        <f t="shared" si="34"/>
        <v/>
      </c>
      <c r="L130" s="851"/>
      <c r="M130" s="850" t="str">
        <f t="shared" si="35"/>
        <v/>
      </c>
      <c r="N130" s="851"/>
      <c r="O130" s="838"/>
      <c r="P130" s="839"/>
      <c r="Q130" s="838"/>
      <c r="R130" s="839"/>
      <c r="S130" s="867"/>
      <c r="T130" s="868"/>
      <c r="U130" s="867"/>
      <c r="V130" s="869"/>
      <c r="W130" s="830" t="s">
        <v>206</v>
      </c>
      <c r="AB130" s="778" t="str">
        <f t="shared" si="29"/>
        <v/>
      </c>
    </row>
    <row r="131" spans="1:28" ht="15.75" customHeight="1">
      <c r="A131" s="793" t="str">
        <f t="shared" si="32"/>
        <v/>
      </c>
      <c r="B131" s="1022"/>
      <c r="C131" s="1016"/>
      <c r="D131" s="994"/>
      <c r="E131" s="961" t="s">
        <v>166</v>
      </c>
      <c r="F131" s="908"/>
      <c r="G131" s="848"/>
      <c r="H131" s="849"/>
      <c r="I131" s="850"/>
      <c r="J131" s="851"/>
      <c r="K131" s="850"/>
      <c r="L131" s="851"/>
      <c r="M131" s="850"/>
      <c r="N131" s="851"/>
      <c r="O131" s="838"/>
      <c r="P131" s="839"/>
      <c r="Q131" s="838"/>
      <c r="R131" s="839"/>
      <c r="S131" s="867"/>
      <c r="T131" s="868"/>
      <c r="U131" s="867"/>
      <c r="V131" s="869"/>
      <c r="W131" s="830"/>
    </row>
    <row r="132" spans="1:28" ht="15.75" customHeight="1">
      <c r="A132" s="793" t="str">
        <f t="shared" si="32"/>
        <v/>
      </c>
      <c r="B132" s="1022"/>
      <c r="C132" s="1016"/>
      <c r="D132" s="994"/>
      <c r="E132" s="961" t="s">
        <v>166</v>
      </c>
      <c r="F132" s="908"/>
      <c r="G132" s="848"/>
      <c r="H132" s="849"/>
      <c r="I132" s="850"/>
      <c r="J132" s="851"/>
      <c r="K132" s="850"/>
      <c r="L132" s="851"/>
      <c r="M132" s="850"/>
      <c r="N132" s="851"/>
      <c r="O132" s="838"/>
      <c r="P132" s="839"/>
      <c r="Q132" s="838"/>
      <c r="R132" s="839"/>
      <c r="S132" s="867"/>
      <c r="T132" s="868"/>
      <c r="U132" s="867"/>
      <c r="V132" s="869"/>
      <c r="W132" s="830"/>
    </row>
    <row r="133" spans="1:28" ht="15.75" customHeight="1">
      <c r="A133" s="793" t="str">
        <f t="shared" si="32"/>
        <v/>
      </c>
      <c r="B133" s="1022"/>
      <c r="C133" s="1016"/>
      <c r="D133" s="994"/>
      <c r="E133" s="962" t="s">
        <v>166</v>
      </c>
      <c r="F133" s="915"/>
      <c r="G133" s="853"/>
      <c r="H133" s="854"/>
      <c r="I133" s="855"/>
      <c r="J133" s="856"/>
      <c r="K133" s="855"/>
      <c r="L133" s="856"/>
      <c r="M133" s="855"/>
      <c r="N133" s="856"/>
      <c r="O133" s="840"/>
      <c r="P133" s="841"/>
      <c r="Q133" s="840"/>
      <c r="R133" s="841"/>
      <c r="S133" s="870"/>
      <c r="T133" s="871"/>
      <c r="U133" s="870"/>
      <c r="V133" s="872"/>
      <c r="W133" s="830"/>
    </row>
    <row r="134" spans="1:28" ht="15.75" customHeight="1">
      <c r="A134" s="793" t="str">
        <f t="shared" si="32"/>
        <v>S</v>
      </c>
      <c r="B134" s="1022"/>
      <c r="C134" s="1016"/>
      <c r="D134" s="874" t="s">
        <v>138</v>
      </c>
      <c r="E134" s="898"/>
      <c r="F134" s="857"/>
      <c r="G134" s="783">
        <f>SUM(G126:G133)</f>
        <v>0</v>
      </c>
      <c r="H134" s="784">
        <f>SUM(H126:H133)</f>
        <v>0</v>
      </c>
      <c r="I134" s="785" t="e">
        <f t="shared" si="25"/>
        <v>#DIV/0!</v>
      </c>
      <c r="J134" s="827">
        <f>SUM(J126:J133)</f>
        <v>0</v>
      </c>
      <c r="K134" s="804" t="e">
        <f t="shared" si="34"/>
        <v>#DIV/0!</v>
      </c>
      <c r="L134" s="827">
        <f>SUM(L126:L133)</f>
        <v>0</v>
      </c>
      <c r="M134" s="785" t="e">
        <f t="shared" si="35"/>
        <v>#DIV/0!</v>
      </c>
      <c r="N134" s="827">
        <f t="shared" ref="N134:V134" si="36">SUM(N126:N133)</f>
        <v>0</v>
      </c>
      <c r="O134" s="815">
        <f t="shared" si="36"/>
        <v>0</v>
      </c>
      <c r="P134" s="816">
        <f t="shared" si="36"/>
        <v>0</v>
      </c>
      <c r="Q134" s="815">
        <f t="shared" si="36"/>
        <v>0</v>
      </c>
      <c r="R134" s="816">
        <f t="shared" si="36"/>
        <v>0</v>
      </c>
      <c r="S134" s="815">
        <f t="shared" si="36"/>
        <v>0</v>
      </c>
      <c r="T134" s="816">
        <f t="shared" si="36"/>
        <v>0</v>
      </c>
      <c r="U134" s="815">
        <f t="shared" si="36"/>
        <v>0</v>
      </c>
      <c r="V134" s="817">
        <f t="shared" si="36"/>
        <v>0</v>
      </c>
      <c r="W134" s="830"/>
      <c r="AB134" s="778">
        <f t="shared" si="29"/>
        <v>0</v>
      </c>
    </row>
    <row r="135" spans="1:28" ht="15.75" customHeight="1">
      <c r="A135" s="793" t="str">
        <f t="shared" si="32"/>
        <v/>
      </c>
      <c r="B135" s="980" t="s">
        <v>3</v>
      </c>
      <c r="C135" s="983" t="s">
        <v>76</v>
      </c>
      <c r="D135" s="988">
        <v>17</v>
      </c>
      <c r="E135" s="901" t="s">
        <v>48</v>
      </c>
      <c r="F135" s="842" t="s">
        <v>61</v>
      </c>
      <c r="G135" s="843"/>
      <c r="H135" s="844"/>
      <c r="I135" s="845" t="str">
        <f t="shared" si="25"/>
        <v/>
      </c>
      <c r="J135" s="846"/>
      <c r="K135" s="845" t="str">
        <f t="shared" si="34"/>
        <v/>
      </c>
      <c r="L135" s="846"/>
      <c r="M135" s="845" t="str">
        <f t="shared" si="35"/>
        <v/>
      </c>
      <c r="N135" s="846"/>
      <c r="O135" s="836"/>
      <c r="P135" s="837"/>
      <c r="Q135" s="836"/>
      <c r="R135" s="837"/>
      <c r="S135" s="721"/>
      <c r="T135" s="722"/>
      <c r="U135" s="721"/>
      <c r="V135" s="723"/>
      <c r="W135" s="830" t="s">
        <v>206</v>
      </c>
      <c r="AB135" s="778" t="str">
        <f t="shared" si="29"/>
        <v/>
      </c>
    </row>
    <row r="136" spans="1:28" ht="15.75" customHeight="1">
      <c r="A136" s="793" t="str">
        <f t="shared" si="32"/>
        <v/>
      </c>
      <c r="B136" s="981"/>
      <c r="C136" s="984"/>
      <c r="D136" s="989"/>
      <c r="E136" s="902" t="s">
        <v>49</v>
      </c>
      <c r="F136" s="847" t="s">
        <v>61</v>
      </c>
      <c r="G136" s="848"/>
      <c r="H136" s="849"/>
      <c r="I136" s="850" t="str">
        <f t="shared" si="25"/>
        <v/>
      </c>
      <c r="J136" s="851"/>
      <c r="K136" s="850" t="str">
        <f t="shared" si="34"/>
        <v/>
      </c>
      <c r="L136" s="851"/>
      <c r="M136" s="850" t="str">
        <f t="shared" si="35"/>
        <v/>
      </c>
      <c r="N136" s="851"/>
      <c r="O136" s="838"/>
      <c r="P136" s="839"/>
      <c r="Q136" s="838"/>
      <c r="R136" s="839"/>
      <c r="S136" s="724"/>
      <c r="T136" s="725"/>
      <c r="U136" s="724"/>
      <c r="V136" s="726"/>
      <c r="W136" s="830" t="s">
        <v>206</v>
      </c>
      <c r="AB136" s="778" t="str">
        <f t="shared" si="29"/>
        <v/>
      </c>
    </row>
    <row r="137" spans="1:28" ht="15.75" customHeight="1">
      <c r="A137" s="793" t="str">
        <f t="shared" si="32"/>
        <v/>
      </c>
      <c r="B137" s="981"/>
      <c r="C137" s="984"/>
      <c r="D137" s="989"/>
      <c r="E137" s="902" t="s">
        <v>81</v>
      </c>
      <c r="F137" s="847" t="s">
        <v>61</v>
      </c>
      <c r="G137" s="848"/>
      <c r="H137" s="849"/>
      <c r="I137" s="850" t="str">
        <f t="shared" si="25"/>
        <v/>
      </c>
      <c r="J137" s="851"/>
      <c r="K137" s="850" t="str">
        <f t="shared" si="34"/>
        <v/>
      </c>
      <c r="L137" s="851"/>
      <c r="M137" s="850" t="str">
        <f t="shared" si="35"/>
        <v/>
      </c>
      <c r="N137" s="851"/>
      <c r="O137" s="838"/>
      <c r="P137" s="839"/>
      <c r="Q137" s="838"/>
      <c r="R137" s="839"/>
      <c r="S137" s="724"/>
      <c r="T137" s="725"/>
      <c r="U137" s="724"/>
      <c r="V137" s="726"/>
      <c r="W137" s="830" t="s">
        <v>206</v>
      </c>
      <c r="AB137" s="778" t="str">
        <f t="shared" si="29"/>
        <v/>
      </c>
    </row>
    <row r="138" spans="1:28" ht="15.75" customHeight="1">
      <c r="A138" s="793" t="str">
        <f t="shared" si="32"/>
        <v/>
      </c>
      <c r="B138" s="981"/>
      <c r="C138" s="984"/>
      <c r="D138" s="989"/>
      <c r="E138" s="902" t="s">
        <v>73</v>
      </c>
      <c r="F138" s="847" t="s">
        <v>61</v>
      </c>
      <c r="G138" s="848"/>
      <c r="H138" s="849"/>
      <c r="I138" s="850" t="str">
        <f t="shared" si="25"/>
        <v/>
      </c>
      <c r="J138" s="851"/>
      <c r="K138" s="850" t="str">
        <f t="shared" si="34"/>
        <v/>
      </c>
      <c r="L138" s="851"/>
      <c r="M138" s="850" t="str">
        <f t="shared" si="35"/>
        <v/>
      </c>
      <c r="N138" s="851"/>
      <c r="O138" s="838"/>
      <c r="P138" s="839"/>
      <c r="Q138" s="838"/>
      <c r="R138" s="839"/>
      <c r="S138" s="724"/>
      <c r="T138" s="725"/>
      <c r="U138" s="724"/>
      <c r="V138" s="726"/>
      <c r="W138" s="830" t="s">
        <v>206</v>
      </c>
      <c r="AB138" s="778" t="str">
        <f t="shared" si="29"/>
        <v/>
      </c>
    </row>
    <row r="139" spans="1:28" ht="15.75" customHeight="1">
      <c r="A139" s="793" t="str">
        <f t="shared" si="32"/>
        <v/>
      </c>
      <c r="B139" s="981"/>
      <c r="C139" s="984"/>
      <c r="D139" s="989"/>
      <c r="E139" s="902" t="s">
        <v>50</v>
      </c>
      <c r="F139" s="847" t="s">
        <v>61</v>
      </c>
      <c r="G139" s="848"/>
      <c r="H139" s="849"/>
      <c r="I139" s="850" t="str">
        <f t="shared" si="25"/>
        <v/>
      </c>
      <c r="J139" s="851"/>
      <c r="K139" s="850" t="str">
        <f t="shared" si="34"/>
        <v/>
      </c>
      <c r="L139" s="851"/>
      <c r="M139" s="850" t="str">
        <f t="shared" si="35"/>
        <v/>
      </c>
      <c r="N139" s="851"/>
      <c r="O139" s="838"/>
      <c r="P139" s="839"/>
      <c r="Q139" s="838"/>
      <c r="R139" s="839"/>
      <c r="S139" s="724"/>
      <c r="T139" s="725"/>
      <c r="U139" s="724"/>
      <c r="V139" s="726"/>
      <c r="W139" s="830" t="s">
        <v>206</v>
      </c>
      <c r="AB139" s="778" t="str">
        <f t="shared" si="29"/>
        <v/>
      </c>
    </row>
    <row r="140" spans="1:28" ht="15.75" customHeight="1">
      <c r="A140" s="793" t="str">
        <f t="shared" si="32"/>
        <v/>
      </c>
      <c r="B140" s="981"/>
      <c r="C140" s="984"/>
      <c r="D140" s="989"/>
      <c r="E140" s="902" t="s">
        <v>144</v>
      </c>
      <c r="F140" s="847" t="s">
        <v>61</v>
      </c>
      <c r="G140" s="848"/>
      <c r="H140" s="849"/>
      <c r="I140" s="850" t="str">
        <f t="shared" si="25"/>
        <v/>
      </c>
      <c r="J140" s="851"/>
      <c r="K140" s="850" t="str">
        <f t="shared" si="34"/>
        <v/>
      </c>
      <c r="L140" s="851"/>
      <c r="M140" s="850" t="str">
        <f t="shared" si="35"/>
        <v/>
      </c>
      <c r="N140" s="851"/>
      <c r="O140" s="838"/>
      <c r="P140" s="839"/>
      <c r="Q140" s="838"/>
      <c r="R140" s="839"/>
      <c r="S140" s="724"/>
      <c r="T140" s="725"/>
      <c r="U140" s="724"/>
      <c r="V140" s="726"/>
      <c r="W140" s="830" t="s">
        <v>206</v>
      </c>
      <c r="AB140" s="778" t="str">
        <f t="shared" si="29"/>
        <v/>
      </c>
    </row>
    <row r="141" spans="1:28" ht="15.75" customHeight="1">
      <c r="A141" s="793" t="str">
        <f t="shared" si="32"/>
        <v/>
      </c>
      <c r="B141" s="981"/>
      <c r="C141" s="984"/>
      <c r="D141" s="989"/>
      <c r="E141" s="902" t="s">
        <v>143</v>
      </c>
      <c r="F141" s="847" t="s">
        <v>61</v>
      </c>
      <c r="G141" s="848"/>
      <c r="H141" s="849"/>
      <c r="I141" s="850" t="str">
        <f t="shared" si="25"/>
        <v/>
      </c>
      <c r="J141" s="851"/>
      <c r="K141" s="850" t="str">
        <f t="shared" si="34"/>
        <v/>
      </c>
      <c r="L141" s="851"/>
      <c r="M141" s="850" t="str">
        <f t="shared" si="35"/>
        <v/>
      </c>
      <c r="N141" s="851"/>
      <c r="O141" s="838"/>
      <c r="P141" s="839"/>
      <c r="Q141" s="838"/>
      <c r="R141" s="839"/>
      <c r="S141" s="724"/>
      <c r="T141" s="725"/>
      <c r="U141" s="724"/>
      <c r="V141" s="726"/>
      <c r="W141" s="830" t="s">
        <v>206</v>
      </c>
      <c r="AB141" s="778" t="str">
        <f t="shared" si="29"/>
        <v/>
      </c>
    </row>
    <row r="142" spans="1:28" ht="15.75" customHeight="1">
      <c r="A142" s="793" t="str">
        <f t="shared" si="32"/>
        <v/>
      </c>
      <c r="B142" s="981"/>
      <c r="C142" s="984"/>
      <c r="D142" s="989"/>
      <c r="E142" s="902" t="s">
        <v>176</v>
      </c>
      <c r="F142" s="847" t="s">
        <v>61</v>
      </c>
      <c r="G142" s="848"/>
      <c r="H142" s="849"/>
      <c r="I142" s="850" t="str">
        <f t="shared" si="25"/>
        <v/>
      </c>
      <c r="J142" s="851"/>
      <c r="K142" s="850" t="str">
        <f t="shared" si="34"/>
        <v/>
      </c>
      <c r="L142" s="851"/>
      <c r="M142" s="850" t="str">
        <f t="shared" si="35"/>
        <v/>
      </c>
      <c r="N142" s="851"/>
      <c r="O142" s="838"/>
      <c r="P142" s="839"/>
      <c r="Q142" s="838"/>
      <c r="R142" s="839"/>
      <c r="S142" s="724"/>
      <c r="T142" s="725"/>
      <c r="U142" s="724"/>
      <c r="V142" s="726"/>
      <c r="W142" s="830" t="s">
        <v>206</v>
      </c>
      <c r="AB142" s="778" t="str">
        <f t="shared" si="29"/>
        <v/>
      </c>
    </row>
    <row r="143" spans="1:28" ht="15.75" customHeight="1">
      <c r="A143" s="793" t="str">
        <f t="shared" si="32"/>
        <v/>
      </c>
      <c r="B143" s="981"/>
      <c r="C143" s="984"/>
      <c r="D143" s="989"/>
      <c r="E143" s="902" t="s">
        <v>177</v>
      </c>
      <c r="F143" s="847" t="s">
        <v>61</v>
      </c>
      <c r="G143" s="848"/>
      <c r="H143" s="849"/>
      <c r="I143" s="850" t="str">
        <f t="shared" ref="I143:I161" si="37">IF(J143="","",J143/G143)</f>
        <v/>
      </c>
      <c r="J143" s="851"/>
      <c r="K143" s="850" t="str">
        <f t="shared" si="34"/>
        <v/>
      </c>
      <c r="L143" s="851"/>
      <c r="M143" s="850" t="str">
        <f t="shared" si="35"/>
        <v/>
      </c>
      <c r="N143" s="851"/>
      <c r="O143" s="838"/>
      <c r="P143" s="839"/>
      <c r="Q143" s="838"/>
      <c r="R143" s="839"/>
      <c r="S143" s="724"/>
      <c r="T143" s="725"/>
      <c r="U143" s="724"/>
      <c r="V143" s="726"/>
      <c r="W143" s="830" t="s">
        <v>206</v>
      </c>
      <c r="AB143" s="778" t="str">
        <f t="shared" si="29"/>
        <v/>
      </c>
    </row>
    <row r="144" spans="1:28" ht="15.75" customHeight="1">
      <c r="A144" s="793" t="str">
        <f t="shared" si="32"/>
        <v/>
      </c>
      <c r="B144" s="981"/>
      <c r="C144" s="984"/>
      <c r="D144" s="989"/>
      <c r="E144" s="902" t="s">
        <v>178</v>
      </c>
      <c r="F144" s="847" t="s">
        <v>61</v>
      </c>
      <c r="G144" s="848"/>
      <c r="H144" s="849"/>
      <c r="I144" s="850" t="str">
        <f t="shared" si="37"/>
        <v/>
      </c>
      <c r="J144" s="851"/>
      <c r="K144" s="850" t="str">
        <f t="shared" si="34"/>
        <v/>
      </c>
      <c r="L144" s="851"/>
      <c r="M144" s="850" t="str">
        <f t="shared" si="35"/>
        <v/>
      </c>
      <c r="N144" s="851"/>
      <c r="O144" s="838"/>
      <c r="P144" s="839"/>
      <c r="Q144" s="838"/>
      <c r="R144" s="839"/>
      <c r="S144" s="724"/>
      <c r="T144" s="725"/>
      <c r="U144" s="724"/>
      <c r="V144" s="726"/>
      <c r="W144" s="830" t="s">
        <v>206</v>
      </c>
      <c r="AB144" s="778" t="str">
        <f t="shared" si="29"/>
        <v/>
      </c>
    </row>
    <row r="145" spans="1:28" ht="15.75" customHeight="1">
      <c r="A145" s="793" t="str">
        <f t="shared" si="32"/>
        <v/>
      </c>
      <c r="B145" s="981"/>
      <c r="C145" s="984"/>
      <c r="D145" s="989"/>
      <c r="E145" s="902" t="s">
        <v>179</v>
      </c>
      <c r="F145" s="847" t="s">
        <v>61</v>
      </c>
      <c r="G145" s="848"/>
      <c r="H145" s="849"/>
      <c r="I145" s="850" t="str">
        <f t="shared" si="37"/>
        <v/>
      </c>
      <c r="J145" s="851"/>
      <c r="K145" s="850" t="str">
        <f t="shared" si="34"/>
        <v/>
      </c>
      <c r="L145" s="851"/>
      <c r="M145" s="850" t="str">
        <f t="shared" si="35"/>
        <v/>
      </c>
      <c r="N145" s="851"/>
      <c r="O145" s="838"/>
      <c r="P145" s="839"/>
      <c r="Q145" s="838"/>
      <c r="R145" s="839"/>
      <c r="S145" s="724"/>
      <c r="T145" s="725"/>
      <c r="U145" s="724"/>
      <c r="V145" s="726"/>
      <c r="W145" s="830" t="s">
        <v>206</v>
      </c>
      <c r="AB145" s="778" t="str">
        <f t="shared" si="29"/>
        <v/>
      </c>
    </row>
    <row r="146" spans="1:28" ht="15.75" customHeight="1">
      <c r="A146" s="793" t="str">
        <f t="shared" si="32"/>
        <v/>
      </c>
      <c r="B146" s="981"/>
      <c r="C146" s="984"/>
      <c r="D146" s="989"/>
      <c r="E146" s="902" t="s">
        <v>180</v>
      </c>
      <c r="F146" s="847" t="s">
        <v>61</v>
      </c>
      <c r="G146" s="848"/>
      <c r="H146" s="849"/>
      <c r="I146" s="850" t="str">
        <f t="shared" si="37"/>
        <v/>
      </c>
      <c r="J146" s="851"/>
      <c r="K146" s="850" t="str">
        <f t="shared" si="34"/>
        <v/>
      </c>
      <c r="L146" s="851"/>
      <c r="M146" s="850" t="str">
        <f t="shared" si="35"/>
        <v/>
      </c>
      <c r="N146" s="851"/>
      <c r="O146" s="838"/>
      <c r="P146" s="839"/>
      <c r="Q146" s="838"/>
      <c r="R146" s="839"/>
      <c r="S146" s="724"/>
      <c r="T146" s="725"/>
      <c r="U146" s="724"/>
      <c r="V146" s="726"/>
      <c r="W146" s="830" t="s">
        <v>206</v>
      </c>
      <c r="AB146" s="778" t="str">
        <f t="shared" si="29"/>
        <v/>
      </c>
    </row>
    <row r="147" spans="1:28" ht="15.75" customHeight="1">
      <c r="A147" s="793" t="str">
        <f t="shared" si="32"/>
        <v/>
      </c>
      <c r="B147" s="981"/>
      <c r="C147" s="984"/>
      <c r="D147" s="989"/>
      <c r="E147" s="902" t="s">
        <v>181</v>
      </c>
      <c r="F147" s="847" t="s">
        <v>61</v>
      </c>
      <c r="G147" s="848"/>
      <c r="H147" s="849"/>
      <c r="I147" s="850" t="str">
        <f t="shared" si="37"/>
        <v/>
      </c>
      <c r="J147" s="851"/>
      <c r="K147" s="850" t="str">
        <f t="shared" si="34"/>
        <v/>
      </c>
      <c r="L147" s="851"/>
      <c r="M147" s="850" t="str">
        <f t="shared" si="35"/>
        <v/>
      </c>
      <c r="N147" s="851"/>
      <c r="O147" s="838"/>
      <c r="P147" s="839"/>
      <c r="Q147" s="838"/>
      <c r="R147" s="839"/>
      <c r="S147" s="724"/>
      <c r="T147" s="725"/>
      <c r="U147" s="724"/>
      <c r="V147" s="726"/>
      <c r="W147" s="830" t="s">
        <v>206</v>
      </c>
      <c r="AB147" s="778" t="str">
        <f t="shared" si="29"/>
        <v/>
      </c>
    </row>
    <row r="148" spans="1:28" ht="15.75" customHeight="1">
      <c r="A148" s="793" t="str">
        <f t="shared" si="32"/>
        <v/>
      </c>
      <c r="B148" s="981"/>
      <c r="C148" s="984"/>
      <c r="D148" s="989"/>
      <c r="E148" s="902" t="s">
        <v>80</v>
      </c>
      <c r="F148" s="847" t="s">
        <v>61</v>
      </c>
      <c r="G148" s="848"/>
      <c r="H148" s="849"/>
      <c r="I148" s="850" t="str">
        <f t="shared" si="37"/>
        <v/>
      </c>
      <c r="J148" s="851"/>
      <c r="K148" s="850" t="str">
        <f t="shared" si="34"/>
        <v/>
      </c>
      <c r="L148" s="851"/>
      <c r="M148" s="850" t="str">
        <f t="shared" si="35"/>
        <v/>
      </c>
      <c r="N148" s="851"/>
      <c r="O148" s="838"/>
      <c r="P148" s="839"/>
      <c r="Q148" s="838"/>
      <c r="R148" s="839"/>
      <c r="S148" s="724"/>
      <c r="T148" s="725"/>
      <c r="U148" s="724"/>
      <c r="V148" s="726"/>
      <c r="W148" s="830" t="s">
        <v>206</v>
      </c>
      <c r="AB148" s="778" t="str">
        <f t="shared" si="29"/>
        <v/>
      </c>
    </row>
    <row r="149" spans="1:28" ht="15.75" customHeight="1">
      <c r="A149" s="793" t="str">
        <f t="shared" si="32"/>
        <v/>
      </c>
      <c r="B149" s="981"/>
      <c r="C149" s="984"/>
      <c r="D149" s="989"/>
      <c r="E149" s="902" t="s">
        <v>51</v>
      </c>
      <c r="F149" s="847" t="s">
        <v>61</v>
      </c>
      <c r="G149" s="848"/>
      <c r="H149" s="849"/>
      <c r="I149" s="850" t="str">
        <f t="shared" si="37"/>
        <v/>
      </c>
      <c r="J149" s="851"/>
      <c r="K149" s="850" t="str">
        <f t="shared" si="34"/>
        <v/>
      </c>
      <c r="L149" s="851"/>
      <c r="M149" s="850" t="str">
        <f t="shared" si="35"/>
        <v/>
      </c>
      <c r="N149" s="851"/>
      <c r="O149" s="838"/>
      <c r="P149" s="839"/>
      <c r="Q149" s="838"/>
      <c r="R149" s="839"/>
      <c r="S149" s="724"/>
      <c r="T149" s="725"/>
      <c r="U149" s="724"/>
      <c r="V149" s="726"/>
      <c r="W149" s="830" t="s">
        <v>206</v>
      </c>
      <c r="AB149" s="778" t="str">
        <f t="shared" si="29"/>
        <v/>
      </c>
    </row>
    <row r="150" spans="1:28" ht="15" customHeight="1">
      <c r="A150" s="793" t="str">
        <f>IF(D150="Sous-total","S",IF(G150="","","X"))</f>
        <v/>
      </c>
      <c r="B150" s="981"/>
      <c r="C150" s="984"/>
      <c r="D150" s="989"/>
      <c r="E150" s="632" t="s">
        <v>31</v>
      </c>
      <c r="F150" s="906" t="s">
        <v>62</v>
      </c>
      <c r="G150" s="848"/>
      <c r="H150" s="849"/>
      <c r="I150" s="850" t="str">
        <f>IF(J150="","",J150/G150)</f>
        <v/>
      </c>
      <c r="J150" s="851"/>
      <c r="K150" s="850" t="str">
        <f>IF(L150="","",L150/G150)</f>
        <v/>
      </c>
      <c r="L150" s="851"/>
      <c r="M150" s="850" t="str">
        <f>IF(N150="","",N150/L150)</f>
        <v/>
      </c>
      <c r="N150" s="851"/>
      <c r="O150" s="838"/>
      <c r="P150" s="839"/>
      <c r="Q150" s="838"/>
      <c r="R150" s="839"/>
      <c r="S150" s="867"/>
      <c r="T150" s="868"/>
      <c r="U150" s="867"/>
      <c r="V150" s="869"/>
      <c r="W150" s="830" t="s">
        <v>206</v>
      </c>
      <c r="X150" s="919" t="s">
        <v>199</v>
      </c>
      <c r="AB150" s="778" t="str">
        <f>IF(G150&lt;&gt;"",$F150,"")</f>
        <v/>
      </c>
    </row>
    <row r="151" spans="1:28" ht="15.75" customHeight="1">
      <c r="A151" s="793" t="str">
        <f t="shared" si="32"/>
        <v/>
      </c>
      <c r="B151" s="981"/>
      <c r="C151" s="984"/>
      <c r="D151" s="989"/>
      <c r="E151" s="961" t="s">
        <v>166</v>
      </c>
      <c r="F151" s="847" t="s">
        <v>203</v>
      </c>
      <c r="G151" s="848"/>
      <c r="H151" s="849"/>
      <c r="I151" s="850" t="str">
        <f t="shared" si="37"/>
        <v/>
      </c>
      <c r="J151" s="851"/>
      <c r="K151" s="850" t="str">
        <f t="shared" si="34"/>
        <v/>
      </c>
      <c r="L151" s="851"/>
      <c r="M151" s="850" t="str">
        <f t="shared" si="35"/>
        <v/>
      </c>
      <c r="N151" s="851"/>
      <c r="O151" s="838"/>
      <c r="P151" s="839"/>
      <c r="Q151" s="838"/>
      <c r="R151" s="839"/>
      <c r="S151" s="724"/>
      <c r="T151" s="725"/>
      <c r="U151" s="724"/>
      <c r="V151" s="726"/>
      <c r="W151" s="830" t="s">
        <v>206</v>
      </c>
      <c r="AB151" s="778" t="str">
        <f t="shared" si="29"/>
        <v/>
      </c>
    </row>
    <row r="152" spans="1:28" ht="15.75" customHeight="1">
      <c r="A152" s="793" t="str">
        <f t="shared" si="32"/>
        <v/>
      </c>
      <c r="B152" s="981"/>
      <c r="C152" s="984"/>
      <c r="D152" s="989"/>
      <c r="E152" s="961" t="s">
        <v>166</v>
      </c>
      <c r="F152" s="847" t="s">
        <v>203</v>
      </c>
      <c r="G152" s="848"/>
      <c r="H152" s="849"/>
      <c r="I152" s="850" t="str">
        <f t="shared" si="37"/>
        <v/>
      </c>
      <c r="J152" s="851"/>
      <c r="K152" s="850" t="str">
        <f t="shared" si="34"/>
        <v/>
      </c>
      <c r="L152" s="851"/>
      <c r="M152" s="850" t="str">
        <f t="shared" si="35"/>
        <v/>
      </c>
      <c r="N152" s="851"/>
      <c r="O152" s="838"/>
      <c r="P152" s="839"/>
      <c r="Q152" s="838"/>
      <c r="R152" s="839"/>
      <c r="S152" s="724"/>
      <c r="T152" s="725"/>
      <c r="U152" s="724"/>
      <c r="V152" s="726"/>
      <c r="W152" s="830" t="s">
        <v>206</v>
      </c>
      <c r="AB152" s="778" t="str">
        <f t="shared" si="29"/>
        <v/>
      </c>
    </row>
    <row r="153" spans="1:28" ht="15.75" customHeight="1">
      <c r="A153" s="793" t="str">
        <f t="shared" si="32"/>
        <v/>
      </c>
      <c r="B153" s="981"/>
      <c r="C153" s="984"/>
      <c r="D153" s="989"/>
      <c r="E153" s="902" t="s">
        <v>52</v>
      </c>
      <c r="F153" s="847" t="s">
        <v>61</v>
      </c>
      <c r="G153" s="848"/>
      <c r="H153" s="849"/>
      <c r="I153" s="850" t="str">
        <f t="shared" si="37"/>
        <v/>
      </c>
      <c r="J153" s="851"/>
      <c r="K153" s="850" t="str">
        <f t="shared" si="34"/>
        <v/>
      </c>
      <c r="L153" s="851"/>
      <c r="M153" s="850" t="str">
        <f t="shared" si="35"/>
        <v/>
      </c>
      <c r="N153" s="851"/>
      <c r="O153" s="838"/>
      <c r="P153" s="839"/>
      <c r="Q153" s="838"/>
      <c r="R153" s="839"/>
      <c r="S153" s="724"/>
      <c r="T153" s="725"/>
      <c r="U153" s="724"/>
      <c r="V153" s="726"/>
      <c r="W153" s="830" t="s">
        <v>206</v>
      </c>
      <c r="AB153" s="778" t="str">
        <f t="shared" si="29"/>
        <v/>
      </c>
    </row>
    <row r="154" spans="1:28" ht="15.75" customHeight="1">
      <c r="A154" s="793" t="str">
        <f t="shared" si="32"/>
        <v/>
      </c>
      <c r="B154" s="981"/>
      <c r="C154" s="984"/>
      <c r="D154" s="989"/>
      <c r="E154" s="961" t="s">
        <v>166</v>
      </c>
      <c r="F154" s="847"/>
      <c r="G154" s="848"/>
      <c r="H154" s="849"/>
      <c r="I154" s="850"/>
      <c r="J154" s="851"/>
      <c r="K154" s="850"/>
      <c r="L154" s="851"/>
      <c r="M154" s="850"/>
      <c r="N154" s="851"/>
      <c r="O154" s="838"/>
      <c r="P154" s="839"/>
      <c r="Q154" s="838"/>
      <c r="R154" s="839"/>
      <c r="S154" s="724"/>
      <c r="T154" s="725"/>
      <c r="U154" s="724"/>
      <c r="V154" s="726"/>
      <c r="W154" s="830"/>
    </row>
    <row r="155" spans="1:28" ht="15.75" customHeight="1">
      <c r="A155" s="793" t="str">
        <f t="shared" si="32"/>
        <v/>
      </c>
      <c r="B155" s="981"/>
      <c r="C155" s="984"/>
      <c r="D155" s="989"/>
      <c r="E155" s="961" t="s">
        <v>166</v>
      </c>
      <c r="F155" s="847"/>
      <c r="G155" s="848"/>
      <c r="H155" s="849"/>
      <c r="I155" s="850"/>
      <c r="J155" s="851"/>
      <c r="K155" s="850"/>
      <c r="L155" s="851"/>
      <c r="M155" s="850"/>
      <c r="N155" s="851"/>
      <c r="O155" s="838"/>
      <c r="P155" s="839"/>
      <c r="Q155" s="838"/>
      <c r="R155" s="839"/>
      <c r="S155" s="724"/>
      <c r="T155" s="725"/>
      <c r="U155" s="724"/>
      <c r="V155" s="726"/>
      <c r="W155" s="830"/>
    </row>
    <row r="156" spans="1:28" ht="15.75" customHeight="1">
      <c r="A156" s="793" t="str">
        <f t="shared" si="32"/>
        <v/>
      </c>
      <c r="B156" s="981"/>
      <c r="C156" s="984"/>
      <c r="D156" s="989"/>
      <c r="E156" s="961" t="s">
        <v>166</v>
      </c>
      <c r="F156" s="847"/>
      <c r="G156" s="848"/>
      <c r="H156" s="849"/>
      <c r="I156" s="850"/>
      <c r="J156" s="851"/>
      <c r="K156" s="850"/>
      <c r="L156" s="851"/>
      <c r="M156" s="850"/>
      <c r="N156" s="851"/>
      <c r="O156" s="838"/>
      <c r="P156" s="839"/>
      <c r="Q156" s="838"/>
      <c r="R156" s="839"/>
      <c r="S156" s="724"/>
      <c r="T156" s="725"/>
      <c r="U156" s="724"/>
      <c r="V156" s="726"/>
      <c r="W156" s="830"/>
    </row>
    <row r="157" spans="1:28" ht="15.75" customHeight="1">
      <c r="A157" s="793" t="str">
        <f t="shared" si="32"/>
        <v/>
      </c>
      <c r="B157" s="981"/>
      <c r="C157" s="984"/>
      <c r="D157" s="989"/>
      <c r="E157" s="961" t="s">
        <v>166</v>
      </c>
      <c r="F157" s="847"/>
      <c r="G157" s="848"/>
      <c r="H157" s="849"/>
      <c r="I157" s="850"/>
      <c r="J157" s="851"/>
      <c r="K157" s="850"/>
      <c r="L157" s="851"/>
      <c r="M157" s="850"/>
      <c r="N157" s="851"/>
      <c r="O157" s="838"/>
      <c r="P157" s="839"/>
      <c r="Q157" s="838"/>
      <c r="R157" s="839"/>
      <c r="S157" s="724"/>
      <c r="T157" s="725"/>
      <c r="U157" s="724"/>
      <c r="V157" s="726"/>
      <c r="W157" s="830"/>
    </row>
    <row r="158" spans="1:28" ht="15.75" customHeight="1">
      <c r="A158" s="793" t="str">
        <f t="shared" si="32"/>
        <v/>
      </c>
      <c r="B158" s="981"/>
      <c r="C158" s="984"/>
      <c r="D158" s="990"/>
      <c r="E158" s="962" t="s">
        <v>166</v>
      </c>
      <c r="F158" s="912"/>
      <c r="G158" s="853"/>
      <c r="H158" s="854"/>
      <c r="I158" s="855"/>
      <c r="J158" s="856"/>
      <c r="K158" s="855"/>
      <c r="L158" s="856"/>
      <c r="M158" s="855"/>
      <c r="N158" s="856"/>
      <c r="O158" s="840"/>
      <c r="P158" s="841"/>
      <c r="Q158" s="840"/>
      <c r="R158" s="841"/>
      <c r="S158" s="727"/>
      <c r="T158" s="728"/>
      <c r="U158" s="727"/>
      <c r="V158" s="729"/>
      <c r="W158" s="830"/>
    </row>
    <row r="159" spans="1:28" ht="16.5" thickBot="1">
      <c r="A159" s="793" t="str">
        <f t="shared" si="32"/>
        <v>S</v>
      </c>
      <c r="B159" s="982"/>
      <c r="C159" s="985"/>
      <c r="D159" s="875" t="s">
        <v>138</v>
      </c>
      <c r="E159" s="899"/>
      <c r="F159" s="821"/>
      <c r="G159" s="822">
        <f>SUM(G135:G158)</f>
        <v>0</v>
      </c>
      <c r="H159" s="823">
        <f>SUM(H135:H158)</f>
        <v>0</v>
      </c>
      <c r="I159" s="785" t="e">
        <f t="shared" si="37"/>
        <v>#DIV/0!</v>
      </c>
      <c r="J159" s="828">
        <f>SUM(J135:J158)</f>
        <v>0</v>
      </c>
      <c r="K159" s="804" t="e">
        <f t="shared" si="34"/>
        <v>#DIV/0!</v>
      </c>
      <c r="L159" s="828">
        <f>SUM(L135:L158)</f>
        <v>0</v>
      </c>
      <c r="M159" s="785" t="e">
        <f t="shared" si="35"/>
        <v>#DIV/0!</v>
      </c>
      <c r="N159" s="828">
        <f t="shared" ref="N159:V159" si="38">SUM(N135:N158)</f>
        <v>0</v>
      </c>
      <c r="O159" s="818">
        <f t="shared" si="38"/>
        <v>0</v>
      </c>
      <c r="P159" s="819">
        <f t="shared" si="38"/>
        <v>0</v>
      </c>
      <c r="Q159" s="818">
        <f t="shared" si="38"/>
        <v>0</v>
      </c>
      <c r="R159" s="819">
        <f t="shared" si="38"/>
        <v>0</v>
      </c>
      <c r="S159" s="818">
        <f t="shared" si="38"/>
        <v>0</v>
      </c>
      <c r="T159" s="819">
        <f t="shared" si="38"/>
        <v>0</v>
      </c>
      <c r="U159" s="818">
        <f t="shared" si="38"/>
        <v>0</v>
      </c>
      <c r="V159" s="820">
        <f t="shared" si="38"/>
        <v>0</v>
      </c>
      <c r="W159" s="830" t="s">
        <v>206</v>
      </c>
      <c r="X159" s="825"/>
      <c r="Y159" s="825"/>
    </row>
    <row r="160" spans="1:28" s="791" customFormat="1" ht="27.75" customHeight="1" thickBot="1">
      <c r="A160" s="793" t="s">
        <v>106</v>
      </c>
      <c r="B160" s="808" t="s">
        <v>77</v>
      </c>
      <c r="C160" s="809"/>
      <c r="D160" s="809">
        <f>SUM(D66:D159)</f>
        <v>79</v>
      </c>
      <c r="E160" s="688" t="s">
        <v>79</v>
      </c>
      <c r="F160" s="894"/>
      <c r="G160" s="805">
        <f>G77+G85+G95+G109+G125+G134+G159</f>
        <v>0</v>
      </c>
      <c r="H160" s="802">
        <f>H77+H85+H95+H109+H125+H134+H159</f>
        <v>0</v>
      </c>
      <c r="I160" s="799" t="e">
        <f t="shared" si="37"/>
        <v>#DIV/0!</v>
      </c>
      <c r="J160" s="800">
        <f>J77+J85+J95+J109+J125+J134+J159</f>
        <v>0</v>
      </c>
      <c r="K160" s="799" t="e">
        <f t="shared" si="34"/>
        <v>#DIV/0!</v>
      </c>
      <c r="L160" s="800">
        <f>L77+L85+L95+L109+L125+L134+L159</f>
        <v>0</v>
      </c>
      <c r="M160" s="831" t="e">
        <f t="shared" si="35"/>
        <v>#DIV/0!</v>
      </c>
      <c r="N160" s="800">
        <f t="shared" ref="N160:V160" si="39">N77+N85+N95+N109+N125+N134+N159</f>
        <v>0</v>
      </c>
      <c r="O160" s="801">
        <f t="shared" si="39"/>
        <v>0</v>
      </c>
      <c r="P160" s="802">
        <f t="shared" si="39"/>
        <v>0</v>
      </c>
      <c r="Q160" s="801">
        <f t="shared" si="39"/>
        <v>0</v>
      </c>
      <c r="R160" s="802">
        <f t="shared" si="39"/>
        <v>0</v>
      </c>
      <c r="S160" s="801">
        <f t="shared" si="39"/>
        <v>0</v>
      </c>
      <c r="T160" s="802">
        <f t="shared" si="39"/>
        <v>0</v>
      </c>
      <c r="U160" s="801">
        <f t="shared" si="39"/>
        <v>0</v>
      </c>
      <c r="V160" s="803">
        <f t="shared" si="39"/>
        <v>0</v>
      </c>
      <c r="W160" s="925"/>
      <c r="X160" s="891"/>
      <c r="Y160" s="826"/>
      <c r="AB160" s="778"/>
    </row>
    <row r="161" spans="1:28" s="890" customFormat="1" ht="31.5" customHeight="1" thickBot="1">
      <c r="A161" s="793" t="s">
        <v>106</v>
      </c>
      <c r="B161" s="881" t="s">
        <v>66</v>
      </c>
      <c r="C161" s="882"/>
      <c r="D161" s="882">
        <f>D160+D65</f>
        <v>119</v>
      </c>
      <c r="E161" s="689" t="s">
        <v>79</v>
      </c>
      <c r="F161" s="892"/>
      <c r="G161" s="883">
        <f>G65+G160</f>
        <v>0</v>
      </c>
      <c r="H161" s="884">
        <f>H65+H160</f>
        <v>0</v>
      </c>
      <c r="I161" s="885" t="e">
        <f t="shared" si="37"/>
        <v>#DIV/0!</v>
      </c>
      <c r="J161" s="886">
        <f>J65+J160</f>
        <v>0</v>
      </c>
      <c r="K161" s="885" t="e">
        <f t="shared" si="34"/>
        <v>#DIV/0!</v>
      </c>
      <c r="L161" s="886">
        <f>L65+L160</f>
        <v>0</v>
      </c>
      <c r="M161" s="887" t="e">
        <f t="shared" si="35"/>
        <v>#DIV/0!</v>
      </c>
      <c r="N161" s="886">
        <f t="shared" ref="N161:V161" si="40">N65+N160</f>
        <v>0</v>
      </c>
      <c r="O161" s="888">
        <f t="shared" si="40"/>
        <v>0</v>
      </c>
      <c r="P161" s="884">
        <f t="shared" si="40"/>
        <v>0</v>
      </c>
      <c r="Q161" s="888">
        <f t="shared" si="40"/>
        <v>0</v>
      </c>
      <c r="R161" s="884">
        <f t="shared" si="40"/>
        <v>0</v>
      </c>
      <c r="S161" s="888">
        <f t="shared" si="40"/>
        <v>0</v>
      </c>
      <c r="T161" s="884">
        <f t="shared" si="40"/>
        <v>0</v>
      </c>
      <c r="U161" s="888">
        <f t="shared" si="40"/>
        <v>0</v>
      </c>
      <c r="V161" s="889">
        <f t="shared" si="40"/>
        <v>0</v>
      </c>
      <c r="W161" s="925"/>
      <c r="X161" s="893"/>
      <c r="AB161" s="778"/>
    </row>
    <row r="162" spans="1:28">
      <c r="A162" s="793" t="s">
        <v>106</v>
      </c>
      <c r="B162" s="781"/>
      <c r="C162" s="790"/>
      <c r="D162" s="790"/>
      <c r="E162" s="781"/>
      <c r="F162" s="790"/>
      <c r="G162" s="806"/>
      <c r="H162" s="806"/>
      <c r="I162" s="807"/>
      <c r="J162" s="807"/>
      <c r="K162" s="807"/>
      <c r="L162" s="807"/>
      <c r="M162" s="992" t="s">
        <v>68</v>
      </c>
      <c r="N162" s="992"/>
      <c r="O162" s="806"/>
      <c r="P162" s="806"/>
      <c r="Q162" s="806"/>
      <c r="R162" s="806"/>
      <c r="S162" s="806"/>
      <c r="T162" s="806"/>
      <c r="U162" s="806"/>
      <c r="V162" s="806"/>
      <c r="AB162" s="778" t="str">
        <f t="shared" ref="AB162" si="41">IF(G162&gt;0,$F162,"")</f>
        <v/>
      </c>
    </row>
    <row r="163" spans="1:28">
      <c r="A163" s="793" t="s">
        <v>106</v>
      </c>
      <c r="E163" s="825"/>
    </row>
    <row r="164" spans="1:28">
      <c r="A164" s="793" t="s">
        <v>106</v>
      </c>
      <c r="E164" s="798" t="s">
        <v>205</v>
      </c>
      <c r="F164" s="900" t="s">
        <v>204</v>
      </c>
    </row>
    <row r="165" spans="1:28">
      <c r="A165" s="793" t="s">
        <v>106</v>
      </c>
      <c r="E165" s="833" t="s">
        <v>60</v>
      </c>
      <c r="F165" s="775">
        <f>COUNTIF(AB$5:AB$153,$E164)</f>
        <v>0</v>
      </c>
    </row>
    <row r="166" spans="1:28">
      <c r="A166" s="793" t="s">
        <v>106</v>
      </c>
      <c r="E166" s="777" t="s">
        <v>61</v>
      </c>
      <c r="F166" s="778">
        <f>COUNTIF(AB$5:AB$153,$E165)</f>
        <v>0</v>
      </c>
    </row>
    <row r="167" spans="1:28" ht="15.75" thickBot="1">
      <c r="A167" s="793" t="s">
        <v>106</v>
      </c>
      <c r="E167" s="954" t="s">
        <v>62</v>
      </c>
      <c r="F167" s="955">
        <f>COUNTIF(AB$5:AB$153,$E166)</f>
        <v>0</v>
      </c>
    </row>
    <row r="168" spans="1:28">
      <c r="A168" s="793" t="s">
        <v>106</v>
      </c>
      <c r="E168" s="956" t="s">
        <v>66</v>
      </c>
      <c r="F168" s="776">
        <f t="shared" ref="F168" si="42">SUM(F165:F167)</f>
        <v>0</v>
      </c>
    </row>
    <row r="169" spans="1:28">
      <c r="E169" s="929"/>
    </row>
    <row r="170" spans="1:28">
      <c r="E170" s="929"/>
    </row>
    <row r="171" spans="1:28">
      <c r="E171" s="929"/>
    </row>
    <row r="172" spans="1:28">
      <c r="E172" s="929"/>
    </row>
    <row r="175" spans="1:28" ht="15" customHeight="1"/>
    <row r="176" spans="1:28" ht="15" customHeight="1"/>
    <row r="177" spans="1:28" ht="15" customHeight="1">
      <c r="A177" s="777"/>
      <c r="C177" s="777"/>
      <c r="D177" s="777"/>
      <c r="F177" s="777"/>
      <c r="G177" s="777"/>
      <c r="H177" s="777"/>
      <c r="I177" s="777"/>
      <c r="J177" s="777"/>
      <c r="K177" s="777"/>
      <c r="L177" s="777"/>
      <c r="M177" s="777"/>
      <c r="N177" s="777"/>
      <c r="O177" s="777"/>
      <c r="P177" s="777"/>
      <c r="Q177" s="777"/>
      <c r="R177" s="777"/>
      <c r="S177" s="777"/>
      <c r="T177" s="777"/>
      <c r="U177" s="777"/>
      <c r="V177" s="777"/>
      <c r="W177" s="777"/>
      <c r="AB177" s="777"/>
    </row>
    <row r="178" spans="1:28" ht="15" customHeight="1">
      <c r="A178" s="777"/>
      <c r="C178" s="777"/>
      <c r="D178" s="777"/>
      <c r="F178" s="777"/>
      <c r="G178" s="777"/>
      <c r="H178" s="777"/>
      <c r="I178" s="777"/>
      <c r="J178" s="777"/>
      <c r="K178" s="777"/>
      <c r="L178" s="777"/>
      <c r="M178" s="777"/>
      <c r="N178" s="777"/>
      <c r="O178" s="777"/>
      <c r="P178" s="777"/>
      <c r="Q178" s="777"/>
      <c r="R178" s="777"/>
      <c r="S178" s="777"/>
      <c r="T178" s="777"/>
      <c r="U178" s="777"/>
      <c r="V178" s="777"/>
      <c r="W178" s="777"/>
      <c r="AB178" s="777"/>
    </row>
    <row r="179" spans="1:28" ht="15" customHeight="1">
      <c r="A179" s="777"/>
      <c r="C179" s="777"/>
      <c r="D179" s="777"/>
      <c r="F179" s="777"/>
      <c r="G179" s="777"/>
      <c r="H179" s="777"/>
      <c r="I179" s="777"/>
      <c r="J179" s="777"/>
      <c r="K179" s="777"/>
      <c r="L179" s="777"/>
      <c r="M179" s="777"/>
      <c r="N179" s="777"/>
      <c r="O179" s="777"/>
      <c r="P179" s="777"/>
      <c r="Q179" s="777"/>
      <c r="R179" s="777"/>
      <c r="S179" s="777"/>
      <c r="T179" s="777"/>
      <c r="U179" s="777"/>
      <c r="V179" s="777"/>
      <c r="W179" s="777"/>
      <c r="AB179" s="777"/>
    </row>
    <row r="180" spans="1:28" ht="15" customHeight="1">
      <c r="A180" s="777"/>
      <c r="C180" s="777"/>
      <c r="D180" s="777"/>
      <c r="F180" s="777"/>
      <c r="G180" s="777"/>
      <c r="H180" s="777"/>
      <c r="I180" s="777"/>
      <c r="J180" s="777"/>
      <c r="K180" s="777"/>
      <c r="L180" s="777"/>
      <c r="M180" s="777"/>
      <c r="N180" s="777"/>
      <c r="O180" s="777"/>
      <c r="P180" s="777"/>
      <c r="Q180" s="777"/>
      <c r="R180" s="777"/>
      <c r="S180" s="777"/>
      <c r="T180" s="777"/>
      <c r="U180" s="777"/>
      <c r="V180" s="777"/>
      <c r="W180" s="777"/>
      <c r="AB180" s="777"/>
    </row>
    <row r="181" spans="1:28" ht="15" customHeight="1">
      <c r="A181" s="777"/>
      <c r="C181" s="777"/>
      <c r="D181" s="777"/>
      <c r="F181" s="777"/>
      <c r="G181" s="777"/>
      <c r="H181" s="777"/>
      <c r="I181" s="777"/>
      <c r="J181" s="777"/>
      <c r="K181" s="777"/>
      <c r="L181" s="777"/>
      <c r="M181" s="777"/>
      <c r="N181" s="777"/>
      <c r="O181" s="777"/>
      <c r="P181" s="777"/>
      <c r="Q181" s="777"/>
      <c r="R181" s="777"/>
      <c r="S181" s="777"/>
      <c r="T181" s="777"/>
      <c r="U181" s="777"/>
      <c r="V181" s="777"/>
      <c r="W181" s="777"/>
      <c r="AB181" s="777"/>
    </row>
    <row r="182" spans="1:28" ht="15" customHeight="1">
      <c r="A182" s="777"/>
      <c r="C182" s="777"/>
      <c r="D182" s="777"/>
      <c r="F182" s="777"/>
      <c r="G182" s="777"/>
      <c r="H182" s="777"/>
      <c r="I182" s="777"/>
      <c r="J182" s="777"/>
      <c r="K182" s="777"/>
      <c r="L182" s="777"/>
      <c r="M182" s="777"/>
      <c r="N182" s="777"/>
      <c r="O182" s="777"/>
      <c r="P182" s="777"/>
      <c r="Q182" s="777"/>
      <c r="R182" s="777"/>
      <c r="S182" s="777"/>
      <c r="T182" s="777"/>
      <c r="U182" s="777"/>
      <c r="V182" s="777"/>
      <c r="W182" s="777"/>
      <c r="AB182" s="777"/>
    </row>
    <row r="183" spans="1:28" ht="15" customHeight="1">
      <c r="A183" s="777"/>
      <c r="C183" s="777"/>
      <c r="D183" s="777"/>
      <c r="F183" s="777"/>
      <c r="G183" s="777"/>
      <c r="H183" s="777"/>
      <c r="I183" s="777"/>
      <c r="J183" s="777"/>
      <c r="K183" s="777"/>
      <c r="L183" s="777"/>
      <c r="M183" s="777"/>
      <c r="N183" s="777"/>
      <c r="O183" s="777"/>
      <c r="P183" s="777"/>
      <c r="Q183" s="777"/>
      <c r="R183" s="777"/>
      <c r="S183" s="777"/>
      <c r="T183" s="777"/>
      <c r="U183" s="777"/>
      <c r="V183" s="777"/>
      <c r="W183" s="777"/>
      <c r="AB183" s="777"/>
    </row>
    <row r="184" spans="1:28" ht="15.75" customHeight="1">
      <c r="A184" s="777"/>
      <c r="C184" s="777"/>
      <c r="D184" s="777"/>
      <c r="F184" s="777"/>
      <c r="G184" s="777"/>
      <c r="H184" s="777"/>
      <c r="I184" s="777"/>
      <c r="J184" s="777"/>
      <c r="K184" s="777"/>
      <c r="L184" s="777"/>
      <c r="M184" s="777"/>
      <c r="N184" s="777"/>
      <c r="O184" s="777"/>
      <c r="P184" s="777"/>
      <c r="Q184" s="777"/>
      <c r="R184" s="777"/>
      <c r="S184" s="777"/>
      <c r="T184" s="777"/>
      <c r="U184" s="777"/>
      <c r="V184" s="777"/>
      <c r="W184" s="777"/>
      <c r="AB184" s="777"/>
    </row>
    <row r="185" spans="1:28" ht="15.75" customHeight="1">
      <c r="A185" s="777"/>
      <c r="C185" s="777"/>
      <c r="D185" s="777"/>
      <c r="E185" s="959"/>
      <c r="F185" s="777"/>
      <c r="G185" s="777"/>
      <c r="H185" s="777"/>
      <c r="I185" s="777"/>
      <c r="J185" s="777"/>
      <c r="K185" s="777"/>
      <c r="L185" s="777"/>
      <c r="M185" s="777"/>
      <c r="N185" s="777"/>
      <c r="O185" s="777"/>
      <c r="P185" s="777"/>
      <c r="Q185" s="777"/>
      <c r="R185" s="777"/>
      <c r="S185" s="777"/>
      <c r="T185" s="777"/>
      <c r="U185" s="777"/>
      <c r="V185" s="777"/>
      <c r="W185" s="777"/>
      <c r="AB185" s="777"/>
    </row>
    <row r="186" spans="1:28" ht="15" customHeight="1">
      <c r="A186" s="777"/>
      <c r="C186" s="777"/>
      <c r="D186" s="777"/>
      <c r="F186" s="777"/>
      <c r="G186" s="777"/>
      <c r="H186" s="777"/>
      <c r="I186" s="777"/>
      <c r="J186" s="777"/>
      <c r="K186" s="777"/>
      <c r="L186" s="777"/>
      <c r="M186" s="777"/>
      <c r="N186" s="777"/>
      <c r="O186" s="777"/>
      <c r="P186" s="777"/>
      <c r="Q186" s="777"/>
      <c r="R186" s="777"/>
      <c r="S186" s="777"/>
      <c r="T186" s="777"/>
      <c r="U186" s="777"/>
      <c r="V186" s="777"/>
      <c r="W186" s="777"/>
      <c r="AB186" s="777"/>
    </row>
    <row r="187" spans="1:28" ht="15" customHeight="1">
      <c r="A187" s="777"/>
      <c r="C187" s="777"/>
      <c r="D187" s="777"/>
      <c r="E187" s="929"/>
      <c r="F187" s="777"/>
      <c r="G187" s="777"/>
      <c r="H187" s="777"/>
      <c r="I187" s="777"/>
      <c r="J187" s="777"/>
      <c r="K187" s="777"/>
      <c r="L187" s="777"/>
      <c r="M187" s="777"/>
      <c r="N187" s="777"/>
      <c r="O187" s="777"/>
      <c r="P187" s="777"/>
      <c r="Q187" s="777"/>
      <c r="R187" s="777"/>
      <c r="S187" s="777"/>
      <c r="T187" s="777"/>
      <c r="U187" s="777"/>
      <c r="V187" s="777"/>
      <c r="W187" s="777"/>
      <c r="AB187" s="777"/>
    </row>
    <row r="188" spans="1:28" ht="15" customHeight="1">
      <c r="A188" s="777"/>
      <c r="C188" s="777"/>
      <c r="D188" s="777"/>
      <c r="E188" s="929"/>
      <c r="F188" s="777"/>
      <c r="G188" s="777"/>
      <c r="H188" s="777"/>
      <c r="I188" s="777"/>
      <c r="J188" s="777"/>
      <c r="K188" s="777"/>
      <c r="L188" s="777"/>
      <c r="M188" s="777"/>
      <c r="N188" s="777"/>
      <c r="O188" s="777"/>
      <c r="P188" s="777"/>
      <c r="Q188" s="777"/>
      <c r="R188" s="777"/>
      <c r="S188" s="777"/>
      <c r="T188" s="777"/>
      <c r="U188" s="777"/>
      <c r="V188" s="777"/>
      <c r="W188" s="777"/>
      <c r="AB188" s="777"/>
    </row>
    <row r="189" spans="1:28" ht="15" customHeight="1">
      <c r="A189" s="777"/>
      <c r="C189" s="777"/>
      <c r="D189" s="777"/>
      <c r="F189" s="777"/>
      <c r="G189" s="777"/>
      <c r="H189" s="777"/>
      <c r="I189" s="777"/>
      <c r="J189" s="777"/>
      <c r="K189" s="777"/>
      <c r="L189" s="777"/>
      <c r="M189" s="777"/>
      <c r="N189" s="777"/>
      <c r="O189" s="777"/>
      <c r="P189" s="777"/>
      <c r="Q189" s="777"/>
      <c r="R189" s="777"/>
      <c r="S189" s="777"/>
      <c r="T189" s="777"/>
      <c r="U189" s="777"/>
      <c r="V189" s="777"/>
      <c r="W189" s="777"/>
      <c r="AB189" s="777"/>
    </row>
    <row r="201" spans="1:28">
      <c r="A201" s="777"/>
      <c r="C201" s="777"/>
      <c r="D201" s="777"/>
      <c r="E201" s="959"/>
      <c r="F201" s="777"/>
      <c r="G201" s="777"/>
      <c r="H201" s="777"/>
      <c r="I201" s="777"/>
      <c r="J201" s="777"/>
      <c r="K201" s="777"/>
      <c r="L201" s="777"/>
      <c r="M201" s="777"/>
      <c r="N201" s="777"/>
      <c r="O201" s="777"/>
      <c r="P201" s="777"/>
      <c r="Q201" s="777"/>
      <c r="R201" s="777"/>
      <c r="S201" s="777"/>
      <c r="T201" s="777"/>
      <c r="U201" s="777"/>
      <c r="V201" s="777"/>
      <c r="W201" s="777"/>
      <c r="AB201" s="777"/>
    </row>
    <row r="203" spans="1:28">
      <c r="A203" s="777"/>
      <c r="C203" s="777"/>
      <c r="D203" s="777"/>
      <c r="E203" s="929"/>
      <c r="F203" s="777"/>
      <c r="G203" s="777"/>
      <c r="H203" s="777"/>
      <c r="I203" s="777"/>
      <c r="J203" s="777"/>
      <c r="K203" s="777"/>
      <c r="L203" s="777"/>
      <c r="M203" s="777"/>
      <c r="N203" s="777"/>
      <c r="O203" s="777"/>
      <c r="P203" s="777"/>
      <c r="Q203" s="777"/>
      <c r="R203" s="777"/>
      <c r="S203" s="777"/>
      <c r="T203" s="777"/>
      <c r="U203" s="777"/>
      <c r="V203" s="777"/>
      <c r="W203" s="777"/>
      <c r="AB203" s="777"/>
    </row>
    <row r="204" spans="1:28">
      <c r="A204" s="777"/>
      <c r="C204" s="777"/>
      <c r="D204" s="777"/>
      <c r="E204" s="929"/>
      <c r="F204" s="777"/>
      <c r="G204" s="777"/>
      <c r="H204" s="777"/>
      <c r="I204" s="777"/>
      <c r="J204" s="777"/>
      <c r="K204" s="777"/>
      <c r="L204" s="777"/>
      <c r="M204" s="777"/>
      <c r="N204" s="777"/>
      <c r="O204" s="777"/>
      <c r="P204" s="777"/>
      <c r="Q204" s="777"/>
      <c r="R204" s="777"/>
      <c r="S204" s="777"/>
      <c r="T204" s="777"/>
      <c r="U204" s="777"/>
      <c r="V204" s="777"/>
      <c r="W204" s="777"/>
      <c r="AB204" s="777"/>
    </row>
    <row r="217" spans="1:28">
      <c r="A217" s="777"/>
      <c r="C217" s="777"/>
      <c r="D217" s="777"/>
      <c r="E217" s="959"/>
      <c r="F217" s="777"/>
      <c r="G217" s="777"/>
      <c r="H217" s="777"/>
      <c r="I217" s="777"/>
      <c r="J217" s="777"/>
      <c r="K217" s="777"/>
      <c r="L217" s="777"/>
      <c r="M217" s="777"/>
      <c r="N217" s="777"/>
      <c r="O217" s="777"/>
      <c r="P217" s="777"/>
      <c r="Q217" s="777"/>
      <c r="R217" s="777"/>
      <c r="S217" s="777"/>
      <c r="T217" s="777"/>
      <c r="U217" s="777"/>
      <c r="V217" s="777"/>
      <c r="W217" s="777"/>
      <c r="AB217" s="777"/>
    </row>
    <row r="219" spans="1:28">
      <c r="A219" s="777"/>
      <c r="C219" s="777"/>
      <c r="D219" s="777"/>
      <c r="E219" s="929"/>
      <c r="F219" s="777"/>
      <c r="G219" s="777"/>
      <c r="H219" s="777"/>
      <c r="I219" s="777"/>
      <c r="J219" s="777"/>
      <c r="K219" s="777"/>
      <c r="L219" s="777"/>
      <c r="M219" s="777"/>
      <c r="N219" s="777"/>
      <c r="O219" s="777"/>
      <c r="P219" s="777"/>
      <c r="Q219" s="777"/>
      <c r="R219" s="777"/>
      <c r="S219" s="777"/>
      <c r="T219" s="777"/>
      <c r="U219" s="777"/>
      <c r="V219" s="777"/>
      <c r="W219" s="777"/>
      <c r="AB219" s="777"/>
    </row>
    <row r="220" spans="1:28">
      <c r="A220" s="777"/>
      <c r="C220" s="777"/>
      <c r="D220" s="777"/>
      <c r="E220" s="929"/>
      <c r="F220" s="777"/>
      <c r="G220" s="777"/>
      <c r="H220" s="777"/>
      <c r="I220" s="777"/>
      <c r="J220" s="777"/>
      <c r="K220" s="777"/>
      <c r="L220" s="777"/>
      <c r="M220" s="777"/>
      <c r="N220" s="777"/>
      <c r="O220" s="777"/>
      <c r="P220" s="777"/>
      <c r="Q220" s="777"/>
      <c r="R220" s="777"/>
      <c r="S220" s="777"/>
      <c r="T220" s="777"/>
      <c r="U220" s="777"/>
      <c r="V220" s="777"/>
      <c r="W220" s="777"/>
      <c r="AB220" s="777"/>
    </row>
    <row r="233" spans="1:28">
      <c r="A233" s="777"/>
      <c r="C233" s="777"/>
      <c r="D233" s="777"/>
      <c r="E233" s="959"/>
      <c r="F233" s="777"/>
      <c r="G233" s="777"/>
      <c r="H233" s="777"/>
      <c r="I233" s="777"/>
      <c r="J233" s="777"/>
      <c r="K233" s="777"/>
      <c r="L233" s="777"/>
      <c r="M233" s="777"/>
      <c r="N233" s="777"/>
      <c r="O233" s="777"/>
      <c r="P233" s="777"/>
      <c r="Q233" s="777"/>
      <c r="R233" s="777"/>
      <c r="S233" s="777"/>
      <c r="T233" s="777"/>
      <c r="U233" s="777"/>
      <c r="V233" s="777"/>
      <c r="W233" s="777"/>
      <c r="AB233" s="777"/>
    </row>
  </sheetData>
  <sheetProtection password="D0CE" sheet="1" objects="1" scenarios="1"/>
  <autoFilter ref="A1:V167"/>
  <mergeCells count="53">
    <mergeCell ref="Q2:R2"/>
    <mergeCell ref="S2:T2"/>
    <mergeCell ref="U2:V2"/>
    <mergeCell ref="B5:B8"/>
    <mergeCell ref="C5:C8"/>
    <mergeCell ref="I2:I4"/>
    <mergeCell ref="J2:J4"/>
    <mergeCell ref="K2:K4"/>
    <mergeCell ref="L2:L4"/>
    <mergeCell ref="M2:M4"/>
    <mergeCell ref="N2:N4"/>
    <mergeCell ref="B2:B4"/>
    <mergeCell ref="C2:C4"/>
    <mergeCell ref="D2:D4"/>
    <mergeCell ref="E2:E4"/>
    <mergeCell ref="F2:F4"/>
    <mergeCell ref="G2:H2"/>
    <mergeCell ref="O2:P2"/>
    <mergeCell ref="B9:B12"/>
    <mergeCell ref="C9:C12"/>
    <mergeCell ref="B13:B34"/>
    <mergeCell ref="C13:C34"/>
    <mergeCell ref="B35:B49"/>
    <mergeCell ref="C35:C49"/>
    <mergeCell ref="B78:B85"/>
    <mergeCell ref="C78:C85"/>
    <mergeCell ref="D78:D84"/>
    <mergeCell ref="B50:B64"/>
    <mergeCell ref="C50:C64"/>
    <mergeCell ref="B66:B77"/>
    <mergeCell ref="C66:C77"/>
    <mergeCell ref="M162:N162"/>
    <mergeCell ref="D5:D7"/>
    <mergeCell ref="D9:D11"/>
    <mergeCell ref="D13:D33"/>
    <mergeCell ref="D35:D48"/>
    <mergeCell ref="D50:D63"/>
    <mergeCell ref="D66:D76"/>
    <mergeCell ref="D126:D133"/>
    <mergeCell ref="D96:D108"/>
    <mergeCell ref="D110:D124"/>
    <mergeCell ref="B135:B159"/>
    <mergeCell ref="C135:C159"/>
    <mergeCell ref="C86:C95"/>
    <mergeCell ref="B86:B95"/>
    <mergeCell ref="D135:D158"/>
    <mergeCell ref="D86:D94"/>
    <mergeCell ref="B126:B134"/>
    <mergeCell ref="C126:C134"/>
    <mergeCell ref="B96:B109"/>
    <mergeCell ref="C96:C109"/>
    <mergeCell ref="B110:B125"/>
    <mergeCell ref="C110:C125"/>
  </mergeCells>
  <conditionalFormatting sqref="G50:R63">
    <cfRule type="expression" dxfId="41" priority="2" stopIfTrue="1">
      <formula>$G50=""</formula>
    </cfRule>
  </conditionalFormatting>
  <conditionalFormatting sqref="E5:F159">
    <cfRule type="expression" dxfId="40" priority="1">
      <formula>$G5=""</formula>
    </cfRule>
  </conditionalFormatting>
  <pageMargins left="0.23622047244094491" right="0.23622047244094491" top="0.35433070866141736" bottom="0.15748031496062992" header="0.31496062992125984" footer="0.31496062992125984"/>
  <pageSetup paperSize="8" scale="45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CH285"/>
  <sheetViews>
    <sheetView view="pageBreakPreview" zoomScale="70" zoomScaleNormal="55" zoomScaleSheetLayoutView="70" workbookViewId="0">
      <pane xSplit="17" ySplit="4" topLeftCell="R5" activePane="bottomRight" state="frozen"/>
      <selection activeCell="P141" sqref="P141"/>
      <selection pane="topRight" activeCell="P141" sqref="P141"/>
      <selection pane="bottomLeft" activeCell="P141" sqref="P141"/>
      <selection pane="bottomRight" activeCell="B13" sqref="B13:B34"/>
    </sheetView>
  </sheetViews>
  <sheetFormatPr baseColWidth="10" defaultRowHeight="15" outlineLevelCol="1"/>
  <cols>
    <col min="1" max="1" width="3" style="20" customWidth="1"/>
    <col min="2" max="2" width="33.7109375" style="1" customWidth="1"/>
    <col min="3" max="3" width="11.5703125" style="2" customWidth="1"/>
    <col min="4" max="7" width="6" style="2" customWidth="1"/>
    <col min="8" max="9" width="6" style="2" hidden="1" customWidth="1" outlineLevel="1"/>
    <col min="10" max="10" width="44.85546875" style="1" customWidth="1" collapsed="1"/>
    <col min="11" max="14" width="6.85546875" style="2" customWidth="1"/>
    <col min="15" max="16" width="6.85546875" style="2" hidden="1" customWidth="1" outlineLevel="1"/>
    <col min="17" max="17" width="11.7109375" style="2" customWidth="1" collapsed="1"/>
    <col min="18" max="21" width="9.28515625" style="2" customWidth="1"/>
    <col min="22" max="23" width="9.28515625" style="2" hidden="1" customWidth="1" outlineLevel="1"/>
    <col min="24" max="24" width="9.28515625" style="2" customWidth="1" collapsed="1"/>
    <col min="25" max="27" width="9.28515625" style="2" customWidth="1"/>
    <col min="28" max="29" width="9.28515625" style="2" hidden="1" customWidth="1" outlineLevel="1"/>
    <col min="30" max="30" width="9.28515625" style="4" customWidth="1" collapsed="1"/>
    <col min="31" max="33" width="9.28515625" style="4" customWidth="1"/>
    <col min="34" max="35" width="9.28515625" style="4" hidden="1" customWidth="1" outlineLevel="1"/>
    <col min="36" max="36" width="9.28515625" style="2" customWidth="1" collapsed="1"/>
    <col min="37" max="39" width="9.28515625" style="2" customWidth="1"/>
    <col min="40" max="41" width="9.28515625" style="2" hidden="1" customWidth="1" outlineLevel="1"/>
    <col min="42" max="42" width="9.28515625" style="4" customWidth="1" collapsed="1"/>
    <col min="43" max="45" width="9.28515625" style="4" customWidth="1"/>
    <col min="46" max="47" width="9.28515625" style="4" hidden="1" customWidth="1" outlineLevel="1"/>
    <col min="48" max="48" width="9.28515625" style="2" customWidth="1" collapsed="1"/>
    <col min="49" max="51" width="9.28515625" style="2" customWidth="1"/>
    <col min="52" max="53" width="9.28515625" style="2" hidden="1" customWidth="1" outlineLevel="1"/>
    <col min="54" max="54" width="9.28515625" style="3" customWidth="1" collapsed="1"/>
    <col min="55" max="57" width="9.28515625" style="3" customWidth="1"/>
    <col min="58" max="59" width="9.28515625" style="3" hidden="1" customWidth="1" outlineLevel="1"/>
    <col min="60" max="60" width="9.28515625" style="4" customWidth="1" collapsed="1"/>
    <col min="61" max="63" width="9.28515625" style="4" customWidth="1"/>
    <col min="64" max="65" width="9.28515625" style="4" hidden="1" customWidth="1" outlineLevel="1"/>
    <col min="66" max="66" width="7.5703125" style="361" customWidth="1" collapsed="1"/>
    <col min="67" max="73" width="7.5703125" style="361" customWidth="1"/>
    <col min="74" max="74" width="3.28515625" style="492" customWidth="1"/>
    <col min="75" max="16384" width="11.42578125" style="1"/>
  </cols>
  <sheetData>
    <row r="1" spans="1:86" s="20" customFormat="1" ht="17.25" customHeight="1" thickBot="1">
      <c r="B1" s="20">
        <v>2</v>
      </c>
      <c r="C1" s="23">
        <v>3</v>
      </c>
      <c r="D1" s="23">
        <v>4</v>
      </c>
      <c r="E1" s="23">
        <v>5</v>
      </c>
      <c r="F1" s="20">
        <v>6</v>
      </c>
      <c r="J1" s="23">
        <v>7</v>
      </c>
      <c r="K1" s="23">
        <v>8</v>
      </c>
      <c r="L1" s="23">
        <v>9</v>
      </c>
      <c r="M1" s="23">
        <v>10</v>
      </c>
      <c r="N1" s="23"/>
      <c r="O1" s="23"/>
      <c r="Q1" s="23">
        <v>11</v>
      </c>
      <c r="R1" s="23">
        <v>12</v>
      </c>
      <c r="S1" s="23">
        <v>13</v>
      </c>
      <c r="T1" s="20">
        <v>14</v>
      </c>
      <c r="X1" s="23">
        <v>15</v>
      </c>
      <c r="Y1" s="23">
        <v>16</v>
      </c>
      <c r="Z1" s="23">
        <v>17</v>
      </c>
      <c r="AA1" s="23"/>
      <c r="AB1" s="23"/>
      <c r="AC1" s="23"/>
      <c r="AD1" s="20">
        <v>18</v>
      </c>
      <c r="AE1" s="23">
        <v>19</v>
      </c>
      <c r="AF1" s="23">
        <v>20</v>
      </c>
      <c r="AG1" s="23"/>
      <c r="AH1" s="23"/>
      <c r="AI1" s="23"/>
      <c r="AJ1" s="23">
        <v>21</v>
      </c>
      <c r="AK1" s="20">
        <v>22</v>
      </c>
      <c r="AL1" s="23">
        <v>23</v>
      </c>
      <c r="AM1" s="23"/>
      <c r="AN1" s="23"/>
      <c r="AO1" s="23"/>
      <c r="AP1" s="23">
        <v>24</v>
      </c>
      <c r="AQ1" s="23">
        <v>25</v>
      </c>
      <c r="AR1" s="20">
        <v>26</v>
      </c>
      <c r="AV1" s="23">
        <v>27</v>
      </c>
      <c r="AW1" s="23">
        <v>28</v>
      </c>
      <c r="AX1" s="23">
        <v>29</v>
      </c>
      <c r="AY1" s="23"/>
      <c r="AZ1" s="23"/>
      <c r="BA1" s="23"/>
      <c r="BB1" s="20">
        <v>30</v>
      </c>
      <c r="BC1" s="23">
        <v>31</v>
      </c>
      <c r="BD1" s="23">
        <v>32</v>
      </c>
      <c r="BE1" s="23"/>
      <c r="BF1" s="23"/>
      <c r="BG1" s="23"/>
      <c r="BH1" s="23">
        <v>33</v>
      </c>
      <c r="BI1" s="20">
        <v>34</v>
      </c>
      <c r="BJ1" s="23">
        <v>35</v>
      </c>
      <c r="BK1" s="23"/>
      <c r="BL1" s="23"/>
      <c r="BM1" s="23"/>
      <c r="BN1" s="23">
        <v>36</v>
      </c>
      <c r="BO1" s="23">
        <v>37</v>
      </c>
      <c r="BP1" s="20">
        <v>38</v>
      </c>
      <c r="BQ1" s="23">
        <v>39</v>
      </c>
      <c r="BR1" s="23">
        <v>40</v>
      </c>
      <c r="BS1" s="23">
        <v>41</v>
      </c>
      <c r="BT1" s="20">
        <v>42</v>
      </c>
      <c r="BU1" s="23">
        <v>43</v>
      </c>
      <c r="BV1" s="492"/>
    </row>
    <row r="2" spans="1:86" s="6" customFormat="1" ht="30" customHeight="1" thickBot="1">
      <c r="A2" s="21"/>
      <c r="B2" s="1003" t="s">
        <v>53</v>
      </c>
      <c r="C2" s="1100" t="s">
        <v>74</v>
      </c>
      <c r="D2" s="1103" t="s">
        <v>202</v>
      </c>
      <c r="E2" s="1104"/>
      <c r="F2" s="1104"/>
      <c r="G2" s="1104"/>
      <c r="H2" s="1104"/>
      <c r="I2" s="1105"/>
      <c r="J2" s="999" t="s">
        <v>79</v>
      </c>
      <c r="K2" s="515"/>
      <c r="L2" s="515"/>
      <c r="M2" s="621"/>
      <c r="N2" s="621"/>
      <c r="O2" s="621"/>
      <c r="P2" s="622"/>
      <c r="Q2" s="995" t="s">
        <v>59</v>
      </c>
      <c r="R2" s="287" t="s">
        <v>54</v>
      </c>
      <c r="S2" s="288"/>
      <c r="T2" s="288"/>
      <c r="U2" s="288"/>
      <c r="V2" s="288"/>
      <c r="W2" s="288"/>
      <c r="X2" s="288"/>
      <c r="Y2" s="288"/>
      <c r="Z2" s="289"/>
      <c r="AA2" s="288"/>
      <c r="AB2" s="288"/>
      <c r="AC2" s="288"/>
      <c r="AD2" s="294" t="s">
        <v>160</v>
      </c>
      <c r="AE2" s="290"/>
      <c r="AF2" s="291"/>
      <c r="AG2" s="290"/>
      <c r="AH2" s="290"/>
      <c r="AI2" s="290"/>
      <c r="AJ2" s="288"/>
      <c r="AK2" s="288"/>
      <c r="AL2" s="289"/>
      <c r="AM2" s="288"/>
      <c r="AN2" s="288"/>
      <c r="AO2" s="288"/>
      <c r="AP2" s="294" t="s">
        <v>200</v>
      </c>
      <c r="AQ2" s="290"/>
      <c r="AR2" s="291"/>
      <c r="AS2" s="290"/>
      <c r="AT2" s="290"/>
      <c r="AU2" s="290"/>
      <c r="AV2" s="288"/>
      <c r="AW2" s="288"/>
      <c r="AX2" s="289"/>
      <c r="AY2" s="288"/>
      <c r="AZ2" s="288"/>
      <c r="BA2" s="288"/>
      <c r="BB2" s="294" t="s">
        <v>201</v>
      </c>
      <c r="BC2" s="290"/>
      <c r="BD2" s="291"/>
      <c r="BE2" s="290"/>
      <c r="BF2" s="290"/>
      <c r="BG2" s="290"/>
      <c r="BH2" s="288"/>
      <c r="BI2" s="288"/>
      <c r="BJ2" s="289"/>
      <c r="BK2" s="288"/>
      <c r="BL2" s="288"/>
      <c r="BM2" s="288"/>
      <c r="BN2" s="1101" t="s">
        <v>39</v>
      </c>
      <c r="BO2" s="1102"/>
      <c r="BP2" s="1101" t="s">
        <v>40</v>
      </c>
      <c r="BQ2" s="1102"/>
      <c r="BR2" s="1101" t="s">
        <v>41</v>
      </c>
      <c r="BS2" s="1102"/>
      <c r="BT2" s="1097" t="s">
        <v>42</v>
      </c>
      <c r="BU2" s="1098"/>
      <c r="BV2" s="493"/>
    </row>
    <row r="3" spans="1:86" s="6" customFormat="1" ht="30" customHeight="1" thickBot="1">
      <c r="A3" s="21"/>
      <c r="B3" s="1003"/>
      <c r="C3" s="1100"/>
      <c r="D3" s="1106"/>
      <c r="E3" s="1107"/>
      <c r="F3" s="1107"/>
      <c r="G3" s="1107"/>
      <c r="H3" s="1107"/>
      <c r="I3" s="1108"/>
      <c r="J3" s="999"/>
      <c r="K3" s="400"/>
      <c r="L3" s="400"/>
      <c r="M3" s="400"/>
      <c r="N3" s="400"/>
      <c r="O3" s="400"/>
      <c r="P3" s="623"/>
      <c r="Q3" s="996"/>
      <c r="R3" s="280" t="s">
        <v>159</v>
      </c>
      <c r="S3" s="281"/>
      <c r="T3" s="282"/>
      <c r="U3" s="635"/>
      <c r="V3" s="635"/>
      <c r="W3" s="635"/>
      <c r="X3" s="283" t="s">
        <v>44</v>
      </c>
      <c r="Y3" s="281"/>
      <c r="Z3" s="282"/>
      <c r="AA3" s="635"/>
      <c r="AB3" s="635"/>
      <c r="AC3" s="635"/>
      <c r="AD3" s="292" t="s">
        <v>161</v>
      </c>
      <c r="AE3" s="293"/>
      <c r="AF3" s="286"/>
      <c r="AG3" s="690"/>
      <c r="AH3" s="690"/>
      <c r="AI3" s="690"/>
      <c r="AJ3" s="283" t="s">
        <v>162</v>
      </c>
      <c r="AK3" s="281"/>
      <c r="AL3" s="282"/>
      <c r="AM3" s="635"/>
      <c r="AN3" s="635"/>
      <c r="AO3" s="635"/>
      <c r="AP3" s="292" t="s">
        <v>161</v>
      </c>
      <c r="AQ3" s="293"/>
      <c r="AR3" s="286"/>
      <c r="AS3" s="690"/>
      <c r="AT3" s="690"/>
      <c r="AU3" s="690"/>
      <c r="AV3" s="283" t="s">
        <v>162</v>
      </c>
      <c r="AW3" s="281"/>
      <c r="AX3" s="282"/>
      <c r="AY3" s="635"/>
      <c r="AZ3" s="635"/>
      <c r="BA3" s="635"/>
      <c r="BB3" s="292" t="s">
        <v>161</v>
      </c>
      <c r="BC3" s="293"/>
      <c r="BD3" s="286"/>
      <c r="BE3" s="690"/>
      <c r="BF3" s="690"/>
      <c r="BG3" s="690"/>
      <c r="BH3" s="283" t="s">
        <v>162</v>
      </c>
      <c r="BI3" s="281"/>
      <c r="BJ3" s="282"/>
      <c r="BK3" s="635"/>
      <c r="BL3" s="635"/>
      <c r="BM3" s="635"/>
      <c r="BN3" s="347"/>
      <c r="BO3" s="348"/>
      <c r="BP3" s="347"/>
      <c r="BQ3" s="348"/>
      <c r="BR3" s="347"/>
      <c r="BS3" s="348"/>
      <c r="BT3" s="349"/>
      <c r="BU3" s="350"/>
      <c r="BV3" s="493"/>
    </row>
    <row r="4" spans="1:86" s="6" customFormat="1" ht="30" customHeight="1" thickBot="1">
      <c r="A4" s="21"/>
      <c r="B4" s="1003"/>
      <c r="C4" s="1100"/>
      <c r="D4" s="119">
        <v>2020</v>
      </c>
      <c r="E4" s="113">
        <v>2021</v>
      </c>
      <c r="F4" s="113">
        <v>2022</v>
      </c>
      <c r="G4" s="113">
        <v>2023</v>
      </c>
      <c r="H4" s="113">
        <v>2024</v>
      </c>
      <c r="I4" s="114">
        <v>2025</v>
      </c>
      <c r="J4" s="999"/>
      <c r="K4" s="113">
        <v>2020</v>
      </c>
      <c r="L4" s="113">
        <v>2021</v>
      </c>
      <c r="M4" s="113">
        <v>2022</v>
      </c>
      <c r="N4" s="113">
        <v>2023</v>
      </c>
      <c r="O4" s="113">
        <v>2024</v>
      </c>
      <c r="P4" s="114">
        <v>2025</v>
      </c>
      <c r="Q4" s="997"/>
      <c r="R4" s="636">
        <v>2020</v>
      </c>
      <c r="S4" s="113">
        <v>2021</v>
      </c>
      <c r="T4" s="113">
        <v>2022</v>
      </c>
      <c r="U4" s="113">
        <v>2023</v>
      </c>
      <c r="V4" s="113">
        <v>2024</v>
      </c>
      <c r="W4" s="114">
        <v>2025</v>
      </c>
      <c r="X4" s="343">
        <v>2020</v>
      </c>
      <c r="Y4" s="113">
        <v>2021</v>
      </c>
      <c r="Z4" s="113">
        <v>2022</v>
      </c>
      <c r="AA4" s="113">
        <v>2023</v>
      </c>
      <c r="AB4" s="113">
        <v>2024</v>
      </c>
      <c r="AC4" s="114">
        <v>2025</v>
      </c>
      <c r="AD4" s="335">
        <v>2020</v>
      </c>
      <c r="AE4" s="336">
        <v>2021</v>
      </c>
      <c r="AF4" s="336">
        <v>2022</v>
      </c>
      <c r="AG4" s="113">
        <v>2023</v>
      </c>
      <c r="AH4" s="113">
        <v>2024</v>
      </c>
      <c r="AI4" s="114">
        <v>2025</v>
      </c>
      <c r="AJ4" s="343">
        <v>2020</v>
      </c>
      <c r="AK4" s="337">
        <v>2021</v>
      </c>
      <c r="AL4" s="337">
        <v>2022</v>
      </c>
      <c r="AM4" s="113">
        <v>2023</v>
      </c>
      <c r="AN4" s="113">
        <v>2024</v>
      </c>
      <c r="AO4" s="114">
        <v>2025</v>
      </c>
      <c r="AP4" s="335">
        <v>2020</v>
      </c>
      <c r="AQ4" s="336">
        <v>2021</v>
      </c>
      <c r="AR4" s="336">
        <v>2022</v>
      </c>
      <c r="AS4" s="113">
        <v>2023</v>
      </c>
      <c r="AT4" s="113">
        <v>2024</v>
      </c>
      <c r="AU4" s="114">
        <v>2025</v>
      </c>
      <c r="AV4" s="343">
        <v>2020</v>
      </c>
      <c r="AW4" s="337">
        <v>2021</v>
      </c>
      <c r="AX4" s="337">
        <v>2022</v>
      </c>
      <c r="AY4" s="113">
        <v>2023</v>
      </c>
      <c r="AZ4" s="113">
        <v>2024</v>
      </c>
      <c r="BA4" s="114">
        <v>2025</v>
      </c>
      <c r="BB4" s="335">
        <v>2020</v>
      </c>
      <c r="BC4" s="336">
        <v>2021</v>
      </c>
      <c r="BD4" s="336">
        <v>2022</v>
      </c>
      <c r="BE4" s="113">
        <v>2023</v>
      </c>
      <c r="BF4" s="113">
        <v>2024</v>
      </c>
      <c r="BG4" s="114">
        <v>2025</v>
      </c>
      <c r="BH4" s="343">
        <v>2020</v>
      </c>
      <c r="BI4" s="337">
        <v>2021</v>
      </c>
      <c r="BJ4" s="337">
        <v>2022</v>
      </c>
      <c r="BK4" s="113">
        <v>2023</v>
      </c>
      <c r="BL4" s="113">
        <v>2024</v>
      </c>
      <c r="BM4" s="114">
        <v>2025</v>
      </c>
      <c r="BN4" s="351" t="s">
        <v>43</v>
      </c>
      <c r="BO4" s="352" t="s">
        <v>44</v>
      </c>
      <c r="BP4" s="351" t="s">
        <v>43</v>
      </c>
      <c r="BQ4" s="352" t="s">
        <v>44</v>
      </c>
      <c r="BR4" s="351" t="s">
        <v>43</v>
      </c>
      <c r="BS4" s="352" t="s">
        <v>44</v>
      </c>
      <c r="BT4" s="351" t="s">
        <v>43</v>
      </c>
      <c r="BU4" s="353" t="s">
        <v>44</v>
      </c>
      <c r="BV4" s="493"/>
      <c r="CC4" s="6">
        <v>2020</v>
      </c>
      <c r="CD4" s="6">
        <v>2021</v>
      </c>
      <c r="CE4" s="6">
        <v>2022</v>
      </c>
      <c r="CF4" s="6">
        <v>2023</v>
      </c>
      <c r="CG4" s="6">
        <v>2024</v>
      </c>
      <c r="CH4" s="6">
        <v>2025</v>
      </c>
    </row>
    <row r="5" spans="1:86" ht="15.75" customHeight="1">
      <c r="B5" s="1083" t="s">
        <v>70</v>
      </c>
      <c r="C5" s="1085" t="s">
        <v>75</v>
      </c>
      <c r="D5" s="1047">
        <f>'2020'!D5</f>
        <v>2</v>
      </c>
      <c r="E5" s="1050">
        <f>'2021'!D5</f>
        <v>2</v>
      </c>
      <c r="F5" s="1050">
        <f>'2022'!D5</f>
        <v>2</v>
      </c>
      <c r="G5" s="1050">
        <f>'2023'!D5</f>
        <v>2</v>
      </c>
      <c r="H5" s="1050"/>
      <c r="I5" s="1051"/>
      <c r="J5" s="921" t="s">
        <v>71</v>
      </c>
      <c r="K5" s="629" t="str">
        <f>IF(R5=0,"","X")</f>
        <v>X</v>
      </c>
      <c r="L5" s="629" t="str">
        <f t="shared" ref="L5:M5" si="0">IF(S5=0,"","X")</f>
        <v>X</v>
      </c>
      <c r="M5" s="629" t="str">
        <f t="shared" si="0"/>
        <v>X</v>
      </c>
      <c r="N5" s="629" t="str">
        <f t="shared" ref="N5" si="1">IF(U5=0,"","X")</f>
        <v>X</v>
      </c>
      <c r="O5" s="629" t="str">
        <f t="shared" ref="O5" si="2">IF(V5=0,"","X")</f>
        <v/>
      </c>
      <c r="P5" s="630" t="str">
        <f t="shared" ref="P5" si="3">IF(W5=0,"","X")</f>
        <v/>
      </c>
      <c r="Q5" s="631" t="s">
        <v>60</v>
      </c>
      <c r="R5" s="637">
        <f>'2020'!G5</f>
        <v>63</v>
      </c>
      <c r="S5" s="638">
        <f>'2021'!G5</f>
        <v>102</v>
      </c>
      <c r="T5" s="638">
        <f>'2022'!G5</f>
        <v>72</v>
      </c>
      <c r="U5" s="638">
        <f>'2023'!G5</f>
        <v>176</v>
      </c>
      <c r="V5" s="638">
        <f>'2024'!G5</f>
        <v>0</v>
      </c>
      <c r="W5" s="639">
        <f>'2025'!G5</f>
        <v>0</v>
      </c>
      <c r="X5" s="675">
        <f>'2020'!H5</f>
        <v>29</v>
      </c>
      <c r="Y5" s="638">
        <f>'2021'!H5</f>
        <v>94</v>
      </c>
      <c r="Z5" s="638">
        <f>'2022'!H5</f>
        <v>72</v>
      </c>
      <c r="AA5" s="638">
        <f>'2023'!H5</f>
        <v>0</v>
      </c>
      <c r="AB5" s="638">
        <f>'2024'!H5</f>
        <v>0</v>
      </c>
      <c r="AC5" s="639">
        <f>'2025'!H5</f>
        <v>0</v>
      </c>
      <c r="AD5" s="506">
        <f t="shared" ref="AD5:AD68" si="4">IF(R5="",0,IF(AJ5=0,0,AJ5/R5))</f>
        <v>3.1746031746031744E-2</v>
      </c>
      <c r="AE5" s="507">
        <f t="shared" ref="AE5:AE68" si="5">IF(S5="",0,IF(AK5=0,0,AK5/S5))</f>
        <v>1.9607843137254902E-2</v>
      </c>
      <c r="AF5" s="507">
        <f t="shared" ref="AF5:AF68" si="6">IF(T5="",0,IF(AL5=0,0,AL5/T5))</f>
        <v>0</v>
      </c>
      <c r="AG5" s="507">
        <f t="shared" ref="AG5:AG68" si="7">IF(U5="",0,IF(AM5=0,0,AM5/U5))</f>
        <v>0.25568181818181818</v>
      </c>
      <c r="AH5" s="507">
        <f t="shared" ref="AH5:AH68" si="8">IF(V5="",0,IF(AN5=0,0,AN5/V5))</f>
        <v>0</v>
      </c>
      <c r="AI5" s="508">
        <f t="shared" ref="AI5:AI68" si="9">IF(W5="",0,IF(AO5=0,0,AO5/W5))</f>
        <v>0</v>
      </c>
      <c r="AJ5" s="675">
        <f>'2020'!J5</f>
        <v>2</v>
      </c>
      <c r="AK5" s="638">
        <f>'2021'!J5</f>
        <v>2</v>
      </c>
      <c r="AL5" s="638">
        <f>'2022'!J5</f>
        <v>0</v>
      </c>
      <c r="AM5" s="638">
        <f>'2023'!J5</f>
        <v>45</v>
      </c>
      <c r="AN5" s="638">
        <f>'2024'!J5</f>
        <v>0</v>
      </c>
      <c r="AO5" s="639">
        <f>'2025'!J5</f>
        <v>0</v>
      </c>
      <c r="AP5" s="506">
        <f t="shared" ref="AP5" si="10">IF(R5=0,"",IF(AV5="","",AV5/R5))</f>
        <v>0.26984126984126983</v>
      </c>
      <c r="AQ5" s="507">
        <f t="shared" ref="AQ5:AQ68" si="11">IF(S5=0,"",IF(AW5="","",AW5/S5))</f>
        <v>0.17647058823529413</v>
      </c>
      <c r="AR5" s="507">
        <f t="shared" ref="AR5:AR68" si="12">IF(T5=0,"",IF(AX5="","",AX5/T5))</f>
        <v>0</v>
      </c>
      <c r="AS5" s="507">
        <f t="shared" ref="AS5:AS68" si="13">IF(U5=0,"",IF(AY5="","",AY5/U5))</f>
        <v>0.34090909090909088</v>
      </c>
      <c r="AT5" s="507" t="str">
        <f t="shared" ref="AT5:AT68" si="14">IF(V5=0,"",IF(AZ5="","",AZ5/V5))</f>
        <v/>
      </c>
      <c r="AU5" s="508" t="str">
        <f t="shared" ref="AU5:AU68" si="15">IF(W5=0,"",IF(BA5="","",BA5/W5))</f>
        <v/>
      </c>
      <c r="AV5" s="675">
        <f>'2020'!L5</f>
        <v>17</v>
      </c>
      <c r="AW5" s="638">
        <f>'2021'!L5</f>
        <v>18</v>
      </c>
      <c r="AX5" s="638">
        <f>'2022'!L5</f>
        <v>0</v>
      </c>
      <c r="AY5" s="638">
        <f>'2023'!L5</f>
        <v>60</v>
      </c>
      <c r="AZ5" s="638">
        <f>'2024'!L5</f>
        <v>0</v>
      </c>
      <c r="BA5" s="639">
        <f>'2025'!L5</f>
        <v>0</v>
      </c>
      <c r="BB5" s="506">
        <f>IF(AV5=0,"",IF(BH5="-","",BH5/AV5))</f>
        <v>0.11764705882352941</v>
      </c>
      <c r="BC5" s="507">
        <f t="shared" ref="BC5:BC68" si="16">IF(AW5=0,"",IF(BI5="-","",BI5/AW5))</f>
        <v>0.1111111111111111</v>
      </c>
      <c r="BD5" s="507" t="str">
        <f t="shared" ref="BD5:BD68" si="17">IF(AX5=0,"",IF(BJ5="-","",BJ5/AX5))</f>
        <v/>
      </c>
      <c r="BE5" s="507">
        <f t="shared" ref="BE5:BE68" si="18">IF(AY5=0,"",IF(BK5="-","",BK5/AY5))</f>
        <v>0.26666666666666666</v>
      </c>
      <c r="BF5" s="507" t="str">
        <f t="shared" ref="BF5:BF68" si="19">IF(AZ5=0,"",IF(BL5="-","",BL5/AZ5))</f>
        <v/>
      </c>
      <c r="BG5" s="508" t="str">
        <f t="shared" ref="BG5:BG68" si="20">IF(BA5=0,"",IF(BM5="-","",BM5/BA5))</f>
        <v/>
      </c>
      <c r="BH5" s="963">
        <f>'2020'!N5</f>
        <v>2</v>
      </c>
      <c r="BI5" s="964">
        <f>'2021'!N5</f>
        <v>2</v>
      </c>
      <c r="BJ5" s="964">
        <f>'2022'!N5</f>
        <v>0</v>
      </c>
      <c r="BK5" s="964">
        <f>'2023'!N5</f>
        <v>16</v>
      </c>
      <c r="BL5" s="964">
        <f>'2024'!N5</f>
        <v>0</v>
      </c>
      <c r="BM5" s="965">
        <f>'2025'!N5</f>
        <v>0</v>
      </c>
      <c r="BN5" s="509" t="s">
        <v>21</v>
      </c>
      <c r="BO5" s="510" t="s">
        <v>21</v>
      </c>
      <c r="BP5" s="509" t="s">
        <v>21</v>
      </c>
      <c r="BQ5" s="510" t="s">
        <v>21</v>
      </c>
      <c r="BR5" s="511" t="s">
        <v>21</v>
      </c>
      <c r="BS5" s="512" t="s">
        <v>21</v>
      </c>
      <c r="BT5" s="511" t="s">
        <v>21</v>
      </c>
      <c r="BU5" s="513" t="s">
        <v>21</v>
      </c>
      <c r="CC5" s="1" t="str">
        <f t="shared" ref="CC5:CH5" si="21">IF(K5&lt;&gt;"",$Q5,"")</f>
        <v>France</v>
      </c>
      <c r="CD5" s="1" t="str">
        <f t="shared" si="21"/>
        <v>France</v>
      </c>
      <c r="CE5" s="1" t="str">
        <f t="shared" si="21"/>
        <v>France</v>
      </c>
      <c r="CF5" s="1" t="str">
        <f t="shared" si="21"/>
        <v>France</v>
      </c>
      <c r="CG5" s="1" t="str">
        <f t="shared" si="21"/>
        <v/>
      </c>
      <c r="CH5" s="1" t="str">
        <f t="shared" si="21"/>
        <v/>
      </c>
    </row>
    <row r="6" spans="1:86" ht="15.75" customHeight="1">
      <c r="B6" s="981"/>
      <c r="C6" s="984"/>
      <c r="D6" s="1048"/>
      <c r="E6" s="1041"/>
      <c r="F6" s="1041"/>
      <c r="G6" s="1041"/>
      <c r="H6" s="1041"/>
      <c r="I6" s="1045"/>
      <c r="J6" s="905" t="s">
        <v>166</v>
      </c>
      <c r="K6" s="426" t="str">
        <f t="shared" ref="K6:K7" si="22">IF(R6=0,"","X")</f>
        <v/>
      </c>
      <c r="L6" s="426" t="str">
        <f t="shared" ref="L6:L7" si="23">IF(S6=0,"","X")</f>
        <v/>
      </c>
      <c r="M6" s="426" t="str">
        <f t="shared" ref="M6:M7" si="24">IF(T6=0,"","X")</f>
        <v/>
      </c>
      <c r="N6" s="426" t="str">
        <f t="shared" ref="N6:N7" si="25">IF(U6=0,"","X")</f>
        <v/>
      </c>
      <c r="O6" s="426" t="str">
        <f t="shared" ref="O6:O7" si="26">IF(V6=0,"","X")</f>
        <v/>
      </c>
      <c r="P6" s="427" t="str">
        <f t="shared" ref="P6:P7" si="27">IF(W6=0,"","X")</f>
        <v/>
      </c>
      <c r="Q6" s="251"/>
      <c r="R6" s="640">
        <f>'2020'!G6</f>
        <v>0</v>
      </c>
      <c r="S6" s="641">
        <f>'2021'!G6</f>
        <v>0</v>
      </c>
      <c r="T6" s="641">
        <f>'2022'!G6</f>
        <v>0</v>
      </c>
      <c r="U6" s="641">
        <f>'2023'!G6</f>
        <v>0</v>
      </c>
      <c r="V6" s="641">
        <f>'2024'!G6</f>
        <v>0</v>
      </c>
      <c r="W6" s="642">
        <f>'2025'!G6</f>
        <v>0</v>
      </c>
      <c r="X6" s="676">
        <f>'2020'!H6</f>
        <v>0</v>
      </c>
      <c r="Y6" s="641">
        <f>'2021'!H6</f>
        <v>0</v>
      </c>
      <c r="Z6" s="641">
        <f>'2022'!H6</f>
        <v>0</v>
      </c>
      <c r="AA6" s="641">
        <f>'2023'!H6</f>
        <v>0</v>
      </c>
      <c r="AB6" s="641">
        <f>'2024'!H6</f>
        <v>0</v>
      </c>
      <c r="AC6" s="642">
        <f>'2025'!H6</f>
        <v>0</v>
      </c>
      <c r="AD6" s="449">
        <f t="shared" si="4"/>
        <v>0</v>
      </c>
      <c r="AE6" s="450">
        <f t="shared" si="5"/>
        <v>0</v>
      </c>
      <c r="AF6" s="450">
        <f t="shared" si="6"/>
        <v>0</v>
      </c>
      <c r="AG6" s="450">
        <f t="shared" si="7"/>
        <v>0</v>
      </c>
      <c r="AH6" s="450">
        <f t="shared" si="8"/>
        <v>0</v>
      </c>
      <c r="AI6" s="451">
        <f t="shared" si="9"/>
        <v>0</v>
      </c>
      <c r="AJ6" s="676">
        <f>'2020'!J6</f>
        <v>0</v>
      </c>
      <c r="AK6" s="641">
        <f>'2021'!J6</f>
        <v>0</v>
      </c>
      <c r="AL6" s="641">
        <f>'2022'!J6</f>
        <v>0</v>
      </c>
      <c r="AM6" s="641">
        <f>'2023'!J6</f>
        <v>0</v>
      </c>
      <c r="AN6" s="641">
        <f>'2024'!J6</f>
        <v>0</v>
      </c>
      <c r="AO6" s="642">
        <f>'2025'!J6</f>
        <v>0</v>
      </c>
      <c r="AP6" s="449" t="str">
        <f t="shared" ref="AP6:AP69" si="28">IF(R6=0,"",IF(AV6="","",AV6/R6))</f>
        <v/>
      </c>
      <c r="AQ6" s="450" t="str">
        <f t="shared" si="11"/>
        <v/>
      </c>
      <c r="AR6" s="450" t="str">
        <f t="shared" si="12"/>
        <v/>
      </c>
      <c r="AS6" s="450" t="str">
        <f t="shared" si="13"/>
        <v/>
      </c>
      <c r="AT6" s="450" t="str">
        <f t="shared" si="14"/>
        <v/>
      </c>
      <c r="AU6" s="451" t="str">
        <f t="shared" si="15"/>
        <v/>
      </c>
      <c r="AV6" s="676">
        <f>'2020'!L6</f>
        <v>0</v>
      </c>
      <c r="AW6" s="641">
        <f>'2021'!L6</f>
        <v>0</v>
      </c>
      <c r="AX6" s="641">
        <f>'2022'!L6</f>
        <v>0</v>
      </c>
      <c r="AY6" s="641">
        <f>'2023'!L6</f>
        <v>0</v>
      </c>
      <c r="AZ6" s="641">
        <f>'2024'!L6</f>
        <v>0</v>
      </c>
      <c r="BA6" s="642">
        <f>'2025'!L6</f>
        <v>0</v>
      </c>
      <c r="BB6" s="449" t="str">
        <f t="shared" ref="BB6:BB69" si="29">IF(AV6=0,"",IF(BH6="-","",BH6/AV6))</f>
        <v/>
      </c>
      <c r="BC6" s="450" t="str">
        <f t="shared" si="16"/>
        <v/>
      </c>
      <c r="BD6" s="450" t="str">
        <f t="shared" si="17"/>
        <v/>
      </c>
      <c r="BE6" s="450" t="str">
        <f t="shared" si="18"/>
        <v/>
      </c>
      <c r="BF6" s="450" t="str">
        <f t="shared" si="19"/>
        <v/>
      </c>
      <c r="BG6" s="451" t="str">
        <f t="shared" si="20"/>
        <v/>
      </c>
      <c r="BH6" s="966">
        <f>'2020'!N6</f>
        <v>0</v>
      </c>
      <c r="BI6" s="967">
        <f>'2021'!N6</f>
        <v>0</v>
      </c>
      <c r="BJ6" s="967">
        <f>'2022'!N6</f>
        <v>0</v>
      </c>
      <c r="BK6" s="967">
        <f>'2023'!N6</f>
        <v>0</v>
      </c>
      <c r="BL6" s="967">
        <f>'2024'!N6</f>
        <v>0</v>
      </c>
      <c r="BM6" s="968">
        <f>'2025'!N6</f>
        <v>0</v>
      </c>
      <c r="BN6" s="452"/>
      <c r="BO6" s="453"/>
      <c r="BP6" s="452"/>
      <c r="BQ6" s="453"/>
      <c r="BR6" s="454"/>
      <c r="BS6" s="455"/>
      <c r="BT6" s="454"/>
      <c r="BU6" s="456"/>
      <c r="CC6" s="1" t="str">
        <f t="shared" ref="CC6:CC69" si="30">IF(K6&lt;&gt;"",$Q6,"")</f>
        <v/>
      </c>
      <c r="CD6" s="1" t="str">
        <f t="shared" ref="CD6:CD69" si="31">IF(L6&lt;&gt;"",$Q6,"")</f>
        <v/>
      </c>
      <c r="CE6" s="1" t="str">
        <f t="shared" ref="CE6:CE69" si="32">IF(M6&lt;&gt;"",$Q6,"")</f>
        <v/>
      </c>
      <c r="CF6" s="1" t="str">
        <f t="shared" ref="CF6:CF69" si="33">IF(N6&lt;&gt;"",$Q6,"")</f>
        <v/>
      </c>
      <c r="CG6" s="1" t="str">
        <f t="shared" ref="CG6:CG69" si="34">IF(O6&lt;&gt;"",$Q6,"")</f>
        <v/>
      </c>
      <c r="CH6" s="1" t="str">
        <f t="shared" ref="CH6:CH69" si="35">IF(P6&lt;&gt;"",$Q6,"")</f>
        <v/>
      </c>
    </row>
    <row r="7" spans="1:86" ht="15.75" customHeight="1">
      <c r="B7" s="981"/>
      <c r="C7" s="984"/>
      <c r="D7" s="1049"/>
      <c r="E7" s="1042"/>
      <c r="F7" s="1042"/>
      <c r="G7" s="1042"/>
      <c r="H7" s="1042"/>
      <c r="I7" s="1046"/>
      <c r="J7" s="907" t="s">
        <v>166</v>
      </c>
      <c r="K7" s="457" t="str">
        <f t="shared" si="22"/>
        <v/>
      </c>
      <c r="L7" s="457" t="str">
        <f t="shared" si="23"/>
        <v/>
      </c>
      <c r="M7" s="457" t="str">
        <f t="shared" si="24"/>
        <v/>
      </c>
      <c r="N7" s="457" t="str">
        <f t="shared" si="25"/>
        <v/>
      </c>
      <c r="O7" s="457" t="str">
        <f t="shared" si="26"/>
        <v/>
      </c>
      <c r="P7" s="458" t="str">
        <f t="shared" si="27"/>
        <v/>
      </c>
      <c r="Q7" s="459"/>
      <c r="R7" s="643">
        <f>'2020'!G7</f>
        <v>0</v>
      </c>
      <c r="S7" s="644">
        <f>'2021'!G7</f>
        <v>0</v>
      </c>
      <c r="T7" s="644">
        <f>'2022'!G7</f>
        <v>0</v>
      </c>
      <c r="U7" s="644">
        <f>'2023'!G7</f>
        <v>0</v>
      </c>
      <c r="V7" s="644">
        <f>'2024'!G7</f>
        <v>0</v>
      </c>
      <c r="W7" s="645">
        <f>'2025'!G7</f>
        <v>0</v>
      </c>
      <c r="X7" s="677">
        <f>'2020'!H7</f>
        <v>0</v>
      </c>
      <c r="Y7" s="644">
        <f>'2021'!H7</f>
        <v>0</v>
      </c>
      <c r="Z7" s="644">
        <f>'2022'!H7</f>
        <v>0</v>
      </c>
      <c r="AA7" s="644">
        <f>'2023'!H7</f>
        <v>0</v>
      </c>
      <c r="AB7" s="644">
        <f>'2024'!H7</f>
        <v>0</v>
      </c>
      <c r="AC7" s="645">
        <f>'2025'!H7</f>
        <v>0</v>
      </c>
      <c r="AD7" s="460">
        <f t="shared" si="4"/>
        <v>0</v>
      </c>
      <c r="AE7" s="461">
        <f t="shared" si="5"/>
        <v>0</v>
      </c>
      <c r="AF7" s="461">
        <f t="shared" si="6"/>
        <v>0</v>
      </c>
      <c r="AG7" s="461">
        <f t="shared" si="7"/>
        <v>0</v>
      </c>
      <c r="AH7" s="461">
        <f t="shared" si="8"/>
        <v>0</v>
      </c>
      <c r="AI7" s="462">
        <f t="shared" si="9"/>
        <v>0</v>
      </c>
      <c r="AJ7" s="677">
        <f>'2020'!J7</f>
        <v>0</v>
      </c>
      <c r="AK7" s="644">
        <f>'2021'!J7</f>
        <v>0</v>
      </c>
      <c r="AL7" s="644">
        <f>'2022'!J7</f>
        <v>0</v>
      </c>
      <c r="AM7" s="644">
        <f>'2023'!J7</f>
        <v>0</v>
      </c>
      <c r="AN7" s="644">
        <f>'2024'!J7</f>
        <v>0</v>
      </c>
      <c r="AO7" s="645">
        <f>'2025'!J7</f>
        <v>0</v>
      </c>
      <c r="AP7" s="460" t="str">
        <f t="shared" si="28"/>
        <v/>
      </c>
      <c r="AQ7" s="461" t="str">
        <f t="shared" si="11"/>
        <v/>
      </c>
      <c r="AR7" s="461" t="str">
        <f t="shared" si="12"/>
        <v/>
      </c>
      <c r="AS7" s="461" t="str">
        <f t="shared" si="13"/>
        <v/>
      </c>
      <c r="AT7" s="461" t="str">
        <f t="shared" si="14"/>
        <v/>
      </c>
      <c r="AU7" s="462" t="str">
        <f t="shared" si="15"/>
        <v/>
      </c>
      <c r="AV7" s="677">
        <f>'2020'!L7</f>
        <v>0</v>
      </c>
      <c r="AW7" s="644">
        <f>'2021'!L7</f>
        <v>0</v>
      </c>
      <c r="AX7" s="644">
        <f>'2022'!L7</f>
        <v>0</v>
      </c>
      <c r="AY7" s="644">
        <f>'2023'!L7</f>
        <v>0</v>
      </c>
      <c r="AZ7" s="644">
        <f>'2024'!L7</f>
        <v>0</v>
      </c>
      <c r="BA7" s="645">
        <f>'2025'!L7</f>
        <v>0</v>
      </c>
      <c r="BB7" s="460" t="str">
        <f t="shared" si="29"/>
        <v/>
      </c>
      <c r="BC7" s="461" t="str">
        <f t="shared" si="16"/>
        <v/>
      </c>
      <c r="BD7" s="461" t="str">
        <f t="shared" si="17"/>
        <v/>
      </c>
      <c r="BE7" s="461" t="str">
        <f t="shared" si="18"/>
        <v/>
      </c>
      <c r="BF7" s="461" t="str">
        <f t="shared" si="19"/>
        <v/>
      </c>
      <c r="BG7" s="462" t="str">
        <f t="shared" si="20"/>
        <v/>
      </c>
      <c r="BH7" s="969">
        <f>'2020'!N7</f>
        <v>0</v>
      </c>
      <c r="BI7" s="970">
        <f>'2021'!N7</f>
        <v>0</v>
      </c>
      <c r="BJ7" s="970">
        <f>'2022'!N7</f>
        <v>0</v>
      </c>
      <c r="BK7" s="970">
        <f>'2023'!N7</f>
        <v>0</v>
      </c>
      <c r="BL7" s="970">
        <f>'2024'!N7</f>
        <v>0</v>
      </c>
      <c r="BM7" s="971">
        <f>'2025'!N7</f>
        <v>0</v>
      </c>
      <c r="BN7" s="463"/>
      <c r="BO7" s="464"/>
      <c r="BP7" s="463"/>
      <c r="BQ7" s="464"/>
      <c r="BR7" s="465"/>
      <c r="BS7" s="466"/>
      <c r="BT7" s="465"/>
      <c r="BU7" s="467"/>
      <c r="CC7" s="1" t="str">
        <f t="shared" si="30"/>
        <v/>
      </c>
      <c r="CD7" s="1" t="str">
        <f t="shared" si="31"/>
        <v/>
      </c>
      <c r="CE7" s="1" t="str">
        <f t="shared" si="32"/>
        <v/>
      </c>
      <c r="CF7" s="1" t="str">
        <f t="shared" si="33"/>
        <v/>
      </c>
      <c r="CG7" s="1" t="str">
        <f t="shared" si="34"/>
        <v/>
      </c>
      <c r="CH7" s="1" t="str">
        <f t="shared" si="35"/>
        <v/>
      </c>
    </row>
    <row r="8" spans="1:86" ht="15.75">
      <c r="B8" s="987"/>
      <c r="C8" s="1086"/>
      <c r="D8" s="550" t="s">
        <v>138</v>
      </c>
      <c r="E8" s="545"/>
      <c r="F8" s="545"/>
      <c r="G8" s="545"/>
      <c r="H8" s="545"/>
      <c r="I8" s="546"/>
      <c r="J8" s="898"/>
      <c r="K8" s="414">
        <f>COUNTIF(K5:K7,"X")</f>
        <v>1</v>
      </c>
      <c r="L8" s="414">
        <f t="shared" ref="L8" si="36">COUNTIF(L5:L7,"X")</f>
        <v>1</v>
      </c>
      <c r="M8" s="414">
        <f t="shared" ref="M8" si="37">COUNTIF(M5:M7,"X")</f>
        <v>1</v>
      </c>
      <c r="N8" s="414">
        <f t="shared" ref="N8" si="38">COUNTIF(N5:N7,"X")</f>
        <v>1</v>
      </c>
      <c r="O8" s="414">
        <f t="shared" ref="O8" si="39">COUNTIF(O5:O7,"X")</f>
        <v>0</v>
      </c>
      <c r="P8" s="415">
        <f t="shared" ref="P8" si="40">COUNTIF(P5:P7,"X")</f>
        <v>0</v>
      </c>
      <c r="Q8" s="16"/>
      <c r="R8" s="646">
        <f>SUM(R5:R7)</f>
        <v>63</v>
      </c>
      <c r="S8" s="647">
        <f t="shared" ref="S8:W8" si="41">SUM(S5:S7)</f>
        <v>102</v>
      </c>
      <c r="T8" s="647">
        <f t="shared" si="41"/>
        <v>72</v>
      </c>
      <c r="U8" s="647">
        <f t="shared" si="41"/>
        <v>176</v>
      </c>
      <c r="V8" s="647">
        <f t="shared" si="41"/>
        <v>0</v>
      </c>
      <c r="W8" s="648">
        <f t="shared" si="41"/>
        <v>0</v>
      </c>
      <c r="X8" s="678">
        <f t="shared" ref="X8" si="42">SUM(X5:X7)</f>
        <v>29</v>
      </c>
      <c r="Y8" s="647">
        <f t="shared" ref="Y8" si="43">SUM(Y5:Y7)</f>
        <v>94</v>
      </c>
      <c r="Z8" s="647">
        <f t="shared" ref="Z8" si="44">SUM(Z5:Z7)</f>
        <v>72</v>
      </c>
      <c r="AA8" s="647">
        <f t="shared" ref="AA8" si="45">SUM(AA5:AA7)</f>
        <v>0</v>
      </c>
      <c r="AB8" s="647">
        <f t="shared" ref="AB8" si="46">SUM(AB5:AB7)</f>
        <v>0</v>
      </c>
      <c r="AC8" s="648">
        <f t="shared" ref="AC8" si="47">SUM(AC5:AC7)</f>
        <v>0</v>
      </c>
      <c r="AD8" s="338">
        <f t="shared" si="4"/>
        <v>3.1746031746031744E-2</v>
      </c>
      <c r="AE8" s="339">
        <f t="shared" si="5"/>
        <v>1.9607843137254902E-2</v>
      </c>
      <c r="AF8" s="339">
        <f t="shared" si="6"/>
        <v>0</v>
      </c>
      <c r="AG8" s="339">
        <f t="shared" si="7"/>
        <v>0.25568181818181818</v>
      </c>
      <c r="AH8" s="339">
        <f t="shared" si="8"/>
        <v>0</v>
      </c>
      <c r="AI8" s="344">
        <f t="shared" si="9"/>
        <v>0</v>
      </c>
      <c r="AJ8" s="678">
        <f t="shared" ref="AJ8" si="48">SUM(AJ5:AJ7)</f>
        <v>2</v>
      </c>
      <c r="AK8" s="647">
        <f t="shared" ref="AK8" si="49">SUM(AK5:AK7)</f>
        <v>2</v>
      </c>
      <c r="AL8" s="647">
        <f t="shared" ref="AL8" si="50">SUM(AL5:AL7)</f>
        <v>0</v>
      </c>
      <c r="AM8" s="647">
        <f t="shared" ref="AM8" si="51">SUM(AM5:AM7)</f>
        <v>45</v>
      </c>
      <c r="AN8" s="647">
        <f t="shared" ref="AN8" si="52">SUM(AN5:AN7)</f>
        <v>0</v>
      </c>
      <c r="AO8" s="648">
        <f t="shared" ref="AO8" si="53">SUM(AO5:AO7)</f>
        <v>0</v>
      </c>
      <c r="AP8" s="338">
        <f t="shared" si="28"/>
        <v>0.26984126984126983</v>
      </c>
      <c r="AQ8" s="339">
        <f t="shared" si="11"/>
        <v>0.17647058823529413</v>
      </c>
      <c r="AR8" s="339">
        <f t="shared" si="12"/>
        <v>0</v>
      </c>
      <c r="AS8" s="339">
        <f t="shared" si="13"/>
        <v>0.34090909090909088</v>
      </c>
      <c r="AT8" s="339" t="str">
        <f t="shared" si="14"/>
        <v/>
      </c>
      <c r="AU8" s="344" t="str">
        <f t="shared" si="15"/>
        <v/>
      </c>
      <c r="AV8" s="678">
        <f t="shared" ref="AV8" si="54">SUM(AV5:AV7)</f>
        <v>17</v>
      </c>
      <c r="AW8" s="647">
        <f t="shared" ref="AW8" si="55">SUM(AW5:AW7)</f>
        <v>18</v>
      </c>
      <c r="AX8" s="647">
        <f t="shared" ref="AX8" si="56">SUM(AX5:AX7)</f>
        <v>0</v>
      </c>
      <c r="AY8" s="647">
        <f t="shared" ref="AY8" si="57">SUM(AY5:AY7)</f>
        <v>60</v>
      </c>
      <c r="AZ8" s="647">
        <f t="shared" ref="AZ8" si="58">SUM(AZ5:AZ7)</f>
        <v>0</v>
      </c>
      <c r="BA8" s="648">
        <f t="shared" ref="BA8" si="59">SUM(BA5:BA7)</f>
        <v>0</v>
      </c>
      <c r="BB8" s="340">
        <f t="shared" si="29"/>
        <v>0.11764705882352941</v>
      </c>
      <c r="BC8" s="341">
        <f t="shared" si="16"/>
        <v>0.1111111111111111</v>
      </c>
      <c r="BD8" s="341" t="str">
        <f t="shared" si="17"/>
        <v/>
      </c>
      <c r="BE8" s="341">
        <f t="shared" si="18"/>
        <v>0.26666666666666666</v>
      </c>
      <c r="BF8" s="341" t="str">
        <f t="shared" si="19"/>
        <v/>
      </c>
      <c r="BG8" s="345" t="str">
        <f t="shared" si="20"/>
        <v/>
      </c>
      <c r="BH8" s="678">
        <f t="shared" ref="BH8" si="60">SUM(BH5:BH7)</f>
        <v>2</v>
      </c>
      <c r="BI8" s="647">
        <f t="shared" ref="BI8" si="61">SUM(BI5:BI7)</f>
        <v>2</v>
      </c>
      <c r="BJ8" s="647">
        <f t="shared" ref="BJ8" si="62">SUM(BJ5:BJ7)</f>
        <v>0</v>
      </c>
      <c r="BK8" s="647">
        <f t="shared" ref="BK8" si="63">SUM(BK5:BK7)</f>
        <v>16</v>
      </c>
      <c r="BL8" s="647">
        <f t="shared" ref="BL8" si="64">SUM(BL5:BL7)</f>
        <v>0</v>
      </c>
      <c r="BM8" s="648">
        <f t="shared" ref="BM8" si="65">SUM(BM5:BM7)</f>
        <v>0</v>
      </c>
      <c r="BN8" s="354"/>
      <c r="BO8" s="355"/>
      <c r="BP8" s="354"/>
      <c r="BQ8" s="355"/>
      <c r="BR8" s="354"/>
      <c r="BS8" s="355"/>
      <c r="BT8" s="354"/>
      <c r="BU8" s="356"/>
      <c r="CC8" s="1">
        <f t="shared" si="30"/>
        <v>0</v>
      </c>
      <c r="CD8" s="1">
        <f t="shared" si="31"/>
        <v>0</v>
      </c>
      <c r="CE8" s="1">
        <f t="shared" si="32"/>
        <v>0</v>
      </c>
      <c r="CF8" s="1">
        <f t="shared" si="33"/>
        <v>0</v>
      </c>
      <c r="CG8" s="1">
        <f t="shared" si="34"/>
        <v>0</v>
      </c>
      <c r="CH8" s="1">
        <f t="shared" si="35"/>
        <v>0</v>
      </c>
    </row>
    <row r="9" spans="1:86" ht="15.75" customHeight="1">
      <c r="B9" s="980" t="s">
        <v>163</v>
      </c>
      <c r="C9" s="983" t="s">
        <v>75</v>
      </c>
      <c r="D9" s="1093">
        <f>'2020'!D9</f>
        <v>0</v>
      </c>
      <c r="E9" s="1040">
        <f>'2021'!D9</f>
        <v>0</v>
      </c>
      <c r="F9" s="1040">
        <f>'2022'!D9</f>
        <v>0</v>
      </c>
      <c r="G9" s="1040">
        <f>'2023'!D9</f>
        <v>0</v>
      </c>
      <c r="H9" s="1040"/>
      <c r="I9" s="1044"/>
      <c r="J9" s="903" t="s">
        <v>164</v>
      </c>
      <c r="K9" s="424" t="str">
        <f t="shared" ref="K9:K11" si="66">IF(R9=0,"","X")</f>
        <v/>
      </c>
      <c r="L9" s="424" t="str">
        <f t="shared" ref="L9:L11" si="67">IF(S9=0,"","X")</f>
        <v/>
      </c>
      <c r="M9" s="424" t="str">
        <f t="shared" ref="M9:M11" si="68">IF(T9=0,"","X")</f>
        <v>X</v>
      </c>
      <c r="N9" s="424" t="str">
        <f t="shared" ref="N9:N11" si="69">IF(U9=0,"","X")</f>
        <v/>
      </c>
      <c r="O9" s="424" t="str">
        <f t="shared" ref="O9:O11" si="70">IF(V9=0,"","X")</f>
        <v/>
      </c>
      <c r="P9" s="425" t="str">
        <f t="shared" ref="P9:P11" si="71">IF(W9=0,"","X")</f>
        <v/>
      </c>
      <c r="Q9" s="246" t="s">
        <v>60</v>
      </c>
      <c r="R9" s="649">
        <f>'2020'!G9</f>
        <v>0</v>
      </c>
      <c r="S9" s="650">
        <f>'2021'!G9</f>
        <v>0</v>
      </c>
      <c r="T9" s="650">
        <f>'2022'!G9</f>
        <v>20</v>
      </c>
      <c r="U9" s="650">
        <f>'2023'!G9</f>
        <v>0</v>
      </c>
      <c r="V9" s="650">
        <f>'2024'!G9</f>
        <v>0</v>
      </c>
      <c r="W9" s="651">
        <f>'2025'!G9</f>
        <v>0</v>
      </c>
      <c r="X9" s="679">
        <f>'2020'!H9</f>
        <v>0</v>
      </c>
      <c r="Y9" s="650">
        <f>'2021'!H9</f>
        <v>0</v>
      </c>
      <c r="Z9" s="650">
        <f>'2022'!H9</f>
        <v>9</v>
      </c>
      <c r="AA9" s="650">
        <f>'2023'!H9</f>
        <v>0</v>
      </c>
      <c r="AB9" s="650">
        <f>'2024'!H9</f>
        <v>0</v>
      </c>
      <c r="AC9" s="651">
        <f>'2025'!H9</f>
        <v>0</v>
      </c>
      <c r="AD9" s="440">
        <f t="shared" si="4"/>
        <v>0</v>
      </c>
      <c r="AE9" s="441">
        <f t="shared" si="5"/>
        <v>0</v>
      </c>
      <c r="AF9" s="441">
        <f t="shared" si="6"/>
        <v>0.4</v>
      </c>
      <c r="AG9" s="441">
        <f t="shared" si="7"/>
        <v>0</v>
      </c>
      <c r="AH9" s="441">
        <f t="shared" si="8"/>
        <v>0</v>
      </c>
      <c r="AI9" s="442">
        <f t="shared" si="9"/>
        <v>0</v>
      </c>
      <c r="AJ9" s="679">
        <f>'2020'!J9</f>
        <v>0</v>
      </c>
      <c r="AK9" s="650">
        <f>'2021'!J9</f>
        <v>0</v>
      </c>
      <c r="AL9" s="650">
        <f>'2022'!J9</f>
        <v>8</v>
      </c>
      <c r="AM9" s="650">
        <f>'2023'!J9</f>
        <v>0</v>
      </c>
      <c r="AN9" s="650">
        <f>'2024'!J9</f>
        <v>0</v>
      </c>
      <c r="AO9" s="651">
        <f>'2025'!J9</f>
        <v>0</v>
      </c>
      <c r="AP9" s="440" t="str">
        <f t="shared" si="28"/>
        <v/>
      </c>
      <c r="AQ9" s="441" t="str">
        <f t="shared" si="11"/>
        <v/>
      </c>
      <c r="AR9" s="441">
        <f t="shared" si="12"/>
        <v>0.2</v>
      </c>
      <c r="AS9" s="441" t="str">
        <f t="shared" si="13"/>
        <v/>
      </c>
      <c r="AT9" s="441" t="str">
        <f t="shared" si="14"/>
        <v/>
      </c>
      <c r="AU9" s="442" t="str">
        <f t="shared" si="15"/>
        <v/>
      </c>
      <c r="AV9" s="679">
        <f>'2020'!L9</f>
        <v>0</v>
      </c>
      <c r="AW9" s="650">
        <f>'2021'!L9</f>
        <v>0</v>
      </c>
      <c r="AX9" s="650">
        <f>'2022'!L9</f>
        <v>4</v>
      </c>
      <c r="AY9" s="650">
        <f>'2023'!L9</f>
        <v>0</v>
      </c>
      <c r="AZ9" s="650">
        <f>'2024'!L9</f>
        <v>0</v>
      </c>
      <c r="BA9" s="651">
        <f>'2025'!L9</f>
        <v>0</v>
      </c>
      <c r="BB9" s="440" t="str">
        <f t="shared" si="29"/>
        <v/>
      </c>
      <c r="BC9" s="441" t="str">
        <f t="shared" si="16"/>
        <v/>
      </c>
      <c r="BD9" s="441">
        <f t="shared" si="17"/>
        <v>0.5</v>
      </c>
      <c r="BE9" s="441" t="str">
        <f t="shared" si="18"/>
        <v/>
      </c>
      <c r="BF9" s="441" t="str">
        <f t="shared" si="19"/>
        <v/>
      </c>
      <c r="BG9" s="442" t="str">
        <f t="shared" si="20"/>
        <v/>
      </c>
      <c r="BH9" s="972">
        <f>'2020'!N9</f>
        <v>0</v>
      </c>
      <c r="BI9" s="973">
        <f>'2021'!N9</f>
        <v>0</v>
      </c>
      <c r="BJ9" s="973">
        <f>'2022'!N9</f>
        <v>2</v>
      </c>
      <c r="BK9" s="973">
        <f>'2023'!N9</f>
        <v>0</v>
      </c>
      <c r="BL9" s="973">
        <f>'2024'!N9</f>
        <v>0</v>
      </c>
      <c r="BM9" s="974">
        <f>'2025'!N9</f>
        <v>0</v>
      </c>
      <c r="BN9" s="443" t="s">
        <v>21</v>
      </c>
      <c r="BO9" s="444" t="s">
        <v>21</v>
      </c>
      <c r="BP9" s="443" t="s">
        <v>21</v>
      </c>
      <c r="BQ9" s="444" t="s">
        <v>21</v>
      </c>
      <c r="BR9" s="445" t="s">
        <v>21</v>
      </c>
      <c r="BS9" s="446" t="s">
        <v>21</v>
      </c>
      <c r="BT9" s="445" t="s">
        <v>21</v>
      </c>
      <c r="BU9" s="447" t="s">
        <v>21</v>
      </c>
      <c r="CC9" s="1" t="str">
        <f t="shared" si="30"/>
        <v/>
      </c>
      <c r="CD9" s="1" t="str">
        <f t="shared" si="31"/>
        <v/>
      </c>
      <c r="CE9" s="1" t="str">
        <f t="shared" si="32"/>
        <v>France</v>
      </c>
      <c r="CF9" s="1" t="str">
        <f t="shared" si="33"/>
        <v/>
      </c>
      <c r="CG9" s="1" t="str">
        <f t="shared" si="34"/>
        <v/>
      </c>
      <c r="CH9" s="1" t="str">
        <f t="shared" si="35"/>
        <v/>
      </c>
    </row>
    <row r="10" spans="1:86" ht="15.75" customHeight="1">
      <c r="B10" s="981"/>
      <c r="C10" s="984"/>
      <c r="D10" s="1048"/>
      <c r="E10" s="1041"/>
      <c r="F10" s="1041"/>
      <c r="G10" s="1041"/>
      <c r="H10" s="1041"/>
      <c r="I10" s="1045"/>
      <c r="J10" s="905" t="s">
        <v>166</v>
      </c>
      <c r="K10" s="426" t="str">
        <f t="shared" si="66"/>
        <v/>
      </c>
      <c r="L10" s="426" t="str">
        <f t="shared" si="67"/>
        <v/>
      </c>
      <c r="M10" s="426" t="str">
        <f t="shared" si="68"/>
        <v/>
      </c>
      <c r="N10" s="426" t="str">
        <f t="shared" si="69"/>
        <v/>
      </c>
      <c r="O10" s="426" t="str">
        <f t="shared" si="70"/>
        <v/>
      </c>
      <c r="P10" s="427" t="str">
        <f t="shared" si="71"/>
        <v/>
      </c>
      <c r="Q10" s="251"/>
      <c r="R10" s="640">
        <f>'2020'!G10</f>
        <v>0</v>
      </c>
      <c r="S10" s="641">
        <f>'2021'!G10</f>
        <v>0</v>
      </c>
      <c r="T10" s="641">
        <f>'2022'!G10</f>
        <v>0</v>
      </c>
      <c r="U10" s="641">
        <f>'2023'!G10</f>
        <v>0</v>
      </c>
      <c r="V10" s="641">
        <f>'2024'!G10</f>
        <v>0</v>
      </c>
      <c r="W10" s="642">
        <f>'2025'!G10</f>
        <v>0</v>
      </c>
      <c r="X10" s="676">
        <f>'2020'!H10</f>
        <v>0</v>
      </c>
      <c r="Y10" s="641">
        <f>'2021'!H10</f>
        <v>0</v>
      </c>
      <c r="Z10" s="641">
        <f>'2022'!H10</f>
        <v>0</v>
      </c>
      <c r="AA10" s="641">
        <f>'2023'!H10</f>
        <v>0</v>
      </c>
      <c r="AB10" s="641">
        <f>'2024'!H10</f>
        <v>0</v>
      </c>
      <c r="AC10" s="642">
        <f>'2025'!H10</f>
        <v>0</v>
      </c>
      <c r="AD10" s="449">
        <f t="shared" si="4"/>
        <v>0</v>
      </c>
      <c r="AE10" s="450">
        <f t="shared" si="5"/>
        <v>0</v>
      </c>
      <c r="AF10" s="450">
        <f t="shared" si="6"/>
        <v>0</v>
      </c>
      <c r="AG10" s="450">
        <f t="shared" si="7"/>
        <v>0</v>
      </c>
      <c r="AH10" s="450">
        <f t="shared" si="8"/>
        <v>0</v>
      </c>
      <c r="AI10" s="451">
        <f t="shared" si="9"/>
        <v>0</v>
      </c>
      <c r="AJ10" s="676">
        <f>'2020'!J10</f>
        <v>0</v>
      </c>
      <c r="AK10" s="641">
        <f>'2021'!J10</f>
        <v>0</v>
      </c>
      <c r="AL10" s="641">
        <f>'2022'!J10</f>
        <v>0</v>
      </c>
      <c r="AM10" s="641">
        <f>'2023'!J10</f>
        <v>0</v>
      </c>
      <c r="AN10" s="641">
        <f>'2024'!J10</f>
        <v>0</v>
      </c>
      <c r="AO10" s="642">
        <f>'2025'!J10</f>
        <v>0</v>
      </c>
      <c r="AP10" s="449" t="str">
        <f t="shared" si="28"/>
        <v/>
      </c>
      <c r="AQ10" s="450" t="str">
        <f t="shared" si="11"/>
        <v/>
      </c>
      <c r="AR10" s="450" t="str">
        <f t="shared" si="12"/>
        <v/>
      </c>
      <c r="AS10" s="450" t="str">
        <f t="shared" si="13"/>
        <v/>
      </c>
      <c r="AT10" s="450" t="str">
        <f t="shared" si="14"/>
        <v/>
      </c>
      <c r="AU10" s="451" t="str">
        <f t="shared" si="15"/>
        <v/>
      </c>
      <c r="AV10" s="676">
        <f>'2020'!L10</f>
        <v>0</v>
      </c>
      <c r="AW10" s="641">
        <f>'2021'!L10</f>
        <v>0</v>
      </c>
      <c r="AX10" s="641">
        <f>'2022'!L10</f>
        <v>0</v>
      </c>
      <c r="AY10" s="641">
        <f>'2023'!L10</f>
        <v>0</v>
      </c>
      <c r="AZ10" s="641">
        <f>'2024'!L10</f>
        <v>0</v>
      </c>
      <c r="BA10" s="642">
        <f>'2025'!L10</f>
        <v>0</v>
      </c>
      <c r="BB10" s="449" t="str">
        <f t="shared" si="29"/>
        <v/>
      </c>
      <c r="BC10" s="450" t="str">
        <f t="shared" si="16"/>
        <v/>
      </c>
      <c r="BD10" s="450" t="str">
        <f t="shared" si="17"/>
        <v/>
      </c>
      <c r="BE10" s="450" t="str">
        <f t="shared" si="18"/>
        <v/>
      </c>
      <c r="BF10" s="450" t="str">
        <f t="shared" si="19"/>
        <v/>
      </c>
      <c r="BG10" s="451" t="str">
        <f t="shared" si="20"/>
        <v/>
      </c>
      <c r="BH10" s="966">
        <f>'2020'!N10</f>
        <v>0</v>
      </c>
      <c r="BI10" s="967">
        <f>'2021'!N10</f>
        <v>0</v>
      </c>
      <c r="BJ10" s="967">
        <f>'2022'!N10</f>
        <v>0</v>
      </c>
      <c r="BK10" s="967">
        <f>'2023'!N10</f>
        <v>0</v>
      </c>
      <c r="BL10" s="967">
        <f>'2024'!N10</f>
        <v>0</v>
      </c>
      <c r="BM10" s="968">
        <f>'2025'!N10</f>
        <v>0</v>
      </c>
      <c r="BN10" s="452"/>
      <c r="BO10" s="453"/>
      <c r="BP10" s="452"/>
      <c r="BQ10" s="453"/>
      <c r="BR10" s="454"/>
      <c r="BS10" s="455"/>
      <c r="BT10" s="454"/>
      <c r="BU10" s="456"/>
      <c r="CC10" s="1" t="str">
        <f t="shared" si="30"/>
        <v/>
      </c>
      <c r="CD10" s="1" t="str">
        <f t="shared" si="31"/>
        <v/>
      </c>
      <c r="CE10" s="1" t="str">
        <f t="shared" si="32"/>
        <v/>
      </c>
      <c r="CF10" s="1" t="str">
        <f t="shared" si="33"/>
        <v/>
      </c>
      <c r="CG10" s="1" t="str">
        <f t="shared" si="34"/>
        <v/>
      </c>
      <c r="CH10" s="1" t="str">
        <f t="shared" si="35"/>
        <v/>
      </c>
    </row>
    <row r="11" spans="1:86" ht="15.75" customHeight="1">
      <c r="B11" s="981"/>
      <c r="C11" s="984"/>
      <c r="D11" s="1049"/>
      <c r="E11" s="1042"/>
      <c r="F11" s="1042"/>
      <c r="G11" s="1042"/>
      <c r="H11" s="1042"/>
      <c r="I11" s="1046"/>
      <c r="J11" s="907" t="s">
        <v>166</v>
      </c>
      <c r="K11" s="457" t="str">
        <f t="shared" si="66"/>
        <v/>
      </c>
      <c r="L11" s="457" t="str">
        <f t="shared" si="67"/>
        <v/>
      </c>
      <c r="M11" s="457" t="str">
        <f t="shared" si="68"/>
        <v/>
      </c>
      <c r="N11" s="457" t="str">
        <f t="shared" si="69"/>
        <v/>
      </c>
      <c r="O11" s="457" t="str">
        <f t="shared" si="70"/>
        <v/>
      </c>
      <c r="P11" s="458" t="str">
        <f t="shared" si="71"/>
        <v/>
      </c>
      <c r="Q11" s="459"/>
      <c r="R11" s="643">
        <f>'2020'!G11</f>
        <v>0</v>
      </c>
      <c r="S11" s="644">
        <f>'2021'!G11</f>
        <v>0</v>
      </c>
      <c r="T11" s="644">
        <f>'2022'!G11</f>
        <v>0</v>
      </c>
      <c r="U11" s="644">
        <f>'2023'!G11</f>
        <v>0</v>
      </c>
      <c r="V11" s="644">
        <f>'2024'!G11</f>
        <v>0</v>
      </c>
      <c r="W11" s="645">
        <f>'2025'!G11</f>
        <v>0</v>
      </c>
      <c r="X11" s="677">
        <f>'2020'!H11</f>
        <v>0</v>
      </c>
      <c r="Y11" s="644">
        <f>'2021'!H11</f>
        <v>0</v>
      </c>
      <c r="Z11" s="644">
        <f>'2022'!H11</f>
        <v>0</v>
      </c>
      <c r="AA11" s="644">
        <f>'2023'!H11</f>
        <v>0</v>
      </c>
      <c r="AB11" s="644">
        <f>'2024'!H11</f>
        <v>0</v>
      </c>
      <c r="AC11" s="645">
        <f>'2025'!H11</f>
        <v>0</v>
      </c>
      <c r="AD11" s="460">
        <f t="shared" si="4"/>
        <v>0</v>
      </c>
      <c r="AE11" s="461">
        <f t="shared" si="5"/>
        <v>0</v>
      </c>
      <c r="AF11" s="461">
        <f t="shared" si="6"/>
        <v>0</v>
      </c>
      <c r="AG11" s="461">
        <f t="shared" si="7"/>
        <v>0</v>
      </c>
      <c r="AH11" s="461">
        <f t="shared" si="8"/>
        <v>0</v>
      </c>
      <c r="AI11" s="462">
        <f t="shared" si="9"/>
        <v>0</v>
      </c>
      <c r="AJ11" s="677">
        <f>'2020'!J11</f>
        <v>0</v>
      </c>
      <c r="AK11" s="644">
        <f>'2021'!J11</f>
        <v>0</v>
      </c>
      <c r="AL11" s="644">
        <f>'2022'!J11</f>
        <v>0</v>
      </c>
      <c r="AM11" s="644">
        <f>'2023'!J11</f>
        <v>0</v>
      </c>
      <c r="AN11" s="644">
        <f>'2024'!J11</f>
        <v>0</v>
      </c>
      <c r="AO11" s="645">
        <f>'2025'!J11</f>
        <v>0</v>
      </c>
      <c r="AP11" s="460" t="str">
        <f t="shared" si="28"/>
        <v/>
      </c>
      <c r="AQ11" s="461" t="str">
        <f t="shared" si="11"/>
        <v/>
      </c>
      <c r="AR11" s="461" t="str">
        <f t="shared" si="12"/>
        <v/>
      </c>
      <c r="AS11" s="461" t="str">
        <f t="shared" si="13"/>
        <v/>
      </c>
      <c r="AT11" s="461" t="str">
        <f t="shared" si="14"/>
        <v/>
      </c>
      <c r="AU11" s="462" t="str">
        <f t="shared" si="15"/>
        <v/>
      </c>
      <c r="AV11" s="677">
        <f>'2020'!L11</f>
        <v>0</v>
      </c>
      <c r="AW11" s="644">
        <f>'2021'!L11</f>
        <v>0</v>
      </c>
      <c r="AX11" s="644">
        <f>'2022'!L11</f>
        <v>0</v>
      </c>
      <c r="AY11" s="644">
        <f>'2023'!L11</f>
        <v>0</v>
      </c>
      <c r="AZ11" s="644">
        <f>'2024'!L11</f>
        <v>0</v>
      </c>
      <c r="BA11" s="645">
        <f>'2025'!L11</f>
        <v>0</v>
      </c>
      <c r="BB11" s="460" t="str">
        <f t="shared" si="29"/>
        <v/>
      </c>
      <c r="BC11" s="461" t="str">
        <f t="shared" si="16"/>
        <v/>
      </c>
      <c r="BD11" s="461" t="str">
        <f t="shared" si="17"/>
        <v/>
      </c>
      <c r="BE11" s="461" t="str">
        <f t="shared" si="18"/>
        <v/>
      </c>
      <c r="BF11" s="461" t="str">
        <f t="shared" si="19"/>
        <v/>
      </c>
      <c r="BG11" s="462" t="str">
        <f t="shared" si="20"/>
        <v/>
      </c>
      <c r="BH11" s="969">
        <f>'2020'!N11</f>
        <v>0</v>
      </c>
      <c r="BI11" s="970">
        <f>'2021'!N11</f>
        <v>0</v>
      </c>
      <c r="BJ11" s="970">
        <f>'2022'!N11</f>
        <v>0</v>
      </c>
      <c r="BK11" s="970">
        <f>'2023'!N11</f>
        <v>0</v>
      </c>
      <c r="BL11" s="970">
        <f>'2024'!N11</f>
        <v>0</v>
      </c>
      <c r="BM11" s="971">
        <f>'2025'!N11</f>
        <v>0</v>
      </c>
      <c r="BN11" s="463"/>
      <c r="BO11" s="464"/>
      <c r="BP11" s="463"/>
      <c r="BQ11" s="464"/>
      <c r="BR11" s="465"/>
      <c r="BS11" s="466"/>
      <c r="BT11" s="465"/>
      <c r="BU11" s="467"/>
      <c r="CC11" s="1" t="str">
        <f t="shared" si="30"/>
        <v/>
      </c>
      <c r="CD11" s="1" t="str">
        <f t="shared" si="31"/>
        <v/>
      </c>
      <c r="CE11" s="1" t="str">
        <f t="shared" si="32"/>
        <v/>
      </c>
      <c r="CF11" s="1" t="str">
        <f t="shared" si="33"/>
        <v/>
      </c>
      <c r="CG11" s="1" t="str">
        <f t="shared" si="34"/>
        <v/>
      </c>
      <c r="CH11" s="1" t="str">
        <f t="shared" si="35"/>
        <v/>
      </c>
    </row>
    <row r="12" spans="1:86" ht="15.75">
      <c r="B12" s="1087"/>
      <c r="C12" s="1086"/>
      <c r="D12" s="549" t="s">
        <v>138</v>
      </c>
      <c r="E12" s="547"/>
      <c r="F12" s="547"/>
      <c r="G12" s="547"/>
      <c r="H12" s="547"/>
      <c r="I12" s="548"/>
      <c r="J12" s="898"/>
      <c r="K12" s="414">
        <f>COUNTIF(K9:K11,"X")</f>
        <v>0</v>
      </c>
      <c r="L12" s="414">
        <f t="shared" ref="L12" si="72">COUNTIF(L9:L11,"X")</f>
        <v>0</v>
      </c>
      <c r="M12" s="414">
        <f t="shared" ref="M12" si="73">COUNTIF(M9:M11,"X")</f>
        <v>1</v>
      </c>
      <c r="N12" s="414">
        <f t="shared" ref="N12" si="74">COUNTIF(N9:N11,"X")</f>
        <v>0</v>
      </c>
      <c r="O12" s="414">
        <f t="shared" ref="O12" si="75">COUNTIF(O9:O11,"X")</f>
        <v>0</v>
      </c>
      <c r="P12" s="415">
        <f t="shared" ref="P12" si="76">COUNTIF(P9:P11,"X")</f>
        <v>0</v>
      </c>
      <c r="Q12" s="16"/>
      <c r="R12" s="646">
        <f>SUM(R9:R11)</f>
        <v>0</v>
      </c>
      <c r="S12" s="647">
        <f t="shared" ref="S12" si="77">SUM(S9:S11)</f>
        <v>0</v>
      </c>
      <c r="T12" s="647">
        <f t="shared" ref="T12" si="78">SUM(T9:T11)</f>
        <v>20</v>
      </c>
      <c r="U12" s="647">
        <f t="shared" ref="U12" si="79">SUM(U9:U11)</f>
        <v>0</v>
      </c>
      <c r="V12" s="647">
        <f t="shared" ref="V12" si="80">SUM(V9:V11)</f>
        <v>0</v>
      </c>
      <c r="W12" s="648">
        <f t="shared" ref="W12" si="81">SUM(W9:W11)</f>
        <v>0</v>
      </c>
      <c r="X12" s="678">
        <f t="shared" ref="X12" si="82">SUM(X9:X11)</f>
        <v>0</v>
      </c>
      <c r="Y12" s="647">
        <f t="shared" ref="Y12" si="83">SUM(Y9:Y11)</f>
        <v>0</v>
      </c>
      <c r="Z12" s="647">
        <f t="shared" ref="Z12" si="84">SUM(Z9:Z11)</f>
        <v>9</v>
      </c>
      <c r="AA12" s="647">
        <f t="shared" ref="AA12" si="85">SUM(AA9:AA11)</f>
        <v>0</v>
      </c>
      <c r="AB12" s="647">
        <f t="shared" ref="AB12" si="86">SUM(AB9:AB11)</f>
        <v>0</v>
      </c>
      <c r="AC12" s="648">
        <f t="shared" ref="AC12" si="87">SUM(AC9:AC11)</f>
        <v>0</v>
      </c>
      <c r="AD12" s="338">
        <f t="shared" si="4"/>
        <v>0</v>
      </c>
      <c r="AE12" s="339">
        <f t="shared" si="5"/>
        <v>0</v>
      </c>
      <c r="AF12" s="339">
        <f t="shared" si="6"/>
        <v>0.4</v>
      </c>
      <c r="AG12" s="339">
        <f t="shared" si="7"/>
        <v>0</v>
      </c>
      <c r="AH12" s="339">
        <f t="shared" si="8"/>
        <v>0</v>
      </c>
      <c r="AI12" s="344">
        <f t="shared" si="9"/>
        <v>0</v>
      </c>
      <c r="AJ12" s="678">
        <f t="shared" ref="AJ12" si="88">SUM(AJ9:AJ11)</f>
        <v>0</v>
      </c>
      <c r="AK12" s="647">
        <f t="shared" ref="AK12" si="89">SUM(AK9:AK11)</f>
        <v>0</v>
      </c>
      <c r="AL12" s="647">
        <f t="shared" ref="AL12" si="90">SUM(AL9:AL11)</f>
        <v>8</v>
      </c>
      <c r="AM12" s="647">
        <f t="shared" ref="AM12" si="91">SUM(AM9:AM11)</f>
        <v>0</v>
      </c>
      <c r="AN12" s="647">
        <f t="shared" ref="AN12" si="92">SUM(AN9:AN11)</f>
        <v>0</v>
      </c>
      <c r="AO12" s="648">
        <f t="shared" ref="AO12" si="93">SUM(AO9:AO11)</f>
        <v>0</v>
      </c>
      <c r="AP12" s="338" t="str">
        <f t="shared" si="28"/>
        <v/>
      </c>
      <c r="AQ12" s="339" t="str">
        <f t="shared" si="11"/>
        <v/>
      </c>
      <c r="AR12" s="339">
        <f t="shared" si="12"/>
        <v>0.2</v>
      </c>
      <c r="AS12" s="339" t="str">
        <f t="shared" si="13"/>
        <v/>
      </c>
      <c r="AT12" s="339" t="str">
        <f t="shared" si="14"/>
        <v/>
      </c>
      <c r="AU12" s="344" t="str">
        <f t="shared" si="15"/>
        <v/>
      </c>
      <c r="AV12" s="678">
        <f t="shared" ref="AV12" si="94">SUM(AV9:AV11)</f>
        <v>0</v>
      </c>
      <c r="AW12" s="647">
        <f t="shared" ref="AW12" si="95">SUM(AW9:AW11)</f>
        <v>0</v>
      </c>
      <c r="AX12" s="647">
        <f t="shared" ref="AX12" si="96">SUM(AX9:AX11)</f>
        <v>4</v>
      </c>
      <c r="AY12" s="647">
        <f t="shared" ref="AY12" si="97">SUM(AY9:AY11)</f>
        <v>0</v>
      </c>
      <c r="AZ12" s="647">
        <f t="shared" ref="AZ12" si="98">SUM(AZ9:AZ11)</f>
        <v>0</v>
      </c>
      <c r="BA12" s="648">
        <f t="shared" ref="BA12" si="99">SUM(BA9:BA11)</f>
        <v>0</v>
      </c>
      <c r="BB12" s="340" t="str">
        <f t="shared" si="29"/>
        <v/>
      </c>
      <c r="BC12" s="341" t="str">
        <f t="shared" si="16"/>
        <v/>
      </c>
      <c r="BD12" s="341">
        <f t="shared" si="17"/>
        <v>0.5</v>
      </c>
      <c r="BE12" s="341" t="str">
        <f t="shared" si="18"/>
        <v/>
      </c>
      <c r="BF12" s="341" t="str">
        <f t="shared" si="19"/>
        <v/>
      </c>
      <c r="BG12" s="345" t="str">
        <f t="shared" si="20"/>
        <v/>
      </c>
      <c r="BH12" s="678">
        <f t="shared" ref="BH12" si="100">SUM(BH9:BH11)</f>
        <v>0</v>
      </c>
      <c r="BI12" s="647">
        <f t="shared" ref="BI12" si="101">SUM(BI9:BI11)</f>
        <v>0</v>
      </c>
      <c r="BJ12" s="647">
        <f t="shared" ref="BJ12" si="102">SUM(BJ9:BJ11)</f>
        <v>2</v>
      </c>
      <c r="BK12" s="647">
        <f t="shared" ref="BK12" si="103">SUM(BK9:BK11)</f>
        <v>0</v>
      </c>
      <c r="BL12" s="647">
        <f t="shared" ref="BL12" si="104">SUM(BL9:BL11)</f>
        <v>0</v>
      </c>
      <c r="BM12" s="648">
        <f t="shared" ref="BM12" si="105">SUM(BM9:BM11)</f>
        <v>0</v>
      </c>
      <c r="BN12" s="354"/>
      <c r="BO12" s="355"/>
      <c r="BP12" s="354"/>
      <c r="BQ12" s="355"/>
      <c r="BR12" s="354"/>
      <c r="BS12" s="355"/>
      <c r="BT12" s="354"/>
      <c r="BU12" s="356"/>
      <c r="CC12" s="1">
        <f t="shared" si="30"/>
        <v>0</v>
      </c>
      <c r="CD12" s="1">
        <f t="shared" si="31"/>
        <v>0</v>
      </c>
      <c r="CE12" s="1">
        <f t="shared" si="32"/>
        <v>0</v>
      </c>
      <c r="CF12" s="1">
        <f t="shared" si="33"/>
        <v>0</v>
      </c>
      <c r="CG12" s="1">
        <f t="shared" si="34"/>
        <v>0</v>
      </c>
      <c r="CH12" s="1">
        <f t="shared" si="35"/>
        <v>0</v>
      </c>
    </row>
    <row r="13" spans="1:86" ht="15" customHeight="1">
      <c r="B13" s="1007" t="s">
        <v>168</v>
      </c>
      <c r="C13" s="1079" t="s">
        <v>75</v>
      </c>
      <c r="D13" s="1052">
        <f>'2020'!D13</f>
        <v>0</v>
      </c>
      <c r="E13" s="1055">
        <f>'2021'!D13</f>
        <v>0</v>
      </c>
      <c r="F13" s="1055">
        <f>'2022'!D13</f>
        <v>18</v>
      </c>
      <c r="G13" s="1055">
        <f>'2023'!D13</f>
        <v>18</v>
      </c>
      <c r="H13" s="1055"/>
      <c r="I13" s="1058"/>
      <c r="J13" s="903" t="s">
        <v>182</v>
      </c>
      <c r="K13" s="424" t="str">
        <f t="shared" ref="K13:K33" si="106">IF(R13=0,"","X")</f>
        <v/>
      </c>
      <c r="L13" s="424" t="str">
        <f t="shared" ref="L13:L33" si="107">IF(S13=0,"","X")</f>
        <v/>
      </c>
      <c r="M13" s="424" t="str">
        <f t="shared" ref="M13:M33" si="108">IF(T13=0,"","X")</f>
        <v>X</v>
      </c>
      <c r="N13" s="424" t="str">
        <f t="shared" ref="N13:N33" si="109">IF(U13=0,"","X")</f>
        <v/>
      </c>
      <c r="O13" s="424" t="str">
        <f t="shared" ref="O13:O33" si="110">IF(V13=0,"","X")</f>
        <v/>
      </c>
      <c r="P13" s="425" t="str">
        <f t="shared" ref="P13:P33" si="111">IF(W13=0,"","X")</f>
        <v/>
      </c>
      <c r="Q13" s="246" t="s">
        <v>60</v>
      </c>
      <c r="R13" s="649">
        <f>'2020'!G13</f>
        <v>0</v>
      </c>
      <c r="S13" s="650">
        <f>'2021'!G13</f>
        <v>0</v>
      </c>
      <c r="T13" s="650">
        <f>'2022'!G13</f>
        <v>23</v>
      </c>
      <c r="U13" s="650">
        <f>'2023'!G13</f>
        <v>0</v>
      </c>
      <c r="V13" s="650">
        <f>'2024'!G13</f>
        <v>0</v>
      </c>
      <c r="W13" s="651">
        <f>'2025'!G13</f>
        <v>0</v>
      </c>
      <c r="X13" s="680">
        <f>'2020'!H13</f>
        <v>0</v>
      </c>
      <c r="Y13" s="652">
        <f>'2021'!H13</f>
        <v>0</v>
      </c>
      <c r="Z13" s="652">
        <f>'2022'!H13</f>
        <v>23</v>
      </c>
      <c r="AA13" s="652">
        <f>'2023'!H13</f>
        <v>0</v>
      </c>
      <c r="AB13" s="652">
        <f>'2024'!H13</f>
        <v>0</v>
      </c>
      <c r="AC13" s="653">
        <f>'2025'!H13</f>
        <v>0</v>
      </c>
      <c r="AD13" s="701">
        <f t="shared" si="4"/>
        <v>0</v>
      </c>
      <c r="AE13" s="702">
        <f t="shared" si="5"/>
        <v>0</v>
      </c>
      <c r="AF13" s="702">
        <f t="shared" si="6"/>
        <v>0.47826086956521741</v>
      </c>
      <c r="AG13" s="702">
        <f t="shared" si="7"/>
        <v>0</v>
      </c>
      <c r="AH13" s="702">
        <f t="shared" si="8"/>
        <v>0</v>
      </c>
      <c r="AI13" s="703">
        <f t="shared" si="9"/>
        <v>0</v>
      </c>
      <c r="AJ13" s="680">
        <f>'2020'!J13</f>
        <v>0</v>
      </c>
      <c r="AK13" s="652">
        <f>'2021'!J13</f>
        <v>0</v>
      </c>
      <c r="AL13" s="652">
        <f>'2022'!J13</f>
        <v>11</v>
      </c>
      <c r="AM13" s="652">
        <f>'2023'!J13</f>
        <v>0</v>
      </c>
      <c r="AN13" s="652">
        <f>'2024'!J13</f>
        <v>0</v>
      </c>
      <c r="AO13" s="653">
        <f>'2025'!J13</f>
        <v>0</v>
      </c>
      <c r="AP13" s="701" t="str">
        <f t="shared" si="28"/>
        <v/>
      </c>
      <c r="AQ13" s="702" t="str">
        <f t="shared" si="11"/>
        <v/>
      </c>
      <c r="AR13" s="702">
        <f t="shared" si="12"/>
        <v>0.47826086956521741</v>
      </c>
      <c r="AS13" s="702" t="str">
        <f t="shared" si="13"/>
        <v/>
      </c>
      <c r="AT13" s="702" t="str">
        <f t="shared" si="14"/>
        <v/>
      </c>
      <c r="AU13" s="703" t="str">
        <f t="shared" si="15"/>
        <v/>
      </c>
      <c r="AV13" s="680">
        <f>'2020'!L13</f>
        <v>0</v>
      </c>
      <c r="AW13" s="652">
        <f>'2021'!L13</f>
        <v>0</v>
      </c>
      <c r="AX13" s="652">
        <f>'2022'!L13</f>
        <v>11</v>
      </c>
      <c r="AY13" s="652">
        <f>'2023'!L13</f>
        <v>0</v>
      </c>
      <c r="AZ13" s="652">
        <f>'2024'!L13</f>
        <v>0</v>
      </c>
      <c r="BA13" s="653">
        <f>'2025'!L13</f>
        <v>0</v>
      </c>
      <c r="BB13" s="440" t="str">
        <f t="shared" si="29"/>
        <v/>
      </c>
      <c r="BC13" s="441" t="str">
        <f t="shared" si="16"/>
        <v/>
      </c>
      <c r="BD13" s="441">
        <f t="shared" si="17"/>
        <v>0.90909090909090906</v>
      </c>
      <c r="BE13" s="441" t="str">
        <f t="shared" si="18"/>
        <v/>
      </c>
      <c r="BF13" s="441" t="str">
        <f t="shared" si="19"/>
        <v/>
      </c>
      <c r="BG13" s="442" t="str">
        <f t="shared" si="20"/>
        <v/>
      </c>
      <c r="BH13" s="972" t="str">
        <f>'2020'!N13</f>
        <v>-</v>
      </c>
      <c r="BI13" s="973" t="str">
        <f>'2021'!N13</f>
        <v>-</v>
      </c>
      <c r="BJ13" s="973">
        <f>'2022'!N13</f>
        <v>10</v>
      </c>
      <c r="BK13" s="973">
        <f>'2023'!N13</f>
        <v>0</v>
      </c>
      <c r="BL13" s="973">
        <f>'2024'!N13</f>
        <v>0</v>
      </c>
      <c r="BM13" s="974">
        <f>'2025'!N13</f>
        <v>0</v>
      </c>
      <c r="BN13" s="443" t="s">
        <v>21</v>
      </c>
      <c r="BO13" s="444" t="s">
        <v>21</v>
      </c>
      <c r="BP13" s="443" t="s">
        <v>21</v>
      </c>
      <c r="BQ13" s="444" t="s">
        <v>21</v>
      </c>
      <c r="BR13" s="445" t="s">
        <v>21</v>
      </c>
      <c r="BS13" s="446" t="s">
        <v>21</v>
      </c>
      <c r="BT13" s="445" t="s">
        <v>21</v>
      </c>
      <c r="BU13" s="447" t="s">
        <v>21</v>
      </c>
      <c r="CC13" s="1" t="str">
        <f t="shared" si="30"/>
        <v/>
      </c>
      <c r="CD13" s="1" t="str">
        <f t="shared" si="31"/>
        <v/>
      </c>
      <c r="CE13" s="1" t="str">
        <f t="shared" si="32"/>
        <v>France</v>
      </c>
      <c r="CF13" s="1" t="str">
        <f t="shared" si="33"/>
        <v/>
      </c>
      <c r="CG13" s="1" t="str">
        <f t="shared" si="34"/>
        <v/>
      </c>
      <c r="CH13" s="1" t="str">
        <f t="shared" si="35"/>
        <v/>
      </c>
    </row>
    <row r="14" spans="1:86" ht="15" customHeight="1">
      <c r="B14" s="1007"/>
      <c r="C14" s="1079"/>
      <c r="D14" s="1053"/>
      <c r="E14" s="1056"/>
      <c r="F14" s="1056"/>
      <c r="G14" s="1056"/>
      <c r="H14" s="1056"/>
      <c r="I14" s="1059"/>
      <c r="J14" s="905" t="s">
        <v>183</v>
      </c>
      <c r="K14" s="426" t="str">
        <f t="shared" si="106"/>
        <v/>
      </c>
      <c r="L14" s="426" t="str">
        <f t="shared" si="107"/>
        <v/>
      </c>
      <c r="M14" s="426" t="str">
        <f t="shared" si="108"/>
        <v>X</v>
      </c>
      <c r="N14" s="426" t="str">
        <f t="shared" si="109"/>
        <v/>
      </c>
      <c r="O14" s="426" t="str">
        <f t="shared" si="110"/>
        <v/>
      </c>
      <c r="P14" s="427" t="str">
        <f t="shared" si="111"/>
        <v/>
      </c>
      <c r="Q14" s="251" t="s">
        <v>60</v>
      </c>
      <c r="R14" s="640">
        <f>'2020'!G14</f>
        <v>0</v>
      </c>
      <c r="S14" s="641">
        <f>'2021'!G14</f>
        <v>0</v>
      </c>
      <c r="T14" s="641">
        <f>'2022'!G14</f>
        <v>25</v>
      </c>
      <c r="U14" s="641">
        <f>'2023'!G14</f>
        <v>0</v>
      </c>
      <c r="V14" s="641">
        <f>'2024'!G14</f>
        <v>0</v>
      </c>
      <c r="W14" s="642">
        <f>'2025'!G14</f>
        <v>0</v>
      </c>
      <c r="X14" s="681">
        <f>'2020'!H14</f>
        <v>0</v>
      </c>
      <c r="Y14" s="655">
        <f>'2021'!H14</f>
        <v>0</v>
      </c>
      <c r="Z14" s="655">
        <f>'2022'!H14</f>
        <v>13</v>
      </c>
      <c r="AA14" s="655">
        <f>'2023'!H14</f>
        <v>0</v>
      </c>
      <c r="AB14" s="655">
        <f>'2024'!H14</f>
        <v>0</v>
      </c>
      <c r="AC14" s="656">
        <f>'2025'!H14</f>
        <v>0</v>
      </c>
      <c r="AD14" s="704">
        <f t="shared" si="4"/>
        <v>0</v>
      </c>
      <c r="AE14" s="705">
        <f t="shared" si="5"/>
        <v>0</v>
      </c>
      <c r="AF14" s="705">
        <f t="shared" si="6"/>
        <v>0.4</v>
      </c>
      <c r="AG14" s="705">
        <f t="shared" si="7"/>
        <v>0</v>
      </c>
      <c r="AH14" s="705">
        <f t="shared" si="8"/>
        <v>0</v>
      </c>
      <c r="AI14" s="706">
        <f t="shared" si="9"/>
        <v>0</v>
      </c>
      <c r="AJ14" s="681">
        <f>'2020'!J14</f>
        <v>0</v>
      </c>
      <c r="AK14" s="655">
        <f>'2021'!J14</f>
        <v>0</v>
      </c>
      <c r="AL14" s="655">
        <f>'2022'!J14</f>
        <v>10</v>
      </c>
      <c r="AM14" s="655">
        <f>'2023'!J14</f>
        <v>0</v>
      </c>
      <c r="AN14" s="655">
        <f>'2024'!J14</f>
        <v>0</v>
      </c>
      <c r="AO14" s="656">
        <f>'2025'!J14</f>
        <v>0</v>
      </c>
      <c r="AP14" s="704" t="str">
        <f t="shared" si="28"/>
        <v/>
      </c>
      <c r="AQ14" s="705" t="str">
        <f t="shared" si="11"/>
        <v/>
      </c>
      <c r="AR14" s="705">
        <f t="shared" si="12"/>
        <v>0.44</v>
      </c>
      <c r="AS14" s="705" t="str">
        <f t="shared" si="13"/>
        <v/>
      </c>
      <c r="AT14" s="705" t="str">
        <f t="shared" si="14"/>
        <v/>
      </c>
      <c r="AU14" s="706" t="str">
        <f t="shared" si="15"/>
        <v/>
      </c>
      <c r="AV14" s="681">
        <f>'2020'!L14</f>
        <v>0</v>
      </c>
      <c r="AW14" s="655">
        <f>'2021'!L14</f>
        <v>0</v>
      </c>
      <c r="AX14" s="655">
        <f>'2022'!L14</f>
        <v>11</v>
      </c>
      <c r="AY14" s="655">
        <f>'2023'!L14</f>
        <v>0</v>
      </c>
      <c r="AZ14" s="655">
        <f>'2024'!L14</f>
        <v>0</v>
      </c>
      <c r="BA14" s="656">
        <f>'2025'!L14</f>
        <v>0</v>
      </c>
      <c r="BB14" s="449" t="str">
        <f t="shared" si="29"/>
        <v/>
      </c>
      <c r="BC14" s="450" t="str">
        <f t="shared" si="16"/>
        <v/>
      </c>
      <c r="BD14" s="450">
        <f t="shared" si="17"/>
        <v>0.63636363636363635</v>
      </c>
      <c r="BE14" s="450" t="str">
        <f t="shared" si="18"/>
        <v/>
      </c>
      <c r="BF14" s="450" t="str">
        <f t="shared" si="19"/>
        <v/>
      </c>
      <c r="BG14" s="451" t="str">
        <f t="shared" si="20"/>
        <v/>
      </c>
      <c r="BH14" s="966" t="str">
        <f>'2020'!N14</f>
        <v>-</v>
      </c>
      <c r="BI14" s="967" t="str">
        <f>'2021'!N14</f>
        <v>-</v>
      </c>
      <c r="BJ14" s="967">
        <f>'2022'!N14</f>
        <v>7</v>
      </c>
      <c r="BK14" s="967">
        <f>'2023'!N14</f>
        <v>0</v>
      </c>
      <c r="BL14" s="967">
        <f>'2024'!N14</f>
        <v>0</v>
      </c>
      <c r="BM14" s="968">
        <f>'2025'!N14</f>
        <v>0</v>
      </c>
      <c r="BN14" s="452" t="s">
        <v>21</v>
      </c>
      <c r="BO14" s="453" t="s">
        <v>21</v>
      </c>
      <c r="BP14" s="452" t="s">
        <v>21</v>
      </c>
      <c r="BQ14" s="453" t="s">
        <v>21</v>
      </c>
      <c r="BR14" s="454" t="s">
        <v>21</v>
      </c>
      <c r="BS14" s="455" t="s">
        <v>21</v>
      </c>
      <c r="BT14" s="454" t="s">
        <v>21</v>
      </c>
      <c r="BU14" s="456" t="s">
        <v>21</v>
      </c>
      <c r="CC14" s="1" t="str">
        <f t="shared" si="30"/>
        <v/>
      </c>
      <c r="CD14" s="1" t="str">
        <f t="shared" si="31"/>
        <v/>
      </c>
      <c r="CE14" s="1" t="str">
        <f t="shared" si="32"/>
        <v>France</v>
      </c>
      <c r="CF14" s="1" t="str">
        <f t="shared" si="33"/>
        <v/>
      </c>
      <c r="CG14" s="1" t="str">
        <f t="shared" si="34"/>
        <v/>
      </c>
      <c r="CH14" s="1" t="str">
        <f t="shared" si="35"/>
        <v/>
      </c>
    </row>
    <row r="15" spans="1:86" ht="15" customHeight="1">
      <c r="B15" s="1007"/>
      <c r="C15" s="1079"/>
      <c r="D15" s="1053"/>
      <c r="E15" s="1056"/>
      <c r="F15" s="1056"/>
      <c r="G15" s="1056"/>
      <c r="H15" s="1056"/>
      <c r="I15" s="1059"/>
      <c r="J15" s="905" t="s">
        <v>184</v>
      </c>
      <c r="K15" s="426" t="str">
        <f t="shared" si="106"/>
        <v/>
      </c>
      <c r="L15" s="426" t="str">
        <f t="shared" si="107"/>
        <v/>
      </c>
      <c r="M15" s="426" t="str">
        <f t="shared" si="108"/>
        <v>X</v>
      </c>
      <c r="N15" s="426" t="str">
        <f t="shared" si="109"/>
        <v/>
      </c>
      <c r="O15" s="426" t="str">
        <f t="shared" si="110"/>
        <v/>
      </c>
      <c r="P15" s="427" t="str">
        <f t="shared" si="111"/>
        <v/>
      </c>
      <c r="Q15" s="251" t="s">
        <v>60</v>
      </c>
      <c r="R15" s="640">
        <f>'2020'!G15</f>
        <v>0</v>
      </c>
      <c r="S15" s="641">
        <f>'2021'!G15</f>
        <v>0</v>
      </c>
      <c r="T15" s="641">
        <f>'2022'!G15</f>
        <v>20</v>
      </c>
      <c r="U15" s="641">
        <f>'2023'!G15</f>
        <v>0</v>
      </c>
      <c r="V15" s="641">
        <f>'2024'!G15</f>
        <v>0</v>
      </c>
      <c r="W15" s="642">
        <f>'2025'!G15</f>
        <v>0</v>
      </c>
      <c r="X15" s="681">
        <f>'2020'!H15</f>
        <v>0</v>
      </c>
      <c r="Y15" s="655">
        <f>'2021'!H15</f>
        <v>0</v>
      </c>
      <c r="Z15" s="655">
        <f>'2022'!H15</f>
        <v>20</v>
      </c>
      <c r="AA15" s="655">
        <f>'2023'!H15</f>
        <v>0</v>
      </c>
      <c r="AB15" s="655">
        <f>'2024'!H15</f>
        <v>0</v>
      </c>
      <c r="AC15" s="656">
        <f>'2025'!H15</f>
        <v>0</v>
      </c>
      <c r="AD15" s="704">
        <f t="shared" si="4"/>
        <v>0</v>
      </c>
      <c r="AE15" s="705">
        <f t="shared" si="5"/>
        <v>0</v>
      </c>
      <c r="AF15" s="705">
        <f t="shared" si="6"/>
        <v>0.45</v>
      </c>
      <c r="AG15" s="705">
        <f t="shared" si="7"/>
        <v>0</v>
      </c>
      <c r="AH15" s="705">
        <f t="shared" si="8"/>
        <v>0</v>
      </c>
      <c r="AI15" s="706">
        <f t="shared" si="9"/>
        <v>0</v>
      </c>
      <c r="AJ15" s="681">
        <f>'2020'!J15</f>
        <v>0</v>
      </c>
      <c r="AK15" s="655">
        <f>'2021'!J15</f>
        <v>0</v>
      </c>
      <c r="AL15" s="655">
        <f>'2022'!J15</f>
        <v>9</v>
      </c>
      <c r="AM15" s="655">
        <f>'2023'!J15</f>
        <v>0</v>
      </c>
      <c r="AN15" s="655">
        <f>'2024'!J15</f>
        <v>0</v>
      </c>
      <c r="AO15" s="656">
        <f>'2025'!J15</f>
        <v>0</v>
      </c>
      <c r="AP15" s="704" t="str">
        <f t="shared" si="28"/>
        <v/>
      </c>
      <c r="AQ15" s="705" t="str">
        <f t="shared" si="11"/>
        <v/>
      </c>
      <c r="AR15" s="705">
        <f t="shared" si="12"/>
        <v>0.4</v>
      </c>
      <c r="AS15" s="705" t="str">
        <f t="shared" si="13"/>
        <v/>
      </c>
      <c r="AT15" s="705" t="str">
        <f t="shared" si="14"/>
        <v/>
      </c>
      <c r="AU15" s="706" t="str">
        <f t="shared" si="15"/>
        <v/>
      </c>
      <c r="AV15" s="681">
        <f>'2020'!L15</f>
        <v>0</v>
      </c>
      <c r="AW15" s="655">
        <f>'2021'!L15</f>
        <v>0</v>
      </c>
      <c r="AX15" s="655">
        <f>'2022'!L15</f>
        <v>8</v>
      </c>
      <c r="AY15" s="655">
        <f>'2023'!L15</f>
        <v>0</v>
      </c>
      <c r="AZ15" s="655">
        <f>'2024'!L15</f>
        <v>0</v>
      </c>
      <c r="BA15" s="656">
        <f>'2025'!L15</f>
        <v>0</v>
      </c>
      <c r="BB15" s="449" t="str">
        <f t="shared" si="29"/>
        <v/>
      </c>
      <c r="BC15" s="450" t="str">
        <f t="shared" si="16"/>
        <v/>
      </c>
      <c r="BD15" s="450">
        <f t="shared" si="17"/>
        <v>0.375</v>
      </c>
      <c r="BE15" s="450" t="str">
        <f t="shared" si="18"/>
        <v/>
      </c>
      <c r="BF15" s="450" t="str">
        <f t="shared" si="19"/>
        <v/>
      </c>
      <c r="BG15" s="451" t="str">
        <f t="shared" si="20"/>
        <v/>
      </c>
      <c r="BH15" s="966" t="str">
        <f>'2020'!N15</f>
        <v>-</v>
      </c>
      <c r="BI15" s="967" t="str">
        <f>'2021'!N15</f>
        <v>-</v>
      </c>
      <c r="BJ15" s="967">
        <f>'2022'!N15</f>
        <v>3</v>
      </c>
      <c r="BK15" s="967">
        <f>'2023'!N15</f>
        <v>0</v>
      </c>
      <c r="BL15" s="967">
        <f>'2024'!N15</f>
        <v>0</v>
      </c>
      <c r="BM15" s="968">
        <f>'2025'!N15</f>
        <v>0</v>
      </c>
      <c r="BN15" s="452" t="s">
        <v>21</v>
      </c>
      <c r="BO15" s="453" t="s">
        <v>21</v>
      </c>
      <c r="BP15" s="452" t="s">
        <v>21</v>
      </c>
      <c r="BQ15" s="453" t="s">
        <v>21</v>
      </c>
      <c r="BR15" s="454" t="s">
        <v>21</v>
      </c>
      <c r="BS15" s="455" t="s">
        <v>21</v>
      </c>
      <c r="BT15" s="454" t="s">
        <v>21</v>
      </c>
      <c r="BU15" s="456" t="s">
        <v>21</v>
      </c>
      <c r="CC15" s="1" t="str">
        <f t="shared" si="30"/>
        <v/>
      </c>
      <c r="CD15" s="1" t="str">
        <f t="shared" si="31"/>
        <v/>
      </c>
      <c r="CE15" s="1" t="str">
        <f t="shared" si="32"/>
        <v>France</v>
      </c>
      <c r="CF15" s="1" t="str">
        <f t="shared" si="33"/>
        <v/>
      </c>
      <c r="CG15" s="1" t="str">
        <f t="shared" si="34"/>
        <v/>
      </c>
      <c r="CH15" s="1" t="str">
        <f t="shared" si="35"/>
        <v/>
      </c>
    </row>
    <row r="16" spans="1:86" ht="15" customHeight="1">
      <c r="B16" s="1007"/>
      <c r="C16" s="1079"/>
      <c r="D16" s="1053"/>
      <c r="E16" s="1056"/>
      <c r="F16" s="1056"/>
      <c r="G16" s="1056"/>
      <c r="H16" s="1056"/>
      <c r="I16" s="1059"/>
      <c r="J16" s="905" t="s">
        <v>185</v>
      </c>
      <c r="K16" s="426" t="str">
        <f t="shared" si="106"/>
        <v/>
      </c>
      <c r="L16" s="426" t="str">
        <f t="shared" si="107"/>
        <v/>
      </c>
      <c r="M16" s="426" t="str">
        <f t="shared" si="108"/>
        <v>X</v>
      </c>
      <c r="N16" s="426" t="str">
        <f t="shared" si="109"/>
        <v/>
      </c>
      <c r="O16" s="426" t="str">
        <f t="shared" si="110"/>
        <v/>
      </c>
      <c r="P16" s="427" t="str">
        <f t="shared" si="111"/>
        <v/>
      </c>
      <c r="Q16" s="251" t="s">
        <v>60</v>
      </c>
      <c r="R16" s="640">
        <f>'2020'!G16</f>
        <v>0</v>
      </c>
      <c r="S16" s="641">
        <f>'2021'!G16</f>
        <v>0</v>
      </c>
      <c r="T16" s="641">
        <f>'2022'!G16</f>
        <v>13</v>
      </c>
      <c r="U16" s="641">
        <f>'2023'!G16</f>
        <v>0</v>
      </c>
      <c r="V16" s="641">
        <f>'2024'!G16</f>
        <v>0</v>
      </c>
      <c r="W16" s="642">
        <f>'2025'!G16</f>
        <v>0</v>
      </c>
      <c r="X16" s="681">
        <f>'2020'!H16</f>
        <v>0</v>
      </c>
      <c r="Y16" s="655">
        <f>'2021'!H16</f>
        <v>0</v>
      </c>
      <c r="Z16" s="655">
        <f>'2022'!H16</f>
        <v>12</v>
      </c>
      <c r="AA16" s="655">
        <f>'2023'!H16</f>
        <v>0</v>
      </c>
      <c r="AB16" s="655">
        <f>'2024'!H16</f>
        <v>0</v>
      </c>
      <c r="AC16" s="656">
        <f>'2025'!H16</f>
        <v>0</v>
      </c>
      <c r="AD16" s="704">
        <f t="shared" si="4"/>
        <v>0</v>
      </c>
      <c r="AE16" s="705">
        <f t="shared" si="5"/>
        <v>0</v>
      </c>
      <c r="AF16" s="705">
        <f t="shared" si="6"/>
        <v>0.15384615384615385</v>
      </c>
      <c r="AG16" s="705">
        <f t="shared" si="7"/>
        <v>0</v>
      </c>
      <c r="AH16" s="705">
        <f t="shared" si="8"/>
        <v>0</v>
      </c>
      <c r="AI16" s="706">
        <f t="shared" si="9"/>
        <v>0</v>
      </c>
      <c r="AJ16" s="681">
        <f>'2020'!J16</f>
        <v>0</v>
      </c>
      <c r="AK16" s="655">
        <f>'2021'!J16</f>
        <v>0</v>
      </c>
      <c r="AL16" s="655">
        <f>'2022'!J16</f>
        <v>2</v>
      </c>
      <c r="AM16" s="655">
        <f>'2023'!J16</f>
        <v>0</v>
      </c>
      <c r="AN16" s="655">
        <f>'2024'!J16</f>
        <v>0</v>
      </c>
      <c r="AO16" s="656">
        <f>'2025'!J16</f>
        <v>0</v>
      </c>
      <c r="AP16" s="704" t="str">
        <f t="shared" si="28"/>
        <v/>
      </c>
      <c r="AQ16" s="705" t="str">
        <f t="shared" si="11"/>
        <v/>
      </c>
      <c r="AR16" s="705">
        <f t="shared" si="12"/>
        <v>0.30769230769230771</v>
      </c>
      <c r="AS16" s="705" t="str">
        <f t="shared" si="13"/>
        <v/>
      </c>
      <c r="AT16" s="705" t="str">
        <f t="shared" si="14"/>
        <v/>
      </c>
      <c r="AU16" s="706" t="str">
        <f t="shared" si="15"/>
        <v/>
      </c>
      <c r="AV16" s="681">
        <f>'2020'!L16</f>
        <v>0</v>
      </c>
      <c r="AW16" s="655">
        <f>'2021'!L16</f>
        <v>0</v>
      </c>
      <c r="AX16" s="655">
        <f>'2022'!L16</f>
        <v>4</v>
      </c>
      <c r="AY16" s="655">
        <f>'2023'!L16</f>
        <v>0</v>
      </c>
      <c r="AZ16" s="655">
        <f>'2024'!L16</f>
        <v>0</v>
      </c>
      <c r="BA16" s="656">
        <f>'2025'!L16</f>
        <v>0</v>
      </c>
      <c r="BB16" s="449" t="str">
        <f t="shared" si="29"/>
        <v/>
      </c>
      <c r="BC16" s="450" t="str">
        <f t="shared" si="16"/>
        <v/>
      </c>
      <c r="BD16" s="450">
        <f t="shared" si="17"/>
        <v>0.5</v>
      </c>
      <c r="BE16" s="450" t="str">
        <f t="shared" si="18"/>
        <v/>
      </c>
      <c r="BF16" s="450" t="str">
        <f t="shared" si="19"/>
        <v/>
      </c>
      <c r="BG16" s="451" t="str">
        <f t="shared" si="20"/>
        <v/>
      </c>
      <c r="BH16" s="966" t="str">
        <f>'2020'!N16</f>
        <v>-</v>
      </c>
      <c r="BI16" s="967" t="str">
        <f>'2021'!N16</f>
        <v>-</v>
      </c>
      <c r="BJ16" s="967">
        <f>'2022'!N16</f>
        <v>2</v>
      </c>
      <c r="BK16" s="967">
        <f>'2023'!N16</f>
        <v>0</v>
      </c>
      <c r="BL16" s="967">
        <f>'2024'!N16</f>
        <v>0</v>
      </c>
      <c r="BM16" s="968">
        <f>'2025'!N16</f>
        <v>0</v>
      </c>
      <c r="BN16" s="452" t="s">
        <v>21</v>
      </c>
      <c r="BO16" s="453" t="s">
        <v>21</v>
      </c>
      <c r="BP16" s="452" t="s">
        <v>21</v>
      </c>
      <c r="BQ16" s="453" t="s">
        <v>21</v>
      </c>
      <c r="BR16" s="454" t="s">
        <v>21</v>
      </c>
      <c r="BS16" s="455" t="s">
        <v>21</v>
      </c>
      <c r="BT16" s="454" t="s">
        <v>21</v>
      </c>
      <c r="BU16" s="456" t="s">
        <v>21</v>
      </c>
      <c r="CC16" s="1" t="str">
        <f t="shared" si="30"/>
        <v/>
      </c>
      <c r="CD16" s="1" t="str">
        <f t="shared" si="31"/>
        <v/>
      </c>
      <c r="CE16" s="1" t="str">
        <f t="shared" si="32"/>
        <v>France</v>
      </c>
      <c r="CF16" s="1" t="str">
        <f t="shared" si="33"/>
        <v/>
      </c>
      <c r="CG16" s="1" t="str">
        <f t="shared" si="34"/>
        <v/>
      </c>
      <c r="CH16" s="1" t="str">
        <f t="shared" si="35"/>
        <v/>
      </c>
    </row>
    <row r="17" spans="2:86" ht="15" customHeight="1">
      <c r="B17" s="1007"/>
      <c r="C17" s="1079"/>
      <c r="D17" s="1053"/>
      <c r="E17" s="1056"/>
      <c r="F17" s="1056"/>
      <c r="G17" s="1056"/>
      <c r="H17" s="1056"/>
      <c r="I17" s="1059"/>
      <c r="J17" s="905" t="s">
        <v>186</v>
      </c>
      <c r="K17" s="426" t="str">
        <f t="shared" si="106"/>
        <v/>
      </c>
      <c r="L17" s="426" t="str">
        <f t="shared" si="107"/>
        <v/>
      </c>
      <c r="M17" s="426" t="str">
        <f t="shared" si="108"/>
        <v>X</v>
      </c>
      <c r="N17" s="426" t="str">
        <f t="shared" si="109"/>
        <v/>
      </c>
      <c r="O17" s="426" t="str">
        <f t="shared" si="110"/>
        <v/>
      </c>
      <c r="P17" s="427" t="str">
        <f t="shared" si="111"/>
        <v/>
      </c>
      <c r="Q17" s="251" t="s">
        <v>60</v>
      </c>
      <c r="R17" s="640">
        <f>'2020'!G17</f>
        <v>0</v>
      </c>
      <c r="S17" s="641">
        <f>'2021'!G17</f>
        <v>0</v>
      </c>
      <c r="T17" s="641">
        <f>'2022'!G17</f>
        <v>7</v>
      </c>
      <c r="U17" s="641">
        <f>'2023'!G17</f>
        <v>0</v>
      </c>
      <c r="V17" s="641">
        <f>'2024'!G17</f>
        <v>0</v>
      </c>
      <c r="W17" s="642">
        <f>'2025'!G17</f>
        <v>0</v>
      </c>
      <c r="X17" s="681">
        <f>'2020'!H17</f>
        <v>0</v>
      </c>
      <c r="Y17" s="655">
        <f>'2021'!H17</f>
        <v>0</v>
      </c>
      <c r="Z17" s="655">
        <f>'2022'!H17</f>
        <v>6</v>
      </c>
      <c r="AA17" s="655">
        <f>'2023'!H17</f>
        <v>0</v>
      </c>
      <c r="AB17" s="655">
        <f>'2024'!H17</f>
        <v>0</v>
      </c>
      <c r="AC17" s="656">
        <f>'2025'!H17</f>
        <v>0</v>
      </c>
      <c r="AD17" s="704">
        <f t="shared" si="4"/>
        <v>0</v>
      </c>
      <c r="AE17" s="705">
        <f t="shared" si="5"/>
        <v>0</v>
      </c>
      <c r="AF17" s="705">
        <f t="shared" si="6"/>
        <v>0.2857142857142857</v>
      </c>
      <c r="AG17" s="705">
        <f t="shared" si="7"/>
        <v>0</v>
      </c>
      <c r="AH17" s="705">
        <f t="shared" si="8"/>
        <v>0</v>
      </c>
      <c r="AI17" s="706">
        <f t="shared" si="9"/>
        <v>0</v>
      </c>
      <c r="AJ17" s="681">
        <f>'2020'!J17</f>
        <v>0</v>
      </c>
      <c r="AK17" s="655">
        <f>'2021'!J17</f>
        <v>0</v>
      </c>
      <c r="AL17" s="655">
        <f>'2022'!J17</f>
        <v>2</v>
      </c>
      <c r="AM17" s="655">
        <f>'2023'!J17</f>
        <v>0</v>
      </c>
      <c r="AN17" s="655">
        <f>'2024'!J17</f>
        <v>0</v>
      </c>
      <c r="AO17" s="656">
        <f>'2025'!J17</f>
        <v>0</v>
      </c>
      <c r="AP17" s="704" t="str">
        <f t="shared" si="28"/>
        <v/>
      </c>
      <c r="AQ17" s="705" t="str">
        <f t="shared" si="11"/>
        <v/>
      </c>
      <c r="AR17" s="705">
        <f t="shared" si="12"/>
        <v>0</v>
      </c>
      <c r="AS17" s="705" t="str">
        <f t="shared" si="13"/>
        <v/>
      </c>
      <c r="AT17" s="705" t="str">
        <f t="shared" si="14"/>
        <v/>
      </c>
      <c r="AU17" s="706" t="str">
        <f t="shared" si="15"/>
        <v/>
      </c>
      <c r="AV17" s="681">
        <f>'2020'!L17</f>
        <v>0</v>
      </c>
      <c r="AW17" s="655">
        <f>'2021'!L17</f>
        <v>0</v>
      </c>
      <c r="AX17" s="655">
        <f>'2022'!L17</f>
        <v>0</v>
      </c>
      <c r="AY17" s="655">
        <f>'2023'!L17</f>
        <v>0</v>
      </c>
      <c r="AZ17" s="655">
        <f>'2024'!L17</f>
        <v>0</v>
      </c>
      <c r="BA17" s="656">
        <f>'2025'!L17</f>
        <v>0</v>
      </c>
      <c r="BB17" s="449" t="str">
        <f t="shared" si="29"/>
        <v/>
      </c>
      <c r="BC17" s="450" t="str">
        <f t="shared" si="16"/>
        <v/>
      </c>
      <c r="BD17" s="450" t="str">
        <f t="shared" si="17"/>
        <v/>
      </c>
      <c r="BE17" s="450" t="str">
        <f t="shared" si="18"/>
        <v/>
      </c>
      <c r="BF17" s="450" t="str">
        <f t="shared" si="19"/>
        <v/>
      </c>
      <c r="BG17" s="451" t="str">
        <f t="shared" si="20"/>
        <v/>
      </c>
      <c r="BH17" s="966" t="str">
        <f>'2020'!N17</f>
        <v>-</v>
      </c>
      <c r="BI17" s="967" t="str">
        <f>'2021'!N17</f>
        <v>-</v>
      </c>
      <c r="BJ17" s="967">
        <f>'2022'!N17</f>
        <v>0</v>
      </c>
      <c r="BK17" s="967">
        <f>'2023'!N17</f>
        <v>0</v>
      </c>
      <c r="BL17" s="967">
        <f>'2024'!N17</f>
        <v>0</v>
      </c>
      <c r="BM17" s="968">
        <f>'2025'!N17</f>
        <v>0</v>
      </c>
      <c r="BN17" s="452" t="s">
        <v>21</v>
      </c>
      <c r="BO17" s="453" t="s">
        <v>21</v>
      </c>
      <c r="BP17" s="452" t="s">
        <v>21</v>
      </c>
      <c r="BQ17" s="453" t="s">
        <v>21</v>
      </c>
      <c r="BR17" s="454" t="s">
        <v>21</v>
      </c>
      <c r="BS17" s="455" t="s">
        <v>21</v>
      </c>
      <c r="BT17" s="454" t="s">
        <v>21</v>
      </c>
      <c r="BU17" s="456" t="s">
        <v>21</v>
      </c>
      <c r="CC17" s="1" t="str">
        <f t="shared" si="30"/>
        <v/>
      </c>
      <c r="CD17" s="1" t="str">
        <f t="shared" si="31"/>
        <v/>
      </c>
      <c r="CE17" s="1" t="str">
        <f t="shared" si="32"/>
        <v>France</v>
      </c>
      <c r="CF17" s="1" t="str">
        <f t="shared" si="33"/>
        <v/>
      </c>
      <c r="CG17" s="1" t="str">
        <f t="shared" si="34"/>
        <v/>
      </c>
      <c r="CH17" s="1" t="str">
        <f t="shared" si="35"/>
        <v/>
      </c>
    </row>
    <row r="18" spans="2:86" ht="15" customHeight="1">
      <c r="B18" s="1007"/>
      <c r="C18" s="1079"/>
      <c r="D18" s="1053"/>
      <c r="E18" s="1056"/>
      <c r="F18" s="1056"/>
      <c r="G18" s="1056"/>
      <c r="H18" s="1056"/>
      <c r="I18" s="1059"/>
      <c r="J18" s="905" t="s">
        <v>187</v>
      </c>
      <c r="K18" s="426" t="str">
        <f t="shared" si="106"/>
        <v/>
      </c>
      <c r="L18" s="426" t="str">
        <f t="shared" si="107"/>
        <v/>
      </c>
      <c r="M18" s="426" t="str">
        <f t="shared" si="108"/>
        <v>X</v>
      </c>
      <c r="N18" s="426" t="str">
        <f t="shared" si="109"/>
        <v/>
      </c>
      <c r="O18" s="426" t="str">
        <f t="shared" si="110"/>
        <v/>
      </c>
      <c r="P18" s="427" t="str">
        <f t="shared" si="111"/>
        <v/>
      </c>
      <c r="Q18" s="251" t="s">
        <v>62</v>
      </c>
      <c r="R18" s="640">
        <f>'2020'!G18</f>
        <v>0</v>
      </c>
      <c r="S18" s="641">
        <f>'2021'!G18</f>
        <v>0</v>
      </c>
      <c r="T18" s="641">
        <f>'2022'!G18</f>
        <v>74</v>
      </c>
      <c r="U18" s="641">
        <f>'2023'!G18</f>
        <v>0</v>
      </c>
      <c r="V18" s="641">
        <f>'2024'!G18</f>
        <v>0</v>
      </c>
      <c r="W18" s="642">
        <f>'2025'!G18</f>
        <v>0</v>
      </c>
      <c r="X18" s="681">
        <f>'2020'!H18</f>
        <v>0</v>
      </c>
      <c r="Y18" s="655">
        <f>'2021'!H18</f>
        <v>0</v>
      </c>
      <c r="Z18" s="655">
        <f>'2022'!H18</f>
        <v>30</v>
      </c>
      <c r="AA18" s="655">
        <f>'2023'!H18</f>
        <v>0</v>
      </c>
      <c r="AB18" s="655">
        <f>'2024'!H18</f>
        <v>0</v>
      </c>
      <c r="AC18" s="656">
        <f>'2025'!H18</f>
        <v>0</v>
      </c>
      <c r="AD18" s="704">
        <f t="shared" si="4"/>
        <v>0</v>
      </c>
      <c r="AE18" s="705">
        <f t="shared" si="5"/>
        <v>0</v>
      </c>
      <c r="AF18" s="705">
        <f t="shared" si="6"/>
        <v>0.29729729729729731</v>
      </c>
      <c r="AG18" s="705">
        <f t="shared" si="7"/>
        <v>0</v>
      </c>
      <c r="AH18" s="705">
        <f t="shared" si="8"/>
        <v>0</v>
      </c>
      <c r="AI18" s="706">
        <f t="shared" si="9"/>
        <v>0</v>
      </c>
      <c r="AJ18" s="681">
        <f>'2020'!J18</f>
        <v>0</v>
      </c>
      <c r="AK18" s="655">
        <f>'2021'!J18</f>
        <v>0</v>
      </c>
      <c r="AL18" s="655">
        <f>'2022'!J18</f>
        <v>22</v>
      </c>
      <c r="AM18" s="655">
        <f>'2023'!J18</f>
        <v>0</v>
      </c>
      <c r="AN18" s="655">
        <f>'2024'!J18</f>
        <v>0</v>
      </c>
      <c r="AO18" s="656">
        <f>'2025'!J18</f>
        <v>0</v>
      </c>
      <c r="AP18" s="704" t="str">
        <f t="shared" si="28"/>
        <v/>
      </c>
      <c r="AQ18" s="705" t="str">
        <f t="shared" si="11"/>
        <v/>
      </c>
      <c r="AR18" s="705">
        <f t="shared" si="12"/>
        <v>0.36486486486486486</v>
      </c>
      <c r="AS18" s="705" t="str">
        <f t="shared" si="13"/>
        <v/>
      </c>
      <c r="AT18" s="705" t="str">
        <f t="shared" si="14"/>
        <v/>
      </c>
      <c r="AU18" s="706" t="str">
        <f t="shared" si="15"/>
        <v/>
      </c>
      <c r="AV18" s="681">
        <f>'2020'!L18</f>
        <v>0</v>
      </c>
      <c r="AW18" s="655">
        <f>'2021'!L18</f>
        <v>0</v>
      </c>
      <c r="AX18" s="655">
        <f>'2022'!L18</f>
        <v>27</v>
      </c>
      <c r="AY18" s="655">
        <f>'2023'!L18</f>
        <v>0</v>
      </c>
      <c r="AZ18" s="655">
        <f>'2024'!L18</f>
        <v>0</v>
      </c>
      <c r="BA18" s="656">
        <f>'2025'!L18</f>
        <v>0</v>
      </c>
      <c r="BB18" s="449" t="str">
        <f t="shared" si="29"/>
        <v/>
      </c>
      <c r="BC18" s="450" t="str">
        <f t="shared" si="16"/>
        <v/>
      </c>
      <c r="BD18" s="450">
        <f t="shared" si="17"/>
        <v>0.48148148148148145</v>
      </c>
      <c r="BE18" s="450" t="str">
        <f t="shared" si="18"/>
        <v/>
      </c>
      <c r="BF18" s="450" t="str">
        <f t="shared" si="19"/>
        <v/>
      </c>
      <c r="BG18" s="451" t="str">
        <f t="shared" si="20"/>
        <v/>
      </c>
      <c r="BH18" s="966" t="str">
        <f>'2020'!N18</f>
        <v>-</v>
      </c>
      <c r="BI18" s="967" t="str">
        <f>'2021'!N18</f>
        <v>-</v>
      </c>
      <c r="BJ18" s="967">
        <f>'2022'!N18</f>
        <v>13</v>
      </c>
      <c r="BK18" s="967">
        <f>'2023'!N18</f>
        <v>0</v>
      </c>
      <c r="BL18" s="967">
        <f>'2024'!N18</f>
        <v>0</v>
      </c>
      <c r="BM18" s="968">
        <f>'2025'!N18</f>
        <v>0</v>
      </c>
      <c r="BN18" s="452" t="s">
        <v>21</v>
      </c>
      <c r="BO18" s="453" t="s">
        <v>21</v>
      </c>
      <c r="BP18" s="452" t="s">
        <v>21</v>
      </c>
      <c r="BQ18" s="453" t="s">
        <v>21</v>
      </c>
      <c r="BR18" s="454" t="s">
        <v>21</v>
      </c>
      <c r="BS18" s="455" t="s">
        <v>21</v>
      </c>
      <c r="BT18" s="454" t="s">
        <v>21</v>
      </c>
      <c r="BU18" s="456" t="s">
        <v>21</v>
      </c>
      <c r="CC18" s="1" t="str">
        <f t="shared" si="30"/>
        <v/>
      </c>
      <c r="CD18" s="1" t="str">
        <f t="shared" si="31"/>
        <v/>
      </c>
      <c r="CE18" s="1" t="str">
        <f t="shared" si="32"/>
        <v>Frontière</v>
      </c>
      <c r="CF18" s="1" t="str">
        <f t="shared" si="33"/>
        <v/>
      </c>
      <c r="CG18" s="1" t="str">
        <f t="shared" si="34"/>
        <v/>
      </c>
      <c r="CH18" s="1" t="str">
        <f t="shared" si="35"/>
        <v/>
      </c>
    </row>
    <row r="19" spans="2:86" ht="15" customHeight="1">
      <c r="B19" s="1007"/>
      <c r="C19" s="1079"/>
      <c r="D19" s="1053"/>
      <c r="E19" s="1056"/>
      <c r="F19" s="1056"/>
      <c r="G19" s="1056"/>
      <c r="H19" s="1056"/>
      <c r="I19" s="1059"/>
      <c r="J19" s="905" t="s">
        <v>188</v>
      </c>
      <c r="K19" s="426" t="str">
        <f t="shared" si="106"/>
        <v/>
      </c>
      <c r="L19" s="426" t="str">
        <f t="shared" si="107"/>
        <v/>
      </c>
      <c r="M19" s="426" t="str">
        <f t="shared" si="108"/>
        <v>X</v>
      </c>
      <c r="N19" s="426" t="str">
        <f t="shared" si="109"/>
        <v/>
      </c>
      <c r="O19" s="426" t="str">
        <f t="shared" si="110"/>
        <v/>
      </c>
      <c r="P19" s="427" t="str">
        <f t="shared" si="111"/>
        <v/>
      </c>
      <c r="Q19" s="251" t="s">
        <v>60</v>
      </c>
      <c r="R19" s="640">
        <f>'2020'!G19</f>
        <v>0</v>
      </c>
      <c r="S19" s="641">
        <f>'2021'!G19</f>
        <v>0</v>
      </c>
      <c r="T19" s="641">
        <f>'2022'!G19</f>
        <v>34</v>
      </c>
      <c r="U19" s="641">
        <f>'2023'!G19</f>
        <v>0</v>
      </c>
      <c r="V19" s="641">
        <f>'2024'!G19</f>
        <v>0</v>
      </c>
      <c r="W19" s="642">
        <f>'2025'!G19</f>
        <v>0</v>
      </c>
      <c r="X19" s="681">
        <f>'2020'!H19</f>
        <v>0</v>
      </c>
      <c r="Y19" s="655">
        <f>'2021'!H19</f>
        <v>0</v>
      </c>
      <c r="Z19" s="655">
        <f>'2022'!H19</f>
        <v>34</v>
      </c>
      <c r="AA19" s="655">
        <f>'2023'!H19</f>
        <v>0</v>
      </c>
      <c r="AB19" s="655">
        <f>'2024'!H19</f>
        <v>0</v>
      </c>
      <c r="AC19" s="656">
        <f>'2025'!H19</f>
        <v>0</v>
      </c>
      <c r="AD19" s="704">
        <f t="shared" si="4"/>
        <v>0</v>
      </c>
      <c r="AE19" s="705">
        <f t="shared" si="5"/>
        <v>0</v>
      </c>
      <c r="AF19" s="705">
        <f t="shared" si="6"/>
        <v>0.17647058823529413</v>
      </c>
      <c r="AG19" s="705">
        <f t="shared" si="7"/>
        <v>0</v>
      </c>
      <c r="AH19" s="705">
        <f t="shared" si="8"/>
        <v>0</v>
      </c>
      <c r="AI19" s="706">
        <f t="shared" si="9"/>
        <v>0</v>
      </c>
      <c r="AJ19" s="681">
        <f>'2020'!J19</f>
        <v>0</v>
      </c>
      <c r="AK19" s="655">
        <f>'2021'!J19</f>
        <v>0</v>
      </c>
      <c r="AL19" s="655">
        <f>'2022'!J19</f>
        <v>6</v>
      </c>
      <c r="AM19" s="655">
        <f>'2023'!J19</f>
        <v>0</v>
      </c>
      <c r="AN19" s="655">
        <f>'2024'!J19</f>
        <v>0</v>
      </c>
      <c r="AO19" s="656">
        <f>'2025'!J19</f>
        <v>0</v>
      </c>
      <c r="AP19" s="704" t="str">
        <f t="shared" si="28"/>
        <v/>
      </c>
      <c r="AQ19" s="705" t="str">
        <f t="shared" si="11"/>
        <v/>
      </c>
      <c r="AR19" s="705">
        <f t="shared" si="12"/>
        <v>0.38235294117647056</v>
      </c>
      <c r="AS19" s="705" t="str">
        <f t="shared" si="13"/>
        <v/>
      </c>
      <c r="AT19" s="705" t="str">
        <f t="shared" si="14"/>
        <v/>
      </c>
      <c r="AU19" s="706" t="str">
        <f t="shared" si="15"/>
        <v/>
      </c>
      <c r="AV19" s="681">
        <f>'2020'!L19</f>
        <v>0</v>
      </c>
      <c r="AW19" s="655">
        <f>'2021'!L19</f>
        <v>0</v>
      </c>
      <c r="AX19" s="655">
        <f>'2022'!L19</f>
        <v>13</v>
      </c>
      <c r="AY19" s="655">
        <f>'2023'!L19</f>
        <v>0</v>
      </c>
      <c r="AZ19" s="655">
        <f>'2024'!L19</f>
        <v>0</v>
      </c>
      <c r="BA19" s="656">
        <f>'2025'!L19</f>
        <v>0</v>
      </c>
      <c r="BB19" s="449" t="str">
        <f t="shared" si="29"/>
        <v/>
      </c>
      <c r="BC19" s="450" t="str">
        <f t="shared" si="16"/>
        <v/>
      </c>
      <c r="BD19" s="450">
        <f t="shared" si="17"/>
        <v>0.15384615384615385</v>
      </c>
      <c r="BE19" s="450" t="str">
        <f t="shared" si="18"/>
        <v/>
      </c>
      <c r="BF19" s="450" t="str">
        <f t="shared" si="19"/>
        <v/>
      </c>
      <c r="BG19" s="451" t="str">
        <f t="shared" si="20"/>
        <v/>
      </c>
      <c r="BH19" s="966" t="str">
        <f>'2020'!N19</f>
        <v>-</v>
      </c>
      <c r="BI19" s="967" t="str">
        <f>'2021'!N19</f>
        <v>-</v>
      </c>
      <c r="BJ19" s="967">
        <f>'2022'!N19</f>
        <v>2</v>
      </c>
      <c r="BK19" s="967">
        <f>'2023'!N19</f>
        <v>0</v>
      </c>
      <c r="BL19" s="967">
        <f>'2024'!N19</f>
        <v>0</v>
      </c>
      <c r="BM19" s="968">
        <f>'2025'!N19</f>
        <v>0</v>
      </c>
      <c r="BN19" s="452" t="s">
        <v>21</v>
      </c>
      <c r="BO19" s="453" t="s">
        <v>21</v>
      </c>
      <c r="BP19" s="452" t="s">
        <v>21</v>
      </c>
      <c r="BQ19" s="453" t="s">
        <v>21</v>
      </c>
      <c r="BR19" s="454" t="s">
        <v>21</v>
      </c>
      <c r="BS19" s="455" t="s">
        <v>21</v>
      </c>
      <c r="BT19" s="454" t="s">
        <v>21</v>
      </c>
      <c r="BU19" s="456" t="s">
        <v>21</v>
      </c>
      <c r="CC19" s="1" t="str">
        <f t="shared" si="30"/>
        <v/>
      </c>
      <c r="CD19" s="1" t="str">
        <f t="shared" si="31"/>
        <v/>
      </c>
      <c r="CE19" s="1" t="str">
        <f t="shared" si="32"/>
        <v>France</v>
      </c>
      <c r="CF19" s="1" t="str">
        <f t="shared" si="33"/>
        <v/>
      </c>
      <c r="CG19" s="1" t="str">
        <f t="shared" si="34"/>
        <v/>
      </c>
      <c r="CH19" s="1" t="str">
        <f t="shared" si="35"/>
        <v/>
      </c>
    </row>
    <row r="20" spans="2:86" ht="15" customHeight="1">
      <c r="B20" s="1007"/>
      <c r="C20" s="1079"/>
      <c r="D20" s="1053"/>
      <c r="E20" s="1056"/>
      <c r="F20" s="1056"/>
      <c r="G20" s="1056"/>
      <c r="H20" s="1056"/>
      <c r="I20" s="1059"/>
      <c r="J20" s="905" t="s">
        <v>189</v>
      </c>
      <c r="K20" s="426" t="str">
        <f t="shared" si="106"/>
        <v/>
      </c>
      <c r="L20" s="426" t="str">
        <f t="shared" si="107"/>
        <v/>
      </c>
      <c r="M20" s="426" t="str">
        <f t="shared" si="108"/>
        <v>X</v>
      </c>
      <c r="N20" s="426" t="str">
        <f t="shared" si="109"/>
        <v/>
      </c>
      <c r="O20" s="426" t="str">
        <f t="shared" si="110"/>
        <v/>
      </c>
      <c r="P20" s="427" t="str">
        <f t="shared" si="111"/>
        <v/>
      </c>
      <c r="Q20" s="251" t="s">
        <v>60</v>
      </c>
      <c r="R20" s="640">
        <f>'2020'!G20</f>
        <v>0</v>
      </c>
      <c r="S20" s="641">
        <f>'2021'!G20</f>
        <v>0</v>
      </c>
      <c r="T20" s="641">
        <f>'2022'!G20</f>
        <v>47</v>
      </c>
      <c r="U20" s="641">
        <f>'2023'!G20</f>
        <v>0</v>
      </c>
      <c r="V20" s="641">
        <f>'2024'!G20</f>
        <v>0</v>
      </c>
      <c r="W20" s="642">
        <f>'2025'!G20</f>
        <v>0</v>
      </c>
      <c r="X20" s="681">
        <f>'2020'!H20</f>
        <v>0</v>
      </c>
      <c r="Y20" s="655">
        <f>'2021'!H20</f>
        <v>0</v>
      </c>
      <c r="Z20" s="655">
        <f>'2022'!H20</f>
        <v>47</v>
      </c>
      <c r="AA20" s="655">
        <f>'2023'!H20</f>
        <v>0</v>
      </c>
      <c r="AB20" s="655">
        <f>'2024'!H20</f>
        <v>0</v>
      </c>
      <c r="AC20" s="656">
        <f>'2025'!H20</f>
        <v>0</v>
      </c>
      <c r="AD20" s="704">
        <f t="shared" si="4"/>
        <v>0</v>
      </c>
      <c r="AE20" s="705">
        <f t="shared" si="5"/>
        <v>0</v>
      </c>
      <c r="AF20" s="705">
        <f t="shared" si="6"/>
        <v>6.3829787234042548E-2</v>
      </c>
      <c r="AG20" s="705">
        <f t="shared" si="7"/>
        <v>0</v>
      </c>
      <c r="AH20" s="705">
        <f t="shared" si="8"/>
        <v>0</v>
      </c>
      <c r="AI20" s="706">
        <f t="shared" si="9"/>
        <v>0</v>
      </c>
      <c r="AJ20" s="681">
        <f>'2020'!J20</f>
        <v>0</v>
      </c>
      <c r="AK20" s="655">
        <f>'2021'!J20</f>
        <v>0</v>
      </c>
      <c r="AL20" s="655">
        <f>'2022'!J20</f>
        <v>3</v>
      </c>
      <c r="AM20" s="655">
        <f>'2023'!J20</f>
        <v>0</v>
      </c>
      <c r="AN20" s="655">
        <f>'2024'!J20</f>
        <v>0</v>
      </c>
      <c r="AO20" s="656">
        <f>'2025'!J20</f>
        <v>0</v>
      </c>
      <c r="AP20" s="704" t="str">
        <f t="shared" si="28"/>
        <v/>
      </c>
      <c r="AQ20" s="705" t="str">
        <f t="shared" si="11"/>
        <v/>
      </c>
      <c r="AR20" s="705">
        <f t="shared" si="12"/>
        <v>0.31914893617021278</v>
      </c>
      <c r="AS20" s="705" t="str">
        <f t="shared" si="13"/>
        <v/>
      </c>
      <c r="AT20" s="705" t="str">
        <f t="shared" si="14"/>
        <v/>
      </c>
      <c r="AU20" s="706" t="str">
        <f t="shared" si="15"/>
        <v/>
      </c>
      <c r="AV20" s="681">
        <f>'2020'!L20</f>
        <v>0</v>
      </c>
      <c r="AW20" s="655">
        <f>'2021'!L20</f>
        <v>0</v>
      </c>
      <c r="AX20" s="655">
        <f>'2022'!L20</f>
        <v>15</v>
      </c>
      <c r="AY20" s="655">
        <f>'2023'!L20</f>
        <v>0</v>
      </c>
      <c r="AZ20" s="655">
        <f>'2024'!L20</f>
        <v>0</v>
      </c>
      <c r="BA20" s="656">
        <f>'2025'!L20</f>
        <v>0</v>
      </c>
      <c r="BB20" s="449" t="str">
        <f t="shared" si="29"/>
        <v/>
      </c>
      <c r="BC20" s="450" t="str">
        <f t="shared" si="16"/>
        <v/>
      </c>
      <c r="BD20" s="450">
        <f t="shared" si="17"/>
        <v>0.2</v>
      </c>
      <c r="BE20" s="450" t="str">
        <f t="shared" si="18"/>
        <v/>
      </c>
      <c r="BF20" s="450" t="str">
        <f t="shared" si="19"/>
        <v/>
      </c>
      <c r="BG20" s="451" t="str">
        <f t="shared" si="20"/>
        <v/>
      </c>
      <c r="BH20" s="966" t="str">
        <f>'2020'!N20</f>
        <v>-</v>
      </c>
      <c r="BI20" s="967" t="str">
        <f>'2021'!N20</f>
        <v>-</v>
      </c>
      <c r="BJ20" s="967">
        <f>'2022'!N20</f>
        <v>3</v>
      </c>
      <c r="BK20" s="967">
        <f>'2023'!N20</f>
        <v>0</v>
      </c>
      <c r="BL20" s="967">
        <f>'2024'!N20</f>
        <v>0</v>
      </c>
      <c r="BM20" s="968">
        <f>'2025'!N20</f>
        <v>0</v>
      </c>
      <c r="BN20" s="452" t="s">
        <v>21</v>
      </c>
      <c r="BO20" s="453" t="s">
        <v>21</v>
      </c>
      <c r="BP20" s="452" t="s">
        <v>21</v>
      </c>
      <c r="BQ20" s="453" t="s">
        <v>21</v>
      </c>
      <c r="BR20" s="454" t="s">
        <v>21</v>
      </c>
      <c r="BS20" s="455" t="s">
        <v>21</v>
      </c>
      <c r="BT20" s="454" t="s">
        <v>21</v>
      </c>
      <c r="BU20" s="456" t="s">
        <v>21</v>
      </c>
      <c r="CC20" s="1" t="str">
        <f t="shared" si="30"/>
        <v/>
      </c>
      <c r="CD20" s="1" t="str">
        <f t="shared" si="31"/>
        <v/>
      </c>
      <c r="CE20" s="1" t="str">
        <f t="shared" si="32"/>
        <v>France</v>
      </c>
      <c r="CF20" s="1" t="str">
        <f t="shared" si="33"/>
        <v/>
      </c>
      <c r="CG20" s="1" t="str">
        <f t="shared" si="34"/>
        <v/>
      </c>
      <c r="CH20" s="1" t="str">
        <f t="shared" si="35"/>
        <v/>
      </c>
    </row>
    <row r="21" spans="2:86" ht="15" customHeight="1">
      <c r="B21" s="1007"/>
      <c r="C21" s="1079"/>
      <c r="D21" s="1053"/>
      <c r="E21" s="1056"/>
      <c r="F21" s="1056"/>
      <c r="G21" s="1056"/>
      <c r="H21" s="1056"/>
      <c r="I21" s="1059"/>
      <c r="J21" s="905" t="s">
        <v>190</v>
      </c>
      <c r="K21" s="426" t="str">
        <f t="shared" si="106"/>
        <v/>
      </c>
      <c r="L21" s="426" t="str">
        <f t="shared" si="107"/>
        <v/>
      </c>
      <c r="M21" s="426" t="str">
        <f t="shared" si="108"/>
        <v>X</v>
      </c>
      <c r="N21" s="426" t="str">
        <f t="shared" si="109"/>
        <v/>
      </c>
      <c r="O21" s="426" t="str">
        <f t="shared" si="110"/>
        <v/>
      </c>
      <c r="P21" s="427" t="str">
        <f t="shared" si="111"/>
        <v/>
      </c>
      <c r="Q21" s="251" t="s">
        <v>60</v>
      </c>
      <c r="R21" s="640">
        <f>'2020'!G21</f>
        <v>0</v>
      </c>
      <c r="S21" s="641">
        <f>'2021'!G21</f>
        <v>0</v>
      </c>
      <c r="T21" s="641">
        <f>'2022'!G21</f>
        <v>92</v>
      </c>
      <c r="U21" s="641">
        <f>'2023'!G21</f>
        <v>0</v>
      </c>
      <c r="V21" s="641">
        <f>'2024'!G21</f>
        <v>0</v>
      </c>
      <c r="W21" s="642">
        <f>'2025'!G21</f>
        <v>0</v>
      </c>
      <c r="X21" s="681">
        <f>'2020'!H21</f>
        <v>0</v>
      </c>
      <c r="Y21" s="655">
        <f>'2021'!H21</f>
        <v>0</v>
      </c>
      <c r="Z21" s="655">
        <f>'2022'!H21</f>
        <v>92</v>
      </c>
      <c r="AA21" s="655">
        <f>'2023'!H21</f>
        <v>0</v>
      </c>
      <c r="AB21" s="655">
        <f>'2024'!H21</f>
        <v>0</v>
      </c>
      <c r="AC21" s="656">
        <f>'2025'!H21</f>
        <v>0</v>
      </c>
      <c r="AD21" s="704">
        <f t="shared" si="4"/>
        <v>0</v>
      </c>
      <c r="AE21" s="705">
        <f t="shared" si="5"/>
        <v>0</v>
      </c>
      <c r="AF21" s="705">
        <f t="shared" si="6"/>
        <v>9.7826086956521743E-2</v>
      </c>
      <c r="AG21" s="705">
        <f t="shared" si="7"/>
        <v>0</v>
      </c>
      <c r="AH21" s="705">
        <f t="shared" si="8"/>
        <v>0</v>
      </c>
      <c r="AI21" s="706">
        <f t="shared" si="9"/>
        <v>0</v>
      </c>
      <c r="AJ21" s="681">
        <f>'2020'!J21</f>
        <v>0</v>
      </c>
      <c r="AK21" s="655">
        <f>'2021'!J21</f>
        <v>0</v>
      </c>
      <c r="AL21" s="655">
        <f>'2022'!J21</f>
        <v>9</v>
      </c>
      <c r="AM21" s="655">
        <f>'2023'!J21</f>
        <v>0</v>
      </c>
      <c r="AN21" s="655">
        <f>'2024'!J21</f>
        <v>0</v>
      </c>
      <c r="AO21" s="656">
        <f>'2025'!J21</f>
        <v>0</v>
      </c>
      <c r="AP21" s="704" t="str">
        <f t="shared" si="28"/>
        <v/>
      </c>
      <c r="AQ21" s="705" t="str">
        <f t="shared" si="11"/>
        <v/>
      </c>
      <c r="AR21" s="705">
        <f t="shared" si="12"/>
        <v>0.45652173913043476</v>
      </c>
      <c r="AS21" s="705" t="str">
        <f t="shared" si="13"/>
        <v/>
      </c>
      <c r="AT21" s="705" t="str">
        <f t="shared" si="14"/>
        <v/>
      </c>
      <c r="AU21" s="706" t="str">
        <f t="shared" si="15"/>
        <v/>
      </c>
      <c r="AV21" s="681">
        <f>'2020'!L21</f>
        <v>0</v>
      </c>
      <c r="AW21" s="655">
        <f>'2021'!L21</f>
        <v>0</v>
      </c>
      <c r="AX21" s="655">
        <f>'2022'!L21</f>
        <v>42</v>
      </c>
      <c r="AY21" s="655">
        <f>'2023'!L21</f>
        <v>0</v>
      </c>
      <c r="AZ21" s="655">
        <f>'2024'!L21</f>
        <v>0</v>
      </c>
      <c r="BA21" s="656">
        <f>'2025'!L21</f>
        <v>0</v>
      </c>
      <c r="BB21" s="449" t="str">
        <f t="shared" si="29"/>
        <v/>
      </c>
      <c r="BC21" s="450" t="str">
        <f t="shared" si="16"/>
        <v/>
      </c>
      <c r="BD21" s="450">
        <f t="shared" si="17"/>
        <v>0.14285714285714285</v>
      </c>
      <c r="BE21" s="450" t="str">
        <f t="shared" si="18"/>
        <v/>
      </c>
      <c r="BF21" s="450" t="str">
        <f t="shared" si="19"/>
        <v/>
      </c>
      <c r="BG21" s="451" t="str">
        <f t="shared" si="20"/>
        <v/>
      </c>
      <c r="BH21" s="966" t="str">
        <f>'2020'!N21</f>
        <v>-</v>
      </c>
      <c r="BI21" s="967" t="str">
        <f>'2021'!N21</f>
        <v>-</v>
      </c>
      <c r="BJ21" s="967">
        <f>'2022'!N21</f>
        <v>6</v>
      </c>
      <c r="BK21" s="967">
        <f>'2023'!N21</f>
        <v>0</v>
      </c>
      <c r="BL21" s="967">
        <f>'2024'!N21</f>
        <v>0</v>
      </c>
      <c r="BM21" s="968">
        <f>'2025'!N21</f>
        <v>0</v>
      </c>
      <c r="BN21" s="452" t="s">
        <v>21</v>
      </c>
      <c r="BO21" s="453" t="s">
        <v>21</v>
      </c>
      <c r="BP21" s="452" t="s">
        <v>21</v>
      </c>
      <c r="BQ21" s="453" t="s">
        <v>21</v>
      </c>
      <c r="BR21" s="454" t="s">
        <v>21</v>
      </c>
      <c r="BS21" s="455" t="s">
        <v>21</v>
      </c>
      <c r="BT21" s="454" t="s">
        <v>21</v>
      </c>
      <c r="BU21" s="456" t="s">
        <v>21</v>
      </c>
      <c r="CC21" s="1" t="str">
        <f t="shared" si="30"/>
        <v/>
      </c>
      <c r="CD21" s="1" t="str">
        <f t="shared" si="31"/>
        <v/>
      </c>
      <c r="CE21" s="1" t="str">
        <f t="shared" si="32"/>
        <v>France</v>
      </c>
      <c r="CF21" s="1" t="str">
        <f t="shared" si="33"/>
        <v/>
      </c>
      <c r="CG21" s="1" t="str">
        <f t="shared" si="34"/>
        <v/>
      </c>
      <c r="CH21" s="1" t="str">
        <f t="shared" si="35"/>
        <v/>
      </c>
    </row>
    <row r="22" spans="2:86" ht="15" customHeight="1">
      <c r="B22" s="1007"/>
      <c r="C22" s="1079"/>
      <c r="D22" s="1053"/>
      <c r="E22" s="1056"/>
      <c r="F22" s="1056"/>
      <c r="G22" s="1056"/>
      <c r="H22" s="1056"/>
      <c r="I22" s="1059"/>
      <c r="J22" s="905" t="s">
        <v>191</v>
      </c>
      <c r="K22" s="426" t="str">
        <f t="shared" si="106"/>
        <v/>
      </c>
      <c r="L22" s="426" t="str">
        <f t="shared" si="107"/>
        <v/>
      </c>
      <c r="M22" s="426" t="str">
        <f t="shared" si="108"/>
        <v>X</v>
      </c>
      <c r="N22" s="426" t="str">
        <f t="shared" si="109"/>
        <v/>
      </c>
      <c r="O22" s="426" t="str">
        <f t="shared" si="110"/>
        <v/>
      </c>
      <c r="P22" s="427" t="str">
        <f t="shared" si="111"/>
        <v/>
      </c>
      <c r="Q22" s="251" t="s">
        <v>60</v>
      </c>
      <c r="R22" s="640">
        <f>'2020'!G22</f>
        <v>0</v>
      </c>
      <c r="S22" s="641">
        <f>'2021'!G22</f>
        <v>0</v>
      </c>
      <c r="T22" s="641">
        <f>'2022'!G22</f>
        <v>77</v>
      </c>
      <c r="U22" s="641">
        <f>'2023'!G22</f>
        <v>0</v>
      </c>
      <c r="V22" s="641">
        <f>'2024'!G22</f>
        <v>0</v>
      </c>
      <c r="W22" s="642">
        <f>'2025'!G22</f>
        <v>0</v>
      </c>
      <c r="X22" s="681">
        <f>'2020'!H22</f>
        <v>0</v>
      </c>
      <c r="Y22" s="655">
        <f>'2021'!H22</f>
        <v>0</v>
      </c>
      <c r="Z22" s="655">
        <f>'2022'!H22</f>
        <v>77</v>
      </c>
      <c r="AA22" s="655">
        <f>'2023'!H22</f>
        <v>0</v>
      </c>
      <c r="AB22" s="655">
        <f>'2024'!H22</f>
        <v>0</v>
      </c>
      <c r="AC22" s="656">
        <f>'2025'!H22</f>
        <v>0</v>
      </c>
      <c r="AD22" s="704">
        <f t="shared" si="4"/>
        <v>0</v>
      </c>
      <c r="AE22" s="705">
        <f t="shared" si="5"/>
        <v>0</v>
      </c>
      <c r="AF22" s="705">
        <f t="shared" si="6"/>
        <v>0.14285714285714285</v>
      </c>
      <c r="AG22" s="705">
        <f t="shared" si="7"/>
        <v>0</v>
      </c>
      <c r="AH22" s="705">
        <f t="shared" si="8"/>
        <v>0</v>
      </c>
      <c r="AI22" s="706">
        <f t="shared" si="9"/>
        <v>0</v>
      </c>
      <c r="AJ22" s="681">
        <f>'2020'!J22</f>
        <v>0</v>
      </c>
      <c r="AK22" s="655">
        <f>'2021'!J22</f>
        <v>0</v>
      </c>
      <c r="AL22" s="655">
        <f>'2022'!J22</f>
        <v>11</v>
      </c>
      <c r="AM22" s="655">
        <f>'2023'!J22</f>
        <v>0</v>
      </c>
      <c r="AN22" s="655">
        <f>'2024'!J22</f>
        <v>0</v>
      </c>
      <c r="AO22" s="656">
        <f>'2025'!J22</f>
        <v>0</v>
      </c>
      <c r="AP22" s="704" t="str">
        <f t="shared" si="28"/>
        <v/>
      </c>
      <c r="AQ22" s="705" t="str">
        <f t="shared" si="11"/>
        <v/>
      </c>
      <c r="AR22" s="705">
        <f t="shared" si="12"/>
        <v>0.40259740259740262</v>
      </c>
      <c r="AS22" s="705" t="str">
        <f t="shared" si="13"/>
        <v/>
      </c>
      <c r="AT22" s="705" t="str">
        <f t="shared" si="14"/>
        <v/>
      </c>
      <c r="AU22" s="706" t="str">
        <f t="shared" si="15"/>
        <v/>
      </c>
      <c r="AV22" s="681">
        <f>'2020'!L22</f>
        <v>0</v>
      </c>
      <c r="AW22" s="655">
        <f>'2021'!L22</f>
        <v>0</v>
      </c>
      <c r="AX22" s="655">
        <f>'2022'!L22</f>
        <v>31</v>
      </c>
      <c r="AY22" s="655">
        <f>'2023'!L22</f>
        <v>0</v>
      </c>
      <c r="AZ22" s="655">
        <f>'2024'!L22</f>
        <v>0</v>
      </c>
      <c r="BA22" s="656">
        <f>'2025'!L22</f>
        <v>0</v>
      </c>
      <c r="BB22" s="449" t="str">
        <f t="shared" si="29"/>
        <v/>
      </c>
      <c r="BC22" s="450" t="str">
        <f t="shared" si="16"/>
        <v/>
      </c>
      <c r="BD22" s="450">
        <f t="shared" si="17"/>
        <v>0.16129032258064516</v>
      </c>
      <c r="BE22" s="450" t="str">
        <f t="shared" si="18"/>
        <v/>
      </c>
      <c r="BF22" s="450" t="str">
        <f t="shared" si="19"/>
        <v/>
      </c>
      <c r="BG22" s="451" t="str">
        <f t="shared" si="20"/>
        <v/>
      </c>
      <c r="BH22" s="966" t="str">
        <f>'2020'!N22</f>
        <v>-</v>
      </c>
      <c r="BI22" s="967" t="str">
        <f>'2021'!N22</f>
        <v>-</v>
      </c>
      <c r="BJ22" s="967">
        <f>'2022'!N22</f>
        <v>5</v>
      </c>
      <c r="BK22" s="967">
        <f>'2023'!N22</f>
        <v>0</v>
      </c>
      <c r="BL22" s="967">
        <f>'2024'!N22</f>
        <v>0</v>
      </c>
      <c r="BM22" s="968">
        <f>'2025'!N22</f>
        <v>0</v>
      </c>
      <c r="BN22" s="452" t="s">
        <v>21</v>
      </c>
      <c r="BO22" s="453" t="s">
        <v>21</v>
      </c>
      <c r="BP22" s="452" t="s">
        <v>21</v>
      </c>
      <c r="BQ22" s="453" t="s">
        <v>21</v>
      </c>
      <c r="BR22" s="454" t="s">
        <v>21</v>
      </c>
      <c r="BS22" s="455" t="s">
        <v>21</v>
      </c>
      <c r="BT22" s="454" t="s">
        <v>21</v>
      </c>
      <c r="BU22" s="456" t="s">
        <v>21</v>
      </c>
      <c r="CC22" s="1" t="str">
        <f t="shared" si="30"/>
        <v/>
      </c>
      <c r="CD22" s="1" t="str">
        <f t="shared" si="31"/>
        <v/>
      </c>
      <c r="CE22" s="1" t="str">
        <f t="shared" si="32"/>
        <v>France</v>
      </c>
      <c r="CF22" s="1" t="str">
        <f t="shared" si="33"/>
        <v/>
      </c>
      <c r="CG22" s="1" t="str">
        <f t="shared" si="34"/>
        <v/>
      </c>
      <c r="CH22" s="1" t="str">
        <f t="shared" si="35"/>
        <v/>
      </c>
    </row>
    <row r="23" spans="2:86" ht="15" customHeight="1">
      <c r="B23" s="1007"/>
      <c r="C23" s="1079"/>
      <c r="D23" s="1053"/>
      <c r="E23" s="1056"/>
      <c r="F23" s="1056"/>
      <c r="G23" s="1056"/>
      <c r="H23" s="1056"/>
      <c r="I23" s="1059"/>
      <c r="J23" s="905" t="s">
        <v>192</v>
      </c>
      <c r="K23" s="426" t="str">
        <f t="shared" si="106"/>
        <v/>
      </c>
      <c r="L23" s="426" t="str">
        <f t="shared" si="107"/>
        <v/>
      </c>
      <c r="M23" s="426" t="str">
        <f t="shared" si="108"/>
        <v>X</v>
      </c>
      <c r="N23" s="426" t="str">
        <f t="shared" si="109"/>
        <v/>
      </c>
      <c r="O23" s="426" t="str">
        <f t="shared" si="110"/>
        <v/>
      </c>
      <c r="P23" s="427" t="str">
        <f t="shared" si="111"/>
        <v/>
      </c>
      <c r="Q23" s="251" t="s">
        <v>60</v>
      </c>
      <c r="R23" s="640">
        <f>'2020'!G23</f>
        <v>0</v>
      </c>
      <c r="S23" s="641">
        <f>'2021'!G23</f>
        <v>0</v>
      </c>
      <c r="T23" s="641">
        <f>'2022'!G23</f>
        <v>19</v>
      </c>
      <c r="U23" s="641">
        <f>'2023'!G23</f>
        <v>0</v>
      </c>
      <c r="V23" s="641">
        <f>'2024'!G23</f>
        <v>0</v>
      </c>
      <c r="W23" s="642">
        <f>'2025'!G23</f>
        <v>0</v>
      </c>
      <c r="X23" s="681">
        <f>'2020'!H23</f>
        <v>0</v>
      </c>
      <c r="Y23" s="655">
        <f>'2021'!H23</f>
        <v>0</v>
      </c>
      <c r="Z23" s="655">
        <f>'2022'!H23</f>
        <v>19</v>
      </c>
      <c r="AA23" s="655">
        <f>'2023'!H23</f>
        <v>0</v>
      </c>
      <c r="AB23" s="655">
        <f>'2024'!H23</f>
        <v>0</v>
      </c>
      <c r="AC23" s="656">
        <f>'2025'!H23</f>
        <v>0</v>
      </c>
      <c r="AD23" s="704">
        <f t="shared" si="4"/>
        <v>0</v>
      </c>
      <c r="AE23" s="705">
        <f t="shared" si="5"/>
        <v>0</v>
      </c>
      <c r="AF23" s="705">
        <f t="shared" si="6"/>
        <v>0.21052631578947367</v>
      </c>
      <c r="AG23" s="705">
        <f t="shared" si="7"/>
        <v>0</v>
      </c>
      <c r="AH23" s="705">
        <f t="shared" si="8"/>
        <v>0</v>
      </c>
      <c r="AI23" s="706">
        <f t="shared" si="9"/>
        <v>0</v>
      </c>
      <c r="AJ23" s="681">
        <f>'2020'!J23</f>
        <v>0</v>
      </c>
      <c r="AK23" s="655">
        <f>'2021'!J23</f>
        <v>0</v>
      </c>
      <c r="AL23" s="655">
        <f>'2022'!J23</f>
        <v>4</v>
      </c>
      <c r="AM23" s="655">
        <f>'2023'!J23</f>
        <v>0</v>
      </c>
      <c r="AN23" s="655">
        <f>'2024'!J23</f>
        <v>0</v>
      </c>
      <c r="AO23" s="656">
        <f>'2025'!J23</f>
        <v>0</v>
      </c>
      <c r="AP23" s="704" t="str">
        <f t="shared" si="28"/>
        <v/>
      </c>
      <c r="AQ23" s="705" t="str">
        <f t="shared" si="11"/>
        <v/>
      </c>
      <c r="AR23" s="705">
        <f t="shared" si="12"/>
        <v>0.31578947368421051</v>
      </c>
      <c r="AS23" s="705" t="str">
        <f t="shared" si="13"/>
        <v/>
      </c>
      <c r="AT23" s="705" t="str">
        <f t="shared" si="14"/>
        <v/>
      </c>
      <c r="AU23" s="706" t="str">
        <f t="shared" si="15"/>
        <v/>
      </c>
      <c r="AV23" s="681">
        <f>'2020'!L23</f>
        <v>0</v>
      </c>
      <c r="AW23" s="655">
        <f>'2021'!L23</f>
        <v>0</v>
      </c>
      <c r="AX23" s="655">
        <f>'2022'!L23</f>
        <v>6</v>
      </c>
      <c r="AY23" s="655">
        <f>'2023'!L23</f>
        <v>0</v>
      </c>
      <c r="AZ23" s="655">
        <f>'2024'!L23</f>
        <v>0</v>
      </c>
      <c r="BA23" s="656">
        <f>'2025'!L23</f>
        <v>0</v>
      </c>
      <c r="BB23" s="449" t="str">
        <f t="shared" si="29"/>
        <v/>
      </c>
      <c r="BC23" s="450" t="str">
        <f t="shared" si="16"/>
        <v/>
      </c>
      <c r="BD23" s="450">
        <f t="shared" si="17"/>
        <v>0.16666666666666666</v>
      </c>
      <c r="BE23" s="450" t="str">
        <f t="shared" si="18"/>
        <v/>
      </c>
      <c r="BF23" s="450" t="str">
        <f t="shared" si="19"/>
        <v/>
      </c>
      <c r="BG23" s="451" t="str">
        <f t="shared" si="20"/>
        <v/>
      </c>
      <c r="BH23" s="966" t="str">
        <f>'2020'!N23</f>
        <v>-</v>
      </c>
      <c r="BI23" s="967" t="str">
        <f>'2021'!N23</f>
        <v>-</v>
      </c>
      <c r="BJ23" s="967">
        <f>'2022'!N23</f>
        <v>1</v>
      </c>
      <c r="BK23" s="967">
        <f>'2023'!N23</f>
        <v>0</v>
      </c>
      <c r="BL23" s="967">
        <f>'2024'!N23</f>
        <v>0</v>
      </c>
      <c r="BM23" s="968">
        <f>'2025'!N23</f>
        <v>0</v>
      </c>
      <c r="BN23" s="452" t="s">
        <v>21</v>
      </c>
      <c r="BO23" s="453" t="s">
        <v>21</v>
      </c>
      <c r="BP23" s="452" t="s">
        <v>21</v>
      </c>
      <c r="BQ23" s="453" t="s">
        <v>21</v>
      </c>
      <c r="BR23" s="454" t="s">
        <v>21</v>
      </c>
      <c r="BS23" s="455" t="s">
        <v>21</v>
      </c>
      <c r="BT23" s="454" t="s">
        <v>21</v>
      </c>
      <c r="BU23" s="456" t="s">
        <v>21</v>
      </c>
      <c r="CC23" s="1" t="str">
        <f t="shared" si="30"/>
        <v/>
      </c>
      <c r="CD23" s="1" t="str">
        <f t="shared" si="31"/>
        <v/>
      </c>
      <c r="CE23" s="1" t="str">
        <f t="shared" si="32"/>
        <v>France</v>
      </c>
      <c r="CF23" s="1" t="str">
        <f t="shared" si="33"/>
        <v/>
      </c>
      <c r="CG23" s="1" t="str">
        <f t="shared" si="34"/>
        <v/>
      </c>
      <c r="CH23" s="1" t="str">
        <f t="shared" si="35"/>
        <v/>
      </c>
    </row>
    <row r="24" spans="2:86" ht="15" customHeight="1">
      <c r="B24" s="1007"/>
      <c r="C24" s="1079"/>
      <c r="D24" s="1053"/>
      <c r="E24" s="1056"/>
      <c r="F24" s="1056"/>
      <c r="G24" s="1056"/>
      <c r="H24" s="1056"/>
      <c r="I24" s="1059"/>
      <c r="J24" s="905" t="s">
        <v>193</v>
      </c>
      <c r="K24" s="426" t="str">
        <f t="shared" si="106"/>
        <v/>
      </c>
      <c r="L24" s="426" t="str">
        <f t="shared" si="107"/>
        <v/>
      </c>
      <c r="M24" s="426" t="str">
        <f t="shared" si="108"/>
        <v>X</v>
      </c>
      <c r="N24" s="426" t="str">
        <f t="shared" si="109"/>
        <v/>
      </c>
      <c r="O24" s="426" t="str">
        <f t="shared" si="110"/>
        <v/>
      </c>
      <c r="P24" s="427" t="str">
        <f t="shared" si="111"/>
        <v/>
      </c>
      <c r="Q24" s="251" t="s">
        <v>60</v>
      </c>
      <c r="R24" s="640">
        <f>'2020'!G24</f>
        <v>0</v>
      </c>
      <c r="S24" s="641">
        <f>'2021'!G24</f>
        <v>0</v>
      </c>
      <c r="T24" s="641">
        <f>'2022'!G24</f>
        <v>24</v>
      </c>
      <c r="U24" s="641">
        <f>'2023'!G24</f>
        <v>0</v>
      </c>
      <c r="V24" s="641">
        <f>'2024'!G24</f>
        <v>0</v>
      </c>
      <c r="W24" s="642">
        <f>'2025'!G24</f>
        <v>0</v>
      </c>
      <c r="X24" s="681">
        <f>'2020'!H24</f>
        <v>0</v>
      </c>
      <c r="Y24" s="655">
        <f>'2021'!H24</f>
        <v>0</v>
      </c>
      <c r="Z24" s="655">
        <f>'2022'!H24</f>
        <v>24</v>
      </c>
      <c r="AA24" s="655">
        <f>'2023'!H24</f>
        <v>0</v>
      </c>
      <c r="AB24" s="655">
        <f>'2024'!H24</f>
        <v>0</v>
      </c>
      <c r="AC24" s="656">
        <f>'2025'!H24</f>
        <v>0</v>
      </c>
      <c r="AD24" s="704">
        <f t="shared" si="4"/>
        <v>0</v>
      </c>
      <c r="AE24" s="705">
        <f t="shared" si="5"/>
        <v>0</v>
      </c>
      <c r="AF24" s="705">
        <f t="shared" si="6"/>
        <v>0.29166666666666669</v>
      </c>
      <c r="AG24" s="705">
        <f t="shared" si="7"/>
        <v>0</v>
      </c>
      <c r="AH24" s="705">
        <f t="shared" si="8"/>
        <v>0</v>
      </c>
      <c r="AI24" s="706">
        <f t="shared" si="9"/>
        <v>0</v>
      </c>
      <c r="AJ24" s="681">
        <f>'2020'!J24</f>
        <v>0</v>
      </c>
      <c r="AK24" s="655">
        <f>'2021'!J24</f>
        <v>0</v>
      </c>
      <c r="AL24" s="655">
        <f>'2022'!J24</f>
        <v>7</v>
      </c>
      <c r="AM24" s="655">
        <f>'2023'!J24</f>
        <v>0</v>
      </c>
      <c r="AN24" s="655">
        <f>'2024'!J24</f>
        <v>0</v>
      </c>
      <c r="AO24" s="656">
        <f>'2025'!J24</f>
        <v>0</v>
      </c>
      <c r="AP24" s="704" t="str">
        <f t="shared" si="28"/>
        <v/>
      </c>
      <c r="AQ24" s="705" t="str">
        <f t="shared" si="11"/>
        <v/>
      </c>
      <c r="AR24" s="705">
        <f t="shared" si="12"/>
        <v>0.54166666666666663</v>
      </c>
      <c r="AS24" s="705" t="str">
        <f t="shared" si="13"/>
        <v/>
      </c>
      <c r="AT24" s="705" t="str">
        <f t="shared" si="14"/>
        <v/>
      </c>
      <c r="AU24" s="706" t="str">
        <f t="shared" si="15"/>
        <v/>
      </c>
      <c r="AV24" s="681">
        <f>'2020'!L24</f>
        <v>0</v>
      </c>
      <c r="AW24" s="655">
        <f>'2021'!L24</f>
        <v>0</v>
      </c>
      <c r="AX24" s="655">
        <f>'2022'!L24</f>
        <v>13</v>
      </c>
      <c r="AY24" s="655">
        <f>'2023'!L24</f>
        <v>0</v>
      </c>
      <c r="AZ24" s="655">
        <f>'2024'!L24</f>
        <v>0</v>
      </c>
      <c r="BA24" s="656">
        <f>'2025'!L24</f>
        <v>0</v>
      </c>
      <c r="BB24" s="449" t="str">
        <f t="shared" si="29"/>
        <v/>
      </c>
      <c r="BC24" s="450" t="str">
        <f t="shared" si="16"/>
        <v/>
      </c>
      <c r="BD24" s="450">
        <f t="shared" si="17"/>
        <v>0.46153846153846156</v>
      </c>
      <c r="BE24" s="450" t="str">
        <f t="shared" si="18"/>
        <v/>
      </c>
      <c r="BF24" s="450" t="str">
        <f t="shared" si="19"/>
        <v/>
      </c>
      <c r="BG24" s="451" t="str">
        <f t="shared" si="20"/>
        <v/>
      </c>
      <c r="BH24" s="966" t="str">
        <f>'2020'!N24</f>
        <v>-</v>
      </c>
      <c r="BI24" s="967" t="str">
        <f>'2021'!N24</f>
        <v>-</v>
      </c>
      <c r="BJ24" s="967">
        <f>'2022'!N24</f>
        <v>6</v>
      </c>
      <c r="BK24" s="967">
        <f>'2023'!N24</f>
        <v>0</v>
      </c>
      <c r="BL24" s="967">
        <f>'2024'!N24</f>
        <v>0</v>
      </c>
      <c r="BM24" s="968">
        <f>'2025'!N24</f>
        <v>0</v>
      </c>
      <c r="BN24" s="452" t="s">
        <v>21</v>
      </c>
      <c r="BO24" s="453" t="s">
        <v>21</v>
      </c>
      <c r="BP24" s="452" t="s">
        <v>21</v>
      </c>
      <c r="BQ24" s="453" t="s">
        <v>21</v>
      </c>
      <c r="BR24" s="454" t="s">
        <v>21</v>
      </c>
      <c r="BS24" s="455" t="s">
        <v>21</v>
      </c>
      <c r="BT24" s="454" t="s">
        <v>21</v>
      </c>
      <c r="BU24" s="456" t="s">
        <v>21</v>
      </c>
      <c r="CC24" s="1" t="str">
        <f t="shared" si="30"/>
        <v/>
      </c>
      <c r="CD24" s="1" t="str">
        <f t="shared" si="31"/>
        <v/>
      </c>
      <c r="CE24" s="1" t="str">
        <f t="shared" si="32"/>
        <v>France</v>
      </c>
      <c r="CF24" s="1" t="str">
        <f t="shared" si="33"/>
        <v/>
      </c>
      <c r="CG24" s="1" t="str">
        <f t="shared" si="34"/>
        <v/>
      </c>
      <c r="CH24" s="1" t="str">
        <f t="shared" si="35"/>
        <v/>
      </c>
    </row>
    <row r="25" spans="2:86" ht="15" customHeight="1">
      <c r="B25" s="1007"/>
      <c r="C25" s="1079"/>
      <c r="D25" s="1053"/>
      <c r="E25" s="1056"/>
      <c r="F25" s="1056"/>
      <c r="G25" s="1056"/>
      <c r="H25" s="1056"/>
      <c r="I25" s="1059"/>
      <c r="J25" s="905" t="s">
        <v>194</v>
      </c>
      <c r="K25" s="426" t="str">
        <f t="shared" si="106"/>
        <v/>
      </c>
      <c r="L25" s="426" t="str">
        <f t="shared" si="107"/>
        <v/>
      </c>
      <c r="M25" s="426" t="str">
        <f t="shared" si="108"/>
        <v>X</v>
      </c>
      <c r="N25" s="426" t="str">
        <f t="shared" si="109"/>
        <v/>
      </c>
      <c r="O25" s="426" t="str">
        <f t="shared" si="110"/>
        <v/>
      </c>
      <c r="P25" s="427" t="str">
        <f t="shared" si="111"/>
        <v/>
      </c>
      <c r="Q25" s="251" t="s">
        <v>60</v>
      </c>
      <c r="R25" s="640">
        <f>'2020'!G25</f>
        <v>0</v>
      </c>
      <c r="S25" s="641">
        <f>'2021'!G25</f>
        <v>0</v>
      </c>
      <c r="T25" s="641">
        <f>'2022'!G25</f>
        <v>101</v>
      </c>
      <c r="U25" s="641">
        <f>'2023'!G25</f>
        <v>0</v>
      </c>
      <c r="V25" s="641">
        <f>'2024'!G25</f>
        <v>0</v>
      </c>
      <c r="W25" s="642">
        <f>'2025'!G25</f>
        <v>0</v>
      </c>
      <c r="X25" s="681">
        <f>'2020'!H25</f>
        <v>0</v>
      </c>
      <c r="Y25" s="655">
        <f>'2021'!H25</f>
        <v>0</v>
      </c>
      <c r="Z25" s="655">
        <f>'2022'!H25</f>
        <v>101</v>
      </c>
      <c r="AA25" s="655">
        <f>'2023'!H25</f>
        <v>0</v>
      </c>
      <c r="AB25" s="655">
        <f>'2024'!H25</f>
        <v>0</v>
      </c>
      <c r="AC25" s="656">
        <f>'2025'!H25</f>
        <v>0</v>
      </c>
      <c r="AD25" s="704">
        <f t="shared" si="4"/>
        <v>0</v>
      </c>
      <c r="AE25" s="705">
        <f t="shared" si="5"/>
        <v>0</v>
      </c>
      <c r="AF25" s="705">
        <f t="shared" si="6"/>
        <v>0.14851485148514851</v>
      </c>
      <c r="AG25" s="705">
        <f t="shared" si="7"/>
        <v>0</v>
      </c>
      <c r="AH25" s="705">
        <f t="shared" si="8"/>
        <v>0</v>
      </c>
      <c r="AI25" s="706">
        <f t="shared" si="9"/>
        <v>0</v>
      </c>
      <c r="AJ25" s="681">
        <f>'2020'!J25</f>
        <v>0</v>
      </c>
      <c r="AK25" s="655">
        <f>'2021'!J25</f>
        <v>0</v>
      </c>
      <c r="AL25" s="655">
        <f>'2022'!J25</f>
        <v>15</v>
      </c>
      <c r="AM25" s="655">
        <f>'2023'!J25</f>
        <v>0</v>
      </c>
      <c r="AN25" s="655">
        <f>'2024'!J25</f>
        <v>0</v>
      </c>
      <c r="AO25" s="656">
        <f>'2025'!J25</f>
        <v>0</v>
      </c>
      <c r="AP25" s="704" t="str">
        <f t="shared" si="28"/>
        <v/>
      </c>
      <c r="AQ25" s="705" t="str">
        <f t="shared" si="11"/>
        <v/>
      </c>
      <c r="AR25" s="705">
        <f t="shared" si="12"/>
        <v>0.39603960396039606</v>
      </c>
      <c r="AS25" s="705" t="str">
        <f t="shared" si="13"/>
        <v/>
      </c>
      <c r="AT25" s="705" t="str">
        <f t="shared" si="14"/>
        <v/>
      </c>
      <c r="AU25" s="706" t="str">
        <f t="shared" si="15"/>
        <v/>
      </c>
      <c r="AV25" s="681">
        <f>'2020'!L25</f>
        <v>0</v>
      </c>
      <c r="AW25" s="655">
        <f>'2021'!L25</f>
        <v>0</v>
      </c>
      <c r="AX25" s="655">
        <f>'2022'!L25</f>
        <v>40</v>
      </c>
      <c r="AY25" s="655">
        <f>'2023'!L25</f>
        <v>0</v>
      </c>
      <c r="AZ25" s="655">
        <f>'2024'!L25</f>
        <v>0</v>
      </c>
      <c r="BA25" s="656">
        <f>'2025'!L25</f>
        <v>0</v>
      </c>
      <c r="BB25" s="449" t="str">
        <f t="shared" si="29"/>
        <v/>
      </c>
      <c r="BC25" s="450" t="str">
        <f t="shared" si="16"/>
        <v/>
      </c>
      <c r="BD25" s="450">
        <f t="shared" si="17"/>
        <v>0.22500000000000001</v>
      </c>
      <c r="BE25" s="450" t="str">
        <f t="shared" si="18"/>
        <v/>
      </c>
      <c r="BF25" s="450" t="str">
        <f t="shared" si="19"/>
        <v/>
      </c>
      <c r="BG25" s="451" t="str">
        <f t="shared" si="20"/>
        <v/>
      </c>
      <c r="BH25" s="966" t="str">
        <f>'2020'!N25</f>
        <v>-</v>
      </c>
      <c r="BI25" s="967" t="str">
        <f>'2021'!N25</f>
        <v>-</v>
      </c>
      <c r="BJ25" s="967">
        <f>'2022'!N25</f>
        <v>9</v>
      </c>
      <c r="BK25" s="967">
        <f>'2023'!N25</f>
        <v>0</v>
      </c>
      <c r="BL25" s="967">
        <f>'2024'!N25</f>
        <v>0</v>
      </c>
      <c r="BM25" s="968">
        <f>'2025'!N25</f>
        <v>0</v>
      </c>
      <c r="BN25" s="452" t="s">
        <v>21</v>
      </c>
      <c r="BO25" s="453" t="s">
        <v>21</v>
      </c>
      <c r="BP25" s="452" t="s">
        <v>21</v>
      </c>
      <c r="BQ25" s="453" t="s">
        <v>21</v>
      </c>
      <c r="BR25" s="454" t="s">
        <v>21</v>
      </c>
      <c r="BS25" s="455" t="s">
        <v>21</v>
      </c>
      <c r="BT25" s="454" t="s">
        <v>21</v>
      </c>
      <c r="BU25" s="456" t="s">
        <v>21</v>
      </c>
      <c r="CC25" s="1" t="str">
        <f t="shared" si="30"/>
        <v/>
      </c>
      <c r="CD25" s="1" t="str">
        <f t="shared" si="31"/>
        <v/>
      </c>
      <c r="CE25" s="1" t="str">
        <f t="shared" si="32"/>
        <v>France</v>
      </c>
      <c r="CF25" s="1" t="str">
        <f t="shared" si="33"/>
        <v/>
      </c>
      <c r="CG25" s="1" t="str">
        <f t="shared" si="34"/>
        <v/>
      </c>
      <c r="CH25" s="1" t="str">
        <f t="shared" si="35"/>
        <v/>
      </c>
    </row>
    <row r="26" spans="2:86" ht="15" customHeight="1">
      <c r="B26" s="1007"/>
      <c r="C26" s="1079"/>
      <c r="D26" s="1053"/>
      <c r="E26" s="1056"/>
      <c r="F26" s="1056"/>
      <c r="G26" s="1056"/>
      <c r="H26" s="1056"/>
      <c r="I26" s="1059"/>
      <c r="J26" s="905" t="s">
        <v>195</v>
      </c>
      <c r="K26" s="426" t="str">
        <f t="shared" si="106"/>
        <v/>
      </c>
      <c r="L26" s="426" t="str">
        <f t="shared" si="107"/>
        <v/>
      </c>
      <c r="M26" s="426" t="str">
        <f t="shared" si="108"/>
        <v>X</v>
      </c>
      <c r="N26" s="426" t="str">
        <f t="shared" si="109"/>
        <v/>
      </c>
      <c r="O26" s="426" t="str">
        <f t="shared" si="110"/>
        <v/>
      </c>
      <c r="P26" s="427" t="str">
        <f t="shared" si="111"/>
        <v/>
      </c>
      <c r="Q26" s="251" t="s">
        <v>60</v>
      </c>
      <c r="R26" s="640">
        <f>'2020'!G26</f>
        <v>0</v>
      </c>
      <c r="S26" s="641">
        <f>'2021'!G26</f>
        <v>0</v>
      </c>
      <c r="T26" s="641">
        <f>'2022'!G26</f>
        <v>25</v>
      </c>
      <c r="U26" s="641">
        <f>'2023'!G26</f>
        <v>0</v>
      </c>
      <c r="V26" s="641">
        <f>'2024'!G26</f>
        <v>0</v>
      </c>
      <c r="W26" s="642">
        <f>'2025'!G26</f>
        <v>0</v>
      </c>
      <c r="X26" s="681">
        <f>'2020'!H26</f>
        <v>0</v>
      </c>
      <c r="Y26" s="655">
        <f>'2021'!H26</f>
        <v>0</v>
      </c>
      <c r="Z26" s="655">
        <f>'2022'!H26</f>
        <v>25</v>
      </c>
      <c r="AA26" s="655">
        <f>'2023'!H26</f>
        <v>0</v>
      </c>
      <c r="AB26" s="655">
        <f>'2024'!H26</f>
        <v>0</v>
      </c>
      <c r="AC26" s="656">
        <f>'2025'!H26</f>
        <v>0</v>
      </c>
      <c r="AD26" s="704">
        <f t="shared" si="4"/>
        <v>0</v>
      </c>
      <c r="AE26" s="705">
        <f t="shared" si="5"/>
        <v>0</v>
      </c>
      <c r="AF26" s="705">
        <f t="shared" si="6"/>
        <v>0.28000000000000003</v>
      </c>
      <c r="AG26" s="705">
        <f t="shared" si="7"/>
        <v>0</v>
      </c>
      <c r="AH26" s="705">
        <f t="shared" si="8"/>
        <v>0</v>
      </c>
      <c r="AI26" s="706">
        <f t="shared" si="9"/>
        <v>0</v>
      </c>
      <c r="AJ26" s="681">
        <f>'2020'!J26</f>
        <v>0</v>
      </c>
      <c r="AK26" s="655">
        <f>'2021'!J26</f>
        <v>0</v>
      </c>
      <c r="AL26" s="655">
        <f>'2022'!J26</f>
        <v>7</v>
      </c>
      <c r="AM26" s="655">
        <f>'2023'!J26</f>
        <v>0</v>
      </c>
      <c r="AN26" s="655">
        <f>'2024'!J26</f>
        <v>0</v>
      </c>
      <c r="AO26" s="656">
        <f>'2025'!J26</f>
        <v>0</v>
      </c>
      <c r="AP26" s="704" t="str">
        <f t="shared" si="28"/>
        <v/>
      </c>
      <c r="AQ26" s="705" t="str">
        <f t="shared" si="11"/>
        <v/>
      </c>
      <c r="AR26" s="705">
        <f t="shared" si="12"/>
        <v>0.24</v>
      </c>
      <c r="AS26" s="705" t="str">
        <f t="shared" si="13"/>
        <v/>
      </c>
      <c r="AT26" s="705" t="str">
        <f t="shared" si="14"/>
        <v/>
      </c>
      <c r="AU26" s="706" t="str">
        <f t="shared" si="15"/>
        <v/>
      </c>
      <c r="AV26" s="681">
        <f>'2020'!L26</f>
        <v>0</v>
      </c>
      <c r="AW26" s="655">
        <f>'2021'!L26</f>
        <v>0</v>
      </c>
      <c r="AX26" s="655">
        <f>'2022'!L26</f>
        <v>6</v>
      </c>
      <c r="AY26" s="655">
        <f>'2023'!L26</f>
        <v>0</v>
      </c>
      <c r="AZ26" s="655">
        <f>'2024'!L26</f>
        <v>0</v>
      </c>
      <c r="BA26" s="656">
        <f>'2025'!L26</f>
        <v>0</v>
      </c>
      <c r="BB26" s="449" t="str">
        <f t="shared" si="29"/>
        <v/>
      </c>
      <c r="BC26" s="450" t="str">
        <f t="shared" si="16"/>
        <v/>
      </c>
      <c r="BD26" s="450">
        <f t="shared" si="17"/>
        <v>0.66666666666666663</v>
      </c>
      <c r="BE26" s="450" t="str">
        <f t="shared" si="18"/>
        <v/>
      </c>
      <c r="BF26" s="450" t="str">
        <f t="shared" si="19"/>
        <v/>
      </c>
      <c r="BG26" s="451" t="str">
        <f t="shared" si="20"/>
        <v/>
      </c>
      <c r="BH26" s="966" t="str">
        <f>'2020'!N26</f>
        <v>-</v>
      </c>
      <c r="BI26" s="967" t="str">
        <f>'2021'!N26</f>
        <v>-</v>
      </c>
      <c r="BJ26" s="967">
        <f>'2022'!N26</f>
        <v>4</v>
      </c>
      <c r="BK26" s="967">
        <f>'2023'!N26</f>
        <v>0</v>
      </c>
      <c r="BL26" s="967">
        <f>'2024'!N26</f>
        <v>0</v>
      </c>
      <c r="BM26" s="968">
        <f>'2025'!N26</f>
        <v>0</v>
      </c>
      <c r="BN26" s="452" t="s">
        <v>21</v>
      </c>
      <c r="BO26" s="453" t="s">
        <v>21</v>
      </c>
      <c r="BP26" s="452" t="s">
        <v>21</v>
      </c>
      <c r="BQ26" s="453" t="s">
        <v>21</v>
      </c>
      <c r="BR26" s="454" t="s">
        <v>21</v>
      </c>
      <c r="BS26" s="455" t="s">
        <v>21</v>
      </c>
      <c r="BT26" s="454" t="s">
        <v>21</v>
      </c>
      <c r="BU26" s="456" t="s">
        <v>21</v>
      </c>
      <c r="CC26" s="1" t="str">
        <f t="shared" si="30"/>
        <v/>
      </c>
      <c r="CD26" s="1" t="str">
        <f t="shared" si="31"/>
        <v/>
      </c>
      <c r="CE26" s="1" t="str">
        <f t="shared" si="32"/>
        <v>France</v>
      </c>
      <c r="CF26" s="1" t="str">
        <f t="shared" si="33"/>
        <v/>
      </c>
      <c r="CG26" s="1" t="str">
        <f t="shared" si="34"/>
        <v/>
      </c>
      <c r="CH26" s="1" t="str">
        <f t="shared" si="35"/>
        <v/>
      </c>
    </row>
    <row r="27" spans="2:86" ht="15" customHeight="1">
      <c r="B27" s="1007"/>
      <c r="C27" s="1079"/>
      <c r="D27" s="1053"/>
      <c r="E27" s="1056"/>
      <c r="F27" s="1056"/>
      <c r="G27" s="1056"/>
      <c r="H27" s="1056"/>
      <c r="I27" s="1059"/>
      <c r="J27" s="905" t="s">
        <v>196</v>
      </c>
      <c r="K27" s="426" t="str">
        <f t="shared" si="106"/>
        <v/>
      </c>
      <c r="L27" s="426" t="str">
        <f t="shared" si="107"/>
        <v/>
      </c>
      <c r="M27" s="426" t="str">
        <f t="shared" si="108"/>
        <v>X</v>
      </c>
      <c r="N27" s="426" t="str">
        <f t="shared" si="109"/>
        <v/>
      </c>
      <c r="O27" s="426" t="str">
        <f t="shared" si="110"/>
        <v/>
      </c>
      <c r="P27" s="427" t="str">
        <f t="shared" si="111"/>
        <v/>
      </c>
      <c r="Q27" s="251" t="s">
        <v>60</v>
      </c>
      <c r="R27" s="640">
        <f>'2020'!G27</f>
        <v>0</v>
      </c>
      <c r="S27" s="641">
        <f>'2021'!G27</f>
        <v>0</v>
      </c>
      <c r="T27" s="641">
        <f>'2022'!G27</f>
        <v>45</v>
      </c>
      <c r="U27" s="641">
        <f>'2023'!G27</f>
        <v>0</v>
      </c>
      <c r="V27" s="641">
        <f>'2024'!G27</f>
        <v>0</v>
      </c>
      <c r="W27" s="642">
        <f>'2025'!G27</f>
        <v>0</v>
      </c>
      <c r="X27" s="681">
        <f>'2020'!H27</f>
        <v>0</v>
      </c>
      <c r="Y27" s="655">
        <f>'2021'!H27</f>
        <v>0</v>
      </c>
      <c r="Z27" s="655">
        <f>'2022'!H27</f>
        <v>45</v>
      </c>
      <c r="AA27" s="655">
        <f>'2023'!H27</f>
        <v>0</v>
      </c>
      <c r="AB27" s="655">
        <f>'2024'!H27</f>
        <v>0</v>
      </c>
      <c r="AC27" s="656">
        <f>'2025'!H27</f>
        <v>0</v>
      </c>
      <c r="AD27" s="704">
        <f t="shared" si="4"/>
        <v>0</v>
      </c>
      <c r="AE27" s="705">
        <f t="shared" si="5"/>
        <v>0</v>
      </c>
      <c r="AF27" s="705">
        <f t="shared" si="6"/>
        <v>0.4</v>
      </c>
      <c r="AG27" s="705">
        <f t="shared" si="7"/>
        <v>0</v>
      </c>
      <c r="AH27" s="705">
        <f t="shared" si="8"/>
        <v>0</v>
      </c>
      <c r="AI27" s="706">
        <f t="shared" si="9"/>
        <v>0</v>
      </c>
      <c r="AJ27" s="681">
        <f>'2020'!J27</f>
        <v>0</v>
      </c>
      <c r="AK27" s="655">
        <f>'2021'!J27</f>
        <v>0</v>
      </c>
      <c r="AL27" s="655">
        <f>'2022'!J27</f>
        <v>18</v>
      </c>
      <c r="AM27" s="655">
        <f>'2023'!J27</f>
        <v>0</v>
      </c>
      <c r="AN27" s="655">
        <f>'2024'!J27</f>
        <v>0</v>
      </c>
      <c r="AO27" s="656">
        <f>'2025'!J27</f>
        <v>0</v>
      </c>
      <c r="AP27" s="704" t="str">
        <f t="shared" si="28"/>
        <v/>
      </c>
      <c r="AQ27" s="705" t="str">
        <f t="shared" si="11"/>
        <v/>
      </c>
      <c r="AR27" s="705">
        <f t="shared" si="12"/>
        <v>0.22222222222222221</v>
      </c>
      <c r="AS27" s="705" t="str">
        <f t="shared" si="13"/>
        <v/>
      </c>
      <c r="AT27" s="705" t="str">
        <f t="shared" si="14"/>
        <v/>
      </c>
      <c r="AU27" s="706" t="str">
        <f t="shared" si="15"/>
        <v/>
      </c>
      <c r="AV27" s="681">
        <f>'2020'!L27</f>
        <v>0</v>
      </c>
      <c r="AW27" s="655">
        <f>'2021'!L27</f>
        <v>0</v>
      </c>
      <c r="AX27" s="655">
        <f>'2022'!L27</f>
        <v>10</v>
      </c>
      <c r="AY27" s="655">
        <f>'2023'!L27</f>
        <v>0</v>
      </c>
      <c r="AZ27" s="655">
        <f>'2024'!L27</f>
        <v>0</v>
      </c>
      <c r="BA27" s="656">
        <f>'2025'!L27</f>
        <v>0</v>
      </c>
      <c r="BB27" s="449" t="str">
        <f t="shared" si="29"/>
        <v/>
      </c>
      <c r="BC27" s="450" t="str">
        <f t="shared" si="16"/>
        <v/>
      </c>
      <c r="BD27" s="450">
        <f t="shared" si="17"/>
        <v>0.6</v>
      </c>
      <c r="BE27" s="450" t="str">
        <f t="shared" si="18"/>
        <v/>
      </c>
      <c r="BF27" s="450" t="str">
        <f t="shared" si="19"/>
        <v/>
      </c>
      <c r="BG27" s="451" t="str">
        <f t="shared" si="20"/>
        <v/>
      </c>
      <c r="BH27" s="966" t="str">
        <f>'2020'!N27</f>
        <v>-</v>
      </c>
      <c r="BI27" s="967" t="str">
        <f>'2021'!N27</f>
        <v>-</v>
      </c>
      <c r="BJ27" s="967">
        <f>'2022'!N27</f>
        <v>6</v>
      </c>
      <c r="BK27" s="967">
        <f>'2023'!N27</f>
        <v>0</v>
      </c>
      <c r="BL27" s="967">
        <f>'2024'!N27</f>
        <v>0</v>
      </c>
      <c r="BM27" s="968">
        <f>'2025'!N27</f>
        <v>0</v>
      </c>
      <c r="BN27" s="452" t="s">
        <v>21</v>
      </c>
      <c r="BO27" s="453" t="s">
        <v>21</v>
      </c>
      <c r="BP27" s="452" t="s">
        <v>21</v>
      </c>
      <c r="BQ27" s="453" t="s">
        <v>21</v>
      </c>
      <c r="BR27" s="454" t="s">
        <v>21</v>
      </c>
      <c r="BS27" s="455" t="s">
        <v>21</v>
      </c>
      <c r="BT27" s="454" t="s">
        <v>21</v>
      </c>
      <c r="BU27" s="456" t="s">
        <v>21</v>
      </c>
      <c r="CC27" s="1" t="str">
        <f t="shared" si="30"/>
        <v/>
      </c>
      <c r="CD27" s="1" t="str">
        <f t="shared" si="31"/>
        <v/>
      </c>
      <c r="CE27" s="1" t="str">
        <f t="shared" si="32"/>
        <v>France</v>
      </c>
      <c r="CF27" s="1" t="str">
        <f t="shared" si="33"/>
        <v/>
      </c>
      <c r="CG27" s="1" t="str">
        <f t="shared" si="34"/>
        <v/>
      </c>
      <c r="CH27" s="1" t="str">
        <f t="shared" si="35"/>
        <v/>
      </c>
    </row>
    <row r="28" spans="2:86" ht="15" customHeight="1">
      <c r="B28" s="1007"/>
      <c r="C28" s="1079"/>
      <c r="D28" s="1053"/>
      <c r="E28" s="1056"/>
      <c r="F28" s="1056"/>
      <c r="G28" s="1056"/>
      <c r="H28" s="1056"/>
      <c r="I28" s="1059"/>
      <c r="J28" s="905" t="s">
        <v>197</v>
      </c>
      <c r="K28" s="426" t="str">
        <f t="shared" si="106"/>
        <v/>
      </c>
      <c r="L28" s="426" t="str">
        <f t="shared" si="107"/>
        <v/>
      </c>
      <c r="M28" s="426" t="str">
        <f t="shared" si="108"/>
        <v>X</v>
      </c>
      <c r="N28" s="426" t="str">
        <f t="shared" si="109"/>
        <v/>
      </c>
      <c r="O28" s="426" t="str">
        <f t="shared" si="110"/>
        <v/>
      </c>
      <c r="P28" s="427" t="str">
        <f t="shared" si="111"/>
        <v/>
      </c>
      <c r="Q28" s="251" t="s">
        <v>62</v>
      </c>
      <c r="R28" s="640">
        <f>'2020'!G28</f>
        <v>0</v>
      </c>
      <c r="S28" s="641">
        <f>'2021'!G28</f>
        <v>0</v>
      </c>
      <c r="T28" s="641">
        <f>'2022'!G28</f>
        <v>68</v>
      </c>
      <c r="U28" s="641">
        <f>'2023'!G28</f>
        <v>0</v>
      </c>
      <c r="V28" s="641">
        <f>'2024'!G28</f>
        <v>0</v>
      </c>
      <c r="W28" s="642">
        <f>'2025'!G28</f>
        <v>0</v>
      </c>
      <c r="X28" s="676">
        <f>'2020'!H28</f>
        <v>0</v>
      </c>
      <c r="Y28" s="641">
        <f>'2021'!H28</f>
        <v>0</v>
      </c>
      <c r="Z28" s="641">
        <f>'2022'!H28</f>
        <v>43</v>
      </c>
      <c r="AA28" s="641">
        <f>'2023'!H28</f>
        <v>0</v>
      </c>
      <c r="AB28" s="641">
        <f>'2024'!H28</f>
        <v>0</v>
      </c>
      <c r="AC28" s="642">
        <f>'2025'!H28</f>
        <v>0</v>
      </c>
      <c r="AD28" s="449">
        <f t="shared" si="4"/>
        <v>0</v>
      </c>
      <c r="AE28" s="450">
        <f t="shared" si="5"/>
        <v>0</v>
      </c>
      <c r="AF28" s="450">
        <f t="shared" si="6"/>
        <v>0.51470588235294112</v>
      </c>
      <c r="AG28" s="450">
        <f t="shared" si="7"/>
        <v>0</v>
      </c>
      <c r="AH28" s="450">
        <f t="shared" si="8"/>
        <v>0</v>
      </c>
      <c r="AI28" s="451">
        <f t="shared" si="9"/>
        <v>0</v>
      </c>
      <c r="AJ28" s="676">
        <f>'2020'!J28</f>
        <v>0</v>
      </c>
      <c r="AK28" s="641">
        <f>'2021'!J28</f>
        <v>0</v>
      </c>
      <c r="AL28" s="641">
        <f>'2022'!J28</f>
        <v>35</v>
      </c>
      <c r="AM28" s="641">
        <f>'2023'!J28</f>
        <v>0</v>
      </c>
      <c r="AN28" s="641">
        <f>'2024'!J28</f>
        <v>0</v>
      </c>
      <c r="AO28" s="642">
        <f>'2025'!J28</f>
        <v>0</v>
      </c>
      <c r="AP28" s="449" t="str">
        <f t="shared" si="28"/>
        <v/>
      </c>
      <c r="AQ28" s="450" t="str">
        <f t="shared" si="11"/>
        <v/>
      </c>
      <c r="AR28" s="450">
        <f t="shared" si="12"/>
        <v>0.44117647058823528</v>
      </c>
      <c r="AS28" s="450" t="str">
        <f t="shared" si="13"/>
        <v/>
      </c>
      <c r="AT28" s="450" t="str">
        <f t="shared" si="14"/>
        <v/>
      </c>
      <c r="AU28" s="451" t="str">
        <f t="shared" si="15"/>
        <v/>
      </c>
      <c r="AV28" s="676">
        <f>'2020'!L28</f>
        <v>0</v>
      </c>
      <c r="AW28" s="641">
        <f>'2021'!L28</f>
        <v>0</v>
      </c>
      <c r="AX28" s="641">
        <f>'2022'!L28</f>
        <v>30</v>
      </c>
      <c r="AY28" s="641">
        <f>'2023'!L28</f>
        <v>0</v>
      </c>
      <c r="AZ28" s="641">
        <f>'2024'!L28</f>
        <v>0</v>
      </c>
      <c r="BA28" s="642">
        <f>'2025'!L28</f>
        <v>0</v>
      </c>
      <c r="BB28" s="449" t="str">
        <f t="shared" si="29"/>
        <v/>
      </c>
      <c r="BC28" s="450" t="str">
        <f t="shared" si="16"/>
        <v/>
      </c>
      <c r="BD28" s="450">
        <f t="shared" si="17"/>
        <v>0.53333333333333333</v>
      </c>
      <c r="BE28" s="450" t="str">
        <f t="shared" si="18"/>
        <v/>
      </c>
      <c r="BF28" s="450" t="str">
        <f t="shared" si="19"/>
        <v/>
      </c>
      <c r="BG28" s="451" t="str">
        <f t="shared" si="20"/>
        <v/>
      </c>
      <c r="BH28" s="966" t="str">
        <f>'2020'!N28</f>
        <v>-</v>
      </c>
      <c r="BI28" s="967" t="str">
        <f>'2021'!N28</f>
        <v>-</v>
      </c>
      <c r="BJ28" s="967">
        <f>'2022'!N28</f>
        <v>16</v>
      </c>
      <c r="BK28" s="967">
        <f>'2023'!N28</f>
        <v>0</v>
      </c>
      <c r="BL28" s="967">
        <f>'2024'!N28</f>
        <v>0</v>
      </c>
      <c r="BM28" s="968">
        <f>'2025'!N28</f>
        <v>0</v>
      </c>
      <c r="BN28" s="452" t="s">
        <v>21</v>
      </c>
      <c r="BO28" s="453" t="s">
        <v>21</v>
      </c>
      <c r="BP28" s="452" t="s">
        <v>21</v>
      </c>
      <c r="BQ28" s="453" t="s">
        <v>21</v>
      </c>
      <c r="BR28" s="454" t="s">
        <v>21</v>
      </c>
      <c r="BS28" s="455" t="s">
        <v>21</v>
      </c>
      <c r="BT28" s="454" t="s">
        <v>21</v>
      </c>
      <c r="BU28" s="456" t="s">
        <v>21</v>
      </c>
      <c r="CC28" s="1" t="str">
        <f t="shared" si="30"/>
        <v/>
      </c>
      <c r="CD28" s="1" t="str">
        <f t="shared" si="31"/>
        <v/>
      </c>
      <c r="CE28" s="1" t="str">
        <f t="shared" si="32"/>
        <v>Frontière</v>
      </c>
      <c r="CF28" s="1" t="str">
        <f t="shared" si="33"/>
        <v/>
      </c>
      <c r="CG28" s="1" t="str">
        <f t="shared" si="34"/>
        <v/>
      </c>
      <c r="CH28" s="1" t="str">
        <f t="shared" si="35"/>
        <v/>
      </c>
    </row>
    <row r="29" spans="2:86" ht="15" customHeight="1">
      <c r="B29" s="1007"/>
      <c r="C29" s="1079"/>
      <c r="D29" s="1053"/>
      <c r="E29" s="1056"/>
      <c r="F29" s="1056"/>
      <c r="G29" s="1056"/>
      <c r="H29" s="1056"/>
      <c r="I29" s="1059"/>
      <c r="J29" s="905" t="s">
        <v>166</v>
      </c>
      <c r="K29" s="426" t="str">
        <f t="shared" si="106"/>
        <v/>
      </c>
      <c r="L29" s="426" t="str">
        <f t="shared" si="107"/>
        <v/>
      </c>
      <c r="M29" s="426" t="str">
        <f t="shared" si="108"/>
        <v/>
      </c>
      <c r="N29" s="426" t="str">
        <f t="shared" si="109"/>
        <v/>
      </c>
      <c r="O29" s="426" t="str">
        <f t="shared" si="110"/>
        <v/>
      </c>
      <c r="P29" s="427" t="str">
        <f t="shared" si="111"/>
        <v/>
      </c>
      <c r="Q29" s="251"/>
      <c r="R29" s="640">
        <f>'2020'!G29</f>
        <v>0</v>
      </c>
      <c r="S29" s="641">
        <f>'2021'!G29</f>
        <v>0</v>
      </c>
      <c r="T29" s="641">
        <f>'2022'!G29</f>
        <v>0</v>
      </c>
      <c r="U29" s="641">
        <f>'2023'!G29</f>
        <v>0</v>
      </c>
      <c r="V29" s="641">
        <f>'2024'!G29</f>
        <v>0</v>
      </c>
      <c r="W29" s="642">
        <f>'2025'!G29</f>
        <v>0</v>
      </c>
      <c r="X29" s="676">
        <f>'2020'!H29</f>
        <v>0</v>
      </c>
      <c r="Y29" s="641">
        <f>'2021'!H29</f>
        <v>0</v>
      </c>
      <c r="Z29" s="641">
        <f>'2022'!H29</f>
        <v>0</v>
      </c>
      <c r="AA29" s="641">
        <f>'2023'!H29</f>
        <v>0</v>
      </c>
      <c r="AB29" s="641">
        <f>'2024'!H29</f>
        <v>0</v>
      </c>
      <c r="AC29" s="642">
        <f>'2025'!H29</f>
        <v>0</v>
      </c>
      <c r="AD29" s="449">
        <f t="shared" si="4"/>
        <v>0</v>
      </c>
      <c r="AE29" s="450">
        <f t="shared" si="5"/>
        <v>0</v>
      </c>
      <c r="AF29" s="450">
        <f t="shared" si="6"/>
        <v>0</v>
      </c>
      <c r="AG29" s="450">
        <f t="shared" si="7"/>
        <v>0</v>
      </c>
      <c r="AH29" s="450">
        <f t="shared" si="8"/>
        <v>0</v>
      </c>
      <c r="AI29" s="451">
        <f t="shared" si="9"/>
        <v>0</v>
      </c>
      <c r="AJ29" s="676">
        <f>'2020'!J29</f>
        <v>0</v>
      </c>
      <c r="AK29" s="641">
        <f>'2021'!J29</f>
        <v>0</v>
      </c>
      <c r="AL29" s="641">
        <f>'2022'!J29</f>
        <v>0</v>
      </c>
      <c r="AM29" s="641">
        <f>'2023'!J29</f>
        <v>0</v>
      </c>
      <c r="AN29" s="641">
        <f>'2024'!J29</f>
        <v>0</v>
      </c>
      <c r="AO29" s="642">
        <f>'2025'!J29</f>
        <v>0</v>
      </c>
      <c r="AP29" s="449" t="str">
        <f t="shared" si="28"/>
        <v/>
      </c>
      <c r="AQ29" s="450" t="str">
        <f t="shared" si="11"/>
        <v/>
      </c>
      <c r="AR29" s="450" t="str">
        <f t="shared" si="12"/>
        <v/>
      </c>
      <c r="AS29" s="450" t="str">
        <f t="shared" si="13"/>
        <v/>
      </c>
      <c r="AT29" s="450" t="str">
        <f t="shared" si="14"/>
        <v/>
      </c>
      <c r="AU29" s="451" t="str">
        <f t="shared" si="15"/>
        <v/>
      </c>
      <c r="AV29" s="676">
        <f>'2020'!L29</f>
        <v>0</v>
      </c>
      <c r="AW29" s="641">
        <f>'2021'!L29</f>
        <v>0</v>
      </c>
      <c r="AX29" s="641">
        <f>'2022'!L29</f>
        <v>0</v>
      </c>
      <c r="AY29" s="641">
        <f>'2023'!L29</f>
        <v>0</v>
      </c>
      <c r="AZ29" s="641">
        <f>'2024'!L29</f>
        <v>0</v>
      </c>
      <c r="BA29" s="642">
        <f>'2025'!L29</f>
        <v>0</v>
      </c>
      <c r="BB29" s="449" t="str">
        <f t="shared" si="29"/>
        <v/>
      </c>
      <c r="BC29" s="450" t="str">
        <f t="shared" si="16"/>
        <v/>
      </c>
      <c r="BD29" s="450" t="str">
        <f t="shared" si="17"/>
        <v/>
      </c>
      <c r="BE29" s="450" t="str">
        <f t="shared" si="18"/>
        <v/>
      </c>
      <c r="BF29" s="450" t="str">
        <f t="shared" si="19"/>
        <v/>
      </c>
      <c r="BG29" s="451" t="str">
        <f t="shared" si="20"/>
        <v/>
      </c>
      <c r="BH29" s="966">
        <f>'2020'!N29</f>
        <v>0</v>
      </c>
      <c r="BI29" s="967">
        <f>'2021'!N29</f>
        <v>0</v>
      </c>
      <c r="BJ29" s="967">
        <f>'2022'!N29</f>
        <v>0</v>
      </c>
      <c r="BK29" s="967">
        <f>'2023'!N29</f>
        <v>0</v>
      </c>
      <c r="BL29" s="967">
        <f>'2024'!N29</f>
        <v>0</v>
      </c>
      <c r="BM29" s="968">
        <f>'2025'!N29</f>
        <v>0</v>
      </c>
      <c r="BN29" s="452"/>
      <c r="BO29" s="453"/>
      <c r="BP29" s="452"/>
      <c r="BQ29" s="453"/>
      <c r="BR29" s="454"/>
      <c r="BS29" s="455"/>
      <c r="BT29" s="454"/>
      <c r="BU29" s="456"/>
      <c r="CC29" s="1" t="str">
        <f t="shared" si="30"/>
        <v/>
      </c>
      <c r="CD29" s="1" t="str">
        <f t="shared" si="31"/>
        <v/>
      </c>
      <c r="CE29" s="1" t="str">
        <f t="shared" si="32"/>
        <v/>
      </c>
      <c r="CF29" s="1" t="str">
        <f t="shared" si="33"/>
        <v/>
      </c>
      <c r="CG29" s="1" t="str">
        <f t="shared" si="34"/>
        <v/>
      </c>
      <c r="CH29" s="1" t="str">
        <f t="shared" si="35"/>
        <v/>
      </c>
    </row>
    <row r="30" spans="2:86" ht="15" customHeight="1">
      <c r="B30" s="1007"/>
      <c r="C30" s="1079"/>
      <c r="D30" s="1053"/>
      <c r="E30" s="1056"/>
      <c r="F30" s="1056"/>
      <c r="G30" s="1056"/>
      <c r="H30" s="1056"/>
      <c r="I30" s="1059"/>
      <c r="J30" s="905" t="s">
        <v>166</v>
      </c>
      <c r="K30" s="426" t="str">
        <f t="shared" si="106"/>
        <v/>
      </c>
      <c r="L30" s="426" t="str">
        <f t="shared" si="107"/>
        <v/>
      </c>
      <c r="M30" s="426" t="str">
        <f t="shared" si="108"/>
        <v/>
      </c>
      <c r="N30" s="426" t="str">
        <f t="shared" si="109"/>
        <v/>
      </c>
      <c r="O30" s="426" t="str">
        <f t="shared" si="110"/>
        <v/>
      </c>
      <c r="P30" s="427" t="str">
        <f t="shared" si="111"/>
        <v/>
      </c>
      <c r="Q30" s="251"/>
      <c r="R30" s="640">
        <f>'2020'!G30</f>
        <v>0</v>
      </c>
      <c r="S30" s="641">
        <f>'2021'!G30</f>
        <v>0</v>
      </c>
      <c r="T30" s="641">
        <f>'2022'!G30</f>
        <v>0</v>
      </c>
      <c r="U30" s="641">
        <f>'2023'!G30</f>
        <v>0</v>
      </c>
      <c r="V30" s="641">
        <f>'2024'!G30</f>
        <v>0</v>
      </c>
      <c r="W30" s="642">
        <f>'2025'!G30</f>
        <v>0</v>
      </c>
      <c r="X30" s="676">
        <f>'2020'!H30</f>
        <v>0</v>
      </c>
      <c r="Y30" s="641">
        <f>'2021'!H30</f>
        <v>0</v>
      </c>
      <c r="Z30" s="641">
        <f>'2022'!H30</f>
        <v>0</v>
      </c>
      <c r="AA30" s="641">
        <f>'2023'!H30</f>
        <v>0</v>
      </c>
      <c r="AB30" s="641">
        <f>'2024'!H30</f>
        <v>0</v>
      </c>
      <c r="AC30" s="642">
        <f>'2025'!H30</f>
        <v>0</v>
      </c>
      <c r="AD30" s="449">
        <f t="shared" si="4"/>
        <v>0</v>
      </c>
      <c r="AE30" s="450">
        <f t="shared" si="5"/>
        <v>0</v>
      </c>
      <c r="AF30" s="450">
        <f t="shared" si="6"/>
        <v>0</v>
      </c>
      <c r="AG30" s="450">
        <f t="shared" si="7"/>
        <v>0</v>
      </c>
      <c r="AH30" s="450">
        <f t="shared" si="8"/>
        <v>0</v>
      </c>
      <c r="AI30" s="451">
        <f t="shared" si="9"/>
        <v>0</v>
      </c>
      <c r="AJ30" s="676">
        <f>'2020'!J30</f>
        <v>0</v>
      </c>
      <c r="AK30" s="641">
        <f>'2021'!J30</f>
        <v>0</v>
      </c>
      <c r="AL30" s="641">
        <f>'2022'!J30</f>
        <v>0</v>
      </c>
      <c r="AM30" s="641">
        <f>'2023'!J30</f>
        <v>0</v>
      </c>
      <c r="AN30" s="641">
        <f>'2024'!J30</f>
        <v>0</v>
      </c>
      <c r="AO30" s="642">
        <f>'2025'!J30</f>
        <v>0</v>
      </c>
      <c r="AP30" s="449" t="str">
        <f t="shared" si="28"/>
        <v/>
      </c>
      <c r="AQ30" s="450" t="str">
        <f t="shared" si="11"/>
        <v/>
      </c>
      <c r="AR30" s="450" t="str">
        <f t="shared" si="12"/>
        <v/>
      </c>
      <c r="AS30" s="450" t="str">
        <f t="shared" si="13"/>
        <v/>
      </c>
      <c r="AT30" s="450" t="str">
        <f t="shared" si="14"/>
        <v/>
      </c>
      <c r="AU30" s="451" t="str">
        <f t="shared" si="15"/>
        <v/>
      </c>
      <c r="AV30" s="676">
        <f>'2020'!L30</f>
        <v>0</v>
      </c>
      <c r="AW30" s="641">
        <f>'2021'!L30</f>
        <v>0</v>
      </c>
      <c r="AX30" s="641">
        <f>'2022'!L30</f>
        <v>0</v>
      </c>
      <c r="AY30" s="641">
        <f>'2023'!L30</f>
        <v>0</v>
      </c>
      <c r="AZ30" s="641">
        <f>'2024'!L30</f>
        <v>0</v>
      </c>
      <c r="BA30" s="642">
        <f>'2025'!L30</f>
        <v>0</v>
      </c>
      <c r="BB30" s="449" t="str">
        <f t="shared" si="29"/>
        <v/>
      </c>
      <c r="BC30" s="450" t="str">
        <f t="shared" si="16"/>
        <v/>
      </c>
      <c r="BD30" s="450" t="str">
        <f t="shared" si="17"/>
        <v/>
      </c>
      <c r="BE30" s="450" t="str">
        <f t="shared" si="18"/>
        <v/>
      </c>
      <c r="BF30" s="450" t="str">
        <f t="shared" si="19"/>
        <v/>
      </c>
      <c r="BG30" s="451" t="str">
        <f t="shared" si="20"/>
        <v/>
      </c>
      <c r="BH30" s="966">
        <f>'2020'!N30</f>
        <v>0</v>
      </c>
      <c r="BI30" s="967">
        <f>'2021'!N30</f>
        <v>0</v>
      </c>
      <c r="BJ30" s="967">
        <f>'2022'!N30</f>
        <v>0</v>
      </c>
      <c r="BK30" s="967">
        <f>'2023'!N30</f>
        <v>0</v>
      </c>
      <c r="BL30" s="967">
        <f>'2024'!N30</f>
        <v>0</v>
      </c>
      <c r="BM30" s="968">
        <f>'2025'!N30</f>
        <v>0</v>
      </c>
      <c r="BN30" s="452"/>
      <c r="BO30" s="453"/>
      <c r="BP30" s="452"/>
      <c r="BQ30" s="453"/>
      <c r="BR30" s="454"/>
      <c r="BS30" s="455"/>
      <c r="BT30" s="454"/>
      <c r="BU30" s="456"/>
      <c r="CC30" s="1" t="str">
        <f t="shared" si="30"/>
        <v/>
      </c>
      <c r="CD30" s="1" t="str">
        <f t="shared" si="31"/>
        <v/>
      </c>
      <c r="CE30" s="1" t="str">
        <f t="shared" si="32"/>
        <v/>
      </c>
      <c r="CF30" s="1" t="str">
        <f t="shared" si="33"/>
        <v/>
      </c>
      <c r="CG30" s="1" t="str">
        <f t="shared" si="34"/>
        <v/>
      </c>
      <c r="CH30" s="1" t="str">
        <f t="shared" si="35"/>
        <v/>
      </c>
    </row>
    <row r="31" spans="2:86" ht="15" customHeight="1">
      <c r="B31" s="1007"/>
      <c r="C31" s="1079"/>
      <c r="D31" s="1053"/>
      <c r="E31" s="1056"/>
      <c r="F31" s="1056"/>
      <c r="G31" s="1056"/>
      <c r="H31" s="1056"/>
      <c r="I31" s="1059"/>
      <c r="J31" s="905" t="s">
        <v>166</v>
      </c>
      <c r="K31" s="426" t="str">
        <f t="shared" si="106"/>
        <v/>
      </c>
      <c r="L31" s="426" t="str">
        <f t="shared" si="107"/>
        <v/>
      </c>
      <c r="M31" s="426" t="str">
        <f t="shared" si="108"/>
        <v/>
      </c>
      <c r="N31" s="426" t="str">
        <f t="shared" si="109"/>
        <v/>
      </c>
      <c r="O31" s="426" t="str">
        <f t="shared" si="110"/>
        <v/>
      </c>
      <c r="P31" s="427" t="str">
        <f t="shared" si="111"/>
        <v/>
      </c>
      <c r="Q31" s="251"/>
      <c r="R31" s="640">
        <f>'2020'!G31</f>
        <v>0</v>
      </c>
      <c r="S31" s="641">
        <f>'2021'!G31</f>
        <v>0</v>
      </c>
      <c r="T31" s="641">
        <f>'2022'!G31</f>
        <v>0</v>
      </c>
      <c r="U31" s="641">
        <f>'2023'!G31</f>
        <v>0</v>
      </c>
      <c r="V31" s="641">
        <f>'2024'!G31</f>
        <v>0</v>
      </c>
      <c r="W31" s="642">
        <f>'2025'!G31</f>
        <v>0</v>
      </c>
      <c r="X31" s="676">
        <f>'2020'!H31</f>
        <v>0</v>
      </c>
      <c r="Y31" s="641">
        <f>'2021'!H31</f>
        <v>0</v>
      </c>
      <c r="Z31" s="641">
        <f>'2022'!H31</f>
        <v>0</v>
      </c>
      <c r="AA31" s="641">
        <f>'2023'!H31</f>
        <v>0</v>
      </c>
      <c r="AB31" s="641">
        <f>'2024'!H31</f>
        <v>0</v>
      </c>
      <c r="AC31" s="642">
        <f>'2025'!H31</f>
        <v>0</v>
      </c>
      <c r="AD31" s="449">
        <f t="shared" si="4"/>
        <v>0</v>
      </c>
      <c r="AE31" s="450">
        <f t="shared" si="5"/>
        <v>0</v>
      </c>
      <c r="AF31" s="450">
        <f t="shared" si="6"/>
        <v>0</v>
      </c>
      <c r="AG31" s="450">
        <f t="shared" si="7"/>
        <v>0</v>
      </c>
      <c r="AH31" s="450">
        <f t="shared" si="8"/>
        <v>0</v>
      </c>
      <c r="AI31" s="451">
        <f t="shared" si="9"/>
        <v>0</v>
      </c>
      <c r="AJ31" s="676">
        <f>'2020'!J31</f>
        <v>0</v>
      </c>
      <c r="AK31" s="641">
        <f>'2021'!J31</f>
        <v>0</v>
      </c>
      <c r="AL31" s="641">
        <f>'2022'!J31</f>
        <v>0</v>
      </c>
      <c r="AM31" s="641">
        <f>'2023'!J31</f>
        <v>0</v>
      </c>
      <c r="AN31" s="641">
        <f>'2024'!J31</f>
        <v>0</v>
      </c>
      <c r="AO31" s="642">
        <f>'2025'!J31</f>
        <v>0</v>
      </c>
      <c r="AP31" s="449" t="str">
        <f t="shared" si="28"/>
        <v/>
      </c>
      <c r="AQ31" s="450" t="str">
        <f t="shared" si="11"/>
        <v/>
      </c>
      <c r="AR31" s="450" t="str">
        <f t="shared" si="12"/>
        <v/>
      </c>
      <c r="AS31" s="450" t="str">
        <f t="shared" si="13"/>
        <v/>
      </c>
      <c r="AT31" s="450" t="str">
        <f t="shared" si="14"/>
        <v/>
      </c>
      <c r="AU31" s="451" t="str">
        <f t="shared" si="15"/>
        <v/>
      </c>
      <c r="AV31" s="676">
        <f>'2020'!L31</f>
        <v>0</v>
      </c>
      <c r="AW31" s="641">
        <f>'2021'!L31</f>
        <v>0</v>
      </c>
      <c r="AX31" s="641">
        <f>'2022'!L31</f>
        <v>0</v>
      </c>
      <c r="AY31" s="641">
        <f>'2023'!L31</f>
        <v>0</v>
      </c>
      <c r="AZ31" s="641">
        <f>'2024'!L31</f>
        <v>0</v>
      </c>
      <c r="BA31" s="642">
        <f>'2025'!L31</f>
        <v>0</v>
      </c>
      <c r="BB31" s="449" t="str">
        <f t="shared" si="29"/>
        <v/>
      </c>
      <c r="BC31" s="450" t="str">
        <f t="shared" si="16"/>
        <v/>
      </c>
      <c r="BD31" s="450" t="str">
        <f t="shared" si="17"/>
        <v/>
      </c>
      <c r="BE31" s="450" t="str">
        <f t="shared" si="18"/>
        <v/>
      </c>
      <c r="BF31" s="450" t="str">
        <f t="shared" si="19"/>
        <v/>
      </c>
      <c r="BG31" s="451" t="str">
        <f t="shared" si="20"/>
        <v/>
      </c>
      <c r="BH31" s="966">
        <f>'2020'!N31</f>
        <v>0</v>
      </c>
      <c r="BI31" s="967">
        <f>'2021'!N31</f>
        <v>0</v>
      </c>
      <c r="BJ31" s="967">
        <f>'2022'!N31</f>
        <v>0</v>
      </c>
      <c r="BK31" s="967">
        <f>'2023'!N31</f>
        <v>0</v>
      </c>
      <c r="BL31" s="967">
        <f>'2024'!N31</f>
        <v>0</v>
      </c>
      <c r="BM31" s="968">
        <f>'2025'!N31</f>
        <v>0</v>
      </c>
      <c r="BN31" s="452"/>
      <c r="BO31" s="453"/>
      <c r="BP31" s="452"/>
      <c r="BQ31" s="453"/>
      <c r="BR31" s="454"/>
      <c r="BS31" s="455"/>
      <c r="BT31" s="454"/>
      <c r="BU31" s="456"/>
      <c r="CC31" s="1" t="str">
        <f t="shared" si="30"/>
        <v/>
      </c>
      <c r="CD31" s="1" t="str">
        <f t="shared" si="31"/>
        <v/>
      </c>
      <c r="CE31" s="1" t="str">
        <f t="shared" si="32"/>
        <v/>
      </c>
      <c r="CF31" s="1" t="str">
        <f t="shared" si="33"/>
        <v/>
      </c>
      <c r="CG31" s="1" t="str">
        <f t="shared" si="34"/>
        <v/>
      </c>
      <c r="CH31" s="1" t="str">
        <f t="shared" si="35"/>
        <v/>
      </c>
    </row>
    <row r="32" spans="2:86" ht="15" customHeight="1">
      <c r="B32" s="1007"/>
      <c r="C32" s="1079"/>
      <c r="D32" s="1053"/>
      <c r="E32" s="1056"/>
      <c r="F32" s="1056"/>
      <c r="G32" s="1056"/>
      <c r="H32" s="1056"/>
      <c r="I32" s="1059"/>
      <c r="J32" s="905" t="s">
        <v>166</v>
      </c>
      <c r="K32" s="426" t="str">
        <f t="shared" si="106"/>
        <v/>
      </c>
      <c r="L32" s="426" t="str">
        <f t="shared" si="107"/>
        <v/>
      </c>
      <c r="M32" s="426" t="str">
        <f t="shared" si="108"/>
        <v/>
      </c>
      <c r="N32" s="426" t="str">
        <f t="shared" si="109"/>
        <v/>
      </c>
      <c r="O32" s="426" t="str">
        <f t="shared" si="110"/>
        <v/>
      </c>
      <c r="P32" s="427" t="str">
        <f t="shared" si="111"/>
        <v/>
      </c>
      <c r="Q32" s="251"/>
      <c r="R32" s="640">
        <f>'2020'!G32</f>
        <v>0</v>
      </c>
      <c r="S32" s="641">
        <f>'2021'!G32</f>
        <v>0</v>
      </c>
      <c r="T32" s="641">
        <f>'2022'!G32</f>
        <v>0</v>
      </c>
      <c r="U32" s="641">
        <f>'2023'!G32</f>
        <v>0</v>
      </c>
      <c r="V32" s="641">
        <f>'2024'!G32</f>
        <v>0</v>
      </c>
      <c r="W32" s="642">
        <f>'2025'!G32</f>
        <v>0</v>
      </c>
      <c r="X32" s="676">
        <f>'2020'!H32</f>
        <v>0</v>
      </c>
      <c r="Y32" s="641">
        <f>'2021'!H32</f>
        <v>0</v>
      </c>
      <c r="Z32" s="641">
        <f>'2022'!H32</f>
        <v>0</v>
      </c>
      <c r="AA32" s="641">
        <f>'2023'!H32</f>
        <v>0</v>
      </c>
      <c r="AB32" s="641">
        <f>'2024'!H32</f>
        <v>0</v>
      </c>
      <c r="AC32" s="642">
        <f>'2025'!H32</f>
        <v>0</v>
      </c>
      <c r="AD32" s="449">
        <f t="shared" si="4"/>
        <v>0</v>
      </c>
      <c r="AE32" s="450">
        <f t="shared" si="5"/>
        <v>0</v>
      </c>
      <c r="AF32" s="450">
        <f t="shared" si="6"/>
        <v>0</v>
      </c>
      <c r="AG32" s="450">
        <f t="shared" si="7"/>
        <v>0</v>
      </c>
      <c r="AH32" s="450">
        <f t="shared" si="8"/>
        <v>0</v>
      </c>
      <c r="AI32" s="451">
        <f t="shared" si="9"/>
        <v>0</v>
      </c>
      <c r="AJ32" s="676">
        <f>'2020'!J32</f>
        <v>0</v>
      </c>
      <c r="AK32" s="641">
        <f>'2021'!J32</f>
        <v>0</v>
      </c>
      <c r="AL32" s="641">
        <f>'2022'!J32</f>
        <v>0</v>
      </c>
      <c r="AM32" s="641">
        <f>'2023'!J32</f>
        <v>0</v>
      </c>
      <c r="AN32" s="641">
        <f>'2024'!J32</f>
        <v>0</v>
      </c>
      <c r="AO32" s="642">
        <f>'2025'!J32</f>
        <v>0</v>
      </c>
      <c r="AP32" s="449" t="str">
        <f t="shared" si="28"/>
        <v/>
      </c>
      <c r="AQ32" s="450" t="str">
        <f t="shared" si="11"/>
        <v/>
      </c>
      <c r="AR32" s="450" t="str">
        <f t="shared" si="12"/>
        <v/>
      </c>
      <c r="AS32" s="450" t="str">
        <f t="shared" si="13"/>
        <v/>
      </c>
      <c r="AT32" s="450" t="str">
        <f t="shared" si="14"/>
        <v/>
      </c>
      <c r="AU32" s="451" t="str">
        <f t="shared" si="15"/>
        <v/>
      </c>
      <c r="AV32" s="676">
        <f>'2020'!L32</f>
        <v>0</v>
      </c>
      <c r="AW32" s="641">
        <f>'2021'!L32</f>
        <v>0</v>
      </c>
      <c r="AX32" s="641">
        <f>'2022'!L32</f>
        <v>0</v>
      </c>
      <c r="AY32" s="641">
        <f>'2023'!L32</f>
        <v>0</v>
      </c>
      <c r="AZ32" s="641">
        <f>'2024'!L32</f>
        <v>0</v>
      </c>
      <c r="BA32" s="642">
        <f>'2025'!L32</f>
        <v>0</v>
      </c>
      <c r="BB32" s="449" t="str">
        <f t="shared" si="29"/>
        <v/>
      </c>
      <c r="BC32" s="450" t="str">
        <f t="shared" si="16"/>
        <v/>
      </c>
      <c r="BD32" s="450" t="str">
        <f t="shared" si="17"/>
        <v/>
      </c>
      <c r="BE32" s="450" t="str">
        <f t="shared" si="18"/>
        <v/>
      </c>
      <c r="BF32" s="450" t="str">
        <f t="shared" si="19"/>
        <v/>
      </c>
      <c r="BG32" s="451" t="str">
        <f t="shared" si="20"/>
        <v/>
      </c>
      <c r="BH32" s="966">
        <f>'2020'!N32</f>
        <v>0</v>
      </c>
      <c r="BI32" s="967">
        <f>'2021'!N32</f>
        <v>0</v>
      </c>
      <c r="BJ32" s="967">
        <f>'2022'!N32</f>
        <v>0</v>
      </c>
      <c r="BK32" s="967">
        <f>'2023'!N32</f>
        <v>0</v>
      </c>
      <c r="BL32" s="967">
        <f>'2024'!N32</f>
        <v>0</v>
      </c>
      <c r="BM32" s="968">
        <f>'2025'!N32</f>
        <v>0</v>
      </c>
      <c r="BN32" s="452"/>
      <c r="BO32" s="453"/>
      <c r="BP32" s="452"/>
      <c r="BQ32" s="453"/>
      <c r="BR32" s="454"/>
      <c r="BS32" s="455"/>
      <c r="BT32" s="454"/>
      <c r="BU32" s="456"/>
      <c r="CC32" s="1" t="str">
        <f t="shared" si="30"/>
        <v/>
      </c>
      <c r="CD32" s="1" t="str">
        <f t="shared" si="31"/>
        <v/>
      </c>
      <c r="CE32" s="1" t="str">
        <f t="shared" si="32"/>
        <v/>
      </c>
      <c r="CF32" s="1" t="str">
        <f t="shared" si="33"/>
        <v/>
      </c>
      <c r="CG32" s="1" t="str">
        <f t="shared" si="34"/>
        <v/>
      </c>
      <c r="CH32" s="1" t="str">
        <f t="shared" si="35"/>
        <v/>
      </c>
    </row>
    <row r="33" spans="2:86" ht="15" customHeight="1">
      <c r="B33" s="1007"/>
      <c r="C33" s="1079"/>
      <c r="D33" s="1054"/>
      <c r="E33" s="1057"/>
      <c r="F33" s="1057"/>
      <c r="G33" s="1057"/>
      <c r="H33" s="1057"/>
      <c r="I33" s="1060"/>
      <c r="J33" s="907" t="s">
        <v>166</v>
      </c>
      <c r="K33" s="457" t="str">
        <f t="shared" si="106"/>
        <v/>
      </c>
      <c r="L33" s="457" t="str">
        <f t="shared" si="107"/>
        <v/>
      </c>
      <c r="M33" s="457" t="str">
        <f t="shared" si="108"/>
        <v/>
      </c>
      <c r="N33" s="457" t="str">
        <f t="shared" si="109"/>
        <v/>
      </c>
      <c r="O33" s="457" t="str">
        <f t="shared" si="110"/>
        <v/>
      </c>
      <c r="P33" s="458" t="str">
        <f t="shared" si="111"/>
        <v/>
      </c>
      <c r="Q33" s="459"/>
      <c r="R33" s="643">
        <f>'2020'!G33</f>
        <v>0</v>
      </c>
      <c r="S33" s="644">
        <f>'2021'!G33</f>
        <v>0</v>
      </c>
      <c r="T33" s="644">
        <f>'2022'!G33</f>
        <v>0</v>
      </c>
      <c r="U33" s="644">
        <f>'2023'!G33</f>
        <v>0</v>
      </c>
      <c r="V33" s="644">
        <f>'2024'!G33</f>
        <v>0</v>
      </c>
      <c r="W33" s="645">
        <f>'2025'!G33</f>
        <v>0</v>
      </c>
      <c r="X33" s="677">
        <f>'2020'!H33</f>
        <v>0</v>
      </c>
      <c r="Y33" s="644">
        <f>'2021'!H33</f>
        <v>0</v>
      </c>
      <c r="Z33" s="644">
        <f>'2022'!H33</f>
        <v>0</v>
      </c>
      <c r="AA33" s="644">
        <f>'2023'!H33</f>
        <v>0</v>
      </c>
      <c r="AB33" s="644">
        <f>'2024'!H33</f>
        <v>0</v>
      </c>
      <c r="AC33" s="645">
        <f>'2025'!H33</f>
        <v>0</v>
      </c>
      <c r="AD33" s="460">
        <f t="shared" si="4"/>
        <v>0</v>
      </c>
      <c r="AE33" s="461">
        <f t="shared" si="5"/>
        <v>0</v>
      </c>
      <c r="AF33" s="461">
        <f t="shared" si="6"/>
        <v>0</v>
      </c>
      <c r="AG33" s="461">
        <f t="shared" si="7"/>
        <v>0</v>
      </c>
      <c r="AH33" s="461">
        <f t="shared" si="8"/>
        <v>0</v>
      </c>
      <c r="AI33" s="462">
        <f t="shared" si="9"/>
        <v>0</v>
      </c>
      <c r="AJ33" s="677">
        <f>'2020'!J33</f>
        <v>0</v>
      </c>
      <c r="AK33" s="644">
        <f>'2021'!J33</f>
        <v>0</v>
      </c>
      <c r="AL33" s="644">
        <f>'2022'!J33</f>
        <v>0</v>
      </c>
      <c r="AM33" s="644">
        <f>'2023'!J33</f>
        <v>0</v>
      </c>
      <c r="AN33" s="644">
        <f>'2024'!J33</f>
        <v>0</v>
      </c>
      <c r="AO33" s="645">
        <f>'2025'!J33</f>
        <v>0</v>
      </c>
      <c r="AP33" s="460" t="str">
        <f t="shared" si="28"/>
        <v/>
      </c>
      <c r="AQ33" s="461" t="str">
        <f t="shared" si="11"/>
        <v/>
      </c>
      <c r="AR33" s="461" t="str">
        <f t="shared" si="12"/>
        <v/>
      </c>
      <c r="AS33" s="461" t="str">
        <f t="shared" si="13"/>
        <v/>
      </c>
      <c r="AT33" s="461" t="str">
        <f t="shared" si="14"/>
        <v/>
      </c>
      <c r="AU33" s="462" t="str">
        <f t="shared" si="15"/>
        <v/>
      </c>
      <c r="AV33" s="677">
        <f>'2020'!L33</f>
        <v>0</v>
      </c>
      <c r="AW33" s="644">
        <f>'2021'!L33</f>
        <v>0</v>
      </c>
      <c r="AX33" s="644">
        <f>'2022'!L33</f>
        <v>0</v>
      </c>
      <c r="AY33" s="644">
        <f>'2023'!L33</f>
        <v>0</v>
      </c>
      <c r="AZ33" s="644">
        <f>'2024'!L33</f>
        <v>0</v>
      </c>
      <c r="BA33" s="645">
        <f>'2025'!L33</f>
        <v>0</v>
      </c>
      <c r="BB33" s="460" t="str">
        <f t="shared" si="29"/>
        <v/>
      </c>
      <c r="BC33" s="461" t="str">
        <f t="shared" si="16"/>
        <v/>
      </c>
      <c r="BD33" s="461" t="str">
        <f t="shared" si="17"/>
        <v/>
      </c>
      <c r="BE33" s="461" t="str">
        <f t="shared" si="18"/>
        <v/>
      </c>
      <c r="BF33" s="461" t="str">
        <f t="shared" si="19"/>
        <v/>
      </c>
      <c r="BG33" s="462" t="str">
        <f t="shared" si="20"/>
        <v/>
      </c>
      <c r="BH33" s="969">
        <f>'2020'!N33</f>
        <v>0</v>
      </c>
      <c r="BI33" s="970">
        <f>'2021'!N33</f>
        <v>0</v>
      </c>
      <c r="BJ33" s="970">
        <f>'2022'!N33</f>
        <v>0</v>
      </c>
      <c r="BK33" s="970">
        <f>'2023'!N33</f>
        <v>0</v>
      </c>
      <c r="BL33" s="970">
        <f>'2024'!N33</f>
        <v>0</v>
      </c>
      <c r="BM33" s="971">
        <f>'2025'!N33</f>
        <v>0</v>
      </c>
      <c r="BN33" s="463"/>
      <c r="BO33" s="464"/>
      <c r="BP33" s="463"/>
      <c r="BQ33" s="464"/>
      <c r="BR33" s="465"/>
      <c r="BS33" s="466"/>
      <c r="BT33" s="465"/>
      <c r="BU33" s="467"/>
      <c r="CC33" s="1" t="str">
        <f t="shared" si="30"/>
        <v/>
      </c>
      <c r="CD33" s="1" t="str">
        <f t="shared" si="31"/>
        <v/>
      </c>
      <c r="CE33" s="1" t="str">
        <f t="shared" si="32"/>
        <v/>
      </c>
      <c r="CF33" s="1" t="str">
        <f t="shared" si="33"/>
        <v/>
      </c>
      <c r="CG33" s="1" t="str">
        <f t="shared" si="34"/>
        <v/>
      </c>
      <c r="CH33" s="1" t="str">
        <f t="shared" si="35"/>
        <v/>
      </c>
    </row>
    <row r="34" spans="2:86" ht="15.75">
      <c r="B34" s="1007"/>
      <c r="C34" s="1099"/>
      <c r="D34" s="404" t="s">
        <v>138</v>
      </c>
      <c r="E34" s="401"/>
      <c r="F34" s="401"/>
      <c r="G34" s="401"/>
      <c r="H34" s="401"/>
      <c r="I34" s="409"/>
      <c r="J34" s="898"/>
      <c r="K34" s="414">
        <f>COUNTIF(K13:K33,"X")</f>
        <v>0</v>
      </c>
      <c r="L34" s="414">
        <f t="shared" ref="L34:P34" si="112">COUNTIF(L13:L33,"X")</f>
        <v>0</v>
      </c>
      <c r="M34" s="414">
        <f t="shared" si="112"/>
        <v>16</v>
      </c>
      <c r="N34" s="414">
        <f t="shared" si="112"/>
        <v>0</v>
      </c>
      <c r="O34" s="414">
        <f t="shared" si="112"/>
        <v>0</v>
      </c>
      <c r="P34" s="415">
        <f t="shared" si="112"/>
        <v>0</v>
      </c>
      <c r="Q34" s="16"/>
      <c r="R34" s="657">
        <f>SUM(R13:R33)</f>
        <v>0</v>
      </c>
      <c r="S34" s="658">
        <f t="shared" ref="S34:W34" si="113">SUM(S13:S33)</f>
        <v>0</v>
      </c>
      <c r="T34" s="658">
        <f t="shared" si="113"/>
        <v>694</v>
      </c>
      <c r="U34" s="658">
        <f t="shared" si="113"/>
        <v>0</v>
      </c>
      <c r="V34" s="658">
        <f t="shared" si="113"/>
        <v>0</v>
      </c>
      <c r="W34" s="659">
        <f t="shared" si="113"/>
        <v>0</v>
      </c>
      <c r="X34" s="682">
        <f>SUM(X13:X33)</f>
        <v>0</v>
      </c>
      <c r="Y34" s="658">
        <f t="shared" ref="Y34:AC34" si="114">SUM(Y13:Y33)</f>
        <v>0</v>
      </c>
      <c r="Z34" s="658">
        <f t="shared" si="114"/>
        <v>611</v>
      </c>
      <c r="AA34" s="658">
        <f t="shared" si="114"/>
        <v>0</v>
      </c>
      <c r="AB34" s="658">
        <f t="shared" si="114"/>
        <v>0</v>
      </c>
      <c r="AC34" s="659">
        <f t="shared" si="114"/>
        <v>0</v>
      </c>
      <c r="AD34" s="338">
        <f t="shared" si="4"/>
        <v>0</v>
      </c>
      <c r="AE34" s="339">
        <f t="shared" si="5"/>
        <v>0</v>
      </c>
      <c r="AF34" s="339">
        <f t="shared" si="6"/>
        <v>0.24639769452449567</v>
      </c>
      <c r="AG34" s="339">
        <f t="shared" si="7"/>
        <v>0</v>
      </c>
      <c r="AH34" s="339">
        <f t="shared" si="8"/>
        <v>0</v>
      </c>
      <c r="AI34" s="344">
        <f t="shared" si="9"/>
        <v>0</v>
      </c>
      <c r="AJ34" s="682">
        <f>SUM(AJ13:AJ33)</f>
        <v>0</v>
      </c>
      <c r="AK34" s="658">
        <f t="shared" ref="AK34" si="115">SUM(AK13:AK33)</f>
        <v>0</v>
      </c>
      <c r="AL34" s="658">
        <f t="shared" ref="AL34" si="116">SUM(AL13:AL33)</f>
        <v>171</v>
      </c>
      <c r="AM34" s="658">
        <f t="shared" ref="AM34" si="117">SUM(AM13:AM33)</f>
        <v>0</v>
      </c>
      <c r="AN34" s="658">
        <f t="shared" ref="AN34" si="118">SUM(AN13:AN33)</f>
        <v>0</v>
      </c>
      <c r="AO34" s="659">
        <f t="shared" ref="AO34" si="119">SUM(AO13:AO33)</f>
        <v>0</v>
      </c>
      <c r="AP34" s="338" t="str">
        <f t="shared" si="28"/>
        <v/>
      </c>
      <c r="AQ34" s="339" t="str">
        <f t="shared" si="11"/>
        <v/>
      </c>
      <c r="AR34" s="339">
        <f t="shared" si="12"/>
        <v>0.38472622478386165</v>
      </c>
      <c r="AS34" s="339" t="str">
        <f t="shared" si="13"/>
        <v/>
      </c>
      <c r="AT34" s="339" t="str">
        <f t="shared" si="14"/>
        <v/>
      </c>
      <c r="AU34" s="344" t="str">
        <f t="shared" si="15"/>
        <v/>
      </c>
      <c r="AV34" s="682">
        <f>SUM(AV13:AV33)</f>
        <v>0</v>
      </c>
      <c r="AW34" s="658">
        <f t="shared" ref="AW34" si="120">SUM(AW13:AW33)</f>
        <v>0</v>
      </c>
      <c r="AX34" s="658">
        <f t="shared" ref="AX34" si="121">SUM(AX13:AX33)</f>
        <v>267</v>
      </c>
      <c r="AY34" s="658">
        <f t="shared" ref="AY34" si="122">SUM(AY13:AY33)</f>
        <v>0</v>
      </c>
      <c r="AZ34" s="658">
        <f t="shared" ref="AZ34" si="123">SUM(AZ13:AZ33)</f>
        <v>0</v>
      </c>
      <c r="BA34" s="659">
        <f t="shared" ref="BA34" si="124">SUM(BA13:BA33)</f>
        <v>0</v>
      </c>
      <c r="BB34" s="340" t="str">
        <f t="shared" si="29"/>
        <v/>
      </c>
      <c r="BC34" s="341" t="str">
        <f t="shared" si="16"/>
        <v/>
      </c>
      <c r="BD34" s="341">
        <f t="shared" si="17"/>
        <v>0.34831460674157305</v>
      </c>
      <c r="BE34" s="341" t="str">
        <f t="shared" si="18"/>
        <v/>
      </c>
      <c r="BF34" s="341" t="str">
        <f t="shared" si="19"/>
        <v/>
      </c>
      <c r="BG34" s="345" t="str">
        <f t="shared" si="20"/>
        <v/>
      </c>
      <c r="BH34" s="682">
        <f>SUM(BH13:BH33)</f>
        <v>0</v>
      </c>
      <c r="BI34" s="658">
        <f t="shared" ref="BI34" si="125">SUM(BI13:BI33)</f>
        <v>0</v>
      </c>
      <c r="BJ34" s="658">
        <f t="shared" ref="BJ34" si="126">SUM(BJ13:BJ33)</f>
        <v>93</v>
      </c>
      <c r="BK34" s="658">
        <f t="shared" ref="BK34" si="127">SUM(BK13:BK33)</f>
        <v>0</v>
      </c>
      <c r="BL34" s="658">
        <f t="shared" ref="BL34" si="128">SUM(BL13:BL33)</f>
        <v>0</v>
      </c>
      <c r="BM34" s="659">
        <f t="shared" ref="BM34" si="129">SUM(BM13:BM33)</f>
        <v>0</v>
      </c>
      <c r="BN34" s="354"/>
      <c r="BO34" s="355"/>
      <c r="BP34" s="354"/>
      <c r="BQ34" s="355"/>
      <c r="BR34" s="354"/>
      <c r="BS34" s="355"/>
      <c r="BT34" s="354"/>
      <c r="BU34" s="356"/>
      <c r="CC34" s="1">
        <f t="shared" si="30"/>
        <v>0</v>
      </c>
      <c r="CD34" s="1">
        <f t="shared" si="31"/>
        <v>0</v>
      </c>
      <c r="CE34" s="1">
        <f t="shared" si="32"/>
        <v>0</v>
      </c>
      <c r="CF34" s="1">
        <f t="shared" si="33"/>
        <v>0</v>
      </c>
      <c r="CG34" s="1">
        <f t="shared" si="34"/>
        <v>0</v>
      </c>
      <c r="CH34" s="1">
        <f t="shared" si="35"/>
        <v>0</v>
      </c>
    </row>
    <row r="35" spans="2:86" ht="15" customHeight="1">
      <c r="B35" s="1007" t="s">
        <v>82</v>
      </c>
      <c r="C35" s="1079" t="s">
        <v>75</v>
      </c>
      <c r="D35" s="1052">
        <f>'2020'!D35</f>
        <v>8</v>
      </c>
      <c r="E35" s="1055">
        <f>'2021'!D35</f>
        <v>9</v>
      </c>
      <c r="F35" s="1055">
        <f>'2022'!D35</f>
        <v>11</v>
      </c>
      <c r="G35" s="1055">
        <f>'2023'!D35</f>
        <v>11</v>
      </c>
      <c r="H35" s="1055"/>
      <c r="I35" s="1058"/>
      <c r="J35" s="903" t="s">
        <v>13</v>
      </c>
      <c r="K35" s="424" t="str">
        <f t="shared" ref="K35:K48" si="130">IF(R35=0,"","X")</f>
        <v>X</v>
      </c>
      <c r="L35" s="424" t="str">
        <f t="shared" ref="L35:L48" si="131">IF(S35=0,"","X")</f>
        <v>X</v>
      </c>
      <c r="M35" s="424" t="str">
        <f t="shared" ref="M35:M48" si="132">IF(T35=0,"","X")</f>
        <v>X</v>
      </c>
      <c r="N35" s="424" t="str">
        <f t="shared" ref="N35:N48" si="133">IF(U35=0,"","X")</f>
        <v/>
      </c>
      <c r="O35" s="424" t="str">
        <f t="shared" ref="O35:O48" si="134">IF(V35=0,"","X")</f>
        <v/>
      </c>
      <c r="P35" s="425" t="str">
        <f t="shared" ref="P35:P48" si="135">IF(W35=0,"","X")</f>
        <v/>
      </c>
      <c r="Q35" s="246" t="s">
        <v>60</v>
      </c>
      <c r="R35" s="649">
        <f>'2020'!G35</f>
        <v>31</v>
      </c>
      <c r="S35" s="650">
        <f>'2021'!G35</f>
        <v>76</v>
      </c>
      <c r="T35" s="650">
        <f>'2022'!G35</f>
        <v>59</v>
      </c>
      <c r="U35" s="650">
        <f>'2023'!G35</f>
        <v>0</v>
      </c>
      <c r="V35" s="650">
        <f>'2024'!G35</f>
        <v>0</v>
      </c>
      <c r="W35" s="651">
        <f>'2025'!G35</f>
        <v>0</v>
      </c>
      <c r="X35" s="680">
        <f>'2020'!H35</f>
        <v>23</v>
      </c>
      <c r="Y35" s="652">
        <f>'2021'!H35</f>
        <v>50</v>
      </c>
      <c r="Z35" s="652">
        <f>'2022'!H35</f>
        <v>21</v>
      </c>
      <c r="AA35" s="652">
        <f>'2023'!H35</f>
        <v>0</v>
      </c>
      <c r="AB35" s="652">
        <f>'2024'!H35</f>
        <v>0</v>
      </c>
      <c r="AC35" s="653">
        <f>'2025'!H35</f>
        <v>0</v>
      </c>
      <c r="AD35" s="701">
        <f t="shared" si="4"/>
        <v>0.32258064516129031</v>
      </c>
      <c r="AE35" s="702">
        <f t="shared" si="5"/>
        <v>0.22368421052631579</v>
      </c>
      <c r="AF35" s="702">
        <f t="shared" si="6"/>
        <v>0.47457627118644069</v>
      </c>
      <c r="AG35" s="702">
        <f t="shared" si="7"/>
        <v>0</v>
      </c>
      <c r="AH35" s="702">
        <f t="shared" si="8"/>
        <v>0</v>
      </c>
      <c r="AI35" s="703">
        <f t="shared" si="9"/>
        <v>0</v>
      </c>
      <c r="AJ35" s="680">
        <f>'2020'!J35</f>
        <v>10</v>
      </c>
      <c r="AK35" s="652">
        <f>'2021'!J35</f>
        <v>17</v>
      </c>
      <c r="AL35" s="652">
        <f>'2022'!J35</f>
        <v>28</v>
      </c>
      <c r="AM35" s="652">
        <f>'2023'!J35</f>
        <v>0</v>
      </c>
      <c r="AN35" s="652">
        <f>'2024'!J35</f>
        <v>0</v>
      </c>
      <c r="AO35" s="653">
        <f>'2025'!J35</f>
        <v>0</v>
      </c>
      <c r="AP35" s="701">
        <f t="shared" si="28"/>
        <v>0.32258064516129031</v>
      </c>
      <c r="AQ35" s="702">
        <f t="shared" si="11"/>
        <v>0.36842105263157893</v>
      </c>
      <c r="AR35" s="702">
        <f t="shared" si="12"/>
        <v>0.33898305084745761</v>
      </c>
      <c r="AS35" s="702" t="str">
        <f t="shared" si="13"/>
        <v/>
      </c>
      <c r="AT35" s="702" t="str">
        <f t="shared" si="14"/>
        <v/>
      </c>
      <c r="AU35" s="703" t="str">
        <f t="shared" si="15"/>
        <v/>
      </c>
      <c r="AV35" s="680">
        <f>'2020'!L35</f>
        <v>10</v>
      </c>
      <c r="AW35" s="652">
        <f>'2021'!L35</f>
        <v>28</v>
      </c>
      <c r="AX35" s="652">
        <f>'2022'!L35</f>
        <v>20</v>
      </c>
      <c r="AY35" s="652">
        <f>'2023'!L35</f>
        <v>0</v>
      </c>
      <c r="AZ35" s="652">
        <f>'2024'!L35</f>
        <v>0</v>
      </c>
      <c r="BA35" s="653">
        <f>'2025'!L35</f>
        <v>0</v>
      </c>
      <c r="BB35" s="440" t="str">
        <f t="shared" si="29"/>
        <v/>
      </c>
      <c r="BC35" s="441" t="str">
        <f t="shared" si="16"/>
        <v/>
      </c>
      <c r="BD35" s="441">
        <f t="shared" si="17"/>
        <v>0</v>
      </c>
      <c r="BE35" s="441" t="str">
        <f t="shared" si="18"/>
        <v/>
      </c>
      <c r="BF35" s="441" t="str">
        <f t="shared" si="19"/>
        <v/>
      </c>
      <c r="BG35" s="442" t="str">
        <f t="shared" si="20"/>
        <v/>
      </c>
      <c r="BH35" s="972" t="str">
        <f>'2020'!N35</f>
        <v>-</v>
      </c>
      <c r="BI35" s="973" t="str">
        <f>'2021'!N35</f>
        <v>-</v>
      </c>
      <c r="BJ35" s="973">
        <f>'2022'!N35</f>
        <v>0</v>
      </c>
      <c r="BK35" s="973">
        <f>'2023'!N35</f>
        <v>0</v>
      </c>
      <c r="BL35" s="973">
        <f>'2024'!N35</f>
        <v>0</v>
      </c>
      <c r="BM35" s="974">
        <f>'2025'!N35</f>
        <v>0</v>
      </c>
      <c r="BN35" s="443" t="s">
        <v>21</v>
      </c>
      <c r="BO35" s="444" t="s">
        <v>21</v>
      </c>
      <c r="BP35" s="443" t="s">
        <v>21</v>
      </c>
      <c r="BQ35" s="444" t="s">
        <v>21</v>
      </c>
      <c r="BR35" s="445" t="s">
        <v>21</v>
      </c>
      <c r="BS35" s="446" t="s">
        <v>21</v>
      </c>
      <c r="BT35" s="445" t="s">
        <v>21</v>
      </c>
      <c r="BU35" s="447" t="s">
        <v>21</v>
      </c>
      <c r="CC35" s="1" t="str">
        <f t="shared" si="30"/>
        <v>France</v>
      </c>
      <c r="CD35" s="1" t="str">
        <f t="shared" si="31"/>
        <v>France</v>
      </c>
      <c r="CE35" s="1" t="str">
        <f t="shared" si="32"/>
        <v>France</v>
      </c>
      <c r="CF35" s="1" t="str">
        <f t="shared" si="33"/>
        <v/>
      </c>
      <c r="CG35" s="1" t="str">
        <f t="shared" si="34"/>
        <v/>
      </c>
      <c r="CH35" s="1" t="str">
        <f t="shared" si="35"/>
        <v/>
      </c>
    </row>
    <row r="36" spans="2:86" ht="15" customHeight="1">
      <c r="B36" s="1007"/>
      <c r="C36" s="1079"/>
      <c r="D36" s="1053"/>
      <c r="E36" s="1056"/>
      <c r="F36" s="1056"/>
      <c r="G36" s="1056"/>
      <c r="H36" s="1056"/>
      <c r="I36" s="1059"/>
      <c r="J36" s="905" t="s">
        <v>14</v>
      </c>
      <c r="K36" s="426" t="str">
        <f t="shared" si="130"/>
        <v>X</v>
      </c>
      <c r="L36" s="426" t="str">
        <f t="shared" si="131"/>
        <v>X</v>
      </c>
      <c r="M36" s="426" t="str">
        <f t="shared" si="132"/>
        <v>X</v>
      </c>
      <c r="N36" s="426" t="str">
        <f t="shared" si="133"/>
        <v/>
      </c>
      <c r="O36" s="426" t="str">
        <f t="shared" si="134"/>
        <v/>
      </c>
      <c r="P36" s="427" t="str">
        <f t="shared" si="135"/>
        <v/>
      </c>
      <c r="Q36" s="251" t="s">
        <v>60</v>
      </c>
      <c r="R36" s="640">
        <f>'2020'!G36</f>
        <v>25</v>
      </c>
      <c r="S36" s="641">
        <f>'2021'!G36</f>
        <v>45</v>
      </c>
      <c r="T36" s="641">
        <f>'2022'!G36</f>
        <v>32</v>
      </c>
      <c r="U36" s="641">
        <f>'2023'!G36</f>
        <v>0</v>
      </c>
      <c r="V36" s="641">
        <f>'2024'!G36</f>
        <v>0</v>
      </c>
      <c r="W36" s="642">
        <f>'2025'!G36</f>
        <v>0</v>
      </c>
      <c r="X36" s="681">
        <f>'2020'!H36</f>
        <v>13</v>
      </c>
      <c r="Y36" s="655">
        <f>'2021'!H36</f>
        <v>27</v>
      </c>
      <c r="Z36" s="655">
        <f>'2022'!H36</f>
        <v>16</v>
      </c>
      <c r="AA36" s="655">
        <f>'2023'!H36</f>
        <v>0</v>
      </c>
      <c r="AB36" s="655">
        <f>'2024'!H36</f>
        <v>0</v>
      </c>
      <c r="AC36" s="656">
        <f>'2025'!H36</f>
        <v>0</v>
      </c>
      <c r="AD36" s="704">
        <f t="shared" si="4"/>
        <v>0.48</v>
      </c>
      <c r="AE36" s="705">
        <f t="shared" si="5"/>
        <v>0.46666666666666667</v>
      </c>
      <c r="AF36" s="705">
        <f t="shared" si="6"/>
        <v>0.34375</v>
      </c>
      <c r="AG36" s="705">
        <f t="shared" si="7"/>
        <v>0</v>
      </c>
      <c r="AH36" s="705">
        <f t="shared" si="8"/>
        <v>0</v>
      </c>
      <c r="AI36" s="706">
        <f t="shared" si="9"/>
        <v>0</v>
      </c>
      <c r="AJ36" s="681">
        <f>'2020'!J36</f>
        <v>12</v>
      </c>
      <c r="AK36" s="655">
        <f>'2021'!J36</f>
        <v>21</v>
      </c>
      <c r="AL36" s="655">
        <f>'2022'!J36</f>
        <v>11</v>
      </c>
      <c r="AM36" s="655">
        <f>'2023'!J36</f>
        <v>0</v>
      </c>
      <c r="AN36" s="655">
        <f>'2024'!J36</f>
        <v>0</v>
      </c>
      <c r="AO36" s="656">
        <f>'2025'!J36</f>
        <v>0</v>
      </c>
      <c r="AP36" s="704">
        <f t="shared" si="28"/>
        <v>0.36</v>
      </c>
      <c r="AQ36" s="705">
        <f t="shared" si="11"/>
        <v>0.31111111111111112</v>
      </c>
      <c r="AR36" s="705">
        <f t="shared" si="12"/>
        <v>0.1875</v>
      </c>
      <c r="AS36" s="705" t="str">
        <f t="shared" si="13"/>
        <v/>
      </c>
      <c r="AT36" s="705" t="str">
        <f t="shared" si="14"/>
        <v/>
      </c>
      <c r="AU36" s="706" t="str">
        <f t="shared" si="15"/>
        <v/>
      </c>
      <c r="AV36" s="681">
        <f>'2020'!L36</f>
        <v>9</v>
      </c>
      <c r="AW36" s="655">
        <f>'2021'!L36</f>
        <v>14</v>
      </c>
      <c r="AX36" s="655">
        <f>'2022'!L36</f>
        <v>6</v>
      </c>
      <c r="AY36" s="655">
        <f>'2023'!L36</f>
        <v>0</v>
      </c>
      <c r="AZ36" s="655">
        <f>'2024'!L36</f>
        <v>0</v>
      </c>
      <c r="BA36" s="656">
        <f>'2025'!L36</f>
        <v>0</v>
      </c>
      <c r="BB36" s="449" t="str">
        <f t="shared" si="29"/>
        <v/>
      </c>
      <c r="BC36" s="450" t="str">
        <f t="shared" si="16"/>
        <v/>
      </c>
      <c r="BD36" s="450">
        <f t="shared" si="17"/>
        <v>0</v>
      </c>
      <c r="BE36" s="450" t="str">
        <f t="shared" si="18"/>
        <v/>
      </c>
      <c r="BF36" s="450" t="str">
        <f t="shared" si="19"/>
        <v/>
      </c>
      <c r="BG36" s="451" t="str">
        <f t="shared" si="20"/>
        <v/>
      </c>
      <c r="BH36" s="966" t="str">
        <f>'2020'!N36</f>
        <v>-</v>
      </c>
      <c r="BI36" s="967" t="str">
        <f>'2021'!N36</f>
        <v>-</v>
      </c>
      <c r="BJ36" s="967">
        <f>'2022'!N36</f>
        <v>0</v>
      </c>
      <c r="BK36" s="967">
        <f>'2023'!N36</f>
        <v>0</v>
      </c>
      <c r="BL36" s="967">
        <f>'2024'!N36</f>
        <v>0</v>
      </c>
      <c r="BM36" s="968">
        <f>'2025'!N36</f>
        <v>0</v>
      </c>
      <c r="BN36" s="452" t="s">
        <v>21</v>
      </c>
      <c r="BO36" s="453" t="s">
        <v>21</v>
      </c>
      <c r="BP36" s="452" t="s">
        <v>21</v>
      </c>
      <c r="BQ36" s="453" t="s">
        <v>21</v>
      </c>
      <c r="BR36" s="454" t="s">
        <v>21</v>
      </c>
      <c r="BS36" s="455" t="s">
        <v>21</v>
      </c>
      <c r="BT36" s="454" t="s">
        <v>21</v>
      </c>
      <c r="BU36" s="456" t="s">
        <v>21</v>
      </c>
      <c r="CC36" s="1" t="str">
        <f t="shared" si="30"/>
        <v>France</v>
      </c>
      <c r="CD36" s="1" t="str">
        <f t="shared" si="31"/>
        <v>France</v>
      </c>
      <c r="CE36" s="1" t="str">
        <f t="shared" si="32"/>
        <v>France</v>
      </c>
      <c r="CF36" s="1" t="str">
        <f t="shared" si="33"/>
        <v/>
      </c>
      <c r="CG36" s="1" t="str">
        <f t="shared" si="34"/>
        <v/>
      </c>
      <c r="CH36" s="1" t="str">
        <f t="shared" si="35"/>
        <v/>
      </c>
    </row>
    <row r="37" spans="2:86" ht="15" customHeight="1">
      <c r="B37" s="1007"/>
      <c r="C37" s="1079"/>
      <c r="D37" s="1053"/>
      <c r="E37" s="1056"/>
      <c r="F37" s="1056"/>
      <c r="G37" s="1056"/>
      <c r="H37" s="1056"/>
      <c r="I37" s="1059"/>
      <c r="J37" s="905" t="s">
        <v>15</v>
      </c>
      <c r="K37" s="426" t="str">
        <f t="shared" si="130"/>
        <v>X</v>
      </c>
      <c r="L37" s="426" t="str">
        <f t="shared" si="131"/>
        <v>X</v>
      </c>
      <c r="M37" s="426" t="str">
        <f t="shared" si="132"/>
        <v>X</v>
      </c>
      <c r="N37" s="426" t="str">
        <f t="shared" si="133"/>
        <v/>
      </c>
      <c r="O37" s="426" t="str">
        <f t="shared" si="134"/>
        <v/>
      </c>
      <c r="P37" s="427" t="str">
        <f t="shared" si="135"/>
        <v/>
      </c>
      <c r="Q37" s="251" t="s">
        <v>60</v>
      </c>
      <c r="R37" s="640">
        <f>'2020'!G37</f>
        <v>18</v>
      </c>
      <c r="S37" s="641">
        <f>'2021'!G37</f>
        <v>16</v>
      </c>
      <c r="T37" s="641">
        <f>'2022'!G37</f>
        <v>21</v>
      </c>
      <c r="U37" s="641">
        <f>'2023'!G37</f>
        <v>0</v>
      </c>
      <c r="V37" s="641">
        <f>'2024'!G37</f>
        <v>0</v>
      </c>
      <c r="W37" s="642">
        <f>'2025'!G37</f>
        <v>0</v>
      </c>
      <c r="X37" s="681">
        <f>'2020'!H37</f>
        <v>10</v>
      </c>
      <c r="Y37" s="655">
        <f>'2021'!H37</f>
        <v>10</v>
      </c>
      <c r="Z37" s="655">
        <f>'2022'!H37</f>
        <v>8</v>
      </c>
      <c r="AA37" s="655">
        <f>'2023'!H37</f>
        <v>0</v>
      </c>
      <c r="AB37" s="655">
        <f>'2024'!H37</f>
        <v>0</v>
      </c>
      <c r="AC37" s="656">
        <f>'2025'!H37</f>
        <v>0</v>
      </c>
      <c r="AD37" s="704">
        <f t="shared" si="4"/>
        <v>0.5</v>
      </c>
      <c r="AE37" s="705">
        <f t="shared" si="5"/>
        <v>0.3125</v>
      </c>
      <c r="AF37" s="705">
        <f t="shared" si="6"/>
        <v>0.19047619047619047</v>
      </c>
      <c r="AG37" s="705">
        <f t="shared" si="7"/>
        <v>0</v>
      </c>
      <c r="AH37" s="705">
        <f t="shared" si="8"/>
        <v>0</v>
      </c>
      <c r="AI37" s="706">
        <f t="shared" si="9"/>
        <v>0</v>
      </c>
      <c r="AJ37" s="681">
        <f>'2020'!J37</f>
        <v>9</v>
      </c>
      <c r="AK37" s="655">
        <f>'2021'!J37</f>
        <v>5</v>
      </c>
      <c r="AL37" s="655">
        <f>'2022'!J37</f>
        <v>4</v>
      </c>
      <c r="AM37" s="655">
        <f>'2023'!J37</f>
        <v>0</v>
      </c>
      <c r="AN37" s="655">
        <f>'2024'!J37</f>
        <v>0</v>
      </c>
      <c r="AO37" s="656">
        <f>'2025'!J37</f>
        <v>0</v>
      </c>
      <c r="AP37" s="704">
        <f t="shared" si="28"/>
        <v>0.16666666666666666</v>
      </c>
      <c r="AQ37" s="705">
        <f t="shared" si="11"/>
        <v>0.1875</v>
      </c>
      <c r="AR37" s="705">
        <f t="shared" si="12"/>
        <v>0.23809523809523808</v>
      </c>
      <c r="AS37" s="705" t="str">
        <f t="shared" si="13"/>
        <v/>
      </c>
      <c r="AT37" s="705" t="str">
        <f t="shared" si="14"/>
        <v/>
      </c>
      <c r="AU37" s="706" t="str">
        <f t="shared" si="15"/>
        <v/>
      </c>
      <c r="AV37" s="681">
        <f>'2020'!L37</f>
        <v>3</v>
      </c>
      <c r="AW37" s="655">
        <f>'2021'!L37</f>
        <v>3</v>
      </c>
      <c r="AX37" s="655">
        <f>'2022'!L37</f>
        <v>5</v>
      </c>
      <c r="AY37" s="655">
        <f>'2023'!L37</f>
        <v>0</v>
      </c>
      <c r="AZ37" s="655">
        <f>'2024'!L37</f>
        <v>0</v>
      </c>
      <c r="BA37" s="656">
        <f>'2025'!L37</f>
        <v>0</v>
      </c>
      <c r="BB37" s="449" t="str">
        <f t="shared" si="29"/>
        <v/>
      </c>
      <c r="BC37" s="450" t="str">
        <f t="shared" si="16"/>
        <v/>
      </c>
      <c r="BD37" s="450">
        <f t="shared" si="17"/>
        <v>0</v>
      </c>
      <c r="BE37" s="450" t="str">
        <f t="shared" si="18"/>
        <v/>
      </c>
      <c r="BF37" s="450" t="str">
        <f t="shared" si="19"/>
        <v/>
      </c>
      <c r="BG37" s="451" t="str">
        <f t="shared" si="20"/>
        <v/>
      </c>
      <c r="BH37" s="966" t="str">
        <f>'2020'!N37</f>
        <v>-</v>
      </c>
      <c r="BI37" s="967" t="str">
        <f>'2021'!N37</f>
        <v>-</v>
      </c>
      <c r="BJ37" s="967">
        <f>'2022'!N37</f>
        <v>0</v>
      </c>
      <c r="BK37" s="967">
        <f>'2023'!N37</f>
        <v>0</v>
      </c>
      <c r="BL37" s="967">
        <f>'2024'!N37</f>
        <v>0</v>
      </c>
      <c r="BM37" s="968">
        <f>'2025'!N37</f>
        <v>0</v>
      </c>
      <c r="BN37" s="452" t="s">
        <v>21</v>
      </c>
      <c r="BO37" s="453" t="s">
        <v>21</v>
      </c>
      <c r="BP37" s="452" t="s">
        <v>21</v>
      </c>
      <c r="BQ37" s="453" t="s">
        <v>21</v>
      </c>
      <c r="BR37" s="454" t="s">
        <v>21</v>
      </c>
      <c r="BS37" s="455" t="s">
        <v>21</v>
      </c>
      <c r="BT37" s="454" t="s">
        <v>21</v>
      </c>
      <c r="BU37" s="456" t="s">
        <v>21</v>
      </c>
      <c r="CC37" s="1" t="str">
        <f t="shared" si="30"/>
        <v>France</v>
      </c>
      <c r="CD37" s="1" t="str">
        <f t="shared" si="31"/>
        <v>France</v>
      </c>
      <c r="CE37" s="1" t="str">
        <f t="shared" si="32"/>
        <v>France</v>
      </c>
      <c r="CF37" s="1" t="str">
        <f t="shared" si="33"/>
        <v/>
      </c>
      <c r="CG37" s="1" t="str">
        <f t="shared" si="34"/>
        <v/>
      </c>
      <c r="CH37" s="1" t="str">
        <f t="shared" si="35"/>
        <v/>
      </c>
    </row>
    <row r="38" spans="2:86" ht="15" customHeight="1">
      <c r="B38" s="1007"/>
      <c r="C38" s="1079"/>
      <c r="D38" s="1053"/>
      <c r="E38" s="1056"/>
      <c r="F38" s="1056"/>
      <c r="G38" s="1056"/>
      <c r="H38" s="1056"/>
      <c r="I38" s="1059"/>
      <c r="J38" s="905" t="s">
        <v>141</v>
      </c>
      <c r="K38" s="426" t="str">
        <f t="shared" si="130"/>
        <v/>
      </c>
      <c r="L38" s="426" t="str">
        <f t="shared" si="131"/>
        <v>X</v>
      </c>
      <c r="M38" s="426" t="str">
        <f t="shared" si="132"/>
        <v>X</v>
      </c>
      <c r="N38" s="426" t="str">
        <f t="shared" si="133"/>
        <v/>
      </c>
      <c r="O38" s="426" t="str">
        <f t="shared" si="134"/>
        <v/>
      </c>
      <c r="P38" s="427" t="str">
        <f t="shared" si="135"/>
        <v/>
      </c>
      <c r="Q38" s="251" t="s">
        <v>60</v>
      </c>
      <c r="R38" s="654">
        <f>'2020'!G38</f>
        <v>0</v>
      </c>
      <c r="S38" s="655">
        <f>'2021'!G38</f>
        <v>56</v>
      </c>
      <c r="T38" s="655">
        <f>'2022'!G38</f>
        <v>55</v>
      </c>
      <c r="U38" s="655">
        <f>'2023'!G38</f>
        <v>0</v>
      </c>
      <c r="V38" s="655">
        <f>'2024'!G38</f>
        <v>0</v>
      </c>
      <c r="W38" s="656">
        <f>'2025'!G38</f>
        <v>0</v>
      </c>
      <c r="X38" s="681">
        <f>'2020'!H38</f>
        <v>0</v>
      </c>
      <c r="Y38" s="655">
        <f>'2021'!H38</f>
        <v>36</v>
      </c>
      <c r="Z38" s="655">
        <f>'2022'!H38</f>
        <v>21</v>
      </c>
      <c r="AA38" s="655">
        <f>'2023'!H38</f>
        <v>0</v>
      </c>
      <c r="AB38" s="655">
        <f>'2024'!H38</f>
        <v>0</v>
      </c>
      <c r="AC38" s="656">
        <f>'2025'!H38</f>
        <v>0</v>
      </c>
      <c r="AD38" s="704">
        <f t="shared" si="4"/>
        <v>0</v>
      </c>
      <c r="AE38" s="705">
        <f t="shared" si="5"/>
        <v>0.21428571428571427</v>
      </c>
      <c r="AF38" s="705">
        <f t="shared" si="6"/>
        <v>0.32727272727272727</v>
      </c>
      <c r="AG38" s="705">
        <f t="shared" si="7"/>
        <v>0</v>
      </c>
      <c r="AH38" s="705">
        <f t="shared" si="8"/>
        <v>0</v>
      </c>
      <c r="AI38" s="706">
        <f t="shared" si="9"/>
        <v>0</v>
      </c>
      <c r="AJ38" s="681">
        <f>'2020'!J38</f>
        <v>0</v>
      </c>
      <c r="AK38" s="655">
        <f>'2021'!J38</f>
        <v>12</v>
      </c>
      <c r="AL38" s="655">
        <f>'2022'!J38</f>
        <v>18</v>
      </c>
      <c r="AM38" s="655">
        <f>'2023'!J38</f>
        <v>0</v>
      </c>
      <c r="AN38" s="655">
        <f>'2024'!J38</f>
        <v>0</v>
      </c>
      <c r="AO38" s="656">
        <f>'2025'!J38</f>
        <v>0</v>
      </c>
      <c r="AP38" s="704" t="str">
        <f t="shared" si="28"/>
        <v/>
      </c>
      <c r="AQ38" s="705">
        <f t="shared" si="11"/>
        <v>0.17857142857142858</v>
      </c>
      <c r="AR38" s="705">
        <f t="shared" si="12"/>
        <v>0.32727272727272727</v>
      </c>
      <c r="AS38" s="705" t="str">
        <f t="shared" si="13"/>
        <v/>
      </c>
      <c r="AT38" s="705" t="str">
        <f t="shared" si="14"/>
        <v/>
      </c>
      <c r="AU38" s="706" t="str">
        <f t="shared" si="15"/>
        <v/>
      </c>
      <c r="AV38" s="681">
        <f>'2020'!L38</f>
        <v>0</v>
      </c>
      <c r="AW38" s="655">
        <f>'2021'!L38</f>
        <v>10</v>
      </c>
      <c r="AX38" s="655">
        <f>'2022'!L38</f>
        <v>18</v>
      </c>
      <c r="AY38" s="655">
        <f>'2023'!L38</f>
        <v>0</v>
      </c>
      <c r="AZ38" s="655">
        <f>'2024'!L38</f>
        <v>0</v>
      </c>
      <c r="BA38" s="656">
        <f>'2025'!L38</f>
        <v>0</v>
      </c>
      <c r="BB38" s="449" t="str">
        <f t="shared" si="29"/>
        <v/>
      </c>
      <c r="BC38" s="450" t="str">
        <f t="shared" si="16"/>
        <v/>
      </c>
      <c r="BD38" s="450">
        <f t="shared" si="17"/>
        <v>0</v>
      </c>
      <c r="BE38" s="450" t="str">
        <f t="shared" si="18"/>
        <v/>
      </c>
      <c r="BF38" s="450" t="str">
        <f t="shared" si="19"/>
        <v/>
      </c>
      <c r="BG38" s="451" t="str">
        <f t="shared" si="20"/>
        <v/>
      </c>
      <c r="BH38" s="966" t="str">
        <f>'2020'!N38</f>
        <v>-</v>
      </c>
      <c r="BI38" s="967" t="str">
        <f>'2021'!N38</f>
        <v>-</v>
      </c>
      <c r="BJ38" s="967">
        <f>'2022'!N38</f>
        <v>0</v>
      </c>
      <c r="BK38" s="967">
        <f>'2023'!N38</f>
        <v>0</v>
      </c>
      <c r="BL38" s="967">
        <f>'2024'!N38</f>
        <v>0</v>
      </c>
      <c r="BM38" s="968">
        <f>'2025'!N38</f>
        <v>0</v>
      </c>
      <c r="BN38" s="452" t="s">
        <v>21</v>
      </c>
      <c r="BO38" s="453" t="s">
        <v>21</v>
      </c>
      <c r="BP38" s="452" t="s">
        <v>21</v>
      </c>
      <c r="BQ38" s="453" t="s">
        <v>21</v>
      </c>
      <c r="BR38" s="454" t="s">
        <v>21</v>
      </c>
      <c r="BS38" s="455" t="s">
        <v>21</v>
      </c>
      <c r="BT38" s="454" t="s">
        <v>21</v>
      </c>
      <c r="BU38" s="456" t="s">
        <v>21</v>
      </c>
      <c r="CC38" s="1" t="str">
        <f t="shared" si="30"/>
        <v/>
      </c>
      <c r="CD38" s="1" t="str">
        <f t="shared" si="31"/>
        <v>France</v>
      </c>
      <c r="CE38" s="1" t="str">
        <f t="shared" si="32"/>
        <v>France</v>
      </c>
      <c r="CF38" s="1" t="str">
        <f t="shared" si="33"/>
        <v/>
      </c>
      <c r="CG38" s="1" t="str">
        <f t="shared" si="34"/>
        <v/>
      </c>
      <c r="CH38" s="1" t="str">
        <f t="shared" si="35"/>
        <v/>
      </c>
    </row>
    <row r="39" spans="2:86" ht="15" customHeight="1">
      <c r="B39" s="1007"/>
      <c r="C39" s="1079"/>
      <c r="D39" s="1053"/>
      <c r="E39" s="1056"/>
      <c r="F39" s="1056"/>
      <c r="G39" s="1056"/>
      <c r="H39" s="1056"/>
      <c r="I39" s="1059"/>
      <c r="J39" s="905" t="s">
        <v>16</v>
      </c>
      <c r="K39" s="426" t="str">
        <f t="shared" si="130"/>
        <v>X</v>
      </c>
      <c r="L39" s="426" t="str">
        <f t="shared" si="131"/>
        <v>X</v>
      </c>
      <c r="M39" s="426" t="str">
        <f t="shared" si="132"/>
        <v>X</v>
      </c>
      <c r="N39" s="426" t="str">
        <f t="shared" si="133"/>
        <v/>
      </c>
      <c r="O39" s="426" t="str">
        <f t="shared" si="134"/>
        <v/>
      </c>
      <c r="P39" s="427" t="str">
        <f t="shared" si="135"/>
        <v/>
      </c>
      <c r="Q39" s="251" t="s">
        <v>60</v>
      </c>
      <c r="R39" s="654">
        <f>'2020'!G39</f>
        <v>14</v>
      </c>
      <c r="S39" s="655">
        <f>'2021'!G39</f>
        <v>13</v>
      </c>
      <c r="T39" s="655">
        <f>'2022'!G39</f>
        <v>6</v>
      </c>
      <c r="U39" s="655">
        <f>'2023'!G39</f>
        <v>0</v>
      </c>
      <c r="V39" s="655">
        <f>'2024'!G39</f>
        <v>0</v>
      </c>
      <c r="W39" s="656">
        <f>'2025'!G39</f>
        <v>0</v>
      </c>
      <c r="X39" s="681">
        <f>'2020'!H39</f>
        <v>9</v>
      </c>
      <c r="Y39" s="655">
        <f>'2021'!H39</f>
        <v>8</v>
      </c>
      <c r="Z39" s="655">
        <f>'2022'!H39</f>
        <v>2</v>
      </c>
      <c r="AA39" s="655">
        <f>'2023'!H39</f>
        <v>0</v>
      </c>
      <c r="AB39" s="655">
        <f>'2024'!H39</f>
        <v>0</v>
      </c>
      <c r="AC39" s="656">
        <f>'2025'!H39</f>
        <v>0</v>
      </c>
      <c r="AD39" s="704">
        <f t="shared" si="4"/>
        <v>7.1428571428571425E-2</v>
      </c>
      <c r="AE39" s="705">
        <f t="shared" si="5"/>
        <v>0.53846153846153844</v>
      </c>
      <c r="AF39" s="705">
        <f t="shared" si="6"/>
        <v>0.33333333333333331</v>
      </c>
      <c r="AG39" s="705">
        <f t="shared" si="7"/>
        <v>0</v>
      </c>
      <c r="AH39" s="705">
        <f t="shared" si="8"/>
        <v>0</v>
      </c>
      <c r="AI39" s="706">
        <f t="shared" si="9"/>
        <v>0</v>
      </c>
      <c r="AJ39" s="681">
        <f>'2020'!J39</f>
        <v>1</v>
      </c>
      <c r="AK39" s="655">
        <f>'2021'!J39</f>
        <v>7</v>
      </c>
      <c r="AL39" s="655">
        <f>'2022'!J39</f>
        <v>2</v>
      </c>
      <c r="AM39" s="655">
        <f>'2023'!J39</f>
        <v>0</v>
      </c>
      <c r="AN39" s="655">
        <f>'2024'!J39</f>
        <v>0</v>
      </c>
      <c r="AO39" s="656">
        <f>'2025'!J39</f>
        <v>0</v>
      </c>
      <c r="AP39" s="704">
        <f t="shared" si="28"/>
        <v>7.1428571428571425E-2</v>
      </c>
      <c r="AQ39" s="705">
        <f t="shared" si="11"/>
        <v>0.46153846153846156</v>
      </c>
      <c r="AR39" s="705">
        <f t="shared" si="12"/>
        <v>0.16666666666666666</v>
      </c>
      <c r="AS39" s="705" t="str">
        <f t="shared" si="13"/>
        <v/>
      </c>
      <c r="AT39" s="705" t="str">
        <f t="shared" si="14"/>
        <v/>
      </c>
      <c r="AU39" s="706" t="str">
        <f t="shared" si="15"/>
        <v/>
      </c>
      <c r="AV39" s="681">
        <f>'2020'!L39</f>
        <v>1</v>
      </c>
      <c r="AW39" s="655">
        <f>'2021'!L39</f>
        <v>6</v>
      </c>
      <c r="AX39" s="655">
        <f>'2022'!L39</f>
        <v>1</v>
      </c>
      <c r="AY39" s="655">
        <f>'2023'!L39</f>
        <v>0</v>
      </c>
      <c r="AZ39" s="655">
        <f>'2024'!L39</f>
        <v>0</v>
      </c>
      <c r="BA39" s="656">
        <f>'2025'!L39</f>
        <v>0</v>
      </c>
      <c r="BB39" s="449" t="str">
        <f t="shared" si="29"/>
        <v/>
      </c>
      <c r="BC39" s="450" t="str">
        <f t="shared" si="16"/>
        <v/>
      </c>
      <c r="BD39" s="450">
        <f t="shared" si="17"/>
        <v>0</v>
      </c>
      <c r="BE39" s="450" t="str">
        <f t="shared" si="18"/>
        <v/>
      </c>
      <c r="BF39" s="450" t="str">
        <f t="shared" si="19"/>
        <v/>
      </c>
      <c r="BG39" s="451" t="str">
        <f t="shared" si="20"/>
        <v/>
      </c>
      <c r="BH39" s="966" t="str">
        <f>'2020'!N39</f>
        <v>-</v>
      </c>
      <c r="BI39" s="967" t="str">
        <f>'2021'!N39</f>
        <v>-</v>
      </c>
      <c r="BJ39" s="967">
        <f>'2022'!N39</f>
        <v>0</v>
      </c>
      <c r="BK39" s="967">
        <f>'2023'!N39</f>
        <v>0</v>
      </c>
      <c r="BL39" s="967">
        <f>'2024'!N39</f>
        <v>0</v>
      </c>
      <c r="BM39" s="968">
        <f>'2025'!N39</f>
        <v>0</v>
      </c>
      <c r="BN39" s="452" t="s">
        <v>21</v>
      </c>
      <c r="BO39" s="453" t="s">
        <v>21</v>
      </c>
      <c r="BP39" s="452" t="s">
        <v>21</v>
      </c>
      <c r="BQ39" s="453" t="s">
        <v>21</v>
      </c>
      <c r="BR39" s="454" t="s">
        <v>21</v>
      </c>
      <c r="BS39" s="455" t="s">
        <v>21</v>
      </c>
      <c r="BT39" s="454" t="s">
        <v>21</v>
      </c>
      <c r="BU39" s="456" t="s">
        <v>21</v>
      </c>
      <c r="CC39" s="1" t="str">
        <f t="shared" si="30"/>
        <v>France</v>
      </c>
      <c r="CD39" s="1" t="str">
        <f t="shared" si="31"/>
        <v>France</v>
      </c>
      <c r="CE39" s="1" t="str">
        <f t="shared" si="32"/>
        <v>France</v>
      </c>
      <c r="CF39" s="1" t="str">
        <f t="shared" si="33"/>
        <v/>
      </c>
      <c r="CG39" s="1" t="str">
        <f t="shared" si="34"/>
        <v/>
      </c>
      <c r="CH39" s="1" t="str">
        <f t="shared" si="35"/>
        <v/>
      </c>
    </row>
    <row r="40" spans="2:86" ht="15" customHeight="1">
      <c r="B40" s="1007"/>
      <c r="C40" s="1079"/>
      <c r="D40" s="1053"/>
      <c r="E40" s="1056"/>
      <c r="F40" s="1056"/>
      <c r="G40" s="1056"/>
      <c r="H40" s="1056"/>
      <c r="I40" s="1059"/>
      <c r="J40" s="905" t="s">
        <v>17</v>
      </c>
      <c r="K40" s="426" t="str">
        <f t="shared" si="130"/>
        <v>X</v>
      </c>
      <c r="L40" s="426" t="str">
        <f t="shared" si="131"/>
        <v>X</v>
      </c>
      <c r="M40" s="426" t="str">
        <f t="shared" si="132"/>
        <v>X</v>
      </c>
      <c r="N40" s="426" t="str">
        <f t="shared" si="133"/>
        <v/>
      </c>
      <c r="O40" s="426" t="str">
        <f t="shared" si="134"/>
        <v/>
      </c>
      <c r="P40" s="427" t="str">
        <f t="shared" si="135"/>
        <v/>
      </c>
      <c r="Q40" s="251" t="s">
        <v>60</v>
      </c>
      <c r="R40" s="654">
        <f>'2020'!G40</f>
        <v>24</v>
      </c>
      <c r="S40" s="655">
        <f>'2021'!G40</f>
        <v>24</v>
      </c>
      <c r="T40" s="655">
        <f>'2022'!G40</f>
        <v>20</v>
      </c>
      <c r="U40" s="655">
        <f>'2023'!G40</f>
        <v>0</v>
      </c>
      <c r="V40" s="655">
        <f>'2024'!G40</f>
        <v>0</v>
      </c>
      <c r="W40" s="656">
        <f>'2025'!G40</f>
        <v>0</v>
      </c>
      <c r="X40" s="681">
        <f>'2020'!H40</f>
        <v>16</v>
      </c>
      <c r="Y40" s="655">
        <f>'2021'!H40</f>
        <v>20</v>
      </c>
      <c r="Z40" s="655">
        <f>'2022'!H40</f>
        <v>6</v>
      </c>
      <c r="AA40" s="655">
        <f>'2023'!H40</f>
        <v>0</v>
      </c>
      <c r="AB40" s="655">
        <f>'2024'!H40</f>
        <v>0</v>
      </c>
      <c r="AC40" s="656">
        <f>'2025'!H40</f>
        <v>0</v>
      </c>
      <c r="AD40" s="704">
        <f t="shared" si="4"/>
        <v>4.1666666666666664E-2</v>
      </c>
      <c r="AE40" s="705">
        <f t="shared" si="5"/>
        <v>0.29166666666666669</v>
      </c>
      <c r="AF40" s="705">
        <f t="shared" si="6"/>
        <v>0.25</v>
      </c>
      <c r="AG40" s="705">
        <f t="shared" si="7"/>
        <v>0</v>
      </c>
      <c r="AH40" s="705">
        <f t="shared" si="8"/>
        <v>0</v>
      </c>
      <c r="AI40" s="706">
        <f t="shared" si="9"/>
        <v>0</v>
      </c>
      <c r="AJ40" s="681">
        <f>'2020'!J40</f>
        <v>1</v>
      </c>
      <c r="AK40" s="655">
        <f>'2021'!J40</f>
        <v>7</v>
      </c>
      <c r="AL40" s="655">
        <f>'2022'!J40</f>
        <v>5</v>
      </c>
      <c r="AM40" s="655">
        <f>'2023'!J40</f>
        <v>0</v>
      </c>
      <c r="AN40" s="655">
        <f>'2024'!J40</f>
        <v>0</v>
      </c>
      <c r="AO40" s="656">
        <f>'2025'!J40</f>
        <v>0</v>
      </c>
      <c r="AP40" s="704">
        <f t="shared" si="28"/>
        <v>0.20833333333333334</v>
      </c>
      <c r="AQ40" s="705">
        <f t="shared" si="11"/>
        <v>0.29166666666666669</v>
      </c>
      <c r="AR40" s="705">
        <f t="shared" si="12"/>
        <v>0.2</v>
      </c>
      <c r="AS40" s="705" t="str">
        <f t="shared" si="13"/>
        <v/>
      </c>
      <c r="AT40" s="705" t="str">
        <f t="shared" si="14"/>
        <v/>
      </c>
      <c r="AU40" s="706" t="str">
        <f t="shared" si="15"/>
        <v/>
      </c>
      <c r="AV40" s="681">
        <f>'2020'!L40</f>
        <v>5</v>
      </c>
      <c r="AW40" s="655">
        <f>'2021'!L40</f>
        <v>7</v>
      </c>
      <c r="AX40" s="655">
        <f>'2022'!L40</f>
        <v>4</v>
      </c>
      <c r="AY40" s="655">
        <f>'2023'!L40</f>
        <v>0</v>
      </c>
      <c r="AZ40" s="655">
        <f>'2024'!L40</f>
        <v>0</v>
      </c>
      <c r="BA40" s="656">
        <f>'2025'!L40</f>
        <v>0</v>
      </c>
      <c r="BB40" s="449" t="str">
        <f t="shared" si="29"/>
        <v/>
      </c>
      <c r="BC40" s="450" t="str">
        <f t="shared" si="16"/>
        <v/>
      </c>
      <c r="BD40" s="450">
        <f t="shared" si="17"/>
        <v>0</v>
      </c>
      <c r="BE40" s="450" t="str">
        <f t="shared" si="18"/>
        <v/>
      </c>
      <c r="BF40" s="450" t="str">
        <f t="shared" si="19"/>
        <v/>
      </c>
      <c r="BG40" s="451" t="str">
        <f t="shared" si="20"/>
        <v/>
      </c>
      <c r="BH40" s="966" t="str">
        <f>'2020'!N40</f>
        <v>-</v>
      </c>
      <c r="BI40" s="967" t="str">
        <f>'2021'!N40</f>
        <v>-</v>
      </c>
      <c r="BJ40" s="967">
        <f>'2022'!N40</f>
        <v>0</v>
      </c>
      <c r="BK40" s="967">
        <f>'2023'!N40</f>
        <v>0</v>
      </c>
      <c r="BL40" s="967">
        <f>'2024'!N40</f>
        <v>0</v>
      </c>
      <c r="BM40" s="968">
        <f>'2025'!N40</f>
        <v>0</v>
      </c>
      <c r="BN40" s="452" t="s">
        <v>21</v>
      </c>
      <c r="BO40" s="453" t="s">
        <v>21</v>
      </c>
      <c r="BP40" s="452" t="s">
        <v>21</v>
      </c>
      <c r="BQ40" s="453" t="s">
        <v>21</v>
      </c>
      <c r="BR40" s="454" t="s">
        <v>21</v>
      </c>
      <c r="BS40" s="455" t="s">
        <v>21</v>
      </c>
      <c r="BT40" s="454" t="s">
        <v>21</v>
      </c>
      <c r="BU40" s="456" t="s">
        <v>21</v>
      </c>
      <c r="CC40" s="1" t="str">
        <f t="shared" si="30"/>
        <v>France</v>
      </c>
      <c r="CD40" s="1" t="str">
        <f t="shared" si="31"/>
        <v>France</v>
      </c>
      <c r="CE40" s="1" t="str">
        <f t="shared" si="32"/>
        <v>France</v>
      </c>
      <c r="CF40" s="1" t="str">
        <f t="shared" si="33"/>
        <v/>
      </c>
      <c r="CG40" s="1" t="str">
        <f t="shared" si="34"/>
        <v/>
      </c>
      <c r="CH40" s="1" t="str">
        <f t="shared" si="35"/>
        <v/>
      </c>
    </row>
    <row r="41" spans="2:86" ht="15" customHeight="1">
      <c r="B41" s="1007"/>
      <c r="C41" s="1079"/>
      <c r="D41" s="1053"/>
      <c r="E41" s="1056"/>
      <c r="F41" s="1056"/>
      <c r="G41" s="1056"/>
      <c r="H41" s="1056"/>
      <c r="I41" s="1059"/>
      <c r="J41" s="905" t="s">
        <v>18</v>
      </c>
      <c r="K41" s="426" t="str">
        <f t="shared" si="130"/>
        <v>X</v>
      </c>
      <c r="L41" s="426" t="str">
        <f t="shared" si="131"/>
        <v>X</v>
      </c>
      <c r="M41" s="426" t="str">
        <f t="shared" si="132"/>
        <v>X</v>
      </c>
      <c r="N41" s="426" t="str">
        <f t="shared" si="133"/>
        <v/>
      </c>
      <c r="O41" s="426" t="str">
        <f t="shared" si="134"/>
        <v/>
      </c>
      <c r="P41" s="427" t="str">
        <f t="shared" si="135"/>
        <v/>
      </c>
      <c r="Q41" s="251" t="s">
        <v>60</v>
      </c>
      <c r="R41" s="654">
        <f>'2020'!G41</f>
        <v>29</v>
      </c>
      <c r="S41" s="655">
        <f>'2021'!G41</f>
        <v>33</v>
      </c>
      <c r="T41" s="655">
        <f>'2022'!G41</f>
        <v>20</v>
      </c>
      <c r="U41" s="655">
        <f>'2023'!G41</f>
        <v>0</v>
      </c>
      <c r="V41" s="655">
        <f>'2024'!G41</f>
        <v>0</v>
      </c>
      <c r="W41" s="656">
        <f>'2025'!G41</f>
        <v>0</v>
      </c>
      <c r="X41" s="681">
        <f>'2020'!H41</f>
        <v>21</v>
      </c>
      <c r="Y41" s="655">
        <f>'2021'!H41</f>
        <v>25</v>
      </c>
      <c r="Z41" s="655">
        <f>'2022'!H41</f>
        <v>9</v>
      </c>
      <c r="AA41" s="655">
        <f>'2023'!H41</f>
        <v>0</v>
      </c>
      <c r="AB41" s="655">
        <f>'2024'!H41</f>
        <v>0</v>
      </c>
      <c r="AC41" s="656">
        <f>'2025'!H41</f>
        <v>0</v>
      </c>
      <c r="AD41" s="704">
        <f t="shared" si="4"/>
        <v>0</v>
      </c>
      <c r="AE41" s="705">
        <f t="shared" si="5"/>
        <v>0</v>
      </c>
      <c r="AF41" s="705">
        <f t="shared" si="6"/>
        <v>0.25</v>
      </c>
      <c r="AG41" s="705">
        <f t="shared" si="7"/>
        <v>0</v>
      </c>
      <c r="AH41" s="705">
        <f t="shared" si="8"/>
        <v>0</v>
      </c>
      <c r="AI41" s="706">
        <f t="shared" si="9"/>
        <v>0</v>
      </c>
      <c r="AJ41" s="681">
        <f>'2020'!J41</f>
        <v>0</v>
      </c>
      <c r="AK41" s="655">
        <f>'2021'!J41</f>
        <v>0</v>
      </c>
      <c r="AL41" s="655">
        <f>'2022'!J41</f>
        <v>5</v>
      </c>
      <c r="AM41" s="655">
        <f>'2023'!J41</f>
        <v>0</v>
      </c>
      <c r="AN41" s="655">
        <f>'2024'!J41</f>
        <v>0</v>
      </c>
      <c r="AO41" s="656">
        <f>'2025'!J41</f>
        <v>0</v>
      </c>
      <c r="AP41" s="704">
        <f t="shared" si="28"/>
        <v>0.41379310344827586</v>
      </c>
      <c r="AQ41" s="705">
        <f t="shared" si="11"/>
        <v>0.21212121212121213</v>
      </c>
      <c r="AR41" s="705">
        <f t="shared" si="12"/>
        <v>0.25</v>
      </c>
      <c r="AS41" s="705" t="str">
        <f t="shared" si="13"/>
        <v/>
      </c>
      <c r="AT41" s="705" t="str">
        <f t="shared" si="14"/>
        <v/>
      </c>
      <c r="AU41" s="706" t="str">
        <f t="shared" si="15"/>
        <v/>
      </c>
      <c r="AV41" s="681">
        <f>'2020'!L41</f>
        <v>12</v>
      </c>
      <c r="AW41" s="655">
        <f>'2021'!L41</f>
        <v>7</v>
      </c>
      <c r="AX41" s="655">
        <f>'2022'!L41</f>
        <v>5</v>
      </c>
      <c r="AY41" s="655">
        <f>'2023'!L41</f>
        <v>0</v>
      </c>
      <c r="AZ41" s="655">
        <f>'2024'!L41</f>
        <v>0</v>
      </c>
      <c r="BA41" s="656">
        <f>'2025'!L41</f>
        <v>0</v>
      </c>
      <c r="BB41" s="449" t="str">
        <f t="shared" si="29"/>
        <v/>
      </c>
      <c r="BC41" s="450" t="str">
        <f t="shared" si="16"/>
        <v/>
      </c>
      <c r="BD41" s="450">
        <f t="shared" si="17"/>
        <v>0</v>
      </c>
      <c r="BE41" s="450" t="str">
        <f t="shared" si="18"/>
        <v/>
      </c>
      <c r="BF41" s="450" t="str">
        <f t="shared" si="19"/>
        <v/>
      </c>
      <c r="BG41" s="451" t="str">
        <f t="shared" si="20"/>
        <v/>
      </c>
      <c r="BH41" s="966" t="str">
        <f>'2020'!N41</f>
        <v>-</v>
      </c>
      <c r="BI41" s="967" t="str">
        <f>'2021'!N41</f>
        <v>-</v>
      </c>
      <c r="BJ41" s="967">
        <f>'2022'!N41</f>
        <v>0</v>
      </c>
      <c r="BK41" s="967">
        <f>'2023'!N41</f>
        <v>0</v>
      </c>
      <c r="BL41" s="967">
        <f>'2024'!N41</f>
        <v>0</v>
      </c>
      <c r="BM41" s="968">
        <f>'2025'!N41</f>
        <v>0</v>
      </c>
      <c r="BN41" s="452" t="s">
        <v>21</v>
      </c>
      <c r="BO41" s="453" t="s">
        <v>21</v>
      </c>
      <c r="BP41" s="452" t="s">
        <v>21</v>
      </c>
      <c r="BQ41" s="453" t="s">
        <v>21</v>
      </c>
      <c r="BR41" s="454" t="s">
        <v>21</v>
      </c>
      <c r="BS41" s="455" t="s">
        <v>21</v>
      </c>
      <c r="BT41" s="454" t="s">
        <v>21</v>
      </c>
      <c r="BU41" s="456" t="s">
        <v>21</v>
      </c>
      <c r="CC41" s="1" t="str">
        <f t="shared" si="30"/>
        <v>France</v>
      </c>
      <c r="CD41" s="1" t="str">
        <f t="shared" si="31"/>
        <v>France</v>
      </c>
      <c r="CE41" s="1" t="str">
        <f t="shared" si="32"/>
        <v>France</v>
      </c>
      <c r="CF41" s="1" t="str">
        <f t="shared" si="33"/>
        <v/>
      </c>
      <c r="CG41" s="1" t="str">
        <f t="shared" si="34"/>
        <v/>
      </c>
      <c r="CH41" s="1" t="str">
        <f t="shared" si="35"/>
        <v/>
      </c>
    </row>
    <row r="42" spans="2:86" ht="15" customHeight="1">
      <c r="B42" s="1007"/>
      <c r="C42" s="1079"/>
      <c r="D42" s="1053"/>
      <c r="E42" s="1056"/>
      <c r="F42" s="1056"/>
      <c r="G42" s="1056"/>
      <c r="H42" s="1056"/>
      <c r="I42" s="1059"/>
      <c r="J42" s="905" t="s">
        <v>19</v>
      </c>
      <c r="K42" s="426" t="str">
        <f t="shared" si="130"/>
        <v>X</v>
      </c>
      <c r="L42" s="426" t="str">
        <f t="shared" si="131"/>
        <v>X</v>
      </c>
      <c r="M42" s="426" t="str">
        <f t="shared" si="132"/>
        <v>X</v>
      </c>
      <c r="N42" s="426" t="str">
        <f t="shared" si="133"/>
        <v/>
      </c>
      <c r="O42" s="426" t="str">
        <f t="shared" si="134"/>
        <v/>
      </c>
      <c r="P42" s="427" t="str">
        <f t="shared" si="135"/>
        <v/>
      </c>
      <c r="Q42" s="251" t="s">
        <v>60</v>
      </c>
      <c r="R42" s="654">
        <f>'2020'!G42</f>
        <v>27</v>
      </c>
      <c r="S42" s="655">
        <f>'2021'!G42</f>
        <v>32</v>
      </c>
      <c r="T42" s="655">
        <f>'2022'!G42</f>
        <v>35</v>
      </c>
      <c r="U42" s="655">
        <f>'2023'!G42</f>
        <v>0</v>
      </c>
      <c r="V42" s="655">
        <f>'2024'!G42</f>
        <v>0</v>
      </c>
      <c r="W42" s="656">
        <f>'2025'!G42</f>
        <v>0</v>
      </c>
      <c r="X42" s="681">
        <f>'2020'!H42</f>
        <v>17</v>
      </c>
      <c r="Y42" s="655">
        <f>'2021'!H42</f>
        <v>17</v>
      </c>
      <c r="Z42" s="655">
        <f>'2022'!H42</f>
        <v>9</v>
      </c>
      <c r="AA42" s="655">
        <f>'2023'!H42</f>
        <v>0</v>
      </c>
      <c r="AB42" s="655">
        <f>'2024'!H42</f>
        <v>0</v>
      </c>
      <c r="AC42" s="656">
        <f>'2025'!H42</f>
        <v>0</v>
      </c>
      <c r="AD42" s="704">
        <f t="shared" si="4"/>
        <v>0.25925925925925924</v>
      </c>
      <c r="AE42" s="705">
        <f t="shared" si="5"/>
        <v>0.15625</v>
      </c>
      <c r="AF42" s="705">
        <f t="shared" si="6"/>
        <v>0.31428571428571428</v>
      </c>
      <c r="AG42" s="705">
        <f t="shared" si="7"/>
        <v>0</v>
      </c>
      <c r="AH42" s="705">
        <f t="shared" si="8"/>
        <v>0</v>
      </c>
      <c r="AI42" s="706">
        <f t="shared" si="9"/>
        <v>0</v>
      </c>
      <c r="AJ42" s="681">
        <f>'2020'!J42</f>
        <v>7</v>
      </c>
      <c r="AK42" s="655">
        <f>'2021'!J42</f>
        <v>5</v>
      </c>
      <c r="AL42" s="655">
        <f>'2022'!J42</f>
        <v>11</v>
      </c>
      <c r="AM42" s="655">
        <f>'2023'!J42</f>
        <v>0</v>
      </c>
      <c r="AN42" s="655">
        <f>'2024'!J42</f>
        <v>0</v>
      </c>
      <c r="AO42" s="656">
        <f>'2025'!J42</f>
        <v>0</v>
      </c>
      <c r="AP42" s="704">
        <f t="shared" si="28"/>
        <v>0.48148148148148145</v>
      </c>
      <c r="AQ42" s="705">
        <f t="shared" si="11"/>
        <v>0.375</v>
      </c>
      <c r="AR42" s="705">
        <f t="shared" si="12"/>
        <v>0.22857142857142856</v>
      </c>
      <c r="AS42" s="705" t="str">
        <f t="shared" si="13"/>
        <v/>
      </c>
      <c r="AT42" s="705" t="str">
        <f t="shared" si="14"/>
        <v/>
      </c>
      <c r="AU42" s="706" t="str">
        <f t="shared" si="15"/>
        <v/>
      </c>
      <c r="AV42" s="681">
        <f>'2020'!L42</f>
        <v>13</v>
      </c>
      <c r="AW42" s="655">
        <f>'2021'!L42</f>
        <v>12</v>
      </c>
      <c r="AX42" s="655">
        <f>'2022'!L42</f>
        <v>8</v>
      </c>
      <c r="AY42" s="655">
        <f>'2023'!L42</f>
        <v>0</v>
      </c>
      <c r="AZ42" s="655">
        <f>'2024'!L42</f>
        <v>0</v>
      </c>
      <c r="BA42" s="656">
        <f>'2025'!L42</f>
        <v>0</v>
      </c>
      <c r="BB42" s="449" t="str">
        <f t="shared" si="29"/>
        <v/>
      </c>
      <c r="BC42" s="450" t="str">
        <f t="shared" si="16"/>
        <v/>
      </c>
      <c r="BD42" s="450">
        <f t="shared" si="17"/>
        <v>0</v>
      </c>
      <c r="BE42" s="450" t="str">
        <f t="shared" si="18"/>
        <v/>
      </c>
      <c r="BF42" s="450" t="str">
        <f t="shared" si="19"/>
        <v/>
      </c>
      <c r="BG42" s="451" t="str">
        <f t="shared" si="20"/>
        <v/>
      </c>
      <c r="BH42" s="966" t="str">
        <f>'2020'!N42</f>
        <v>-</v>
      </c>
      <c r="BI42" s="967" t="str">
        <f>'2021'!N42</f>
        <v>-</v>
      </c>
      <c r="BJ42" s="967">
        <f>'2022'!N42</f>
        <v>0</v>
      </c>
      <c r="BK42" s="967">
        <f>'2023'!N42</f>
        <v>0</v>
      </c>
      <c r="BL42" s="967">
        <f>'2024'!N42</f>
        <v>0</v>
      </c>
      <c r="BM42" s="968">
        <f>'2025'!N42</f>
        <v>0</v>
      </c>
      <c r="BN42" s="452" t="s">
        <v>21</v>
      </c>
      <c r="BO42" s="453" t="s">
        <v>21</v>
      </c>
      <c r="BP42" s="452" t="s">
        <v>21</v>
      </c>
      <c r="BQ42" s="453" t="s">
        <v>21</v>
      </c>
      <c r="BR42" s="454" t="s">
        <v>21</v>
      </c>
      <c r="BS42" s="455" t="s">
        <v>21</v>
      </c>
      <c r="BT42" s="454" t="s">
        <v>21</v>
      </c>
      <c r="BU42" s="456" t="s">
        <v>21</v>
      </c>
      <c r="CC42" s="1" t="str">
        <f t="shared" si="30"/>
        <v>France</v>
      </c>
      <c r="CD42" s="1" t="str">
        <f t="shared" si="31"/>
        <v>France</v>
      </c>
      <c r="CE42" s="1" t="str">
        <f t="shared" si="32"/>
        <v>France</v>
      </c>
      <c r="CF42" s="1" t="str">
        <f t="shared" si="33"/>
        <v/>
      </c>
      <c r="CG42" s="1" t="str">
        <f t="shared" si="34"/>
        <v/>
      </c>
      <c r="CH42" s="1" t="str">
        <f t="shared" si="35"/>
        <v/>
      </c>
    </row>
    <row r="43" spans="2:86" ht="15" customHeight="1">
      <c r="B43" s="1007"/>
      <c r="C43" s="1079"/>
      <c r="D43" s="1053"/>
      <c r="E43" s="1056"/>
      <c r="F43" s="1056"/>
      <c r="G43" s="1056"/>
      <c r="H43" s="1056"/>
      <c r="I43" s="1059"/>
      <c r="J43" s="905" t="s">
        <v>169</v>
      </c>
      <c r="K43" s="426" t="str">
        <f t="shared" si="130"/>
        <v/>
      </c>
      <c r="L43" s="426" t="str">
        <f t="shared" si="131"/>
        <v/>
      </c>
      <c r="M43" s="426" t="str">
        <f t="shared" si="132"/>
        <v>X</v>
      </c>
      <c r="N43" s="426" t="str">
        <f t="shared" si="133"/>
        <v/>
      </c>
      <c r="O43" s="426" t="str">
        <f t="shared" si="134"/>
        <v/>
      </c>
      <c r="P43" s="427" t="str">
        <f t="shared" si="135"/>
        <v/>
      </c>
      <c r="Q43" s="251" t="s">
        <v>60</v>
      </c>
      <c r="R43" s="654">
        <f>'2020'!G43</f>
        <v>0</v>
      </c>
      <c r="S43" s="655">
        <f>'2021'!G43</f>
        <v>0</v>
      </c>
      <c r="T43" s="655">
        <f>'2022'!G43</f>
        <v>15</v>
      </c>
      <c r="U43" s="655">
        <f>'2023'!G43</f>
        <v>0</v>
      </c>
      <c r="V43" s="655">
        <f>'2024'!G43</f>
        <v>0</v>
      </c>
      <c r="W43" s="656">
        <f>'2025'!G43</f>
        <v>0</v>
      </c>
      <c r="X43" s="681">
        <f>'2020'!H43</f>
        <v>0</v>
      </c>
      <c r="Y43" s="655">
        <f>'2021'!H43</f>
        <v>0</v>
      </c>
      <c r="Z43" s="655">
        <f>'2022'!H43</f>
        <v>7</v>
      </c>
      <c r="AA43" s="655">
        <f>'2023'!H43</f>
        <v>0</v>
      </c>
      <c r="AB43" s="655">
        <f>'2024'!H43</f>
        <v>0</v>
      </c>
      <c r="AC43" s="656">
        <f>'2025'!H43</f>
        <v>0</v>
      </c>
      <c r="AD43" s="704">
        <f t="shared" si="4"/>
        <v>0</v>
      </c>
      <c r="AE43" s="705">
        <f t="shared" si="5"/>
        <v>0</v>
      </c>
      <c r="AF43" s="705">
        <f t="shared" si="6"/>
        <v>0.2</v>
      </c>
      <c r="AG43" s="705">
        <f t="shared" si="7"/>
        <v>0</v>
      </c>
      <c r="AH43" s="705">
        <f t="shared" si="8"/>
        <v>0</v>
      </c>
      <c r="AI43" s="706">
        <f t="shared" si="9"/>
        <v>0</v>
      </c>
      <c r="AJ43" s="681">
        <f>'2020'!J43</f>
        <v>0</v>
      </c>
      <c r="AK43" s="655">
        <f>'2021'!J43</f>
        <v>0</v>
      </c>
      <c r="AL43" s="655">
        <f>'2022'!J43</f>
        <v>3</v>
      </c>
      <c r="AM43" s="655">
        <f>'2023'!J43</f>
        <v>0</v>
      </c>
      <c r="AN43" s="655">
        <f>'2024'!J43</f>
        <v>0</v>
      </c>
      <c r="AO43" s="656">
        <f>'2025'!J43</f>
        <v>0</v>
      </c>
      <c r="AP43" s="704" t="str">
        <f t="shared" si="28"/>
        <v/>
      </c>
      <c r="AQ43" s="705" t="str">
        <f t="shared" si="11"/>
        <v/>
      </c>
      <c r="AR43" s="705">
        <f t="shared" si="12"/>
        <v>0</v>
      </c>
      <c r="AS43" s="705" t="str">
        <f t="shared" si="13"/>
        <v/>
      </c>
      <c r="AT43" s="705" t="str">
        <f t="shared" si="14"/>
        <v/>
      </c>
      <c r="AU43" s="706" t="str">
        <f t="shared" si="15"/>
        <v/>
      </c>
      <c r="AV43" s="681">
        <f>'2020'!L43</f>
        <v>0</v>
      </c>
      <c r="AW43" s="655">
        <f>'2021'!L43</f>
        <v>0</v>
      </c>
      <c r="AX43" s="655">
        <f>'2022'!L43</f>
        <v>0</v>
      </c>
      <c r="AY43" s="655">
        <f>'2023'!L43</f>
        <v>0</v>
      </c>
      <c r="AZ43" s="655">
        <f>'2024'!L43</f>
        <v>0</v>
      </c>
      <c r="BA43" s="656">
        <f>'2025'!L43</f>
        <v>0</v>
      </c>
      <c r="BB43" s="449" t="str">
        <f t="shared" si="29"/>
        <v/>
      </c>
      <c r="BC43" s="450" t="str">
        <f t="shared" si="16"/>
        <v/>
      </c>
      <c r="BD43" s="450" t="str">
        <f t="shared" si="17"/>
        <v/>
      </c>
      <c r="BE43" s="450" t="str">
        <f t="shared" si="18"/>
        <v/>
      </c>
      <c r="BF43" s="450" t="str">
        <f t="shared" si="19"/>
        <v/>
      </c>
      <c r="BG43" s="451" t="str">
        <f t="shared" si="20"/>
        <v/>
      </c>
      <c r="BH43" s="966" t="str">
        <f>'2020'!N43</f>
        <v>-</v>
      </c>
      <c r="BI43" s="967" t="str">
        <f>'2021'!N43</f>
        <v>-</v>
      </c>
      <c r="BJ43" s="967">
        <f>'2022'!N43</f>
        <v>0</v>
      </c>
      <c r="BK43" s="967">
        <f>'2023'!N43</f>
        <v>0</v>
      </c>
      <c r="BL43" s="967">
        <f>'2024'!N43</f>
        <v>0</v>
      </c>
      <c r="BM43" s="968">
        <f>'2025'!N43</f>
        <v>0</v>
      </c>
      <c r="BN43" s="452" t="s">
        <v>21</v>
      </c>
      <c r="BO43" s="453" t="s">
        <v>21</v>
      </c>
      <c r="BP43" s="452" t="s">
        <v>21</v>
      </c>
      <c r="BQ43" s="453" t="s">
        <v>21</v>
      </c>
      <c r="BR43" s="454" t="s">
        <v>21</v>
      </c>
      <c r="BS43" s="455" t="s">
        <v>21</v>
      </c>
      <c r="BT43" s="454" t="s">
        <v>21</v>
      </c>
      <c r="BU43" s="456" t="s">
        <v>21</v>
      </c>
      <c r="CC43" s="1" t="str">
        <f t="shared" si="30"/>
        <v/>
      </c>
      <c r="CD43" s="1" t="str">
        <f t="shared" si="31"/>
        <v/>
      </c>
      <c r="CE43" s="1" t="str">
        <f t="shared" si="32"/>
        <v>France</v>
      </c>
      <c r="CF43" s="1" t="str">
        <f t="shared" si="33"/>
        <v/>
      </c>
      <c r="CG43" s="1" t="str">
        <f t="shared" si="34"/>
        <v/>
      </c>
      <c r="CH43" s="1" t="str">
        <f t="shared" si="35"/>
        <v/>
      </c>
    </row>
    <row r="44" spans="2:86" ht="15" customHeight="1">
      <c r="B44" s="1007"/>
      <c r="C44" s="1079"/>
      <c r="D44" s="1053"/>
      <c r="E44" s="1056"/>
      <c r="F44" s="1056"/>
      <c r="G44" s="1056"/>
      <c r="H44" s="1056"/>
      <c r="I44" s="1059"/>
      <c r="J44" s="905" t="s">
        <v>170</v>
      </c>
      <c r="K44" s="426" t="str">
        <f t="shared" si="130"/>
        <v/>
      </c>
      <c r="L44" s="426" t="str">
        <f t="shared" si="131"/>
        <v/>
      </c>
      <c r="M44" s="426" t="str">
        <f t="shared" si="132"/>
        <v>X</v>
      </c>
      <c r="N44" s="426" t="str">
        <f t="shared" si="133"/>
        <v/>
      </c>
      <c r="O44" s="426" t="str">
        <f t="shared" si="134"/>
        <v/>
      </c>
      <c r="P44" s="427" t="str">
        <f t="shared" si="135"/>
        <v/>
      </c>
      <c r="Q44" s="251" t="s">
        <v>60</v>
      </c>
      <c r="R44" s="654">
        <f>'2020'!G44</f>
        <v>0</v>
      </c>
      <c r="S44" s="655">
        <f>'2021'!G44</f>
        <v>0</v>
      </c>
      <c r="T44" s="655">
        <f>'2022'!G44</f>
        <v>22</v>
      </c>
      <c r="U44" s="655">
        <f>'2023'!G44</f>
        <v>0</v>
      </c>
      <c r="V44" s="655">
        <f>'2024'!G44</f>
        <v>0</v>
      </c>
      <c r="W44" s="656">
        <f>'2025'!G44</f>
        <v>0</v>
      </c>
      <c r="X44" s="681">
        <f>'2020'!H44</f>
        <v>0</v>
      </c>
      <c r="Y44" s="655">
        <f>'2021'!H44</f>
        <v>0</v>
      </c>
      <c r="Z44" s="655">
        <f>'2022'!H44</f>
        <v>7</v>
      </c>
      <c r="AA44" s="655">
        <f>'2023'!H44</f>
        <v>0</v>
      </c>
      <c r="AB44" s="655">
        <f>'2024'!H44</f>
        <v>0</v>
      </c>
      <c r="AC44" s="656">
        <f>'2025'!H44</f>
        <v>0</v>
      </c>
      <c r="AD44" s="704">
        <f t="shared" si="4"/>
        <v>0</v>
      </c>
      <c r="AE44" s="705">
        <f t="shared" si="5"/>
        <v>0</v>
      </c>
      <c r="AF44" s="705">
        <f t="shared" si="6"/>
        <v>9.0909090909090912E-2</v>
      </c>
      <c r="AG44" s="705">
        <f t="shared" si="7"/>
        <v>0</v>
      </c>
      <c r="AH44" s="705">
        <f t="shared" si="8"/>
        <v>0</v>
      </c>
      <c r="AI44" s="706">
        <f t="shared" si="9"/>
        <v>0</v>
      </c>
      <c r="AJ44" s="681">
        <f>'2020'!J44</f>
        <v>0</v>
      </c>
      <c r="AK44" s="655">
        <f>'2021'!J44</f>
        <v>0</v>
      </c>
      <c r="AL44" s="655">
        <f>'2022'!J44</f>
        <v>2</v>
      </c>
      <c r="AM44" s="655">
        <f>'2023'!J44</f>
        <v>0</v>
      </c>
      <c r="AN44" s="655">
        <f>'2024'!J44</f>
        <v>0</v>
      </c>
      <c r="AO44" s="656">
        <f>'2025'!J44</f>
        <v>0</v>
      </c>
      <c r="AP44" s="704" t="str">
        <f t="shared" si="28"/>
        <v/>
      </c>
      <c r="AQ44" s="705" t="str">
        <f t="shared" si="11"/>
        <v/>
      </c>
      <c r="AR44" s="705">
        <f t="shared" si="12"/>
        <v>0.22727272727272727</v>
      </c>
      <c r="AS44" s="705" t="str">
        <f t="shared" si="13"/>
        <v/>
      </c>
      <c r="AT44" s="705" t="str">
        <f t="shared" si="14"/>
        <v/>
      </c>
      <c r="AU44" s="706" t="str">
        <f t="shared" si="15"/>
        <v/>
      </c>
      <c r="AV44" s="681">
        <f>'2020'!L44</f>
        <v>0</v>
      </c>
      <c r="AW44" s="655">
        <f>'2021'!L44</f>
        <v>0</v>
      </c>
      <c r="AX44" s="655">
        <f>'2022'!L44</f>
        <v>5</v>
      </c>
      <c r="AY44" s="655">
        <f>'2023'!L44</f>
        <v>0</v>
      </c>
      <c r="AZ44" s="655">
        <f>'2024'!L44</f>
        <v>0</v>
      </c>
      <c r="BA44" s="656">
        <f>'2025'!L44</f>
        <v>0</v>
      </c>
      <c r="BB44" s="449" t="str">
        <f t="shared" si="29"/>
        <v/>
      </c>
      <c r="BC44" s="450" t="str">
        <f t="shared" si="16"/>
        <v/>
      </c>
      <c r="BD44" s="450">
        <f t="shared" si="17"/>
        <v>0</v>
      </c>
      <c r="BE44" s="450" t="str">
        <f t="shared" si="18"/>
        <v/>
      </c>
      <c r="BF44" s="450" t="str">
        <f t="shared" si="19"/>
        <v/>
      </c>
      <c r="BG44" s="451" t="str">
        <f t="shared" si="20"/>
        <v/>
      </c>
      <c r="BH44" s="966" t="str">
        <f>'2020'!N44</f>
        <v>-</v>
      </c>
      <c r="BI44" s="967" t="str">
        <f>'2021'!N44</f>
        <v>-</v>
      </c>
      <c r="BJ44" s="967">
        <f>'2022'!N44</f>
        <v>0</v>
      </c>
      <c r="BK44" s="967">
        <f>'2023'!N44</f>
        <v>0</v>
      </c>
      <c r="BL44" s="967">
        <f>'2024'!N44</f>
        <v>0</v>
      </c>
      <c r="BM44" s="968">
        <f>'2025'!N44</f>
        <v>0</v>
      </c>
      <c r="BN44" s="452" t="s">
        <v>21</v>
      </c>
      <c r="BO44" s="453" t="s">
        <v>21</v>
      </c>
      <c r="BP44" s="452" t="s">
        <v>21</v>
      </c>
      <c r="BQ44" s="453" t="s">
        <v>21</v>
      </c>
      <c r="BR44" s="454" t="s">
        <v>21</v>
      </c>
      <c r="BS44" s="455" t="s">
        <v>21</v>
      </c>
      <c r="BT44" s="454" t="s">
        <v>21</v>
      </c>
      <c r="BU44" s="456" t="s">
        <v>21</v>
      </c>
      <c r="CC44" s="1" t="str">
        <f t="shared" si="30"/>
        <v/>
      </c>
      <c r="CD44" s="1" t="str">
        <f t="shared" si="31"/>
        <v/>
      </c>
      <c r="CE44" s="1" t="str">
        <f t="shared" si="32"/>
        <v>France</v>
      </c>
      <c r="CF44" s="1" t="str">
        <f t="shared" si="33"/>
        <v/>
      </c>
      <c r="CG44" s="1" t="str">
        <f t="shared" si="34"/>
        <v/>
      </c>
      <c r="CH44" s="1" t="str">
        <f t="shared" si="35"/>
        <v/>
      </c>
    </row>
    <row r="45" spans="2:86" ht="15" customHeight="1">
      <c r="B45" s="1007"/>
      <c r="C45" s="1079"/>
      <c r="D45" s="1053"/>
      <c r="E45" s="1056"/>
      <c r="F45" s="1056"/>
      <c r="G45" s="1056"/>
      <c r="H45" s="1056"/>
      <c r="I45" s="1059"/>
      <c r="J45" s="905" t="s">
        <v>5</v>
      </c>
      <c r="K45" s="426" t="str">
        <f t="shared" si="130"/>
        <v>X</v>
      </c>
      <c r="L45" s="426" t="str">
        <f t="shared" si="131"/>
        <v/>
      </c>
      <c r="M45" s="426" t="str">
        <f t="shared" si="132"/>
        <v/>
      </c>
      <c r="N45" s="426" t="str">
        <f t="shared" si="133"/>
        <v/>
      </c>
      <c r="O45" s="426" t="str">
        <f t="shared" si="134"/>
        <v/>
      </c>
      <c r="P45" s="427" t="str">
        <f t="shared" si="135"/>
        <v/>
      </c>
      <c r="Q45" s="251" t="s">
        <v>60</v>
      </c>
      <c r="R45" s="640">
        <f>'2020'!G45</f>
        <v>4</v>
      </c>
      <c r="S45" s="641">
        <f>'2021'!G45</f>
        <v>0</v>
      </c>
      <c r="T45" s="641">
        <f>'2022'!G45</f>
        <v>0</v>
      </c>
      <c r="U45" s="641">
        <f>'2023'!G45</f>
        <v>0</v>
      </c>
      <c r="V45" s="641">
        <f>'2024'!G45</f>
        <v>0</v>
      </c>
      <c r="W45" s="642">
        <f>'2025'!G45</f>
        <v>0</v>
      </c>
      <c r="X45" s="676">
        <f>'2020'!H45</f>
        <v>2</v>
      </c>
      <c r="Y45" s="641">
        <f>'2021'!H45</f>
        <v>0</v>
      </c>
      <c r="Z45" s="641">
        <f>'2022'!H45</f>
        <v>0</v>
      </c>
      <c r="AA45" s="641">
        <f>'2023'!H45</f>
        <v>0</v>
      </c>
      <c r="AB45" s="641">
        <f>'2024'!H45</f>
        <v>0</v>
      </c>
      <c r="AC45" s="642">
        <f>'2025'!H45</f>
        <v>0</v>
      </c>
      <c r="AD45" s="449">
        <f t="shared" si="4"/>
        <v>0.5</v>
      </c>
      <c r="AE45" s="450">
        <f t="shared" si="5"/>
        <v>0</v>
      </c>
      <c r="AF45" s="450">
        <f t="shared" si="6"/>
        <v>0</v>
      </c>
      <c r="AG45" s="450">
        <f t="shared" si="7"/>
        <v>0</v>
      </c>
      <c r="AH45" s="450">
        <f t="shared" si="8"/>
        <v>0</v>
      </c>
      <c r="AI45" s="451">
        <f t="shared" si="9"/>
        <v>0</v>
      </c>
      <c r="AJ45" s="676">
        <f>'2020'!J45</f>
        <v>2</v>
      </c>
      <c r="AK45" s="641">
        <f>'2021'!J45</f>
        <v>0</v>
      </c>
      <c r="AL45" s="641">
        <f>'2022'!J45</f>
        <v>0</v>
      </c>
      <c r="AM45" s="641">
        <f>'2023'!J45</f>
        <v>0</v>
      </c>
      <c r="AN45" s="641">
        <f>'2024'!J45</f>
        <v>0</v>
      </c>
      <c r="AO45" s="642">
        <f>'2025'!J45</f>
        <v>0</v>
      </c>
      <c r="AP45" s="449">
        <f t="shared" si="28"/>
        <v>0</v>
      </c>
      <c r="AQ45" s="450" t="str">
        <f t="shared" si="11"/>
        <v/>
      </c>
      <c r="AR45" s="450" t="str">
        <f t="shared" si="12"/>
        <v/>
      </c>
      <c r="AS45" s="450" t="str">
        <f t="shared" si="13"/>
        <v/>
      </c>
      <c r="AT45" s="450" t="str">
        <f t="shared" si="14"/>
        <v/>
      </c>
      <c r="AU45" s="451" t="str">
        <f t="shared" si="15"/>
        <v/>
      </c>
      <c r="AV45" s="676">
        <f>'2020'!L45</f>
        <v>0</v>
      </c>
      <c r="AW45" s="641">
        <f>'2021'!L45</f>
        <v>0</v>
      </c>
      <c r="AX45" s="641">
        <f>'2022'!L45</f>
        <v>0</v>
      </c>
      <c r="AY45" s="641">
        <f>'2023'!L45</f>
        <v>0</v>
      </c>
      <c r="AZ45" s="641">
        <f>'2024'!L45</f>
        <v>0</v>
      </c>
      <c r="BA45" s="642">
        <f>'2025'!L45</f>
        <v>0</v>
      </c>
      <c r="BB45" s="449" t="str">
        <f t="shared" si="29"/>
        <v/>
      </c>
      <c r="BC45" s="450" t="str">
        <f t="shared" si="16"/>
        <v/>
      </c>
      <c r="BD45" s="450" t="str">
        <f t="shared" si="17"/>
        <v/>
      </c>
      <c r="BE45" s="450" t="str">
        <f t="shared" si="18"/>
        <v/>
      </c>
      <c r="BF45" s="450" t="str">
        <f t="shared" si="19"/>
        <v/>
      </c>
      <c r="BG45" s="451" t="str">
        <f t="shared" si="20"/>
        <v/>
      </c>
      <c r="BH45" s="966" t="str">
        <f>'2020'!N45</f>
        <v>-</v>
      </c>
      <c r="BI45" s="967" t="str">
        <f>'2021'!N45</f>
        <v>-</v>
      </c>
      <c r="BJ45" s="967">
        <f>'2022'!N45</f>
        <v>0</v>
      </c>
      <c r="BK45" s="967">
        <f>'2023'!N45</f>
        <v>0</v>
      </c>
      <c r="BL45" s="967">
        <f>'2024'!N45</f>
        <v>0</v>
      </c>
      <c r="BM45" s="968">
        <f>'2025'!N45</f>
        <v>0</v>
      </c>
      <c r="BN45" s="452" t="s">
        <v>21</v>
      </c>
      <c r="BO45" s="453" t="s">
        <v>21</v>
      </c>
      <c r="BP45" s="452" t="s">
        <v>21</v>
      </c>
      <c r="BQ45" s="453" t="s">
        <v>21</v>
      </c>
      <c r="BR45" s="454" t="s">
        <v>21</v>
      </c>
      <c r="BS45" s="455" t="s">
        <v>21</v>
      </c>
      <c r="BT45" s="454" t="s">
        <v>21</v>
      </c>
      <c r="BU45" s="456" t="s">
        <v>21</v>
      </c>
      <c r="CC45" s="1" t="str">
        <f t="shared" si="30"/>
        <v>France</v>
      </c>
      <c r="CD45" s="1" t="str">
        <f t="shared" si="31"/>
        <v/>
      </c>
      <c r="CE45" s="1" t="str">
        <f t="shared" si="32"/>
        <v/>
      </c>
      <c r="CF45" s="1" t="str">
        <f t="shared" si="33"/>
        <v/>
      </c>
      <c r="CG45" s="1" t="str">
        <f t="shared" si="34"/>
        <v/>
      </c>
      <c r="CH45" s="1" t="str">
        <f t="shared" si="35"/>
        <v/>
      </c>
    </row>
    <row r="46" spans="2:86" ht="15" customHeight="1">
      <c r="B46" s="1007"/>
      <c r="C46" s="1079"/>
      <c r="D46" s="1053"/>
      <c r="E46" s="1056"/>
      <c r="F46" s="1056"/>
      <c r="G46" s="1056"/>
      <c r="H46" s="1056"/>
      <c r="I46" s="1059"/>
      <c r="J46" s="905" t="s">
        <v>166</v>
      </c>
      <c r="K46" s="426" t="str">
        <f t="shared" si="130"/>
        <v/>
      </c>
      <c r="L46" s="426" t="str">
        <f t="shared" si="131"/>
        <v/>
      </c>
      <c r="M46" s="426" t="str">
        <f t="shared" si="132"/>
        <v/>
      </c>
      <c r="N46" s="426" t="str">
        <f t="shared" si="133"/>
        <v/>
      </c>
      <c r="O46" s="426" t="str">
        <f t="shared" si="134"/>
        <v/>
      </c>
      <c r="P46" s="427" t="str">
        <f t="shared" si="135"/>
        <v/>
      </c>
      <c r="Q46" s="251"/>
      <c r="R46" s="640">
        <f>'2020'!G46</f>
        <v>0</v>
      </c>
      <c r="S46" s="641">
        <f>'2021'!G46</f>
        <v>0</v>
      </c>
      <c r="T46" s="641">
        <f>'2022'!G46</f>
        <v>0</v>
      </c>
      <c r="U46" s="641">
        <f>'2023'!G46</f>
        <v>0</v>
      </c>
      <c r="V46" s="641">
        <f>'2024'!G46</f>
        <v>0</v>
      </c>
      <c r="W46" s="642">
        <f>'2025'!G46</f>
        <v>0</v>
      </c>
      <c r="X46" s="676">
        <f>'2020'!H46</f>
        <v>0</v>
      </c>
      <c r="Y46" s="641">
        <f>'2021'!H46</f>
        <v>0</v>
      </c>
      <c r="Z46" s="641">
        <f>'2022'!H46</f>
        <v>0</v>
      </c>
      <c r="AA46" s="641">
        <f>'2023'!H46</f>
        <v>0</v>
      </c>
      <c r="AB46" s="641">
        <f>'2024'!H46</f>
        <v>0</v>
      </c>
      <c r="AC46" s="642">
        <f>'2025'!H46</f>
        <v>0</v>
      </c>
      <c r="AD46" s="449">
        <f t="shared" si="4"/>
        <v>0</v>
      </c>
      <c r="AE46" s="450">
        <f t="shared" si="5"/>
        <v>0</v>
      </c>
      <c r="AF46" s="450">
        <f t="shared" si="6"/>
        <v>0</v>
      </c>
      <c r="AG46" s="450">
        <f t="shared" si="7"/>
        <v>0</v>
      </c>
      <c r="AH46" s="450">
        <f t="shared" si="8"/>
        <v>0</v>
      </c>
      <c r="AI46" s="451">
        <f t="shared" si="9"/>
        <v>0</v>
      </c>
      <c r="AJ46" s="676">
        <f>'2020'!J46</f>
        <v>0</v>
      </c>
      <c r="AK46" s="641">
        <f>'2021'!J46</f>
        <v>0</v>
      </c>
      <c r="AL46" s="641">
        <f>'2022'!J46</f>
        <v>0</v>
      </c>
      <c r="AM46" s="641">
        <f>'2023'!J46</f>
        <v>0</v>
      </c>
      <c r="AN46" s="641">
        <f>'2024'!J46</f>
        <v>0</v>
      </c>
      <c r="AO46" s="642">
        <f>'2025'!J46</f>
        <v>0</v>
      </c>
      <c r="AP46" s="449" t="str">
        <f t="shared" si="28"/>
        <v/>
      </c>
      <c r="AQ46" s="450" t="str">
        <f t="shared" si="11"/>
        <v/>
      </c>
      <c r="AR46" s="450" t="str">
        <f t="shared" si="12"/>
        <v/>
      </c>
      <c r="AS46" s="450" t="str">
        <f t="shared" si="13"/>
        <v/>
      </c>
      <c r="AT46" s="450" t="str">
        <f t="shared" si="14"/>
        <v/>
      </c>
      <c r="AU46" s="451" t="str">
        <f t="shared" si="15"/>
        <v/>
      </c>
      <c r="AV46" s="676">
        <f>'2020'!L46</f>
        <v>0</v>
      </c>
      <c r="AW46" s="641">
        <f>'2021'!L46</f>
        <v>0</v>
      </c>
      <c r="AX46" s="641">
        <f>'2022'!L46</f>
        <v>0</v>
      </c>
      <c r="AY46" s="641">
        <f>'2023'!L46</f>
        <v>0</v>
      </c>
      <c r="AZ46" s="641">
        <f>'2024'!L46</f>
        <v>0</v>
      </c>
      <c r="BA46" s="642">
        <f>'2025'!L46</f>
        <v>0</v>
      </c>
      <c r="BB46" s="449" t="str">
        <f t="shared" si="29"/>
        <v/>
      </c>
      <c r="BC46" s="450" t="str">
        <f t="shared" si="16"/>
        <v/>
      </c>
      <c r="BD46" s="450" t="str">
        <f t="shared" si="17"/>
        <v/>
      </c>
      <c r="BE46" s="450" t="str">
        <f t="shared" si="18"/>
        <v/>
      </c>
      <c r="BF46" s="450" t="str">
        <f t="shared" si="19"/>
        <v/>
      </c>
      <c r="BG46" s="451" t="str">
        <f t="shared" si="20"/>
        <v/>
      </c>
      <c r="BH46" s="966">
        <f>'2020'!N46</f>
        <v>0</v>
      </c>
      <c r="BI46" s="967">
        <f>'2021'!N46</f>
        <v>0</v>
      </c>
      <c r="BJ46" s="967">
        <f>'2022'!N46</f>
        <v>0</v>
      </c>
      <c r="BK46" s="967">
        <f>'2023'!N46</f>
        <v>0</v>
      </c>
      <c r="BL46" s="967">
        <f>'2024'!N46</f>
        <v>0</v>
      </c>
      <c r="BM46" s="968">
        <f>'2025'!N46</f>
        <v>0</v>
      </c>
      <c r="BN46" s="452"/>
      <c r="BO46" s="453"/>
      <c r="BP46" s="452"/>
      <c r="BQ46" s="453"/>
      <c r="BR46" s="454"/>
      <c r="BS46" s="455"/>
      <c r="BT46" s="454"/>
      <c r="BU46" s="456"/>
      <c r="CC46" s="1" t="str">
        <f t="shared" si="30"/>
        <v/>
      </c>
      <c r="CD46" s="1" t="str">
        <f t="shared" si="31"/>
        <v/>
      </c>
      <c r="CE46" s="1" t="str">
        <f t="shared" si="32"/>
        <v/>
      </c>
      <c r="CF46" s="1" t="str">
        <f t="shared" si="33"/>
        <v/>
      </c>
      <c r="CG46" s="1" t="str">
        <f t="shared" si="34"/>
        <v/>
      </c>
      <c r="CH46" s="1" t="str">
        <f t="shared" si="35"/>
        <v/>
      </c>
    </row>
    <row r="47" spans="2:86" ht="15" customHeight="1">
      <c r="B47" s="1007"/>
      <c r="C47" s="1079"/>
      <c r="D47" s="1053"/>
      <c r="E47" s="1056"/>
      <c r="F47" s="1056"/>
      <c r="G47" s="1056"/>
      <c r="H47" s="1056"/>
      <c r="I47" s="1059"/>
      <c r="J47" s="905" t="s">
        <v>166</v>
      </c>
      <c r="K47" s="426" t="str">
        <f t="shared" si="130"/>
        <v/>
      </c>
      <c r="L47" s="426" t="str">
        <f t="shared" si="131"/>
        <v/>
      </c>
      <c r="M47" s="426" t="str">
        <f t="shared" si="132"/>
        <v/>
      </c>
      <c r="N47" s="426" t="str">
        <f t="shared" si="133"/>
        <v/>
      </c>
      <c r="O47" s="426" t="str">
        <f t="shared" si="134"/>
        <v/>
      </c>
      <c r="P47" s="427" t="str">
        <f t="shared" si="135"/>
        <v/>
      </c>
      <c r="Q47" s="251"/>
      <c r="R47" s="640">
        <f>'2020'!G47</f>
        <v>0</v>
      </c>
      <c r="S47" s="641">
        <f>'2021'!G47</f>
        <v>0</v>
      </c>
      <c r="T47" s="641">
        <f>'2022'!G47</f>
        <v>0</v>
      </c>
      <c r="U47" s="641">
        <f>'2023'!G47</f>
        <v>0</v>
      </c>
      <c r="V47" s="641">
        <f>'2024'!G47</f>
        <v>0</v>
      </c>
      <c r="W47" s="642">
        <f>'2025'!G47</f>
        <v>0</v>
      </c>
      <c r="X47" s="676">
        <f>'2020'!H47</f>
        <v>0</v>
      </c>
      <c r="Y47" s="641">
        <f>'2021'!H47</f>
        <v>0</v>
      </c>
      <c r="Z47" s="641">
        <f>'2022'!H47</f>
        <v>0</v>
      </c>
      <c r="AA47" s="641">
        <f>'2023'!H47</f>
        <v>0</v>
      </c>
      <c r="AB47" s="641">
        <f>'2024'!H47</f>
        <v>0</v>
      </c>
      <c r="AC47" s="642">
        <f>'2025'!H47</f>
        <v>0</v>
      </c>
      <c r="AD47" s="449">
        <f t="shared" si="4"/>
        <v>0</v>
      </c>
      <c r="AE47" s="450">
        <f t="shared" si="5"/>
        <v>0</v>
      </c>
      <c r="AF47" s="450">
        <f t="shared" si="6"/>
        <v>0</v>
      </c>
      <c r="AG47" s="450">
        <f t="shared" si="7"/>
        <v>0</v>
      </c>
      <c r="AH47" s="450">
        <f t="shared" si="8"/>
        <v>0</v>
      </c>
      <c r="AI47" s="451">
        <f t="shared" si="9"/>
        <v>0</v>
      </c>
      <c r="AJ47" s="676">
        <f>'2020'!J47</f>
        <v>0</v>
      </c>
      <c r="AK47" s="641">
        <f>'2021'!J47</f>
        <v>0</v>
      </c>
      <c r="AL47" s="641">
        <f>'2022'!J47</f>
        <v>0</v>
      </c>
      <c r="AM47" s="641">
        <f>'2023'!J47</f>
        <v>0</v>
      </c>
      <c r="AN47" s="641">
        <f>'2024'!J47</f>
        <v>0</v>
      </c>
      <c r="AO47" s="642">
        <f>'2025'!J47</f>
        <v>0</v>
      </c>
      <c r="AP47" s="449" t="str">
        <f t="shared" si="28"/>
        <v/>
      </c>
      <c r="AQ47" s="450" t="str">
        <f t="shared" si="11"/>
        <v/>
      </c>
      <c r="AR47" s="450" t="str">
        <f t="shared" si="12"/>
        <v/>
      </c>
      <c r="AS47" s="450" t="str">
        <f t="shared" si="13"/>
        <v/>
      </c>
      <c r="AT47" s="450" t="str">
        <f t="shared" si="14"/>
        <v/>
      </c>
      <c r="AU47" s="451" t="str">
        <f t="shared" si="15"/>
        <v/>
      </c>
      <c r="AV47" s="676">
        <f>'2020'!L47</f>
        <v>0</v>
      </c>
      <c r="AW47" s="641">
        <f>'2021'!L47</f>
        <v>0</v>
      </c>
      <c r="AX47" s="641">
        <f>'2022'!L47</f>
        <v>0</v>
      </c>
      <c r="AY47" s="641">
        <f>'2023'!L47</f>
        <v>0</v>
      </c>
      <c r="AZ47" s="641">
        <f>'2024'!L47</f>
        <v>0</v>
      </c>
      <c r="BA47" s="642">
        <f>'2025'!L47</f>
        <v>0</v>
      </c>
      <c r="BB47" s="449" t="str">
        <f t="shared" si="29"/>
        <v/>
      </c>
      <c r="BC47" s="450" t="str">
        <f t="shared" si="16"/>
        <v/>
      </c>
      <c r="BD47" s="450" t="str">
        <f t="shared" si="17"/>
        <v/>
      </c>
      <c r="BE47" s="450" t="str">
        <f t="shared" si="18"/>
        <v/>
      </c>
      <c r="BF47" s="450" t="str">
        <f t="shared" si="19"/>
        <v/>
      </c>
      <c r="BG47" s="451" t="str">
        <f t="shared" si="20"/>
        <v/>
      </c>
      <c r="BH47" s="966">
        <f>'2020'!N47</f>
        <v>0</v>
      </c>
      <c r="BI47" s="967">
        <f>'2021'!N47</f>
        <v>0</v>
      </c>
      <c r="BJ47" s="967">
        <f>'2022'!N47</f>
        <v>0</v>
      </c>
      <c r="BK47" s="967">
        <f>'2023'!N47</f>
        <v>0</v>
      </c>
      <c r="BL47" s="967">
        <f>'2024'!N47</f>
        <v>0</v>
      </c>
      <c r="BM47" s="968">
        <f>'2025'!N47</f>
        <v>0</v>
      </c>
      <c r="BN47" s="452"/>
      <c r="BO47" s="453"/>
      <c r="BP47" s="452"/>
      <c r="BQ47" s="453"/>
      <c r="BR47" s="454"/>
      <c r="BS47" s="455"/>
      <c r="BT47" s="454"/>
      <c r="BU47" s="456"/>
      <c r="CC47" s="1" t="str">
        <f t="shared" si="30"/>
        <v/>
      </c>
      <c r="CD47" s="1" t="str">
        <f t="shared" si="31"/>
        <v/>
      </c>
      <c r="CE47" s="1" t="str">
        <f t="shared" si="32"/>
        <v/>
      </c>
      <c r="CF47" s="1" t="str">
        <f t="shared" si="33"/>
        <v/>
      </c>
      <c r="CG47" s="1" t="str">
        <f t="shared" si="34"/>
        <v/>
      </c>
      <c r="CH47" s="1" t="str">
        <f t="shared" si="35"/>
        <v/>
      </c>
    </row>
    <row r="48" spans="2:86" ht="15" customHeight="1">
      <c r="B48" s="1007"/>
      <c r="C48" s="1079"/>
      <c r="D48" s="1054"/>
      <c r="E48" s="1057"/>
      <c r="F48" s="1057"/>
      <c r="G48" s="1057"/>
      <c r="H48" s="1057"/>
      <c r="I48" s="1060"/>
      <c r="J48" s="907" t="s">
        <v>166</v>
      </c>
      <c r="K48" s="457" t="str">
        <f t="shared" si="130"/>
        <v/>
      </c>
      <c r="L48" s="457" t="str">
        <f t="shared" si="131"/>
        <v/>
      </c>
      <c r="M48" s="457" t="str">
        <f t="shared" si="132"/>
        <v/>
      </c>
      <c r="N48" s="457" t="str">
        <f t="shared" si="133"/>
        <v/>
      </c>
      <c r="O48" s="457" t="str">
        <f t="shared" si="134"/>
        <v/>
      </c>
      <c r="P48" s="458" t="str">
        <f t="shared" si="135"/>
        <v/>
      </c>
      <c r="Q48" s="459"/>
      <c r="R48" s="643">
        <f>'2020'!G48</f>
        <v>0</v>
      </c>
      <c r="S48" s="644">
        <f>'2021'!G48</f>
        <v>0</v>
      </c>
      <c r="T48" s="644">
        <f>'2022'!G48</f>
        <v>0</v>
      </c>
      <c r="U48" s="644">
        <f>'2023'!G48</f>
        <v>0</v>
      </c>
      <c r="V48" s="644">
        <f>'2024'!G48</f>
        <v>0</v>
      </c>
      <c r="W48" s="645">
        <f>'2025'!G48</f>
        <v>0</v>
      </c>
      <c r="X48" s="677">
        <f>'2020'!H48</f>
        <v>0</v>
      </c>
      <c r="Y48" s="644">
        <f>'2021'!H48</f>
        <v>0</v>
      </c>
      <c r="Z48" s="644">
        <f>'2022'!H48</f>
        <v>0</v>
      </c>
      <c r="AA48" s="644">
        <f>'2023'!H48</f>
        <v>0</v>
      </c>
      <c r="AB48" s="644">
        <f>'2024'!H48</f>
        <v>0</v>
      </c>
      <c r="AC48" s="645">
        <f>'2025'!H48</f>
        <v>0</v>
      </c>
      <c r="AD48" s="460">
        <f t="shared" si="4"/>
        <v>0</v>
      </c>
      <c r="AE48" s="461">
        <f t="shared" si="5"/>
        <v>0</v>
      </c>
      <c r="AF48" s="461">
        <f t="shared" si="6"/>
        <v>0</v>
      </c>
      <c r="AG48" s="461">
        <f t="shared" si="7"/>
        <v>0</v>
      </c>
      <c r="AH48" s="461">
        <f t="shared" si="8"/>
        <v>0</v>
      </c>
      <c r="AI48" s="462">
        <f t="shared" si="9"/>
        <v>0</v>
      </c>
      <c r="AJ48" s="677">
        <f>'2020'!J48</f>
        <v>0</v>
      </c>
      <c r="AK48" s="644">
        <f>'2021'!J48</f>
        <v>0</v>
      </c>
      <c r="AL48" s="644">
        <f>'2022'!J48</f>
        <v>0</v>
      </c>
      <c r="AM48" s="644">
        <f>'2023'!J48</f>
        <v>0</v>
      </c>
      <c r="AN48" s="644">
        <f>'2024'!J48</f>
        <v>0</v>
      </c>
      <c r="AO48" s="645">
        <f>'2025'!J48</f>
        <v>0</v>
      </c>
      <c r="AP48" s="460" t="str">
        <f t="shared" si="28"/>
        <v/>
      </c>
      <c r="AQ48" s="461" t="str">
        <f t="shared" si="11"/>
        <v/>
      </c>
      <c r="AR48" s="461" t="str">
        <f t="shared" si="12"/>
        <v/>
      </c>
      <c r="AS48" s="461" t="str">
        <f t="shared" si="13"/>
        <v/>
      </c>
      <c r="AT48" s="461" t="str">
        <f t="shared" si="14"/>
        <v/>
      </c>
      <c r="AU48" s="462" t="str">
        <f t="shared" si="15"/>
        <v/>
      </c>
      <c r="AV48" s="677">
        <f>'2020'!L48</f>
        <v>0</v>
      </c>
      <c r="AW48" s="644">
        <f>'2021'!L48</f>
        <v>0</v>
      </c>
      <c r="AX48" s="644">
        <f>'2022'!L48</f>
        <v>0</v>
      </c>
      <c r="AY48" s="644">
        <f>'2023'!L48</f>
        <v>0</v>
      </c>
      <c r="AZ48" s="644">
        <f>'2024'!L48</f>
        <v>0</v>
      </c>
      <c r="BA48" s="645">
        <f>'2025'!L48</f>
        <v>0</v>
      </c>
      <c r="BB48" s="460" t="str">
        <f t="shared" si="29"/>
        <v/>
      </c>
      <c r="BC48" s="461" t="str">
        <f t="shared" si="16"/>
        <v/>
      </c>
      <c r="BD48" s="461" t="str">
        <f t="shared" si="17"/>
        <v/>
      </c>
      <c r="BE48" s="461" t="str">
        <f t="shared" si="18"/>
        <v/>
      </c>
      <c r="BF48" s="461" t="str">
        <f t="shared" si="19"/>
        <v/>
      </c>
      <c r="BG48" s="462" t="str">
        <f t="shared" si="20"/>
        <v/>
      </c>
      <c r="BH48" s="969">
        <f>'2020'!N48</f>
        <v>0</v>
      </c>
      <c r="BI48" s="970">
        <f>'2021'!N48</f>
        <v>0</v>
      </c>
      <c r="BJ48" s="970">
        <f>'2022'!N48</f>
        <v>0</v>
      </c>
      <c r="BK48" s="970">
        <f>'2023'!N48</f>
        <v>0</v>
      </c>
      <c r="BL48" s="970">
        <f>'2024'!N48</f>
        <v>0</v>
      </c>
      <c r="BM48" s="971">
        <f>'2025'!N48</f>
        <v>0</v>
      </c>
      <c r="BN48" s="463"/>
      <c r="BO48" s="464"/>
      <c r="BP48" s="463"/>
      <c r="BQ48" s="464"/>
      <c r="BR48" s="465"/>
      <c r="BS48" s="466"/>
      <c r="BT48" s="465"/>
      <c r="BU48" s="467"/>
      <c r="CC48" s="1" t="str">
        <f t="shared" si="30"/>
        <v/>
      </c>
      <c r="CD48" s="1" t="str">
        <f t="shared" si="31"/>
        <v/>
      </c>
      <c r="CE48" s="1" t="str">
        <f t="shared" si="32"/>
        <v/>
      </c>
      <c r="CF48" s="1" t="str">
        <f t="shared" si="33"/>
        <v/>
      </c>
      <c r="CG48" s="1" t="str">
        <f t="shared" si="34"/>
        <v/>
      </c>
      <c r="CH48" s="1" t="str">
        <f t="shared" si="35"/>
        <v/>
      </c>
    </row>
    <row r="49" spans="2:86" ht="15.75">
      <c r="B49" s="1007"/>
      <c r="C49" s="1099"/>
      <c r="D49" s="404" t="s">
        <v>138</v>
      </c>
      <c r="E49" s="401"/>
      <c r="F49" s="401"/>
      <c r="G49" s="401"/>
      <c r="H49" s="401"/>
      <c r="I49" s="409"/>
      <c r="J49" s="898"/>
      <c r="K49" s="414">
        <f>COUNTIF(K35:K48,"X")</f>
        <v>8</v>
      </c>
      <c r="L49" s="471">
        <f t="shared" ref="L49" si="136">COUNTIF(L35:L48,"X")</f>
        <v>8</v>
      </c>
      <c r="M49" s="471">
        <f t="shared" ref="M49" si="137">COUNTIF(M35:M48,"X")</f>
        <v>10</v>
      </c>
      <c r="N49" s="471">
        <f t="shared" ref="N49" si="138">COUNTIF(N35:N48,"X")</f>
        <v>0</v>
      </c>
      <c r="O49" s="471">
        <f t="shared" ref="O49" si="139">COUNTIF(O35:O48,"X")</f>
        <v>0</v>
      </c>
      <c r="P49" s="472">
        <f t="shared" ref="P49" si="140">COUNTIF(P35:P48,"X")</f>
        <v>0</v>
      </c>
      <c r="Q49" s="16"/>
      <c r="R49" s="657">
        <f>SUM(R35:R48)</f>
        <v>172</v>
      </c>
      <c r="S49" s="658">
        <f t="shared" ref="S49:W49" si="141">SUM(S35:S48)</f>
        <v>295</v>
      </c>
      <c r="T49" s="658">
        <f t="shared" si="141"/>
        <v>285</v>
      </c>
      <c r="U49" s="658">
        <f t="shared" si="141"/>
        <v>0</v>
      </c>
      <c r="V49" s="658">
        <f t="shared" si="141"/>
        <v>0</v>
      </c>
      <c r="W49" s="659">
        <f t="shared" si="141"/>
        <v>0</v>
      </c>
      <c r="X49" s="682">
        <f>SUM(X35:X48)</f>
        <v>111</v>
      </c>
      <c r="Y49" s="658">
        <f t="shared" ref="Y49:AC49" si="142">SUM(Y35:Y48)</f>
        <v>193</v>
      </c>
      <c r="Z49" s="658">
        <f t="shared" si="142"/>
        <v>106</v>
      </c>
      <c r="AA49" s="658">
        <f t="shared" si="142"/>
        <v>0</v>
      </c>
      <c r="AB49" s="658">
        <f t="shared" si="142"/>
        <v>0</v>
      </c>
      <c r="AC49" s="659">
        <f t="shared" si="142"/>
        <v>0</v>
      </c>
      <c r="AD49" s="338">
        <f t="shared" si="4"/>
        <v>0.2441860465116279</v>
      </c>
      <c r="AE49" s="339">
        <f t="shared" si="5"/>
        <v>0.25084745762711863</v>
      </c>
      <c r="AF49" s="339">
        <f t="shared" si="6"/>
        <v>0.31228070175438599</v>
      </c>
      <c r="AG49" s="339">
        <f t="shared" si="7"/>
        <v>0</v>
      </c>
      <c r="AH49" s="339">
        <f t="shared" si="8"/>
        <v>0</v>
      </c>
      <c r="AI49" s="344">
        <f t="shared" si="9"/>
        <v>0</v>
      </c>
      <c r="AJ49" s="682">
        <f>SUM(AJ35:AJ48)</f>
        <v>42</v>
      </c>
      <c r="AK49" s="658">
        <f t="shared" ref="AK49" si="143">SUM(AK35:AK48)</f>
        <v>74</v>
      </c>
      <c r="AL49" s="658">
        <f t="shared" ref="AL49" si="144">SUM(AL35:AL48)</f>
        <v>89</v>
      </c>
      <c r="AM49" s="658">
        <f t="shared" ref="AM49" si="145">SUM(AM35:AM48)</f>
        <v>0</v>
      </c>
      <c r="AN49" s="658">
        <f t="shared" ref="AN49" si="146">SUM(AN35:AN48)</f>
        <v>0</v>
      </c>
      <c r="AO49" s="659">
        <f t="shared" ref="AO49" si="147">SUM(AO35:AO48)</f>
        <v>0</v>
      </c>
      <c r="AP49" s="338">
        <f t="shared" si="28"/>
        <v>0.30813953488372092</v>
      </c>
      <c r="AQ49" s="339">
        <f t="shared" si="11"/>
        <v>0.29491525423728815</v>
      </c>
      <c r="AR49" s="339">
        <f t="shared" si="12"/>
        <v>0.25263157894736843</v>
      </c>
      <c r="AS49" s="339" t="str">
        <f t="shared" si="13"/>
        <v/>
      </c>
      <c r="AT49" s="339" t="str">
        <f t="shared" si="14"/>
        <v/>
      </c>
      <c r="AU49" s="344" t="str">
        <f t="shared" si="15"/>
        <v/>
      </c>
      <c r="AV49" s="682">
        <f>SUM(AV35:AV48)</f>
        <v>53</v>
      </c>
      <c r="AW49" s="658">
        <f t="shared" ref="AW49" si="148">SUM(AW35:AW48)</f>
        <v>87</v>
      </c>
      <c r="AX49" s="658">
        <f t="shared" ref="AX49" si="149">SUM(AX35:AX48)</f>
        <v>72</v>
      </c>
      <c r="AY49" s="658">
        <f t="shared" ref="AY49" si="150">SUM(AY35:AY48)</f>
        <v>0</v>
      </c>
      <c r="AZ49" s="658">
        <f t="shared" ref="AZ49" si="151">SUM(AZ35:AZ48)</f>
        <v>0</v>
      </c>
      <c r="BA49" s="659">
        <f t="shared" ref="BA49" si="152">SUM(BA35:BA48)</f>
        <v>0</v>
      </c>
      <c r="BB49" s="340">
        <f t="shared" si="29"/>
        <v>0</v>
      </c>
      <c r="BC49" s="341">
        <f t="shared" si="16"/>
        <v>0</v>
      </c>
      <c r="BD49" s="341">
        <f t="shared" si="17"/>
        <v>0</v>
      </c>
      <c r="BE49" s="341" t="str">
        <f t="shared" si="18"/>
        <v/>
      </c>
      <c r="BF49" s="341" t="str">
        <f t="shared" si="19"/>
        <v/>
      </c>
      <c r="BG49" s="345" t="str">
        <f t="shared" si="20"/>
        <v/>
      </c>
      <c r="BH49" s="682">
        <f>SUM(BH35:BH48)</f>
        <v>0</v>
      </c>
      <c r="BI49" s="658">
        <f t="shared" ref="BI49" si="153">SUM(BI35:BI48)</f>
        <v>0</v>
      </c>
      <c r="BJ49" s="658">
        <f t="shared" ref="BJ49" si="154">SUM(BJ35:BJ48)</f>
        <v>0</v>
      </c>
      <c r="BK49" s="658">
        <f t="shared" ref="BK49" si="155">SUM(BK35:BK48)</f>
        <v>0</v>
      </c>
      <c r="BL49" s="658">
        <f t="shared" ref="BL49" si="156">SUM(BL35:BL48)</f>
        <v>0</v>
      </c>
      <c r="BM49" s="659">
        <f t="shared" ref="BM49" si="157">SUM(BM35:BM48)</f>
        <v>0</v>
      </c>
      <c r="BN49" s="354"/>
      <c r="BO49" s="355"/>
      <c r="BP49" s="354"/>
      <c r="BQ49" s="355"/>
      <c r="BR49" s="354"/>
      <c r="BS49" s="355"/>
      <c r="BT49" s="354"/>
      <c r="BU49" s="356"/>
      <c r="CC49" s="1">
        <f t="shared" si="30"/>
        <v>0</v>
      </c>
      <c r="CD49" s="1">
        <f t="shared" si="31"/>
        <v>0</v>
      </c>
      <c r="CE49" s="1">
        <f t="shared" si="32"/>
        <v>0</v>
      </c>
      <c r="CF49" s="1">
        <f t="shared" si="33"/>
        <v>0</v>
      </c>
      <c r="CG49" s="1">
        <f t="shared" si="34"/>
        <v>0</v>
      </c>
      <c r="CH49" s="1">
        <f t="shared" si="35"/>
        <v>0</v>
      </c>
    </row>
    <row r="50" spans="2:86" ht="15.75" customHeight="1">
      <c r="B50" s="1007" t="s">
        <v>83</v>
      </c>
      <c r="C50" s="1079" t="s">
        <v>75</v>
      </c>
      <c r="D50" s="1093">
        <f>'2020'!D50</f>
        <v>9</v>
      </c>
      <c r="E50" s="1040">
        <f>'2021'!D50</f>
        <v>9</v>
      </c>
      <c r="F50" s="1040">
        <f>'2022'!D50</f>
        <v>6</v>
      </c>
      <c r="G50" s="1040">
        <f>'2023'!D50</f>
        <v>9</v>
      </c>
      <c r="H50" s="1040"/>
      <c r="I50" s="1044"/>
      <c r="J50" s="903" t="s">
        <v>10</v>
      </c>
      <c r="K50" s="424" t="str">
        <f t="shared" ref="K50:K63" si="158">IF(R50=0,"","X")</f>
        <v>X</v>
      </c>
      <c r="L50" s="424" t="str">
        <f t="shared" ref="L50:L63" si="159">IF(S50=0,"","X")</f>
        <v>X</v>
      </c>
      <c r="M50" s="424" t="str">
        <f t="shared" ref="M50:M63" si="160">IF(T50=0,"","X")</f>
        <v>X</v>
      </c>
      <c r="N50" s="424" t="str">
        <f t="shared" ref="N50:N63" si="161">IF(U50=0,"","X")</f>
        <v>X</v>
      </c>
      <c r="O50" s="424" t="str">
        <f t="shared" ref="O50:O63" si="162">IF(V50=0,"","X")</f>
        <v/>
      </c>
      <c r="P50" s="425" t="str">
        <f t="shared" ref="P50:P63" si="163">IF(W50=0,"","X")</f>
        <v/>
      </c>
      <c r="Q50" s="246" t="s">
        <v>60</v>
      </c>
      <c r="R50" s="649">
        <f>'2020'!G50</f>
        <v>37</v>
      </c>
      <c r="S50" s="650">
        <f>'2021'!G50</f>
        <v>46</v>
      </c>
      <c r="T50" s="650">
        <f>'2022'!G50</f>
        <v>50</v>
      </c>
      <c r="U50" s="650">
        <f>'2023'!G50</f>
        <v>81</v>
      </c>
      <c r="V50" s="650">
        <f>'2024'!G50</f>
        <v>0</v>
      </c>
      <c r="W50" s="651">
        <f>'2025'!G50</f>
        <v>0</v>
      </c>
      <c r="X50" s="679">
        <f>'2020'!H50</f>
        <v>23</v>
      </c>
      <c r="Y50" s="650">
        <f>'2021'!H50</f>
        <v>32</v>
      </c>
      <c r="Z50" s="650">
        <f>'2022'!H50</f>
        <v>37</v>
      </c>
      <c r="AA50" s="650">
        <f>'2023'!H50</f>
        <v>54</v>
      </c>
      <c r="AB50" s="650">
        <f>'2024'!H50</f>
        <v>0</v>
      </c>
      <c r="AC50" s="651">
        <f>'2025'!H50</f>
        <v>0</v>
      </c>
      <c r="AD50" s="440">
        <f t="shared" si="4"/>
        <v>0.38</v>
      </c>
      <c r="AE50" s="441">
        <f t="shared" si="5"/>
        <v>0.65217391304347827</v>
      </c>
      <c r="AF50" s="441">
        <f t="shared" si="6"/>
        <v>0.68</v>
      </c>
      <c r="AG50" s="441">
        <f t="shared" si="7"/>
        <v>0.59259259259259256</v>
      </c>
      <c r="AH50" s="441">
        <f t="shared" si="8"/>
        <v>0</v>
      </c>
      <c r="AI50" s="442">
        <f t="shared" si="9"/>
        <v>0</v>
      </c>
      <c r="AJ50" s="679">
        <f>'2020'!J50</f>
        <v>14.06</v>
      </c>
      <c r="AK50" s="650">
        <f>'2021'!J50</f>
        <v>30</v>
      </c>
      <c r="AL50" s="650">
        <f>'2022'!J50</f>
        <v>34</v>
      </c>
      <c r="AM50" s="650">
        <f>'2023'!J50</f>
        <v>48</v>
      </c>
      <c r="AN50" s="650">
        <f>'2024'!J50</f>
        <v>0</v>
      </c>
      <c r="AO50" s="651">
        <f>'2025'!J50</f>
        <v>0</v>
      </c>
      <c r="AP50" s="440">
        <f t="shared" si="28"/>
        <v>0.16</v>
      </c>
      <c r="AQ50" s="441">
        <f t="shared" si="11"/>
        <v>0.19565217391304349</v>
      </c>
      <c r="AR50" s="441">
        <f t="shared" si="12"/>
        <v>0.22</v>
      </c>
      <c r="AS50" s="441">
        <f t="shared" si="13"/>
        <v>0.30864197530864196</v>
      </c>
      <c r="AT50" s="441" t="str">
        <f t="shared" si="14"/>
        <v/>
      </c>
      <c r="AU50" s="442" t="str">
        <f t="shared" si="15"/>
        <v/>
      </c>
      <c r="AV50" s="679">
        <f>'2020'!L50</f>
        <v>5.92</v>
      </c>
      <c r="AW50" s="650">
        <f>'2021'!L50</f>
        <v>9</v>
      </c>
      <c r="AX50" s="650">
        <f>'2022'!L50</f>
        <v>11</v>
      </c>
      <c r="AY50" s="650">
        <f>'2023'!L50</f>
        <v>25</v>
      </c>
      <c r="AZ50" s="650">
        <f>'2024'!L50</f>
        <v>0</v>
      </c>
      <c r="BA50" s="651">
        <f>'2025'!L50</f>
        <v>0</v>
      </c>
      <c r="BB50" s="440">
        <f t="shared" si="29"/>
        <v>1</v>
      </c>
      <c r="BC50" s="441">
        <f t="shared" si="16"/>
        <v>1</v>
      </c>
      <c r="BD50" s="441">
        <f t="shared" si="17"/>
        <v>0.81818181818181823</v>
      </c>
      <c r="BE50" s="441">
        <f>IF(AY50=0,"",IF(BK50="-","",BK50/AY50))</f>
        <v>0.8</v>
      </c>
      <c r="BF50" s="441" t="str">
        <f t="shared" si="19"/>
        <v/>
      </c>
      <c r="BG50" s="442" t="str">
        <f t="shared" si="20"/>
        <v/>
      </c>
      <c r="BH50" s="972">
        <f>'2020'!N50</f>
        <v>5.92</v>
      </c>
      <c r="BI50" s="973">
        <f>'2021'!N50</f>
        <v>9</v>
      </c>
      <c r="BJ50" s="973">
        <f>'2022'!N50</f>
        <v>9</v>
      </c>
      <c r="BK50" s="973">
        <f>'2023'!N50</f>
        <v>20</v>
      </c>
      <c r="BL50" s="973">
        <f>'2024'!N50</f>
        <v>0</v>
      </c>
      <c r="BM50" s="974">
        <f>'2025'!N50</f>
        <v>0</v>
      </c>
      <c r="BN50" s="443" t="s">
        <v>21</v>
      </c>
      <c r="BO50" s="444" t="s">
        <v>21</v>
      </c>
      <c r="BP50" s="443" t="s">
        <v>21</v>
      </c>
      <c r="BQ50" s="444" t="s">
        <v>21</v>
      </c>
      <c r="BR50" s="445" t="s">
        <v>21</v>
      </c>
      <c r="BS50" s="446" t="s">
        <v>21</v>
      </c>
      <c r="BT50" s="445" t="s">
        <v>21</v>
      </c>
      <c r="BU50" s="447" t="s">
        <v>21</v>
      </c>
      <c r="CC50" s="1" t="str">
        <f t="shared" si="30"/>
        <v>France</v>
      </c>
      <c r="CD50" s="1" t="str">
        <f t="shared" si="31"/>
        <v>France</v>
      </c>
      <c r="CE50" s="1" t="str">
        <f t="shared" si="32"/>
        <v>France</v>
      </c>
      <c r="CF50" s="1" t="str">
        <f t="shared" si="33"/>
        <v>France</v>
      </c>
      <c r="CG50" s="1" t="str">
        <f t="shared" si="34"/>
        <v/>
      </c>
      <c r="CH50" s="1" t="str">
        <f t="shared" si="35"/>
        <v/>
      </c>
    </row>
    <row r="51" spans="2:86" ht="15.75" customHeight="1">
      <c r="B51" s="1007"/>
      <c r="C51" s="1079"/>
      <c r="D51" s="1048"/>
      <c r="E51" s="1041"/>
      <c r="F51" s="1041"/>
      <c r="G51" s="1041"/>
      <c r="H51" s="1041"/>
      <c r="I51" s="1045"/>
      <c r="J51" s="905" t="s">
        <v>11</v>
      </c>
      <c r="K51" s="426" t="str">
        <f t="shared" si="158"/>
        <v>X</v>
      </c>
      <c r="L51" s="426" t="str">
        <f t="shared" si="159"/>
        <v>X</v>
      </c>
      <c r="M51" s="426" t="str">
        <f t="shared" si="160"/>
        <v>X</v>
      </c>
      <c r="N51" s="426" t="str">
        <f t="shared" si="161"/>
        <v>X</v>
      </c>
      <c r="O51" s="426" t="str">
        <f t="shared" si="162"/>
        <v/>
      </c>
      <c r="P51" s="427" t="str">
        <f t="shared" si="163"/>
        <v/>
      </c>
      <c r="Q51" s="251" t="s">
        <v>60</v>
      </c>
      <c r="R51" s="640">
        <f>'2020'!G51</f>
        <v>33</v>
      </c>
      <c r="S51" s="641">
        <f>'2021'!G51</f>
        <v>28</v>
      </c>
      <c r="T51" s="641">
        <f>'2022'!G51</f>
        <v>26</v>
      </c>
      <c r="U51" s="641">
        <f>'2023'!G51</f>
        <v>50</v>
      </c>
      <c r="V51" s="641">
        <f>'2024'!G51</f>
        <v>0</v>
      </c>
      <c r="W51" s="642">
        <f>'2025'!G51</f>
        <v>0</v>
      </c>
      <c r="X51" s="676">
        <f>'2020'!H51</f>
        <v>15</v>
      </c>
      <c r="Y51" s="641">
        <f>'2021'!H51</f>
        <v>17</v>
      </c>
      <c r="Z51" s="641">
        <f>'2022'!H51</f>
        <v>17</v>
      </c>
      <c r="AA51" s="641">
        <f>'2023'!H51</f>
        <v>29</v>
      </c>
      <c r="AB51" s="641">
        <f>'2024'!H51</f>
        <v>0</v>
      </c>
      <c r="AC51" s="642">
        <f>'2025'!H51</f>
        <v>0</v>
      </c>
      <c r="AD51" s="449">
        <f t="shared" si="4"/>
        <v>0.3</v>
      </c>
      <c r="AE51" s="450">
        <f t="shared" si="5"/>
        <v>0.6428571428571429</v>
      </c>
      <c r="AF51" s="450">
        <f t="shared" si="6"/>
        <v>0.42307692307692307</v>
      </c>
      <c r="AG51" s="450">
        <f t="shared" si="7"/>
        <v>0.5</v>
      </c>
      <c r="AH51" s="450">
        <f t="shared" si="8"/>
        <v>0</v>
      </c>
      <c r="AI51" s="451">
        <f t="shared" si="9"/>
        <v>0</v>
      </c>
      <c r="AJ51" s="676">
        <f>'2020'!J51</f>
        <v>9.9</v>
      </c>
      <c r="AK51" s="641">
        <f>'2021'!J51</f>
        <v>18</v>
      </c>
      <c r="AL51" s="641">
        <f>'2022'!J51</f>
        <v>11</v>
      </c>
      <c r="AM51" s="641">
        <f>'2023'!J51</f>
        <v>25</v>
      </c>
      <c r="AN51" s="641">
        <f>'2024'!J51</f>
        <v>0</v>
      </c>
      <c r="AO51" s="642">
        <f>'2025'!J51</f>
        <v>0</v>
      </c>
      <c r="AP51" s="449">
        <f t="shared" si="28"/>
        <v>0.09</v>
      </c>
      <c r="AQ51" s="450">
        <f t="shared" si="11"/>
        <v>0.32142857142857145</v>
      </c>
      <c r="AR51" s="450">
        <f t="shared" si="12"/>
        <v>0.23076923076923078</v>
      </c>
      <c r="AS51" s="450">
        <f t="shared" si="13"/>
        <v>0.28000000000000003</v>
      </c>
      <c r="AT51" s="450" t="str">
        <f t="shared" si="14"/>
        <v/>
      </c>
      <c r="AU51" s="451" t="str">
        <f t="shared" si="15"/>
        <v/>
      </c>
      <c r="AV51" s="676">
        <f>'2020'!L51</f>
        <v>2.9699999999999998</v>
      </c>
      <c r="AW51" s="641">
        <f>'2021'!L51</f>
        <v>9</v>
      </c>
      <c r="AX51" s="641">
        <f>'2022'!L51</f>
        <v>6</v>
      </c>
      <c r="AY51" s="641">
        <f>'2023'!L51</f>
        <v>14.000000000000002</v>
      </c>
      <c r="AZ51" s="641">
        <f>'2024'!L51</f>
        <v>0</v>
      </c>
      <c r="BA51" s="642">
        <f>'2025'!L51</f>
        <v>0</v>
      </c>
      <c r="BB51" s="449">
        <f t="shared" si="29"/>
        <v>1</v>
      </c>
      <c r="BC51" s="450">
        <f t="shared" si="16"/>
        <v>0.77777777777777779</v>
      </c>
      <c r="BD51" s="450">
        <f t="shared" si="17"/>
        <v>0.66666666666666663</v>
      </c>
      <c r="BE51" s="450">
        <f t="shared" si="18"/>
        <v>0.85714285714285698</v>
      </c>
      <c r="BF51" s="450" t="str">
        <f t="shared" si="19"/>
        <v/>
      </c>
      <c r="BG51" s="451" t="str">
        <f t="shared" si="20"/>
        <v/>
      </c>
      <c r="BH51" s="966">
        <f>'2020'!N51</f>
        <v>2.9699999999999998</v>
      </c>
      <c r="BI51" s="967">
        <f>'2021'!N51</f>
        <v>7</v>
      </c>
      <c r="BJ51" s="967">
        <f>'2022'!N51</f>
        <v>4</v>
      </c>
      <c r="BK51" s="967">
        <f>'2023'!N51</f>
        <v>12</v>
      </c>
      <c r="BL51" s="967">
        <f>'2024'!N51</f>
        <v>0</v>
      </c>
      <c r="BM51" s="968">
        <f>'2025'!N51</f>
        <v>0</v>
      </c>
      <c r="BN51" s="452" t="s">
        <v>21</v>
      </c>
      <c r="BO51" s="453" t="s">
        <v>21</v>
      </c>
      <c r="BP51" s="452" t="s">
        <v>21</v>
      </c>
      <c r="BQ51" s="453" t="s">
        <v>21</v>
      </c>
      <c r="BR51" s="454" t="s">
        <v>21</v>
      </c>
      <c r="BS51" s="455" t="s">
        <v>21</v>
      </c>
      <c r="BT51" s="454" t="s">
        <v>21</v>
      </c>
      <c r="BU51" s="456" t="s">
        <v>21</v>
      </c>
      <c r="CC51" s="1" t="str">
        <f t="shared" si="30"/>
        <v>France</v>
      </c>
      <c r="CD51" s="1" t="str">
        <f t="shared" si="31"/>
        <v>France</v>
      </c>
      <c r="CE51" s="1" t="str">
        <f t="shared" si="32"/>
        <v>France</v>
      </c>
      <c r="CF51" s="1" t="str">
        <f t="shared" si="33"/>
        <v>France</v>
      </c>
      <c r="CG51" s="1" t="str">
        <f t="shared" si="34"/>
        <v/>
      </c>
      <c r="CH51" s="1" t="str">
        <f t="shared" si="35"/>
        <v/>
      </c>
    </row>
    <row r="52" spans="2:86" ht="15.75" customHeight="1">
      <c r="B52" s="1007"/>
      <c r="C52" s="1079"/>
      <c r="D52" s="1048"/>
      <c r="E52" s="1041"/>
      <c r="F52" s="1041"/>
      <c r="G52" s="1041"/>
      <c r="H52" s="1041"/>
      <c r="I52" s="1045"/>
      <c r="J52" s="905" t="s">
        <v>12</v>
      </c>
      <c r="K52" s="426" t="str">
        <f t="shared" si="158"/>
        <v>X</v>
      </c>
      <c r="L52" s="426" t="str">
        <f t="shared" si="159"/>
        <v>X</v>
      </c>
      <c r="M52" s="426" t="str">
        <f t="shared" si="160"/>
        <v/>
      </c>
      <c r="N52" s="426" t="str">
        <f t="shared" si="161"/>
        <v/>
      </c>
      <c r="O52" s="426" t="str">
        <f t="shared" si="162"/>
        <v/>
      </c>
      <c r="P52" s="427" t="str">
        <f t="shared" si="163"/>
        <v/>
      </c>
      <c r="Q52" s="251" t="s">
        <v>60</v>
      </c>
      <c r="R52" s="640">
        <f>'2020'!G52</f>
        <v>6</v>
      </c>
      <c r="S52" s="641">
        <f>'2021'!G52</f>
        <v>5</v>
      </c>
      <c r="T52" s="655">
        <f>'2022'!G52</f>
        <v>0</v>
      </c>
      <c r="U52" s="655">
        <f>'2023'!G52</f>
        <v>0</v>
      </c>
      <c r="V52" s="655">
        <f>'2024'!G52</f>
        <v>0</v>
      </c>
      <c r="W52" s="656">
        <f>'2025'!G52</f>
        <v>0</v>
      </c>
      <c r="X52" s="676">
        <f>'2020'!H52</f>
        <v>5</v>
      </c>
      <c r="Y52" s="641">
        <f>'2021'!H52</f>
        <v>5</v>
      </c>
      <c r="Z52" s="641">
        <f>'2022'!H52</f>
        <v>0</v>
      </c>
      <c r="AA52" s="641">
        <f>'2023'!H52</f>
        <v>0</v>
      </c>
      <c r="AB52" s="641">
        <f>'2024'!H52</f>
        <v>0</v>
      </c>
      <c r="AC52" s="642">
        <f>'2025'!H52</f>
        <v>0</v>
      </c>
      <c r="AD52" s="449">
        <f t="shared" si="4"/>
        <v>0</v>
      </c>
      <c r="AE52" s="450">
        <f t="shared" si="5"/>
        <v>0.6</v>
      </c>
      <c r="AF52" s="450">
        <f t="shared" si="6"/>
        <v>0</v>
      </c>
      <c r="AG52" s="450">
        <f t="shared" si="7"/>
        <v>0</v>
      </c>
      <c r="AH52" s="450">
        <f t="shared" si="8"/>
        <v>0</v>
      </c>
      <c r="AI52" s="451">
        <f t="shared" si="9"/>
        <v>0</v>
      </c>
      <c r="AJ52" s="676">
        <f>'2020'!J52</f>
        <v>0</v>
      </c>
      <c r="AK52" s="641">
        <f>'2021'!J52</f>
        <v>3</v>
      </c>
      <c r="AL52" s="641">
        <f>'2022'!J52</f>
        <v>0</v>
      </c>
      <c r="AM52" s="641">
        <f>'2023'!J52</f>
        <v>0</v>
      </c>
      <c r="AN52" s="641">
        <f>'2024'!J52</f>
        <v>0</v>
      </c>
      <c r="AO52" s="642">
        <f>'2025'!J52</f>
        <v>0</v>
      </c>
      <c r="AP52" s="449">
        <f t="shared" si="28"/>
        <v>0</v>
      </c>
      <c r="AQ52" s="450">
        <f t="shared" si="11"/>
        <v>0.2</v>
      </c>
      <c r="AR52" s="450" t="str">
        <f t="shared" si="12"/>
        <v/>
      </c>
      <c r="AS52" s="450" t="str">
        <f t="shared" si="13"/>
        <v/>
      </c>
      <c r="AT52" s="450" t="str">
        <f t="shared" si="14"/>
        <v/>
      </c>
      <c r="AU52" s="451" t="str">
        <f t="shared" si="15"/>
        <v/>
      </c>
      <c r="AV52" s="676">
        <f>'2020'!L52</f>
        <v>0</v>
      </c>
      <c r="AW52" s="641">
        <f>'2021'!L52</f>
        <v>1</v>
      </c>
      <c r="AX52" s="641">
        <f>'2022'!L52</f>
        <v>0</v>
      </c>
      <c r="AY52" s="641">
        <f>'2023'!L52</f>
        <v>0</v>
      </c>
      <c r="AZ52" s="641">
        <f>'2024'!L52</f>
        <v>0</v>
      </c>
      <c r="BA52" s="642">
        <f>'2025'!L52</f>
        <v>0</v>
      </c>
      <c r="BB52" s="449" t="str">
        <f t="shared" si="29"/>
        <v/>
      </c>
      <c r="BC52" s="450">
        <f t="shared" si="16"/>
        <v>1</v>
      </c>
      <c r="BD52" s="450" t="str">
        <f t="shared" si="17"/>
        <v/>
      </c>
      <c r="BE52" s="450" t="str">
        <f t="shared" si="18"/>
        <v/>
      </c>
      <c r="BF52" s="450" t="str">
        <f t="shared" si="19"/>
        <v/>
      </c>
      <c r="BG52" s="451" t="str">
        <f t="shared" si="20"/>
        <v/>
      </c>
      <c r="BH52" s="966">
        <f>'2020'!N52</f>
        <v>0</v>
      </c>
      <c r="BI52" s="967">
        <f>'2021'!N52</f>
        <v>1</v>
      </c>
      <c r="BJ52" s="967" t="str">
        <f>'2022'!N52</f>
        <v/>
      </c>
      <c r="BK52" s="967" t="str">
        <f>'2023'!N52</f>
        <v/>
      </c>
      <c r="BL52" s="967">
        <f>'2024'!N52</f>
        <v>0</v>
      </c>
      <c r="BM52" s="968">
        <f>'2025'!N52</f>
        <v>0</v>
      </c>
      <c r="BN52" s="452" t="s">
        <v>21</v>
      </c>
      <c r="BO52" s="453" t="s">
        <v>21</v>
      </c>
      <c r="BP52" s="452" t="s">
        <v>21</v>
      </c>
      <c r="BQ52" s="453" t="s">
        <v>21</v>
      </c>
      <c r="BR52" s="454" t="s">
        <v>21</v>
      </c>
      <c r="BS52" s="455" t="s">
        <v>21</v>
      </c>
      <c r="BT52" s="454" t="s">
        <v>21</v>
      </c>
      <c r="BU52" s="456" t="s">
        <v>21</v>
      </c>
      <c r="CC52" s="1" t="str">
        <f t="shared" si="30"/>
        <v>France</v>
      </c>
      <c r="CD52" s="1" t="str">
        <f t="shared" si="31"/>
        <v>France</v>
      </c>
      <c r="CE52" s="1" t="str">
        <f t="shared" si="32"/>
        <v/>
      </c>
      <c r="CF52" s="1" t="str">
        <f t="shared" si="33"/>
        <v/>
      </c>
      <c r="CG52" s="1" t="str">
        <f t="shared" si="34"/>
        <v/>
      </c>
      <c r="CH52" s="1" t="str">
        <f t="shared" si="35"/>
        <v/>
      </c>
    </row>
    <row r="53" spans="2:86" ht="15.75" customHeight="1">
      <c r="B53" s="1007"/>
      <c r="C53" s="1079"/>
      <c r="D53" s="1048"/>
      <c r="E53" s="1041"/>
      <c r="F53" s="1041"/>
      <c r="G53" s="1041"/>
      <c r="H53" s="1041"/>
      <c r="I53" s="1045"/>
      <c r="J53" s="905" t="s">
        <v>7</v>
      </c>
      <c r="K53" s="426" t="str">
        <f t="shared" si="158"/>
        <v>X</v>
      </c>
      <c r="L53" s="426" t="str">
        <f t="shared" si="159"/>
        <v>X</v>
      </c>
      <c r="M53" s="426" t="str">
        <f t="shared" si="160"/>
        <v>X</v>
      </c>
      <c r="N53" s="426" t="str">
        <f t="shared" si="161"/>
        <v/>
      </c>
      <c r="O53" s="426" t="str">
        <f t="shared" si="162"/>
        <v/>
      </c>
      <c r="P53" s="427" t="str">
        <f t="shared" si="163"/>
        <v/>
      </c>
      <c r="Q53" s="251" t="s">
        <v>60</v>
      </c>
      <c r="R53" s="640">
        <f>'2020'!G53</f>
        <v>25</v>
      </c>
      <c r="S53" s="641">
        <f>'2021'!G53</f>
        <v>45</v>
      </c>
      <c r="T53" s="641">
        <f>'2022'!G53</f>
        <v>29</v>
      </c>
      <c r="U53" s="641">
        <f>'2023'!G53</f>
        <v>0</v>
      </c>
      <c r="V53" s="641">
        <f>'2024'!G53</f>
        <v>0</v>
      </c>
      <c r="W53" s="642">
        <f>'2025'!G53</f>
        <v>0</v>
      </c>
      <c r="X53" s="676">
        <f>'2020'!H53</f>
        <v>15</v>
      </c>
      <c r="Y53" s="641">
        <f>'2021'!H53</f>
        <v>26</v>
      </c>
      <c r="Z53" s="641">
        <f>'2022'!H53</f>
        <v>16</v>
      </c>
      <c r="AA53" s="641">
        <f>'2023'!H53</f>
        <v>0</v>
      </c>
      <c r="AB53" s="641">
        <f>'2024'!H53</f>
        <v>0</v>
      </c>
      <c r="AC53" s="642">
        <f>'2025'!H53</f>
        <v>0</v>
      </c>
      <c r="AD53" s="449">
        <f t="shared" si="4"/>
        <v>0.28000000000000003</v>
      </c>
      <c r="AE53" s="450">
        <f t="shared" si="5"/>
        <v>0.26666666666666666</v>
      </c>
      <c r="AF53" s="450">
        <f t="shared" si="6"/>
        <v>0.37931034482758619</v>
      </c>
      <c r="AG53" s="450">
        <f>IF(U53="",0,IF(AM53=0,0,AM53/U53))</f>
        <v>0</v>
      </c>
      <c r="AH53" s="450">
        <f t="shared" si="8"/>
        <v>0</v>
      </c>
      <c r="AI53" s="451">
        <f t="shared" si="9"/>
        <v>0</v>
      </c>
      <c r="AJ53" s="676">
        <f>'2020'!J53</f>
        <v>7.0000000000000009</v>
      </c>
      <c r="AK53" s="641">
        <f>'2021'!J53</f>
        <v>12</v>
      </c>
      <c r="AL53" s="641">
        <f>'2022'!J53</f>
        <v>11</v>
      </c>
      <c r="AM53" s="641">
        <f>'2023'!J53</f>
        <v>0</v>
      </c>
      <c r="AN53" s="641">
        <f>'2024'!J53</f>
        <v>0</v>
      </c>
      <c r="AO53" s="642">
        <f>'2025'!J53</f>
        <v>0</v>
      </c>
      <c r="AP53" s="449">
        <f t="shared" si="28"/>
        <v>0.16</v>
      </c>
      <c r="AQ53" s="450">
        <f t="shared" si="11"/>
        <v>0.26666666666666666</v>
      </c>
      <c r="AR53" s="450">
        <f t="shared" si="12"/>
        <v>0.31034482758620691</v>
      </c>
      <c r="AS53" s="450" t="str">
        <f t="shared" si="13"/>
        <v/>
      </c>
      <c r="AT53" s="450" t="str">
        <f t="shared" si="14"/>
        <v/>
      </c>
      <c r="AU53" s="451" t="str">
        <f t="shared" si="15"/>
        <v/>
      </c>
      <c r="AV53" s="676">
        <f>'2020'!L53</f>
        <v>4</v>
      </c>
      <c r="AW53" s="641">
        <f>'2021'!L53</f>
        <v>12</v>
      </c>
      <c r="AX53" s="641">
        <f>'2022'!L53</f>
        <v>9</v>
      </c>
      <c r="AY53" s="641">
        <f>'2023'!L53</f>
        <v>0</v>
      </c>
      <c r="AZ53" s="641">
        <f>'2024'!L53</f>
        <v>0</v>
      </c>
      <c r="BA53" s="642">
        <f>'2025'!L53</f>
        <v>0</v>
      </c>
      <c r="BB53" s="449">
        <f t="shared" si="29"/>
        <v>0.25</v>
      </c>
      <c r="BC53" s="450">
        <f t="shared" si="16"/>
        <v>0.25</v>
      </c>
      <c r="BD53" s="450">
        <f t="shared" si="17"/>
        <v>0.55555555555555558</v>
      </c>
      <c r="BE53" s="450" t="str">
        <f t="shared" si="18"/>
        <v/>
      </c>
      <c r="BF53" s="450" t="str">
        <f t="shared" si="19"/>
        <v/>
      </c>
      <c r="BG53" s="451" t="str">
        <f t="shared" si="20"/>
        <v/>
      </c>
      <c r="BH53" s="966">
        <f>'2020'!N53</f>
        <v>1</v>
      </c>
      <c r="BI53" s="967">
        <f>'2021'!N53</f>
        <v>3</v>
      </c>
      <c r="BJ53" s="967">
        <f>'2022'!N53</f>
        <v>5</v>
      </c>
      <c r="BK53" s="967" t="str">
        <f>'2023'!N53</f>
        <v/>
      </c>
      <c r="BL53" s="967">
        <f>'2024'!N53</f>
        <v>0</v>
      </c>
      <c r="BM53" s="968">
        <f>'2025'!N53</f>
        <v>0</v>
      </c>
      <c r="BN53" s="452" t="s">
        <v>21</v>
      </c>
      <c r="BO53" s="453" t="s">
        <v>21</v>
      </c>
      <c r="BP53" s="452" t="s">
        <v>21</v>
      </c>
      <c r="BQ53" s="453" t="s">
        <v>21</v>
      </c>
      <c r="BR53" s="454" t="s">
        <v>21</v>
      </c>
      <c r="BS53" s="455" t="s">
        <v>21</v>
      </c>
      <c r="BT53" s="454" t="s">
        <v>21</v>
      </c>
      <c r="BU53" s="456" t="s">
        <v>21</v>
      </c>
      <c r="CC53" s="1" t="str">
        <f t="shared" si="30"/>
        <v>France</v>
      </c>
      <c r="CD53" s="1" t="str">
        <f t="shared" si="31"/>
        <v>France</v>
      </c>
      <c r="CE53" s="1" t="str">
        <f t="shared" si="32"/>
        <v>France</v>
      </c>
      <c r="CF53" s="1" t="str">
        <f t="shared" si="33"/>
        <v/>
      </c>
      <c r="CG53" s="1" t="str">
        <f t="shared" si="34"/>
        <v/>
      </c>
      <c r="CH53" s="1" t="str">
        <f t="shared" si="35"/>
        <v/>
      </c>
    </row>
    <row r="54" spans="2:86" ht="15.75" customHeight="1">
      <c r="B54" s="1007"/>
      <c r="C54" s="1079"/>
      <c r="D54" s="1048"/>
      <c r="E54" s="1041"/>
      <c r="F54" s="1041"/>
      <c r="G54" s="1041"/>
      <c r="H54" s="1041"/>
      <c r="I54" s="1045"/>
      <c r="J54" s="905" t="s">
        <v>132</v>
      </c>
      <c r="K54" s="426" t="str">
        <f t="shared" si="158"/>
        <v>X</v>
      </c>
      <c r="L54" s="426" t="str">
        <f t="shared" si="159"/>
        <v>X</v>
      </c>
      <c r="M54" s="426" t="str">
        <f t="shared" si="160"/>
        <v>X</v>
      </c>
      <c r="N54" s="426" t="str">
        <f t="shared" si="161"/>
        <v>X</v>
      </c>
      <c r="O54" s="426" t="str">
        <f t="shared" si="162"/>
        <v/>
      </c>
      <c r="P54" s="427" t="str">
        <f t="shared" si="163"/>
        <v/>
      </c>
      <c r="Q54" s="251" t="s">
        <v>60</v>
      </c>
      <c r="R54" s="640">
        <f>'2020'!G54</f>
        <v>15</v>
      </c>
      <c r="S54" s="641">
        <f>'2021'!G54</f>
        <v>14</v>
      </c>
      <c r="T54" s="641">
        <f>'2022'!G54</f>
        <v>18</v>
      </c>
      <c r="U54" s="641">
        <f>'2023'!G54</f>
        <v>26</v>
      </c>
      <c r="V54" s="641">
        <f>'2024'!G54</f>
        <v>0</v>
      </c>
      <c r="W54" s="642">
        <f>'2025'!G54</f>
        <v>0</v>
      </c>
      <c r="X54" s="676">
        <f>'2020'!H54</f>
        <v>9</v>
      </c>
      <c r="Y54" s="641">
        <f>'2021'!H54</f>
        <v>9</v>
      </c>
      <c r="Z54" s="641">
        <f>'2022'!H54</f>
        <v>9</v>
      </c>
      <c r="AA54" s="641">
        <f>'2023'!H54</f>
        <v>13</v>
      </c>
      <c r="AB54" s="641">
        <f>'2024'!H54</f>
        <v>0</v>
      </c>
      <c r="AC54" s="642">
        <f>'2025'!H54</f>
        <v>0</v>
      </c>
      <c r="AD54" s="449">
        <f t="shared" si="4"/>
        <v>0.13</v>
      </c>
      <c r="AE54" s="450">
        <f t="shared" si="5"/>
        <v>0.21428571428571427</v>
      </c>
      <c r="AF54" s="450">
        <f t="shared" si="6"/>
        <v>0.33333333333333331</v>
      </c>
      <c r="AG54" s="450">
        <f t="shared" si="7"/>
        <v>0.61538461538461542</v>
      </c>
      <c r="AH54" s="450">
        <f t="shared" si="8"/>
        <v>0</v>
      </c>
      <c r="AI54" s="451">
        <f t="shared" si="9"/>
        <v>0</v>
      </c>
      <c r="AJ54" s="676">
        <f>'2020'!J54</f>
        <v>1.9500000000000002</v>
      </c>
      <c r="AK54" s="641">
        <f>'2021'!J54</f>
        <v>3</v>
      </c>
      <c r="AL54" s="641">
        <f>'2022'!J54</f>
        <v>6</v>
      </c>
      <c r="AM54" s="641">
        <f>'2023'!J54</f>
        <v>16</v>
      </c>
      <c r="AN54" s="641">
        <f>'2024'!J54</f>
        <v>0</v>
      </c>
      <c r="AO54" s="642">
        <f>'2025'!J54</f>
        <v>0</v>
      </c>
      <c r="AP54" s="449">
        <f t="shared" si="28"/>
        <v>7.0000000000000007E-2</v>
      </c>
      <c r="AQ54" s="450">
        <f t="shared" si="11"/>
        <v>0.14285714285714285</v>
      </c>
      <c r="AR54" s="450">
        <f t="shared" si="12"/>
        <v>0.16666666666666666</v>
      </c>
      <c r="AS54" s="450">
        <f t="shared" si="13"/>
        <v>0.15384615384615385</v>
      </c>
      <c r="AT54" s="450" t="str">
        <f t="shared" si="14"/>
        <v/>
      </c>
      <c r="AU54" s="451" t="str">
        <f t="shared" si="15"/>
        <v/>
      </c>
      <c r="AV54" s="676">
        <f>'2020'!L54</f>
        <v>1.05</v>
      </c>
      <c r="AW54" s="641">
        <f>'2021'!L54</f>
        <v>2</v>
      </c>
      <c r="AX54" s="641">
        <f>'2022'!L54</f>
        <v>3</v>
      </c>
      <c r="AY54" s="641">
        <f>'2023'!L54</f>
        <v>4</v>
      </c>
      <c r="AZ54" s="641">
        <f>'2024'!L54</f>
        <v>0</v>
      </c>
      <c r="BA54" s="642">
        <f>'2025'!L54</f>
        <v>0</v>
      </c>
      <c r="BB54" s="449">
        <f t="shared" si="29"/>
        <v>0</v>
      </c>
      <c r="BC54" s="450">
        <f t="shared" si="16"/>
        <v>0.5</v>
      </c>
      <c r="BD54" s="450">
        <f t="shared" si="17"/>
        <v>1</v>
      </c>
      <c r="BE54" s="450">
        <f t="shared" si="18"/>
        <v>1</v>
      </c>
      <c r="BF54" s="450" t="str">
        <f t="shared" si="19"/>
        <v/>
      </c>
      <c r="BG54" s="451" t="str">
        <f t="shared" si="20"/>
        <v/>
      </c>
      <c r="BH54" s="966">
        <f>'2020'!N54</f>
        <v>0</v>
      </c>
      <c r="BI54" s="967">
        <f>'2021'!N54</f>
        <v>1</v>
      </c>
      <c r="BJ54" s="967">
        <f>'2022'!N54</f>
        <v>3</v>
      </c>
      <c r="BK54" s="967">
        <f>'2023'!N54</f>
        <v>4</v>
      </c>
      <c r="BL54" s="967">
        <f>'2024'!N54</f>
        <v>0</v>
      </c>
      <c r="BM54" s="968">
        <f>'2025'!N54</f>
        <v>0</v>
      </c>
      <c r="BN54" s="452" t="s">
        <v>21</v>
      </c>
      <c r="BO54" s="453" t="s">
        <v>21</v>
      </c>
      <c r="BP54" s="452" t="s">
        <v>21</v>
      </c>
      <c r="BQ54" s="453" t="s">
        <v>21</v>
      </c>
      <c r="BR54" s="454" t="s">
        <v>21</v>
      </c>
      <c r="BS54" s="455" t="s">
        <v>21</v>
      </c>
      <c r="BT54" s="454" t="s">
        <v>21</v>
      </c>
      <c r="BU54" s="456" t="s">
        <v>21</v>
      </c>
      <c r="CC54" s="1" t="str">
        <f t="shared" si="30"/>
        <v>France</v>
      </c>
      <c r="CD54" s="1" t="str">
        <f t="shared" si="31"/>
        <v>France</v>
      </c>
      <c r="CE54" s="1" t="str">
        <f t="shared" si="32"/>
        <v>France</v>
      </c>
      <c r="CF54" s="1" t="str">
        <f t="shared" si="33"/>
        <v>France</v>
      </c>
      <c r="CG54" s="1" t="str">
        <f t="shared" si="34"/>
        <v/>
      </c>
      <c r="CH54" s="1" t="str">
        <f t="shared" si="35"/>
        <v/>
      </c>
    </row>
    <row r="55" spans="2:86" ht="15.75" customHeight="1">
      <c r="B55" s="1007"/>
      <c r="C55" s="1079"/>
      <c r="D55" s="1048"/>
      <c r="E55" s="1041"/>
      <c r="F55" s="1041"/>
      <c r="G55" s="1041"/>
      <c r="H55" s="1041"/>
      <c r="I55" s="1045"/>
      <c r="J55" s="905" t="s">
        <v>8</v>
      </c>
      <c r="K55" s="426" t="str">
        <f t="shared" si="158"/>
        <v>X</v>
      </c>
      <c r="L55" s="426" t="str">
        <f t="shared" si="159"/>
        <v>X</v>
      </c>
      <c r="M55" s="426" t="str">
        <f t="shared" si="160"/>
        <v/>
      </c>
      <c r="N55" s="426" t="str">
        <f t="shared" si="161"/>
        <v/>
      </c>
      <c r="O55" s="426" t="str">
        <f t="shared" si="162"/>
        <v/>
      </c>
      <c r="P55" s="427" t="str">
        <f t="shared" si="163"/>
        <v/>
      </c>
      <c r="Q55" s="251" t="s">
        <v>60</v>
      </c>
      <c r="R55" s="640">
        <f>'2020'!G55</f>
        <v>16</v>
      </c>
      <c r="S55" s="641">
        <f>'2021'!G55</f>
        <v>31</v>
      </c>
      <c r="T55" s="641">
        <f>'2022'!G55</f>
        <v>0</v>
      </c>
      <c r="U55" s="641">
        <f>'2023'!G55</f>
        <v>0</v>
      </c>
      <c r="V55" s="641">
        <f>'2024'!G55</f>
        <v>0</v>
      </c>
      <c r="W55" s="642">
        <f>'2025'!G55</f>
        <v>0</v>
      </c>
      <c r="X55" s="676">
        <f>'2020'!H55</f>
        <v>14</v>
      </c>
      <c r="Y55" s="641">
        <f>'2021'!H55</f>
        <v>23</v>
      </c>
      <c r="Z55" s="641">
        <f>'2022'!H55</f>
        <v>0</v>
      </c>
      <c r="AA55" s="641">
        <f>'2023'!H55</f>
        <v>0</v>
      </c>
      <c r="AB55" s="641">
        <f>'2024'!H55</f>
        <v>0</v>
      </c>
      <c r="AC55" s="642">
        <f>'2025'!H55</f>
        <v>0</v>
      </c>
      <c r="AD55" s="449">
        <f t="shared" si="4"/>
        <v>0.38</v>
      </c>
      <c r="AE55" s="450">
        <f t="shared" si="5"/>
        <v>0.54838709677419351</v>
      </c>
      <c r="AF55" s="450">
        <f t="shared" si="6"/>
        <v>0</v>
      </c>
      <c r="AG55" s="450">
        <f t="shared" si="7"/>
        <v>0</v>
      </c>
      <c r="AH55" s="450">
        <f t="shared" si="8"/>
        <v>0</v>
      </c>
      <c r="AI55" s="451">
        <f t="shared" si="9"/>
        <v>0</v>
      </c>
      <c r="AJ55" s="676">
        <f>'2020'!J55</f>
        <v>6.08</v>
      </c>
      <c r="AK55" s="641">
        <f>'2021'!J55</f>
        <v>17</v>
      </c>
      <c r="AL55" s="641">
        <f>'2022'!J55</f>
        <v>0</v>
      </c>
      <c r="AM55" s="641">
        <f>'2023'!J55</f>
        <v>0</v>
      </c>
      <c r="AN55" s="641">
        <f>'2024'!J55</f>
        <v>0</v>
      </c>
      <c r="AO55" s="642">
        <f>'2025'!J55</f>
        <v>0</v>
      </c>
      <c r="AP55" s="449">
        <f t="shared" si="28"/>
        <v>0.13</v>
      </c>
      <c r="AQ55" s="450">
        <f t="shared" si="11"/>
        <v>0.16129032258064516</v>
      </c>
      <c r="AR55" s="450" t="str">
        <f t="shared" si="12"/>
        <v/>
      </c>
      <c r="AS55" s="450" t="str">
        <f t="shared" si="13"/>
        <v/>
      </c>
      <c r="AT55" s="450" t="str">
        <f t="shared" si="14"/>
        <v/>
      </c>
      <c r="AU55" s="451" t="str">
        <f t="shared" si="15"/>
        <v/>
      </c>
      <c r="AV55" s="676">
        <f>'2020'!L55</f>
        <v>2.08</v>
      </c>
      <c r="AW55" s="641">
        <f>'2021'!L55</f>
        <v>5</v>
      </c>
      <c r="AX55" s="641">
        <f>'2022'!L55</f>
        <v>0</v>
      </c>
      <c r="AY55" s="641">
        <f>'2023'!L55</f>
        <v>0</v>
      </c>
      <c r="AZ55" s="641">
        <f>'2024'!L55</f>
        <v>0</v>
      </c>
      <c r="BA55" s="642">
        <f>'2025'!L55</f>
        <v>0</v>
      </c>
      <c r="BB55" s="449">
        <f t="shared" si="29"/>
        <v>1</v>
      </c>
      <c r="BC55" s="450">
        <f t="shared" si="16"/>
        <v>1</v>
      </c>
      <c r="BD55" s="450" t="str">
        <f t="shared" si="17"/>
        <v/>
      </c>
      <c r="BE55" s="450" t="str">
        <f t="shared" si="18"/>
        <v/>
      </c>
      <c r="BF55" s="450" t="str">
        <f t="shared" si="19"/>
        <v/>
      </c>
      <c r="BG55" s="451" t="str">
        <f t="shared" si="20"/>
        <v/>
      </c>
      <c r="BH55" s="966">
        <f>'2020'!N55</f>
        <v>2.08</v>
      </c>
      <c r="BI55" s="967">
        <f>'2021'!N55</f>
        <v>5</v>
      </c>
      <c r="BJ55" s="967" t="str">
        <f>'2022'!N55</f>
        <v/>
      </c>
      <c r="BK55" s="967" t="str">
        <f>'2023'!N55</f>
        <v/>
      </c>
      <c r="BL55" s="967">
        <f>'2024'!N55</f>
        <v>0</v>
      </c>
      <c r="BM55" s="968">
        <f>'2025'!N55</f>
        <v>0</v>
      </c>
      <c r="BN55" s="452" t="s">
        <v>21</v>
      </c>
      <c r="BO55" s="453" t="s">
        <v>21</v>
      </c>
      <c r="BP55" s="452" t="s">
        <v>21</v>
      </c>
      <c r="BQ55" s="453" t="s">
        <v>21</v>
      </c>
      <c r="BR55" s="454" t="s">
        <v>21</v>
      </c>
      <c r="BS55" s="455" t="s">
        <v>21</v>
      </c>
      <c r="BT55" s="454" t="s">
        <v>21</v>
      </c>
      <c r="BU55" s="456" t="s">
        <v>21</v>
      </c>
      <c r="CC55" s="1" t="str">
        <f t="shared" si="30"/>
        <v>France</v>
      </c>
      <c r="CD55" s="1" t="str">
        <f t="shared" si="31"/>
        <v>France</v>
      </c>
      <c r="CE55" s="1" t="str">
        <f t="shared" si="32"/>
        <v/>
      </c>
      <c r="CF55" s="1" t="str">
        <f t="shared" si="33"/>
        <v/>
      </c>
      <c r="CG55" s="1" t="str">
        <f t="shared" si="34"/>
        <v/>
      </c>
      <c r="CH55" s="1" t="str">
        <f t="shared" si="35"/>
        <v/>
      </c>
    </row>
    <row r="56" spans="2:86" ht="15.75" customHeight="1">
      <c r="B56" s="1007"/>
      <c r="C56" s="1079"/>
      <c r="D56" s="1048"/>
      <c r="E56" s="1041"/>
      <c r="F56" s="1041"/>
      <c r="G56" s="1041"/>
      <c r="H56" s="1041"/>
      <c r="I56" s="1045"/>
      <c r="J56" s="905" t="s">
        <v>6</v>
      </c>
      <c r="K56" s="426" t="str">
        <f t="shared" si="158"/>
        <v>X</v>
      </c>
      <c r="L56" s="426" t="str">
        <f t="shared" si="159"/>
        <v>X</v>
      </c>
      <c r="M56" s="426" t="str">
        <f t="shared" si="160"/>
        <v>X</v>
      </c>
      <c r="N56" s="426" t="str">
        <f t="shared" si="161"/>
        <v>X</v>
      </c>
      <c r="O56" s="426" t="str">
        <f t="shared" si="162"/>
        <v/>
      </c>
      <c r="P56" s="427" t="str">
        <f t="shared" si="163"/>
        <v/>
      </c>
      <c r="Q56" s="251" t="s">
        <v>60</v>
      </c>
      <c r="R56" s="640">
        <f>'2020'!G56</f>
        <v>7</v>
      </c>
      <c r="S56" s="641">
        <f>'2021'!G56</f>
        <v>12</v>
      </c>
      <c r="T56" s="641">
        <f>'2022'!G56</f>
        <v>14</v>
      </c>
      <c r="U56" s="641">
        <f>'2023'!G56</f>
        <v>27</v>
      </c>
      <c r="V56" s="641">
        <f>'2024'!G56</f>
        <v>0</v>
      </c>
      <c r="W56" s="642">
        <f>'2025'!G56</f>
        <v>0</v>
      </c>
      <c r="X56" s="676">
        <f>'2020'!H56</f>
        <v>5</v>
      </c>
      <c r="Y56" s="641">
        <f>'2021'!H56</f>
        <v>7</v>
      </c>
      <c r="Z56" s="641">
        <f>'2022'!H56</f>
        <v>10</v>
      </c>
      <c r="AA56" s="641">
        <f>'2023'!H56</f>
        <v>17</v>
      </c>
      <c r="AB56" s="641">
        <f>'2024'!H56</f>
        <v>0</v>
      </c>
      <c r="AC56" s="642">
        <f>'2025'!H56</f>
        <v>0</v>
      </c>
      <c r="AD56" s="449">
        <f t="shared" si="4"/>
        <v>0.14000000000000001</v>
      </c>
      <c r="AE56" s="450">
        <f t="shared" si="5"/>
        <v>0.33333333333333331</v>
      </c>
      <c r="AF56" s="450">
        <f t="shared" si="6"/>
        <v>0.2857142857142857</v>
      </c>
      <c r="AG56" s="450">
        <f t="shared" si="7"/>
        <v>0.44444444444444442</v>
      </c>
      <c r="AH56" s="450">
        <f t="shared" si="8"/>
        <v>0</v>
      </c>
      <c r="AI56" s="451">
        <f t="shared" si="9"/>
        <v>0</v>
      </c>
      <c r="AJ56" s="676">
        <f>'2020'!J56</f>
        <v>0.98000000000000009</v>
      </c>
      <c r="AK56" s="641">
        <f>'2021'!J56</f>
        <v>4</v>
      </c>
      <c r="AL56" s="641">
        <f>'2022'!J56</f>
        <v>4</v>
      </c>
      <c r="AM56" s="641">
        <f>'2023'!J56</f>
        <v>12</v>
      </c>
      <c r="AN56" s="641">
        <f>'2024'!J56</f>
        <v>0</v>
      </c>
      <c r="AO56" s="642">
        <f>'2025'!J56</f>
        <v>0</v>
      </c>
      <c r="AP56" s="449">
        <f t="shared" si="28"/>
        <v>0</v>
      </c>
      <c r="AQ56" s="450">
        <f t="shared" si="11"/>
        <v>0.33333333333333331</v>
      </c>
      <c r="AR56" s="450">
        <f t="shared" si="12"/>
        <v>0.21428571428571427</v>
      </c>
      <c r="AS56" s="450">
        <f t="shared" si="13"/>
        <v>0.48148148148148145</v>
      </c>
      <c r="AT56" s="450" t="str">
        <f t="shared" si="14"/>
        <v/>
      </c>
      <c r="AU56" s="451" t="str">
        <f t="shared" si="15"/>
        <v/>
      </c>
      <c r="AV56" s="676">
        <f>'2020'!L56</f>
        <v>0</v>
      </c>
      <c r="AW56" s="641">
        <f>'2021'!L56</f>
        <v>4</v>
      </c>
      <c r="AX56" s="641">
        <f>'2022'!L56</f>
        <v>3</v>
      </c>
      <c r="AY56" s="641">
        <f>'2023'!L56</f>
        <v>13</v>
      </c>
      <c r="AZ56" s="641">
        <f>'2024'!L56</f>
        <v>0</v>
      </c>
      <c r="BA56" s="642">
        <f>'2025'!L56</f>
        <v>0</v>
      </c>
      <c r="BB56" s="449" t="str">
        <f t="shared" si="29"/>
        <v/>
      </c>
      <c r="BC56" s="450">
        <f t="shared" si="16"/>
        <v>0.5</v>
      </c>
      <c r="BD56" s="450">
        <f t="shared" si="17"/>
        <v>0.66666666666666663</v>
      </c>
      <c r="BE56" s="450">
        <f t="shared" si="18"/>
        <v>0.61538461538461542</v>
      </c>
      <c r="BF56" s="450" t="str">
        <f t="shared" si="19"/>
        <v/>
      </c>
      <c r="BG56" s="451" t="str">
        <f t="shared" si="20"/>
        <v/>
      </c>
      <c r="BH56" s="966">
        <f>'2020'!N56</f>
        <v>0</v>
      </c>
      <c r="BI56" s="967">
        <f>'2021'!N56</f>
        <v>2</v>
      </c>
      <c r="BJ56" s="967">
        <f>'2022'!N56</f>
        <v>2</v>
      </c>
      <c r="BK56" s="967">
        <f>'2023'!N56</f>
        <v>8</v>
      </c>
      <c r="BL56" s="967">
        <f>'2024'!N56</f>
        <v>0</v>
      </c>
      <c r="BM56" s="968">
        <f>'2025'!N56</f>
        <v>0</v>
      </c>
      <c r="BN56" s="452" t="s">
        <v>21</v>
      </c>
      <c r="BO56" s="453" t="s">
        <v>21</v>
      </c>
      <c r="BP56" s="452" t="s">
        <v>21</v>
      </c>
      <c r="BQ56" s="453" t="s">
        <v>21</v>
      </c>
      <c r="BR56" s="454" t="s">
        <v>21</v>
      </c>
      <c r="BS56" s="455" t="s">
        <v>21</v>
      </c>
      <c r="BT56" s="454" t="s">
        <v>21</v>
      </c>
      <c r="BU56" s="456" t="s">
        <v>21</v>
      </c>
      <c r="CC56" s="1" t="str">
        <f t="shared" si="30"/>
        <v>France</v>
      </c>
      <c r="CD56" s="1" t="str">
        <f t="shared" si="31"/>
        <v>France</v>
      </c>
      <c r="CE56" s="1" t="str">
        <f t="shared" si="32"/>
        <v>France</v>
      </c>
      <c r="CF56" s="1" t="str">
        <f t="shared" si="33"/>
        <v>France</v>
      </c>
      <c r="CG56" s="1" t="str">
        <f t="shared" si="34"/>
        <v/>
      </c>
      <c r="CH56" s="1" t="str">
        <f t="shared" si="35"/>
        <v/>
      </c>
    </row>
    <row r="57" spans="2:86" ht="15.75" customHeight="1">
      <c r="B57" s="1007"/>
      <c r="C57" s="1079"/>
      <c r="D57" s="1048"/>
      <c r="E57" s="1041"/>
      <c r="F57" s="1041"/>
      <c r="G57" s="1041"/>
      <c r="H57" s="1041"/>
      <c r="I57" s="1045"/>
      <c r="J57" s="905" t="s">
        <v>228</v>
      </c>
      <c r="K57" s="426" t="str">
        <f t="shared" si="158"/>
        <v/>
      </c>
      <c r="L57" s="426" t="str">
        <f t="shared" si="159"/>
        <v/>
      </c>
      <c r="M57" s="426" t="str">
        <f t="shared" si="160"/>
        <v/>
      </c>
      <c r="N57" s="426" t="str">
        <f t="shared" si="161"/>
        <v>X</v>
      </c>
      <c r="O57" s="426" t="str">
        <f t="shared" si="162"/>
        <v/>
      </c>
      <c r="P57" s="427" t="str">
        <f t="shared" si="163"/>
        <v/>
      </c>
      <c r="Q57" s="251" t="s">
        <v>60</v>
      </c>
      <c r="R57" s="640">
        <f>'2020'!G57</f>
        <v>0</v>
      </c>
      <c r="S57" s="641">
        <f>'2021'!G57</f>
        <v>0</v>
      </c>
      <c r="T57" s="641">
        <f>'2022'!G57</f>
        <v>0</v>
      </c>
      <c r="U57" s="641">
        <f>'2023'!G57</f>
        <v>65</v>
      </c>
      <c r="V57" s="641">
        <f>'2024'!G57</f>
        <v>0</v>
      </c>
      <c r="W57" s="642">
        <f>'2025'!G57</f>
        <v>0</v>
      </c>
      <c r="X57" s="676">
        <f>'2020'!H57</f>
        <v>0</v>
      </c>
      <c r="Y57" s="641">
        <f>'2021'!H57</f>
        <v>0</v>
      </c>
      <c r="Z57" s="641">
        <f>'2022'!H57</f>
        <v>0</v>
      </c>
      <c r="AA57" s="641">
        <f>'2023'!H57</f>
        <v>30</v>
      </c>
      <c r="AB57" s="641">
        <f>'2024'!H57</f>
        <v>0</v>
      </c>
      <c r="AC57" s="642">
        <f>'2025'!H57</f>
        <v>0</v>
      </c>
      <c r="AD57" s="449">
        <f t="shared" si="4"/>
        <v>0</v>
      </c>
      <c r="AE57" s="450">
        <f t="shared" si="5"/>
        <v>0</v>
      </c>
      <c r="AF57" s="450">
        <f t="shared" si="6"/>
        <v>0</v>
      </c>
      <c r="AG57" s="450">
        <f t="shared" si="7"/>
        <v>0.53846153846153844</v>
      </c>
      <c r="AH57" s="450">
        <f t="shared" si="8"/>
        <v>0</v>
      </c>
      <c r="AI57" s="451">
        <f t="shared" si="9"/>
        <v>0</v>
      </c>
      <c r="AJ57" s="676">
        <f>'2020'!J57</f>
        <v>0</v>
      </c>
      <c r="AK57" s="641">
        <f>'2021'!J57</f>
        <v>0</v>
      </c>
      <c r="AL57" s="641">
        <f>'2022'!J57</f>
        <v>0</v>
      </c>
      <c r="AM57" s="641">
        <f>'2023'!J57</f>
        <v>35</v>
      </c>
      <c r="AN57" s="641">
        <f>'2024'!J57</f>
        <v>0</v>
      </c>
      <c r="AO57" s="642">
        <f>'2025'!J57</f>
        <v>0</v>
      </c>
      <c r="AP57" s="449" t="str">
        <f t="shared" si="28"/>
        <v/>
      </c>
      <c r="AQ57" s="450" t="str">
        <f t="shared" si="11"/>
        <v/>
      </c>
      <c r="AR57" s="450" t="str">
        <f t="shared" si="12"/>
        <v/>
      </c>
      <c r="AS57" s="450">
        <f t="shared" si="13"/>
        <v>0.38461538461538464</v>
      </c>
      <c r="AT57" s="450" t="str">
        <f t="shared" si="14"/>
        <v/>
      </c>
      <c r="AU57" s="451" t="str">
        <f t="shared" si="15"/>
        <v/>
      </c>
      <c r="AV57" s="676">
        <f>'2020'!L57</f>
        <v>0</v>
      </c>
      <c r="AW57" s="641">
        <f>'2021'!L57</f>
        <v>0</v>
      </c>
      <c r="AX57" s="641">
        <f>'2022'!L57</f>
        <v>0</v>
      </c>
      <c r="AY57" s="641">
        <f>'2023'!L57</f>
        <v>25</v>
      </c>
      <c r="AZ57" s="641">
        <f>'2024'!L57</f>
        <v>0</v>
      </c>
      <c r="BA57" s="642">
        <f>'2025'!L57</f>
        <v>0</v>
      </c>
      <c r="BB57" s="449" t="str">
        <f t="shared" si="29"/>
        <v/>
      </c>
      <c r="BC57" s="450" t="str">
        <f t="shared" si="16"/>
        <v/>
      </c>
      <c r="BD57" s="450" t="str">
        <f t="shared" si="17"/>
        <v/>
      </c>
      <c r="BE57" s="450">
        <f t="shared" si="18"/>
        <v>0.76</v>
      </c>
      <c r="BF57" s="450" t="str">
        <f t="shared" si="19"/>
        <v/>
      </c>
      <c r="BG57" s="451" t="str">
        <f t="shared" si="20"/>
        <v/>
      </c>
      <c r="BH57" s="966">
        <f>'2020'!N57</f>
        <v>0</v>
      </c>
      <c r="BI57" s="967">
        <f>'2021'!N57</f>
        <v>0</v>
      </c>
      <c r="BJ57" s="967" t="str">
        <f>'2022'!N57</f>
        <v/>
      </c>
      <c r="BK57" s="967">
        <f>'2023'!N57</f>
        <v>19</v>
      </c>
      <c r="BL57" s="967">
        <f>'2024'!N57</f>
        <v>0</v>
      </c>
      <c r="BM57" s="968">
        <f>'2025'!N57</f>
        <v>0</v>
      </c>
      <c r="BN57" s="452"/>
      <c r="BO57" s="453"/>
      <c r="BP57" s="452"/>
      <c r="BQ57" s="453"/>
      <c r="BR57" s="454"/>
      <c r="BS57" s="455"/>
      <c r="BT57" s="454"/>
      <c r="BU57" s="456"/>
      <c r="CC57" s="1" t="str">
        <f t="shared" si="30"/>
        <v/>
      </c>
      <c r="CD57" s="1" t="str">
        <f t="shared" si="31"/>
        <v/>
      </c>
      <c r="CE57" s="1" t="str">
        <f t="shared" si="32"/>
        <v/>
      </c>
      <c r="CF57" s="1" t="str">
        <f t="shared" si="33"/>
        <v>France</v>
      </c>
      <c r="CG57" s="1" t="str">
        <f t="shared" si="34"/>
        <v/>
      </c>
      <c r="CH57" s="1" t="str">
        <f t="shared" si="35"/>
        <v/>
      </c>
    </row>
    <row r="58" spans="2:86" ht="15.75" customHeight="1">
      <c r="B58" s="1007"/>
      <c r="C58" s="1079"/>
      <c r="D58" s="1048"/>
      <c r="E58" s="1041"/>
      <c r="F58" s="1041"/>
      <c r="G58" s="1041"/>
      <c r="H58" s="1041"/>
      <c r="I58" s="1045"/>
      <c r="J58" s="905" t="s">
        <v>229</v>
      </c>
      <c r="K58" s="426" t="str">
        <f t="shared" si="158"/>
        <v/>
      </c>
      <c r="L58" s="426" t="str">
        <f t="shared" si="159"/>
        <v/>
      </c>
      <c r="M58" s="426" t="str">
        <f t="shared" si="160"/>
        <v/>
      </c>
      <c r="N58" s="426" t="str">
        <f t="shared" si="161"/>
        <v>X</v>
      </c>
      <c r="O58" s="426" t="str">
        <f t="shared" si="162"/>
        <v/>
      </c>
      <c r="P58" s="427" t="str">
        <f t="shared" si="163"/>
        <v/>
      </c>
      <c r="Q58" s="251" t="s">
        <v>60</v>
      </c>
      <c r="R58" s="640">
        <f>'2020'!G58</f>
        <v>0</v>
      </c>
      <c r="S58" s="641">
        <f>'2021'!G58</f>
        <v>0</v>
      </c>
      <c r="T58" s="641">
        <f>'2022'!G58</f>
        <v>0</v>
      </c>
      <c r="U58" s="641">
        <f>'2023'!G58</f>
        <v>36</v>
      </c>
      <c r="V58" s="641">
        <f>'2024'!G58</f>
        <v>0</v>
      </c>
      <c r="W58" s="642">
        <f>'2025'!G58</f>
        <v>0</v>
      </c>
      <c r="X58" s="676">
        <f>'2020'!H58</f>
        <v>0</v>
      </c>
      <c r="Y58" s="641">
        <f>'2021'!H58</f>
        <v>0</v>
      </c>
      <c r="Z58" s="641">
        <f>'2022'!H58</f>
        <v>0</v>
      </c>
      <c r="AA58" s="641">
        <f>'2023'!H58</f>
        <v>25</v>
      </c>
      <c r="AB58" s="641">
        <f>'2024'!H58</f>
        <v>0</v>
      </c>
      <c r="AC58" s="642">
        <f>'2025'!H58</f>
        <v>0</v>
      </c>
      <c r="AD58" s="449">
        <f t="shared" si="4"/>
        <v>0</v>
      </c>
      <c r="AE58" s="450">
        <f t="shared" si="5"/>
        <v>0</v>
      </c>
      <c r="AF58" s="450">
        <f t="shared" si="6"/>
        <v>0</v>
      </c>
      <c r="AG58" s="450">
        <f t="shared" si="7"/>
        <v>0.66666666666666663</v>
      </c>
      <c r="AH58" s="450">
        <f t="shared" si="8"/>
        <v>0</v>
      </c>
      <c r="AI58" s="451">
        <f t="shared" si="9"/>
        <v>0</v>
      </c>
      <c r="AJ58" s="676">
        <f>'2020'!J58</f>
        <v>0</v>
      </c>
      <c r="AK58" s="641">
        <f>'2021'!J58</f>
        <v>0</v>
      </c>
      <c r="AL58" s="641">
        <f>'2022'!J58</f>
        <v>0</v>
      </c>
      <c r="AM58" s="641">
        <f>'2023'!J58</f>
        <v>24</v>
      </c>
      <c r="AN58" s="641">
        <f>'2024'!J58</f>
        <v>0</v>
      </c>
      <c r="AO58" s="642">
        <f>'2025'!J58</f>
        <v>0</v>
      </c>
      <c r="AP58" s="449" t="str">
        <f t="shared" si="28"/>
        <v/>
      </c>
      <c r="AQ58" s="450" t="str">
        <f t="shared" si="11"/>
        <v/>
      </c>
      <c r="AR58" s="450" t="str">
        <f t="shared" si="12"/>
        <v/>
      </c>
      <c r="AS58" s="450">
        <f t="shared" si="13"/>
        <v>0.33333333333333331</v>
      </c>
      <c r="AT58" s="450" t="str">
        <f t="shared" si="14"/>
        <v/>
      </c>
      <c r="AU58" s="451" t="str">
        <f t="shared" si="15"/>
        <v/>
      </c>
      <c r="AV58" s="676">
        <f>'2020'!L58</f>
        <v>0</v>
      </c>
      <c r="AW58" s="641">
        <f>'2021'!L58</f>
        <v>0</v>
      </c>
      <c r="AX58" s="641">
        <f>'2022'!L58</f>
        <v>0</v>
      </c>
      <c r="AY58" s="641">
        <f>'2023'!L58</f>
        <v>12</v>
      </c>
      <c r="AZ58" s="641">
        <f>'2024'!L58</f>
        <v>0</v>
      </c>
      <c r="BA58" s="642">
        <f>'2025'!L58</f>
        <v>0</v>
      </c>
      <c r="BB58" s="449" t="str">
        <f t="shared" si="29"/>
        <v/>
      </c>
      <c r="BC58" s="450" t="str">
        <f t="shared" si="16"/>
        <v/>
      </c>
      <c r="BD58" s="450" t="str">
        <f t="shared" si="17"/>
        <v/>
      </c>
      <c r="BE58" s="450">
        <f t="shared" si="18"/>
        <v>0.75</v>
      </c>
      <c r="BF58" s="450" t="str">
        <f t="shared" si="19"/>
        <v/>
      </c>
      <c r="BG58" s="451" t="str">
        <f t="shared" si="20"/>
        <v/>
      </c>
      <c r="BH58" s="966">
        <f>'2020'!N58</f>
        <v>0</v>
      </c>
      <c r="BI58" s="967">
        <f>'2021'!N58</f>
        <v>0</v>
      </c>
      <c r="BJ58" s="967" t="str">
        <f>'2022'!N58</f>
        <v/>
      </c>
      <c r="BK58" s="967">
        <f>'2023'!N58</f>
        <v>9</v>
      </c>
      <c r="BL58" s="967">
        <f>'2024'!N58</f>
        <v>0</v>
      </c>
      <c r="BM58" s="968">
        <f>'2025'!N58</f>
        <v>0</v>
      </c>
      <c r="BN58" s="452"/>
      <c r="BO58" s="453"/>
      <c r="BP58" s="452"/>
      <c r="BQ58" s="453"/>
      <c r="BR58" s="454"/>
      <c r="BS58" s="455"/>
      <c r="BT58" s="454"/>
      <c r="BU58" s="456"/>
      <c r="CC58" s="1" t="str">
        <f t="shared" si="30"/>
        <v/>
      </c>
      <c r="CD58" s="1" t="str">
        <f t="shared" si="31"/>
        <v/>
      </c>
      <c r="CE58" s="1" t="str">
        <f t="shared" si="32"/>
        <v/>
      </c>
      <c r="CF58" s="1" t="str">
        <f t="shared" si="33"/>
        <v>France</v>
      </c>
      <c r="CG58" s="1" t="str">
        <f t="shared" si="34"/>
        <v/>
      </c>
      <c r="CH58" s="1" t="str">
        <f t="shared" si="35"/>
        <v/>
      </c>
    </row>
    <row r="59" spans="2:86" ht="15.75" customHeight="1">
      <c r="B59" s="1007"/>
      <c r="C59" s="1079"/>
      <c r="D59" s="1048"/>
      <c r="E59" s="1041"/>
      <c r="F59" s="1041"/>
      <c r="G59" s="1041"/>
      <c r="H59" s="1041"/>
      <c r="I59" s="1045"/>
      <c r="J59" s="905" t="s">
        <v>198</v>
      </c>
      <c r="K59" s="426" t="str">
        <f t="shared" si="158"/>
        <v/>
      </c>
      <c r="L59" s="426" t="str">
        <f t="shared" si="159"/>
        <v/>
      </c>
      <c r="M59" s="426" t="str">
        <f t="shared" si="160"/>
        <v>X</v>
      </c>
      <c r="N59" s="426" t="str">
        <f t="shared" si="161"/>
        <v>X</v>
      </c>
      <c r="O59" s="426" t="str">
        <f t="shared" si="162"/>
        <v/>
      </c>
      <c r="P59" s="427" t="str">
        <f t="shared" si="163"/>
        <v/>
      </c>
      <c r="Q59" s="251" t="s">
        <v>60</v>
      </c>
      <c r="R59" s="640">
        <f>'2020'!G59</f>
        <v>0</v>
      </c>
      <c r="S59" s="641">
        <f>'2021'!G59</f>
        <v>0</v>
      </c>
      <c r="T59" s="641">
        <f>'2022'!G59</f>
        <v>11</v>
      </c>
      <c r="U59" s="641">
        <f>'2023'!G59</f>
        <v>28</v>
      </c>
      <c r="V59" s="641">
        <f>'2024'!G59</f>
        <v>0</v>
      </c>
      <c r="W59" s="642">
        <f>'2025'!G59</f>
        <v>0</v>
      </c>
      <c r="X59" s="676">
        <f>'2020'!H59</f>
        <v>0</v>
      </c>
      <c r="Y59" s="641">
        <f>'2021'!H59</f>
        <v>0</v>
      </c>
      <c r="Z59" s="641">
        <f>'2022'!H59</f>
        <v>7</v>
      </c>
      <c r="AA59" s="641">
        <f>'2023'!H59</f>
        <v>20</v>
      </c>
      <c r="AB59" s="641">
        <f>'2024'!H59</f>
        <v>0</v>
      </c>
      <c r="AC59" s="642">
        <f>'2025'!H59</f>
        <v>0</v>
      </c>
      <c r="AD59" s="449">
        <f t="shared" si="4"/>
        <v>0</v>
      </c>
      <c r="AE59" s="450">
        <f t="shared" si="5"/>
        <v>0</v>
      </c>
      <c r="AF59" s="450">
        <f t="shared" si="6"/>
        <v>0.63636363636363635</v>
      </c>
      <c r="AG59" s="450">
        <f t="shared" si="7"/>
        <v>0.5357142857142857</v>
      </c>
      <c r="AH59" s="450">
        <f t="shared" si="8"/>
        <v>0</v>
      </c>
      <c r="AI59" s="451">
        <f t="shared" si="9"/>
        <v>0</v>
      </c>
      <c r="AJ59" s="676">
        <f>'2020'!J59</f>
        <v>0</v>
      </c>
      <c r="AK59" s="641">
        <f>'2021'!J59</f>
        <v>0</v>
      </c>
      <c r="AL59" s="641">
        <f>'2022'!J59</f>
        <v>7</v>
      </c>
      <c r="AM59" s="641">
        <f>'2023'!J59</f>
        <v>15</v>
      </c>
      <c r="AN59" s="641">
        <f>'2024'!J59</f>
        <v>0</v>
      </c>
      <c r="AO59" s="642">
        <f>'2025'!J59</f>
        <v>0</v>
      </c>
      <c r="AP59" s="449" t="str">
        <f t="shared" si="28"/>
        <v/>
      </c>
      <c r="AQ59" s="450" t="str">
        <f t="shared" si="11"/>
        <v/>
      </c>
      <c r="AR59" s="450">
        <f t="shared" si="12"/>
        <v>9.0909090909090912E-2</v>
      </c>
      <c r="AS59" s="450">
        <f t="shared" si="13"/>
        <v>0.21428571428571427</v>
      </c>
      <c r="AT59" s="450" t="str">
        <f t="shared" si="14"/>
        <v/>
      </c>
      <c r="AU59" s="451" t="str">
        <f t="shared" si="15"/>
        <v/>
      </c>
      <c r="AV59" s="676">
        <f>'2020'!L59</f>
        <v>0</v>
      </c>
      <c r="AW59" s="641">
        <f>'2021'!L59</f>
        <v>0</v>
      </c>
      <c r="AX59" s="641">
        <f>'2022'!L59</f>
        <v>1</v>
      </c>
      <c r="AY59" s="641">
        <f>'2023'!L59</f>
        <v>6</v>
      </c>
      <c r="AZ59" s="641">
        <f>'2024'!L59</f>
        <v>0</v>
      </c>
      <c r="BA59" s="642">
        <f>'2025'!L59</f>
        <v>0</v>
      </c>
      <c r="BB59" s="449" t="str">
        <f t="shared" si="29"/>
        <v/>
      </c>
      <c r="BC59" s="450" t="str">
        <f t="shared" si="16"/>
        <v/>
      </c>
      <c r="BD59" s="450">
        <f t="shared" si="17"/>
        <v>1</v>
      </c>
      <c r="BE59" s="450">
        <f t="shared" si="18"/>
        <v>1</v>
      </c>
      <c r="BF59" s="450" t="str">
        <f t="shared" si="19"/>
        <v/>
      </c>
      <c r="BG59" s="451" t="str">
        <f t="shared" si="20"/>
        <v/>
      </c>
      <c r="BH59" s="966">
        <f>'2020'!N59</f>
        <v>0</v>
      </c>
      <c r="BI59" s="967">
        <f>'2021'!N59</f>
        <v>0</v>
      </c>
      <c r="BJ59" s="967">
        <f>'2022'!N59</f>
        <v>1</v>
      </c>
      <c r="BK59" s="967">
        <f>'2023'!N59</f>
        <v>6</v>
      </c>
      <c r="BL59" s="967">
        <f>'2024'!N59</f>
        <v>0</v>
      </c>
      <c r="BM59" s="968">
        <f>'2025'!N59</f>
        <v>0</v>
      </c>
      <c r="BN59" s="452"/>
      <c r="BO59" s="453"/>
      <c r="BP59" s="452"/>
      <c r="BQ59" s="453"/>
      <c r="BR59" s="454"/>
      <c r="BS59" s="455"/>
      <c r="BT59" s="454"/>
      <c r="BU59" s="456"/>
      <c r="CC59" s="1" t="str">
        <f t="shared" si="30"/>
        <v/>
      </c>
      <c r="CD59" s="1" t="str">
        <f t="shared" si="31"/>
        <v/>
      </c>
      <c r="CE59" s="1" t="str">
        <f t="shared" si="32"/>
        <v>France</v>
      </c>
      <c r="CF59" s="1" t="str">
        <f t="shared" si="33"/>
        <v>France</v>
      </c>
      <c r="CG59" s="1" t="str">
        <f t="shared" si="34"/>
        <v/>
      </c>
      <c r="CH59" s="1" t="str">
        <f t="shared" si="35"/>
        <v/>
      </c>
    </row>
    <row r="60" spans="2:86" ht="15.75" customHeight="1">
      <c r="B60" s="1007"/>
      <c r="C60" s="1079"/>
      <c r="D60" s="1048"/>
      <c r="E60" s="1041"/>
      <c r="F60" s="1041"/>
      <c r="G60" s="1041"/>
      <c r="H60" s="1041"/>
      <c r="I60" s="1045"/>
      <c r="J60" s="905" t="s">
        <v>9</v>
      </c>
      <c r="K60" s="426" t="str">
        <f t="shared" si="158"/>
        <v>X</v>
      </c>
      <c r="L60" s="426" t="str">
        <f t="shared" si="159"/>
        <v>X</v>
      </c>
      <c r="M60" s="426" t="str">
        <f t="shared" si="160"/>
        <v>X</v>
      </c>
      <c r="N60" s="426" t="str">
        <f t="shared" si="161"/>
        <v>X</v>
      </c>
      <c r="O60" s="426" t="str">
        <f t="shared" si="162"/>
        <v/>
      </c>
      <c r="P60" s="427" t="str">
        <f t="shared" si="163"/>
        <v/>
      </c>
      <c r="Q60" s="251" t="s">
        <v>60</v>
      </c>
      <c r="R60" s="640">
        <f>'2020'!G60</f>
        <v>20</v>
      </c>
      <c r="S60" s="641">
        <f>'2021'!G60</f>
        <v>17</v>
      </c>
      <c r="T60" s="641" t="str">
        <f>'2022'!G60</f>
        <v/>
      </c>
      <c r="U60" s="641">
        <f>'2023'!G60</f>
        <v>43</v>
      </c>
      <c r="V60" s="641">
        <f>'2024'!G60</f>
        <v>0</v>
      </c>
      <c r="W60" s="642">
        <f>'2025'!G60</f>
        <v>0</v>
      </c>
      <c r="X60" s="676">
        <f>'2020'!H60</f>
        <v>9</v>
      </c>
      <c r="Y60" s="641">
        <f>'2021'!H60</f>
        <v>9</v>
      </c>
      <c r="Z60" s="641" t="str">
        <f>'2022'!H60</f>
        <v/>
      </c>
      <c r="AA60" s="641">
        <f>'2023'!H60</f>
        <v>28</v>
      </c>
      <c r="AB60" s="641">
        <f>'2024'!H60</f>
        <v>0</v>
      </c>
      <c r="AC60" s="642">
        <f>'2025'!H60</f>
        <v>0</v>
      </c>
      <c r="AD60" s="449">
        <f t="shared" si="4"/>
        <v>0.25</v>
      </c>
      <c r="AE60" s="450">
        <f t="shared" si="5"/>
        <v>0.41176470588235292</v>
      </c>
      <c r="AF60" s="450">
        <f t="shared" si="6"/>
        <v>0</v>
      </c>
      <c r="AG60" s="450">
        <f t="shared" si="7"/>
        <v>0.34883720930232559</v>
      </c>
      <c r="AH60" s="450">
        <f t="shared" si="8"/>
        <v>0</v>
      </c>
      <c r="AI60" s="451">
        <f t="shared" si="9"/>
        <v>0</v>
      </c>
      <c r="AJ60" s="676">
        <f>'2020'!J60</f>
        <v>5</v>
      </c>
      <c r="AK60" s="641">
        <f>'2021'!J60</f>
        <v>7</v>
      </c>
      <c r="AL60" s="641" t="str">
        <f>'2022'!J60</f>
        <v/>
      </c>
      <c r="AM60" s="641">
        <f>'2023'!J60</f>
        <v>15</v>
      </c>
      <c r="AN60" s="641">
        <f>'2024'!J60</f>
        <v>0</v>
      </c>
      <c r="AO60" s="642">
        <f>'2025'!J60</f>
        <v>0</v>
      </c>
      <c r="AP60" s="449">
        <f t="shared" si="28"/>
        <v>0.15</v>
      </c>
      <c r="AQ60" s="450">
        <f t="shared" si="11"/>
        <v>0.23529411764705882</v>
      </c>
      <c r="AR60" s="450" t="str">
        <f t="shared" si="12"/>
        <v/>
      </c>
      <c r="AS60" s="450">
        <f t="shared" si="13"/>
        <v>0.39534883720930231</v>
      </c>
      <c r="AT60" s="450" t="str">
        <f t="shared" si="14"/>
        <v/>
      </c>
      <c r="AU60" s="451" t="str">
        <f t="shared" si="15"/>
        <v/>
      </c>
      <c r="AV60" s="676">
        <f>'2020'!L60</f>
        <v>3</v>
      </c>
      <c r="AW60" s="641">
        <f>'2021'!L60</f>
        <v>4</v>
      </c>
      <c r="AX60" s="641" t="str">
        <f>'2022'!L60</f>
        <v/>
      </c>
      <c r="AY60" s="641">
        <f>'2023'!L60</f>
        <v>17</v>
      </c>
      <c r="AZ60" s="641">
        <f>'2024'!L60</f>
        <v>0</v>
      </c>
      <c r="BA60" s="642">
        <f>'2025'!L60</f>
        <v>0</v>
      </c>
      <c r="BB60" s="449">
        <f t="shared" si="29"/>
        <v>0.33</v>
      </c>
      <c r="BC60" s="450">
        <f t="shared" si="16"/>
        <v>0.25</v>
      </c>
      <c r="BD60" s="450" t="e">
        <f t="shared" si="17"/>
        <v>#VALUE!</v>
      </c>
      <c r="BE60" s="450">
        <f t="shared" si="18"/>
        <v>0.17647058823529413</v>
      </c>
      <c r="BF60" s="450" t="str">
        <f t="shared" si="19"/>
        <v/>
      </c>
      <c r="BG60" s="451" t="str">
        <f t="shared" si="20"/>
        <v/>
      </c>
      <c r="BH60" s="966">
        <f>'2020'!N60</f>
        <v>0.99</v>
      </c>
      <c r="BI60" s="967">
        <f>'2021'!N60</f>
        <v>1</v>
      </c>
      <c r="BJ60" s="967" t="str">
        <f>'2022'!N60</f>
        <v/>
      </c>
      <c r="BK60" s="967">
        <f>'2023'!N60</f>
        <v>3</v>
      </c>
      <c r="BL60" s="967">
        <f>'2024'!N60</f>
        <v>0</v>
      </c>
      <c r="BM60" s="968">
        <f>'2025'!N60</f>
        <v>0</v>
      </c>
      <c r="BN60" s="452" t="s">
        <v>21</v>
      </c>
      <c r="BO60" s="453" t="s">
        <v>21</v>
      </c>
      <c r="BP60" s="452" t="s">
        <v>21</v>
      </c>
      <c r="BQ60" s="453" t="s">
        <v>21</v>
      </c>
      <c r="BR60" s="454" t="s">
        <v>21</v>
      </c>
      <c r="BS60" s="455" t="s">
        <v>21</v>
      </c>
      <c r="BT60" s="454" t="s">
        <v>21</v>
      </c>
      <c r="BU60" s="456" t="s">
        <v>21</v>
      </c>
      <c r="CC60" s="1" t="str">
        <f t="shared" si="30"/>
        <v>France</v>
      </c>
      <c r="CD60" s="1" t="str">
        <f t="shared" si="31"/>
        <v>France</v>
      </c>
      <c r="CE60" s="1" t="str">
        <f t="shared" si="32"/>
        <v>France</v>
      </c>
      <c r="CF60" s="1" t="str">
        <f t="shared" si="33"/>
        <v>France</v>
      </c>
      <c r="CG60" s="1" t="str">
        <f t="shared" si="34"/>
        <v/>
      </c>
      <c r="CH60" s="1" t="str">
        <f t="shared" si="35"/>
        <v/>
      </c>
    </row>
    <row r="61" spans="2:86" ht="15.75" customHeight="1">
      <c r="B61" s="1088"/>
      <c r="C61" s="1089"/>
      <c r="D61" s="1048"/>
      <c r="E61" s="1041"/>
      <c r="F61" s="1041"/>
      <c r="G61" s="1041"/>
      <c r="H61" s="1041"/>
      <c r="I61" s="1045"/>
      <c r="J61" s="905" t="s">
        <v>166</v>
      </c>
      <c r="K61" s="426" t="str">
        <f t="shared" si="158"/>
        <v/>
      </c>
      <c r="L61" s="426" t="str">
        <f t="shared" si="159"/>
        <v/>
      </c>
      <c r="M61" s="426" t="str">
        <f t="shared" si="160"/>
        <v/>
      </c>
      <c r="N61" s="426" t="str">
        <f t="shared" si="161"/>
        <v/>
      </c>
      <c r="O61" s="426" t="str">
        <f t="shared" si="162"/>
        <v/>
      </c>
      <c r="P61" s="427" t="str">
        <f t="shared" si="163"/>
        <v/>
      </c>
      <c r="Q61" s="251"/>
      <c r="R61" s="640">
        <f>'2020'!G61</f>
        <v>0</v>
      </c>
      <c r="S61" s="641">
        <f>'2021'!G61</f>
        <v>0</v>
      </c>
      <c r="T61" s="641">
        <f>'2022'!G61</f>
        <v>0</v>
      </c>
      <c r="U61" s="641">
        <f>'2023'!G61</f>
        <v>0</v>
      </c>
      <c r="V61" s="641">
        <f>'2024'!G61</f>
        <v>0</v>
      </c>
      <c r="W61" s="642">
        <f>'2025'!G61</f>
        <v>0</v>
      </c>
      <c r="X61" s="676">
        <f>'2020'!H61</f>
        <v>0</v>
      </c>
      <c r="Y61" s="641">
        <f>'2021'!H61</f>
        <v>0</v>
      </c>
      <c r="Z61" s="641">
        <f>'2022'!H61</f>
        <v>0</v>
      </c>
      <c r="AA61" s="641">
        <f>'2023'!H61</f>
        <v>0</v>
      </c>
      <c r="AB61" s="641">
        <f>'2024'!H61</f>
        <v>0</v>
      </c>
      <c r="AC61" s="642">
        <f>'2025'!H61</f>
        <v>0</v>
      </c>
      <c r="AD61" s="449">
        <f t="shared" si="4"/>
        <v>0</v>
      </c>
      <c r="AE61" s="450">
        <f t="shared" si="5"/>
        <v>0</v>
      </c>
      <c r="AF61" s="450">
        <f t="shared" si="6"/>
        <v>0</v>
      </c>
      <c r="AG61" s="450">
        <f t="shared" si="7"/>
        <v>0</v>
      </c>
      <c r="AH61" s="450">
        <f t="shared" si="8"/>
        <v>0</v>
      </c>
      <c r="AI61" s="451">
        <f t="shared" si="9"/>
        <v>0</v>
      </c>
      <c r="AJ61" s="676">
        <f>'2020'!J61</f>
        <v>0</v>
      </c>
      <c r="AK61" s="641">
        <f>'2021'!J61</f>
        <v>0</v>
      </c>
      <c r="AL61" s="641">
        <f>'2022'!J61</f>
        <v>0</v>
      </c>
      <c r="AM61" s="641">
        <f>'2023'!J61</f>
        <v>0</v>
      </c>
      <c r="AN61" s="641">
        <f>'2024'!J61</f>
        <v>0</v>
      </c>
      <c r="AO61" s="642">
        <f>'2025'!J61</f>
        <v>0</v>
      </c>
      <c r="AP61" s="449" t="str">
        <f t="shared" si="28"/>
        <v/>
      </c>
      <c r="AQ61" s="450" t="str">
        <f t="shared" si="11"/>
        <v/>
      </c>
      <c r="AR61" s="450" t="str">
        <f t="shared" si="12"/>
        <v/>
      </c>
      <c r="AS61" s="450" t="str">
        <f t="shared" si="13"/>
        <v/>
      </c>
      <c r="AT61" s="450" t="str">
        <f t="shared" si="14"/>
        <v/>
      </c>
      <c r="AU61" s="451" t="str">
        <f t="shared" si="15"/>
        <v/>
      </c>
      <c r="AV61" s="676">
        <f>'2020'!L61</f>
        <v>0</v>
      </c>
      <c r="AW61" s="641">
        <f>'2021'!L61</f>
        <v>0</v>
      </c>
      <c r="AX61" s="641">
        <f>'2022'!L61</f>
        <v>0</v>
      </c>
      <c r="AY61" s="641">
        <f>'2023'!L61</f>
        <v>0</v>
      </c>
      <c r="AZ61" s="641">
        <f>'2024'!L61</f>
        <v>0</v>
      </c>
      <c r="BA61" s="642">
        <f>'2025'!L61</f>
        <v>0</v>
      </c>
      <c r="BB61" s="449" t="str">
        <f t="shared" si="29"/>
        <v/>
      </c>
      <c r="BC61" s="450" t="str">
        <f t="shared" si="16"/>
        <v/>
      </c>
      <c r="BD61" s="450" t="str">
        <f t="shared" si="17"/>
        <v/>
      </c>
      <c r="BE61" s="450" t="str">
        <f t="shared" si="18"/>
        <v/>
      </c>
      <c r="BF61" s="450" t="str">
        <f t="shared" si="19"/>
        <v/>
      </c>
      <c r="BG61" s="451" t="str">
        <f t="shared" si="20"/>
        <v/>
      </c>
      <c r="BH61" s="966">
        <f>'2020'!N61</f>
        <v>0</v>
      </c>
      <c r="BI61" s="967">
        <f>'2021'!N61</f>
        <v>0</v>
      </c>
      <c r="BJ61" s="967">
        <f>'2022'!N61</f>
        <v>0</v>
      </c>
      <c r="BK61" s="967">
        <f>'2023'!N61</f>
        <v>0</v>
      </c>
      <c r="BL61" s="967">
        <f>'2024'!N61</f>
        <v>0</v>
      </c>
      <c r="BM61" s="968">
        <f>'2025'!N61</f>
        <v>0</v>
      </c>
      <c r="BN61" s="452"/>
      <c r="BO61" s="453"/>
      <c r="BP61" s="452"/>
      <c r="BQ61" s="453"/>
      <c r="BR61" s="454"/>
      <c r="BS61" s="455"/>
      <c r="BT61" s="454"/>
      <c r="BU61" s="456"/>
      <c r="CC61" s="1" t="str">
        <f t="shared" si="30"/>
        <v/>
      </c>
      <c r="CD61" s="1" t="str">
        <f t="shared" si="31"/>
        <v/>
      </c>
      <c r="CE61" s="1" t="str">
        <f t="shared" si="32"/>
        <v/>
      </c>
      <c r="CF61" s="1" t="str">
        <f t="shared" si="33"/>
        <v/>
      </c>
      <c r="CG61" s="1" t="str">
        <f t="shared" si="34"/>
        <v/>
      </c>
      <c r="CH61" s="1" t="str">
        <f t="shared" si="35"/>
        <v/>
      </c>
    </row>
    <row r="62" spans="2:86" ht="15.75" customHeight="1">
      <c r="B62" s="1088"/>
      <c r="C62" s="1089"/>
      <c r="D62" s="1048"/>
      <c r="E62" s="1041"/>
      <c r="F62" s="1041"/>
      <c r="G62" s="1041"/>
      <c r="H62" s="1041"/>
      <c r="I62" s="1045"/>
      <c r="J62" s="905" t="s">
        <v>166</v>
      </c>
      <c r="K62" s="426" t="str">
        <f t="shared" si="158"/>
        <v/>
      </c>
      <c r="L62" s="426" t="str">
        <f t="shared" si="159"/>
        <v/>
      </c>
      <c r="M62" s="426" t="str">
        <f t="shared" si="160"/>
        <v/>
      </c>
      <c r="N62" s="426" t="str">
        <f t="shared" si="161"/>
        <v/>
      </c>
      <c r="O62" s="426" t="str">
        <f t="shared" si="162"/>
        <v/>
      </c>
      <c r="P62" s="427" t="str">
        <f t="shared" si="163"/>
        <v/>
      </c>
      <c r="Q62" s="251"/>
      <c r="R62" s="640">
        <f>'2020'!G62</f>
        <v>0</v>
      </c>
      <c r="S62" s="641">
        <f>'2021'!G62</f>
        <v>0</v>
      </c>
      <c r="T62" s="641">
        <f>'2022'!G62</f>
        <v>0</v>
      </c>
      <c r="U62" s="641">
        <f>'2023'!G62</f>
        <v>0</v>
      </c>
      <c r="V62" s="641">
        <f>'2024'!G62</f>
        <v>0</v>
      </c>
      <c r="W62" s="642">
        <f>'2025'!G62</f>
        <v>0</v>
      </c>
      <c r="X62" s="676">
        <f>'2020'!H62</f>
        <v>0</v>
      </c>
      <c r="Y62" s="641">
        <f>'2021'!H62</f>
        <v>0</v>
      </c>
      <c r="Z62" s="641">
        <f>'2022'!H62</f>
        <v>0</v>
      </c>
      <c r="AA62" s="641">
        <f>'2023'!H62</f>
        <v>0</v>
      </c>
      <c r="AB62" s="641">
        <f>'2024'!H62</f>
        <v>0</v>
      </c>
      <c r="AC62" s="642">
        <f>'2025'!H62</f>
        <v>0</v>
      </c>
      <c r="AD62" s="449">
        <f t="shared" si="4"/>
        <v>0</v>
      </c>
      <c r="AE62" s="450">
        <f t="shared" si="5"/>
        <v>0</v>
      </c>
      <c r="AF62" s="450">
        <f t="shared" si="6"/>
        <v>0</v>
      </c>
      <c r="AG62" s="450">
        <f t="shared" si="7"/>
        <v>0</v>
      </c>
      <c r="AH62" s="450">
        <f t="shared" si="8"/>
        <v>0</v>
      </c>
      <c r="AI62" s="451">
        <f t="shared" si="9"/>
        <v>0</v>
      </c>
      <c r="AJ62" s="676">
        <f>'2020'!J62</f>
        <v>0</v>
      </c>
      <c r="AK62" s="641">
        <f>'2021'!J62</f>
        <v>0</v>
      </c>
      <c r="AL62" s="641">
        <f>'2022'!J62</f>
        <v>0</v>
      </c>
      <c r="AM62" s="641">
        <f>'2023'!J62</f>
        <v>0</v>
      </c>
      <c r="AN62" s="641">
        <f>'2024'!J62</f>
        <v>0</v>
      </c>
      <c r="AO62" s="642">
        <f>'2025'!J62</f>
        <v>0</v>
      </c>
      <c r="AP62" s="449" t="str">
        <f t="shared" si="28"/>
        <v/>
      </c>
      <c r="AQ62" s="450" t="str">
        <f t="shared" si="11"/>
        <v/>
      </c>
      <c r="AR62" s="450" t="str">
        <f t="shared" si="12"/>
        <v/>
      </c>
      <c r="AS62" s="450" t="str">
        <f t="shared" si="13"/>
        <v/>
      </c>
      <c r="AT62" s="450" t="str">
        <f t="shared" si="14"/>
        <v/>
      </c>
      <c r="AU62" s="451" t="str">
        <f t="shared" si="15"/>
        <v/>
      </c>
      <c r="AV62" s="676">
        <f>'2020'!L62</f>
        <v>0</v>
      </c>
      <c r="AW62" s="641">
        <f>'2021'!L62</f>
        <v>0</v>
      </c>
      <c r="AX62" s="641">
        <f>'2022'!L62</f>
        <v>0</v>
      </c>
      <c r="AY62" s="641">
        <f>'2023'!L62</f>
        <v>0</v>
      </c>
      <c r="AZ62" s="641">
        <f>'2024'!L62</f>
        <v>0</v>
      </c>
      <c r="BA62" s="642">
        <f>'2025'!L62</f>
        <v>0</v>
      </c>
      <c r="BB62" s="449" t="str">
        <f t="shared" si="29"/>
        <v/>
      </c>
      <c r="BC62" s="450" t="str">
        <f t="shared" si="16"/>
        <v/>
      </c>
      <c r="BD62" s="450" t="str">
        <f t="shared" si="17"/>
        <v/>
      </c>
      <c r="BE62" s="450" t="str">
        <f t="shared" si="18"/>
        <v/>
      </c>
      <c r="BF62" s="450" t="str">
        <f t="shared" si="19"/>
        <v/>
      </c>
      <c r="BG62" s="451" t="str">
        <f t="shared" si="20"/>
        <v/>
      </c>
      <c r="BH62" s="966">
        <f>'2020'!N62</f>
        <v>0</v>
      </c>
      <c r="BI62" s="967">
        <f>'2021'!N62</f>
        <v>0</v>
      </c>
      <c r="BJ62" s="967">
        <f>'2022'!N62</f>
        <v>0</v>
      </c>
      <c r="BK62" s="967">
        <f>'2023'!N62</f>
        <v>0</v>
      </c>
      <c r="BL62" s="967">
        <f>'2024'!N62</f>
        <v>0</v>
      </c>
      <c r="BM62" s="968">
        <f>'2025'!N62</f>
        <v>0</v>
      </c>
      <c r="BN62" s="452"/>
      <c r="BO62" s="453"/>
      <c r="BP62" s="452"/>
      <c r="BQ62" s="453"/>
      <c r="BR62" s="454"/>
      <c r="BS62" s="455"/>
      <c r="BT62" s="454"/>
      <c r="BU62" s="456"/>
      <c r="CC62" s="1" t="str">
        <f t="shared" si="30"/>
        <v/>
      </c>
      <c r="CD62" s="1" t="str">
        <f t="shared" si="31"/>
        <v/>
      </c>
      <c r="CE62" s="1" t="str">
        <f t="shared" si="32"/>
        <v/>
      </c>
      <c r="CF62" s="1" t="str">
        <f t="shared" si="33"/>
        <v/>
      </c>
      <c r="CG62" s="1" t="str">
        <f t="shared" si="34"/>
        <v/>
      </c>
      <c r="CH62" s="1" t="str">
        <f t="shared" si="35"/>
        <v/>
      </c>
    </row>
    <row r="63" spans="2:86" ht="15.75" customHeight="1">
      <c r="B63" s="1088"/>
      <c r="C63" s="1089"/>
      <c r="D63" s="1049"/>
      <c r="E63" s="1042"/>
      <c r="F63" s="1042"/>
      <c r="G63" s="1042"/>
      <c r="H63" s="1042"/>
      <c r="I63" s="1046"/>
      <c r="J63" s="907" t="s">
        <v>166</v>
      </c>
      <c r="K63" s="457" t="str">
        <f t="shared" si="158"/>
        <v/>
      </c>
      <c r="L63" s="457" t="str">
        <f t="shared" si="159"/>
        <v/>
      </c>
      <c r="M63" s="457" t="str">
        <f t="shared" si="160"/>
        <v/>
      </c>
      <c r="N63" s="457" t="str">
        <f t="shared" si="161"/>
        <v/>
      </c>
      <c r="O63" s="457" t="str">
        <f t="shared" si="162"/>
        <v/>
      </c>
      <c r="P63" s="458" t="str">
        <f t="shared" si="163"/>
        <v/>
      </c>
      <c r="Q63" s="459"/>
      <c r="R63" s="643">
        <f>'2020'!G63</f>
        <v>0</v>
      </c>
      <c r="S63" s="644">
        <f>'2021'!G63</f>
        <v>0</v>
      </c>
      <c r="T63" s="644">
        <f>'2022'!G63</f>
        <v>0</v>
      </c>
      <c r="U63" s="644">
        <f>'2023'!G63</f>
        <v>0</v>
      </c>
      <c r="V63" s="644">
        <f>'2024'!G63</f>
        <v>0</v>
      </c>
      <c r="W63" s="645">
        <f>'2025'!G63</f>
        <v>0</v>
      </c>
      <c r="X63" s="677">
        <f>'2020'!H63</f>
        <v>0</v>
      </c>
      <c r="Y63" s="644">
        <f>'2021'!H63</f>
        <v>0</v>
      </c>
      <c r="Z63" s="644">
        <f>'2022'!H63</f>
        <v>0</v>
      </c>
      <c r="AA63" s="644">
        <f>'2023'!H63</f>
        <v>0</v>
      </c>
      <c r="AB63" s="644">
        <f>'2024'!H63</f>
        <v>0</v>
      </c>
      <c r="AC63" s="645">
        <f>'2025'!H63</f>
        <v>0</v>
      </c>
      <c r="AD63" s="460">
        <f t="shared" si="4"/>
        <v>0</v>
      </c>
      <c r="AE63" s="461">
        <f t="shared" si="5"/>
        <v>0</v>
      </c>
      <c r="AF63" s="461">
        <f t="shared" si="6"/>
        <v>0</v>
      </c>
      <c r="AG63" s="461">
        <f t="shared" si="7"/>
        <v>0</v>
      </c>
      <c r="AH63" s="461">
        <f t="shared" si="8"/>
        <v>0</v>
      </c>
      <c r="AI63" s="462">
        <f t="shared" si="9"/>
        <v>0</v>
      </c>
      <c r="AJ63" s="677">
        <f>'2020'!J63</f>
        <v>0</v>
      </c>
      <c r="AK63" s="644">
        <f>'2021'!J63</f>
        <v>0</v>
      </c>
      <c r="AL63" s="644">
        <f>'2022'!J63</f>
        <v>0</v>
      </c>
      <c r="AM63" s="644">
        <f>'2023'!J63</f>
        <v>0</v>
      </c>
      <c r="AN63" s="644">
        <f>'2024'!J63</f>
        <v>0</v>
      </c>
      <c r="AO63" s="645">
        <f>'2025'!J63</f>
        <v>0</v>
      </c>
      <c r="AP63" s="460" t="str">
        <f t="shared" si="28"/>
        <v/>
      </c>
      <c r="AQ63" s="461" t="str">
        <f t="shared" si="11"/>
        <v/>
      </c>
      <c r="AR63" s="461" t="str">
        <f t="shared" si="12"/>
        <v/>
      </c>
      <c r="AS63" s="461" t="str">
        <f t="shared" si="13"/>
        <v/>
      </c>
      <c r="AT63" s="461" t="str">
        <f t="shared" si="14"/>
        <v/>
      </c>
      <c r="AU63" s="462" t="str">
        <f t="shared" si="15"/>
        <v/>
      </c>
      <c r="AV63" s="677">
        <f>'2020'!L63</f>
        <v>0</v>
      </c>
      <c r="AW63" s="644">
        <f>'2021'!L63</f>
        <v>0</v>
      </c>
      <c r="AX63" s="644">
        <f>'2022'!L63</f>
        <v>0</v>
      </c>
      <c r="AY63" s="644">
        <f>'2023'!L63</f>
        <v>0</v>
      </c>
      <c r="AZ63" s="644">
        <f>'2024'!L63</f>
        <v>0</v>
      </c>
      <c r="BA63" s="645">
        <f>'2025'!L63</f>
        <v>0</v>
      </c>
      <c r="BB63" s="460" t="str">
        <f t="shared" si="29"/>
        <v/>
      </c>
      <c r="BC63" s="461" t="str">
        <f t="shared" si="16"/>
        <v/>
      </c>
      <c r="BD63" s="461" t="str">
        <f t="shared" si="17"/>
        <v/>
      </c>
      <c r="BE63" s="461" t="str">
        <f t="shared" si="18"/>
        <v/>
      </c>
      <c r="BF63" s="461" t="str">
        <f t="shared" si="19"/>
        <v/>
      </c>
      <c r="BG63" s="462" t="str">
        <f t="shared" si="20"/>
        <v/>
      </c>
      <c r="BH63" s="969">
        <f>'2020'!N63</f>
        <v>0</v>
      </c>
      <c r="BI63" s="970">
        <f>'2021'!N63</f>
        <v>0</v>
      </c>
      <c r="BJ63" s="970">
        <f>'2022'!N63</f>
        <v>0</v>
      </c>
      <c r="BK63" s="970">
        <f>'2023'!N63</f>
        <v>0</v>
      </c>
      <c r="BL63" s="970">
        <f>'2024'!N63</f>
        <v>0</v>
      </c>
      <c r="BM63" s="971">
        <f>'2025'!N63</f>
        <v>0</v>
      </c>
      <c r="BN63" s="463"/>
      <c r="BO63" s="464"/>
      <c r="BP63" s="463"/>
      <c r="BQ63" s="464"/>
      <c r="BR63" s="465"/>
      <c r="BS63" s="466"/>
      <c r="BT63" s="465"/>
      <c r="BU63" s="467"/>
      <c r="CC63" s="1" t="str">
        <f t="shared" si="30"/>
        <v/>
      </c>
      <c r="CD63" s="1" t="str">
        <f t="shared" si="31"/>
        <v/>
      </c>
      <c r="CE63" s="1" t="str">
        <f t="shared" si="32"/>
        <v/>
      </c>
      <c r="CF63" s="1" t="str">
        <f t="shared" si="33"/>
        <v/>
      </c>
      <c r="CG63" s="1" t="str">
        <f t="shared" si="34"/>
        <v/>
      </c>
      <c r="CH63" s="1" t="str">
        <f t="shared" si="35"/>
        <v/>
      </c>
    </row>
    <row r="64" spans="2:86" ht="16.5" thickBot="1">
      <c r="B64" s="1008"/>
      <c r="C64" s="1090"/>
      <c r="D64" s="490" t="s">
        <v>138</v>
      </c>
      <c r="E64" s="491"/>
      <c r="F64" s="491"/>
      <c r="G64" s="624"/>
      <c r="H64" s="624"/>
      <c r="I64" s="625"/>
      <c r="J64" s="976"/>
      <c r="K64" s="414">
        <f>COUNTIF(K50:K63,"X")</f>
        <v>8</v>
      </c>
      <c r="L64" s="471">
        <f t="shared" ref="L64:P64" si="164">COUNTIF(L50:L63,"X")</f>
        <v>8</v>
      </c>
      <c r="M64" s="471">
        <f t="shared" si="164"/>
        <v>7</v>
      </c>
      <c r="N64" s="471">
        <f t="shared" si="164"/>
        <v>8</v>
      </c>
      <c r="O64" s="471">
        <f t="shared" si="164"/>
        <v>0</v>
      </c>
      <c r="P64" s="472">
        <f t="shared" si="164"/>
        <v>0</v>
      </c>
      <c r="Q64" s="231"/>
      <c r="R64" s="657">
        <f>SUM(R50:R63)</f>
        <v>159</v>
      </c>
      <c r="S64" s="658">
        <f t="shared" ref="S64:W64" si="165">SUM(S50:S63)</f>
        <v>198</v>
      </c>
      <c r="T64" s="658">
        <f t="shared" si="165"/>
        <v>148</v>
      </c>
      <c r="U64" s="658">
        <f t="shared" si="165"/>
        <v>356</v>
      </c>
      <c r="V64" s="658">
        <f t="shared" si="165"/>
        <v>0</v>
      </c>
      <c r="W64" s="659">
        <f t="shared" si="165"/>
        <v>0</v>
      </c>
      <c r="X64" s="682">
        <f>SUM(X50:X63)</f>
        <v>95</v>
      </c>
      <c r="Y64" s="658">
        <f t="shared" ref="Y64:AC64" si="166">SUM(Y50:Y63)</f>
        <v>128</v>
      </c>
      <c r="Z64" s="658">
        <f t="shared" si="166"/>
        <v>96</v>
      </c>
      <c r="AA64" s="658">
        <f t="shared" si="166"/>
        <v>216</v>
      </c>
      <c r="AB64" s="658">
        <f t="shared" si="166"/>
        <v>0</v>
      </c>
      <c r="AC64" s="659">
        <f t="shared" si="166"/>
        <v>0</v>
      </c>
      <c r="AD64" s="338">
        <f t="shared" si="4"/>
        <v>0.28283018867924525</v>
      </c>
      <c r="AE64" s="339">
        <f t="shared" si="5"/>
        <v>0.47474747474747475</v>
      </c>
      <c r="AF64" s="339">
        <f t="shared" si="6"/>
        <v>0.49324324324324326</v>
      </c>
      <c r="AG64" s="339">
        <f t="shared" si="7"/>
        <v>0.5337078651685393</v>
      </c>
      <c r="AH64" s="339">
        <f t="shared" si="8"/>
        <v>0</v>
      </c>
      <c r="AI64" s="344">
        <f t="shared" si="9"/>
        <v>0</v>
      </c>
      <c r="AJ64" s="682">
        <f>SUM(AJ50:AJ63)</f>
        <v>44.97</v>
      </c>
      <c r="AK64" s="658">
        <f t="shared" ref="AK64" si="167">SUM(AK50:AK63)</f>
        <v>94</v>
      </c>
      <c r="AL64" s="658">
        <f t="shared" ref="AL64" si="168">SUM(AL50:AL63)</f>
        <v>73</v>
      </c>
      <c r="AM64" s="658">
        <f t="shared" ref="AM64" si="169">SUM(AM50:AM63)</f>
        <v>190</v>
      </c>
      <c r="AN64" s="658">
        <f t="shared" ref="AN64" si="170">SUM(AN50:AN63)</f>
        <v>0</v>
      </c>
      <c r="AO64" s="659">
        <f t="shared" ref="AO64" si="171">SUM(AO50:AO63)</f>
        <v>0</v>
      </c>
      <c r="AP64" s="338">
        <f t="shared" si="28"/>
        <v>0.11962264150943398</v>
      </c>
      <c r="AQ64" s="339">
        <f t="shared" si="11"/>
        <v>0.23232323232323232</v>
      </c>
      <c r="AR64" s="339">
        <f t="shared" si="12"/>
        <v>0.22297297297297297</v>
      </c>
      <c r="AS64" s="339">
        <f t="shared" si="13"/>
        <v>0.3258426966292135</v>
      </c>
      <c r="AT64" s="339" t="str">
        <f t="shared" si="14"/>
        <v/>
      </c>
      <c r="AU64" s="344" t="str">
        <f t="shared" si="15"/>
        <v/>
      </c>
      <c r="AV64" s="682">
        <f>SUM(AV50:AV63)</f>
        <v>19.020000000000003</v>
      </c>
      <c r="AW64" s="658">
        <f t="shared" ref="AW64" si="172">SUM(AW50:AW63)</f>
        <v>46</v>
      </c>
      <c r="AX64" s="658">
        <f t="shared" ref="AX64" si="173">SUM(AX50:AX63)</f>
        <v>33</v>
      </c>
      <c r="AY64" s="658">
        <f t="shared" ref="AY64" si="174">SUM(AY50:AY63)</f>
        <v>116</v>
      </c>
      <c r="AZ64" s="658">
        <f t="shared" ref="AZ64" si="175">SUM(AZ50:AZ63)</f>
        <v>0</v>
      </c>
      <c r="BA64" s="659">
        <f t="shared" ref="BA64" si="176">SUM(BA50:BA63)</f>
        <v>0</v>
      </c>
      <c r="BB64" s="340">
        <f t="shared" si="29"/>
        <v>0.68138801261829651</v>
      </c>
      <c r="BC64" s="341">
        <f t="shared" si="16"/>
        <v>0.63043478260869568</v>
      </c>
      <c r="BD64" s="341">
        <f t="shared" si="17"/>
        <v>0.72727272727272729</v>
      </c>
      <c r="BE64" s="341">
        <f t="shared" si="18"/>
        <v>0.69827586206896552</v>
      </c>
      <c r="BF64" s="341" t="str">
        <f t="shared" si="19"/>
        <v/>
      </c>
      <c r="BG64" s="345" t="str">
        <f t="shared" si="20"/>
        <v/>
      </c>
      <c r="BH64" s="682">
        <f>SUM(BH50:BH63)</f>
        <v>12.96</v>
      </c>
      <c r="BI64" s="658">
        <f t="shared" ref="BI64" si="177">SUM(BI50:BI63)</f>
        <v>29</v>
      </c>
      <c r="BJ64" s="658">
        <f t="shared" ref="BJ64" si="178">SUM(BJ50:BJ63)</f>
        <v>24</v>
      </c>
      <c r="BK64" s="658">
        <f t="shared" ref="BK64" si="179">SUM(BK50:BK63)</f>
        <v>81</v>
      </c>
      <c r="BL64" s="658">
        <f t="shared" ref="BL64" si="180">SUM(BL50:BL63)</f>
        <v>0</v>
      </c>
      <c r="BM64" s="659">
        <f t="shared" ref="BM64" si="181">SUM(BM50:BM63)</f>
        <v>0</v>
      </c>
      <c r="BN64" s="468"/>
      <c r="BO64" s="469"/>
      <c r="BP64" s="468"/>
      <c r="BQ64" s="469"/>
      <c r="BR64" s="468"/>
      <c r="BS64" s="469"/>
      <c r="BT64" s="468"/>
      <c r="BU64" s="470"/>
      <c r="CC64" s="1">
        <f t="shared" si="30"/>
        <v>0</v>
      </c>
      <c r="CD64" s="1">
        <f t="shared" si="31"/>
        <v>0</v>
      </c>
      <c r="CE64" s="1">
        <f t="shared" si="32"/>
        <v>0</v>
      </c>
      <c r="CF64" s="1">
        <f t="shared" si="33"/>
        <v>0</v>
      </c>
      <c r="CG64" s="1">
        <f t="shared" si="34"/>
        <v>0</v>
      </c>
      <c r="CH64" s="1">
        <f t="shared" si="35"/>
        <v>0</v>
      </c>
    </row>
    <row r="65" spans="1:86" s="386" customFormat="1" ht="31.5" customHeight="1" thickBot="1">
      <c r="A65" s="20"/>
      <c r="B65" s="379" t="s">
        <v>78</v>
      </c>
      <c r="C65" s="405"/>
      <c r="D65" s="406">
        <f>SUM(D5:D64)</f>
        <v>19</v>
      </c>
      <c r="E65" s="402">
        <f t="shared" ref="E65:I65" si="182">SUM(E5:E64)</f>
        <v>20</v>
      </c>
      <c r="F65" s="402">
        <f t="shared" si="182"/>
        <v>37</v>
      </c>
      <c r="G65" s="402">
        <f t="shared" si="182"/>
        <v>40</v>
      </c>
      <c r="H65" s="402">
        <f t="shared" si="182"/>
        <v>0</v>
      </c>
      <c r="I65" s="410">
        <f t="shared" si="182"/>
        <v>0</v>
      </c>
      <c r="J65" s="688" t="s">
        <v>79</v>
      </c>
      <c r="K65" s="422">
        <f>COUNTIF(K$5:K$64,"X")</f>
        <v>17</v>
      </c>
      <c r="L65" s="422">
        <f t="shared" ref="L65:P65" si="183">COUNTIF(L$5:L$64,"X")</f>
        <v>17</v>
      </c>
      <c r="M65" s="422">
        <f t="shared" si="183"/>
        <v>35</v>
      </c>
      <c r="N65" s="422">
        <f t="shared" si="183"/>
        <v>9</v>
      </c>
      <c r="O65" s="422">
        <f t="shared" si="183"/>
        <v>0</v>
      </c>
      <c r="P65" s="423">
        <f t="shared" si="183"/>
        <v>0</v>
      </c>
      <c r="Q65" s="396"/>
      <c r="R65" s="660">
        <f>R8+R12+R34+R49+R64</f>
        <v>394</v>
      </c>
      <c r="S65" s="661">
        <f t="shared" ref="S65:W65" si="184">S8+S12+S34+S49+S64</f>
        <v>595</v>
      </c>
      <c r="T65" s="661">
        <f t="shared" si="184"/>
        <v>1219</v>
      </c>
      <c r="U65" s="661">
        <f t="shared" si="184"/>
        <v>532</v>
      </c>
      <c r="V65" s="661">
        <f t="shared" si="184"/>
        <v>0</v>
      </c>
      <c r="W65" s="662">
        <f t="shared" si="184"/>
        <v>0</v>
      </c>
      <c r="X65" s="683">
        <f>X8+X12+X34+X49+X64</f>
        <v>235</v>
      </c>
      <c r="Y65" s="661">
        <f t="shared" ref="Y65:AC65" si="185">Y8+Y12+Y34+Y49+Y64</f>
        <v>415</v>
      </c>
      <c r="Z65" s="661">
        <f t="shared" si="185"/>
        <v>894</v>
      </c>
      <c r="AA65" s="661">
        <f t="shared" si="185"/>
        <v>216</v>
      </c>
      <c r="AB65" s="661">
        <f t="shared" si="185"/>
        <v>0</v>
      </c>
      <c r="AC65" s="662">
        <f t="shared" si="185"/>
        <v>0</v>
      </c>
      <c r="AD65" s="380">
        <f t="shared" si="4"/>
        <v>0.22581218274111675</v>
      </c>
      <c r="AE65" s="381">
        <f t="shared" si="5"/>
        <v>0.2857142857142857</v>
      </c>
      <c r="AF65" s="381">
        <f t="shared" si="6"/>
        <v>0.27973748974569318</v>
      </c>
      <c r="AG65" s="381">
        <f t="shared" si="7"/>
        <v>0</v>
      </c>
      <c r="AH65" s="381">
        <f t="shared" si="8"/>
        <v>0</v>
      </c>
      <c r="AI65" s="382">
        <f t="shared" si="9"/>
        <v>0</v>
      </c>
      <c r="AJ65" s="683">
        <f>AJ5+AJ9+AJ34+AJ49+AJ64</f>
        <v>88.97</v>
      </c>
      <c r="AK65" s="661">
        <f>AK5+AK9+AK34+AK49+AK64</f>
        <v>170</v>
      </c>
      <c r="AL65" s="661">
        <f>AL5+AL9+AL34+AL49+AL64</f>
        <v>341</v>
      </c>
      <c r="AM65" s="661"/>
      <c r="AN65" s="661"/>
      <c r="AO65" s="662"/>
      <c r="AP65" s="380">
        <f t="shared" si="28"/>
        <v>0.22593908629441628</v>
      </c>
      <c r="AQ65" s="381">
        <f t="shared" si="11"/>
        <v>0.253781512605042</v>
      </c>
      <c r="AR65" s="381">
        <f t="shared" si="12"/>
        <v>0.30844954881050041</v>
      </c>
      <c r="AS65" s="381" t="str">
        <f t="shared" si="13"/>
        <v/>
      </c>
      <c r="AT65" s="381" t="str">
        <f t="shared" si="14"/>
        <v/>
      </c>
      <c r="AU65" s="382" t="str">
        <f t="shared" si="15"/>
        <v/>
      </c>
      <c r="AV65" s="683">
        <f>AV5+AV9+AV34+AV49+AV64</f>
        <v>89.02000000000001</v>
      </c>
      <c r="AW65" s="661">
        <f>AW5+AW9+AW34+AW49+AW64</f>
        <v>151</v>
      </c>
      <c r="AX65" s="661">
        <f>AX5+AX9+AX34+AX49+AX64</f>
        <v>376</v>
      </c>
      <c r="AY65" s="661"/>
      <c r="AZ65" s="661"/>
      <c r="BA65" s="662"/>
      <c r="BB65" s="380">
        <f t="shared" si="29"/>
        <v>0.16805212311840034</v>
      </c>
      <c r="BC65" s="381">
        <f t="shared" si="16"/>
        <v>0.20529801324503311</v>
      </c>
      <c r="BD65" s="381">
        <f t="shared" si="17"/>
        <v>0.31648936170212766</v>
      </c>
      <c r="BE65" s="381" t="str">
        <f t="shared" si="18"/>
        <v/>
      </c>
      <c r="BF65" s="381" t="str">
        <f t="shared" si="19"/>
        <v/>
      </c>
      <c r="BG65" s="382" t="str">
        <f t="shared" si="20"/>
        <v/>
      </c>
      <c r="BH65" s="397">
        <f>BH5+BH9+BH34+BH49+BH64</f>
        <v>14.96</v>
      </c>
      <c r="BI65" s="398">
        <f>BI5+BI9+BI34+BI49+BI64</f>
        <v>31</v>
      </c>
      <c r="BJ65" s="398">
        <f>BJ5+BJ9+BJ34+BJ49+BJ64</f>
        <v>119</v>
      </c>
      <c r="BK65" s="398"/>
      <c r="BL65" s="398"/>
      <c r="BM65" s="399"/>
      <c r="BN65" s="383"/>
      <c r="BO65" s="384"/>
      <c r="BP65" s="383"/>
      <c r="BQ65" s="384"/>
      <c r="BR65" s="383"/>
      <c r="BS65" s="384"/>
      <c r="BT65" s="383"/>
      <c r="BU65" s="385"/>
      <c r="BV65" s="494"/>
      <c r="CC65" s="1">
        <f t="shared" si="30"/>
        <v>0</v>
      </c>
      <c r="CD65" s="1">
        <f t="shared" si="31"/>
        <v>0</v>
      </c>
      <c r="CE65" s="1">
        <f t="shared" si="32"/>
        <v>0</v>
      </c>
      <c r="CF65" s="1">
        <f t="shared" si="33"/>
        <v>0</v>
      </c>
      <c r="CG65" s="1">
        <f t="shared" si="34"/>
        <v>0</v>
      </c>
      <c r="CH65" s="1">
        <f t="shared" si="35"/>
        <v>0</v>
      </c>
    </row>
    <row r="66" spans="1:86" ht="15" customHeight="1" thickBot="1">
      <c r="B66" s="1091" t="s">
        <v>84</v>
      </c>
      <c r="C66" s="1094" t="s">
        <v>76</v>
      </c>
      <c r="D66" s="1061">
        <f>'2020'!D66</f>
        <v>31</v>
      </c>
      <c r="E66" s="1032">
        <f>'2021'!D66</f>
        <v>6</v>
      </c>
      <c r="F66" s="1032">
        <f>'2022'!D66</f>
        <v>10</v>
      </c>
      <c r="G66" s="1032">
        <f>'2023'!D66</f>
        <v>10</v>
      </c>
      <c r="H66" s="1032"/>
      <c r="I66" s="1068"/>
      <c r="J66" s="921" t="s">
        <v>25</v>
      </c>
      <c r="K66" s="501" t="str">
        <f t="shared" ref="K66:K76" si="186">IF(R66=0,"","X")</f>
        <v>X</v>
      </c>
      <c r="L66" s="501" t="str">
        <f t="shared" ref="L66:L76" si="187">IF(S66=0,"","X")</f>
        <v/>
      </c>
      <c r="M66" s="501" t="str">
        <f t="shared" ref="M66:M76" si="188">IF(T66=0,"","X")</f>
        <v/>
      </c>
      <c r="N66" s="501" t="str">
        <f t="shared" ref="N66:N76" si="189">IF(U66=0,"","X")</f>
        <v/>
      </c>
      <c r="O66" s="501" t="str">
        <f t="shared" ref="O66:O76" si="190">IF(V66=0,"","X")</f>
        <v/>
      </c>
      <c r="P66" s="502" t="str">
        <f t="shared" ref="P66:P76" si="191">IF(W66=0,"","X")</f>
        <v/>
      </c>
      <c r="Q66" s="503" t="s">
        <v>60</v>
      </c>
      <c r="R66" s="637">
        <f>'2020'!G66</f>
        <v>603</v>
      </c>
      <c r="S66" s="638">
        <f>'2021'!G66</f>
        <v>0</v>
      </c>
      <c r="T66" s="638">
        <f>'2022'!G66</f>
        <v>0</v>
      </c>
      <c r="U66" s="638">
        <f>'2023'!G66</f>
        <v>0</v>
      </c>
      <c r="V66" s="638">
        <f>'2024'!G66</f>
        <v>0</v>
      </c>
      <c r="W66" s="639">
        <f>'2025'!G66</f>
        <v>0</v>
      </c>
      <c r="X66" s="675">
        <f>'2020'!H66</f>
        <v>173</v>
      </c>
      <c r="Y66" s="638">
        <f>'2021'!H66</f>
        <v>0</v>
      </c>
      <c r="Z66" s="638">
        <f>'2022'!H66</f>
        <v>0</v>
      </c>
      <c r="AA66" s="638">
        <f>'2023'!H66</f>
        <v>0</v>
      </c>
      <c r="AB66" s="638">
        <f>'2024'!H66</f>
        <v>0</v>
      </c>
      <c r="AC66" s="639">
        <f>'2025'!H66</f>
        <v>0</v>
      </c>
      <c r="AD66" s="506">
        <f t="shared" si="4"/>
        <v>0.43283582089552236</v>
      </c>
      <c r="AE66" s="507">
        <f t="shared" si="5"/>
        <v>0</v>
      </c>
      <c r="AF66" s="507">
        <f t="shared" si="6"/>
        <v>0</v>
      </c>
      <c r="AG66" s="507">
        <f t="shared" si="7"/>
        <v>0</v>
      </c>
      <c r="AH66" s="507">
        <f t="shared" si="8"/>
        <v>0</v>
      </c>
      <c r="AI66" s="508">
        <f t="shared" si="9"/>
        <v>0</v>
      </c>
      <c r="AJ66" s="675">
        <f>'2020'!J66</f>
        <v>261</v>
      </c>
      <c r="AK66" s="638">
        <f>'2021'!J66</f>
        <v>0</v>
      </c>
      <c r="AL66" s="638">
        <f>'2022'!J66</f>
        <v>0</v>
      </c>
      <c r="AM66" s="638">
        <f>'2023'!J66</f>
        <v>0</v>
      </c>
      <c r="AN66" s="638">
        <f>'2024'!J66</f>
        <v>0</v>
      </c>
      <c r="AO66" s="639">
        <f>'2025'!J66</f>
        <v>0</v>
      </c>
      <c r="AP66" s="506">
        <f t="shared" si="28"/>
        <v>0.40132669983416253</v>
      </c>
      <c r="AQ66" s="507" t="str">
        <f t="shared" si="11"/>
        <v/>
      </c>
      <c r="AR66" s="507" t="str">
        <f t="shared" si="12"/>
        <v/>
      </c>
      <c r="AS66" s="507" t="str">
        <f t="shared" si="13"/>
        <v/>
      </c>
      <c r="AT66" s="507" t="str">
        <f t="shared" si="14"/>
        <v/>
      </c>
      <c r="AU66" s="508" t="str">
        <f t="shared" si="15"/>
        <v/>
      </c>
      <c r="AV66" s="675">
        <f>'2020'!L66</f>
        <v>242</v>
      </c>
      <c r="AW66" s="638">
        <f>'2021'!L66</f>
        <v>0</v>
      </c>
      <c r="AX66" s="638">
        <f>'2022'!L66</f>
        <v>0</v>
      </c>
      <c r="AY66" s="638">
        <f>'2023'!L66</f>
        <v>0</v>
      </c>
      <c r="AZ66" s="638">
        <f>'2024'!L66</f>
        <v>0</v>
      </c>
      <c r="BA66" s="639">
        <f>'2025'!L66</f>
        <v>0</v>
      </c>
      <c r="BB66" s="506" t="str">
        <f t="shared" si="29"/>
        <v/>
      </c>
      <c r="BC66" s="507" t="str">
        <f t="shared" si="16"/>
        <v/>
      </c>
      <c r="BD66" s="507" t="str">
        <f t="shared" si="17"/>
        <v/>
      </c>
      <c r="BE66" s="507" t="str">
        <f t="shared" si="18"/>
        <v/>
      </c>
      <c r="BF66" s="507" t="str">
        <f t="shared" si="19"/>
        <v/>
      </c>
      <c r="BG66" s="508" t="str">
        <f t="shared" si="20"/>
        <v/>
      </c>
      <c r="BH66" s="963" t="str">
        <f>'2020'!N66</f>
        <v>-</v>
      </c>
      <c r="BI66" s="964" t="str">
        <f>'2021'!N66</f>
        <v>-</v>
      </c>
      <c r="BJ66" s="964">
        <f>'2022'!N66</f>
        <v>0</v>
      </c>
      <c r="BK66" s="964">
        <f>'2023'!N66</f>
        <v>0</v>
      </c>
      <c r="BL66" s="964">
        <f>'2024'!N66</f>
        <v>0</v>
      </c>
      <c r="BM66" s="965">
        <f>'2025'!N66</f>
        <v>0</v>
      </c>
      <c r="BN66" s="509" t="s">
        <v>21</v>
      </c>
      <c r="BO66" s="510" t="s">
        <v>21</v>
      </c>
      <c r="BP66" s="509" t="s">
        <v>21</v>
      </c>
      <c r="BQ66" s="510" t="s">
        <v>21</v>
      </c>
      <c r="BR66" s="511"/>
      <c r="BS66" s="512"/>
      <c r="BT66" s="511"/>
      <c r="BU66" s="513"/>
      <c r="CC66" s="1" t="str">
        <f t="shared" si="30"/>
        <v>France</v>
      </c>
      <c r="CD66" s="1" t="str">
        <f t="shared" si="31"/>
        <v/>
      </c>
      <c r="CE66" s="1" t="str">
        <f t="shared" si="32"/>
        <v/>
      </c>
      <c r="CF66" s="1" t="str">
        <f t="shared" si="33"/>
        <v/>
      </c>
      <c r="CG66" s="1" t="str">
        <f t="shared" si="34"/>
        <v/>
      </c>
      <c r="CH66" s="1" t="str">
        <f t="shared" si="35"/>
        <v/>
      </c>
    </row>
    <row r="67" spans="1:86" ht="15" customHeight="1" thickBot="1">
      <c r="B67" s="1091"/>
      <c r="C67" s="1094"/>
      <c r="D67" s="1062"/>
      <c r="E67" s="1033"/>
      <c r="F67" s="1033"/>
      <c r="G67" s="1033"/>
      <c r="H67" s="1033"/>
      <c r="I67" s="1069"/>
      <c r="J67" s="905" t="s">
        <v>26</v>
      </c>
      <c r="K67" s="433" t="str">
        <f t="shared" si="186"/>
        <v>X</v>
      </c>
      <c r="L67" s="433" t="str">
        <f t="shared" si="187"/>
        <v/>
      </c>
      <c r="M67" s="433" t="str">
        <f t="shared" si="188"/>
        <v>X</v>
      </c>
      <c r="N67" s="433" t="str">
        <f t="shared" si="189"/>
        <v/>
      </c>
      <c r="O67" s="433" t="str">
        <f t="shared" si="190"/>
        <v/>
      </c>
      <c r="P67" s="434" t="str">
        <f t="shared" si="191"/>
        <v/>
      </c>
      <c r="Q67" s="438" t="s">
        <v>60</v>
      </c>
      <c r="R67" s="640">
        <f>'2020'!G67</f>
        <v>354</v>
      </c>
      <c r="S67" s="641">
        <f>'2021'!G67</f>
        <v>0</v>
      </c>
      <c r="T67" s="641">
        <f>'2022'!G67</f>
        <v>620</v>
      </c>
      <c r="U67" s="641">
        <f>'2023'!G67</f>
        <v>0</v>
      </c>
      <c r="V67" s="641">
        <f>'2024'!G67</f>
        <v>0</v>
      </c>
      <c r="W67" s="642">
        <f>'2025'!G67</f>
        <v>0</v>
      </c>
      <c r="X67" s="676">
        <f>'2020'!H67</f>
        <v>103</v>
      </c>
      <c r="Y67" s="641">
        <f>'2021'!H67</f>
        <v>0</v>
      </c>
      <c r="Z67" s="641">
        <f>'2022'!H67</f>
        <v>331</v>
      </c>
      <c r="AA67" s="641">
        <f>'2023'!H67</f>
        <v>0</v>
      </c>
      <c r="AB67" s="641">
        <f>'2024'!H67</f>
        <v>0</v>
      </c>
      <c r="AC67" s="642">
        <f>'2025'!H67</f>
        <v>0</v>
      </c>
      <c r="AD67" s="449">
        <f t="shared" si="4"/>
        <v>0.40112994350282488</v>
      </c>
      <c r="AE67" s="450">
        <f t="shared" si="5"/>
        <v>0</v>
      </c>
      <c r="AF67" s="450">
        <f t="shared" si="6"/>
        <v>0.43870967741935485</v>
      </c>
      <c r="AG67" s="450">
        <f t="shared" si="7"/>
        <v>0</v>
      </c>
      <c r="AH67" s="450">
        <f t="shared" si="8"/>
        <v>0</v>
      </c>
      <c r="AI67" s="451">
        <f t="shared" si="9"/>
        <v>0</v>
      </c>
      <c r="AJ67" s="676">
        <f>'2020'!J67</f>
        <v>142</v>
      </c>
      <c r="AK67" s="641">
        <f>'2021'!J67</f>
        <v>0</v>
      </c>
      <c r="AL67" s="641">
        <f>'2022'!J67</f>
        <v>272</v>
      </c>
      <c r="AM67" s="641">
        <f>'2023'!J67</f>
        <v>0</v>
      </c>
      <c r="AN67" s="641">
        <f>'2024'!J67</f>
        <v>0</v>
      </c>
      <c r="AO67" s="642">
        <f>'2025'!J67</f>
        <v>0</v>
      </c>
      <c r="AP67" s="449">
        <f t="shared" si="28"/>
        <v>0.45480225988700562</v>
      </c>
      <c r="AQ67" s="450" t="str">
        <f t="shared" si="11"/>
        <v/>
      </c>
      <c r="AR67" s="450">
        <f t="shared" si="12"/>
        <v>0.36774193548387096</v>
      </c>
      <c r="AS67" s="450" t="str">
        <f t="shared" si="13"/>
        <v/>
      </c>
      <c r="AT67" s="450" t="str">
        <f t="shared" si="14"/>
        <v/>
      </c>
      <c r="AU67" s="451" t="str">
        <f t="shared" si="15"/>
        <v/>
      </c>
      <c r="AV67" s="676">
        <f>'2020'!L67</f>
        <v>161</v>
      </c>
      <c r="AW67" s="641">
        <f>'2021'!L67</f>
        <v>0</v>
      </c>
      <c r="AX67" s="641">
        <f>'2022'!L67</f>
        <v>228</v>
      </c>
      <c r="AY67" s="641">
        <f>'2023'!L67</f>
        <v>0</v>
      </c>
      <c r="AZ67" s="641">
        <f>'2024'!L67</f>
        <v>0</v>
      </c>
      <c r="BA67" s="642">
        <f>'2025'!L67</f>
        <v>0</v>
      </c>
      <c r="BB67" s="449" t="str">
        <f t="shared" si="29"/>
        <v/>
      </c>
      <c r="BC67" s="450" t="str">
        <f t="shared" si="16"/>
        <v/>
      </c>
      <c r="BD67" s="450">
        <f t="shared" si="17"/>
        <v>0</v>
      </c>
      <c r="BE67" s="450" t="str">
        <f t="shared" si="18"/>
        <v/>
      </c>
      <c r="BF67" s="450" t="str">
        <f t="shared" si="19"/>
        <v/>
      </c>
      <c r="BG67" s="451" t="str">
        <f t="shared" si="20"/>
        <v/>
      </c>
      <c r="BH67" s="966" t="str">
        <f>'2020'!N67</f>
        <v>-</v>
      </c>
      <c r="BI67" s="967" t="str">
        <f>'2021'!N67</f>
        <v>-</v>
      </c>
      <c r="BJ67" s="967">
        <f>'2022'!N67</f>
        <v>0</v>
      </c>
      <c r="BK67" s="967">
        <f>'2023'!N67</f>
        <v>0</v>
      </c>
      <c r="BL67" s="967">
        <f>'2024'!N67</f>
        <v>0</v>
      </c>
      <c r="BM67" s="968">
        <f>'2025'!N67</f>
        <v>0</v>
      </c>
      <c r="BN67" s="452" t="s">
        <v>21</v>
      </c>
      <c r="BO67" s="453" t="s">
        <v>21</v>
      </c>
      <c r="BP67" s="452" t="s">
        <v>21</v>
      </c>
      <c r="BQ67" s="453" t="s">
        <v>21</v>
      </c>
      <c r="BR67" s="454"/>
      <c r="BS67" s="455"/>
      <c r="BT67" s="454"/>
      <c r="BU67" s="456"/>
      <c r="CC67" s="1" t="str">
        <f t="shared" si="30"/>
        <v>France</v>
      </c>
      <c r="CD67" s="1" t="str">
        <f t="shared" si="31"/>
        <v/>
      </c>
      <c r="CE67" s="1" t="str">
        <f t="shared" si="32"/>
        <v>France</v>
      </c>
      <c r="CF67" s="1" t="str">
        <f t="shared" si="33"/>
        <v/>
      </c>
      <c r="CG67" s="1" t="str">
        <f t="shared" si="34"/>
        <v/>
      </c>
      <c r="CH67" s="1" t="str">
        <f t="shared" si="35"/>
        <v/>
      </c>
    </row>
    <row r="68" spans="1:86" ht="15" customHeight="1" thickBot="1">
      <c r="B68" s="1091"/>
      <c r="C68" s="1094"/>
      <c r="D68" s="1062"/>
      <c r="E68" s="1033"/>
      <c r="F68" s="1033"/>
      <c r="G68" s="1033"/>
      <c r="H68" s="1033"/>
      <c r="I68" s="1069"/>
      <c r="J68" s="905" t="s">
        <v>58</v>
      </c>
      <c r="K68" s="433" t="str">
        <f t="shared" si="186"/>
        <v>X</v>
      </c>
      <c r="L68" s="433" t="str">
        <f t="shared" si="187"/>
        <v>X</v>
      </c>
      <c r="M68" s="433" t="str">
        <f t="shared" si="188"/>
        <v>X</v>
      </c>
      <c r="N68" s="433" t="str">
        <f t="shared" si="189"/>
        <v/>
      </c>
      <c r="O68" s="433" t="str">
        <f t="shared" si="190"/>
        <v/>
      </c>
      <c r="P68" s="434" t="str">
        <f t="shared" si="191"/>
        <v/>
      </c>
      <c r="Q68" s="438" t="s">
        <v>60</v>
      </c>
      <c r="R68" s="640">
        <f>'2020'!G68</f>
        <v>222</v>
      </c>
      <c r="S68" s="641">
        <f>'2021'!G68</f>
        <v>228</v>
      </c>
      <c r="T68" s="641">
        <f>'2022'!G68</f>
        <v>325</v>
      </c>
      <c r="U68" s="641">
        <f>'2023'!G68</f>
        <v>0</v>
      </c>
      <c r="V68" s="641">
        <f>'2024'!G68</f>
        <v>0</v>
      </c>
      <c r="W68" s="642">
        <f>'2025'!G68</f>
        <v>0</v>
      </c>
      <c r="X68" s="676">
        <f>'2020'!H68</f>
        <v>66</v>
      </c>
      <c r="Y68" s="641">
        <f>'2021'!H68</f>
        <v>125</v>
      </c>
      <c r="Z68" s="641">
        <f>'2022'!H68</f>
        <v>227</v>
      </c>
      <c r="AA68" s="641">
        <f>'2023'!H68</f>
        <v>0</v>
      </c>
      <c r="AB68" s="641">
        <f>'2024'!H68</f>
        <v>0</v>
      </c>
      <c r="AC68" s="642">
        <f>'2025'!H68</f>
        <v>0</v>
      </c>
      <c r="AD68" s="449">
        <f t="shared" si="4"/>
        <v>0.61711711711711714</v>
      </c>
      <c r="AE68" s="450">
        <f t="shared" si="5"/>
        <v>0.39473684210526316</v>
      </c>
      <c r="AF68" s="450">
        <f t="shared" si="6"/>
        <v>0.51692307692307693</v>
      </c>
      <c r="AG68" s="450">
        <f t="shared" si="7"/>
        <v>0</v>
      </c>
      <c r="AH68" s="450">
        <f t="shared" si="8"/>
        <v>0</v>
      </c>
      <c r="AI68" s="451">
        <f t="shared" si="9"/>
        <v>0</v>
      </c>
      <c r="AJ68" s="676">
        <f>'2020'!J68</f>
        <v>137</v>
      </c>
      <c r="AK68" s="641">
        <f>'2021'!J68</f>
        <v>90</v>
      </c>
      <c r="AL68" s="641">
        <f>'2022'!J68</f>
        <v>168</v>
      </c>
      <c r="AM68" s="641">
        <f>'2023'!J68</f>
        <v>0</v>
      </c>
      <c r="AN68" s="641">
        <f>'2024'!J68</f>
        <v>0</v>
      </c>
      <c r="AO68" s="642">
        <f>'2025'!J68</f>
        <v>0</v>
      </c>
      <c r="AP68" s="449">
        <f t="shared" si="28"/>
        <v>0.3963963963963964</v>
      </c>
      <c r="AQ68" s="450">
        <f t="shared" si="11"/>
        <v>0.39912280701754388</v>
      </c>
      <c r="AR68" s="450">
        <f t="shared" si="12"/>
        <v>0.4</v>
      </c>
      <c r="AS68" s="450" t="str">
        <f t="shared" si="13"/>
        <v/>
      </c>
      <c r="AT68" s="450" t="str">
        <f t="shared" si="14"/>
        <v/>
      </c>
      <c r="AU68" s="451" t="str">
        <f t="shared" si="15"/>
        <v/>
      </c>
      <c r="AV68" s="676">
        <f>'2020'!L68</f>
        <v>88</v>
      </c>
      <c r="AW68" s="641">
        <f>'2021'!L68</f>
        <v>91</v>
      </c>
      <c r="AX68" s="641">
        <f>'2022'!L68</f>
        <v>130</v>
      </c>
      <c r="AY68" s="641">
        <f>'2023'!L68</f>
        <v>0</v>
      </c>
      <c r="AZ68" s="641">
        <f>'2024'!L68</f>
        <v>0</v>
      </c>
      <c r="BA68" s="642">
        <f>'2025'!L68</f>
        <v>0</v>
      </c>
      <c r="BB68" s="449" t="str">
        <f t="shared" si="29"/>
        <v/>
      </c>
      <c r="BC68" s="450" t="str">
        <f t="shared" si="16"/>
        <v/>
      </c>
      <c r="BD68" s="450">
        <f t="shared" si="17"/>
        <v>0</v>
      </c>
      <c r="BE68" s="450" t="str">
        <f t="shared" si="18"/>
        <v/>
      </c>
      <c r="BF68" s="450" t="str">
        <f t="shared" si="19"/>
        <v/>
      </c>
      <c r="BG68" s="451" t="str">
        <f t="shared" si="20"/>
        <v/>
      </c>
      <c r="BH68" s="966" t="str">
        <f>'2020'!N68</f>
        <v>-</v>
      </c>
      <c r="BI68" s="967" t="str">
        <f>'2021'!N68</f>
        <v>-</v>
      </c>
      <c r="BJ68" s="967">
        <f>'2022'!N68</f>
        <v>0</v>
      </c>
      <c r="BK68" s="967">
        <f>'2023'!N68</f>
        <v>0</v>
      </c>
      <c r="BL68" s="967">
        <f>'2024'!N68</f>
        <v>0</v>
      </c>
      <c r="BM68" s="968">
        <f>'2025'!N68</f>
        <v>0</v>
      </c>
      <c r="BN68" s="452" t="s">
        <v>21</v>
      </c>
      <c r="BO68" s="453" t="s">
        <v>21</v>
      </c>
      <c r="BP68" s="452" t="s">
        <v>21</v>
      </c>
      <c r="BQ68" s="453" t="s">
        <v>21</v>
      </c>
      <c r="BR68" s="454" t="s">
        <v>21</v>
      </c>
      <c r="BS68" s="455" t="s">
        <v>21</v>
      </c>
      <c r="BT68" s="454" t="s">
        <v>21</v>
      </c>
      <c r="BU68" s="456" t="s">
        <v>21</v>
      </c>
      <c r="CC68" s="1" t="str">
        <f t="shared" si="30"/>
        <v>France</v>
      </c>
      <c r="CD68" s="1" t="str">
        <f t="shared" si="31"/>
        <v>France</v>
      </c>
      <c r="CE68" s="1" t="str">
        <f t="shared" si="32"/>
        <v>France</v>
      </c>
      <c r="CF68" s="1" t="str">
        <f t="shared" si="33"/>
        <v/>
      </c>
      <c r="CG68" s="1" t="str">
        <f t="shared" si="34"/>
        <v/>
      </c>
      <c r="CH68" s="1" t="str">
        <f t="shared" si="35"/>
        <v/>
      </c>
    </row>
    <row r="69" spans="1:86" ht="15" customHeight="1" thickBot="1">
      <c r="B69" s="1091"/>
      <c r="C69" s="1094"/>
      <c r="D69" s="1062"/>
      <c r="E69" s="1033"/>
      <c r="F69" s="1033"/>
      <c r="G69" s="1033"/>
      <c r="H69" s="1033"/>
      <c r="I69" s="1069"/>
      <c r="J69" s="905" t="s">
        <v>24</v>
      </c>
      <c r="K69" s="433" t="str">
        <f t="shared" si="186"/>
        <v>X</v>
      </c>
      <c r="L69" s="433" t="str">
        <f t="shared" si="187"/>
        <v>X</v>
      </c>
      <c r="M69" s="433" t="str">
        <f t="shared" si="188"/>
        <v>X</v>
      </c>
      <c r="N69" s="433" t="str">
        <f t="shared" si="189"/>
        <v/>
      </c>
      <c r="O69" s="433" t="str">
        <f t="shared" si="190"/>
        <v/>
      </c>
      <c r="P69" s="434" t="str">
        <f t="shared" si="191"/>
        <v/>
      </c>
      <c r="Q69" s="438" t="s">
        <v>62</v>
      </c>
      <c r="R69" s="640">
        <f>'2020'!G69</f>
        <v>106</v>
      </c>
      <c r="S69" s="641">
        <f>'2021'!G69</f>
        <v>141</v>
      </c>
      <c r="T69" s="641">
        <f>'2022'!G69</f>
        <v>180</v>
      </c>
      <c r="U69" s="641">
        <f>'2023'!G69</f>
        <v>0</v>
      </c>
      <c r="V69" s="641">
        <f>'2024'!G69</f>
        <v>0</v>
      </c>
      <c r="W69" s="642">
        <f>'2025'!G69</f>
        <v>0</v>
      </c>
      <c r="X69" s="676">
        <f>'2020'!H69</f>
        <v>35</v>
      </c>
      <c r="Y69" s="641">
        <f>'2021'!H69</f>
        <v>80</v>
      </c>
      <c r="Z69" s="641">
        <f>'2022'!H69</f>
        <v>92</v>
      </c>
      <c r="AA69" s="641">
        <f>'2023'!H69</f>
        <v>0</v>
      </c>
      <c r="AB69" s="641">
        <f>'2024'!H69</f>
        <v>0</v>
      </c>
      <c r="AC69" s="642">
        <f>'2025'!H69</f>
        <v>0</v>
      </c>
      <c r="AD69" s="449">
        <f t="shared" ref="AD69:AD131" si="192">IF(R69="",0,IF(AJ69=0,0,AJ69/R69))</f>
        <v>0.36792452830188677</v>
      </c>
      <c r="AE69" s="450">
        <f t="shared" ref="AE69:AE131" si="193">IF(S69="",0,IF(AK69=0,0,AK69/S69))</f>
        <v>0.46099290780141844</v>
      </c>
      <c r="AF69" s="450">
        <f t="shared" ref="AF69:AF82" si="194">IF(T69="",0,IF(AL69=0,0,AL69/T69))</f>
        <v>0.43888888888888888</v>
      </c>
      <c r="AG69" s="450">
        <f t="shared" ref="AG69:AG131" si="195">IF(U69="",0,IF(AM69=0,0,AM69/U69))</f>
        <v>0</v>
      </c>
      <c r="AH69" s="450">
        <f t="shared" ref="AH69:AH131" si="196">IF(V69="",0,IF(AN69=0,0,AN69/V69))</f>
        <v>0</v>
      </c>
      <c r="AI69" s="451">
        <f t="shared" ref="AI69:AI131" si="197">IF(W69="",0,IF(AO69=0,0,AO69/W69))</f>
        <v>0</v>
      </c>
      <c r="AJ69" s="676">
        <f>'2020'!J69</f>
        <v>39</v>
      </c>
      <c r="AK69" s="641">
        <f>'2021'!J69</f>
        <v>65</v>
      </c>
      <c r="AL69" s="641">
        <f>'2022'!J69</f>
        <v>79</v>
      </c>
      <c r="AM69" s="641">
        <f>'2023'!J69</f>
        <v>0</v>
      </c>
      <c r="AN69" s="641">
        <f>'2024'!J69</f>
        <v>0</v>
      </c>
      <c r="AO69" s="642">
        <f>'2025'!J69</f>
        <v>0</v>
      </c>
      <c r="AP69" s="449">
        <f t="shared" si="28"/>
        <v>0.45283018867924529</v>
      </c>
      <c r="AQ69" s="450">
        <f t="shared" ref="AQ69:AQ131" si="198">IF(S69=0,"",IF(AW69="","",AW69/S69))</f>
        <v>0.43971631205673761</v>
      </c>
      <c r="AR69" s="450">
        <f t="shared" ref="AR69:AR131" si="199">IF(T69=0,"",IF(AX69="","",AX69/T69))</f>
        <v>0.40555555555555556</v>
      </c>
      <c r="AS69" s="450" t="str">
        <f t="shared" ref="AS69:AS131" si="200">IF(U69=0,"",IF(AY69="","",AY69/U69))</f>
        <v/>
      </c>
      <c r="AT69" s="450" t="str">
        <f t="shared" ref="AT69:AT131" si="201">IF(V69=0,"",IF(AZ69="","",AZ69/V69))</f>
        <v/>
      </c>
      <c r="AU69" s="451" t="str">
        <f t="shared" ref="AU69:AU131" si="202">IF(W69=0,"",IF(BA69="","",BA69/W69))</f>
        <v/>
      </c>
      <c r="AV69" s="676">
        <f>'2020'!L69</f>
        <v>48</v>
      </c>
      <c r="AW69" s="641">
        <f>'2021'!L69</f>
        <v>62</v>
      </c>
      <c r="AX69" s="641">
        <f>'2022'!L69</f>
        <v>73</v>
      </c>
      <c r="AY69" s="641">
        <f>'2023'!L69</f>
        <v>0</v>
      </c>
      <c r="AZ69" s="641">
        <f>'2024'!L69</f>
        <v>0</v>
      </c>
      <c r="BA69" s="642">
        <f>'2025'!L69</f>
        <v>0</v>
      </c>
      <c r="BB69" s="449" t="str">
        <f t="shared" si="29"/>
        <v/>
      </c>
      <c r="BC69" s="450" t="str">
        <f t="shared" ref="BC69:BC131" si="203">IF(AW69=0,"",IF(BI69="-","",BI69/AW69))</f>
        <v/>
      </c>
      <c r="BD69" s="450">
        <f t="shared" ref="BD69:BD131" si="204">IF(AX69=0,"",IF(BJ69="-","",BJ69/AX69))</f>
        <v>0</v>
      </c>
      <c r="BE69" s="450" t="str">
        <f t="shared" ref="BE69:BE131" si="205">IF(AY69=0,"",IF(BK69="-","",BK69/AY69))</f>
        <v/>
      </c>
      <c r="BF69" s="450" t="str">
        <f t="shared" ref="BF69:BF131" si="206">IF(AZ69=0,"",IF(BL69="-","",BL69/AZ69))</f>
        <v/>
      </c>
      <c r="BG69" s="451" t="str">
        <f t="shared" ref="BG69:BG131" si="207">IF(BA69=0,"",IF(BM69="-","",BM69/BA69))</f>
        <v/>
      </c>
      <c r="BH69" s="966" t="str">
        <f>'2020'!N69</f>
        <v>-</v>
      </c>
      <c r="BI69" s="967" t="str">
        <f>'2021'!N69</f>
        <v>-</v>
      </c>
      <c r="BJ69" s="967">
        <f>'2022'!N69</f>
        <v>0</v>
      </c>
      <c r="BK69" s="967">
        <f>'2023'!N69</f>
        <v>0</v>
      </c>
      <c r="BL69" s="967">
        <f>'2024'!N69</f>
        <v>0</v>
      </c>
      <c r="BM69" s="968">
        <f>'2025'!N69</f>
        <v>0</v>
      </c>
      <c r="BN69" s="452" t="s">
        <v>21</v>
      </c>
      <c r="BO69" s="453" t="s">
        <v>21</v>
      </c>
      <c r="BP69" s="452" t="s">
        <v>21</v>
      </c>
      <c r="BQ69" s="453" t="s">
        <v>21</v>
      </c>
      <c r="BR69" s="454"/>
      <c r="BS69" s="455"/>
      <c r="BT69" s="454"/>
      <c r="BU69" s="456"/>
      <c r="CC69" s="1" t="str">
        <f t="shared" si="30"/>
        <v>Frontière</v>
      </c>
      <c r="CD69" s="1" t="str">
        <f t="shared" si="31"/>
        <v>Frontière</v>
      </c>
      <c r="CE69" s="1" t="str">
        <f t="shared" si="32"/>
        <v>Frontière</v>
      </c>
      <c r="CF69" s="1" t="str">
        <f t="shared" si="33"/>
        <v/>
      </c>
      <c r="CG69" s="1" t="str">
        <f t="shared" si="34"/>
        <v/>
      </c>
      <c r="CH69" s="1" t="str">
        <f t="shared" si="35"/>
        <v/>
      </c>
    </row>
    <row r="70" spans="1:86" ht="15" customHeight="1" thickBot="1">
      <c r="B70" s="1091"/>
      <c r="C70" s="1094"/>
      <c r="D70" s="1062"/>
      <c r="E70" s="1033"/>
      <c r="F70" s="1033"/>
      <c r="G70" s="1033"/>
      <c r="H70" s="1033"/>
      <c r="I70" s="1069"/>
      <c r="J70" s="905" t="s">
        <v>23</v>
      </c>
      <c r="K70" s="433" t="str">
        <f t="shared" si="186"/>
        <v>X</v>
      </c>
      <c r="L70" s="433" t="str">
        <f t="shared" si="187"/>
        <v>X</v>
      </c>
      <c r="M70" s="433" t="str">
        <f t="shared" si="188"/>
        <v>X</v>
      </c>
      <c r="N70" s="433" t="str">
        <f t="shared" si="189"/>
        <v/>
      </c>
      <c r="O70" s="433" t="str">
        <f t="shared" si="190"/>
        <v/>
      </c>
      <c r="P70" s="434" t="str">
        <f t="shared" si="191"/>
        <v/>
      </c>
      <c r="Q70" s="438" t="s">
        <v>60</v>
      </c>
      <c r="R70" s="640">
        <f>'2020'!G70</f>
        <v>206</v>
      </c>
      <c r="S70" s="641">
        <f>'2021'!G70</f>
        <v>234</v>
      </c>
      <c r="T70" s="641">
        <f>'2022'!G70</f>
        <v>366</v>
      </c>
      <c r="U70" s="641">
        <f>'2023'!G70</f>
        <v>0</v>
      </c>
      <c r="V70" s="641">
        <f>'2024'!G70</f>
        <v>0</v>
      </c>
      <c r="W70" s="642">
        <f>'2025'!G70</f>
        <v>0</v>
      </c>
      <c r="X70" s="676">
        <f>'2020'!H70</f>
        <v>70</v>
      </c>
      <c r="Y70" s="641">
        <f>'2021'!H70</f>
        <v>127</v>
      </c>
      <c r="Z70" s="641">
        <f>'2022'!H70</f>
        <v>180</v>
      </c>
      <c r="AA70" s="641">
        <f>'2023'!H70</f>
        <v>0</v>
      </c>
      <c r="AB70" s="641">
        <f>'2024'!H70</f>
        <v>0</v>
      </c>
      <c r="AC70" s="642">
        <f>'2025'!H70</f>
        <v>0</v>
      </c>
      <c r="AD70" s="449">
        <f t="shared" si="192"/>
        <v>0.42233009708737862</v>
      </c>
      <c r="AE70" s="450">
        <f t="shared" si="193"/>
        <v>0.42307692307692307</v>
      </c>
      <c r="AF70" s="450">
        <f t="shared" si="194"/>
        <v>0.43169398907103823</v>
      </c>
      <c r="AG70" s="450">
        <f t="shared" si="195"/>
        <v>0</v>
      </c>
      <c r="AH70" s="450">
        <f t="shared" si="196"/>
        <v>0</v>
      </c>
      <c r="AI70" s="451">
        <f t="shared" si="197"/>
        <v>0</v>
      </c>
      <c r="AJ70" s="676">
        <f>'2020'!J70</f>
        <v>87</v>
      </c>
      <c r="AK70" s="641">
        <f>'2021'!J70</f>
        <v>99</v>
      </c>
      <c r="AL70" s="641">
        <f>'2022'!J70</f>
        <v>158</v>
      </c>
      <c r="AM70" s="641">
        <f>'2023'!J70</f>
        <v>0</v>
      </c>
      <c r="AN70" s="641">
        <f>'2024'!J70</f>
        <v>0</v>
      </c>
      <c r="AO70" s="642">
        <f>'2025'!J70</f>
        <v>0</v>
      </c>
      <c r="AP70" s="449">
        <f t="shared" ref="AP70:AP132" si="208">IF(R70=0,"",IF(AV70="","",AV70/R70))</f>
        <v>0.40291262135922329</v>
      </c>
      <c r="AQ70" s="450">
        <f t="shared" si="198"/>
        <v>0.47863247863247865</v>
      </c>
      <c r="AR70" s="450">
        <f t="shared" si="199"/>
        <v>0.39071038251366119</v>
      </c>
      <c r="AS70" s="450" t="str">
        <f t="shared" si="200"/>
        <v/>
      </c>
      <c r="AT70" s="450" t="str">
        <f t="shared" si="201"/>
        <v/>
      </c>
      <c r="AU70" s="451" t="str">
        <f t="shared" si="202"/>
        <v/>
      </c>
      <c r="AV70" s="676">
        <f>'2020'!L70</f>
        <v>83</v>
      </c>
      <c r="AW70" s="641">
        <f>'2021'!L70</f>
        <v>112</v>
      </c>
      <c r="AX70" s="641">
        <f>'2022'!L70</f>
        <v>143</v>
      </c>
      <c r="AY70" s="641">
        <f>'2023'!L70</f>
        <v>0</v>
      </c>
      <c r="AZ70" s="641">
        <f>'2024'!L70</f>
        <v>0</v>
      </c>
      <c r="BA70" s="642">
        <f>'2025'!L70</f>
        <v>0</v>
      </c>
      <c r="BB70" s="449" t="str">
        <f t="shared" ref="BB70:BB132" si="209">IF(AV70=0,"",IF(BH70="-","",BH70/AV70))</f>
        <v/>
      </c>
      <c r="BC70" s="450" t="str">
        <f t="shared" si="203"/>
        <v/>
      </c>
      <c r="BD70" s="450">
        <f t="shared" si="204"/>
        <v>0</v>
      </c>
      <c r="BE70" s="450" t="str">
        <f t="shared" si="205"/>
        <v/>
      </c>
      <c r="BF70" s="450" t="str">
        <f t="shared" si="206"/>
        <v/>
      </c>
      <c r="BG70" s="451" t="str">
        <f t="shared" si="207"/>
        <v/>
      </c>
      <c r="BH70" s="966" t="str">
        <f>'2020'!N70</f>
        <v>-</v>
      </c>
      <c r="BI70" s="967" t="str">
        <f>'2021'!N70</f>
        <v>-</v>
      </c>
      <c r="BJ70" s="967">
        <f>'2022'!N70</f>
        <v>0</v>
      </c>
      <c r="BK70" s="967">
        <f>'2023'!N70</f>
        <v>0</v>
      </c>
      <c r="BL70" s="967">
        <f>'2024'!N70</f>
        <v>0</v>
      </c>
      <c r="BM70" s="968">
        <f>'2025'!N70</f>
        <v>0</v>
      </c>
      <c r="BN70" s="452" t="s">
        <v>21</v>
      </c>
      <c r="BO70" s="453" t="s">
        <v>21</v>
      </c>
      <c r="BP70" s="452" t="s">
        <v>21</v>
      </c>
      <c r="BQ70" s="453" t="s">
        <v>21</v>
      </c>
      <c r="BR70" s="454" t="s">
        <v>21</v>
      </c>
      <c r="BS70" s="455" t="s">
        <v>21</v>
      </c>
      <c r="BT70" s="454" t="s">
        <v>21</v>
      </c>
      <c r="BU70" s="456" t="s">
        <v>21</v>
      </c>
      <c r="CC70" s="1" t="str">
        <f t="shared" ref="CC70:CC132" si="210">IF(K70&lt;&gt;"",$Q70,"")</f>
        <v>France</v>
      </c>
      <c r="CD70" s="1" t="str">
        <f t="shared" ref="CD70:CD132" si="211">IF(L70&lt;&gt;"",$Q70,"")</f>
        <v>France</v>
      </c>
      <c r="CE70" s="1" t="str">
        <f t="shared" ref="CE70:CE132" si="212">IF(M70&lt;&gt;"",$Q70,"")</f>
        <v>France</v>
      </c>
      <c r="CF70" s="1" t="str">
        <f t="shared" ref="CF70:CF132" si="213">IF(N70&lt;&gt;"",$Q70,"")</f>
        <v/>
      </c>
      <c r="CG70" s="1" t="str">
        <f t="shared" ref="CG70:CG132" si="214">IF(O70&lt;&gt;"",$Q70,"")</f>
        <v/>
      </c>
      <c r="CH70" s="1" t="str">
        <f t="shared" ref="CH70:CH132" si="215">IF(P70&lt;&gt;"",$Q70,"")</f>
        <v/>
      </c>
    </row>
    <row r="71" spans="1:86" ht="15" customHeight="1" thickBot="1">
      <c r="B71" s="1091"/>
      <c r="C71" s="1094"/>
      <c r="D71" s="1062"/>
      <c r="E71" s="1033"/>
      <c r="F71" s="1033"/>
      <c r="G71" s="1033"/>
      <c r="H71" s="1033"/>
      <c r="I71" s="1069"/>
      <c r="J71" s="905" t="s">
        <v>166</v>
      </c>
      <c r="K71" s="433" t="str">
        <f t="shared" si="186"/>
        <v/>
      </c>
      <c r="L71" s="433" t="str">
        <f t="shared" si="187"/>
        <v/>
      </c>
      <c r="M71" s="433" t="str">
        <f t="shared" si="188"/>
        <v/>
      </c>
      <c r="N71" s="433" t="str">
        <f t="shared" si="189"/>
        <v/>
      </c>
      <c r="O71" s="433" t="str">
        <f t="shared" si="190"/>
        <v/>
      </c>
      <c r="P71" s="434" t="str">
        <f t="shared" si="191"/>
        <v/>
      </c>
      <c r="Q71" s="438" t="s">
        <v>203</v>
      </c>
      <c r="R71" s="640">
        <f>'2020'!G71</f>
        <v>0</v>
      </c>
      <c r="S71" s="641">
        <f>'2021'!G71</f>
        <v>0</v>
      </c>
      <c r="T71" s="641">
        <f>'2022'!G71</f>
        <v>0</v>
      </c>
      <c r="U71" s="641">
        <f>'2023'!G71</f>
        <v>0</v>
      </c>
      <c r="V71" s="641">
        <f>'2024'!G71</f>
        <v>0</v>
      </c>
      <c r="W71" s="642">
        <f>'2025'!G71</f>
        <v>0</v>
      </c>
      <c r="X71" s="676">
        <f>'2020'!H71</f>
        <v>0</v>
      </c>
      <c r="Y71" s="641">
        <f>'2021'!H71</f>
        <v>0</v>
      </c>
      <c r="Z71" s="641">
        <f>'2022'!H71</f>
        <v>0</v>
      </c>
      <c r="AA71" s="641">
        <f>'2023'!H71</f>
        <v>0</v>
      </c>
      <c r="AB71" s="641">
        <f>'2024'!H71</f>
        <v>0</v>
      </c>
      <c r="AC71" s="642">
        <f>'2025'!H71</f>
        <v>0</v>
      </c>
      <c r="AD71" s="449">
        <f t="shared" si="192"/>
        <v>0</v>
      </c>
      <c r="AE71" s="450">
        <f t="shared" si="193"/>
        <v>0</v>
      </c>
      <c r="AF71" s="450">
        <f t="shared" si="194"/>
        <v>0</v>
      </c>
      <c r="AG71" s="450">
        <f t="shared" si="195"/>
        <v>0</v>
      </c>
      <c r="AH71" s="450">
        <f t="shared" si="196"/>
        <v>0</v>
      </c>
      <c r="AI71" s="451">
        <f t="shared" si="197"/>
        <v>0</v>
      </c>
      <c r="AJ71" s="676">
        <f>'2020'!J71</f>
        <v>0</v>
      </c>
      <c r="AK71" s="641">
        <f>'2021'!J71</f>
        <v>0</v>
      </c>
      <c r="AL71" s="641">
        <f>'2022'!J71</f>
        <v>0</v>
      </c>
      <c r="AM71" s="641">
        <f>'2023'!J71</f>
        <v>0</v>
      </c>
      <c r="AN71" s="641">
        <f>'2024'!J71</f>
        <v>0</v>
      </c>
      <c r="AO71" s="642">
        <f>'2025'!J71</f>
        <v>0</v>
      </c>
      <c r="AP71" s="449" t="str">
        <f t="shared" si="208"/>
        <v/>
      </c>
      <c r="AQ71" s="450" t="str">
        <f t="shared" si="198"/>
        <v/>
      </c>
      <c r="AR71" s="450" t="str">
        <f t="shared" si="199"/>
        <v/>
      </c>
      <c r="AS71" s="450" t="str">
        <f t="shared" si="200"/>
        <v/>
      </c>
      <c r="AT71" s="450" t="str">
        <f t="shared" si="201"/>
        <v/>
      </c>
      <c r="AU71" s="451" t="str">
        <f t="shared" si="202"/>
        <v/>
      </c>
      <c r="AV71" s="676">
        <f>'2020'!L71</f>
        <v>0</v>
      </c>
      <c r="AW71" s="641">
        <f>'2021'!L71</f>
        <v>0</v>
      </c>
      <c r="AX71" s="641">
        <f>'2022'!L71</f>
        <v>0</v>
      </c>
      <c r="AY71" s="641">
        <f>'2023'!L71</f>
        <v>0</v>
      </c>
      <c r="AZ71" s="641">
        <f>'2024'!L71</f>
        <v>0</v>
      </c>
      <c r="BA71" s="642">
        <f>'2025'!L71</f>
        <v>0</v>
      </c>
      <c r="BB71" s="449" t="str">
        <f t="shared" si="209"/>
        <v/>
      </c>
      <c r="BC71" s="450" t="str">
        <f t="shared" si="203"/>
        <v/>
      </c>
      <c r="BD71" s="450" t="str">
        <f t="shared" si="204"/>
        <v/>
      </c>
      <c r="BE71" s="450" t="str">
        <f t="shared" si="205"/>
        <v/>
      </c>
      <c r="BF71" s="450" t="str">
        <f t="shared" si="206"/>
        <v/>
      </c>
      <c r="BG71" s="451" t="str">
        <f t="shared" si="207"/>
        <v/>
      </c>
      <c r="BH71" s="966">
        <f>'2020'!N71</f>
        <v>0</v>
      </c>
      <c r="BI71" s="967">
        <f>'2021'!N71</f>
        <v>0</v>
      </c>
      <c r="BJ71" s="967">
        <f>'2022'!N71</f>
        <v>0</v>
      </c>
      <c r="BK71" s="967">
        <f>'2023'!N71</f>
        <v>0</v>
      </c>
      <c r="BL71" s="967">
        <f>'2024'!N71</f>
        <v>0</v>
      </c>
      <c r="BM71" s="968">
        <f>'2025'!N71</f>
        <v>0</v>
      </c>
      <c r="BN71" s="452"/>
      <c r="BO71" s="453"/>
      <c r="BP71" s="452"/>
      <c r="BQ71" s="453"/>
      <c r="BR71" s="454"/>
      <c r="BS71" s="455"/>
      <c r="BT71" s="454"/>
      <c r="BU71" s="456"/>
      <c r="CC71" s="1" t="str">
        <f t="shared" si="210"/>
        <v/>
      </c>
      <c r="CD71" s="1" t="str">
        <f t="shared" si="211"/>
        <v/>
      </c>
      <c r="CE71" s="1" t="str">
        <f t="shared" si="212"/>
        <v/>
      </c>
      <c r="CF71" s="1" t="str">
        <f t="shared" si="213"/>
        <v/>
      </c>
      <c r="CG71" s="1" t="str">
        <f t="shared" si="214"/>
        <v/>
      </c>
      <c r="CH71" s="1" t="str">
        <f t="shared" si="215"/>
        <v/>
      </c>
    </row>
    <row r="72" spans="1:86" ht="15" customHeight="1" thickBot="1">
      <c r="B72" s="1091"/>
      <c r="C72" s="1094"/>
      <c r="D72" s="1062"/>
      <c r="E72" s="1033"/>
      <c r="F72" s="1033"/>
      <c r="G72" s="1033"/>
      <c r="H72" s="1033"/>
      <c r="I72" s="1069"/>
      <c r="J72" s="905" t="s">
        <v>166</v>
      </c>
      <c r="K72" s="433" t="str">
        <f t="shared" si="186"/>
        <v/>
      </c>
      <c r="L72" s="433" t="str">
        <f t="shared" si="187"/>
        <v/>
      </c>
      <c r="M72" s="433" t="str">
        <f t="shared" si="188"/>
        <v/>
      </c>
      <c r="N72" s="433" t="str">
        <f t="shared" si="189"/>
        <v/>
      </c>
      <c r="O72" s="433" t="str">
        <f t="shared" si="190"/>
        <v/>
      </c>
      <c r="P72" s="434" t="str">
        <f t="shared" si="191"/>
        <v/>
      </c>
      <c r="Q72" s="438" t="s">
        <v>203</v>
      </c>
      <c r="R72" s="640">
        <f>'2020'!G72</f>
        <v>0</v>
      </c>
      <c r="S72" s="641">
        <f>'2021'!G72</f>
        <v>0</v>
      </c>
      <c r="T72" s="641">
        <f>'2022'!G72</f>
        <v>0</v>
      </c>
      <c r="U72" s="641">
        <f>'2023'!G72</f>
        <v>0</v>
      </c>
      <c r="V72" s="641">
        <f>'2024'!G72</f>
        <v>0</v>
      </c>
      <c r="W72" s="642">
        <f>'2025'!G72</f>
        <v>0</v>
      </c>
      <c r="X72" s="676">
        <f>'2020'!H72</f>
        <v>0</v>
      </c>
      <c r="Y72" s="641">
        <f>'2021'!H72</f>
        <v>0</v>
      </c>
      <c r="Z72" s="641">
        <f>'2022'!H72</f>
        <v>0</v>
      </c>
      <c r="AA72" s="641">
        <f>'2023'!H72</f>
        <v>0</v>
      </c>
      <c r="AB72" s="641">
        <f>'2024'!H72</f>
        <v>0</v>
      </c>
      <c r="AC72" s="642">
        <f>'2025'!H72</f>
        <v>0</v>
      </c>
      <c r="AD72" s="449">
        <f t="shared" si="192"/>
        <v>0</v>
      </c>
      <c r="AE72" s="450">
        <f t="shared" si="193"/>
        <v>0</v>
      </c>
      <c r="AF72" s="450">
        <f t="shared" si="194"/>
        <v>0</v>
      </c>
      <c r="AG72" s="450">
        <f t="shared" si="195"/>
        <v>0</v>
      </c>
      <c r="AH72" s="450">
        <f t="shared" si="196"/>
        <v>0</v>
      </c>
      <c r="AI72" s="451">
        <f t="shared" si="197"/>
        <v>0</v>
      </c>
      <c r="AJ72" s="676">
        <f>'2020'!J72</f>
        <v>0</v>
      </c>
      <c r="AK72" s="641">
        <f>'2021'!J72</f>
        <v>0</v>
      </c>
      <c r="AL72" s="641">
        <f>'2022'!J72</f>
        <v>0</v>
      </c>
      <c r="AM72" s="641">
        <f>'2023'!J72</f>
        <v>0</v>
      </c>
      <c r="AN72" s="641">
        <f>'2024'!J72</f>
        <v>0</v>
      </c>
      <c r="AO72" s="642">
        <f>'2025'!J72</f>
        <v>0</v>
      </c>
      <c r="AP72" s="449" t="str">
        <f t="shared" si="208"/>
        <v/>
      </c>
      <c r="AQ72" s="450" t="str">
        <f t="shared" si="198"/>
        <v/>
      </c>
      <c r="AR72" s="450" t="str">
        <f t="shared" si="199"/>
        <v/>
      </c>
      <c r="AS72" s="450" t="str">
        <f t="shared" si="200"/>
        <v/>
      </c>
      <c r="AT72" s="450" t="str">
        <f t="shared" si="201"/>
        <v/>
      </c>
      <c r="AU72" s="451" t="str">
        <f t="shared" si="202"/>
        <v/>
      </c>
      <c r="AV72" s="676">
        <f>'2020'!L72</f>
        <v>0</v>
      </c>
      <c r="AW72" s="641">
        <f>'2021'!L72</f>
        <v>0</v>
      </c>
      <c r="AX72" s="641">
        <f>'2022'!L72</f>
        <v>0</v>
      </c>
      <c r="AY72" s="641">
        <f>'2023'!L72</f>
        <v>0</v>
      </c>
      <c r="AZ72" s="641">
        <f>'2024'!L72</f>
        <v>0</v>
      </c>
      <c r="BA72" s="642">
        <f>'2025'!L72</f>
        <v>0</v>
      </c>
      <c r="BB72" s="449" t="str">
        <f t="shared" si="209"/>
        <v/>
      </c>
      <c r="BC72" s="450" t="str">
        <f t="shared" si="203"/>
        <v/>
      </c>
      <c r="BD72" s="450" t="str">
        <f t="shared" si="204"/>
        <v/>
      </c>
      <c r="BE72" s="450" t="str">
        <f t="shared" si="205"/>
        <v/>
      </c>
      <c r="BF72" s="450" t="str">
        <f t="shared" si="206"/>
        <v/>
      </c>
      <c r="BG72" s="451" t="str">
        <f t="shared" si="207"/>
        <v/>
      </c>
      <c r="BH72" s="966">
        <f>'2020'!N72</f>
        <v>0</v>
      </c>
      <c r="BI72" s="967">
        <f>'2021'!N72</f>
        <v>0</v>
      </c>
      <c r="BJ72" s="967">
        <f>'2022'!N72</f>
        <v>0</v>
      </c>
      <c r="BK72" s="967">
        <f>'2023'!N72</f>
        <v>0</v>
      </c>
      <c r="BL72" s="967">
        <f>'2024'!N72</f>
        <v>0</v>
      </c>
      <c r="BM72" s="968">
        <f>'2025'!N72</f>
        <v>0</v>
      </c>
      <c r="BN72" s="452"/>
      <c r="BO72" s="453"/>
      <c r="BP72" s="452"/>
      <c r="BQ72" s="453"/>
      <c r="BR72" s="454"/>
      <c r="BS72" s="455"/>
      <c r="BT72" s="454"/>
      <c r="BU72" s="456"/>
      <c r="CC72" s="1" t="str">
        <f t="shared" si="210"/>
        <v/>
      </c>
      <c r="CD72" s="1" t="str">
        <f t="shared" si="211"/>
        <v/>
      </c>
      <c r="CE72" s="1" t="str">
        <f t="shared" si="212"/>
        <v/>
      </c>
      <c r="CF72" s="1" t="str">
        <f t="shared" si="213"/>
        <v/>
      </c>
      <c r="CG72" s="1" t="str">
        <f t="shared" si="214"/>
        <v/>
      </c>
      <c r="CH72" s="1" t="str">
        <f t="shared" si="215"/>
        <v/>
      </c>
    </row>
    <row r="73" spans="1:86" ht="15" customHeight="1" thickBot="1">
      <c r="B73" s="1091"/>
      <c r="C73" s="1094"/>
      <c r="D73" s="1062"/>
      <c r="E73" s="1033"/>
      <c r="F73" s="1033"/>
      <c r="G73" s="1033"/>
      <c r="H73" s="1033"/>
      <c r="I73" s="1069"/>
      <c r="J73" s="905" t="s">
        <v>22</v>
      </c>
      <c r="K73" s="433" t="str">
        <f t="shared" si="186"/>
        <v>X</v>
      </c>
      <c r="L73" s="433" t="str">
        <f t="shared" si="187"/>
        <v>X</v>
      </c>
      <c r="M73" s="433" t="str">
        <f t="shared" si="188"/>
        <v>X</v>
      </c>
      <c r="N73" s="433" t="str">
        <f t="shared" si="189"/>
        <v/>
      </c>
      <c r="O73" s="433" t="str">
        <f t="shared" si="190"/>
        <v/>
      </c>
      <c r="P73" s="434" t="str">
        <f t="shared" si="191"/>
        <v/>
      </c>
      <c r="Q73" s="438" t="s">
        <v>62</v>
      </c>
      <c r="R73" s="640">
        <f>'2020'!G73</f>
        <v>173</v>
      </c>
      <c r="S73" s="641">
        <f>'2021'!G73</f>
        <v>157</v>
      </c>
      <c r="T73" s="641">
        <f>'2022'!G73</f>
        <v>123</v>
      </c>
      <c r="U73" s="641">
        <f>'2023'!G73</f>
        <v>0</v>
      </c>
      <c r="V73" s="641">
        <f>'2024'!G73</f>
        <v>0</v>
      </c>
      <c r="W73" s="642">
        <f>'2025'!G73</f>
        <v>0</v>
      </c>
      <c r="X73" s="676">
        <f>'2020'!H73</f>
        <v>62</v>
      </c>
      <c r="Y73" s="641">
        <f>'2021'!H73</f>
        <v>82</v>
      </c>
      <c r="Z73" s="641">
        <f>'2022'!H73</f>
        <v>90</v>
      </c>
      <c r="AA73" s="641">
        <f>'2023'!H73</f>
        <v>0</v>
      </c>
      <c r="AB73" s="641">
        <f>'2024'!H73</f>
        <v>0</v>
      </c>
      <c r="AC73" s="642">
        <f>'2025'!H73</f>
        <v>0</v>
      </c>
      <c r="AD73" s="449">
        <f t="shared" si="192"/>
        <v>0.22543352601156069</v>
      </c>
      <c r="AE73" s="450">
        <f t="shared" si="193"/>
        <v>0.22929936305732485</v>
      </c>
      <c r="AF73" s="450">
        <f t="shared" si="194"/>
        <v>0.32520325203252032</v>
      </c>
      <c r="AG73" s="450">
        <f t="shared" si="195"/>
        <v>0</v>
      </c>
      <c r="AH73" s="450">
        <f t="shared" si="196"/>
        <v>0</v>
      </c>
      <c r="AI73" s="451">
        <f t="shared" si="197"/>
        <v>0</v>
      </c>
      <c r="AJ73" s="676">
        <f>'2020'!J73</f>
        <v>39</v>
      </c>
      <c r="AK73" s="641">
        <f>'2021'!J73</f>
        <v>36</v>
      </c>
      <c r="AL73" s="641">
        <f>'2022'!J73</f>
        <v>40</v>
      </c>
      <c r="AM73" s="641">
        <f>'2023'!J73</f>
        <v>0</v>
      </c>
      <c r="AN73" s="641">
        <f>'2024'!J73</f>
        <v>0</v>
      </c>
      <c r="AO73" s="642">
        <f>'2025'!J73</f>
        <v>0</v>
      </c>
      <c r="AP73" s="449">
        <f t="shared" si="208"/>
        <v>0.43352601156069365</v>
      </c>
      <c r="AQ73" s="450">
        <f t="shared" si="198"/>
        <v>0.31210191082802546</v>
      </c>
      <c r="AR73" s="450">
        <f t="shared" si="199"/>
        <v>0.34959349593495936</v>
      </c>
      <c r="AS73" s="450" t="str">
        <f t="shared" si="200"/>
        <v/>
      </c>
      <c r="AT73" s="450" t="str">
        <f t="shared" si="201"/>
        <v/>
      </c>
      <c r="AU73" s="451" t="str">
        <f t="shared" si="202"/>
        <v/>
      </c>
      <c r="AV73" s="676">
        <f>'2020'!L73</f>
        <v>75</v>
      </c>
      <c r="AW73" s="641">
        <f>'2021'!L73</f>
        <v>49</v>
      </c>
      <c r="AX73" s="641">
        <f>'2022'!L73</f>
        <v>43</v>
      </c>
      <c r="AY73" s="641">
        <f>'2023'!L73</f>
        <v>0</v>
      </c>
      <c r="AZ73" s="641">
        <f>'2024'!L73</f>
        <v>0</v>
      </c>
      <c r="BA73" s="642">
        <f>'2025'!L73</f>
        <v>0</v>
      </c>
      <c r="BB73" s="449" t="str">
        <f t="shared" si="209"/>
        <v/>
      </c>
      <c r="BC73" s="450" t="str">
        <f t="shared" si="203"/>
        <v/>
      </c>
      <c r="BD73" s="450">
        <f t="shared" si="204"/>
        <v>0</v>
      </c>
      <c r="BE73" s="450" t="str">
        <f t="shared" si="205"/>
        <v/>
      </c>
      <c r="BF73" s="450" t="str">
        <f t="shared" si="206"/>
        <v/>
      </c>
      <c r="BG73" s="451" t="str">
        <f t="shared" si="207"/>
        <v/>
      </c>
      <c r="BH73" s="966" t="str">
        <f>'2020'!N73</f>
        <v>-</v>
      </c>
      <c r="BI73" s="967" t="str">
        <f>'2021'!N73</f>
        <v>-</v>
      </c>
      <c r="BJ73" s="967">
        <f>'2022'!N73</f>
        <v>0</v>
      </c>
      <c r="BK73" s="967">
        <f>'2023'!N73</f>
        <v>0</v>
      </c>
      <c r="BL73" s="967">
        <f>'2024'!N73</f>
        <v>0</v>
      </c>
      <c r="BM73" s="968">
        <f>'2025'!N73</f>
        <v>0</v>
      </c>
      <c r="BN73" s="452" t="s">
        <v>21</v>
      </c>
      <c r="BO73" s="453" t="s">
        <v>21</v>
      </c>
      <c r="BP73" s="452" t="s">
        <v>21</v>
      </c>
      <c r="BQ73" s="453" t="s">
        <v>21</v>
      </c>
      <c r="BR73" s="454"/>
      <c r="BS73" s="455"/>
      <c r="BT73" s="454"/>
      <c r="BU73" s="456"/>
      <c r="CC73" s="1" t="str">
        <f t="shared" si="210"/>
        <v>Frontière</v>
      </c>
      <c r="CD73" s="1" t="str">
        <f t="shared" si="211"/>
        <v>Frontière</v>
      </c>
      <c r="CE73" s="1" t="str">
        <f t="shared" si="212"/>
        <v>Frontière</v>
      </c>
      <c r="CF73" s="1" t="str">
        <f t="shared" si="213"/>
        <v/>
      </c>
      <c r="CG73" s="1" t="str">
        <f t="shared" si="214"/>
        <v/>
      </c>
      <c r="CH73" s="1" t="str">
        <f t="shared" si="215"/>
        <v/>
      </c>
    </row>
    <row r="74" spans="1:86" ht="15" customHeight="1" thickBot="1">
      <c r="B74" s="1083"/>
      <c r="C74" s="1095"/>
      <c r="D74" s="1062"/>
      <c r="E74" s="1033"/>
      <c r="F74" s="1033"/>
      <c r="G74" s="1033"/>
      <c r="H74" s="1033"/>
      <c r="I74" s="1069"/>
      <c r="J74" s="905" t="s">
        <v>166</v>
      </c>
      <c r="K74" s="433" t="str">
        <f t="shared" si="186"/>
        <v/>
      </c>
      <c r="L74" s="433" t="str">
        <f t="shared" si="187"/>
        <v/>
      </c>
      <c r="M74" s="433" t="str">
        <f t="shared" si="188"/>
        <v/>
      </c>
      <c r="N74" s="433" t="str">
        <f t="shared" si="189"/>
        <v/>
      </c>
      <c r="O74" s="433" t="str">
        <f t="shared" si="190"/>
        <v/>
      </c>
      <c r="P74" s="434" t="str">
        <f t="shared" si="191"/>
        <v/>
      </c>
      <c r="Q74" s="438"/>
      <c r="R74" s="640">
        <f>'2020'!G74</f>
        <v>0</v>
      </c>
      <c r="S74" s="641">
        <f>'2021'!G74</f>
        <v>0</v>
      </c>
      <c r="T74" s="641">
        <f>'2022'!G74</f>
        <v>0</v>
      </c>
      <c r="U74" s="641">
        <f>'2023'!G74</f>
        <v>0</v>
      </c>
      <c r="V74" s="641">
        <f>'2024'!G74</f>
        <v>0</v>
      </c>
      <c r="W74" s="642">
        <f>'2025'!G74</f>
        <v>0</v>
      </c>
      <c r="X74" s="676">
        <f>'2020'!H74</f>
        <v>0</v>
      </c>
      <c r="Y74" s="641">
        <f>'2021'!H74</f>
        <v>0</v>
      </c>
      <c r="Z74" s="641">
        <f>'2022'!H74</f>
        <v>0</v>
      </c>
      <c r="AA74" s="641">
        <f>'2023'!H74</f>
        <v>0</v>
      </c>
      <c r="AB74" s="641">
        <f>'2024'!H74</f>
        <v>0</v>
      </c>
      <c r="AC74" s="642">
        <f>'2025'!H74</f>
        <v>0</v>
      </c>
      <c r="AD74" s="449">
        <f t="shared" si="192"/>
        <v>0</v>
      </c>
      <c r="AE74" s="450">
        <f t="shared" si="193"/>
        <v>0</v>
      </c>
      <c r="AF74" s="450">
        <f t="shared" si="194"/>
        <v>0</v>
      </c>
      <c r="AG74" s="450">
        <f t="shared" si="195"/>
        <v>0</v>
      </c>
      <c r="AH74" s="450">
        <f t="shared" si="196"/>
        <v>0</v>
      </c>
      <c r="AI74" s="451">
        <f t="shared" si="197"/>
        <v>0</v>
      </c>
      <c r="AJ74" s="676">
        <f>'2020'!J74</f>
        <v>0</v>
      </c>
      <c r="AK74" s="641">
        <f>'2021'!J74</f>
        <v>0</v>
      </c>
      <c r="AL74" s="641">
        <f>'2022'!J74</f>
        <v>0</v>
      </c>
      <c r="AM74" s="641">
        <f>'2023'!J74</f>
        <v>0</v>
      </c>
      <c r="AN74" s="641">
        <f>'2024'!J74</f>
        <v>0</v>
      </c>
      <c r="AO74" s="642">
        <f>'2025'!J74</f>
        <v>0</v>
      </c>
      <c r="AP74" s="449" t="str">
        <f t="shared" si="208"/>
        <v/>
      </c>
      <c r="AQ74" s="450" t="str">
        <f t="shared" si="198"/>
        <v/>
      </c>
      <c r="AR74" s="450" t="str">
        <f t="shared" si="199"/>
        <v/>
      </c>
      <c r="AS74" s="450" t="str">
        <f t="shared" si="200"/>
        <v/>
      </c>
      <c r="AT74" s="450" t="str">
        <f t="shared" si="201"/>
        <v/>
      </c>
      <c r="AU74" s="451" t="str">
        <f t="shared" si="202"/>
        <v/>
      </c>
      <c r="AV74" s="676">
        <f>'2020'!L74</f>
        <v>0</v>
      </c>
      <c r="AW74" s="641">
        <f>'2021'!L74</f>
        <v>0</v>
      </c>
      <c r="AX74" s="641">
        <f>'2022'!L74</f>
        <v>0</v>
      </c>
      <c r="AY74" s="641">
        <f>'2023'!L74</f>
        <v>0</v>
      </c>
      <c r="AZ74" s="641">
        <f>'2024'!L74</f>
        <v>0</v>
      </c>
      <c r="BA74" s="642">
        <f>'2025'!L74</f>
        <v>0</v>
      </c>
      <c r="BB74" s="449" t="str">
        <f t="shared" si="209"/>
        <v/>
      </c>
      <c r="BC74" s="450" t="str">
        <f t="shared" si="203"/>
        <v/>
      </c>
      <c r="BD74" s="450" t="str">
        <f t="shared" si="204"/>
        <v/>
      </c>
      <c r="BE74" s="450" t="str">
        <f t="shared" si="205"/>
        <v/>
      </c>
      <c r="BF74" s="450" t="str">
        <f t="shared" si="206"/>
        <v/>
      </c>
      <c r="BG74" s="451" t="str">
        <f t="shared" si="207"/>
        <v/>
      </c>
      <c r="BH74" s="966">
        <f>'2020'!N74</f>
        <v>0</v>
      </c>
      <c r="BI74" s="967">
        <f>'2021'!N74</f>
        <v>0</v>
      </c>
      <c r="BJ74" s="967">
        <f>'2022'!N74</f>
        <v>0</v>
      </c>
      <c r="BK74" s="967">
        <f>'2023'!N74</f>
        <v>0</v>
      </c>
      <c r="BL74" s="967">
        <f>'2024'!N74</f>
        <v>0</v>
      </c>
      <c r="BM74" s="968">
        <f>'2025'!N74</f>
        <v>0</v>
      </c>
      <c r="BN74" s="452"/>
      <c r="BO74" s="453"/>
      <c r="BP74" s="452"/>
      <c r="BQ74" s="453"/>
      <c r="BR74" s="454"/>
      <c r="BS74" s="455"/>
      <c r="BT74" s="454"/>
      <c r="BU74" s="456"/>
      <c r="CC74" s="1" t="str">
        <f t="shared" si="210"/>
        <v/>
      </c>
      <c r="CD74" s="1" t="str">
        <f t="shared" si="211"/>
        <v/>
      </c>
      <c r="CE74" s="1" t="str">
        <f t="shared" si="212"/>
        <v/>
      </c>
      <c r="CF74" s="1" t="str">
        <f t="shared" si="213"/>
        <v/>
      </c>
      <c r="CG74" s="1" t="str">
        <f t="shared" si="214"/>
        <v/>
      </c>
      <c r="CH74" s="1" t="str">
        <f t="shared" si="215"/>
        <v/>
      </c>
    </row>
    <row r="75" spans="1:86" ht="15" customHeight="1" thickBot="1">
      <c r="B75" s="1083"/>
      <c r="C75" s="1095"/>
      <c r="D75" s="1062"/>
      <c r="E75" s="1033"/>
      <c r="F75" s="1033"/>
      <c r="G75" s="1033"/>
      <c r="H75" s="1033"/>
      <c r="I75" s="1069"/>
      <c r="J75" s="905" t="s">
        <v>166</v>
      </c>
      <c r="K75" s="433" t="str">
        <f t="shared" si="186"/>
        <v/>
      </c>
      <c r="L75" s="433" t="str">
        <f t="shared" si="187"/>
        <v/>
      </c>
      <c r="M75" s="433" t="str">
        <f t="shared" si="188"/>
        <v/>
      </c>
      <c r="N75" s="433" t="str">
        <f t="shared" si="189"/>
        <v/>
      </c>
      <c r="O75" s="433" t="str">
        <f t="shared" si="190"/>
        <v/>
      </c>
      <c r="P75" s="434" t="str">
        <f t="shared" si="191"/>
        <v/>
      </c>
      <c r="Q75" s="438"/>
      <c r="R75" s="640">
        <f>'2020'!G75</f>
        <v>0</v>
      </c>
      <c r="S75" s="641">
        <f>'2021'!G75</f>
        <v>0</v>
      </c>
      <c r="T75" s="641">
        <f>'2022'!G75</f>
        <v>0</v>
      </c>
      <c r="U75" s="641">
        <f>'2023'!G75</f>
        <v>0</v>
      </c>
      <c r="V75" s="641">
        <f>'2024'!G75</f>
        <v>0</v>
      </c>
      <c r="W75" s="642">
        <f>'2025'!G75</f>
        <v>0</v>
      </c>
      <c r="X75" s="676">
        <f>'2020'!H75</f>
        <v>0</v>
      </c>
      <c r="Y75" s="641">
        <f>'2021'!H75</f>
        <v>0</v>
      </c>
      <c r="Z75" s="641">
        <f>'2022'!H75</f>
        <v>0</v>
      </c>
      <c r="AA75" s="641">
        <f>'2023'!H75</f>
        <v>0</v>
      </c>
      <c r="AB75" s="641">
        <f>'2024'!H75</f>
        <v>0</v>
      </c>
      <c r="AC75" s="642">
        <f>'2025'!H75</f>
        <v>0</v>
      </c>
      <c r="AD75" s="449">
        <f t="shared" si="192"/>
        <v>0</v>
      </c>
      <c r="AE75" s="450">
        <f t="shared" si="193"/>
        <v>0</v>
      </c>
      <c r="AF75" s="450">
        <f t="shared" si="194"/>
        <v>0</v>
      </c>
      <c r="AG75" s="450">
        <f t="shared" si="195"/>
        <v>0</v>
      </c>
      <c r="AH75" s="450">
        <f t="shared" si="196"/>
        <v>0</v>
      </c>
      <c r="AI75" s="451">
        <f t="shared" si="197"/>
        <v>0</v>
      </c>
      <c r="AJ75" s="676">
        <f>'2020'!J75</f>
        <v>0</v>
      </c>
      <c r="AK75" s="641">
        <f>'2021'!J75</f>
        <v>0</v>
      </c>
      <c r="AL75" s="641">
        <f>'2022'!J75</f>
        <v>0</v>
      </c>
      <c r="AM75" s="641">
        <f>'2023'!J75</f>
        <v>0</v>
      </c>
      <c r="AN75" s="641">
        <f>'2024'!J75</f>
        <v>0</v>
      </c>
      <c r="AO75" s="642">
        <f>'2025'!J75</f>
        <v>0</v>
      </c>
      <c r="AP75" s="449" t="str">
        <f t="shared" si="208"/>
        <v/>
      </c>
      <c r="AQ75" s="450" t="str">
        <f t="shared" si="198"/>
        <v/>
      </c>
      <c r="AR75" s="450" t="str">
        <f t="shared" si="199"/>
        <v/>
      </c>
      <c r="AS75" s="450" t="str">
        <f t="shared" si="200"/>
        <v/>
      </c>
      <c r="AT75" s="450" t="str">
        <f t="shared" si="201"/>
        <v/>
      </c>
      <c r="AU75" s="451" t="str">
        <f t="shared" si="202"/>
        <v/>
      </c>
      <c r="AV75" s="676">
        <f>'2020'!L75</f>
        <v>0</v>
      </c>
      <c r="AW75" s="641">
        <f>'2021'!L75</f>
        <v>0</v>
      </c>
      <c r="AX75" s="641">
        <f>'2022'!L75</f>
        <v>0</v>
      </c>
      <c r="AY75" s="641">
        <f>'2023'!L75</f>
        <v>0</v>
      </c>
      <c r="AZ75" s="641">
        <f>'2024'!L75</f>
        <v>0</v>
      </c>
      <c r="BA75" s="642">
        <f>'2025'!L75</f>
        <v>0</v>
      </c>
      <c r="BB75" s="449" t="str">
        <f t="shared" si="209"/>
        <v/>
      </c>
      <c r="BC75" s="450" t="str">
        <f t="shared" si="203"/>
        <v/>
      </c>
      <c r="BD75" s="450" t="str">
        <f t="shared" si="204"/>
        <v/>
      </c>
      <c r="BE75" s="450" t="str">
        <f t="shared" si="205"/>
        <v/>
      </c>
      <c r="BF75" s="450" t="str">
        <f t="shared" si="206"/>
        <v/>
      </c>
      <c r="BG75" s="451" t="str">
        <f t="shared" si="207"/>
        <v/>
      </c>
      <c r="BH75" s="966">
        <f>'2020'!N75</f>
        <v>0</v>
      </c>
      <c r="BI75" s="967">
        <f>'2021'!N75</f>
        <v>0</v>
      </c>
      <c r="BJ75" s="967">
        <f>'2022'!N75</f>
        <v>0</v>
      </c>
      <c r="BK75" s="967">
        <f>'2023'!N75</f>
        <v>0</v>
      </c>
      <c r="BL75" s="967">
        <f>'2024'!N75</f>
        <v>0</v>
      </c>
      <c r="BM75" s="968">
        <f>'2025'!N75</f>
        <v>0</v>
      </c>
      <c r="BN75" s="452"/>
      <c r="BO75" s="453"/>
      <c r="BP75" s="452"/>
      <c r="BQ75" s="453"/>
      <c r="BR75" s="454"/>
      <c r="BS75" s="455"/>
      <c r="BT75" s="454"/>
      <c r="BU75" s="456"/>
      <c r="CC75" s="1" t="str">
        <f t="shared" si="210"/>
        <v/>
      </c>
      <c r="CD75" s="1" t="str">
        <f t="shared" si="211"/>
        <v/>
      </c>
      <c r="CE75" s="1" t="str">
        <f t="shared" si="212"/>
        <v/>
      </c>
      <c r="CF75" s="1" t="str">
        <f t="shared" si="213"/>
        <v/>
      </c>
      <c r="CG75" s="1" t="str">
        <f t="shared" si="214"/>
        <v/>
      </c>
      <c r="CH75" s="1" t="str">
        <f t="shared" si="215"/>
        <v/>
      </c>
    </row>
    <row r="76" spans="1:86" ht="15" customHeight="1" thickBot="1">
      <c r="B76" s="1083"/>
      <c r="C76" s="1095"/>
      <c r="D76" s="1063"/>
      <c r="E76" s="1034"/>
      <c r="F76" s="1034"/>
      <c r="G76" s="1034"/>
      <c r="H76" s="1034"/>
      <c r="I76" s="1070"/>
      <c r="J76" s="907" t="s">
        <v>166</v>
      </c>
      <c r="K76" s="436" t="str">
        <f t="shared" si="186"/>
        <v/>
      </c>
      <c r="L76" s="436" t="str">
        <f t="shared" si="187"/>
        <v/>
      </c>
      <c r="M76" s="436" t="str">
        <f t="shared" si="188"/>
        <v/>
      </c>
      <c r="N76" s="436" t="str">
        <f t="shared" si="189"/>
        <v/>
      </c>
      <c r="O76" s="436" t="str">
        <f t="shared" si="190"/>
        <v/>
      </c>
      <c r="P76" s="437" t="str">
        <f t="shared" si="191"/>
        <v/>
      </c>
      <c r="Q76" s="480"/>
      <c r="R76" s="643">
        <f>'2020'!G76</f>
        <v>0</v>
      </c>
      <c r="S76" s="644">
        <f>'2021'!G76</f>
        <v>0</v>
      </c>
      <c r="T76" s="644">
        <f>'2022'!G76</f>
        <v>0</v>
      </c>
      <c r="U76" s="644">
        <f>'2023'!G76</f>
        <v>0</v>
      </c>
      <c r="V76" s="644">
        <f>'2024'!G76</f>
        <v>0</v>
      </c>
      <c r="W76" s="645">
        <f>'2025'!G76</f>
        <v>0</v>
      </c>
      <c r="X76" s="677">
        <f>'2020'!H76</f>
        <v>0</v>
      </c>
      <c r="Y76" s="644">
        <f>'2021'!H76</f>
        <v>0</v>
      </c>
      <c r="Z76" s="644">
        <f>'2022'!H76</f>
        <v>0</v>
      </c>
      <c r="AA76" s="644">
        <f>'2023'!H76</f>
        <v>0</v>
      </c>
      <c r="AB76" s="644">
        <f>'2024'!H76</f>
        <v>0</v>
      </c>
      <c r="AC76" s="645">
        <f>'2025'!H76</f>
        <v>0</v>
      </c>
      <c r="AD76" s="460">
        <f t="shared" si="192"/>
        <v>0</v>
      </c>
      <c r="AE76" s="461">
        <f t="shared" si="193"/>
        <v>0</v>
      </c>
      <c r="AF76" s="461">
        <f t="shared" si="194"/>
        <v>0</v>
      </c>
      <c r="AG76" s="461">
        <f t="shared" si="195"/>
        <v>0</v>
      </c>
      <c r="AH76" s="461">
        <f t="shared" si="196"/>
        <v>0</v>
      </c>
      <c r="AI76" s="462">
        <f t="shared" si="197"/>
        <v>0</v>
      </c>
      <c r="AJ76" s="677">
        <f>'2020'!J76</f>
        <v>0</v>
      </c>
      <c r="AK76" s="644">
        <f>'2021'!J76</f>
        <v>0</v>
      </c>
      <c r="AL76" s="644">
        <f>'2022'!J76</f>
        <v>0</v>
      </c>
      <c r="AM76" s="644">
        <f>'2023'!J76</f>
        <v>0</v>
      </c>
      <c r="AN76" s="644">
        <f>'2024'!J76</f>
        <v>0</v>
      </c>
      <c r="AO76" s="645">
        <f>'2025'!J76</f>
        <v>0</v>
      </c>
      <c r="AP76" s="460" t="str">
        <f t="shared" si="208"/>
        <v/>
      </c>
      <c r="AQ76" s="461" t="str">
        <f t="shared" si="198"/>
        <v/>
      </c>
      <c r="AR76" s="461" t="str">
        <f t="shared" si="199"/>
        <v/>
      </c>
      <c r="AS76" s="461" t="str">
        <f t="shared" si="200"/>
        <v/>
      </c>
      <c r="AT76" s="461" t="str">
        <f t="shared" si="201"/>
        <v/>
      </c>
      <c r="AU76" s="462" t="str">
        <f t="shared" si="202"/>
        <v/>
      </c>
      <c r="AV76" s="677">
        <f>'2020'!L76</f>
        <v>0</v>
      </c>
      <c r="AW76" s="644">
        <f>'2021'!L76</f>
        <v>0</v>
      </c>
      <c r="AX76" s="644">
        <f>'2022'!L76</f>
        <v>0</v>
      </c>
      <c r="AY76" s="644">
        <f>'2023'!L76</f>
        <v>0</v>
      </c>
      <c r="AZ76" s="644">
        <f>'2024'!L76</f>
        <v>0</v>
      </c>
      <c r="BA76" s="645">
        <f>'2025'!L76</f>
        <v>0</v>
      </c>
      <c r="BB76" s="460" t="str">
        <f t="shared" si="209"/>
        <v/>
      </c>
      <c r="BC76" s="461" t="str">
        <f t="shared" si="203"/>
        <v/>
      </c>
      <c r="BD76" s="461" t="str">
        <f t="shared" si="204"/>
        <v/>
      </c>
      <c r="BE76" s="461" t="str">
        <f t="shared" si="205"/>
        <v/>
      </c>
      <c r="BF76" s="461" t="str">
        <f t="shared" si="206"/>
        <v/>
      </c>
      <c r="BG76" s="462" t="str">
        <f t="shared" si="207"/>
        <v/>
      </c>
      <c r="BH76" s="969">
        <f>'2020'!N76</f>
        <v>0</v>
      </c>
      <c r="BI76" s="970">
        <f>'2021'!N76</f>
        <v>0</v>
      </c>
      <c r="BJ76" s="970">
        <f>'2022'!N76</f>
        <v>0</v>
      </c>
      <c r="BK76" s="970">
        <f>'2023'!N76</f>
        <v>0</v>
      </c>
      <c r="BL76" s="970">
        <f>'2024'!N76</f>
        <v>0</v>
      </c>
      <c r="BM76" s="971">
        <f>'2025'!N76</f>
        <v>0</v>
      </c>
      <c r="BN76" s="463"/>
      <c r="BO76" s="464"/>
      <c r="BP76" s="463"/>
      <c r="BQ76" s="464"/>
      <c r="BR76" s="465"/>
      <c r="BS76" s="466"/>
      <c r="BT76" s="465"/>
      <c r="BU76" s="467"/>
      <c r="CC76" s="1" t="str">
        <f t="shared" si="210"/>
        <v/>
      </c>
      <c r="CD76" s="1" t="str">
        <f t="shared" si="211"/>
        <v/>
      </c>
      <c r="CE76" s="1" t="str">
        <f t="shared" si="212"/>
        <v/>
      </c>
      <c r="CF76" s="1" t="str">
        <f t="shared" si="213"/>
        <v/>
      </c>
      <c r="CG76" s="1" t="str">
        <f t="shared" si="214"/>
        <v/>
      </c>
      <c r="CH76" s="1" t="str">
        <f t="shared" si="215"/>
        <v/>
      </c>
    </row>
    <row r="77" spans="1:86" ht="15.75">
      <c r="B77" s="1092"/>
      <c r="C77" s="1096"/>
      <c r="D77" s="404" t="s">
        <v>138</v>
      </c>
      <c r="E77" s="401"/>
      <c r="F77" s="401"/>
      <c r="G77" s="401"/>
      <c r="H77" s="401"/>
      <c r="I77" s="409"/>
      <c r="J77" s="898"/>
      <c r="K77" s="414">
        <f>COUNTIF(K66:K76,"X")</f>
        <v>6</v>
      </c>
      <c r="L77" s="414">
        <f t="shared" ref="L77:P77" si="216">COUNTIF(L66:L76,"X")</f>
        <v>4</v>
      </c>
      <c r="M77" s="414">
        <f t="shared" si="216"/>
        <v>5</v>
      </c>
      <c r="N77" s="414">
        <f t="shared" si="216"/>
        <v>0</v>
      </c>
      <c r="O77" s="414">
        <f t="shared" si="216"/>
        <v>0</v>
      </c>
      <c r="P77" s="415">
        <f t="shared" si="216"/>
        <v>0</v>
      </c>
      <c r="Q77" s="16"/>
      <c r="R77" s="657">
        <f>SUM(R66:R76)</f>
        <v>1664</v>
      </c>
      <c r="S77" s="658">
        <f t="shared" ref="S77:W77" si="217">SUM(S66:S76)</f>
        <v>760</v>
      </c>
      <c r="T77" s="658">
        <f t="shared" si="217"/>
        <v>1614</v>
      </c>
      <c r="U77" s="658">
        <f t="shared" si="217"/>
        <v>0</v>
      </c>
      <c r="V77" s="658">
        <f t="shared" si="217"/>
        <v>0</v>
      </c>
      <c r="W77" s="659">
        <f t="shared" si="217"/>
        <v>0</v>
      </c>
      <c r="X77" s="682">
        <f>SUM(X66:X76)</f>
        <v>509</v>
      </c>
      <c r="Y77" s="658">
        <f t="shared" ref="Y77:AC77" si="218">SUM(Y66:Y76)</f>
        <v>414</v>
      </c>
      <c r="Z77" s="658">
        <f t="shared" si="218"/>
        <v>920</v>
      </c>
      <c r="AA77" s="658">
        <f t="shared" si="218"/>
        <v>0</v>
      </c>
      <c r="AB77" s="658">
        <f t="shared" si="218"/>
        <v>0</v>
      </c>
      <c r="AC77" s="659">
        <f t="shared" si="218"/>
        <v>0</v>
      </c>
      <c r="AD77" s="338">
        <f t="shared" si="192"/>
        <v>0.42367788461538464</v>
      </c>
      <c r="AE77" s="339">
        <f t="shared" si="193"/>
        <v>0.38157894736842107</v>
      </c>
      <c r="AF77" s="339">
        <f t="shared" si="194"/>
        <v>0.44423791821561337</v>
      </c>
      <c r="AG77" s="339">
        <f t="shared" si="195"/>
        <v>0</v>
      </c>
      <c r="AH77" s="339">
        <f t="shared" si="196"/>
        <v>0</v>
      </c>
      <c r="AI77" s="344">
        <f t="shared" si="197"/>
        <v>0</v>
      </c>
      <c r="AJ77" s="682">
        <f>SUM(AJ66:AJ76)</f>
        <v>705</v>
      </c>
      <c r="AK77" s="658">
        <f t="shared" ref="AK77" si="219">SUM(AK66:AK76)</f>
        <v>290</v>
      </c>
      <c r="AL77" s="658">
        <f t="shared" ref="AL77" si="220">SUM(AL66:AL76)</f>
        <v>717</v>
      </c>
      <c r="AM77" s="658">
        <f t="shared" ref="AM77" si="221">SUM(AM66:AM76)</f>
        <v>0</v>
      </c>
      <c r="AN77" s="658">
        <f t="shared" ref="AN77" si="222">SUM(AN66:AN76)</f>
        <v>0</v>
      </c>
      <c r="AO77" s="659">
        <f t="shared" ref="AO77" si="223">SUM(AO66:AO76)</f>
        <v>0</v>
      </c>
      <c r="AP77" s="338">
        <f t="shared" si="208"/>
        <v>0.41887019230769229</v>
      </c>
      <c r="AQ77" s="339">
        <f t="shared" si="198"/>
        <v>0.41315789473684211</v>
      </c>
      <c r="AR77" s="339">
        <f t="shared" si="199"/>
        <v>0.38228004956629491</v>
      </c>
      <c r="AS77" s="339" t="str">
        <f t="shared" si="200"/>
        <v/>
      </c>
      <c r="AT77" s="339" t="str">
        <f t="shared" si="201"/>
        <v/>
      </c>
      <c r="AU77" s="344" t="str">
        <f t="shared" si="202"/>
        <v/>
      </c>
      <c r="AV77" s="682">
        <f>SUM(AV66:AV76)</f>
        <v>697</v>
      </c>
      <c r="AW77" s="658">
        <f t="shared" ref="AW77" si="224">SUM(AW66:AW76)</f>
        <v>314</v>
      </c>
      <c r="AX77" s="658">
        <f t="shared" ref="AX77" si="225">SUM(AX66:AX76)</f>
        <v>617</v>
      </c>
      <c r="AY77" s="658">
        <f t="shared" ref="AY77" si="226">SUM(AY66:AY76)</f>
        <v>0</v>
      </c>
      <c r="AZ77" s="658">
        <f t="shared" ref="AZ77" si="227">SUM(AZ66:AZ76)</f>
        <v>0</v>
      </c>
      <c r="BA77" s="659">
        <f t="shared" ref="BA77" si="228">SUM(BA66:BA76)</f>
        <v>0</v>
      </c>
      <c r="BB77" s="340">
        <f t="shared" si="209"/>
        <v>0</v>
      </c>
      <c r="BC77" s="341">
        <f t="shared" si="203"/>
        <v>0</v>
      </c>
      <c r="BD77" s="341">
        <f t="shared" si="204"/>
        <v>0</v>
      </c>
      <c r="BE77" s="341" t="str">
        <f t="shared" si="205"/>
        <v/>
      </c>
      <c r="BF77" s="341" t="str">
        <f t="shared" si="206"/>
        <v/>
      </c>
      <c r="BG77" s="345" t="str">
        <f t="shared" si="207"/>
        <v/>
      </c>
      <c r="BH77" s="682">
        <f>SUM(BH66:BH76)</f>
        <v>0</v>
      </c>
      <c r="BI77" s="658">
        <f t="shared" ref="BI77" si="229">SUM(BI66:BI76)</f>
        <v>0</v>
      </c>
      <c r="BJ77" s="658">
        <f t="shared" ref="BJ77" si="230">SUM(BJ66:BJ76)</f>
        <v>0</v>
      </c>
      <c r="BK77" s="658">
        <f t="shared" ref="BK77" si="231">SUM(BK66:BK76)</f>
        <v>0</v>
      </c>
      <c r="BL77" s="658">
        <f t="shared" ref="BL77" si="232">SUM(BL66:BL76)</f>
        <v>0</v>
      </c>
      <c r="BM77" s="659">
        <f t="shared" ref="BM77" si="233">SUM(BM66:BM76)</f>
        <v>0</v>
      </c>
      <c r="BN77" s="354">
        <f t="shared" ref="BN77" si="234">SUM(BN66:BN73)</f>
        <v>0</v>
      </c>
      <c r="BO77" s="355">
        <f t="shared" ref="BO77" si="235">SUM(BO66:BO73)</f>
        <v>0</v>
      </c>
      <c r="BP77" s="354">
        <f t="shared" ref="BP77" si="236">SUM(BP66:BP73)</f>
        <v>0</v>
      </c>
      <c r="BQ77" s="355">
        <f t="shared" ref="BQ77" si="237">SUM(BQ66:BQ73)</f>
        <v>0</v>
      </c>
      <c r="BR77" s="354">
        <f t="shared" ref="BR77" si="238">SUM(BR66:BR73)</f>
        <v>0</v>
      </c>
      <c r="BS77" s="355">
        <f t="shared" ref="BS77" si="239">SUM(BS66:BS73)</f>
        <v>0</v>
      </c>
      <c r="BT77" s="354">
        <f t="shared" ref="BT77" si="240">SUM(BT66:BT73)</f>
        <v>0</v>
      </c>
      <c r="BU77" s="356">
        <f t="shared" ref="BU77" si="241">SUM(BU66:BU73)</f>
        <v>0</v>
      </c>
      <c r="CC77" s="1">
        <f t="shared" si="210"/>
        <v>0</v>
      </c>
      <c r="CD77" s="1">
        <f t="shared" si="211"/>
        <v>0</v>
      </c>
      <c r="CE77" s="1">
        <f t="shared" si="212"/>
        <v>0</v>
      </c>
      <c r="CF77" s="1">
        <f t="shared" si="213"/>
        <v>0</v>
      </c>
      <c r="CG77" s="1">
        <f t="shared" si="214"/>
        <v>0</v>
      </c>
      <c r="CH77" s="1">
        <f t="shared" si="215"/>
        <v>0</v>
      </c>
    </row>
    <row r="78" spans="1:86" ht="15.75" customHeight="1">
      <c r="B78" s="1013" t="s">
        <v>167</v>
      </c>
      <c r="C78" s="1084" t="s">
        <v>76</v>
      </c>
      <c r="D78" s="1093">
        <f>'2020'!D78</f>
        <v>0</v>
      </c>
      <c r="E78" s="1040">
        <f>'2021'!D78</f>
        <v>0</v>
      </c>
      <c r="F78" s="1040">
        <f>'2022'!D78</f>
        <v>4</v>
      </c>
      <c r="G78" s="1040">
        <f>'2023'!D78</f>
        <v>4</v>
      </c>
      <c r="H78" s="1040"/>
      <c r="I78" s="1044"/>
      <c r="J78" s="903" t="s">
        <v>171</v>
      </c>
      <c r="K78" s="424" t="str">
        <f t="shared" ref="K78:K84" si="242">IF(R78=0,"","X")</f>
        <v/>
      </c>
      <c r="L78" s="424" t="str">
        <f t="shared" ref="L78:L84" si="243">IF(S78=0,"","X")</f>
        <v>X</v>
      </c>
      <c r="M78" s="424" t="str">
        <f t="shared" ref="M78:M84" si="244">IF(T78=0,"","X")</f>
        <v>X</v>
      </c>
      <c r="N78" s="424" t="str">
        <f t="shared" ref="N78:N84" si="245">IF(U78=0,"","X")</f>
        <v/>
      </c>
      <c r="O78" s="424" t="str">
        <f t="shared" ref="O78:O84" si="246">IF(V78=0,"","X")</f>
        <v/>
      </c>
      <c r="P78" s="425" t="str">
        <f t="shared" ref="P78:P84" si="247">IF(W78=0,"","X")</f>
        <v/>
      </c>
      <c r="Q78" s="246" t="s">
        <v>62</v>
      </c>
      <c r="R78" s="649">
        <f>'2020'!G78</f>
        <v>0</v>
      </c>
      <c r="S78" s="650">
        <f>'2021'!G78</f>
        <v>5</v>
      </c>
      <c r="T78" s="650">
        <f>'2022'!G78</f>
        <v>20</v>
      </c>
      <c r="U78" s="650">
        <f>'2023'!G78</f>
        <v>0</v>
      </c>
      <c r="V78" s="650">
        <f>'2024'!G78</f>
        <v>0</v>
      </c>
      <c r="W78" s="651">
        <f>'2025'!G78</f>
        <v>0</v>
      </c>
      <c r="X78" s="679">
        <f>'2020'!H78</f>
        <v>0</v>
      </c>
      <c r="Y78" s="650">
        <f>'2021'!H78</f>
        <v>4</v>
      </c>
      <c r="Z78" s="650">
        <f>'2022'!H78</f>
        <v>8</v>
      </c>
      <c r="AA78" s="650">
        <f>'2023'!H78</f>
        <v>0</v>
      </c>
      <c r="AB78" s="650">
        <f>'2024'!H78</f>
        <v>0</v>
      </c>
      <c r="AC78" s="651">
        <f>'2025'!H78</f>
        <v>0</v>
      </c>
      <c r="AD78" s="440">
        <f t="shared" si="192"/>
        <v>0</v>
      </c>
      <c r="AE78" s="441">
        <f t="shared" si="193"/>
        <v>0.4</v>
      </c>
      <c r="AF78" s="441">
        <f t="shared" si="194"/>
        <v>0.65</v>
      </c>
      <c r="AG78" s="441">
        <f t="shared" si="195"/>
        <v>0</v>
      </c>
      <c r="AH78" s="441">
        <f t="shared" si="196"/>
        <v>0</v>
      </c>
      <c r="AI78" s="442">
        <f t="shared" si="197"/>
        <v>0</v>
      </c>
      <c r="AJ78" s="679">
        <f>'2020'!J78</f>
        <v>0</v>
      </c>
      <c r="AK78" s="650">
        <f>'2021'!J78</f>
        <v>2</v>
      </c>
      <c r="AL78" s="650">
        <f>'2022'!J78</f>
        <v>13</v>
      </c>
      <c r="AM78" s="650">
        <f>'2023'!J78</f>
        <v>0</v>
      </c>
      <c r="AN78" s="650">
        <f>'2024'!J78</f>
        <v>0</v>
      </c>
      <c r="AO78" s="651">
        <f>'2025'!J78</f>
        <v>0</v>
      </c>
      <c r="AP78" s="440" t="str">
        <f t="shared" si="208"/>
        <v/>
      </c>
      <c r="AQ78" s="441">
        <f t="shared" si="198"/>
        <v>0.2</v>
      </c>
      <c r="AR78" s="441">
        <f t="shared" si="199"/>
        <v>0.25</v>
      </c>
      <c r="AS78" s="441" t="str">
        <f t="shared" si="200"/>
        <v/>
      </c>
      <c r="AT78" s="441" t="str">
        <f t="shared" si="201"/>
        <v/>
      </c>
      <c r="AU78" s="442" t="str">
        <f t="shared" si="202"/>
        <v/>
      </c>
      <c r="AV78" s="679">
        <f>'2020'!L78</f>
        <v>0</v>
      </c>
      <c r="AW78" s="650">
        <f>'2021'!L78</f>
        <v>1</v>
      </c>
      <c r="AX78" s="650">
        <f>'2022'!L78</f>
        <v>5</v>
      </c>
      <c r="AY78" s="650">
        <f>'2023'!L78</f>
        <v>0</v>
      </c>
      <c r="AZ78" s="650">
        <f>'2024'!L78</f>
        <v>0</v>
      </c>
      <c r="BA78" s="651">
        <f>'2025'!L78</f>
        <v>0</v>
      </c>
      <c r="BB78" s="440" t="str">
        <f t="shared" si="209"/>
        <v/>
      </c>
      <c r="BC78" s="441">
        <f t="shared" si="203"/>
        <v>0</v>
      </c>
      <c r="BD78" s="441">
        <f t="shared" si="204"/>
        <v>0.8</v>
      </c>
      <c r="BE78" s="441" t="str">
        <f t="shared" si="205"/>
        <v/>
      </c>
      <c r="BF78" s="441" t="str">
        <f t="shared" si="206"/>
        <v/>
      </c>
      <c r="BG78" s="442" t="str">
        <f t="shared" si="207"/>
        <v/>
      </c>
      <c r="BH78" s="972">
        <f>'2020'!N78</f>
        <v>0</v>
      </c>
      <c r="BI78" s="973">
        <f>'2021'!N78</f>
        <v>0</v>
      </c>
      <c r="BJ78" s="973">
        <f>'2022'!N78</f>
        <v>4</v>
      </c>
      <c r="BK78" s="973">
        <f>'2023'!N78</f>
        <v>0</v>
      </c>
      <c r="BL78" s="973">
        <f>'2024'!N78</f>
        <v>0</v>
      </c>
      <c r="BM78" s="974">
        <f>'2025'!N78</f>
        <v>0</v>
      </c>
      <c r="BN78" s="443" t="s">
        <v>21</v>
      </c>
      <c r="BO78" s="444" t="s">
        <v>21</v>
      </c>
      <c r="BP78" s="443" t="s">
        <v>21</v>
      </c>
      <c r="BQ78" s="444" t="s">
        <v>21</v>
      </c>
      <c r="BR78" s="474">
        <v>51</v>
      </c>
      <c r="BS78" s="475">
        <v>36</v>
      </c>
      <c r="BT78" s="474">
        <v>2</v>
      </c>
      <c r="BU78" s="476">
        <v>2</v>
      </c>
      <c r="BW78" s="1" t="s">
        <v>172</v>
      </c>
      <c r="CC78" s="1" t="str">
        <f t="shared" si="210"/>
        <v/>
      </c>
      <c r="CD78" s="1" t="str">
        <f t="shared" si="211"/>
        <v>Frontière</v>
      </c>
      <c r="CE78" s="1" t="str">
        <f t="shared" si="212"/>
        <v>Frontière</v>
      </c>
      <c r="CF78" s="1" t="str">
        <f t="shared" si="213"/>
        <v/>
      </c>
      <c r="CG78" s="1" t="str">
        <f t="shared" si="214"/>
        <v/>
      </c>
      <c r="CH78" s="1" t="str">
        <f t="shared" si="215"/>
        <v/>
      </c>
    </row>
    <row r="79" spans="1:86" ht="15.75" customHeight="1">
      <c r="B79" s="1013"/>
      <c r="C79" s="1084"/>
      <c r="D79" s="1048"/>
      <c r="E79" s="1041"/>
      <c r="F79" s="1041"/>
      <c r="G79" s="1041"/>
      <c r="H79" s="1041"/>
      <c r="I79" s="1045"/>
      <c r="J79" s="905" t="s">
        <v>173</v>
      </c>
      <c r="K79" s="426" t="str">
        <f t="shared" si="242"/>
        <v/>
      </c>
      <c r="L79" s="426" t="str">
        <f t="shared" si="243"/>
        <v/>
      </c>
      <c r="M79" s="426" t="str">
        <f t="shared" si="244"/>
        <v>X</v>
      </c>
      <c r="N79" s="426" t="str">
        <f t="shared" si="245"/>
        <v/>
      </c>
      <c r="O79" s="426" t="str">
        <f t="shared" si="246"/>
        <v/>
      </c>
      <c r="P79" s="427" t="str">
        <f t="shared" si="247"/>
        <v/>
      </c>
      <c r="Q79" s="251" t="s">
        <v>62</v>
      </c>
      <c r="R79" s="640">
        <f>'2020'!G79</f>
        <v>0</v>
      </c>
      <c r="S79" s="641">
        <f>'2021'!G79</f>
        <v>0</v>
      </c>
      <c r="T79" s="641">
        <f>'2022'!G79</f>
        <v>11</v>
      </c>
      <c r="U79" s="641">
        <f>'2023'!G79</f>
        <v>0</v>
      </c>
      <c r="V79" s="641">
        <f>'2024'!G79</f>
        <v>0</v>
      </c>
      <c r="W79" s="642">
        <f>'2025'!G79</f>
        <v>0</v>
      </c>
      <c r="X79" s="676">
        <f>'2020'!H79</f>
        <v>0</v>
      </c>
      <c r="Y79" s="641">
        <f>'2021'!H79</f>
        <v>0</v>
      </c>
      <c r="Z79" s="641">
        <f>'2022'!H79</f>
        <v>4</v>
      </c>
      <c r="AA79" s="641">
        <f>'2023'!H79</f>
        <v>0</v>
      </c>
      <c r="AB79" s="641">
        <f>'2024'!H79</f>
        <v>0</v>
      </c>
      <c r="AC79" s="642">
        <f>'2025'!H79</f>
        <v>0</v>
      </c>
      <c r="AD79" s="449">
        <f t="shared" si="192"/>
        <v>0</v>
      </c>
      <c r="AE79" s="450">
        <f t="shared" si="193"/>
        <v>0</v>
      </c>
      <c r="AF79" s="450">
        <f t="shared" si="194"/>
        <v>0.54545454545454541</v>
      </c>
      <c r="AG79" s="450">
        <f t="shared" si="195"/>
        <v>0</v>
      </c>
      <c r="AH79" s="450">
        <f t="shared" si="196"/>
        <v>0</v>
      </c>
      <c r="AI79" s="451">
        <f t="shared" si="197"/>
        <v>0</v>
      </c>
      <c r="AJ79" s="676">
        <f>'2020'!J79</f>
        <v>0</v>
      </c>
      <c r="AK79" s="641">
        <f>'2021'!J79</f>
        <v>0</v>
      </c>
      <c r="AL79" s="641">
        <f>'2022'!J79</f>
        <v>6</v>
      </c>
      <c r="AM79" s="641">
        <f>'2023'!J79</f>
        <v>0</v>
      </c>
      <c r="AN79" s="641">
        <f>'2024'!J79</f>
        <v>0</v>
      </c>
      <c r="AO79" s="642">
        <f>'2025'!J79</f>
        <v>0</v>
      </c>
      <c r="AP79" s="449" t="str">
        <f t="shared" si="208"/>
        <v/>
      </c>
      <c r="AQ79" s="450" t="str">
        <f t="shared" si="198"/>
        <v/>
      </c>
      <c r="AR79" s="450">
        <f t="shared" si="199"/>
        <v>0.18181818181818182</v>
      </c>
      <c r="AS79" s="450" t="str">
        <f t="shared" si="200"/>
        <v/>
      </c>
      <c r="AT79" s="450" t="str">
        <f t="shared" si="201"/>
        <v/>
      </c>
      <c r="AU79" s="451" t="str">
        <f t="shared" si="202"/>
        <v/>
      </c>
      <c r="AV79" s="676">
        <f>'2020'!L79</f>
        <v>0</v>
      </c>
      <c r="AW79" s="641">
        <f>'2021'!L79</f>
        <v>0</v>
      </c>
      <c r="AX79" s="641">
        <f>'2022'!L79</f>
        <v>2</v>
      </c>
      <c r="AY79" s="641">
        <f>'2023'!L79</f>
        <v>0</v>
      </c>
      <c r="AZ79" s="641">
        <f>'2024'!L79</f>
        <v>0</v>
      </c>
      <c r="BA79" s="642">
        <f>'2025'!L79</f>
        <v>0</v>
      </c>
      <c r="BB79" s="449" t="str">
        <f t="shared" si="209"/>
        <v/>
      </c>
      <c r="BC79" s="450" t="str">
        <f t="shared" si="203"/>
        <v/>
      </c>
      <c r="BD79" s="450">
        <f t="shared" si="204"/>
        <v>0.5</v>
      </c>
      <c r="BE79" s="450" t="str">
        <f t="shared" si="205"/>
        <v/>
      </c>
      <c r="BF79" s="450" t="str">
        <f t="shared" si="206"/>
        <v/>
      </c>
      <c r="BG79" s="451" t="str">
        <f t="shared" si="207"/>
        <v/>
      </c>
      <c r="BH79" s="966">
        <f>'2020'!N79</f>
        <v>0</v>
      </c>
      <c r="BI79" s="967">
        <f>'2021'!N79</f>
        <v>0</v>
      </c>
      <c r="BJ79" s="967">
        <f>'2022'!N79</f>
        <v>1</v>
      </c>
      <c r="BK79" s="967">
        <f>'2023'!N79</f>
        <v>0</v>
      </c>
      <c r="BL79" s="967">
        <f>'2024'!N79</f>
        <v>0</v>
      </c>
      <c r="BM79" s="968">
        <f>'2025'!N79</f>
        <v>0</v>
      </c>
      <c r="BN79" s="452" t="s">
        <v>21</v>
      </c>
      <c r="BO79" s="453" t="s">
        <v>21</v>
      </c>
      <c r="BP79" s="452" t="s">
        <v>21</v>
      </c>
      <c r="BQ79" s="453" t="s">
        <v>21</v>
      </c>
      <c r="BR79" s="477">
        <v>112</v>
      </c>
      <c r="BS79" s="478">
        <v>82</v>
      </c>
      <c r="BT79" s="477">
        <v>5</v>
      </c>
      <c r="BU79" s="479">
        <v>4</v>
      </c>
      <c r="BW79" s="1" t="s">
        <v>174</v>
      </c>
      <c r="CC79" s="1" t="str">
        <f t="shared" si="210"/>
        <v/>
      </c>
      <c r="CD79" s="1" t="str">
        <f t="shared" si="211"/>
        <v/>
      </c>
      <c r="CE79" s="1" t="str">
        <f t="shared" si="212"/>
        <v>Frontière</v>
      </c>
      <c r="CF79" s="1" t="str">
        <f t="shared" si="213"/>
        <v/>
      </c>
      <c r="CG79" s="1" t="str">
        <f t="shared" si="214"/>
        <v/>
      </c>
      <c r="CH79" s="1" t="str">
        <f t="shared" si="215"/>
        <v/>
      </c>
    </row>
    <row r="80" spans="1:86" ht="15.75" customHeight="1">
      <c r="B80" s="1013"/>
      <c r="C80" s="1084"/>
      <c r="D80" s="1048"/>
      <c r="E80" s="1041"/>
      <c r="F80" s="1041"/>
      <c r="G80" s="1041"/>
      <c r="H80" s="1041"/>
      <c r="I80" s="1045"/>
      <c r="J80" s="905" t="s">
        <v>166</v>
      </c>
      <c r="K80" s="426" t="str">
        <f t="shared" si="242"/>
        <v/>
      </c>
      <c r="L80" s="426" t="str">
        <f t="shared" si="243"/>
        <v/>
      </c>
      <c r="M80" s="426" t="str">
        <f t="shared" si="244"/>
        <v/>
      </c>
      <c r="N80" s="426" t="str">
        <f t="shared" si="245"/>
        <v/>
      </c>
      <c r="O80" s="426" t="str">
        <f t="shared" si="246"/>
        <v/>
      </c>
      <c r="P80" s="427" t="str">
        <f t="shared" si="247"/>
        <v/>
      </c>
      <c r="Q80" s="251"/>
      <c r="R80" s="640">
        <f>'2020'!G80</f>
        <v>0</v>
      </c>
      <c r="S80" s="641">
        <f>'2021'!G80</f>
        <v>0</v>
      </c>
      <c r="T80" s="641">
        <f>'2022'!G80</f>
        <v>0</v>
      </c>
      <c r="U80" s="641">
        <f>'2023'!G80</f>
        <v>0</v>
      </c>
      <c r="V80" s="641">
        <f>'2024'!G80</f>
        <v>0</v>
      </c>
      <c r="W80" s="642">
        <f>'2025'!G80</f>
        <v>0</v>
      </c>
      <c r="X80" s="676">
        <f>'2020'!H80</f>
        <v>0</v>
      </c>
      <c r="Y80" s="641">
        <f>'2021'!H80</f>
        <v>0</v>
      </c>
      <c r="Z80" s="641">
        <f>'2022'!H80</f>
        <v>0</v>
      </c>
      <c r="AA80" s="641">
        <f>'2023'!H80</f>
        <v>0</v>
      </c>
      <c r="AB80" s="641">
        <f>'2024'!H80</f>
        <v>0</v>
      </c>
      <c r="AC80" s="642">
        <f>'2025'!H80</f>
        <v>0</v>
      </c>
      <c r="AD80" s="449">
        <f t="shared" si="192"/>
        <v>0</v>
      </c>
      <c r="AE80" s="450">
        <f t="shared" si="193"/>
        <v>0</v>
      </c>
      <c r="AF80" s="450">
        <f t="shared" si="194"/>
        <v>0</v>
      </c>
      <c r="AG80" s="450">
        <f t="shared" si="195"/>
        <v>0</v>
      </c>
      <c r="AH80" s="450">
        <f t="shared" si="196"/>
        <v>0</v>
      </c>
      <c r="AI80" s="451">
        <f t="shared" si="197"/>
        <v>0</v>
      </c>
      <c r="AJ80" s="676">
        <f>'2020'!J80</f>
        <v>0</v>
      </c>
      <c r="AK80" s="641">
        <f>'2021'!J80</f>
        <v>0</v>
      </c>
      <c r="AL80" s="641">
        <f>'2022'!J80</f>
        <v>0</v>
      </c>
      <c r="AM80" s="641">
        <f>'2023'!J80</f>
        <v>0</v>
      </c>
      <c r="AN80" s="641">
        <f>'2024'!J80</f>
        <v>0</v>
      </c>
      <c r="AO80" s="642">
        <f>'2025'!J80</f>
        <v>0</v>
      </c>
      <c r="AP80" s="449" t="str">
        <f t="shared" si="208"/>
        <v/>
      </c>
      <c r="AQ80" s="450" t="str">
        <f t="shared" si="198"/>
        <v/>
      </c>
      <c r="AR80" s="450" t="str">
        <f t="shared" si="199"/>
        <v/>
      </c>
      <c r="AS80" s="450" t="str">
        <f t="shared" si="200"/>
        <v/>
      </c>
      <c r="AT80" s="450" t="str">
        <f t="shared" si="201"/>
        <v/>
      </c>
      <c r="AU80" s="451" t="str">
        <f t="shared" si="202"/>
        <v/>
      </c>
      <c r="AV80" s="676">
        <f>'2020'!L80</f>
        <v>0</v>
      </c>
      <c r="AW80" s="641">
        <f>'2021'!L80</f>
        <v>0</v>
      </c>
      <c r="AX80" s="641">
        <f>'2022'!L80</f>
        <v>0</v>
      </c>
      <c r="AY80" s="641">
        <f>'2023'!L80</f>
        <v>0</v>
      </c>
      <c r="AZ80" s="641">
        <f>'2024'!L80</f>
        <v>0</v>
      </c>
      <c r="BA80" s="642">
        <f>'2025'!L80</f>
        <v>0</v>
      </c>
      <c r="BB80" s="449" t="str">
        <f t="shared" si="209"/>
        <v/>
      </c>
      <c r="BC80" s="450" t="str">
        <f t="shared" si="203"/>
        <v/>
      </c>
      <c r="BD80" s="450" t="str">
        <f t="shared" si="204"/>
        <v/>
      </c>
      <c r="BE80" s="450" t="str">
        <f t="shared" si="205"/>
        <v/>
      </c>
      <c r="BF80" s="450" t="str">
        <f t="shared" si="206"/>
        <v/>
      </c>
      <c r="BG80" s="451" t="str">
        <f t="shared" si="207"/>
        <v/>
      </c>
      <c r="BH80" s="966">
        <f>'2020'!N80</f>
        <v>0</v>
      </c>
      <c r="BI80" s="967">
        <f>'2021'!N80</f>
        <v>0</v>
      </c>
      <c r="BJ80" s="967">
        <f>'2022'!N80</f>
        <v>0</v>
      </c>
      <c r="BK80" s="967">
        <f>'2023'!N80</f>
        <v>0</v>
      </c>
      <c r="BL80" s="967">
        <f>'2024'!N80</f>
        <v>0</v>
      </c>
      <c r="BM80" s="968">
        <f>'2025'!N80</f>
        <v>0</v>
      </c>
      <c r="BN80" s="452" t="s">
        <v>21</v>
      </c>
      <c r="BO80" s="453" t="s">
        <v>21</v>
      </c>
      <c r="BP80" s="452" t="s">
        <v>21</v>
      </c>
      <c r="BQ80" s="453" t="s">
        <v>21</v>
      </c>
      <c r="BR80" s="477">
        <v>22</v>
      </c>
      <c r="BS80" s="478">
        <v>20</v>
      </c>
      <c r="BT80" s="477">
        <v>0</v>
      </c>
      <c r="BU80" s="479">
        <v>0</v>
      </c>
      <c r="CC80" s="1" t="str">
        <f t="shared" si="210"/>
        <v/>
      </c>
      <c r="CD80" s="1" t="str">
        <f t="shared" si="211"/>
        <v/>
      </c>
      <c r="CE80" s="1" t="str">
        <f t="shared" si="212"/>
        <v/>
      </c>
      <c r="CF80" s="1" t="str">
        <f t="shared" si="213"/>
        <v/>
      </c>
      <c r="CG80" s="1" t="str">
        <f t="shared" si="214"/>
        <v/>
      </c>
      <c r="CH80" s="1" t="str">
        <f t="shared" si="215"/>
        <v/>
      </c>
    </row>
    <row r="81" spans="2:86" ht="15.75" customHeight="1">
      <c r="B81" s="1013"/>
      <c r="C81" s="1084"/>
      <c r="D81" s="1048"/>
      <c r="E81" s="1041"/>
      <c r="F81" s="1041"/>
      <c r="G81" s="1041"/>
      <c r="H81" s="1041"/>
      <c r="I81" s="1045"/>
      <c r="J81" s="905" t="s">
        <v>166</v>
      </c>
      <c r="K81" s="426" t="str">
        <f t="shared" si="242"/>
        <v/>
      </c>
      <c r="L81" s="426" t="str">
        <f t="shared" si="243"/>
        <v/>
      </c>
      <c r="M81" s="426" t="str">
        <f t="shared" si="244"/>
        <v/>
      </c>
      <c r="N81" s="426" t="str">
        <f t="shared" si="245"/>
        <v/>
      </c>
      <c r="O81" s="426" t="str">
        <f t="shared" si="246"/>
        <v/>
      </c>
      <c r="P81" s="427" t="str">
        <f t="shared" si="247"/>
        <v/>
      </c>
      <c r="Q81" s="251"/>
      <c r="R81" s="640">
        <f>'2020'!G81</f>
        <v>0</v>
      </c>
      <c r="S81" s="641">
        <f>'2021'!G81</f>
        <v>0</v>
      </c>
      <c r="T81" s="641">
        <f>'2022'!G81</f>
        <v>0</v>
      </c>
      <c r="U81" s="641">
        <f>'2023'!G81</f>
        <v>0</v>
      </c>
      <c r="V81" s="641">
        <f>'2024'!G81</f>
        <v>0</v>
      </c>
      <c r="W81" s="642">
        <f>'2025'!G81</f>
        <v>0</v>
      </c>
      <c r="X81" s="676">
        <f>'2020'!H81</f>
        <v>0</v>
      </c>
      <c r="Y81" s="641">
        <f>'2021'!H81</f>
        <v>0</v>
      </c>
      <c r="Z81" s="641">
        <f>'2022'!H81</f>
        <v>0</v>
      </c>
      <c r="AA81" s="641">
        <f>'2023'!H81</f>
        <v>0</v>
      </c>
      <c r="AB81" s="641">
        <f>'2024'!H81</f>
        <v>0</v>
      </c>
      <c r="AC81" s="642">
        <f>'2025'!H81</f>
        <v>0</v>
      </c>
      <c r="AD81" s="449">
        <f t="shared" si="192"/>
        <v>0</v>
      </c>
      <c r="AE81" s="450">
        <f t="shared" si="193"/>
        <v>0</v>
      </c>
      <c r="AF81" s="450">
        <f t="shared" si="194"/>
        <v>0</v>
      </c>
      <c r="AG81" s="450">
        <f t="shared" si="195"/>
        <v>0</v>
      </c>
      <c r="AH81" s="450">
        <f t="shared" si="196"/>
        <v>0</v>
      </c>
      <c r="AI81" s="451">
        <f t="shared" si="197"/>
        <v>0</v>
      </c>
      <c r="AJ81" s="676">
        <f>'2020'!J81</f>
        <v>0</v>
      </c>
      <c r="AK81" s="641">
        <f>'2021'!J81</f>
        <v>0</v>
      </c>
      <c r="AL81" s="641">
        <f>'2022'!J81</f>
        <v>0</v>
      </c>
      <c r="AM81" s="641">
        <f>'2023'!J81</f>
        <v>0</v>
      </c>
      <c r="AN81" s="641">
        <f>'2024'!J81</f>
        <v>0</v>
      </c>
      <c r="AO81" s="642">
        <f>'2025'!J81</f>
        <v>0</v>
      </c>
      <c r="AP81" s="449" t="str">
        <f t="shared" si="208"/>
        <v/>
      </c>
      <c r="AQ81" s="450" t="str">
        <f t="shared" si="198"/>
        <v/>
      </c>
      <c r="AR81" s="450" t="str">
        <f t="shared" si="199"/>
        <v/>
      </c>
      <c r="AS81" s="450" t="str">
        <f t="shared" si="200"/>
        <v/>
      </c>
      <c r="AT81" s="450" t="str">
        <f t="shared" si="201"/>
        <v/>
      </c>
      <c r="AU81" s="451" t="str">
        <f t="shared" si="202"/>
        <v/>
      </c>
      <c r="AV81" s="676">
        <f>'2020'!L81</f>
        <v>0</v>
      </c>
      <c r="AW81" s="641">
        <f>'2021'!L81</f>
        <v>0</v>
      </c>
      <c r="AX81" s="641">
        <f>'2022'!L81</f>
        <v>0</v>
      </c>
      <c r="AY81" s="641">
        <f>'2023'!L81</f>
        <v>0</v>
      </c>
      <c r="AZ81" s="641">
        <f>'2024'!L81</f>
        <v>0</v>
      </c>
      <c r="BA81" s="642">
        <f>'2025'!L81</f>
        <v>0</v>
      </c>
      <c r="BB81" s="449" t="str">
        <f t="shared" si="209"/>
        <v/>
      </c>
      <c r="BC81" s="450" t="str">
        <f t="shared" si="203"/>
        <v/>
      </c>
      <c r="BD81" s="450" t="str">
        <f t="shared" si="204"/>
        <v/>
      </c>
      <c r="BE81" s="450" t="str">
        <f t="shared" si="205"/>
        <v/>
      </c>
      <c r="BF81" s="450" t="str">
        <f t="shared" si="206"/>
        <v/>
      </c>
      <c r="BG81" s="451" t="str">
        <f t="shared" si="207"/>
        <v/>
      </c>
      <c r="BH81" s="966">
        <f>'2020'!N81</f>
        <v>0</v>
      </c>
      <c r="BI81" s="967">
        <f>'2021'!N81</f>
        <v>0</v>
      </c>
      <c r="BJ81" s="967">
        <f>'2022'!N81</f>
        <v>0</v>
      </c>
      <c r="BK81" s="967">
        <f>'2023'!N81</f>
        <v>0</v>
      </c>
      <c r="BL81" s="967">
        <f>'2024'!N81</f>
        <v>0</v>
      </c>
      <c r="BM81" s="968">
        <f>'2025'!N81</f>
        <v>0</v>
      </c>
      <c r="BN81" s="452" t="s">
        <v>21</v>
      </c>
      <c r="BO81" s="453" t="s">
        <v>21</v>
      </c>
      <c r="BP81" s="452" t="s">
        <v>21</v>
      </c>
      <c r="BQ81" s="453" t="s">
        <v>21</v>
      </c>
      <c r="BR81" s="477">
        <v>46</v>
      </c>
      <c r="BS81" s="478">
        <v>31</v>
      </c>
      <c r="BT81" s="477">
        <v>3</v>
      </c>
      <c r="BU81" s="479">
        <v>2</v>
      </c>
      <c r="CC81" s="1" t="str">
        <f t="shared" si="210"/>
        <v/>
      </c>
      <c r="CD81" s="1" t="str">
        <f t="shared" si="211"/>
        <v/>
      </c>
      <c r="CE81" s="1" t="str">
        <f t="shared" si="212"/>
        <v/>
      </c>
      <c r="CF81" s="1" t="str">
        <f t="shared" si="213"/>
        <v/>
      </c>
      <c r="CG81" s="1" t="str">
        <f t="shared" si="214"/>
        <v/>
      </c>
      <c r="CH81" s="1" t="str">
        <f t="shared" si="215"/>
        <v/>
      </c>
    </row>
    <row r="82" spans="2:86" ht="15.75" customHeight="1">
      <c r="B82" s="1013"/>
      <c r="C82" s="1084"/>
      <c r="D82" s="1048"/>
      <c r="E82" s="1041"/>
      <c r="F82" s="1041"/>
      <c r="G82" s="1041"/>
      <c r="H82" s="1041"/>
      <c r="I82" s="1045"/>
      <c r="J82" s="905" t="s">
        <v>166</v>
      </c>
      <c r="K82" s="426" t="str">
        <f t="shared" si="242"/>
        <v/>
      </c>
      <c r="L82" s="426" t="str">
        <f t="shared" si="243"/>
        <v/>
      </c>
      <c r="M82" s="426" t="str">
        <f t="shared" si="244"/>
        <v/>
      </c>
      <c r="N82" s="426" t="str">
        <f t="shared" si="245"/>
        <v/>
      </c>
      <c r="O82" s="426" t="str">
        <f t="shared" si="246"/>
        <v/>
      </c>
      <c r="P82" s="427" t="str">
        <f t="shared" si="247"/>
        <v/>
      </c>
      <c r="Q82" s="251" t="s">
        <v>203</v>
      </c>
      <c r="R82" s="640">
        <f>'2020'!G82</f>
        <v>0</v>
      </c>
      <c r="S82" s="641">
        <f>'2021'!G82</f>
        <v>0</v>
      </c>
      <c r="T82" s="641">
        <f>'2022'!G82</f>
        <v>0</v>
      </c>
      <c r="U82" s="641">
        <f>'2023'!G82</f>
        <v>0</v>
      </c>
      <c r="V82" s="641">
        <f>'2024'!G82</f>
        <v>0</v>
      </c>
      <c r="W82" s="642">
        <f>'2025'!G82</f>
        <v>0</v>
      </c>
      <c r="X82" s="676">
        <f>'2020'!H82</f>
        <v>0</v>
      </c>
      <c r="Y82" s="641">
        <f>'2021'!H82</f>
        <v>0</v>
      </c>
      <c r="Z82" s="641">
        <f>'2022'!H82</f>
        <v>0</v>
      </c>
      <c r="AA82" s="641">
        <f>'2023'!H82</f>
        <v>0</v>
      </c>
      <c r="AB82" s="641">
        <f>'2024'!H82</f>
        <v>0</v>
      </c>
      <c r="AC82" s="642">
        <f>'2025'!H82</f>
        <v>0</v>
      </c>
      <c r="AD82" s="449">
        <f t="shared" si="192"/>
        <v>0</v>
      </c>
      <c r="AE82" s="450">
        <f t="shared" si="193"/>
        <v>0</v>
      </c>
      <c r="AF82" s="450">
        <f t="shared" si="194"/>
        <v>0</v>
      </c>
      <c r="AG82" s="450">
        <f t="shared" si="195"/>
        <v>0</v>
      </c>
      <c r="AH82" s="450">
        <f t="shared" si="196"/>
        <v>0</v>
      </c>
      <c r="AI82" s="451">
        <f t="shared" si="197"/>
        <v>0</v>
      </c>
      <c r="AJ82" s="676">
        <f>'2020'!J82</f>
        <v>0</v>
      </c>
      <c r="AK82" s="641">
        <f>'2021'!J82</f>
        <v>0</v>
      </c>
      <c r="AL82" s="641">
        <f>'2022'!J82</f>
        <v>0</v>
      </c>
      <c r="AM82" s="641">
        <f>'2023'!J82</f>
        <v>0</v>
      </c>
      <c r="AN82" s="641">
        <f>'2024'!J82</f>
        <v>0</v>
      </c>
      <c r="AO82" s="642">
        <f>'2025'!J82</f>
        <v>0</v>
      </c>
      <c r="AP82" s="449" t="str">
        <f t="shared" si="208"/>
        <v/>
      </c>
      <c r="AQ82" s="450" t="str">
        <f t="shared" si="198"/>
        <v/>
      </c>
      <c r="AR82" s="450" t="str">
        <f t="shared" si="199"/>
        <v/>
      </c>
      <c r="AS82" s="450" t="str">
        <f t="shared" si="200"/>
        <v/>
      </c>
      <c r="AT82" s="450" t="str">
        <f t="shared" si="201"/>
        <v/>
      </c>
      <c r="AU82" s="451" t="str">
        <f t="shared" si="202"/>
        <v/>
      </c>
      <c r="AV82" s="676">
        <f>'2020'!L82</f>
        <v>0</v>
      </c>
      <c r="AW82" s="641">
        <f>'2021'!L82</f>
        <v>0</v>
      </c>
      <c r="AX82" s="641">
        <f>'2022'!L82</f>
        <v>0</v>
      </c>
      <c r="AY82" s="641">
        <f>'2023'!L82</f>
        <v>0</v>
      </c>
      <c r="AZ82" s="641">
        <f>'2024'!L82</f>
        <v>0</v>
      </c>
      <c r="BA82" s="642">
        <f>'2025'!L82</f>
        <v>0</v>
      </c>
      <c r="BB82" s="449" t="str">
        <f t="shared" si="209"/>
        <v/>
      </c>
      <c r="BC82" s="450" t="str">
        <f t="shared" si="203"/>
        <v/>
      </c>
      <c r="BD82" s="450" t="str">
        <f t="shared" si="204"/>
        <v/>
      </c>
      <c r="BE82" s="450" t="str">
        <f t="shared" si="205"/>
        <v/>
      </c>
      <c r="BF82" s="450" t="str">
        <f t="shared" si="206"/>
        <v/>
      </c>
      <c r="BG82" s="451" t="str">
        <f t="shared" si="207"/>
        <v/>
      </c>
      <c r="BH82" s="966">
        <f>'2020'!N82</f>
        <v>0</v>
      </c>
      <c r="BI82" s="967">
        <f>'2021'!N82</f>
        <v>0</v>
      </c>
      <c r="BJ82" s="967">
        <f>'2022'!N82</f>
        <v>0</v>
      </c>
      <c r="BK82" s="967">
        <f>'2023'!N82</f>
        <v>0</v>
      </c>
      <c r="BL82" s="967">
        <f>'2024'!N82</f>
        <v>0</v>
      </c>
      <c r="BM82" s="968">
        <f>'2025'!N82</f>
        <v>0</v>
      </c>
      <c r="BN82" s="452" t="s">
        <v>21</v>
      </c>
      <c r="BO82" s="453" t="s">
        <v>21</v>
      </c>
      <c r="BP82" s="452" t="s">
        <v>21</v>
      </c>
      <c r="BQ82" s="453" t="s">
        <v>21</v>
      </c>
      <c r="BR82" s="477">
        <v>46</v>
      </c>
      <c r="BS82" s="478">
        <v>31</v>
      </c>
      <c r="BT82" s="477">
        <v>3</v>
      </c>
      <c r="BU82" s="479">
        <v>2</v>
      </c>
      <c r="CC82" s="1" t="str">
        <f t="shared" si="210"/>
        <v/>
      </c>
      <c r="CD82" s="1" t="str">
        <f t="shared" si="211"/>
        <v/>
      </c>
      <c r="CE82" s="1" t="str">
        <f t="shared" si="212"/>
        <v/>
      </c>
      <c r="CF82" s="1" t="str">
        <f t="shared" si="213"/>
        <v/>
      </c>
      <c r="CG82" s="1" t="str">
        <f t="shared" si="214"/>
        <v/>
      </c>
      <c r="CH82" s="1" t="str">
        <f t="shared" si="215"/>
        <v/>
      </c>
    </row>
    <row r="83" spans="2:86" ht="15.75" customHeight="1">
      <c r="B83" s="1013"/>
      <c r="C83" s="1084"/>
      <c r="D83" s="1048"/>
      <c r="E83" s="1041"/>
      <c r="F83" s="1041"/>
      <c r="G83" s="1041"/>
      <c r="H83" s="1041"/>
      <c r="I83" s="1045"/>
      <c r="J83" s="905" t="s">
        <v>166</v>
      </c>
      <c r="K83" s="426" t="str">
        <f t="shared" si="242"/>
        <v/>
      </c>
      <c r="L83" s="426" t="str">
        <f t="shared" si="243"/>
        <v/>
      </c>
      <c r="M83" s="426" t="str">
        <f t="shared" si="244"/>
        <v/>
      </c>
      <c r="N83" s="426" t="str">
        <f t="shared" si="245"/>
        <v/>
      </c>
      <c r="O83" s="426" t="str">
        <f t="shared" si="246"/>
        <v/>
      </c>
      <c r="P83" s="427" t="str">
        <f t="shared" si="247"/>
        <v/>
      </c>
      <c r="Q83" s="251" t="s">
        <v>203</v>
      </c>
      <c r="R83" s="640">
        <f>'2020'!G83</f>
        <v>0</v>
      </c>
      <c r="S83" s="641">
        <f>'2021'!G83</f>
        <v>0</v>
      </c>
      <c r="T83" s="641">
        <f>'2022'!G83</f>
        <v>0</v>
      </c>
      <c r="U83" s="641">
        <f>'2023'!G83</f>
        <v>0</v>
      </c>
      <c r="V83" s="641">
        <f>'2024'!G83</f>
        <v>0</v>
      </c>
      <c r="W83" s="642">
        <f>'2025'!G83</f>
        <v>0</v>
      </c>
      <c r="X83" s="676">
        <f>'2020'!H83</f>
        <v>0</v>
      </c>
      <c r="Y83" s="641">
        <f>'2021'!H83</f>
        <v>0</v>
      </c>
      <c r="Z83" s="641">
        <f>'2022'!H83</f>
        <v>0</v>
      </c>
      <c r="AA83" s="641">
        <f>'2023'!H83</f>
        <v>0</v>
      </c>
      <c r="AB83" s="641">
        <f>'2024'!H83</f>
        <v>0</v>
      </c>
      <c r="AC83" s="642">
        <f>'2025'!H83</f>
        <v>0</v>
      </c>
      <c r="AD83" s="449">
        <f t="shared" si="192"/>
        <v>0</v>
      </c>
      <c r="AE83" s="450">
        <f t="shared" si="193"/>
        <v>0</v>
      </c>
      <c r="AF83" s="450">
        <f t="shared" ref="AF83:AF92" si="248">IF(T83="",0,IF(AL83=0,0,AL83/T83))</f>
        <v>0</v>
      </c>
      <c r="AG83" s="450">
        <f t="shared" si="195"/>
        <v>0</v>
      </c>
      <c r="AH83" s="450">
        <f t="shared" si="196"/>
        <v>0</v>
      </c>
      <c r="AI83" s="451">
        <f t="shared" si="197"/>
        <v>0</v>
      </c>
      <c r="AJ83" s="676">
        <f>'2020'!J83</f>
        <v>0</v>
      </c>
      <c r="AK83" s="641">
        <f>'2021'!J83</f>
        <v>0</v>
      </c>
      <c r="AL83" s="641">
        <f>'2022'!J83</f>
        <v>0</v>
      </c>
      <c r="AM83" s="641">
        <f>'2023'!J83</f>
        <v>0</v>
      </c>
      <c r="AN83" s="641">
        <f>'2024'!J83</f>
        <v>0</v>
      </c>
      <c r="AO83" s="642">
        <f>'2025'!J83</f>
        <v>0</v>
      </c>
      <c r="AP83" s="449" t="str">
        <f t="shared" si="208"/>
        <v/>
      </c>
      <c r="AQ83" s="450" t="str">
        <f t="shared" si="198"/>
        <v/>
      </c>
      <c r="AR83" s="450" t="str">
        <f t="shared" si="199"/>
        <v/>
      </c>
      <c r="AS83" s="450" t="str">
        <f t="shared" si="200"/>
        <v/>
      </c>
      <c r="AT83" s="450" t="str">
        <f t="shared" si="201"/>
        <v/>
      </c>
      <c r="AU83" s="451" t="str">
        <f t="shared" si="202"/>
        <v/>
      </c>
      <c r="AV83" s="676">
        <f>'2020'!L83</f>
        <v>0</v>
      </c>
      <c r="AW83" s="641">
        <f>'2021'!L83</f>
        <v>0</v>
      </c>
      <c r="AX83" s="641">
        <f>'2022'!L83</f>
        <v>0</v>
      </c>
      <c r="AY83" s="641">
        <f>'2023'!L83</f>
        <v>0</v>
      </c>
      <c r="AZ83" s="641">
        <f>'2024'!L83</f>
        <v>0</v>
      </c>
      <c r="BA83" s="642">
        <f>'2025'!L83</f>
        <v>0</v>
      </c>
      <c r="BB83" s="449" t="str">
        <f t="shared" si="209"/>
        <v/>
      </c>
      <c r="BC83" s="450" t="str">
        <f t="shared" si="203"/>
        <v/>
      </c>
      <c r="BD83" s="450" t="str">
        <f t="shared" si="204"/>
        <v/>
      </c>
      <c r="BE83" s="450" t="str">
        <f t="shared" si="205"/>
        <v/>
      </c>
      <c r="BF83" s="450" t="str">
        <f t="shared" si="206"/>
        <v/>
      </c>
      <c r="BG83" s="451" t="str">
        <f t="shared" si="207"/>
        <v/>
      </c>
      <c r="BH83" s="966">
        <f>'2020'!N83</f>
        <v>0</v>
      </c>
      <c r="BI83" s="967">
        <f>'2021'!N83</f>
        <v>0</v>
      </c>
      <c r="BJ83" s="967">
        <f>'2022'!N83</f>
        <v>0</v>
      </c>
      <c r="BK83" s="967">
        <f>'2023'!N83</f>
        <v>0</v>
      </c>
      <c r="BL83" s="967">
        <f>'2024'!N83</f>
        <v>0</v>
      </c>
      <c r="BM83" s="968">
        <f>'2025'!N83</f>
        <v>0</v>
      </c>
      <c r="BN83" s="452" t="s">
        <v>21</v>
      </c>
      <c r="BO83" s="453" t="s">
        <v>21</v>
      </c>
      <c r="BP83" s="452" t="s">
        <v>21</v>
      </c>
      <c r="BQ83" s="453" t="s">
        <v>21</v>
      </c>
      <c r="BR83" s="477">
        <v>46</v>
      </c>
      <c r="BS83" s="478">
        <v>31</v>
      </c>
      <c r="BT83" s="477">
        <v>3</v>
      </c>
      <c r="BU83" s="479">
        <v>2</v>
      </c>
      <c r="CC83" s="1" t="str">
        <f t="shared" si="210"/>
        <v/>
      </c>
      <c r="CD83" s="1" t="str">
        <f t="shared" si="211"/>
        <v/>
      </c>
      <c r="CE83" s="1" t="str">
        <f t="shared" si="212"/>
        <v/>
      </c>
      <c r="CF83" s="1" t="str">
        <f t="shared" si="213"/>
        <v/>
      </c>
      <c r="CG83" s="1" t="str">
        <f t="shared" si="214"/>
        <v/>
      </c>
      <c r="CH83" s="1" t="str">
        <f t="shared" si="215"/>
        <v/>
      </c>
    </row>
    <row r="84" spans="2:86" ht="15.75" customHeight="1">
      <c r="B84" s="1013"/>
      <c r="C84" s="1084"/>
      <c r="D84" s="1049"/>
      <c r="E84" s="1042"/>
      <c r="F84" s="1042"/>
      <c r="G84" s="1042"/>
      <c r="H84" s="1042"/>
      <c r="I84" s="1046"/>
      <c r="J84" s="907" t="s">
        <v>166</v>
      </c>
      <c r="K84" s="428" t="str">
        <f t="shared" si="242"/>
        <v/>
      </c>
      <c r="L84" s="428" t="str">
        <f t="shared" si="243"/>
        <v/>
      </c>
      <c r="M84" s="428" t="str">
        <f t="shared" si="244"/>
        <v/>
      </c>
      <c r="N84" s="428" t="str">
        <f t="shared" si="245"/>
        <v/>
      </c>
      <c r="O84" s="428" t="str">
        <f t="shared" si="246"/>
        <v/>
      </c>
      <c r="P84" s="429" t="str">
        <f t="shared" si="247"/>
        <v/>
      </c>
      <c r="Q84" s="256"/>
      <c r="R84" s="643">
        <f>'2020'!G84</f>
        <v>0</v>
      </c>
      <c r="S84" s="644">
        <f>'2021'!G84</f>
        <v>0</v>
      </c>
      <c r="T84" s="644">
        <f>'2022'!G84</f>
        <v>0</v>
      </c>
      <c r="U84" s="644">
        <f>'2023'!G84</f>
        <v>0</v>
      </c>
      <c r="V84" s="644">
        <f>'2024'!G84</f>
        <v>0</v>
      </c>
      <c r="W84" s="645">
        <f>'2025'!G84</f>
        <v>0</v>
      </c>
      <c r="X84" s="677">
        <f>'2020'!H84</f>
        <v>0</v>
      </c>
      <c r="Y84" s="644">
        <f>'2021'!H84</f>
        <v>0</v>
      </c>
      <c r="Z84" s="644">
        <f>'2022'!H84</f>
        <v>0</v>
      </c>
      <c r="AA84" s="644">
        <f>'2023'!H84</f>
        <v>0</v>
      </c>
      <c r="AB84" s="644">
        <f>'2024'!H84</f>
        <v>0</v>
      </c>
      <c r="AC84" s="645">
        <f>'2025'!H84</f>
        <v>0</v>
      </c>
      <c r="AD84" s="460">
        <f t="shared" si="192"/>
        <v>0</v>
      </c>
      <c r="AE84" s="461">
        <f t="shared" si="193"/>
        <v>0</v>
      </c>
      <c r="AF84" s="461">
        <f t="shared" si="248"/>
        <v>0</v>
      </c>
      <c r="AG84" s="461">
        <f t="shared" si="195"/>
        <v>0</v>
      </c>
      <c r="AH84" s="461">
        <f t="shared" si="196"/>
        <v>0</v>
      </c>
      <c r="AI84" s="462">
        <f t="shared" si="197"/>
        <v>0</v>
      </c>
      <c r="AJ84" s="677">
        <f>'2020'!J84</f>
        <v>0</v>
      </c>
      <c r="AK84" s="644">
        <f>'2021'!J84</f>
        <v>0</v>
      </c>
      <c r="AL84" s="644">
        <f>'2022'!J84</f>
        <v>0</v>
      </c>
      <c r="AM84" s="644">
        <f>'2023'!J84</f>
        <v>0</v>
      </c>
      <c r="AN84" s="644">
        <f>'2024'!J84</f>
        <v>0</v>
      </c>
      <c r="AO84" s="645">
        <f>'2025'!J84</f>
        <v>0</v>
      </c>
      <c r="AP84" s="460" t="str">
        <f t="shared" si="208"/>
        <v/>
      </c>
      <c r="AQ84" s="461" t="str">
        <f t="shared" si="198"/>
        <v/>
      </c>
      <c r="AR84" s="461" t="str">
        <f t="shared" si="199"/>
        <v/>
      </c>
      <c r="AS84" s="461" t="str">
        <f t="shared" si="200"/>
        <v/>
      </c>
      <c r="AT84" s="461" t="str">
        <f t="shared" si="201"/>
        <v/>
      </c>
      <c r="AU84" s="462" t="str">
        <f t="shared" si="202"/>
        <v/>
      </c>
      <c r="AV84" s="677">
        <f>'2020'!L84</f>
        <v>0</v>
      </c>
      <c r="AW84" s="644">
        <f>'2021'!L84</f>
        <v>0</v>
      </c>
      <c r="AX84" s="644">
        <f>'2022'!L84</f>
        <v>0</v>
      </c>
      <c r="AY84" s="644">
        <f>'2023'!L84</f>
        <v>0</v>
      </c>
      <c r="AZ84" s="644">
        <f>'2024'!L84</f>
        <v>0</v>
      </c>
      <c r="BA84" s="645">
        <f>'2025'!L84</f>
        <v>0</v>
      </c>
      <c r="BB84" s="460" t="str">
        <f t="shared" si="209"/>
        <v/>
      </c>
      <c r="BC84" s="461" t="str">
        <f t="shared" si="203"/>
        <v/>
      </c>
      <c r="BD84" s="461" t="str">
        <f t="shared" si="204"/>
        <v/>
      </c>
      <c r="BE84" s="461" t="str">
        <f t="shared" si="205"/>
        <v/>
      </c>
      <c r="BF84" s="461" t="str">
        <f t="shared" si="206"/>
        <v/>
      </c>
      <c r="BG84" s="462" t="str">
        <f t="shared" si="207"/>
        <v/>
      </c>
      <c r="BH84" s="969">
        <f>'2020'!N84</f>
        <v>0</v>
      </c>
      <c r="BI84" s="970">
        <f>'2021'!N84</f>
        <v>0</v>
      </c>
      <c r="BJ84" s="970">
        <f>'2022'!N84</f>
        <v>0</v>
      </c>
      <c r="BK84" s="970">
        <f>'2023'!N84</f>
        <v>0</v>
      </c>
      <c r="BL84" s="970">
        <f>'2024'!N84</f>
        <v>0</v>
      </c>
      <c r="BM84" s="971">
        <f>'2025'!N84</f>
        <v>0</v>
      </c>
      <c r="BN84" s="463" t="s">
        <v>21</v>
      </c>
      <c r="BO84" s="464" t="s">
        <v>21</v>
      </c>
      <c r="BP84" s="463" t="s">
        <v>21</v>
      </c>
      <c r="BQ84" s="464" t="s">
        <v>21</v>
      </c>
      <c r="BR84" s="481">
        <v>40</v>
      </c>
      <c r="BS84" s="482">
        <v>40</v>
      </c>
      <c r="BT84" s="481">
        <v>4</v>
      </c>
      <c r="BU84" s="483">
        <v>4</v>
      </c>
      <c r="CC84" s="1" t="str">
        <f t="shared" si="210"/>
        <v/>
      </c>
      <c r="CD84" s="1" t="str">
        <f t="shared" si="211"/>
        <v/>
      </c>
      <c r="CE84" s="1" t="str">
        <f t="shared" si="212"/>
        <v/>
      </c>
      <c r="CF84" s="1" t="str">
        <f t="shared" si="213"/>
        <v/>
      </c>
      <c r="CG84" s="1" t="str">
        <f t="shared" si="214"/>
        <v/>
      </c>
      <c r="CH84" s="1" t="str">
        <f t="shared" si="215"/>
        <v/>
      </c>
    </row>
    <row r="85" spans="2:86" ht="15.75">
      <c r="B85" s="1018"/>
      <c r="C85" s="1084"/>
      <c r="D85" s="404" t="s">
        <v>138</v>
      </c>
      <c r="E85" s="401"/>
      <c r="F85" s="401"/>
      <c r="G85" s="401"/>
      <c r="H85" s="401"/>
      <c r="I85" s="409"/>
      <c r="J85" s="898"/>
      <c r="K85" s="414">
        <f>COUNTIF(K78:K84,"X")</f>
        <v>0</v>
      </c>
      <c r="L85" s="416">
        <f t="shared" ref="L85:P85" si="249">COUNTIF(L78:L84,"X")</f>
        <v>1</v>
      </c>
      <c r="M85" s="416">
        <f t="shared" si="249"/>
        <v>2</v>
      </c>
      <c r="N85" s="416">
        <f t="shared" si="249"/>
        <v>0</v>
      </c>
      <c r="O85" s="416">
        <f t="shared" si="249"/>
        <v>0</v>
      </c>
      <c r="P85" s="417">
        <f t="shared" si="249"/>
        <v>0</v>
      </c>
      <c r="Q85" s="210"/>
      <c r="R85" s="657">
        <f>SUM(R78:R84)</f>
        <v>0</v>
      </c>
      <c r="S85" s="658">
        <f t="shared" ref="S85:W85" si="250">SUM(S78:S84)</f>
        <v>5</v>
      </c>
      <c r="T85" s="658">
        <f t="shared" si="250"/>
        <v>31</v>
      </c>
      <c r="U85" s="658">
        <f t="shared" si="250"/>
        <v>0</v>
      </c>
      <c r="V85" s="658">
        <f t="shared" si="250"/>
        <v>0</v>
      </c>
      <c r="W85" s="659">
        <f t="shared" si="250"/>
        <v>0</v>
      </c>
      <c r="X85" s="682">
        <f>SUM(X78:X84)</f>
        <v>0</v>
      </c>
      <c r="Y85" s="658">
        <f>SUM(Y78:Y84)</f>
        <v>4</v>
      </c>
      <c r="Z85" s="658">
        <f>SUM(Z78:Z84)</f>
        <v>12</v>
      </c>
      <c r="AA85" s="658">
        <f t="shared" ref="AA85:AC85" si="251">SUM(AA78:AA84)</f>
        <v>0</v>
      </c>
      <c r="AB85" s="658">
        <f t="shared" si="251"/>
        <v>0</v>
      </c>
      <c r="AC85" s="659">
        <f t="shared" si="251"/>
        <v>0</v>
      </c>
      <c r="AD85" s="338">
        <f t="shared" si="192"/>
        <v>0</v>
      </c>
      <c r="AE85" s="339">
        <f t="shared" si="193"/>
        <v>0.4</v>
      </c>
      <c r="AF85" s="339">
        <f t="shared" si="248"/>
        <v>0.61290322580645162</v>
      </c>
      <c r="AG85" s="339">
        <f t="shared" si="195"/>
        <v>0</v>
      </c>
      <c r="AH85" s="339">
        <f t="shared" si="196"/>
        <v>0</v>
      </c>
      <c r="AI85" s="344">
        <f t="shared" si="197"/>
        <v>0</v>
      </c>
      <c r="AJ85" s="682">
        <f>SUM(AJ78:AJ84)</f>
        <v>0</v>
      </c>
      <c r="AK85" s="658">
        <f>SUM(AK78:AK84)</f>
        <v>2</v>
      </c>
      <c r="AL85" s="658">
        <f>SUM(AL78:AL84)</f>
        <v>19</v>
      </c>
      <c r="AM85" s="658">
        <f t="shared" ref="AM85" si="252">SUM(AM78:AM84)</f>
        <v>0</v>
      </c>
      <c r="AN85" s="658">
        <f t="shared" ref="AN85" si="253">SUM(AN78:AN84)</f>
        <v>0</v>
      </c>
      <c r="AO85" s="659">
        <f t="shared" ref="AO85" si="254">SUM(AO78:AO84)</f>
        <v>0</v>
      </c>
      <c r="AP85" s="338" t="str">
        <f t="shared" si="208"/>
        <v/>
      </c>
      <c r="AQ85" s="339">
        <f t="shared" si="198"/>
        <v>0.2</v>
      </c>
      <c r="AR85" s="339">
        <f t="shared" si="199"/>
        <v>0.22580645161290322</v>
      </c>
      <c r="AS85" s="339" t="str">
        <f t="shared" si="200"/>
        <v/>
      </c>
      <c r="AT85" s="339" t="str">
        <f t="shared" si="201"/>
        <v/>
      </c>
      <c r="AU85" s="344" t="str">
        <f t="shared" si="202"/>
        <v/>
      </c>
      <c r="AV85" s="682">
        <f>SUM(AV78:AV84)</f>
        <v>0</v>
      </c>
      <c r="AW85" s="658">
        <f>SUM(AW78:AW84)</f>
        <v>1</v>
      </c>
      <c r="AX85" s="658">
        <f>SUM(AX78:AX84)</f>
        <v>7</v>
      </c>
      <c r="AY85" s="658">
        <f t="shared" ref="AY85" si="255">SUM(AY78:AY84)</f>
        <v>0</v>
      </c>
      <c r="AZ85" s="658">
        <f t="shared" ref="AZ85" si="256">SUM(AZ78:AZ84)</f>
        <v>0</v>
      </c>
      <c r="BA85" s="659">
        <f t="shared" ref="BA85" si="257">SUM(BA78:BA84)</f>
        <v>0</v>
      </c>
      <c r="BB85" s="340" t="str">
        <f t="shared" si="209"/>
        <v/>
      </c>
      <c r="BC85" s="341">
        <f t="shared" si="203"/>
        <v>0</v>
      </c>
      <c r="BD85" s="341">
        <f t="shared" si="204"/>
        <v>0.7142857142857143</v>
      </c>
      <c r="BE85" s="341" t="str">
        <f t="shared" si="205"/>
        <v/>
      </c>
      <c r="BF85" s="341" t="str">
        <f t="shared" si="206"/>
        <v/>
      </c>
      <c r="BG85" s="345" t="str">
        <f t="shared" si="207"/>
        <v/>
      </c>
      <c r="BH85" s="682">
        <f>SUM(BH78:BH84)</f>
        <v>0</v>
      </c>
      <c r="BI85" s="658">
        <f>SUM(BI78:BI84)</f>
        <v>0</v>
      </c>
      <c r="BJ85" s="658">
        <f>SUM(BJ78:BJ84)</f>
        <v>5</v>
      </c>
      <c r="BK85" s="658">
        <f t="shared" ref="BK85" si="258">SUM(BK78:BK84)</f>
        <v>0</v>
      </c>
      <c r="BL85" s="658">
        <f t="shared" ref="BL85" si="259">SUM(BL78:BL84)</f>
        <v>0</v>
      </c>
      <c r="BM85" s="659">
        <f t="shared" ref="BM85" si="260">SUM(BM78:BM84)</f>
        <v>0</v>
      </c>
      <c r="BN85" s="354">
        <f t="shared" ref="BN85:BU85" si="261">SUM(BN78:BN84)</f>
        <v>0</v>
      </c>
      <c r="BO85" s="355">
        <f t="shared" si="261"/>
        <v>0</v>
      </c>
      <c r="BP85" s="354">
        <f t="shared" si="261"/>
        <v>0</v>
      </c>
      <c r="BQ85" s="355">
        <f t="shared" si="261"/>
        <v>0</v>
      </c>
      <c r="BR85" s="354">
        <f t="shared" si="261"/>
        <v>363</v>
      </c>
      <c r="BS85" s="355">
        <f t="shared" si="261"/>
        <v>271</v>
      </c>
      <c r="BT85" s="354">
        <f t="shared" si="261"/>
        <v>20</v>
      </c>
      <c r="BU85" s="356">
        <f t="shared" si="261"/>
        <v>16</v>
      </c>
      <c r="CC85" s="1">
        <f t="shared" si="210"/>
        <v>0</v>
      </c>
      <c r="CD85" s="1">
        <f t="shared" si="211"/>
        <v>0</v>
      </c>
      <c r="CE85" s="1">
        <f t="shared" si="212"/>
        <v>0</v>
      </c>
      <c r="CF85" s="1">
        <f t="shared" si="213"/>
        <v>0</v>
      </c>
      <c r="CG85" s="1">
        <f t="shared" si="214"/>
        <v>0</v>
      </c>
      <c r="CH85" s="1">
        <f t="shared" si="215"/>
        <v>0</v>
      </c>
    </row>
    <row r="86" spans="2:86" ht="15.75" customHeight="1">
      <c r="B86" s="980" t="s">
        <v>1</v>
      </c>
      <c r="C86" s="1036" t="s">
        <v>76</v>
      </c>
      <c r="D86" s="1026">
        <f>'2020'!D86</f>
        <v>12</v>
      </c>
      <c r="E86" s="1029">
        <f>'2021'!D86</f>
        <v>11</v>
      </c>
      <c r="F86" s="1029">
        <f>'2022'!D86</f>
        <v>10</v>
      </c>
      <c r="G86" s="1029">
        <f>'2023'!D86</f>
        <v>10</v>
      </c>
      <c r="H86" s="1029"/>
      <c r="I86" s="1023"/>
      <c r="J86" s="903" t="s">
        <v>27</v>
      </c>
      <c r="K86" s="424" t="str">
        <f t="shared" ref="K86:K94" si="262">IF(R86=0,"","X")</f>
        <v>X</v>
      </c>
      <c r="L86" s="424" t="str">
        <f t="shared" ref="L86:L94" si="263">IF(S86=0,"","X")</f>
        <v>X</v>
      </c>
      <c r="M86" s="424" t="str">
        <f t="shared" ref="M86:M94" si="264">IF(T86=0,"","X")</f>
        <v>X</v>
      </c>
      <c r="N86" s="424" t="str">
        <f t="shared" ref="N86:N94" si="265">IF(U86=0,"","X")</f>
        <v/>
      </c>
      <c r="O86" s="424" t="str">
        <f t="shared" ref="O86:O94" si="266">IF(V86=0,"","X")</f>
        <v/>
      </c>
      <c r="P86" s="425" t="str">
        <f t="shared" ref="P86:P94" si="267">IF(W86=0,"","X")</f>
        <v/>
      </c>
      <c r="Q86" s="246" t="s">
        <v>62</v>
      </c>
      <c r="R86" s="649">
        <f>'2020'!G86</f>
        <v>33</v>
      </c>
      <c r="S86" s="650">
        <f>'2021'!G86</f>
        <v>53</v>
      </c>
      <c r="T86" s="650">
        <f>'2022'!G86</f>
        <v>35</v>
      </c>
      <c r="U86" s="650">
        <f>'2023'!G86</f>
        <v>0</v>
      </c>
      <c r="V86" s="650">
        <f>'2024'!G86</f>
        <v>0</v>
      </c>
      <c r="W86" s="651">
        <f>'2025'!G86</f>
        <v>0</v>
      </c>
      <c r="X86" s="679">
        <f>'2020'!H86</f>
        <v>33</v>
      </c>
      <c r="Y86" s="650">
        <f>'2021'!H86</f>
        <v>38</v>
      </c>
      <c r="Z86" s="650">
        <f>'2022'!H86</f>
        <v>35</v>
      </c>
      <c r="AA86" s="650">
        <f>'2023'!H86</f>
        <v>0</v>
      </c>
      <c r="AB86" s="650">
        <f>'2024'!H86</f>
        <v>0</v>
      </c>
      <c r="AC86" s="651">
        <f>'2025'!H86</f>
        <v>0</v>
      </c>
      <c r="AD86" s="440">
        <f t="shared" si="192"/>
        <v>0.63636363636363635</v>
      </c>
      <c r="AE86" s="441">
        <f t="shared" si="193"/>
        <v>0.60377358490566035</v>
      </c>
      <c r="AF86" s="441">
        <f t="shared" si="248"/>
        <v>0.77142857142857146</v>
      </c>
      <c r="AG86" s="441">
        <f t="shared" si="195"/>
        <v>0</v>
      </c>
      <c r="AH86" s="441">
        <f t="shared" si="196"/>
        <v>0</v>
      </c>
      <c r="AI86" s="442">
        <f t="shared" si="197"/>
        <v>0</v>
      </c>
      <c r="AJ86" s="679">
        <f>'2020'!J86</f>
        <v>21</v>
      </c>
      <c r="AK86" s="650">
        <f>'2021'!J86</f>
        <v>32</v>
      </c>
      <c r="AL86" s="650">
        <f>'2022'!J86</f>
        <v>27</v>
      </c>
      <c r="AM86" s="650">
        <f>'2023'!J86</f>
        <v>0</v>
      </c>
      <c r="AN86" s="650">
        <f>'2024'!J86</f>
        <v>0</v>
      </c>
      <c r="AO86" s="651">
        <f>'2025'!J86</f>
        <v>0</v>
      </c>
      <c r="AP86" s="440">
        <f t="shared" si="208"/>
        <v>0.24242424242424243</v>
      </c>
      <c r="AQ86" s="441">
        <f t="shared" si="198"/>
        <v>0.22641509433962265</v>
      </c>
      <c r="AR86" s="441">
        <f t="shared" si="199"/>
        <v>0.4</v>
      </c>
      <c r="AS86" s="441" t="str">
        <f t="shared" si="200"/>
        <v/>
      </c>
      <c r="AT86" s="441" t="str">
        <f t="shared" si="201"/>
        <v/>
      </c>
      <c r="AU86" s="442" t="str">
        <f t="shared" si="202"/>
        <v/>
      </c>
      <c r="AV86" s="679">
        <f>'2020'!L86</f>
        <v>8</v>
      </c>
      <c r="AW86" s="650">
        <f>'2021'!L86</f>
        <v>12</v>
      </c>
      <c r="AX86" s="650">
        <f>'2022'!L86</f>
        <v>14</v>
      </c>
      <c r="AY86" s="650">
        <f>'2023'!L86</f>
        <v>0</v>
      </c>
      <c r="AZ86" s="650">
        <f>'2024'!L86</f>
        <v>0</v>
      </c>
      <c r="BA86" s="651">
        <f>'2025'!L86</f>
        <v>0</v>
      </c>
      <c r="BB86" s="440">
        <f t="shared" si="209"/>
        <v>0.875</v>
      </c>
      <c r="BC86" s="441">
        <f t="shared" si="203"/>
        <v>0.83333333333333337</v>
      </c>
      <c r="BD86" s="441">
        <f t="shared" si="204"/>
        <v>0.7142857142857143</v>
      </c>
      <c r="BE86" s="441" t="str">
        <f t="shared" si="205"/>
        <v/>
      </c>
      <c r="BF86" s="441" t="str">
        <f t="shared" si="206"/>
        <v/>
      </c>
      <c r="BG86" s="442" t="str">
        <f t="shared" si="207"/>
        <v/>
      </c>
      <c r="BH86" s="972">
        <f>'2020'!N86</f>
        <v>7</v>
      </c>
      <c r="BI86" s="973">
        <f>'2021'!N86</f>
        <v>10</v>
      </c>
      <c r="BJ86" s="973">
        <f>'2022'!N86</f>
        <v>10</v>
      </c>
      <c r="BK86" s="973">
        <f>'2023'!N86</f>
        <v>0</v>
      </c>
      <c r="BL86" s="973">
        <f>'2024'!N86</f>
        <v>0</v>
      </c>
      <c r="BM86" s="974">
        <f>'2025'!N86</f>
        <v>0</v>
      </c>
      <c r="BN86" s="443" t="s">
        <v>21</v>
      </c>
      <c r="BO86" s="444" t="s">
        <v>21</v>
      </c>
      <c r="BP86" s="443" t="s">
        <v>21</v>
      </c>
      <c r="BQ86" s="444" t="s">
        <v>21</v>
      </c>
      <c r="BR86" s="474">
        <v>51</v>
      </c>
      <c r="BS86" s="475">
        <v>36</v>
      </c>
      <c r="BT86" s="474">
        <v>2</v>
      </c>
      <c r="BU86" s="476">
        <v>2</v>
      </c>
      <c r="CC86" s="1" t="str">
        <f t="shared" si="210"/>
        <v>Frontière</v>
      </c>
      <c r="CD86" s="1" t="str">
        <f t="shared" si="211"/>
        <v>Frontière</v>
      </c>
      <c r="CE86" s="1" t="str">
        <f t="shared" si="212"/>
        <v>Frontière</v>
      </c>
      <c r="CF86" s="1" t="str">
        <f t="shared" si="213"/>
        <v/>
      </c>
      <c r="CG86" s="1" t="str">
        <f t="shared" si="214"/>
        <v/>
      </c>
      <c r="CH86" s="1" t="str">
        <f t="shared" si="215"/>
        <v/>
      </c>
    </row>
    <row r="87" spans="2:86" ht="15.75" customHeight="1">
      <c r="B87" s="981"/>
      <c r="C87" s="1037"/>
      <c r="D87" s="1027"/>
      <c r="E87" s="1030"/>
      <c r="F87" s="1030"/>
      <c r="G87" s="1030"/>
      <c r="H87" s="1030"/>
      <c r="I87" s="1024"/>
      <c r="J87" s="905" t="s">
        <v>28</v>
      </c>
      <c r="K87" s="426" t="str">
        <f t="shared" si="262"/>
        <v>X</v>
      </c>
      <c r="L87" s="426" t="str">
        <f t="shared" si="263"/>
        <v>X</v>
      </c>
      <c r="M87" s="426" t="str">
        <f t="shared" si="264"/>
        <v>X</v>
      </c>
      <c r="N87" s="426" t="str">
        <f t="shared" si="265"/>
        <v/>
      </c>
      <c r="O87" s="426" t="str">
        <f t="shared" si="266"/>
        <v/>
      </c>
      <c r="P87" s="427" t="str">
        <f t="shared" si="267"/>
        <v/>
      </c>
      <c r="Q87" s="251" t="s">
        <v>62</v>
      </c>
      <c r="R87" s="640">
        <f>'2020'!G87</f>
        <v>88</v>
      </c>
      <c r="S87" s="641">
        <f>'2021'!G87</f>
        <v>117</v>
      </c>
      <c r="T87" s="641">
        <f>'2022'!G87</f>
        <v>93</v>
      </c>
      <c r="U87" s="641">
        <f>'2023'!G87</f>
        <v>0</v>
      </c>
      <c r="V87" s="641">
        <f>'2024'!G87</f>
        <v>0</v>
      </c>
      <c r="W87" s="642">
        <f>'2025'!G87</f>
        <v>0</v>
      </c>
      <c r="X87" s="676">
        <f>'2020'!H87</f>
        <v>88</v>
      </c>
      <c r="Y87" s="641">
        <f>'2021'!H87</f>
        <v>86</v>
      </c>
      <c r="Z87" s="641">
        <f>'2022'!H87</f>
        <v>93</v>
      </c>
      <c r="AA87" s="641">
        <f>'2023'!H87</f>
        <v>0</v>
      </c>
      <c r="AB87" s="641">
        <f>'2024'!H87</f>
        <v>0</v>
      </c>
      <c r="AC87" s="642">
        <f>'2025'!H87</f>
        <v>0</v>
      </c>
      <c r="AD87" s="449">
        <f t="shared" si="192"/>
        <v>0.60227272727272729</v>
      </c>
      <c r="AE87" s="450">
        <f t="shared" si="193"/>
        <v>0.69230769230769229</v>
      </c>
      <c r="AF87" s="450">
        <f t="shared" si="248"/>
        <v>0.78494623655913975</v>
      </c>
      <c r="AG87" s="450">
        <f t="shared" si="195"/>
        <v>0</v>
      </c>
      <c r="AH87" s="450">
        <f t="shared" si="196"/>
        <v>0</v>
      </c>
      <c r="AI87" s="451">
        <f t="shared" si="197"/>
        <v>0</v>
      </c>
      <c r="AJ87" s="676">
        <f>'2020'!J87</f>
        <v>53</v>
      </c>
      <c r="AK87" s="641">
        <f>'2021'!J87</f>
        <v>81</v>
      </c>
      <c r="AL87" s="641">
        <f>'2022'!J87</f>
        <v>73</v>
      </c>
      <c r="AM87" s="641">
        <f>'2023'!J87</f>
        <v>0</v>
      </c>
      <c r="AN87" s="641">
        <f>'2024'!J87</f>
        <v>0</v>
      </c>
      <c r="AO87" s="642">
        <f>'2025'!J87</f>
        <v>0</v>
      </c>
      <c r="AP87" s="449">
        <f t="shared" si="208"/>
        <v>0.36363636363636365</v>
      </c>
      <c r="AQ87" s="450">
        <f t="shared" si="198"/>
        <v>0.40170940170940173</v>
      </c>
      <c r="AR87" s="450">
        <f t="shared" si="199"/>
        <v>0.37634408602150538</v>
      </c>
      <c r="AS87" s="450" t="str">
        <f t="shared" si="200"/>
        <v/>
      </c>
      <c r="AT87" s="450" t="str">
        <f t="shared" si="201"/>
        <v/>
      </c>
      <c r="AU87" s="451" t="str">
        <f t="shared" si="202"/>
        <v/>
      </c>
      <c r="AV87" s="676">
        <f>'2020'!L87</f>
        <v>32</v>
      </c>
      <c r="AW87" s="641">
        <f>'2021'!L87</f>
        <v>47</v>
      </c>
      <c r="AX87" s="641">
        <f>'2022'!L87</f>
        <v>35</v>
      </c>
      <c r="AY87" s="641">
        <f>'2023'!L87</f>
        <v>0</v>
      </c>
      <c r="AZ87" s="641">
        <f>'2024'!L87</f>
        <v>0</v>
      </c>
      <c r="BA87" s="642">
        <f>'2025'!L87</f>
        <v>0</v>
      </c>
      <c r="BB87" s="449">
        <f t="shared" si="209"/>
        <v>0.84375</v>
      </c>
      <c r="BC87" s="450">
        <f t="shared" si="203"/>
        <v>0.7021276595744681</v>
      </c>
      <c r="BD87" s="450">
        <f t="shared" si="204"/>
        <v>0.94285714285714284</v>
      </c>
      <c r="BE87" s="450" t="str">
        <f t="shared" si="205"/>
        <v/>
      </c>
      <c r="BF87" s="450" t="str">
        <f t="shared" si="206"/>
        <v/>
      </c>
      <c r="BG87" s="451" t="str">
        <f t="shared" si="207"/>
        <v/>
      </c>
      <c r="BH87" s="966">
        <f>'2020'!N87</f>
        <v>27</v>
      </c>
      <c r="BI87" s="967">
        <f>'2021'!N87</f>
        <v>33</v>
      </c>
      <c r="BJ87" s="967">
        <f>'2022'!N87</f>
        <v>33</v>
      </c>
      <c r="BK87" s="967">
        <f>'2023'!N87</f>
        <v>0</v>
      </c>
      <c r="BL87" s="967">
        <f>'2024'!N87</f>
        <v>0</v>
      </c>
      <c r="BM87" s="968">
        <f>'2025'!N87</f>
        <v>0</v>
      </c>
      <c r="BN87" s="452" t="s">
        <v>21</v>
      </c>
      <c r="BO87" s="453" t="s">
        <v>21</v>
      </c>
      <c r="BP87" s="452" t="s">
        <v>21</v>
      </c>
      <c r="BQ87" s="453" t="s">
        <v>21</v>
      </c>
      <c r="BR87" s="477">
        <v>112</v>
      </c>
      <c r="BS87" s="478">
        <v>82</v>
      </c>
      <c r="BT87" s="477">
        <v>5</v>
      </c>
      <c r="BU87" s="479">
        <v>4</v>
      </c>
      <c r="CC87" s="1" t="str">
        <f t="shared" si="210"/>
        <v>Frontière</v>
      </c>
      <c r="CD87" s="1" t="str">
        <f t="shared" si="211"/>
        <v>Frontière</v>
      </c>
      <c r="CE87" s="1" t="str">
        <f t="shared" si="212"/>
        <v>Frontière</v>
      </c>
      <c r="CF87" s="1" t="str">
        <f t="shared" si="213"/>
        <v/>
      </c>
      <c r="CG87" s="1" t="str">
        <f t="shared" si="214"/>
        <v/>
      </c>
      <c r="CH87" s="1" t="str">
        <f t="shared" si="215"/>
        <v/>
      </c>
    </row>
    <row r="88" spans="2:86" ht="15.75" customHeight="1">
      <c r="B88" s="981"/>
      <c r="C88" s="1037"/>
      <c r="D88" s="1027"/>
      <c r="E88" s="1030"/>
      <c r="F88" s="1030"/>
      <c r="G88" s="1030"/>
      <c r="H88" s="1030"/>
      <c r="I88" s="1024"/>
      <c r="J88" s="905" t="s">
        <v>29</v>
      </c>
      <c r="K88" s="426" t="str">
        <f t="shared" si="262"/>
        <v>X</v>
      </c>
      <c r="L88" s="426" t="str">
        <f t="shared" si="263"/>
        <v>X</v>
      </c>
      <c r="M88" s="426" t="str">
        <f t="shared" si="264"/>
        <v>X</v>
      </c>
      <c r="N88" s="426" t="str">
        <f t="shared" si="265"/>
        <v/>
      </c>
      <c r="O88" s="426" t="str">
        <f t="shared" si="266"/>
        <v/>
      </c>
      <c r="P88" s="427" t="str">
        <f t="shared" si="267"/>
        <v/>
      </c>
      <c r="Q88" s="251" t="s">
        <v>62</v>
      </c>
      <c r="R88" s="640">
        <f>'2020'!G88</f>
        <v>14</v>
      </c>
      <c r="S88" s="641">
        <f>'2021'!G88</f>
        <v>22</v>
      </c>
      <c r="T88" s="641">
        <f>'2022'!G88</f>
        <v>25</v>
      </c>
      <c r="U88" s="641">
        <f>'2023'!G88</f>
        <v>0</v>
      </c>
      <c r="V88" s="641">
        <f>'2024'!G88</f>
        <v>0</v>
      </c>
      <c r="W88" s="642">
        <f>'2025'!G88</f>
        <v>0</v>
      </c>
      <c r="X88" s="676">
        <f>'2020'!H88</f>
        <v>14</v>
      </c>
      <c r="Y88" s="641">
        <f>'2021'!H88</f>
        <v>20</v>
      </c>
      <c r="Z88" s="641">
        <f>'2022'!H88</f>
        <v>25</v>
      </c>
      <c r="AA88" s="641">
        <f>'2023'!H88</f>
        <v>0</v>
      </c>
      <c r="AB88" s="641">
        <f>'2024'!H88</f>
        <v>0</v>
      </c>
      <c r="AC88" s="642">
        <f>'2025'!H88</f>
        <v>0</v>
      </c>
      <c r="AD88" s="449">
        <f t="shared" si="192"/>
        <v>0.6428571428571429</v>
      </c>
      <c r="AE88" s="450">
        <f t="shared" si="193"/>
        <v>0.72727272727272729</v>
      </c>
      <c r="AF88" s="450">
        <f t="shared" si="248"/>
        <v>0.76</v>
      </c>
      <c r="AG88" s="450">
        <f t="shared" si="195"/>
        <v>0</v>
      </c>
      <c r="AH88" s="450">
        <f t="shared" si="196"/>
        <v>0</v>
      </c>
      <c r="AI88" s="451">
        <f t="shared" si="197"/>
        <v>0</v>
      </c>
      <c r="AJ88" s="676">
        <f>'2020'!J88</f>
        <v>9</v>
      </c>
      <c r="AK88" s="641">
        <f>'2021'!J88</f>
        <v>16</v>
      </c>
      <c r="AL88" s="641">
        <f>'2022'!J88</f>
        <v>19</v>
      </c>
      <c r="AM88" s="641">
        <f>'2023'!J88</f>
        <v>0</v>
      </c>
      <c r="AN88" s="641">
        <f>'2024'!J88</f>
        <v>0</v>
      </c>
      <c r="AO88" s="642">
        <f>'2025'!J88</f>
        <v>0</v>
      </c>
      <c r="AP88" s="449">
        <f t="shared" si="208"/>
        <v>0.5</v>
      </c>
      <c r="AQ88" s="450">
        <f t="shared" si="198"/>
        <v>0.54545454545454541</v>
      </c>
      <c r="AR88" s="450">
        <f t="shared" si="199"/>
        <v>0.44</v>
      </c>
      <c r="AS88" s="450" t="str">
        <f t="shared" si="200"/>
        <v/>
      </c>
      <c r="AT88" s="450" t="str">
        <f t="shared" si="201"/>
        <v/>
      </c>
      <c r="AU88" s="451" t="str">
        <f t="shared" si="202"/>
        <v/>
      </c>
      <c r="AV88" s="676">
        <f>'2020'!L88</f>
        <v>7</v>
      </c>
      <c r="AW88" s="641">
        <f>'2021'!L88</f>
        <v>12</v>
      </c>
      <c r="AX88" s="641">
        <f>'2022'!L88</f>
        <v>11</v>
      </c>
      <c r="AY88" s="641">
        <f>'2023'!L88</f>
        <v>0</v>
      </c>
      <c r="AZ88" s="641">
        <f>'2024'!L88</f>
        <v>0</v>
      </c>
      <c r="BA88" s="642">
        <f>'2025'!L88</f>
        <v>0</v>
      </c>
      <c r="BB88" s="449">
        <f t="shared" si="209"/>
        <v>0.5714285714285714</v>
      </c>
      <c r="BC88" s="450">
        <f t="shared" si="203"/>
        <v>0.75</v>
      </c>
      <c r="BD88" s="450">
        <f t="shared" si="204"/>
        <v>0.81818181818181823</v>
      </c>
      <c r="BE88" s="450" t="str">
        <f t="shared" si="205"/>
        <v/>
      </c>
      <c r="BF88" s="450" t="str">
        <f t="shared" si="206"/>
        <v/>
      </c>
      <c r="BG88" s="451" t="str">
        <f t="shared" si="207"/>
        <v/>
      </c>
      <c r="BH88" s="966">
        <f>'2020'!N88</f>
        <v>4</v>
      </c>
      <c r="BI88" s="967">
        <f>'2021'!N88</f>
        <v>9</v>
      </c>
      <c r="BJ88" s="967">
        <f>'2022'!N88</f>
        <v>9</v>
      </c>
      <c r="BK88" s="967">
        <f>'2023'!N88</f>
        <v>0</v>
      </c>
      <c r="BL88" s="967">
        <f>'2024'!N88</f>
        <v>0</v>
      </c>
      <c r="BM88" s="968">
        <f>'2025'!N88</f>
        <v>0</v>
      </c>
      <c r="BN88" s="452" t="s">
        <v>21</v>
      </c>
      <c r="BO88" s="453" t="s">
        <v>21</v>
      </c>
      <c r="BP88" s="452" t="s">
        <v>21</v>
      </c>
      <c r="BQ88" s="453" t="s">
        <v>21</v>
      </c>
      <c r="BR88" s="477">
        <v>22</v>
      </c>
      <c r="BS88" s="478">
        <v>20</v>
      </c>
      <c r="BT88" s="477">
        <v>0</v>
      </c>
      <c r="BU88" s="479">
        <v>0</v>
      </c>
      <c r="CC88" s="1" t="str">
        <f t="shared" si="210"/>
        <v>Frontière</v>
      </c>
      <c r="CD88" s="1" t="str">
        <f t="shared" si="211"/>
        <v>Frontière</v>
      </c>
      <c r="CE88" s="1" t="str">
        <f t="shared" si="212"/>
        <v>Frontière</v>
      </c>
      <c r="CF88" s="1" t="str">
        <f t="shared" si="213"/>
        <v/>
      </c>
      <c r="CG88" s="1" t="str">
        <f t="shared" si="214"/>
        <v/>
      </c>
      <c r="CH88" s="1" t="str">
        <f t="shared" si="215"/>
        <v/>
      </c>
    </row>
    <row r="89" spans="2:86" ht="15.75" customHeight="1">
      <c r="B89" s="981"/>
      <c r="C89" s="1037"/>
      <c r="D89" s="1027"/>
      <c r="E89" s="1030"/>
      <c r="F89" s="1030"/>
      <c r="G89" s="1030"/>
      <c r="H89" s="1030"/>
      <c r="I89" s="1024"/>
      <c r="J89" s="905" t="s">
        <v>30</v>
      </c>
      <c r="K89" s="426" t="str">
        <f t="shared" si="262"/>
        <v>X</v>
      </c>
      <c r="L89" s="426" t="str">
        <f t="shared" si="263"/>
        <v>X</v>
      </c>
      <c r="M89" s="426" t="str">
        <f t="shared" si="264"/>
        <v>X</v>
      </c>
      <c r="N89" s="426" t="str">
        <f t="shared" si="265"/>
        <v/>
      </c>
      <c r="O89" s="426" t="str">
        <f t="shared" si="266"/>
        <v/>
      </c>
      <c r="P89" s="427" t="str">
        <f t="shared" si="267"/>
        <v/>
      </c>
      <c r="Q89" s="251" t="s">
        <v>62</v>
      </c>
      <c r="R89" s="640">
        <f>'2020'!G89</f>
        <v>23</v>
      </c>
      <c r="S89" s="641">
        <f>'2021'!G89</f>
        <v>49</v>
      </c>
      <c r="T89" s="641">
        <f>'2022'!G89</f>
        <v>37</v>
      </c>
      <c r="U89" s="641">
        <f>'2023'!G89</f>
        <v>0</v>
      </c>
      <c r="V89" s="641">
        <f>'2024'!G89</f>
        <v>0</v>
      </c>
      <c r="W89" s="642">
        <f>'2025'!G89</f>
        <v>0</v>
      </c>
      <c r="X89" s="676">
        <f>'2020'!H89</f>
        <v>23</v>
      </c>
      <c r="Y89" s="641">
        <f>'2021'!H89</f>
        <v>33</v>
      </c>
      <c r="Z89" s="641">
        <f>'2022'!H89</f>
        <v>37</v>
      </c>
      <c r="AA89" s="641">
        <f>'2023'!H89</f>
        <v>0</v>
      </c>
      <c r="AB89" s="641">
        <f>'2024'!H89</f>
        <v>0</v>
      </c>
      <c r="AC89" s="642">
        <f>'2025'!H89</f>
        <v>0</v>
      </c>
      <c r="AD89" s="449">
        <f t="shared" si="192"/>
        <v>0.65217391304347827</v>
      </c>
      <c r="AE89" s="450">
        <f t="shared" si="193"/>
        <v>0.7142857142857143</v>
      </c>
      <c r="AF89" s="450">
        <f t="shared" si="248"/>
        <v>0.64864864864864868</v>
      </c>
      <c r="AG89" s="450">
        <f t="shared" si="195"/>
        <v>0</v>
      </c>
      <c r="AH89" s="450">
        <f t="shared" si="196"/>
        <v>0</v>
      </c>
      <c r="AI89" s="451">
        <f t="shared" si="197"/>
        <v>0</v>
      </c>
      <c r="AJ89" s="676">
        <f>'2020'!J89</f>
        <v>15</v>
      </c>
      <c r="AK89" s="641">
        <f>'2021'!J89</f>
        <v>35</v>
      </c>
      <c r="AL89" s="641">
        <f>'2022'!J89</f>
        <v>24</v>
      </c>
      <c r="AM89" s="641">
        <f>'2023'!J89</f>
        <v>0</v>
      </c>
      <c r="AN89" s="641">
        <f>'2024'!J89</f>
        <v>0</v>
      </c>
      <c r="AO89" s="642">
        <f>'2025'!J89</f>
        <v>0</v>
      </c>
      <c r="AP89" s="449">
        <f t="shared" si="208"/>
        <v>0.47826086956521741</v>
      </c>
      <c r="AQ89" s="450">
        <f t="shared" si="198"/>
        <v>0.40816326530612246</v>
      </c>
      <c r="AR89" s="450">
        <f t="shared" si="199"/>
        <v>0.40540540540540543</v>
      </c>
      <c r="AS89" s="450" t="str">
        <f t="shared" si="200"/>
        <v/>
      </c>
      <c r="AT89" s="450" t="str">
        <f t="shared" si="201"/>
        <v/>
      </c>
      <c r="AU89" s="451" t="str">
        <f t="shared" si="202"/>
        <v/>
      </c>
      <c r="AV89" s="676">
        <f>'2020'!L89</f>
        <v>11</v>
      </c>
      <c r="AW89" s="641">
        <f>'2021'!L89</f>
        <v>20</v>
      </c>
      <c r="AX89" s="641">
        <f>'2022'!L89</f>
        <v>15</v>
      </c>
      <c r="AY89" s="641">
        <f>'2023'!L89</f>
        <v>0</v>
      </c>
      <c r="AZ89" s="641">
        <f>'2024'!L89</f>
        <v>0</v>
      </c>
      <c r="BA89" s="642">
        <f>'2025'!L89</f>
        <v>0</v>
      </c>
      <c r="BB89" s="449">
        <f t="shared" si="209"/>
        <v>0.72727272727272729</v>
      </c>
      <c r="BC89" s="450">
        <f t="shared" si="203"/>
        <v>0.85</v>
      </c>
      <c r="BD89" s="450">
        <f t="shared" si="204"/>
        <v>0.73333333333333328</v>
      </c>
      <c r="BE89" s="450" t="str">
        <f t="shared" si="205"/>
        <v/>
      </c>
      <c r="BF89" s="450" t="str">
        <f t="shared" si="206"/>
        <v/>
      </c>
      <c r="BG89" s="451" t="str">
        <f t="shared" si="207"/>
        <v/>
      </c>
      <c r="BH89" s="966">
        <f>'2020'!N89</f>
        <v>8</v>
      </c>
      <c r="BI89" s="967">
        <f>'2021'!N89</f>
        <v>17</v>
      </c>
      <c r="BJ89" s="967">
        <f>'2022'!N89</f>
        <v>11</v>
      </c>
      <c r="BK89" s="967">
        <f>'2023'!N89</f>
        <v>0</v>
      </c>
      <c r="BL89" s="967">
        <f>'2024'!N89</f>
        <v>0</v>
      </c>
      <c r="BM89" s="968">
        <f>'2025'!N89</f>
        <v>0</v>
      </c>
      <c r="BN89" s="452" t="s">
        <v>21</v>
      </c>
      <c r="BO89" s="453" t="s">
        <v>21</v>
      </c>
      <c r="BP89" s="452" t="s">
        <v>21</v>
      </c>
      <c r="BQ89" s="453" t="s">
        <v>21</v>
      </c>
      <c r="BR89" s="477">
        <v>46</v>
      </c>
      <c r="BS89" s="478">
        <v>31</v>
      </c>
      <c r="BT89" s="477">
        <v>3</v>
      </c>
      <c r="BU89" s="479">
        <v>2</v>
      </c>
      <c r="CC89" s="1" t="str">
        <f t="shared" si="210"/>
        <v>Frontière</v>
      </c>
      <c r="CD89" s="1" t="str">
        <f t="shared" si="211"/>
        <v>Frontière</v>
      </c>
      <c r="CE89" s="1" t="str">
        <f t="shared" si="212"/>
        <v>Frontière</v>
      </c>
      <c r="CF89" s="1" t="str">
        <f t="shared" si="213"/>
        <v/>
      </c>
      <c r="CG89" s="1" t="str">
        <f t="shared" si="214"/>
        <v/>
      </c>
      <c r="CH89" s="1" t="str">
        <f t="shared" si="215"/>
        <v/>
      </c>
    </row>
    <row r="90" spans="2:86" ht="15.75" customHeight="1">
      <c r="B90" s="981"/>
      <c r="C90" s="1037"/>
      <c r="D90" s="1027"/>
      <c r="E90" s="1030"/>
      <c r="F90" s="1030"/>
      <c r="G90" s="1030"/>
      <c r="H90" s="1030"/>
      <c r="I90" s="1024"/>
      <c r="J90" s="905" t="s">
        <v>175</v>
      </c>
      <c r="K90" s="426" t="str">
        <f t="shared" si="262"/>
        <v/>
      </c>
      <c r="L90" s="426" t="str">
        <f t="shared" si="263"/>
        <v/>
      </c>
      <c r="M90" s="426" t="str">
        <f t="shared" si="264"/>
        <v>X</v>
      </c>
      <c r="N90" s="426" t="str">
        <f t="shared" si="265"/>
        <v/>
      </c>
      <c r="O90" s="426" t="str">
        <f t="shared" si="266"/>
        <v/>
      </c>
      <c r="P90" s="427" t="str">
        <f t="shared" si="267"/>
        <v/>
      </c>
      <c r="Q90" s="251" t="s">
        <v>62</v>
      </c>
      <c r="R90" s="640">
        <f>'2020'!G90</f>
        <v>0</v>
      </c>
      <c r="S90" s="641">
        <f>'2021'!G90</f>
        <v>0</v>
      </c>
      <c r="T90" s="641">
        <f>'2022'!G90</f>
        <v>11</v>
      </c>
      <c r="U90" s="641">
        <f>'2023'!G90</f>
        <v>0</v>
      </c>
      <c r="V90" s="641">
        <f>'2024'!G90</f>
        <v>0</v>
      </c>
      <c r="W90" s="642">
        <f>'2025'!G90</f>
        <v>0</v>
      </c>
      <c r="X90" s="676">
        <f>'2020'!H90</f>
        <v>0</v>
      </c>
      <c r="Y90" s="641">
        <f>'2021'!H90</f>
        <v>0</v>
      </c>
      <c r="Z90" s="641">
        <f>'2022'!H90</f>
        <v>11</v>
      </c>
      <c r="AA90" s="641">
        <f>'2023'!H90</f>
        <v>0</v>
      </c>
      <c r="AB90" s="641">
        <f>'2024'!H90</f>
        <v>0</v>
      </c>
      <c r="AC90" s="642">
        <f>'2025'!H90</f>
        <v>0</v>
      </c>
      <c r="AD90" s="449">
        <f t="shared" si="192"/>
        <v>0</v>
      </c>
      <c r="AE90" s="450">
        <f t="shared" si="193"/>
        <v>0</v>
      </c>
      <c r="AF90" s="450">
        <f t="shared" si="248"/>
        <v>0.81818181818181823</v>
      </c>
      <c r="AG90" s="450">
        <f t="shared" si="195"/>
        <v>0</v>
      </c>
      <c r="AH90" s="450">
        <f t="shared" si="196"/>
        <v>0</v>
      </c>
      <c r="AI90" s="451">
        <f t="shared" si="197"/>
        <v>0</v>
      </c>
      <c r="AJ90" s="676">
        <f>'2020'!J90</f>
        <v>0</v>
      </c>
      <c r="AK90" s="641">
        <f>'2021'!J90</f>
        <v>0</v>
      </c>
      <c r="AL90" s="641">
        <f>'2022'!J90</f>
        <v>9</v>
      </c>
      <c r="AM90" s="641">
        <f>'2023'!J90</f>
        <v>0</v>
      </c>
      <c r="AN90" s="641">
        <f>'2024'!J90</f>
        <v>0</v>
      </c>
      <c r="AO90" s="642">
        <f>'2025'!J90</f>
        <v>0</v>
      </c>
      <c r="AP90" s="449" t="str">
        <f t="shared" si="208"/>
        <v/>
      </c>
      <c r="AQ90" s="450" t="str">
        <f t="shared" si="198"/>
        <v/>
      </c>
      <c r="AR90" s="450">
        <f t="shared" si="199"/>
        <v>0.36363636363636365</v>
      </c>
      <c r="AS90" s="450" t="str">
        <f t="shared" si="200"/>
        <v/>
      </c>
      <c r="AT90" s="450" t="str">
        <f t="shared" si="201"/>
        <v/>
      </c>
      <c r="AU90" s="451" t="str">
        <f t="shared" si="202"/>
        <v/>
      </c>
      <c r="AV90" s="676">
        <f>'2020'!L90</f>
        <v>0</v>
      </c>
      <c r="AW90" s="641">
        <f>'2021'!L90</f>
        <v>0</v>
      </c>
      <c r="AX90" s="641">
        <f>'2022'!L90</f>
        <v>4</v>
      </c>
      <c r="AY90" s="641">
        <f>'2023'!L90</f>
        <v>0</v>
      </c>
      <c r="AZ90" s="641">
        <f>'2024'!L90</f>
        <v>0</v>
      </c>
      <c r="BA90" s="642">
        <f>'2025'!L90</f>
        <v>0</v>
      </c>
      <c r="BB90" s="449" t="str">
        <f t="shared" si="209"/>
        <v/>
      </c>
      <c r="BC90" s="450" t="str">
        <f t="shared" si="203"/>
        <v/>
      </c>
      <c r="BD90" s="450">
        <f t="shared" si="204"/>
        <v>1</v>
      </c>
      <c r="BE90" s="450" t="str">
        <f t="shared" si="205"/>
        <v/>
      </c>
      <c r="BF90" s="450" t="str">
        <f t="shared" si="206"/>
        <v/>
      </c>
      <c r="BG90" s="451" t="str">
        <f t="shared" si="207"/>
        <v/>
      </c>
      <c r="BH90" s="966">
        <f>'2020'!N90</f>
        <v>0</v>
      </c>
      <c r="BI90" s="967">
        <f>'2021'!N90</f>
        <v>0</v>
      </c>
      <c r="BJ90" s="967">
        <f>'2022'!N90</f>
        <v>4</v>
      </c>
      <c r="BK90" s="967">
        <f>'2023'!N90</f>
        <v>0</v>
      </c>
      <c r="BL90" s="967">
        <f>'2024'!N90</f>
        <v>0</v>
      </c>
      <c r="BM90" s="968">
        <f>'2025'!N90</f>
        <v>0</v>
      </c>
      <c r="BN90" s="452"/>
      <c r="BO90" s="453"/>
      <c r="BP90" s="452"/>
      <c r="BQ90" s="453"/>
      <c r="BR90" s="477"/>
      <c r="BS90" s="478"/>
      <c r="BT90" s="477"/>
      <c r="BU90" s="479"/>
      <c r="CC90" s="1" t="str">
        <f t="shared" si="210"/>
        <v/>
      </c>
      <c r="CD90" s="1" t="str">
        <f t="shared" si="211"/>
        <v/>
      </c>
      <c r="CE90" s="1" t="str">
        <f t="shared" si="212"/>
        <v>Frontière</v>
      </c>
      <c r="CF90" s="1" t="str">
        <f t="shared" si="213"/>
        <v/>
      </c>
      <c r="CG90" s="1" t="str">
        <f t="shared" si="214"/>
        <v/>
      </c>
      <c r="CH90" s="1" t="str">
        <f t="shared" si="215"/>
        <v/>
      </c>
    </row>
    <row r="91" spans="2:86" ht="15.75" customHeight="1">
      <c r="B91" s="981"/>
      <c r="C91" s="1037"/>
      <c r="D91" s="1027"/>
      <c r="E91" s="1030"/>
      <c r="F91" s="1030"/>
      <c r="G91" s="1030"/>
      <c r="H91" s="1030"/>
      <c r="I91" s="1024"/>
      <c r="J91" s="905" t="s">
        <v>166</v>
      </c>
      <c r="K91" s="426" t="str">
        <f t="shared" si="262"/>
        <v/>
      </c>
      <c r="L91" s="426" t="str">
        <f t="shared" si="263"/>
        <v/>
      </c>
      <c r="M91" s="426" t="str">
        <f t="shared" si="264"/>
        <v/>
      </c>
      <c r="N91" s="426" t="str">
        <f t="shared" si="265"/>
        <v/>
      </c>
      <c r="O91" s="426" t="str">
        <f t="shared" si="266"/>
        <v/>
      </c>
      <c r="P91" s="427" t="str">
        <f t="shared" si="267"/>
        <v/>
      </c>
      <c r="Q91" s="251" t="s">
        <v>203</v>
      </c>
      <c r="R91" s="640">
        <f>'2020'!G91</f>
        <v>0</v>
      </c>
      <c r="S91" s="641">
        <f>'2021'!G91</f>
        <v>0</v>
      </c>
      <c r="T91" s="641">
        <f>'2022'!G91</f>
        <v>0</v>
      </c>
      <c r="U91" s="641">
        <f>'2023'!G91</f>
        <v>0</v>
      </c>
      <c r="V91" s="641">
        <f>'2024'!G91</f>
        <v>0</v>
      </c>
      <c r="W91" s="642">
        <f>'2025'!G91</f>
        <v>0</v>
      </c>
      <c r="X91" s="676">
        <f>'2020'!H91</f>
        <v>0</v>
      </c>
      <c r="Y91" s="641">
        <f>'2021'!H91</f>
        <v>0</v>
      </c>
      <c r="Z91" s="641">
        <f>'2022'!H91</f>
        <v>0</v>
      </c>
      <c r="AA91" s="641">
        <f>'2023'!H91</f>
        <v>0</v>
      </c>
      <c r="AB91" s="641">
        <f>'2024'!H91</f>
        <v>0</v>
      </c>
      <c r="AC91" s="642">
        <f>'2025'!H91</f>
        <v>0</v>
      </c>
      <c r="AD91" s="449">
        <f t="shared" si="192"/>
        <v>0</v>
      </c>
      <c r="AE91" s="450">
        <f t="shared" si="193"/>
        <v>0</v>
      </c>
      <c r="AF91" s="450">
        <f t="shared" si="248"/>
        <v>0</v>
      </c>
      <c r="AG91" s="450">
        <f t="shared" si="195"/>
        <v>0</v>
      </c>
      <c r="AH91" s="450">
        <f t="shared" si="196"/>
        <v>0</v>
      </c>
      <c r="AI91" s="451">
        <f t="shared" si="197"/>
        <v>0</v>
      </c>
      <c r="AJ91" s="676">
        <f>'2020'!J91</f>
        <v>0</v>
      </c>
      <c r="AK91" s="641">
        <f>'2021'!J91</f>
        <v>0</v>
      </c>
      <c r="AL91" s="641">
        <f>'2022'!J91</f>
        <v>0</v>
      </c>
      <c r="AM91" s="641">
        <f>'2023'!J91</f>
        <v>0</v>
      </c>
      <c r="AN91" s="641">
        <f>'2024'!J91</f>
        <v>0</v>
      </c>
      <c r="AO91" s="642">
        <f>'2025'!J91</f>
        <v>0</v>
      </c>
      <c r="AP91" s="449" t="str">
        <f t="shared" si="208"/>
        <v/>
      </c>
      <c r="AQ91" s="450" t="str">
        <f t="shared" si="198"/>
        <v/>
      </c>
      <c r="AR91" s="450" t="str">
        <f t="shared" si="199"/>
        <v/>
      </c>
      <c r="AS91" s="450" t="str">
        <f t="shared" si="200"/>
        <v/>
      </c>
      <c r="AT91" s="450" t="str">
        <f t="shared" si="201"/>
        <v/>
      </c>
      <c r="AU91" s="451" t="str">
        <f t="shared" si="202"/>
        <v/>
      </c>
      <c r="AV91" s="676">
        <f>'2020'!L91</f>
        <v>0</v>
      </c>
      <c r="AW91" s="641">
        <f>'2021'!L91</f>
        <v>0</v>
      </c>
      <c r="AX91" s="641">
        <f>'2022'!L91</f>
        <v>0</v>
      </c>
      <c r="AY91" s="641">
        <f>'2023'!L91</f>
        <v>0</v>
      </c>
      <c r="AZ91" s="641">
        <f>'2024'!L91</f>
        <v>0</v>
      </c>
      <c r="BA91" s="642">
        <f>'2025'!L91</f>
        <v>0</v>
      </c>
      <c r="BB91" s="449" t="str">
        <f t="shared" si="209"/>
        <v/>
      </c>
      <c r="BC91" s="450" t="str">
        <f t="shared" si="203"/>
        <v/>
      </c>
      <c r="BD91" s="450" t="str">
        <f t="shared" si="204"/>
        <v/>
      </c>
      <c r="BE91" s="450" t="str">
        <f t="shared" si="205"/>
        <v/>
      </c>
      <c r="BF91" s="450" t="str">
        <f t="shared" si="206"/>
        <v/>
      </c>
      <c r="BG91" s="451" t="str">
        <f t="shared" si="207"/>
        <v/>
      </c>
      <c r="BH91" s="966">
        <f>'2020'!N91</f>
        <v>0</v>
      </c>
      <c r="BI91" s="967">
        <f>'2021'!N91</f>
        <v>0</v>
      </c>
      <c r="BJ91" s="967">
        <f>'2022'!N91</f>
        <v>0</v>
      </c>
      <c r="BK91" s="967">
        <f>'2023'!N91</f>
        <v>0</v>
      </c>
      <c r="BL91" s="967">
        <f>'2024'!N91</f>
        <v>0</v>
      </c>
      <c r="BM91" s="968">
        <f>'2025'!N91</f>
        <v>0</v>
      </c>
      <c r="BN91" s="452"/>
      <c r="BO91" s="453"/>
      <c r="BP91" s="452"/>
      <c r="BQ91" s="453"/>
      <c r="BR91" s="477"/>
      <c r="BS91" s="478"/>
      <c r="BT91" s="477"/>
      <c r="BU91" s="479"/>
      <c r="CC91" s="1" t="str">
        <f t="shared" si="210"/>
        <v/>
      </c>
      <c r="CD91" s="1" t="str">
        <f t="shared" si="211"/>
        <v/>
      </c>
      <c r="CE91" s="1" t="str">
        <f t="shared" si="212"/>
        <v/>
      </c>
      <c r="CF91" s="1" t="str">
        <f t="shared" si="213"/>
        <v/>
      </c>
      <c r="CG91" s="1" t="str">
        <f t="shared" si="214"/>
        <v/>
      </c>
      <c r="CH91" s="1" t="str">
        <f t="shared" si="215"/>
        <v/>
      </c>
    </row>
    <row r="92" spans="2:86" ht="15.75" customHeight="1">
      <c r="B92" s="981"/>
      <c r="C92" s="1037"/>
      <c r="D92" s="1027"/>
      <c r="E92" s="1030"/>
      <c r="F92" s="1030"/>
      <c r="G92" s="1030"/>
      <c r="H92" s="1030"/>
      <c r="I92" s="1024"/>
      <c r="J92" s="905" t="s">
        <v>166</v>
      </c>
      <c r="K92" s="633" t="str">
        <f t="shared" si="262"/>
        <v/>
      </c>
      <c r="L92" s="633" t="str">
        <f t="shared" si="263"/>
        <v/>
      </c>
      <c r="M92" s="633" t="str">
        <f t="shared" si="264"/>
        <v/>
      </c>
      <c r="N92" s="633" t="str">
        <f t="shared" si="265"/>
        <v/>
      </c>
      <c r="O92" s="633" t="str">
        <f t="shared" si="266"/>
        <v/>
      </c>
      <c r="P92" s="634" t="str">
        <f t="shared" si="267"/>
        <v/>
      </c>
      <c r="Q92" s="435"/>
      <c r="R92" s="640">
        <f>'2020'!G92</f>
        <v>0</v>
      </c>
      <c r="S92" s="641">
        <f>'2021'!G92</f>
        <v>0</v>
      </c>
      <c r="T92" s="641">
        <f>'2022'!G92</f>
        <v>0</v>
      </c>
      <c r="U92" s="641">
        <f>'2023'!G92</f>
        <v>0</v>
      </c>
      <c r="V92" s="641">
        <f>'2024'!G92</f>
        <v>0</v>
      </c>
      <c r="W92" s="642">
        <f>'2025'!G92</f>
        <v>0</v>
      </c>
      <c r="X92" s="676">
        <f>'2020'!H92</f>
        <v>0</v>
      </c>
      <c r="Y92" s="641">
        <f>'2021'!H92</f>
        <v>0</v>
      </c>
      <c r="Z92" s="641">
        <f>'2022'!H92</f>
        <v>0</v>
      </c>
      <c r="AA92" s="641">
        <f>'2023'!H92</f>
        <v>0</v>
      </c>
      <c r="AB92" s="641">
        <f>'2024'!H92</f>
        <v>0</v>
      </c>
      <c r="AC92" s="642">
        <f>'2025'!H92</f>
        <v>0</v>
      </c>
      <c r="AD92" s="449">
        <f t="shared" si="192"/>
        <v>0</v>
      </c>
      <c r="AE92" s="450">
        <f t="shared" si="193"/>
        <v>0</v>
      </c>
      <c r="AF92" s="450">
        <f t="shared" si="248"/>
        <v>0</v>
      </c>
      <c r="AG92" s="450">
        <f t="shared" si="195"/>
        <v>0</v>
      </c>
      <c r="AH92" s="450">
        <f t="shared" si="196"/>
        <v>0</v>
      </c>
      <c r="AI92" s="451">
        <f t="shared" si="197"/>
        <v>0</v>
      </c>
      <c r="AJ92" s="676">
        <f>'2020'!J92</f>
        <v>0</v>
      </c>
      <c r="AK92" s="641">
        <f>'2021'!J92</f>
        <v>0</v>
      </c>
      <c r="AL92" s="641">
        <f>'2022'!J92</f>
        <v>0</v>
      </c>
      <c r="AM92" s="641">
        <f>'2023'!J92</f>
        <v>0</v>
      </c>
      <c r="AN92" s="641">
        <f>'2024'!J92</f>
        <v>0</v>
      </c>
      <c r="AO92" s="642">
        <f>'2025'!J92</f>
        <v>0</v>
      </c>
      <c r="AP92" s="449" t="str">
        <f t="shared" si="208"/>
        <v/>
      </c>
      <c r="AQ92" s="450" t="str">
        <f t="shared" si="198"/>
        <v/>
      </c>
      <c r="AR92" s="450" t="str">
        <f t="shared" si="199"/>
        <v/>
      </c>
      <c r="AS92" s="450" t="str">
        <f t="shared" si="200"/>
        <v/>
      </c>
      <c r="AT92" s="450" t="str">
        <f t="shared" si="201"/>
        <v/>
      </c>
      <c r="AU92" s="451" t="str">
        <f t="shared" si="202"/>
        <v/>
      </c>
      <c r="AV92" s="676">
        <f>'2020'!L92</f>
        <v>0</v>
      </c>
      <c r="AW92" s="641">
        <f>'2021'!L92</f>
        <v>0</v>
      </c>
      <c r="AX92" s="641">
        <f>'2022'!L92</f>
        <v>0</v>
      </c>
      <c r="AY92" s="641">
        <f>'2023'!L92</f>
        <v>0</v>
      </c>
      <c r="AZ92" s="641">
        <f>'2024'!L92</f>
        <v>0</v>
      </c>
      <c r="BA92" s="642">
        <f>'2025'!L92</f>
        <v>0</v>
      </c>
      <c r="BB92" s="449" t="str">
        <f t="shared" si="209"/>
        <v/>
      </c>
      <c r="BC92" s="450" t="str">
        <f t="shared" si="203"/>
        <v/>
      </c>
      <c r="BD92" s="450" t="str">
        <f t="shared" si="204"/>
        <v/>
      </c>
      <c r="BE92" s="450" t="str">
        <f t="shared" si="205"/>
        <v/>
      </c>
      <c r="BF92" s="450" t="str">
        <f t="shared" si="206"/>
        <v/>
      </c>
      <c r="BG92" s="451" t="str">
        <f t="shared" si="207"/>
        <v/>
      </c>
      <c r="BH92" s="966">
        <f>'2020'!N92</f>
        <v>0</v>
      </c>
      <c r="BI92" s="967">
        <f>'2021'!N92</f>
        <v>0</v>
      </c>
      <c r="BJ92" s="967">
        <f>'2022'!N92</f>
        <v>0</v>
      </c>
      <c r="BK92" s="967">
        <f>'2023'!N92</f>
        <v>0</v>
      </c>
      <c r="BL92" s="967">
        <f>'2024'!N92</f>
        <v>0</v>
      </c>
      <c r="BM92" s="968">
        <f>'2025'!N92</f>
        <v>0</v>
      </c>
      <c r="BN92" s="452"/>
      <c r="BO92" s="453"/>
      <c r="BP92" s="452"/>
      <c r="BQ92" s="453"/>
      <c r="BR92" s="477"/>
      <c r="BS92" s="478"/>
      <c r="BT92" s="477"/>
      <c r="BU92" s="479"/>
      <c r="BW92" s="492"/>
      <c r="CC92" s="1" t="str">
        <f t="shared" si="210"/>
        <v/>
      </c>
      <c r="CD92" s="1" t="str">
        <f t="shared" si="211"/>
        <v/>
      </c>
      <c r="CE92" s="1" t="str">
        <f t="shared" si="212"/>
        <v/>
      </c>
      <c r="CF92" s="1" t="str">
        <f t="shared" si="213"/>
        <v/>
      </c>
      <c r="CG92" s="1" t="str">
        <f t="shared" si="214"/>
        <v/>
      </c>
      <c r="CH92" s="1" t="str">
        <f t="shared" si="215"/>
        <v/>
      </c>
    </row>
    <row r="93" spans="2:86" ht="15.75" customHeight="1">
      <c r="B93" s="981"/>
      <c r="C93" s="1037"/>
      <c r="D93" s="1027"/>
      <c r="E93" s="1030"/>
      <c r="F93" s="1030"/>
      <c r="G93" s="1030"/>
      <c r="H93" s="1030"/>
      <c r="I93" s="1024"/>
      <c r="J93" s="905" t="s">
        <v>166</v>
      </c>
      <c r="K93" s="633" t="str">
        <f t="shared" si="262"/>
        <v/>
      </c>
      <c r="L93" s="633" t="str">
        <f t="shared" si="263"/>
        <v/>
      </c>
      <c r="M93" s="633" t="str">
        <f t="shared" si="264"/>
        <v/>
      </c>
      <c r="N93" s="633" t="str">
        <f t="shared" si="265"/>
        <v/>
      </c>
      <c r="O93" s="633" t="str">
        <f t="shared" si="266"/>
        <v/>
      </c>
      <c r="P93" s="634" t="str">
        <f t="shared" si="267"/>
        <v/>
      </c>
      <c r="Q93" s="435"/>
      <c r="R93" s="640">
        <f>'2020'!G93</f>
        <v>0</v>
      </c>
      <c r="S93" s="641">
        <f>'2021'!G93</f>
        <v>0</v>
      </c>
      <c r="T93" s="641">
        <f>'2022'!G93</f>
        <v>0</v>
      </c>
      <c r="U93" s="641">
        <f>'2023'!G93</f>
        <v>0</v>
      </c>
      <c r="V93" s="641">
        <f>'2024'!G93</f>
        <v>0</v>
      </c>
      <c r="W93" s="642">
        <f>'2025'!G93</f>
        <v>0</v>
      </c>
      <c r="X93" s="676">
        <f>'2020'!H93</f>
        <v>0</v>
      </c>
      <c r="Y93" s="641">
        <f>'2021'!H93</f>
        <v>0</v>
      </c>
      <c r="Z93" s="641">
        <f>'2022'!H93</f>
        <v>0</v>
      </c>
      <c r="AA93" s="641">
        <f>'2023'!H93</f>
        <v>0</v>
      </c>
      <c r="AB93" s="641">
        <f>'2024'!H93</f>
        <v>0</v>
      </c>
      <c r="AC93" s="642">
        <f>'2025'!H93</f>
        <v>0</v>
      </c>
      <c r="AD93" s="449">
        <f t="shared" si="192"/>
        <v>0</v>
      </c>
      <c r="AE93" s="450">
        <f t="shared" si="193"/>
        <v>0</v>
      </c>
      <c r="AF93" s="450">
        <f t="shared" ref="AF93:AF157" si="268">IF(T93="",0,IF(AL93=0,0,AL93/T93))</f>
        <v>0</v>
      </c>
      <c r="AG93" s="450">
        <f t="shared" si="195"/>
        <v>0</v>
      </c>
      <c r="AH93" s="450">
        <f t="shared" si="196"/>
        <v>0</v>
      </c>
      <c r="AI93" s="451">
        <f t="shared" si="197"/>
        <v>0</v>
      </c>
      <c r="AJ93" s="676">
        <f>'2020'!J93</f>
        <v>0</v>
      </c>
      <c r="AK93" s="641">
        <f>'2021'!J93</f>
        <v>0</v>
      </c>
      <c r="AL93" s="641">
        <f>'2022'!J93</f>
        <v>0</v>
      </c>
      <c r="AM93" s="641">
        <f>'2023'!J93</f>
        <v>0</v>
      </c>
      <c r="AN93" s="641">
        <f>'2024'!J93</f>
        <v>0</v>
      </c>
      <c r="AO93" s="642">
        <f>'2025'!J93</f>
        <v>0</v>
      </c>
      <c r="AP93" s="449" t="str">
        <f t="shared" si="208"/>
        <v/>
      </c>
      <c r="AQ93" s="450" t="str">
        <f t="shared" si="198"/>
        <v/>
      </c>
      <c r="AR93" s="450" t="str">
        <f t="shared" si="199"/>
        <v/>
      </c>
      <c r="AS93" s="450" t="str">
        <f t="shared" si="200"/>
        <v/>
      </c>
      <c r="AT93" s="450" t="str">
        <f t="shared" si="201"/>
        <v/>
      </c>
      <c r="AU93" s="451" t="str">
        <f t="shared" si="202"/>
        <v/>
      </c>
      <c r="AV93" s="676">
        <f>'2020'!L93</f>
        <v>0</v>
      </c>
      <c r="AW93" s="641">
        <f>'2021'!L93</f>
        <v>0</v>
      </c>
      <c r="AX93" s="641">
        <f>'2022'!L93</f>
        <v>0</v>
      </c>
      <c r="AY93" s="641">
        <f>'2023'!L93</f>
        <v>0</v>
      </c>
      <c r="AZ93" s="641">
        <f>'2024'!L93</f>
        <v>0</v>
      </c>
      <c r="BA93" s="642">
        <f>'2025'!L93</f>
        <v>0</v>
      </c>
      <c r="BB93" s="449" t="str">
        <f t="shared" si="209"/>
        <v/>
      </c>
      <c r="BC93" s="450" t="str">
        <f t="shared" si="203"/>
        <v/>
      </c>
      <c r="BD93" s="450" t="str">
        <f t="shared" si="204"/>
        <v/>
      </c>
      <c r="BE93" s="450" t="str">
        <f t="shared" si="205"/>
        <v/>
      </c>
      <c r="BF93" s="450" t="str">
        <f t="shared" si="206"/>
        <v/>
      </c>
      <c r="BG93" s="451" t="str">
        <f t="shared" si="207"/>
        <v/>
      </c>
      <c r="BH93" s="966">
        <f>'2020'!N93</f>
        <v>0</v>
      </c>
      <c r="BI93" s="967">
        <f>'2021'!N93</f>
        <v>0</v>
      </c>
      <c r="BJ93" s="967">
        <f>'2022'!N93</f>
        <v>0</v>
      </c>
      <c r="BK93" s="967">
        <f>'2023'!N93</f>
        <v>0</v>
      </c>
      <c r="BL93" s="967">
        <f>'2024'!N93</f>
        <v>0</v>
      </c>
      <c r="BM93" s="968">
        <f>'2025'!N93</f>
        <v>0</v>
      </c>
      <c r="BN93" s="452"/>
      <c r="BO93" s="453"/>
      <c r="BP93" s="452"/>
      <c r="BQ93" s="453"/>
      <c r="BR93" s="477"/>
      <c r="BS93" s="478"/>
      <c r="BT93" s="477"/>
      <c r="BU93" s="479"/>
      <c r="BW93" s="492"/>
      <c r="CC93" s="1" t="str">
        <f t="shared" si="210"/>
        <v/>
      </c>
      <c r="CD93" s="1" t="str">
        <f t="shared" si="211"/>
        <v/>
      </c>
      <c r="CE93" s="1" t="str">
        <f t="shared" si="212"/>
        <v/>
      </c>
      <c r="CF93" s="1" t="str">
        <f t="shared" si="213"/>
        <v/>
      </c>
      <c r="CG93" s="1" t="str">
        <f t="shared" si="214"/>
        <v/>
      </c>
      <c r="CH93" s="1" t="str">
        <f t="shared" si="215"/>
        <v/>
      </c>
    </row>
    <row r="94" spans="2:86" ht="15.75" customHeight="1">
      <c r="B94" s="981"/>
      <c r="C94" s="1037"/>
      <c r="D94" s="1028"/>
      <c r="E94" s="1031"/>
      <c r="F94" s="1031"/>
      <c r="G94" s="1031"/>
      <c r="H94" s="1031"/>
      <c r="I94" s="1025"/>
      <c r="J94" s="907" t="s">
        <v>166</v>
      </c>
      <c r="K94" s="428" t="str">
        <f t="shared" si="262"/>
        <v/>
      </c>
      <c r="L94" s="428" t="str">
        <f t="shared" si="263"/>
        <v/>
      </c>
      <c r="M94" s="428" t="str">
        <f t="shared" si="264"/>
        <v/>
      </c>
      <c r="N94" s="428" t="str">
        <f t="shared" si="265"/>
        <v/>
      </c>
      <c r="O94" s="428" t="str">
        <f t="shared" si="266"/>
        <v/>
      </c>
      <c r="P94" s="429" t="str">
        <f t="shared" si="267"/>
        <v/>
      </c>
      <c r="Q94" s="256"/>
      <c r="R94" s="643">
        <f>'2020'!G94</f>
        <v>0</v>
      </c>
      <c r="S94" s="644">
        <f>'2021'!G94</f>
        <v>0</v>
      </c>
      <c r="T94" s="644">
        <f>'2022'!G94</f>
        <v>0</v>
      </c>
      <c r="U94" s="644">
        <f>'2023'!G94</f>
        <v>0</v>
      </c>
      <c r="V94" s="644">
        <f>'2024'!G94</f>
        <v>0</v>
      </c>
      <c r="W94" s="645">
        <f>'2025'!G94</f>
        <v>0</v>
      </c>
      <c r="X94" s="677">
        <f>'2020'!H94</f>
        <v>0</v>
      </c>
      <c r="Y94" s="644">
        <f>'2021'!H94</f>
        <v>0</v>
      </c>
      <c r="Z94" s="644">
        <f>'2022'!H94</f>
        <v>0</v>
      </c>
      <c r="AA94" s="644">
        <f>'2023'!H94</f>
        <v>0</v>
      </c>
      <c r="AB94" s="644">
        <f>'2024'!H94</f>
        <v>0</v>
      </c>
      <c r="AC94" s="645">
        <f>'2025'!H94</f>
        <v>0</v>
      </c>
      <c r="AD94" s="460">
        <f t="shared" si="192"/>
        <v>0</v>
      </c>
      <c r="AE94" s="461">
        <f t="shared" si="193"/>
        <v>0</v>
      </c>
      <c r="AF94" s="461">
        <f t="shared" si="268"/>
        <v>0</v>
      </c>
      <c r="AG94" s="461">
        <f t="shared" si="195"/>
        <v>0</v>
      </c>
      <c r="AH94" s="461">
        <f t="shared" si="196"/>
        <v>0</v>
      </c>
      <c r="AI94" s="462">
        <f t="shared" si="197"/>
        <v>0</v>
      </c>
      <c r="AJ94" s="677">
        <f>'2020'!J94</f>
        <v>0</v>
      </c>
      <c r="AK94" s="644">
        <f>'2021'!J94</f>
        <v>0</v>
      </c>
      <c r="AL94" s="644">
        <f>'2022'!J94</f>
        <v>0</v>
      </c>
      <c r="AM94" s="644">
        <f>'2023'!J94</f>
        <v>0</v>
      </c>
      <c r="AN94" s="644">
        <f>'2024'!J94</f>
        <v>0</v>
      </c>
      <c r="AO94" s="645">
        <f>'2025'!J94</f>
        <v>0</v>
      </c>
      <c r="AP94" s="460" t="str">
        <f t="shared" si="208"/>
        <v/>
      </c>
      <c r="AQ94" s="461" t="str">
        <f t="shared" si="198"/>
        <v/>
      </c>
      <c r="AR94" s="461" t="str">
        <f t="shared" si="199"/>
        <v/>
      </c>
      <c r="AS94" s="461" t="str">
        <f t="shared" si="200"/>
        <v/>
      </c>
      <c r="AT94" s="461" t="str">
        <f t="shared" si="201"/>
        <v/>
      </c>
      <c r="AU94" s="462" t="str">
        <f t="shared" si="202"/>
        <v/>
      </c>
      <c r="AV94" s="677">
        <f>'2020'!L94</f>
        <v>0</v>
      </c>
      <c r="AW94" s="644">
        <f>'2021'!L94</f>
        <v>0</v>
      </c>
      <c r="AX94" s="644">
        <f>'2022'!L94</f>
        <v>0</v>
      </c>
      <c r="AY94" s="644">
        <f>'2023'!L94</f>
        <v>0</v>
      </c>
      <c r="AZ94" s="644">
        <f>'2024'!L94</f>
        <v>0</v>
      </c>
      <c r="BA94" s="645">
        <f>'2025'!L94</f>
        <v>0</v>
      </c>
      <c r="BB94" s="460" t="str">
        <f t="shared" si="209"/>
        <v/>
      </c>
      <c r="BC94" s="461" t="str">
        <f t="shared" si="203"/>
        <v/>
      </c>
      <c r="BD94" s="461" t="str">
        <f t="shared" si="204"/>
        <v/>
      </c>
      <c r="BE94" s="461" t="str">
        <f t="shared" si="205"/>
        <v/>
      </c>
      <c r="BF94" s="461" t="str">
        <f t="shared" si="206"/>
        <v/>
      </c>
      <c r="BG94" s="462" t="str">
        <f t="shared" si="207"/>
        <v/>
      </c>
      <c r="BH94" s="969">
        <f>'2020'!N94</f>
        <v>0</v>
      </c>
      <c r="BI94" s="970">
        <f>'2021'!N94</f>
        <v>0</v>
      </c>
      <c r="BJ94" s="970">
        <f>'2022'!N94</f>
        <v>0</v>
      </c>
      <c r="BK94" s="970">
        <f>'2023'!N94</f>
        <v>0</v>
      </c>
      <c r="BL94" s="970">
        <f>'2024'!N94</f>
        <v>0</v>
      </c>
      <c r="BM94" s="971">
        <f>'2025'!N94</f>
        <v>0</v>
      </c>
      <c r="BN94" s="463"/>
      <c r="BO94" s="464"/>
      <c r="BP94" s="463"/>
      <c r="BQ94" s="464"/>
      <c r="BR94" s="481"/>
      <c r="BS94" s="482"/>
      <c r="BT94" s="481"/>
      <c r="BU94" s="483"/>
      <c r="BW94" s="492"/>
      <c r="CC94" s="1" t="str">
        <f t="shared" si="210"/>
        <v/>
      </c>
      <c r="CD94" s="1" t="str">
        <f t="shared" si="211"/>
        <v/>
      </c>
      <c r="CE94" s="1" t="str">
        <f t="shared" si="212"/>
        <v/>
      </c>
      <c r="CF94" s="1" t="str">
        <f t="shared" si="213"/>
        <v/>
      </c>
      <c r="CG94" s="1" t="str">
        <f t="shared" si="214"/>
        <v/>
      </c>
      <c r="CH94" s="1" t="str">
        <f t="shared" si="215"/>
        <v/>
      </c>
    </row>
    <row r="95" spans="2:86" ht="15.75">
      <c r="B95" s="987"/>
      <c r="C95" s="1038"/>
      <c r="D95" s="404" t="s">
        <v>138</v>
      </c>
      <c r="E95" s="401"/>
      <c r="F95" s="401"/>
      <c r="G95" s="401"/>
      <c r="H95" s="401"/>
      <c r="I95" s="409"/>
      <c r="J95" s="898"/>
      <c r="K95" s="414">
        <f t="shared" ref="K95:P95" si="269">COUNTIF(K86:K94,"X")</f>
        <v>4</v>
      </c>
      <c r="L95" s="416">
        <f t="shared" si="269"/>
        <v>4</v>
      </c>
      <c r="M95" s="416">
        <f t="shared" si="269"/>
        <v>5</v>
      </c>
      <c r="N95" s="416">
        <f t="shared" si="269"/>
        <v>0</v>
      </c>
      <c r="O95" s="416">
        <f t="shared" si="269"/>
        <v>0</v>
      </c>
      <c r="P95" s="417">
        <f t="shared" si="269"/>
        <v>0</v>
      </c>
      <c r="Q95" s="210"/>
      <c r="R95" s="657">
        <f t="shared" ref="R95:AC95" si="270">SUM(R86:R94)</f>
        <v>158</v>
      </c>
      <c r="S95" s="658">
        <f t="shared" si="270"/>
        <v>241</v>
      </c>
      <c r="T95" s="658">
        <f t="shared" si="270"/>
        <v>201</v>
      </c>
      <c r="U95" s="658">
        <f t="shared" si="270"/>
        <v>0</v>
      </c>
      <c r="V95" s="658">
        <f t="shared" si="270"/>
        <v>0</v>
      </c>
      <c r="W95" s="659">
        <f t="shared" si="270"/>
        <v>0</v>
      </c>
      <c r="X95" s="682">
        <f t="shared" si="270"/>
        <v>158</v>
      </c>
      <c r="Y95" s="658">
        <f t="shared" si="270"/>
        <v>177</v>
      </c>
      <c r="Z95" s="658">
        <f t="shared" si="270"/>
        <v>201</v>
      </c>
      <c r="AA95" s="658">
        <f t="shared" si="270"/>
        <v>0</v>
      </c>
      <c r="AB95" s="658">
        <f t="shared" si="270"/>
        <v>0</v>
      </c>
      <c r="AC95" s="659">
        <f t="shared" si="270"/>
        <v>0</v>
      </c>
      <c r="AD95" s="338">
        <f t="shared" si="192"/>
        <v>0.620253164556962</v>
      </c>
      <c r="AE95" s="339">
        <f t="shared" si="193"/>
        <v>0.68049792531120334</v>
      </c>
      <c r="AF95" s="339">
        <f t="shared" si="268"/>
        <v>0.75621890547263682</v>
      </c>
      <c r="AG95" s="339">
        <f t="shared" si="195"/>
        <v>0</v>
      </c>
      <c r="AH95" s="339">
        <f t="shared" si="196"/>
        <v>0</v>
      </c>
      <c r="AI95" s="344">
        <f t="shared" si="197"/>
        <v>0</v>
      </c>
      <c r="AJ95" s="682">
        <f t="shared" ref="AJ95:AO95" si="271">SUM(AJ86:AJ94)</f>
        <v>98</v>
      </c>
      <c r="AK95" s="658">
        <f t="shared" si="271"/>
        <v>164</v>
      </c>
      <c r="AL95" s="658">
        <f t="shared" si="271"/>
        <v>152</v>
      </c>
      <c r="AM95" s="658">
        <f t="shared" si="271"/>
        <v>0</v>
      </c>
      <c r="AN95" s="658">
        <f t="shared" si="271"/>
        <v>0</v>
      </c>
      <c r="AO95" s="659">
        <f t="shared" si="271"/>
        <v>0</v>
      </c>
      <c r="AP95" s="338">
        <f t="shared" si="208"/>
        <v>0.36708860759493672</v>
      </c>
      <c r="AQ95" s="339">
        <f t="shared" si="198"/>
        <v>0.37759336099585061</v>
      </c>
      <c r="AR95" s="339">
        <f t="shared" si="199"/>
        <v>0.39303482587064675</v>
      </c>
      <c r="AS95" s="339" t="str">
        <f t="shared" si="200"/>
        <v/>
      </c>
      <c r="AT95" s="339" t="str">
        <f t="shared" si="201"/>
        <v/>
      </c>
      <c r="AU95" s="344" t="str">
        <f t="shared" si="202"/>
        <v/>
      </c>
      <c r="AV95" s="682">
        <f t="shared" ref="AV95:BA95" si="272">SUM(AV86:AV94)</f>
        <v>58</v>
      </c>
      <c r="AW95" s="658">
        <f t="shared" si="272"/>
        <v>91</v>
      </c>
      <c r="AX95" s="658">
        <f t="shared" si="272"/>
        <v>79</v>
      </c>
      <c r="AY95" s="658">
        <f t="shared" si="272"/>
        <v>0</v>
      </c>
      <c r="AZ95" s="658">
        <f t="shared" si="272"/>
        <v>0</v>
      </c>
      <c r="BA95" s="659">
        <f t="shared" si="272"/>
        <v>0</v>
      </c>
      <c r="BB95" s="340">
        <f t="shared" si="209"/>
        <v>0.7931034482758621</v>
      </c>
      <c r="BC95" s="341">
        <f t="shared" si="203"/>
        <v>0.75824175824175821</v>
      </c>
      <c r="BD95" s="341">
        <f t="shared" si="204"/>
        <v>0.84810126582278478</v>
      </c>
      <c r="BE95" s="341" t="str">
        <f t="shared" si="205"/>
        <v/>
      </c>
      <c r="BF95" s="341" t="str">
        <f t="shared" si="206"/>
        <v/>
      </c>
      <c r="BG95" s="345" t="str">
        <f t="shared" si="207"/>
        <v/>
      </c>
      <c r="BH95" s="682">
        <f t="shared" ref="BH95:BM95" si="273">SUM(BH86:BH94)</f>
        <v>46</v>
      </c>
      <c r="BI95" s="658">
        <f t="shared" si="273"/>
        <v>69</v>
      </c>
      <c r="BJ95" s="658">
        <f t="shared" si="273"/>
        <v>67</v>
      </c>
      <c r="BK95" s="658">
        <f t="shared" si="273"/>
        <v>0</v>
      </c>
      <c r="BL95" s="658">
        <f t="shared" si="273"/>
        <v>0</v>
      </c>
      <c r="BM95" s="659">
        <f t="shared" si="273"/>
        <v>0</v>
      </c>
      <c r="BN95" s="354">
        <f t="shared" ref="BN95:BU95" ca="1" si="274">SUM(BN86:BN150)</f>
        <v>0</v>
      </c>
      <c r="BO95" s="355">
        <f t="shared" ca="1" si="274"/>
        <v>0</v>
      </c>
      <c r="BP95" s="354">
        <f t="shared" ca="1" si="274"/>
        <v>0</v>
      </c>
      <c r="BQ95" s="355">
        <f t="shared" ca="1" si="274"/>
        <v>0</v>
      </c>
      <c r="BR95" s="354">
        <f t="shared" ca="1" si="274"/>
        <v>271</v>
      </c>
      <c r="BS95" s="355">
        <f t="shared" ca="1" si="274"/>
        <v>209</v>
      </c>
      <c r="BT95" s="354">
        <f t="shared" ca="1" si="274"/>
        <v>14</v>
      </c>
      <c r="BU95" s="356">
        <f t="shared" ca="1" si="274"/>
        <v>12</v>
      </c>
      <c r="CC95" s="1">
        <f t="shared" si="210"/>
        <v>0</v>
      </c>
      <c r="CD95" s="1">
        <f t="shared" si="211"/>
        <v>0</v>
      </c>
      <c r="CE95" s="1">
        <f t="shared" si="212"/>
        <v>0</v>
      </c>
      <c r="CF95" s="1">
        <f t="shared" si="213"/>
        <v>0</v>
      </c>
      <c r="CG95" s="1">
        <f t="shared" si="214"/>
        <v>0</v>
      </c>
      <c r="CH95" s="1">
        <f t="shared" si="215"/>
        <v>0</v>
      </c>
    </row>
    <row r="96" spans="2:86" ht="15" customHeight="1">
      <c r="B96" s="1013" t="s">
        <v>45</v>
      </c>
      <c r="C96" s="1079" t="s">
        <v>76</v>
      </c>
      <c r="D96" s="1080">
        <f>'2020'!D96</f>
        <v>10</v>
      </c>
      <c r="E96" s="1071">
        <f>'2021'!D96</f>
        <v>17</v>
      </c>
      <c r="F96" s="1071">
        <f>'2022'!D96</f>
        <v>12</v>
      </c>
      <c r="G96" s="1071">
        <f>'2023'!D96</f>
        <v>12</v>
      </c>
      <c r="H96" s="1071"/>
      <c r="I96" s="1076"/>
      <c r="J96" s="903" t="s">
        <v>32</v>
      </c>
      <c r="K96" s="430" t="str">
        <f t="shared" ref="K96:K108" si="275">IF(R96=0,"","X")</f>
        <v>X</v>
      </c>
      <c r="L96" s="430" t="str">
        <f t="shared" ref="L96:L108" si="276">IF(S96=0,"","X")</f>
        <v>X</v>
      </c>
      <c r="M96" s="430" t="str">
        <f t="shared" ref="M96:M108" si="277">IF(T96=0,"","X")</f>
        <v>X</v>
      </c>
      <c r="N96" s="430" t="str">
        <f t="shared" ref="N96:N108" si="278">IF(U96=0,"","X")</f>
        <v/>
      </c>
      <c r="O96" s="430" t="str">
        <f t="shared" ref="O96:O108" si="279">IF(V96=0,"","X")</f>
        <v/>
      </c>
      <c r="P96" s="431" t="str">
        <f t="shared" ref="P96:P108" si="280">IF(W96=0,"","X")</f>
        <v/>
      </c>
      <c r="Q96" s="432" t="s">
        <v>62</v>
      </c>
      <c r="R96" s="649">
        <f>'2020'!G96</f>
        <v>59</v>
      </c>
      <c r="S96" s="650">
        <f>'2021'!G96</f>
        <v>76</v>
      </c>
      <c r="T96" s="650">
        <f>'2022'!G96</f>
        <v>94</v>
      </c>
      <c r="U96" s="650">
        <f>'2023'!G96</f>
        <v>0</v>
      </c>
      <c r="V96" s="650">
        <f>'2024'!G96</f>
        <v>0</v>
      </c>
      <c r="W96" s="651">
        <f>'2025'!G96</f>
        <v>0</v>
      </c>
      <c r="X96" s="679">
        <f>'2020'!H96</f>
        <v>59</v>
      </c>
      <c r="Y96" s="650">
        <f>'2021'!H96</f>
        <v>76</v>
      </c>
      <c r="Z96" s="650">
        <f>'2022'!H96</f>
        <v>82</v>
      </c>
      <c r="AA96" s="650">
        <f>'2023'!H96</f>
        <v>0</v>
      </c>
      <c r="AB96" s="650">
        <f>'2024'!H96</f>
        <v>0</v>
      </c>
      <c r="AC96" s="651">
        <f>'2025'!H96</f>
        <v>0</v>
      </c>
      <c r="AD96" s="440">
        <f t="shared" si="192"/>
        <v>0.51</v>
      </c>
      <c r="AE96" s="441">
        <f t="shared" si="193"/>
        <v>0.5</v>
      </c>
      <c r="AF96" s="441">
        <f t="shared" si="268"/>
        <v>0.47872340425531917</v>
      </c>
      <c r="AG96" s="441">
        <f t="shared" si="195"/>
        <v>0</v>
      </c>
      <c r="AH96" s="441">
        <f t="shared" si="196"/>
        <v>0</v>
      </c>
      <c r="AI96" s="442">
        <f t="shared" si="197"/>
        <v>0</v>
      </c>
      <c r="AJ96" s="679">
        <f>'2020'!J96</f>
        <v>30.09</v>
      </c>
      <c r="AK96" s="650">
        <f>'2021'!J96</f>
        <v>38</v>
      </c>
      <c r="AL96" s="650">
        <f>'2022'!J96</f>
        <v>45</v>
      </c>
      <c r="AM96" s="650">
        <f>'2023'!J96</f>
        <v>0</v>
      </c>
      <c r="AN96" s="650">
        <f>'2024'!J96</f>
        <v>0</v>
      </c>
      <c r="AO96" s="651">
        <f>'2025'!J96</f>
        <v>0</v>
      </c>
      <c r="AP96" s="440">
        <f t="shared" si="208"/>
        <v>0.44</v>
      </c>
      <c r="AQ96" s="441">
        <f t="shared" si="198"/>
        <v>0.38157894736842107</v>
      </c>
      <c r="AR96" s="441">
        <f t="shared" si="199"/>
        <v>0.34042553191489361</v>
      </c>
      <c r="AS96" s="441" t="str">
        <f t="shared" si="200"/>
        <v/>
      </c>
      <c r="AT96" s="441" t="str">
        <f t="shared" si="201"/>
        <v/>
      </c>
      <c r="AU96" s="442" t="str">
        <f t="shared" si="202"/>
        <v/>
      </c>
      <c r="AV96" s="679">
        <f>'2020'!L96</f>
        <v>25.96</v>
      </c>
      <c r="AW96" s="650">
        <f>'2021'!L96</f>
        <v>29</v>
      </c>
      <c r="AX96" s="650">
        <f>'2022'!L96</f>
        <v>32</v>
      </c>
      <c r="AY96" s="650">
        <f>'2023'!L96</f>
        <v>0</v>
      </c>
      <c r="AZ96" s="650">
        <f>'2024'!L96</f>
        <v>0</v>
      </c>
      <c r="BA96" s="651">
        <f>'2025'!L96</f>
        <v>0</v>
      </c>
      <c r="BB96" s="440">
        <f t="shared" si="209"/>
        <v>0.62000000000000011</v>
      </c>
      <c r="BC96" s="441">
        <f t="shared" si="203"/>
        <v>0.72413793103448276</v>
      </c>
      <c r="BD96" s="441">
        <f t="shared" si="204"/>
        <v>0.59375</v>
      </c>
      <c r="BE96" s="441" t="str">
        <f t="shared" si="205"/>
        <v/>
      </c>
      <c r="BF96" s="441" t="str">
        <f t="shared" si="206"/>
        <v/>
      </c>
      <c r="BG96" s="442" t="str">
        <f t="shared" si="207"/>
        <v/>
      </c>
      <c r="BH96" s="972">
        <f>'2020'!N96</f>
        <v>16.095200000000002</v>
      </c>
      <c r="BI96" s="973">
        <f>'2021'!N96</f>
        <v>21</v>
      </c>
      <c r="BJ96" s="973">
        <f>'2022'!N96</f>
        <v>19</v>
      </c>
      <c r="BK96" s="973">
        <f>'2023'!N96</f>
        <v>0</v>
      </c>
      <c r="BL96" s="973">
        <f>'2024'!N96</f>
        <v>0</v>
      </c>
      <c r="BM96" s="974">
        <f>'2025'!N96</f>
        <v>0</v>
      </c>
      <c r="BN96" s="443" t="s">
        <v>21</v>
      </c>
      <c r="BO96" s="444" t="s">
        <v>21</v>
      </c>
      <c r="BP96" s="443" t="s">
        <v>21</v>
      </c>
      <c r="BQ96" s="444" t="s">
        <v>21</v>
      </c>
      <c r="BR96" s="474">
        <v>75</v>
      </c>
      <c r="BS96" s="475">
        <v>75</v>
      </c>
      <c r="BT96" s="474">
        <v>1</v>
      </c>
      <c r="BU96" s="476">
        <v>1</v>
      </c>
      <c r="CC96" s="1" t="str">
        <f t="shared" si="210"/>
        <v>Frontière</v>
      </c>
      <c r="CD96" s="1" t="str">
        <f t="shared" si="211"/>
        <v>Frontière</v>
      </c>
      <c r="CE96" s="1" t="str">
        <f t="shared" si="212"/>
        <v>Frontière</v>
      </c>
      <c r="CF96" s="1" t="str">
        <f t="shared" si="213"/>
        <v/>
      </c>
      <c r="CG96" s="1" t="str">
        <f t="shared" si="214"/>
        <v/>
      </c>
      <c r="CH96" s="1" t="str">
        <f t="shared" si="215"/>
        <v/>
      </c>
    </row>
    <row r="97" spans="2:86" ht="15" customHeight="1">
      <c r="B97" s="1013"/>
      <c r="C97" s="1079"/>
      <c r="D97" s="1081"/>
      <c r="E97" s="1072"/>
      <c r="F97" s="1072"/>
      <c r="G97" s="1072"/>
      <c r="H97" s="1072"/>
      <c r="I97" s="1077"/>
      <c r="J97" s="905" t="s">
        <v>33</v>
      </c>
      <c r="K97" s="433" t="str">
        <f t="shared" si="275"/>
        <v>X</v>
      </c>
      <c r="L97" s="433" t="str">
        <f t="shared" si="276"/>
        <v>X</v>
      </c>
      <c r="M97" s="433" t="str">
        <f t="shared" si="277"/>
        <v>X</v>
      </c>
      <c r="N97" s="433" t="str">
        <f t="shared" si="278"/>
        <v/>
      </c>
      <c r="O97" s="433" t="str">
        <f t="shared" si="279"/>
        <v/>
      </c>
      <c r="P97" s="434" t="str">
        <f t="shared" si="280"/>
        <v/>
      </c>
      <c r="Q97" s="435" t="s">
        <v>62</v>
      </c>
      <c r="R97" s="640">
        <f>'2020'!G97</f>
        <v>45</v>
      </c>
      <c r="S97" s="641">
        <f>'2021'!G97</f>
        <v>80</v>
      </c>
      <c r="T97" s="641">
        <f>'2022'!G97</f>
        <v>100</v>
      </c>
      <c r="U97" s="641">
        <f>'2023'!G97</f>
        <v>0</v>
      </c>
      <c r="V97" s="641">
        <f>'2024'!G97</f>
        <v>0</v>
      </c>
      <c r="W97" s="642">
        <f>'2025'!G97</f>
        <v>0</v>
      </c>
      <c r="X97" s="676">
        <f>'2020'!H97</f>
        <v>45</v>
      </c>
      <c r="Y97" s="641">
        <f>'2021'!H97</f>
        <v>80</v>
      </c>
      <c r="Z97" s="641">
        <f>'2022'!H97</f>
        <v>70</v>
      </c>
      <c r="AA97" s="641">
        <f>'2023'!H97</f>
        <v>0</v>
      </c>
      <c r="AB97" s="641">
        <f>'2024'!H97</f>
        <v>0</v>
      </c>
      <c r="AC97" s="642">
        <f>'2025'!H97</f>
        <v>0</v>
      </c>
      <c r="AD97" s="449">
        <f t="shared" si="192"/>
        <v>0.57999999999999996</v>
      </c>
      <c r="AE97" s="450">
        <f t="shared" si="193"/>
        <v>0.63749999999999996</v>
      </c>
      <c r="AF97" s="450">
        <f t="shared" si="268"/>
        <v>0.61</v>
      </c>
      <c r="AG97" s="450">
        <f t="shared" si="195"/>
        <v>0</v>
      </c>
      <c r="AH97" s="450">
        <f t="shared" si="196"/>
        <v>0</v>
      </c>
      <c r="AI97" s="451">
        <f t="shared" si="197"/>
        <v>0</v>
      </c>
      <c r="AJ97" s="676">
        <f>'2020'!J97</f>
        <v>26.099999999999998</v>
      </c>
      <c r="AK97" s="641">
        <f>'2021'!J97</f>
        <v>51</v>
      </c>
      <c r="AL97" s="641">
        <f>'2022'!J97</f>
        <v>61</v>
      </c>
      <c r="AM97" s="641">
        <f>'2023'!J97</f>
        <v>0</v>
      </c>
      <c r="AN97" s="641">
        <f>'2024'!J97</f>
        <v>0</v>
      </c>
      <c r="AO97" s="642">
        <f>'2025'!J97</f>
        <v>0</v>
      </c>
      <c r="AP97" s="449">
        <f t="shared" si="208"/>
        <v>0.44</v>
      </c>
      <c r="AQ97" s="450">
        <f t="shared" si="198"/>
        <v>0.5</v>
      </c>
      <c r="AR97" s="450">
        <f t="shared" si="199"/>
        <v>0.32</v>
      </c>
      <c r="AS97" s="450" t="str">
        <f t="shared" si="200"/>
        <v/>
      </c>
      <c r="AT97" s="450" t="str">
        <f t="shared" si="201"/>
        <v/>
      </c>
      <c r="AU97" s="451" t="str">
        <f t="shared" si="202"/>
        <v/>
      </c>
      <c r="AV97" s="676">
        <f>'2020'!L97</f>
        <v>19.8</v>
      </c>
      <c r="AW97" s="641">
        <f>'2021'!L97</f>
        <v>40</v>
      </c>
      <c r="AX97" s="641">
        <f>'2022'!L97</f>
        <v>32</v>
      </c>
      <c r="AY97" s="641">
        <f>'2023'!L97</f>
        <v>0</v>
      </c>
      <c r="AZ97" s="641">
        <f>'2024'!L97</f>
        <v>0</v>
      </c>
      <c r="BA97" s="642">
        <f>'2025'!L97</f>
        <v>0</v>
      </c>
      <c r="BB97" s="449">
        <f t="shared" si="209"/>
        <v>0.65</v>
      </c>
      <c r="BC97" s="450">
        <f t="shared" si="203"/>
        <v>0.65</v>
      </c>
      <c r="BD97" s="450">
        <f t="shared" si="204"/>
        <v>0.625</v>
      </c>
      <c r="BE97" s="450" t="str">
        <f t="shared" si="205"/>
        <v/>
      </c>
      <c r="BF97" s="450" t="str">
        <f t="shared" si="206"/>
        <v/>
      </c>
      <c r="BG97" s="451" t="str">
        <f t="shared" si="207"/>
        <v/>
      </c>
      <c r="BH97" s="966">
        <f>'2020'!N97</f>
        <v>12.870000000000001</v>
      </c>
      <c r="BI97" s="967">
        <f>'2021'!N97</f>
        <v>26</v>
      </c>
      <c r="BJ97" s="967">
        <f>'2022'!N97</f>
        <v>20</v>
      </c>
      <c r="BK97" s="967">
        <f>'2023'!N97</f>
        <v>0</v>
      </c>
      <c r="BL97" s="967">
        <f>'2024'!N97</f>
        <v>0</v>
      </c>
      <c r="BM97" s="968">
        <f>'2025'!N97</f>
        <v>0</v>
      </c>
      <c r="BN97" s="452" t="s">
        <v>21</v>
      </c>
      <c r="BO97" s="453" t="s">
        <v>21</v>
      </c>
      <c r="BP97" s="452" t="s">
        <v>21</v>
      </c>
      <c r="BQ97" s="453" t="s">
        <v>21</v>
      </c>
      <c r="BR97" s="477">
        <v>74</v>
      </c>
      <c r="BS97" s="478">
        <v>74</v>
      </c>
      <c r="BT97" s="477">
        <v>6</v>
      </c>
      <c r="BU97" s="479">
        <v>6</v>
      </c>
      <c r="CC97" s="1" t="str">
        <f t="shared" si="210"/>
        <v>Frontière</v>
      </c>
      <c r="CD97" s="1" t="str">
        <f t="shared" si="211"/>
        <v>Frontière</v>
      </c>
      <c r="CE97" s="1" t="str">
        <f t="shared" si="212"/>
        <v>Frontière</v>
      </c>
      <c r="CF97" s="1" t="str">
        <f t="shared" si="213"/>
        <v/>
      </c>
      <c r="CG97" s="1" t="str">
        <f t="shared" si="214"/>
        <v/>
      </c>
      <c r="CH97" s="1" t="str">
        <f t="shared" si="215"/>
        <v/>
      </c>
    </row>
    <row r="98" spans="2:86" ht="15" customHeight="1">
      <c r="B98" s="1013"/>
      <c r="C98" s="1079"/>
      <c r="D98" s="1081"/>
      <c r="E98" s="1072"/>
      <c r="F98" s="1072"/>
      <c r="G98" s="1072"/>
      <c r="H98" s="1072"/>
      <c r="I98" s="1077"/>
      <c r="J98" s="905" t="s">
        <v>47</v>
      </c>
      <c r="K98" s="433" t="str">
        <f t="shared" si="275"/>
        <v>X</v>
      </c>
      <c r="L98" s="433" t="str">
        <f t="shared" si="276"/>
        <v>X</v>
      </c>
      <c r="M98" s="433" t="str">
        <f t="shared" si="277"/>
        <v>X</v>
      </c>
      <c r="N98" s="433" t="str">
        <f t="shared" si="278"/>
        <v/>
      </c>
      <c r="O98" s="433" t="str">
        <f t="shared" si="279"/>
        <v/>
      </c>
      <c r="P98" s="434" t="str">
        <f t="shared" si="280"/>
        <v/>
      </c>
      <c r="Q98" s="435" t="s">
        <v>62</v>
      </c>
      <c r="R98" s="640">
        <f>'2020'!G98</f>
        <v>16</v>
      </c>
      <c r="S98" s="641">
        <f>'2021'!G98</f>
        <v>31</v>
      </c>
      <c r="T98" s="641">
        <f>'2022'!G98</f>
        <v>32</v>
      </c>
      <c r="U98" s="641">
        <f>'2023'!G98</f>
        <v>0</v>
      </c>
      <c r="V98" s="641">
        <f>'2024'!G98</f>
        <v>0</v>
      </c>
      <c r="W98" s="642">
        <f>'2025'!G98</f>
        <v>0</v>
      </c>
      <c r="X98" s="676">
        <f>'2020'!H98</f>
        <v>16</v>
      </c>
      <c r="Y98" s="641">
        <f>'2021'!H98</f>
        <v>31</v>
      </c>
      <c r="Z98" s="641">
        <f>'2022'!H98</f>
        <v>28</v>
      </c>
      <c r="AA98" s="641">
        <f>'2023'!H98</f>
        <v>0</v>
      </c>
      <c r="AB98" s="641">
        <f>'2024'!H98</f>
        <v>0</v>
      </c>
      <c r="AC98" s="642">
        <f>'2025'!H98</f>
        <v>0</v>
      </c>
      <c r="AD98" s="449">
        <f t="shared" si="192"/>
        <v>0.44</v>
      </c>
      <c r="AE98" s="450">
        <f t="shared" si="193"/>
        <v>0.32258064516129031</v>
      </c>
      <c r="AF98" s="450">
        <f t="shared" si="268"/>
        <v>0.59375</v>
      </c>
      <c r="AG98" s="450">
        <f t="shared" si="195"/>
        <v>0</v>
      </c>
      <c r="AH98" s="450">
        <f t="shared" si="196"/>
        <v>0</v>
      </c>
      <c r="AI98" s="451">
        <f t="shared" si="197"/>
        <v>0</v>
      </c>
      <c r="AJ98" s="676">
        <f>'2020'!J98</f>
        <v>7.04</v>
      </c>
      <c r="AK98" s="641">
        <f>'2021'!J98</f>
        <v>10</v>
      </c>
      <c r="AL98" s="641">
        <f>'2022'!J98</f>
        <v>19</v>
      </c>
      <c r="AM98" s="641">
        <f>'2023'!J98</f>
        <v>0</v>
      </c>
      <c r="AN98" s="641">
        <f>'2024'!J98</f>
        <v>0</v>
      </c>
      <c r="AO98" s="642">
        <f>'2025'!J98</f>
        <v>0</v>
      </c>
      <c r="AP98" s="449">
        <f t="shared" si="208"/>
        <v>0.31</v>
      </c>
      <c r="AQ98" s="450">
        <f t="shared" si="198"/>
        <v>0.35483870967741937</v>
      </c>
      <c r="AR98" s="450">
        <f t="shared" si="199"/>
        <v>0.28125</v>
      </c>
      <c r="AS98" s="450" t="str">
        <f t="shared" si="200"/>
        <v/>
      </c>
      <c r="AT98" s="450" t="str">
        <f t="shared" si="201"/>
        <v/>
      </c>
      <c r="AU98" s="451" t="str">
        <f t="shared" si="202"/>
        <v/>
      </c>
      <c r="AV98" s="676">
        <f>'2020'!L98</f>
        <v>4.96</v>
      </c>
      <c r="AW98" s="641">
        <f>'2021'!L98</f>
        <v>11</v>
      </c>
      <c r="AX98" s="641">
        <f>'2022'!L98</f>
        <v>9</v>
      </c>
      <c r="AY98" s="641">
        <f>'2023'!L98</f>
        <v>0</v>
      </c>
      <c r="AZ98" s="641">
        <f>'2024'!L98</f>
        <v>0</v>
      </c>
      <c r="BA98" s="642">
        <f>'2025'!L98</f>
        <v>0</v>
      </c>
      <c r="BB98" s="449">
        <f t="shared" si="209"/>
        <v>0.4</v>
      </c>
      <c r="BC98" s="450">
        <f t="shared" si="203"/>
        <v>0.45454545454545453</v>
      </c>
      <c r="BD98" s="450">
        <f t="shared" si="204"/>
        <v>0.66666666666666663</v>
      </c>
      <c r="BE98" s="450" t="str">
        <f t="shared" si="205"/>
        <v/>
      </c>
      <c r="BF98" s="450" t="str">
        <f t="shared" si="206"/>
        <v/>
      </c>
      <c r="BG98" s="451" t="str">
        <f t="shared" si="207"/>
        <v/>
      </c>
      <c r="BH98" s="966">
        <f>'2020'!N98</f>
        <v>1.984</v>
      </c>
      <c r="BI98" s="967">
        <f>'2021'!N98</f>
        <v>5</v>
      </c>
      <c r="BJ98" s="967">
        <f>'2022'!N98</f>
        <v>6</v>
      </c>
      <c r="BK98" s="967">
        <f>'2023'!N98</f>
        <v>0</v>
      </c>
      <c r="BL98" s="967">
        <f>'2024'!N98</f>
        <v>0</v>
      </c>
      <c r="BM98" s="968">
        <f>'2025'!N98</f>
        <v>0</v>
      </c>
      <c r="BN98" s="452" t="s">
        <v>21</v>
      </c>
      <c r="BO98" s="453" t="s">
        <v>21</v>
      </c>
      <c r="BP98" s="452" t="s">
        <v>21</v>
      </c>
      <c r="BQ98" s="453" t="s">
        <v>21</v>
      </c>
      <c r="BR98" s="477">
        <v>31</v>
      </c>
      <c r="BS98" s="478">
        <v>31</v>
      </c>
      <c r="BT98" s="477">
        <v>0</v>
      </c>
      <c r="BU98" s="479">
        <v>0</v>
      </c>
      <c r="CC98" s="1" t="str">
        <f t="shared" si="210"/>
        <v>Frontière</v>
      </c>
      <c r="CD98" s="1" t="str">
        <f t="shared" si="211"/>
        <v>Frontière</v>
      </c>
      <c r="CE98" s="1" t="str">
        <f t="shared" si="212"/>
        <v>Frontière</v>
      </c>
      <c r="CF98" s="1" t="str">
        <f t="shared" si="213"/>
        <v/>
      </c>
      <c r="CG98" s="1" t="str">
        <f t="shared" si="214"/>
        <v/>
      </c>
      <c r="CH98" s="1" t="str">
        <f t="shared" si="215"/>
        <v/>
      </c>
    </row>
    <row r="99" spans="2:86" ht="15" customHeight="1">
      <c r="B99" s="1013"/>
      <c r="C99" s="1079"/>
      <c r="D99" s="1081"/>
      <c r="E99" s="1072"/>
      <c r="F99" s="1072"/>
      <c r="G99" s="1072"/>
      <c r="H99" s="1072"/>
      <c r="I99" s="1077"/>
      <c r="J99" s="905" t="s">
        <v>46</v>
      </c>
      <c r="K99" s="433" t="str">
        <f t="shared" si="275"/>
        <v>X</v>
      </c>
      <c r="L99" s="433" t="str">
        <f t="shared" si="276"/>
        <v>X</v>
      </c>
      <c r="M99" s="433" t="str">
        <f t="shared" si="277"/>
        <v>X</v>
      </c>
      <c r="N99" s="433" t="str">
        <f t="shared" si="278"/>
        <v/>
      </c>
      <c r="O99" s="433" t="str">
        <f t="shared" si="279"/>
        <v/>
      </c>
      <c r="P99" s="434" t="str">
        <f t="shared" si="280"/>
        <v/>
      </c>
      <c r="Q99" s="435" t="s">
        <v>62</v>
      </c>
      <c r="R99" s="640">
        <f>'2020'!G99</f>
        <v>31</v>
      </c>
      <c r="S99" s="641">
        <f>'2021'!G99</f>
        <v>15</v>
      </c>
      <c r="T99" s="641">
        <f>'2022'!G99</f>
        <v>42</v>
      </c>
      <c r="U99" s="641">
        <f>'2023'!G99</f>
        <v>0</v>
      </c>
      <c r="V99" s="641">
        <f>'2024'!G99</f>
        <v>0</v>
      </c>
      <c r="W99" s="642">
        <f>'2025'!G99</f>
        <v>0</v>
      </c>
      <c r="X99" s="676">
        <f>'2020'!H99</f>
        <v>31</v>
      </c>
      <c r="Y99" s="641">
        <f>'2021'!H99</f>
        <v>15</v>
      </c>
      <c r="Z99" s="641">
        <f>'2022'!H99</f>
        <v>16</v>
      </c>
      <c r="AA99" s="641">
        <f>'2023'!H99</f>
        <v>0</v>
      </c>
      <c r="AB99" s="641">
        <f>'2024'!H99</f>
        <v>0</v>
      </c>
      <c r="AC99" s="642">
        <f>'2025'!H99</f>
        <v>0</v>
      </c>
      <c r="AD99" s="449">
        <f t="shared" si="192"/>
        <v>0.28999999999999998</v>
      </c>
      <c r="AE99" s="450">
        <f t="shared" si="193"/>
        <v>0.33333333333333331</v>
      </c>
      <c r="AF99" s="450">
        <f t="shared" si="268"/>
        <v>0.69047619047619047</v>
      </c>
      <c r="AG99" s="450">
        <f t="shared" si="195"/>
        <v>0</v>
      </c>
      <c r="AH99" s="450">
        <f t="shared" si="196"/>
        <v>0</v>
      </c>
      <c r="AI99" s="451">
        <f t="shared" si="197"/>
        <v>0</v>
      </c>
      <c r="AJ99" s="676">
        <f>'2020'!J99</f>
        <v>8.99</v>
      </c>
      <c r="AK99" s="641">
        <f>'2021'!J99</f>
        <v>5</v>
      </c>
      <c r="AL99" s="641">
        <f>'2022'!J99</f>
        <v>29</v>
      </c>
      <c r="AM99" s="641">
        <f>'2023'!J99</f>
        <v>0</v>
      </c>
      <c r="AN99" s="641">
        <f>'2024'!J99</f>
        <v>0</v>
      </c>
      <c r="AO99" s="642">
        <f>'2025'!J99</f>
        <v>0</v>
      </c>
      <c r="AP99" s="449">
        <f t="shared" si="208"/>
        <v>0.32</v>
      </c>
      <c r="AQ99" s="450">
        <f t="shared" si="198"/>
        <v>0</v>
      </c>
      <c r="AR99" s="450">
        <f t="shared" si="199"/>
        <v>0.47619047619047616</v>
      </c>
      <c r="AS99" s="450" t="str">
        <f t="shared" si="200"/>
        <v/>
      </c>
      <c r="AT99" s="450" t="str">
        <f t="shared" si="201"/>
        <v/>
      </c>
      <c r="AU99" s="451" t="str">
        <f t="shared" si="202"/>
        <v/>
      </c>
      <c r="AV99" s="676">
        <f>'2020'!L99</f>
        <v>9.92</v>
      </c>
      <c r="AW99" s="641">
        <f>'2021'!L99</f>
        <v>0</v>
      </c>
      <c r="AX99" s="641">
        <f>'2022'!L99</f>
        <v>20</v>
      </c>
      <c r="AY99" s="641">
        <f>'2023'!L99</f>
        <v>0</v>
      </c>
      <c r="AZ99" s="641">
        <f>'2024'!L99</f>
        <v>0</v>
      </c>
      <c r="BA99" s="642">
        <f>'2025'!L99</f>
        <v>0</v>
      </c>
      <c r="BB99" s="449">
        <f t="shared" si="209"/>
        <v>0.3</v>
      </c>
      <c r="BC99" s="450" t="str">
        <f t="shared" si="203"/>
        <v/>
      </c>
      <c r="BD99" s="450">
        <f t="shared" si="204"/>
        <v>0.75</v>
      </c>
      <c r="BE99" s="450" t="str">
        <f t="shared" si="205"/>
        <v/>
      </c>
      <c r="BF99" s="450" t="str">
        <f t="shared" si="206"/>
        <v/>
      </c>
      <c r="BG99" s="451" t="str">
        <f t="shared" si="207"/>
        <v/>
      </c>
      <c r="BH99" s="966">
        <f>'2020'!N99</f>
        <v>2.976</v>
      </c>
      <c r="BI99" s="967">
        <f>'2021'!N99</f>
        <v>0</v>
      </c>
      <c r="BJ99" s="967">
        <f>'2022'!N99</f>
        <v>15</v>
      </c>
      <c r="BK99" s="967">
        <f>'2023'!N99</f>
        <v>0</v>
      </c>
      <c r="BL99" s="967">
        <f>'2024'!N99</f>
        <v>0</v>
      </c>
      <c r="BM99" s="968">
        <f>'2025'!N99</f>
        <v>0</v>
      </c>
      <c r="BN99" s="452" t="s">
        <v>21</v>
      </c>
      <c r="BO99" s="453" t="s">
        <v>21</v>
      </c>
      <c r="BP99" s="452" t="s">
        <v>21</v>
      </c>
      <c r="BQ99" s="453" t="s">
        <v>21</v>
      </c>
      <c r="BR99" s="477">
        <v>15</v>
      </c>
      <c r="BS99" s="478">
        <v>15</v>
      </c>
      <c r="BT99" s="477">
        <v>0</v>
      </c>
      <c r="BU99" s="479">
        <v>0</v>
      </c>
      <c r="CC99" s="1" t="str">
        <f t="shared" si="210"/>
        <v>Frontière</v>
      </c>
      <c r="CD99" s="1" t="str">
        <f t="shared" si="211"/>
        <v>Frontière</v>
      </c>
      <c r="CE99" s="1" t="str">
        <f t="shared" si="212"/>
        <v>Frontière</v>
      </c>
      <c r="CF99" s="1" t="str">
        <f t="shared" si="213"/>
        <v/>
      </c>
      <c r="CG99" s="1" t="str">
        <f t="shared" si="214"/>
        <v/>
      </c>
      <c r="CH99" s="1" t="str">
        <f t="shared" si="215"/>
        <v/>
      </c>
    </row>
    <row r="100" spans="2:86" ht="15" customHeight="1">
      <c r="B100" s="1013"/>
      <c r="C100" s="1079"/>
      <c r="D100" s="1081"/>
      <c r="E100" s="1072"/>
      <c r="F100" s="1072"/>
      <c r="G100" s="1072"/>
      <c r="H100" s="1072"/>
      <c r="I100" s="1077"/>
      <c r="J100" s="905" t="s">
        <v>35</v>
      </c>
      <c r="K100" s="433" t="str">
        <f t="shared" si="275"/>
        <v>X</v>
      </c>
      <c r="L100" s="433" t="str">
        <f t="shared" si="276"/>
        <v>X</v>
      </c>
      <c r="M100" s="433" t="str">
        <f t="shared" si="277"/>
        <v/>
      </c>
      <c r="N100" s="433" t="str">
        <f t="shared" si="278"/>
        <v/>
      </c>
      <c r="O100" s="433" t="str">
        <f t="shared" si="279"/>
        <v/>
      </c>
      <c r="P100" s="434" t="str">
        <f t="shared" si="280"/>
        <v/>
      </c>
      <c r="Q100" s="435" t="s">
        <v>62</v>
      </c>
      <c r="R100" s="640">
        <f>'2020'!G100</f>
        <v>3</v>
      </c>
      <c r="S100" s="641">
        <f>'2021'!G100</f>
        <v>2</v>
      </c>
      <c r="T100" s="641">
        <f>'2022'!G100</f>
        <v>0</v>
      </c>
      <c r="U100" s="641">
        <f>'2023'!G100</f>
        <v>0</v>
      </c>
      <c r="V100" s="641">
        <f>'2024'!G100</f>
        <v>0</v>
      </c>
      <c r="W100" s="642">
        <f>'2025'!G100</f>
        <v>0</v>
      </c>
      <c r="X100" s="676">
        <f>'2020'!H100</f>
        <v>3</v>
      </c>
      <c r="Y100" s="641">
        <f>'2021'!H100</f>
        <v>2</v>
      </c>
      <c r="Z100" s="641">
        <f>'2022'!H100</f>
        <v>0</v>
      </c>
      <c r="AA100" s="641">
        <f>'2023'!H100</f>
        <v>0</v>
      </c>
      <c r="AB100" s="641">
        <f>'2024'!H100</f>
        <v>0</v>
      </c>
      <c r="AC100" s="642">
        <f>'2025'!H100</f>
        <v>0</v>
      </c>
      <c r="AD100" s="449">
        <f t="shared" si="192"/>
        <v>0</v>
      </c>
      <c r="AE100" s="450">
        <f t="shared" si="193"/>
        <v>0.5</v>
      </c>
      <c r="AF100" s="450">
        <f t="shared" si="268"/>
        <v>0</v>
      </c>
      <c r="AG100" s="450">
        <f t="shared" si="195"/>
        <v>0</v>
      </c>
      <c r="AH100" s="450">
        <f t="shared" si="196"/>
        <v>0</v>
      </c>
      <c r="AI100" s="451">
        <f t="shared" si="197"/>
        <v>0</v>
      </c>
      <c r="AJ100" s="676">
        <f>'2020'!J100</f>
        <v>0</v>
      </c>
      <c r="AK100" s="641">
        <f>'2021'!J100</f>
        <v>1</v>
      </c>
      <c r="AL100" s="641">
        <f>'2022'!J100</f>
        <v>0</v>
      </c>
      <c r="AM100" s="641">
        <f>'2023'!J100</f>
        <v>0</v>
      </c>
      <c r="AN100" s="641">
        <f>'2024'!J100</f>
        <v>0</v>
      </c>
      <c r="AO100" s="642">
        <f>'2025'!J100</f>
        <v>0</v>
      </c>
      <c r="AP100" s="449">
        <f t="shared" si="208"/>
        <v>0</v>
      </c>
      <c r="AQ100" s="450">
        <f t="shared" si="198"/>
        <v>0.5</v>
      </c>
      <c r="AR100" s="450" t="str">
        <f t="shared" si="199"/>
        <v/>
      </c>
      <c r="AS100" s="450" t="str">
        <f t="shared" si="200"/>
        <v/>
      </c>
      <c r="AT100" s="450" t="str">
        <f t="shared" si="201"/>
        <v/>
      </c>
      <c r="AU100" s="451" t="str">
        <f t="shared" si="202"/>
        <v/>
      </c>
      <c r="AV100" s="676">
        <f>'2020'!L100</f>
        <v>0</v>
      </c>
      <c r="AW100" s="641">
        <f>'2021'!L100</f>
        <v>1</v>
      </c>
      <c r="AX100" s="641">
        <f>'2022'!L100</f>
        <v>0</v>
      </c>
      <c r="AY100" s="641">
        <f>'2023'!L100</f>
        <v>0</v>
      </c>
      <c r="AZ100" s="641">
        <f>'2024'!L100</f>
        <v>0</v>
      </c>
      <c r="BA100" s="642">
        <f>'2025'!L100</f>
        <v>0</v>
      </c>
      <c r="BB100" s="449" t="str">
        <f t="shared" si="209"/>
        <v/>
      </c>
      <c r="BC100" s="450">
        <f t="shared" si="203"/>
        <v>1</v>
      </c>
      <c r="BD100" s="450" t="str">
        <f t="shared" si="204"/>
        <v/>
      </c>
      <c r="BE100" s="450" t="str">
        <f t="shared" si="205"/>
        <v/>
      </c>
      <c r="BF100" s="450" t="str">
        <f t="shared" si="206"/>
        <v/>
      </c>
      <c r="BG100" s="451" t="str">
        <f t="shared" si="207"/>
        <v/>
      </c>
      <c r="BH100" s="966" t="str">
        <f>'2020'!N100</f>
        <v>-</v>
      </c>
      <c r="BI100" s="967">
        <f>'2021'!N100</f>
        <v>1</v>
      </c>
      <c r="BJ100" s="967">
        <f>'2022'!N100</f>
        <v>0</v>
      </c>
      <c r="BK100" s="967">
        <f>'2023'!N100</f>
        <v>0</v>
      </c>
      <c r="BL100" s="967">
        <f>'2024'!N100</f>
        <v>0</v>
      </c>
      <c r="BM100" s="968">
        <f>'2025'!N100</f>
        <v>0</v>
      </c>
      <c r="BN100" s="452" t="s">
        <v>21</v>
      </c>
      <c r="BO100" s="453" t="s">
        <v>21</v>
      </c>
      <c r="BP100" s="452" t="s">
        <v>21</v>
      </c>
      <c r="BQ100" s="453" t="s">
        <v>21</v>
      </c>
      <c r="BR100" s="477">
        <v>1</v>
      </c>
      <c r="BS100" s="478">
        <v>1</v>
      </c>
      <c r="BT100" s="477">
        <v>1</v>
      </c>
      <c r="BU100" s="479">
        <v>1</v>
      </c>
      <c r="CC100" s="1" t="str">
        <f t="shared" si="210"/>
        <v>Frontière</v>
      </c>
      <c r="CD100" s="1" t="str">
        <f t="shared" si="211"/>
        <v>Frontière</v>
      </c>
      <c r="CE100" s="1" t="str">
        <f t="shared" si="212"/>
        <v/>
      </c>
      <c r="CF100" s="1" t="str">
        <f t="shared" si="213"/>
        <v/>
      </c>
      <c r="CG100" s="1" t="str">
        <f t="shared" si="214"/>
        <v/>
      </c>
      <c r="CH100" s="1" t="str">
        <f t="shared" si="215"/>
        <v/>
      </c>
    </row>
    <row r="101" spans="2:86" ht="15" customHeight="1">
      <c r="B101" s="1013"/>
      <c r="C101" s="1079"/>
      <c r="D101" s="1081"/>
      <c r="E101" s="1072"/>
      <c r="F101" s="1072"/>
      <c r="G101" s="1072"/>
      <c r="H101" s="1072"/>
      <c r="I101" s="1077"/>
      <c r="J101" s="905" t="s">
        <v>34</v>
      </c>
      <c r="K101" s="433" t="str">
        <f t="shared" si="275"/>
        <v>X</v>
      </c>
      <c r="L101" s="433" t="str">
        <f t="shared" si="276"/>
        <v>X</v>
      </c>
      <c r="M101" s="433" t="str">
        <f t="shared" si="277"/>
        <v>X</v>
      </c>
      <c r="N101" s="433" t="str">
        <f t="shared" si="278"/>
        <v/>
      </c>
      <c r="O101" s="433" t="str">
        <f t="shared" si="279"/>
        <v/>
      </c>
      <c r="P101" s="434" t="str">
        <f t="shared" si="280"/>
        <v/>
      </c>
      <c r="Q101" s="435" t="s">
        <v>62</v>
      </c>
      <c r="R101" s="640">
        <f>'2020'!G101</f>
        <v>13</v>
      </c>
      <c r="S101" s="641">
        <f>'2021'!G101</f>
        <v>15</v>
      </c>
      <c r="T101" s="641">
        <f>'2022'!G101</f>
        <v>17</v>
      </c>
      <c r="U101" s="641">
        <f>'2023'!G101</f>
        <v>0</v>
      </c>
      <c r="V101" s="641">
        <f>'2024'!G101</f>
        <v>0</v>
      </c>
      <c r="W101" s="642">
        <f>'2025'!G101</f>
        <v>0</v>
      </c>
      <c r="X101" s="676">
        <f>'2020'!H101</f>
        <v>13</v>
      </c>
      <c r="Y101" s="641">
        <f>'2021'!H101</f>
        <v>15</v>
      </c>
      <c r="Z101" s="641">
        <f>'2022'!H101</f>
        <v>14</v>
      </c>
      <c r="AA101" s="641">
        <f>'2023'!H101</f>
        <v>0</v>
      </c>
      <c r="AB101" s="641">
        <f>'2024'!H101</f>
        <v>0</v>
      </c>
      <c r="AC101" s="642">
        <f>'2025'!H101</f>
        <v>0</v>
      </c>
      <c r="AD101" s="449">
        <f t="shared" si="192"/>
        <v>0.23</v>
      </c>
      <c r="AE101" s="450">
        <f t="shared" si="193"/>
        <v>0.53333333333333333</v>
      </c>
      <c r="AF101" s="450">
        <f t="shared" si="268"/>
        <v>0.29411764705882354</v>
      </c>
      <c r="AG101" s="450">
        <f t="shared" si="195"/>
        <v>0</v>
      </c>
      <c r="AH101" s="450">
        <f t="shared" si="196"/>
        <v>0</v>
      </c>
      <c r="AI101" s="451">
        <f t="shared" si="197"/>
        <v>0</v>
      </c>
      <c r="AJ101" s="676">
        <f>'2020'!J101</f>
        <v>2.99</v>
      </c>
      <c r="AK101" s="641">
        <f>'2021'!J101</f>
        <v>8</v>
      </c>
      <c r="AL101" s="641">
        <f>'2022'!J101</f>
        <v>5</v>
      </c>
      <c r="AM101" s="641">
        <f>'2023'!J101</f>
        <v>0</v>
      </c>
      <c r="AN101" s="641">
        <f>'2024'!J101</f>
        <v>0</v>
      </c>
      <c r="AO101" s="642">
        <f>'2025'!J101</f>
        <v>0</v>
      </c>
      <c r="AP101" s="449">
        <f t="shared" si="208"/>
        <v>0.15</v>
      </c>
      <c r="AQ101" s="450">
        <f t="shared" si="198"/>
        <v>0.26666666666666666</v>
      </c>
      <c r="AR101" s="450">
        <f t="shared" si="199"/>
        <v>0.11764705882352941</v>
      </c>
      <c r="AS101" s="450" t="str">
        <f t="shared" si="200"/>
        <v/>
      </c>
      <c r="AT101" s="450" t="str">
        <f t="shared" si="201"/>
        <v/>
      </c>
      <c r="AU101" s="451" t="str">
        <f t="shared" si="202"/>
        <v/>
      </c>
      <c r="AV101" s="676">
        <f>'2020'!L101</f>
        <v>1.95</v>
      </c>
      <c r="AW101" s="641">
        <f>'2021'!L101</f>
        <v>4</v>
      </c>
      <c r="AX101" s="641">
        <f>'2022'!L101</f>
        <v>2</v>
      </c>
      <c r="AY101" s="641">
        <f>'2023'!L101</f>
        <v>0</v>
      </c>
      <c r="AZ101" s="641">
        <f>'2024'!L101</f>
        <v>0</v>
      </c>
      <c r="BA101" s="642">
        <f>'2025'!L101</f>
        <v>0</v>
      </c>
      <c r="BB101" s="449">
        <f t="shared" si="209"/>
        <v>0.5</v>
      </c>
      <c r="BC101" s="450">
        <f t="shared" si="203"/>
        <v>0.5</v>
      </c>
      <c r="BD101" s="450">
        <f t="shared" si="204"/>
        <v>0.5</v>
      </c>
      <c r="BE101" s="450" t="str">
        <f t="shared" si="205"/>
        <v/>
      </c>
      <c r="BF101" s="450" t="str">
        <f t="shared" si="206"/>
        <v/>
      </c>
      <c r="BG101" s="451" t="str">
        <f t="shared" si="207"/>
        <v/>
      </c>
      <c r="BH101" s="966">
        <f>'2020'!N101</f>
        <v>0.97499999999999998</v>
      </c>
      <c r="BI101" s="967">
        <f>'2021'!N101</f>
        <v>2</v>
      </c>
      <c r="BJ101" s="967">
        <f>'2022'!N101</f>
        <v>1</v>
      </c>
      <c r="BK101" s="967">
        <f>'2023'!N101</f>
        <v>0</v>
      </c>
      <c r="BL101" s="967">
        <f>'2024'!N101</f>
        <v>0</v>
      </c>
      <c r="BM101" s="968">
        <f>'2025'!N101</f>
        <v>0</v>
      </c>
      <c r="BN101" s="452" t="s">
        <v>21</v>
      </c>
      <c r="BO101" s="453" t="s">
        <v>21</v>
      </c>
      <c r="BP101" s="452" t="s">
        <v>21</v>
      </c>
      <c r="BQ101" s="453" t="s">
        <v>21</v>
      </c>
      <c r="BR101" s="477">
        <v>13</v>
      </c>
      <c r="BS101" s="478">
        <v>13</v>
      </c>
      <c r="BT101" s="477">
        <v>2</v>
      </c>
      <c r="BU101" s="479">
        <v>2</v>
      </c>
      <c r="CC101" s="1" t="str">
        <f t="shared" si="210"/>
        <v>Frontière</v>
      </c>
      <c r="CD101" s="1" t="str">
        <f t="shared" si="211"/>
        <v>Frontière</v>
      </c>
      <c r="CE101" s="1" t="str">
        <f t="shared" si="212"/>
        <v>Frontière</v>
      </c>
      <c r="CF101" s="1" t="str">
        <f t="shared" si="213"/>
        <v/>
      </c>
      <c r="CG101" s="1" t="str">
        <f t="shared" si="214"/>
        <v/>
      </c>
      <c r="CH101" s="1" t="str">
        <f t="shared" si="215"/>
        <v/>
      </c>
    </row>
    <row r="102" spans="2:86" ht="15.75" customHeight="1">
      <c r="B102" s="1013"/>
      <c r="C102" s="1079"/>
      <c r="D102" s="1081"/>
      <c r="E102" s="1072"/>
      <c r="F102" s="1072"/>
      <c r="G102" s="1072"/>
      <c r="H102" s="1072"/>
      <c r="I102" s="1077"/>
      <c r="J102" s="905" t="s">
        <v>147</v>
      </c>
      <c r="K102" s="433" t="str">
        <f t="shared" si="275"/>
        <v/>
      </c>
      <c r="L102" s="433" t="str">
        <f t="shared" si="276"/>
        <v>X</v>
      </c>
      <c r="M102" s="433" t="str">
        <f t="shared" si="277"/>
        <v>X</v>
      </c>
      <c r="N102" s="433" t="str">
        <f t="shared" si="278"/>
        <v/>
      </c>
      <c r="O102" s="433" t="str">
        <f t="shared" si="279"/>
        <v/>
      </c>
      <c r="P102" s="434" t="str">
        <f t="shared" si="280"/>
        <v/>
      </c>
      <c r="Q102" s="435" t="s">
        <v>62</v>
      </c>
      <c r="R102" s="640">
        <f>'2020'!G102</f>
        <v>0</v>
      </c>
      <c r="S102" s="641">
        <f>'2021'!G102</f>
        <v>12</v>
      </c>
      <c r="T102" s="641">
        <f>'2022'!G102</f>
        <v>12</v>
      </c>
      <c r="U102" s="641">
        <f>'2023'!G102</f>
        <v>0</v>
      </c>
      <c r="V102" s="641">
        <f>'2024'!G102</f>
        <v>0</v>
      </c>
      <c r="W102" s="642">
        <f>'2025'!G102</f>
        <v>0</v>
      </c>
      <c r="X102" s="676">
        <f>'2020'!H102</f>
        <v>0</v>
      </c>
      <c r="Y102" s="641">
        <f>'2021'!H102</f>
        <v>12</v>
      </c>
      <c r="Z102" s="641">
        <f>'2022'!H102</f>
        <v>12</v>
      </c>
      <c r="AA102" s="641">
        <f>'2023'!H102</f>
        <v>0</v>
      </c>
      <c r="AB102" s="641">
        <f>'2024'!H102</f>
        <v>0</v>
      </c>
      <c r="AC102" s="642">
        <f>'2025'!H102</f>
        <v>0</v>
      </c>
      <c r="AD102" s="449">
        <f t="shared" si="192"/>
        <v>0</v>
      </c>
      <c r="AE102" s="450">
        <f t="shared" si="193"/>
        <v>0.83333333333333337</v>
      </c>
      <c r="AF102" s="450">
        <f t="shared" si="268"/>
        <v>0.83333333333333337</v>
      </c>
      <c r="AG102" s="450">
        <f t="shared" si="195"/>
        <v>0</v>
      </c>
      <c r="AH102" s="450">
        <f t="shared" si="196"/>
        <v>0</v>
      </c>
      <c r="AI102" s="451">
        <f t="shared" si="197"/>
        <v>0</v>
      </c>
      <c r="AJ102" s="676">
        <f>'2020'!J102</f>
        <v>0</v>
      </c>
      <c r="AK102" s="641">
        <f>'2021'!J102</f>
        <v>10</v>
      </c>
      <c r="AL102" s="641">
        <f>'2022'!J102</f>
        <v>10</v>
      </c>
      <c r="AM102" s="641">
        <f>'2023'!J102</f>
        <v>0</v>
      </c>
      <c r="AN102" s="641">
        <f>'2024'!J102</f>
        <v>0</v>
      </c>
      <c r="AO102" s="642">
        <f>'2025'!J102</f>
        <v>0</v>
      </c>
      <c r="AP102" s="449" t="str">
        <f t="shared" si="208"/>
        <v/>
      </c>
      <c r="AQ102" s="450">
        <f t="shared" si="198"/>
        <v>0.58333333333333337</v>
      </c>
      <c r="AR102" s="450">
        <f t="shared" si="199"/>
        <v>0.58333333333333337</v>
      </c>
      <c r="AS102" s="450" t="str">
        <f t="shared" si="200"/>
        <v/>
      </c>
      <c r="AT102" s="450" t="str">
        <f t="shared" si="201"/>
        <v/>
      </c>
      <c r="AU102" s="451" t="str">
        <f t="shared" si="202"/>
        <v/>
      </c>
      <c r="AV102" s="676">
        <f>'2020'!L102</f>
        <v>0</v>
      </c>
      <c r="AW102" s="641">
        <f>'2021'!L102</f>
        <v>7</v>
      </c>
      <c r="AX102" s="641">
        <f>'2022'!L102</f>
        <v>7</v>
      </c>
      <c r="AY102" s="641">
        <f>'2023'!L102</f>
        <v>0</v>
      </c>
      <c r="AZ102" s="641">
        <f>'2024'!L102</f>
        <v>0</v>
      </c>
      <c r="BA102" s="642">
        <f>'2025'!L102</f>
        <v>0</v>
      </c>
      <c r="BB102" s="449" t="str">
        <f t="shared" si="209"/>
        <v/>
      </c>
      <c r="BC102" s="450">
        <f t="shared" si="203"/>
        <v>1</v>
      </c>
      <c r="BD102" s="450">
        <f t="shared" si="204"/>
        <v>1</v>
      </c>
      <c r="BE102" s="450" t="str">
        <f t="shared" si="205"/>
        <v/>
      </c>
      <c r="BF102" s="450" t="str">
        <f t="shared" si="206"/>
        <v/>
      </c>
      <c r="BG102" s="451" t="str">
        <f t="shared" si="207"/>
        <v/>
      </c>
      <c r="BH102" s="966">
        <f>'2020'!N102</f>
        <v>0</v>
      </c>
      <c r="BI102" s="967">
        <f>'2021'!N102</f>
        <v>7</v>
      </c>
      <c r="BJ102" s="967">
        <f>'2022'!N102</f>
        <v>7</v>
      </c>
      <c r="BK102" s="967">
        <f>'2023'!N102</f>
        <v>0</v>
      </c>
      <c r="BL102" s="967">
        <f>'2024'!N102</f>
        <v>0</v>
      </c>
      <c r="BM102" s="968">
        <f>'2025'!N102</f>
        <v>0</v>
      </c>
      <c r="BN102" s="452" t="s">
        <v>21</v>
      </c>
      <c r="BO102" s="453" t="s">
        <v>21</v>
      </c>
      <c r="BP102" s="452" t="s">
        <v>21</v>
      </c>
      <c r="BQ102" s="453" t="s">
        <v>21</v>
      </c>
      <c r="BR102" s="477">
        <v>12</v>
      </c>
      <c r="BS102" s="478">
        <v>12</v>
      </c>
      <c r="BT102" s="477">
        <v>0</v>
      </c>
      <c r="BU102" s="479">
        <v>0</v>
      </c>
      <c r="CC102" s="1" t="str">
        <f t="shared" si="210"/>
        <v/>
      </c>
      <c r="CD102" s="1" t="str">
        <f t="shared" si="211"/>
        <v>Frontière</v>
      </c>
      <c r="CE102" s="1" t="str">
        <f t="shared" si="212"/>
        <v>Frontière</v>
      </c>
      <c r="CF102" s="1" t="str">
        <f t="shared" si="213"/>
        <v/>
      </c>
      <c r="CG102" s="1" t="str">
        <f t="shared" si="214"/>
        <v/>
      </c>
      <c r="CH102" s="1" t="str">
        <f t="shared" si="215"/>
        <v/>
      </c>
    </row>
    <row r="103" spans="2:86" ht="15.75" customHeight="1">
      <c r="B103" s="1013"/>
      <c r="C103" s="1079"/>
      <c r="D103" s="1081"/>
      <c r="E103" s="1072"/>
      <c r="F103" s="1072"/>
      <c r="G103" s="1072"/>
      <c r="H103" s="1072"/>
      <c r="I103" s="1077"/>
      <c r="J103" s="905" t="s">
        <v>166</v>
      </c>
      <c r="K103" s="433" t="str">
        <f t="shared" si="275"/>
        <v/>
      </c>
      <c r="L103" s="433" t="str">
        <f t="shared" si="276"/>
        <v/>
      </c>
      <c r="M103" s="433" t="str">
        <f t="shared" si="277"/>
        <v/>
      </c>
      <c r="N103" s="433" t="str">
        <f t="shared" si="278"/>
        <v/>
      </c>
      <c r="O103" s="433" t="str">
        <f t="shared" si="279"/>
        <v/>
      </c>
      <c r="P103" s="434" t="str">
        <f t="shared" si="280"/>
        <v/>
      </c>
      <c r="Q103" s="435" t="s">
        <v>62</v>
      </c>
      <c r="R103" s="640">
        <f>'2020'!G103</f>
        <v>0</v>
      </c>
      <c r="S103" s="641">
        <f>'2021'!G103</f>
        <v>0</v>
      </c>
      <c r="T103" s="641">
        <f>'2022'!G103</f>
        <v>0</v>
      </c>
      <c r="U103" s="641">
        <f>'2023'!G103</f>
        <v>0</v>
      </c>
      <c r="V103" s="641">
        <f>'2024'!G103</f>
        <v>0</v>
      </c>
      <c r="W103" s="642">
        <f>'2025'!G103</f>
        <v>0</v>
      </c>
      <c r="X103" s="676">
        <f>'2020'!H103</f>
        <v>0</v>
      </c>
      <c r="Y103" s="641">
        <f>'2021'!H103</f>
        <v>0</v>
      </c>
      <c r="Z103" s="641">
        <f>'2022'!H103</f>
        <v>0</v>
      </c>
      <c r="AA103" s="641">
        <f>'2023'!H103</f>
        <v>0</v>
      </c>
      <c r="AB103" s="641">
        <f>'2024'!H103</f>
        <v>0</v>
      </c>
      <c r="AC103" s="642">
        <f>'2025'!H103</f>
        <v>0</v>
      </c>
      <c r="AD103" s="449">
        <f t="shared" si="192"/>
        <v>0</v>
      </c>
      <c r="AE103" s="450">
        <f t="shared" si="193"/>
        <v>0</v>
      </c>
      <c r="AF103" s="450">
        <f t="shared" si="268"/>
        <v>0</v>
      </c>
      <c r="AG103" s="450">
        <f t="shared" si="195"/>
        <v>0</v>
      </c>
      <c r="AH103" s="450">
        <f t="shared" si="196"/>
        <v>0</v>
      </c>
      <c r="AI103" s="451">
        <f t="shared" si="197"/>
        <v>0</v>
      </c>
      <c r="AJ103" s="676">
        <f>'2020'!J103</f>
        <v>0</v>
      </c>
      <c r="AK103" s="641">
        <f>'2021'!J103</f>
        <v>0</v>
      </c>
      <c r="AL103" s="641">
        <f>'2022'!J103</f>
        <v>0</v>
      </c>
      <c r="AM103" s="641">
        <f>'2023'!J103</f>
        <v>0</v>
      </c>
      <c r="AN103" s="641">
        <f>'2024'!J103</f>
        <v>0</v>
      </c>
      <c r="AO103" s="642">
        <f>'2025'!J103</f>
        <v>0</v>
      </c>
      <c r="AP103" s="449" t="str">
        <f t="shared" si="208"/>
        <v/>
      </c>
      <c r="AQ103" s="450" t="str">
        <f t="shared" si="198"/>
        <v/>
      </c>
      <c r="AR103" s="450" t="str">
        <f t="shared" si="199"/>
        <v/>
      </c>
      <c r="AS103" s="450" t="str">
        <f t="shared" si="200"/>
        <v/>
      </c>
      <c r="AT103" s="450" t="str">
        <f t="shared" si="201"/>
        <v/>
      </c>
      <c r="AU103" s="451" t="str">
        <f t="shared" si="202"/>
        <v/>
      </c>
      <c r="AV103" s="676">
        <f>'2020'!L103</f>
        <v>0</v>
      </c>
      <c r="AW103" s="641">
        <f>'2021'!L103</f>
        <v>0</v>
      </c>
      <c r="AX103" s="641">
        <f>'2022'!L103</f>
        <v>0</v>
      </c>
      <c r="AY103" s="641">
        <f>'2023'!L103</f>
        <v>0</v>
      </c>
      <c r="AZ103" s="641">
        <f>'2024'!L103</f>
        <v>0</v>
      </c>
      <c r="BA103" s="642">
        <f>'2025'!L103</f>
        <v>0</v>
      </c>
      <c r="BB103" s="449" t="str">
        <f t="shared" si="209"/>
        <v/>
      </c>
      <c r="BC103" s="450" t="str">
        <f t="shared" si="203"/>
        <v/>
      </c>
      <c r="BD103" s="450" t="str">
        <f t="shared" si="204"/>
        <v/>
      </c>
      <c r="BE103" s="450" t="str">
        <f t="shared" si="205"/>
        <v/>
      </c>
      <c r="BF103" s="450" t="str">
        <f t="shared" si="206"/>
        <v/>
      </c>
      <c r="BG103" s="451" t="str">
        <f t="shared" si="207"/>
        <v/>
      </c>
      <c r="BH103" s="966">
        <f>'2020'!N103</f>
        <v>0</v>
      </c>
      <c r="BI103" s="967">
        <f>'2021'!N103</f>
        <v>0</v>
      </c>
      <c r="BJ103" s="967">
        <f>'2022'!N103</f>
        <v>0</v>
      </c>
      <c r="BK103" s="967">
        <f>'2023'!N103</f>
        <v>0</v>
      </c>
      <c r="BL103" s="967">
        <f>'2024'!N103</f>
        <v>0</v>
      </c>
      <c r="BM103" s="968">
        <f>'2025'!N103</f>
        <v>0</v>
      </c>
      <c r="BN103" s="452"/>
      <c r="BO103" s="453"/>
      <c r="BP103" s="452"/>
      <c r="BQ103" s="453"/>
      <c r="BR103" s="477"/>
      <c r="BS103" s="478"/>
      <c r="BT103" s="477"/>
      <c r="BU103" s="479"/>
      <c r="CC103" s="1" t="str">
        <f t="shared" si="210"/>
        <v/>
      </c>
      <c r="CD103" s="1" t="str">
        <f t="shared" si="211"/>
        <v/>
      </c>
      <c r="CE103" s="1" t="str">
        <f t="shared" si="212"/>
        <v/>
      </c>
      <c r="CF103" s="1" t="str">
        <f t="shared" si="213"/>
        <v/>
      </c>
      <c r="CG103" s="1" t="str">
        <f t="shared" si="214"/>
        <v/>
      </c>
      <c r="CH103" s="1" t="str">
        <f t="shared" si="215"/>
        <v/>
      </c>
    </row>
    <row r="104" spans="2:86" ht="15.75" customHeight="1">
      <c r="B104" s="1013"/>
      <c r="C104" s="1079"/>
      <c r="D104" s="1081"/>
      <c r="E104" s="1072"/>
      <c r="F104" s="1072"/>
      <c r="G104" s="1072"/>
      <c r="H104" s="1072"/>
      <c r="I104" s="1077"/>
      <c r="J104" s="905" t="s">
        <v>166</v>
      </c>
      <c r="K104" s="433" t="str">
        <f t="shared" si="275"/>
        <v/>
      </c>
      <c r="L104" s="433" t="str">
        <f t="shared" si="276"/>
        <v/>
      </c>
      <c r="M104" s="433" t="str">
        <f t="shared" si="277"/>
        <v/>
      </c>
      <c r="N104" s="433" t="str">
        <f t="shared" si="278"/>
        <v/>
      </c>
      <c r="O104" s="433" t="str">
        <f t="shared" si="279"/>
        <v/>
      </c>
      <c r="P104" s="434" t="str">
        <f t="shared" si="280"/>
        <v/>
      </c>
      <c r="Q104" s="435" t="s">
        <v>62</v>
      </c>
      <c r="R104" s="640">
        <f>'2020'!G104</f>
        <v>0</v>
      </c>
      <c r="S104" s="641">
        <f>'2021'!G104</f>
        <v>0</v>
      </c>
      <c r="T104" s="641">
        <f>'2022'!G104</f>
        <v>0</v>
      </c>
      <c r="U104" s="641">
        <f>'2023'!G104</f>
        <v>0</v>
      </c>
      <c r="V104" s="641">
        <f>'2024'!G104</f>
        <v>0</v>
      </c>
      <c r="W104" s="642">
        <f>'2025'!G104</f>
        <v>0</v>
      </c>
      <c r="X104" s="676">
        <f>'2020'!H104</f>
        <v>0</v>
      </c>
      <c r="Y104" s="641">
        <f>'2021'!H104</f>
        <v>0</v>
      </c>
      <c r="Z104" s="641">
        <f>'2022'!H104</f>
        <v>0</v>
      </c>
      <c r="AA104" s="641">
        <f>'2023'!H104</f>
        <v>0</v>
      </c>
      <c r="AB104" s="641">
        <f>'2024'!H104</f>
        <v>0</v>
      </c>
      <c r="AC104" s="642">
        <f>'2025'!H104</f>
        <v>0</v>
      </c>
      <c r="AD104" s="449">
        <f t="shared" si="192"/>
        <v>0</v>
      </c>
      <c r="AE104" s="450">
        <f t="shared" si="193"/>
        <v>0</v>
      </c>
      <c r="AF104" s="450">
        <f t="shared" si="268"/>
        <v>0</v>
      </c>
      <c r="AG104" s="450">
        <f t="shared" si="195"/>
        <v>0</v>
      </c>
      <c r="AH104" s="450">
        <f t="shared" si="196"/>
        <v>0</v>
      </c>
      <c r="AI104" s="451">
        <f t="shared" si="197"/>
        <v>0</v>
      </c>
      <c r="AJ104" s="676">
        <f>'2020'!J104</f>
        <v>0</v>
      </c>
      <c r="AK104" s="641">
        <f>'2021'!J104</f>
        <v>0</v>
      </c>
      <c r="AL104" s="641">
        <f>'2022'!J104</f>
        <v>0</v>
      </c>
      <c r="AM104" s="641">
        <f>'2023'!J104</f>
        <v>0</v>
      </c>
      <c r="AN104" s="641">
        <f>'2024'!J104</f>
        <v>0</v>
      </c>
      <c r="AO104" s="642">
        <f>'2025'!J104</f>
        <v>0</v>
      </c>
      <c r="AP104" s="449" t="str">
        <f t="shared" si="208"/>
        <v/>
      </c>
      <c r="AQ104" s="450" t="str">
        <f t="shared" si="198"/>
        <v/>
      </c>
      <c r="AR104" s="450" t="str">
        <f t="shared" si="199"/>
        <v/>
      </c>
      <c r="AS104" s="450" t="str">
        <f t="shared" si="200"/>
        <v/>
      </c>
      <c r="AT104" s="450" t="str">
        <f t="shared" si="201"/>
        <v/>
      </c>
      <c r="AU104" s="451" t="str">
        <f t="shared" si="202"/>
        <v/>
      </c>
      <c r="AV104" s="676">
        <f>'2020'!L104</f>
        <v>0</v>
      </c>
      <c r="AW104" s="641">
        <f>'2021'!L104</f>
        <v>0</v>
      </c>
      <c r="AX104" s="641">
        <f>'2022'!L104</f>
        <v>0</v>
      </c>
      <c r="AY104" s="641">
        <f>'2023'!L104</f>
        <v>0</v>
      </c>
      <c r="AZ104" s="641">
        <f>'2024'!L104</f>
        <v>0</v>
      </c>
      <c r="BA104" s="642">
        <f>'2025'!L104</f>
        <v>0</v>
      </c>
      <c r="BB104" s="449" t="str">
        <f t="shared" si="209"/>
        <v/>
      </c>
      <c r="BC104" s="450" t="str">
        <f t="shared" si="203"/>
        <v/>
      </c>
      <c r="BD104" s="450" t="str">
        <f t="shared" si="204"/>
        <v/>
      </c>
      <c r="BE104" s="450" t="str">
        <f t="shared" si="205"/>
        <v/>
      </c>
      <c r="BF104" s="450" t="str">
        <f t="shared" si="206"/>
        <v/>
      </c>
      <c r="BG104" s="451" t="str">
        <f t="shared" si="207"/>
        <v/>
      </c>
      <c r="BH104" s="966">
        <f>'2020'!N104</f>
        <v>0</v>
      </c>
      <c r="BI104" s="967">
        <f>'2021'!N104</f>
        <v>0</v>
      </c>
      <c r="BJ104" s="967">
        <f>'2022'!N104</f>
        <v>0</v>
      </c>
      <c r="BK104" s="967">
        <f>'2023'!N104</f>
        <v>0</v>
      </c>
      <c r="BL104" s="967">
        <f>'2024'!N104</f>
        <v>0</v>
      </c>
      <c r="BM104" s="968">
        <f>'2025'!N104</f>
        <v>0</v>
      </c>
      <c r="BN104" s="452"/>
      <c r="BO104" s="453"/>
      <c r="BP104" s="452"/>
      <c r="BQ104" s="453"/>
      <c r="BR104" s="477"/>
      <c r="BS104" s="478"/>
      <c r="BT104" s="477"/>
      <c r="BU104" s="479"/>
      <c r="CC104" s="1" t="str">
        <f t="shared" si="210"/>
        <v/>
      </c>
      <c r="CD104" s="1" t="str">
        <f t="shared" si="211"/>
        <v/>
      </c>
      <c r="CE104" s="1" t="str">
        <f t="shared" si="212"/>
        <v/>
      </c>
      <c r="CF104" s="1" t="str">
        <f t="shared" si="213"/>
        <v/>
      </c>
      <c r="CG104" s="1" t="str">
        <f t="shared" si="214"/>
        <v/>
      </c>
      <c r="CH104" s="1" t="str">
        <f t="shared" si="215"/>
        <v/>
      </c>
    </row>
    <row r="105" spans="2:86" ht="15.75" customHeight="1">
      <c r="B105" s="1013"/>
      <c r="C105" s="1079"/>
      <c r="D105" s="1081"/>
      <c r="E105" s="1072"/>
      <c r="F105" s="1072"/>
      <c r="G105" s="1072"/>
      <c r="H105" s="1072"/>
      <c r="I105" s="1077"/>
      <c r="J105" s="905" t="s">
        <v>146</v>
      </c>
      <c r="K105" s="433" t="str">
        <f t="shared" si="275"/>
        <v/>
      </c>
      <c r="L105" s="433" t="str">
        <f t="shared" si="276"/>
        <v>X</v>
      </c>
      <c r="M105" s="433" t="str">
        <f t="shared" si="277"/>
        <v>X</v>
      </c>
      <c r="N105" s="433" t="str">
        <f t="shared" si="278"/>
        <v/>
      </c>
      <c r="O105" s="433" t="str">
        <f t="shared" si="279"/>
        <v/>
      </c>
      <c r="P105" s="434" t="str">
        <f t="shared" si="280"/>
        <v/>
      </c>
      <c r="Q105" s="435" t="s">
        <v>62</v>
      </c>
      <c r="R105" s="640">
        <f>'2020'!G105</f>
        <v>0</v>
      </c>
      <c r="S105" s="641">
        <f>'2021'!G105</f>
        <v>14</v>
      </c>
      <c r="T105" s="641">
        <f>'2022'!G105</f>
        <v>5</v>
      </c>
      <c r="U105" s="641">
        <f>'2023'!G105</f>
        <v>0</v>
      </c>
      <c r="V105" s="641">
        <f>'2024'!G105</f>
        <v>0</v>
      </c>
      <c r="W105" s="642">
        <f>'2025'!G105</f>
        <v>0</v>
      </c>
      <c r="X105" s="676">
        <f>'2020'!H105</f>
        <v>0</v>
      </c>
      <c r="Y105" s="641">
        <f>'2021'!H105</f>
        <v>14</v>
      </c>
      <c r="Z105" s="641">
        <f>'2022'!H105</f>
        <v>5</v>
      </c>
      <c r="AA105" s="641">
        <f>'2023'!H105</f>
        <v>0</v>
      </c>
      <c r="AB105" s="641">
        <f>'2024'!H105</f>
        <v>0</v>
      </c>
      <c r="AC105" s="642">
        <f>'2025'!H105</f>
        <v>0</v>
      </c>
      <c r="AD105" s="449">
        <f t="shared" si="192"/>
        <v>0</v>
      </c>
      <c r="AE105" s="450">
        <f t="shared" si="193"/>
        <v>1</v>
      </c>
      <c r="AF105" s="450">
        <f t="shared" si="268"/>
        <v>0.4</v>
      </c>
      <c r="AG105" s="450">
        <f t="shared" si="195"/>
        <v>0</v>
      </c>
      <c r="AH105" s="450">
        <f t="shared" si="196"/>
        <v>0</v>
      </c>
      <c r="AI105" s="451">
        <f t="shared" si="197"/>
        <v>0</v>
      </c>
      <c r="AJ105" s="676">
        <f>'2020'!J105</f>
        <v>0</v>
      </c>
      <c r="AK105" s="641">
        <f>'2021'!J105</f>
        <v>14</v>
      </c>
      <c r="AL105" s="641">
        <f>'2022'!J105</f>
        <v>2</v>
      </c>
      <c r="AM105" s="641">
        <f>'2023'!J105</f>
        <v>0</v>
      </c>
      <c r="AN105" s="641">
        <f>'2024'!J105</f>
        <v>0</v>
      </c>
      <c r="AO105" s="642">
        <f>'2025'!J105</f>
        <v>0</v>
      </c>
      <c r="AP105" s="449" t="str">
        <f t="shared" si="208"/>
        <v/>
      </c>
      <c r="AQ105" s="450">
        <f t="shared" si="198"/>
        <v>0.35714285714285715</v>
      </c>
      <c r="AR105" s="450">
        <f t="shared" si="199"/>
        <v>0.2</v>
      </c>
      <c r="AS105" s="450" t="str">
        <f t="shared" si="200"/>
        <v/>
      </c>
      <c r="AT105" s="450" t="str">
        <f t="shared" si="201"/>
        <v/>
      </c>
      <c r="AU105" s="451" t="str">
        <f t="shared" si="202"/>
        <v/>
      </c>
      <c r="AV105" s="676">
        <f>'2020'!L105</f>
        <v>0</v>
      </c>
      <c r="AW105" s="641">
        <f>'2021'!L105</f>
        <v>5</v>
      </c>
      <c r="AX105" s="641">
        <f>'2022'!L105</f>
        <v>1</v>
      </c>
      <c r="AY105" s="641">
        <f>'2023'!L105</f>
        <v>0</v>
      </c>
      <c r="AZ105" s="641">
        <f>'2024'!L105</f>
        <v>0</v>
      </c>
      <c r="BA105" s="642">
        <f>'2025'!L105</f>
        <v>0</v>
      </c>
      <c r="BB105" s="449" t="str">
        <f t="shared" si="209"/>
        <v/>
      </c>
      <c r="BC105" s="450">
        <f t="shared" si="203"/>
        <v>1</v>
      </c>
      <c r="BD105" s="450">
        <f t="shared" si="204"/>
        <v>1</v>
      </c>
      <c r="BE105" s="450" t="str">
        <f t="shared" si="205"/>
        <v/>
      </c>
      <c r="BF105" s="450" t="str">
        <f t="shared" si="206"/>
        <v/>
      </c>
      <c r="BG105" s="451" t="str">
        <f t="shared" si="207"/>
        <v/>
      </c>
      <c r="BH105" s="966">
        <f>'2020'!N105</f>
        <v>0</v>
      </c>
      <c r="BI105" s="967">
        <f>'2021'!N105</f>
        <v>5</v>
      </c>
      <c r="BJ105" s="967">
        <f>'2022'!N105</f>
        <v>1</v>
      </c>
      <c r="BK105" s="967">
        <f>'2023'!N105</f>
        <v>0</v>
      </c>
      <c r="BL105" s="967">
        <f>'2024'!N105</f>
        <v>0</v>
      </c>
      <c r="BM105" s="968">
        <f>'2025'!N105</f>
        <v>0</v>
      </c>
      <c r="BN105" s="452" t="s">
        <v>21</v>
      </c>
      <c r="BO105" s="453" t="s">
        <v>21</v>
      </c>
      <c r="BP105" s="452" t="s">
        <v>21</v>
      </c>
      <c r="BQ105" s="453" t="s">
        <v>21</v>
      </c>
      <c r="BR105" s="477">
        <v>14</v>
      </c>
      <c r="BS105" s="478">
        <v>14</v>
      </c>
      <c r="BT105" s="477">
        <v>0</v>
      </c>
      <c r="BU105" s="479">
        <v>0</v>
      </c>
      <c r="CC105" s="1" t="str">
        <f t="shared" si="210"/>
        <v/>
      </c>
      <c r="CD105" s="1" t="str">
        <f t="shared" si="211"/>
        <v>Frontière</v>
      </c>
      <c r="CE105" s="1" t="str">
        <f t="shared" si="212"/>
        <v>Frontière</v>
      </c>
      <c r="CF105" s="1" t="str">
        <f t="shared" si="213"/>
        <v/>
      </c>
      <c r="CG105" s="1" t="str">
        <f t="shared" si="214"/>
        <v/>
      </c>
      <c r="CH105" s="1" t="str">
        <f t="shared" si="215"/>
        <v/>
      </c>
    </row>
    <row r="106" spans="2:86" ht="15.75" customHeight="1">
      <c r="B106" s="1013"/>
      <c r="C106" s="1079"/>
      <c r="D106" s="1081"/>
      <c r="E106" s="1072"/>
      <c r="F106" s="1072"/>
      <c r="G106" s="1072"/>
      <c r="H106" s="1072"/>
      <c r="I106" s="1077"/>
      <c r="J106" s="905" t="s">
        <v>166</v>
      </c>
      <c r="K106" s="433" t="str">
        <f t="shared" si="275"/>
        <v/>
      </c>
      <c r="L106" s="433" t="str">
        <f t="shared" si="276"/>
        <v/>
      </c>
      <c r="M106" s="433" t="str">
        <f t="shared" si="277"/>
        <v/>
      </c>
      <c r="N106" s="433" t="str">
        <f t="shared" si="278"/>
        <v/>
      </c>
      <c r="O106" s="433" t="str">
        <f t="shared" si="279"/>
        <v/>
      </c>
      <c r="P106" s="434" t="str">
        <f t="shared" si="280"/>
        <v/>
      </c>
      <c r="Q106" s="435"/>
      <c r="R106" s="640">
        <f>'2020'!G106</f>
        <v>0</v>
      </c>
      <c r="S106" s="641">
        <f>'2021'!G106</f>
        <v>0</v>
      </c>
      <c r="T106" s="641">
        <f>'2022'!G106</f>
        <v>0</v>
      </c>
      <c r="U106" s="641">
        <f>'2023'!G106</f>
        <v>0</v>
      </c>
      <c r="V106" s="641">
        <f>'2024'!G106</f>
        <v>0</v>
      </c>
      <c r="W106" s="642">
        <f>'2025'!G106</f>
        <v>0</v>
      </c>
      <c r="X106" s="676">
        <f>'2020'!H106</f>
        <v>0</v>
      </c>
      <c r="Y106" s="641">
        <f>'2021'!H106</f>
        <v>0</v>
      </c>
      <c r="Z106" s="641">
        <f>'2022'!H106</f>
        <v>0</v>
      </c>
      <c r="AA106" s="641">
        <f>'2023'!H106</f>
        <v>0</v>
      </c>
      <c r="AB106" s="641">
        <f>'2024'!H106</f>
        <v>0</v>
      </c>
      <c r="AC106" s="642">
        <f>'2025'!H106</f>
        <v>0</v>
      </c>
      <c r="AD106" s="449">
        <f t="shared" si="192"/>
        <v>0</v>
      </c>
      <c r="AE106" s="450">
        <f t="shared" si="193"/>
        <v>0</v>
      </c>
      <c r="AF106" s="450">
        <f t="shared" si="268"/>
        <v>0</v>
      </c>
      <c r="AG106" s="450">
        <f t="shared" si="195"/>
        <v>0</v>
      </c>
      <c r="AH106" s="450">
        <f t="shared" si="196"/>
        <v>0</v>
      </c>
      <c r="AI106" s="451">
        <f t="shared" si="197"/>
        <v>0</v>
      </c>
      <c r="AJ106" s="676">
        <f>'2020'!J106</f>
        <v>0</v>
      </c>
      <c r="AK106" s="641">
        <f>'2021'!J106</f>
        <v>0</v>
      </c>
      <c r="AL106" s="641">
        <f>'2022'!J106</f>
        <v>0</v>
      </c>
      <c r="AM106" s="641">
        <f>'2023'!J106</f>
        <v>0</v>
      </c>
      <c r="AN106" s="641">
        <f>'2024'!J106</f>
        <v>0</v>
      </c>
      <c r="AO106" s="642">
        <f>'2025'!J106</f>
        <v>0</v>
      </c>
      <c r="AP106" s="449" t="str">
        <f t="shared" si="208"/>
        <v/>
      </c>
      <c r="AQ106" s="450" t="str">
        <f t="shared" si="198"/>
        <v/>
      </c>
      <c r="AR106" s="450" t="str">
        <f t="shared" si="199"/>
        <v/>
      </c>
      <c r="AS106" s="450" t="str">
        <f t="shared" si="200"/>
        <v/>
      </c>
      <c r="AT106" s="450" t="str">
        <f t="shared" si="201"/>
        <v/>
      </c>
      <c r="AU106" s="451" t="str">
        <f t="shared" si="202"/>
        <v/>
      </c>
      <c r="AV106" s="676">
        <f>'2020'!L106</f>
        <v>0</v>
      </c>
      <c r="AW106" s="641">
        <f>'2021'!L106</f>
        <v>0</v>
      </c>
      <c r="AX106" s="641">
        <f>'2022'!L106</f>
        <v>0</v>
      </c>
      <c r="AY106" s="641">
        <f>'2023'!L106</f>
        <v>0</v>
      </c>
      <c r="AZ106" s="641">
        <f>'2024'!L106</f>
        <v>0</v>
      </c>
      <c r="BA106" s="642">
        <f>'2025'!L106</f>
        <v>0</v>
      </c>
      <c r="BB106" s="449" t="str">
        <f t="shared" si="209"/>
        <v/>
      </c>
      <c r="BC106" s="450" t="str">
        <f t="shared" si="203"/>
        <v/>
      </c>
      <c r="BD106" s="450" t="str">
        <f t="shared" si="204"/>
        <v/>
      </c>
      <c r="BE106" s="450" t="str">
        <f t="shared" si="205"/>
        <v/>
      </c>
      <c r="BF106" s="450" t="str">
        <f t="shared" si="206"/>
        <v/>
      </c>
      <c r="BG106" s="451" t="str">
        <f t="shared" si="207"/>
        <v/>
      </c>
      <c r="BH106" s="966">
        <f>'2020'!N106</f>
        <v>0</v>
      </c>
      <c r="BI106" s="967">
        <f>'2021'!N106</f>
        <v>0</v>
      </c>
      <c r="BJ106" s="967">
        <f>'2022'!N106</f>
        <v>0</v>
      </c>
      <c r="BK106" s="967">
        <f>'2023'!N106</f>
        <v>0</v>
      </c>
      <c r="BL106" s="967">
        <f>'2024'!N106</f>
        <v>0</v>
      </c>
      <c r="BM106" s="968">
        <f>'2025'!N106</f>
        <v>0</v>
      </c>
      <c r="BN106" s="452"/>
      <c r="BO106" s="453"/>
      <c r="BP106" s="452"/>
      <c r="BQ106" s="453"/>
      <c r="BR106" s="477"/>
      <c r="BS106" s="478"/>
      <c r="BT106" s="477"/>
      <c r="BU106" s="479"/>
      <c r="CC106" s="1" t="str">
        <f t="shared" si="210"/>
        <v/>
      </c>
      <c r="CD106" s="1" t="str">
        <f t="shared" si="211"/>
        <v/>
      </c>
      <c r="CE106" s="1" t="str">
        <f t="shared" si="212"/>
        <v/>
      </c>
      <c r="CF106" s="1" t="str">
        <f t="shared" si="213"/>
        <v/>
      </c>
      <c r="CG106" s="1" t="str">
        <f t="shared" si="214"/>
        <v/>
      </c>
      <c r="CH106" s="1" t="str">
        <f t="shared" si="215"/>
        <v/>
      </c>
    </row>
    <row r="107" spans="2:86" ht="15.75" customHeight="1">
      <c r="B107" s="1013"/>
      <c r="C107" s="1079"/>
      <c r="D107" s="1081"/>
      <c r="E107" s="1072"/>
      <c r="F107" s="1072"/>
      <c r="G107" s="1072"/>
      <c r="H107" s="1072"/>
      <c r="I107" s="1077"/>
      <c r="J107" s="905" t="s">
        <v>166</v>
      </c>
      <c r="K107" s="433" t="str">
        <f t="shared" si="275"/>
        <v/>
      </c>
      <c r="L107" s="433" t="str">
        <f t="shared" si="276"/>
        <v/>
      </c>
      <c r="M107" s="433" t="str">
        <f t="shared" si="277"/>
        <v/>
      </c>
      <c r="N107" s="433" t="str">
        <f t="shared" si="278"/>
        <v/>
      </c>
      <c r="O107" s="433" t="str">
        <f t="shared" si="279"/>
        <v/>
      </c>
      <c r="P107" s="434" t="str">
        <f t="shared" si="280"/>
        <v/>
      </c>
      <c r="Q107" s="435"/>
      <c r="R107" s="640">
        <f>'2020'!G107</f>
        <v>0</v>
      </c>
      <c r="S107" s="641">
        <f>'2021'!G107</f>
        <v>0</v>
      </c>
      <c r="T107" s="641">
        <f>'2022'!G107</f>
        <v>0</v>
      </c>
      <c r="U107" s="641">
        <f>'2023'!G107</f>
        <v>0</v>
      </c>
      <c r="V107" s="641">
        <f>'2024'!G107</f>
        <v>0</v>
      </c>
      <c r="W107" s="642">
        <f>'2025'!G107</f>
        <v>0</v>
      </c>
      <c r="X107" s="676">
        <f>'2020'!H107</f>
        <v>0</v>
      </c>
      <c r="Y107" s="641">
        <f>'2021'!H107</f>
        <v>0</v>
      </c>
      <c r="Z107" s="641">
        <f>'2022'!H107</f>
        <v>0</v>
      </c>
      <c r="AA107" s="641">
        <f>'2023'!H107</f>
        <v>0</v>
      </c>
      <c r="AB107" s="641">
        <f>'2024'!H107</f>
        <v>0</v>
      </c>
      <c r="AC107" s="642">
        <f>'2025'!H107</f>
        <v>0</v>
      </c>
      <c r="AD107" s="449">
        <f t="shared" si="192"/>
        <v>0</v>
      </c>
      <c r="AE107" s="450">
        <f t="shared" si="193"/>
        <v>0</v>
      </c>
      <c r="AF107" s="450">
        <f t="shared" si="268"/>
        <v>0</v>
      </c>
      <c r="AG107" s="450">
        <f t="shared" si="195"/>
        <v>0</v>
      </c>
      <c r="AH107" s="450">
        <f t="shared" si="196"/>
        <v>0</v>
      </c>
      <c r="AI107" s="451">
        <f t="shared" si="197"/>
        <v>0</v>
      </c>
      <c r="AJ107" s="676">
        <f>'2020'!J107</f>
        <v>0</v>
      </c>
      <c r="AK107" s="641">
        <f>'2021'!J107</f>
        <v>0</v>
      </c>
      <c r="AL107" s="641">
        <f>'2022'!J107</f>
        <v>0</v>
      </c>
      <c r="AM107" s="641">
        <f>'2023'!J107</f>
        <v>0</v>
      </c>
      <c r="AN107" s="641">
        <f>'2024'!J107</f>
        <v>0</v>
      </c>
      <c r="AO107" s="642">
        <f>'2025'!J107</f>
        <v>0</v>
      </c>
      <c r="AP107" s="449" t="str">
        <f t="shared" si="208"/>
        <v/>
      </c>
      <c r="AQ107" s="450" t="str">
        <f t="shared" si="198"/>
        <v/>
      </c>
      <c r="AR107" s="450" t="str">
        <f t="shared" si="199"/>
        <v/>
      </c>
      <c r="AS107" s="450" t="str">
        <f t="shared" si="200"/>
        <v/>
      </c>
      <c r="AT107" s="450" t="str">
        <f t="shared" si="201"/>
        <v/>
      </c>
      <c r="AU107" s="451" t="str">
        <f t="shared" si="202"/>
        <v/>
      </c>
      <c r="AV107" s="676">
        <f>'2020'!L107</f>
        <v>0</v>
      </c>
      <c r="AW107" s="641">
        <f>'2021'!L107</f>
        <v>0</v>
      </c>
      <c r="AX107" s="641">
        <f>'2022'!L107</f>
        <v>0</v>
      </c>
      <c r="AY107" s="641">
        <f>'2023'!L107</f>
        <v>0</v>
      </c>
      <c r="AZ107" s="641">
        <f>'2024'!L107</f>
        <v>0</v>
      </c>
      <c r="BA107" s="642">
        <f>'2025'!L107</f>
        <v>0</v>
      </c>
      <c r="BB107" s="449" t="str">
        <f t="shared" si="209"/>
        <v/>
      </c>
      <c r="BC107" s="450" t="str">
        <f t="shared" si="203"/>
        <v/>
      </c>
      <c r="BD107" s="450" t="str">
        <f t="shared" si="204"/>
        <v/>
      </c>
      <c r="BE107" s="450" t="str">
        <f t="shared" si="205"/>
        <v/>
      </c>
      <c r="BF107" s="450" t="str">
        <f t="shared" si="206"/>
        <v/>
      </c>
      <c r="BG107" s="451" t="str">
        <f t="shared" si="207"/>
        <v/>
      </c>
      <c r="BH107" s="966">
        <f>'2020'!N107</f>
        <v>0</v>
      </c>
      <c r="BI107" s="967">
        <f>'2021'!N107</f>
        <v>0</v>
      </c>
      <c r="BJ107" s="967">
        <f>'2022'!N107</f>
        <v>0</v>
      </c>
      <c r="BK107" s="967">
        <f>'2023'!N107</f>
        <v>0</v>
      </c>
      <c r="BL107" s="967">
        <f>'2024'!N107</f>
        <v>0</v>
      </c>
      <c r="BM107" s="968">
        <f>'2025'!N107</f>
        <v>0</v>
      </c>
      <c r="BN107" s="452"/>
      <c r="BO107" s="453"/>
      <c r="BP107" s="452"/>
      <c r="BQ107" s="453"/>
      <c r="BR107" s="477"/>
      <c r="BS107" s="478"/>
      <c r="BT107" s="477"/>
      <c r="BU107" s="479"/>
      <c r="CC107" s="1" t="str">
        <f t="shared" si="210"/>
        <v/>
      </c>
      <c r="CD107" s="1" t="str">
        <f t="shared" si="211"/>
        <v/>
      </c>
      <c r="CE107" s="1" t="str">
        <f t="shared" si="212"/>
        <v/>
      </c>
      <c r="CF107" s="1" t="str">
        <f t="shared" si="213"/>
        <v/>
      </c>
      <c r="CG107" s="1" t="str">
        <f t="shared" si="214"/>
        <v/>
      </c>
      <c r="CH107" s="1" t="str">
        <f t="shared" si="215"/>
        <v/>
      </c>
    </row>
    <row r="108" spans="2:86" ht="15.75" customHeight="1">
      <c r="B108" s="1013"/>
      <c r="C108" s="1079"/>
      <c r="D108" s="1082"/>
      <c r="E108" s="1073"/>
      <c r="F108" s="1073"/>
      <c r="G108" s="1073"/>
      <c r="H108" s="1073"/>
      <c r="I108" s="1078"/>
      <c r="J108" s="907" t="s">
        <v>166</v>
      </c>
      <c r="K108" s="436" t="str">
        <f t="shared" si="275"/>
        <v/>
      </c>
      <c r="L108" s="436" t="str">
        <f t="shared" si="276"/>
        <v/>
      </c>
      <c r="M108" s="436" t="str">
        <f t="shared" si="277"/>
        <v/>
      </c>
      <c r="N108" s="436" t="str">
        <f t="shared" si="278"/>
        <v/>
      </c>
      <c r="O108" s="436" t="str">
        <f t="shared" si="279"/>
        <v/>
      </c>
      <c r="P108" s="437" t="str">
        <f t="shared" si="280"/>
        <v/>
      </c>
      <c r="Q108" s="256"/>
      <c r="R108" s="643">
        <f>'2020'!G108</f>
        <v>0</v>
      </c>
      <c r="S108" s="644">
        <f>'2021'!G108</f>
        <v>0</v>
      </c>
      <c r="T108" s="644">
        <f>'2022'!G108</f>
        <v>0</v>
      </c>
      <c r="U108" s="644">
        <f>'2023'!G108</f>
        <v>0</v>
      </c>
      <c r="V108" s="644">
        <f>'2024'!G108</f>
        <v>0</v>
      </c>
      <c r="W108" s="645">
        <f>'2025'!G108</f>
        <v>0</v>
      </c>
      <c r="X108" s="677">
        <f>'2020'!H108</f>
        <v>0</v>
      </c>
      <c r="Y108" s="644">
        <f>'2021'!H108</f>
        <v>0</v>
      </c>
      <c r="Z108" s="644">
        <f>'2022'!H108</f>
        <v>0</v>
      </c>
      <c r="AA108" s="644">
        <f>'2023'!H108</f>
        <v>0</v>
      </c>
      <c r="AB108" s="644">
        <f>'2024'!H108</f>
        <v>0</v>
      </c>
      <c r="AC108" s="645">
        <f>'2025'!H108</f>
        <v>0</v>
      </c>
      <c r="AD108" s="460">
        <f t="shared" si="192"/>
        <v>0</v>
      </c>
      <c r="AE108" s="461">
        <f t="shared" si="193"/>
        <v>0</v>
      </c>
      <c r="AF108" s="461">
        <f t="shared" si="268"/>
        <v>0</v>
      </c>
      <c r="AG108" s="461">
        <f t="shared" si="195"/>
        <v>0</v>
      </c>
      <c r="AH108" s="461">
        <f t="shared" si="196"/>
        <v>0</v>
      </c>
      <c r="AI108" s="462">
        <f t="shared" si="197"/>
        <v>0</v>
      </c>
      <c r="AJ108" s="677">
        <f>'2020'!J108</f>
        <v>0</v>
      </c>
      <c r="AK108" s="644">
        <f>'2021'!J108</f>
        <v>0</v>
      </c>
      <c r="AL108" s="644">
        <f>'2022'!J108</f>
        <v>0</v>
      </c>
      <c r="AM108" s="644">
        <f>'2023'!J108</f>
        <v>0</v>
      </c>
      <c r="AN108" s="644">
        <f>'2024'!J108</f>
        <v>0</v>
      </c>
      <c r="AO108" s="645">
        <f>'2025'!J108</f>
        <v>0</v>
      </c>
      <c r="AP108" s="460" t="str">
        <f t="shared" si="208"/>
        <v/>
      </c>
      <c r="AQ108" s="461" t="str">
        <f t="shared" si="198"/>
        <v/>
      </c>
      <c r="AR108" s="461" t="str">
        <f t="shared" si="199"/>
        <v/>
      </c>
      <c r="AS108" s="461" t="str">
        <f t="shared" si="200"/>
        <v/>
      </c>
      <c r="AT108" s="461" t="str">
        <f t="shared" si="201"/>
        <v/>
      </c>
      <c r="AU108" s="462" t="str">
        <f t="shared" si="202"/>
        <v/>
      </c>
      <c r="AV108" s="677">
        <f>'2020'!L108</f>
        <v>0</v>
      </c>
      <c r="AW108" s="644">
        <f>'2021'!L108</f>
        <v>0</v>
      </c>
      <c r="AX108" s="644">
        <f>'2022'!L108</f>
        <v>0</v>
      </c>
      <c r="AY108" s="644">
        <f>'2023'!L108</f>
        <v>0</v>
      </c>
      <c r="AZ108" s="644">
        <f>'2024'!L108</f>
        <v>0</v>
      </c>
      <c r="BA108" s="645">
        <f>'2025'!L108</f>
        <v>0</v>
      </c>
      <c r="BB108" s="460" t="str">
        <f t="shared" si="209"/>
        <v/>
      </c>
      <c r="BC108" s="461" t="str">
        <f t="shared" si="203"/>
        <v/>
      </c>
      <c r="BD108" s="461" t="str">
        <f t="shared" si="204"/>
        <v/>
      </c>
      <c r="BE108" s="461" t="str">
        <f t="shared" si="205"/>
        <v/>
      </c>
      <c r="BF108" s="461" t="str">
        <f t="shared" si="206"/>
        <v/>
      </c>
      <c r="BG108" s="462" t="str">
        <f t="shared" si="207"/>
        <v/>
      </c>
      <c r="BH108" s="969">
        <f>'2020'!N108</f>
        <v>0</v>
      </c>
      <c r="BI108" s="970">
        <f>'2021'!N108</f>
        <v>0</v>
      </c>
      <c r="BJ108" s="970">
        <f>'2022'!N108</f>
        <v>0</v>
      </c>
      <c r="BK108" s="970">
        <f>'2023'!N108</f>
        <v>0</v>
      </c>
      <c r="BL108" s="970">
        <f>'2024'!N108</f>
        <v>0</v>
      </c>
      <c r="BM108" s="971">
        <f>'2025'!N108</f>
        <v>0</v>
      </c>
      <c r="BN108" s="463"/>
      <c r="BO108" s="464"/>
      <c r="BP108" s="463"/>
      <c r="BQ108" s="464"/>
      <c r="BR108" s="481"/>
      <c r="BS108" s="482"/>
      <c r="BT108" s="481"/>
      <c r="BU108" s="483"/>
      <c r="CC108" s="1" t="str">
        <f t="shared" si="210"/>
        <v/>
      </c>
      <c r="CD108" s="1" t="str">
        <f t="shared" si="211"/>
        <v/>
      </c>
      <c r="CE108" s="1" t="str">
        <f t="shared" si="212"/>
        <v/>
      </c>
      <c r="CF108" s="1" t="str">
        <f t="shared" si="213"/>
        <v/>
      </c>
      <c r="CG108" s="1" t="str">
        <f t="shared" si="214"/>
        <v/>
      </c>
      <c r="CH108" s="1" t="str">
        <f t="shared" si="215"/>
        <v/>
      </c>
    </row>
    <row r="109" spans="2:86" ht="15.75">
      <c r="B109" s="1018"/>
      <c r="C109" s="1079"/>
      <c r="D109" s="404" t="s">
        <v>138</v>
      </c>
      <c r="E109" s="401"/>
      <c r="F109" s="401"/>
      <c r="G109" s="401"/>
      <c r="H109" s="401"/>
      <c r="I109" s="409"/>
      <c r="J109" s="898"/>
      <c r="K109" s="414">
        <f>COUNTIF(K96:K108,"X")</f>
        <v>6</v>
      </c>
      <c r="L109" s="418">
        <f t="shared" ref="L109:P109" si="281">COUNTIF(L96:L108,"X")</f>
        <v>8</v>
      </c>
      <c r="M109" s="418">
        <f t="shared" si="281"/>
        <v>7</v>
      </c>
      <c r="N109" s="418">
        <f t="shared" si="281"/>
        <v>0</v>
      </c>
      <c r="O109" s="418">
        <f t="shared" si="281"/>
        <v>0</v>
      </c>
      <c r="P109" s="419">
        <f t="shared" si="281"/>
        <v>0</v>
      </c>
      <c r="Q109" s="210"/>
      <c r="R109" s="657">
        <f>SUM(R96:R108)</f>
        <v>167</v>
      </c>
      <c r="S109" s="658">
        <f t="shared" ref="S109:W109" si="282">SUM(S96:S108)</f>
        <v>245</v>
      </c>
      <c r="T109" s="658">
        <f t="shared" si="282"/>
        <v>302</v>
      </c>
      <c r="U109" s="658">
        <f t="shared" si="282"/>
        <v>0</v>
      </c>
      <c r="V109" s="658">
        <f t="shared" si="282"/>
        <v>0</v>
      </c>
      <c r="W109" s="659">
        <f t="shared" si="282"/>
        <v>0</v>
      </c>
      <c r="X109" s="682">
        <f>SUM(X96:X108)</f>
        <v>167</v>
      </c>
      <c r="Y109" s="658">
        <f t="shared" ref="Y109:AC109" si="283">SUM(Y96:Y108)</f>
        <v>245</v>
      </c>
      <c r="Z109" s="658">
        <f t="shared" si="283"/>
        <v>227</v>
      </c>
      <c r="AA109" s="658">
        <f t="shared" si="283"/>
        <v>0</v>
      </c>
      <c r="AB109" s="658">
        <f t="shared" si="283"/>
        <v>0</v>
      </c>
      <c r="AC109" s="659">
        <f t="shared" si="283"/>
        <v>0</v>
      </c>
      <c r="AD109" s="338">
        <f t="shared" si="192"/>
        <v>0.45035928143712572</v>
      </c>
      <c r="AE109" s="339">
        <f t="shared" si="193"/>
        <v>0.5591836734693878</v>
      </c>
      <c r="AF109" s="339">
        <f t="shared" si="268"/>
        <v>0.56622516556291391</v>
      </c>
      <c r="AG109" s="339">
        <f t="shared" si="195"/>
        <v>0</v>
      </c>
      <c r="AH109" s="339">
        <f t="shared" si="196"/>
        <v>0</v>
      </c>
      <c r="AI109" s="344">
        <f t="shared" si="197"/>
        <v>0</v>
      </c>
      <c r="AJ109" s="682">
        <f>SUM(AJ96:AJ108)</f>
        <v>75.209999999999994</v>
      </c>
      <c r="AK109" s="658">
        <f t="shared" ref="AK109" si="284">SUM(AK96:AK108)</f>
        <v>137</v>
      </c>
      <c r="AL109" s="658">
        <f t="shared" ref="AL109" si="285">SUM(AL96:AL108)</f>
        <v>171</v>
      </c>
      <c r="AM109" s="658">
        <f t="shared" ref="AM109" si="286">SUM(AM96:AM108)</f>
        <v>0</v>
      </c>
      <c r="AN109" s="658">
        <f t="shared" ref="AN109" si="287">SUM(AN96:AN108)</f>
        <v>0</v>
      </c>
      <c r="AO109" s="659">
        <f t="shared" ref="AO109" si="288">SUM(AO96:AO108)</f>
        <v>0</v>
      </c>
      <c r="AP109" s="338">
        <f t="shared" si="208"/>
        <v>0.37479041916167671</v>
      </c>
      <c r="AQ109" s="339">
        <f t="shared" si="198"/>
        <v>0.39591836734693875</v>
      </c>
      <c r="AR109" s="339">
        <f t="shared" si="199"/>
        <v>0.34105960264900664</v>
      </c>
      <c r="AS109" s="339" t="str">
        <f t="shared" si="200"/>
        <v/>
      </c>
      <c r="AT109" s="339" t="str">
        <f t="shared" si="201"/>
        <v/>
      </c>
      <c r="AU109" s="344" t="str">
        <f t="shared" si="202"/>
        <v/>
      </c>
      <c r="AV109" s="682">
        <f>SUM(AV96:AV108)</f>
        <v>62.590000000000011</v>
      </c>
      <c r="AW109" s="658">
        <f t="shared" ref="AW109" si="289">SUM(AW96:AW108)</f>
        <v>97</v>
      </c>
      <c r="AX109" s="658">
        <f t="shared" ref="AX109" si="290">SUM(AX96:AX108)</f>
        <v>103</v>
      </c>
      <c r="AY109" s="658">
        <f t="shared" ref="AY109" si="291">SUM(AY96:AY108)</f>
        <v>0</v>
      </c>
      <c r="AZ109" s="658">
        <f t="shared" ref="AZ109" si="292">SUM(AZ96:AZ108)</f>
        <v>0</v>
      </c>
      <c r="BA109" s="659">
        <f t="shared" ref="BA109" si="293">SUM(BA96:BA108)</f>
        <v>0</v>
      </c>
      <c r="BB109" s="340">
        <f t="shared" si="209"/>
        <v>0.55760025563189008</v>
      </c>
      <c r="BC109" s="341">
        <f t="shared" si="203"/>
        <v>0.69072164948453607</v>
      </c>
      <c r="BD109" s="341">
        <f t="shared" si="204"/>
        <v>0.66990291262135926</v>
      </c>
      <c r="BE109" s="341" t="str">
        <f t="shared" si="205"/>
        <v/>
      </c>
      <c r="BF109" s="341" t="str">
        <f t="shared" si="206"/>
        <v/>
      </c>
      <c r="BG109" s="345" t="str">
        <f t="shared" si="207"/>
        <v/>
      </c>
      <c r="BH109" s="682">
        <f>SUM(BH96:BH108)</f>
        <v>34.900200000000005</v>
      </c>
      <c r="BI109" s="658">
        <f t="shared" ref="BI109" si="294">SUM(BI96:BI108)</f>
        <v>67</v>
      </c>
      <c r="BJ109" s="658">
        <f t="shared" ref="BJ109" si="295">SUM(BJ96:BJ108)</f>
        <v>69</v>
      </c>
      <c r="BK109" s="658">
        <f t="shared" ref="BK109" si="296">SUM(BK96:BK108)</f>
        <v>0</v>
      </c>
      <c r="BL109" s="658">
        <f t="shared" ref="BL109" si="297">SUM(BL96:BL108)</f>
        <v>0</v>
      </c>
      <c r="BM109" s="659">
        <f t="shared" ref="BM109" si="298">SUM(BM96:BM108)</f>
        <v>0</v>
      </c>
      <c r="BN109" s="354">
        <f t="shared" ref="BN109" si="299">SUM(BN96:BN105)</f>
        <v>0</v>
      </c>
      <c r="BO109" s="355">
        <f t="shared" ref="BO109" si="300">SUM(BO96:BO105)</f>
        <v>0</v>
      </c>
      <c r="BP109" s="354">
        <f t="shared" ref="BP109" si="301">SUM(BP96:BP105)</f>
        <v>0</v>
      </c>
      <c r="BQ109" s="355">
        <f t="shared" ref="BQ109" si="302">SUM(BQ96:BQ105)</f>
        <v>0</v>
      </c>
      <c r="BR109" s="354">
        <f t="shared" ref="BR109" si="303">SUM(BR96:BR105)</f>
        <v>235</v>
      </c>
      <c r="BS109" s="355">
        <f t="shared" ref="BS109" si="304">SUM(BS96:BS105)</f>
        <v>235</v>
      </c>
      <c r="BT109" s="354">
        <f t="shared" ref="BT109" si="305">SUM(BT96:BT105)</f>
        <v>10</v>
      </c>
      <c r="BU109" s="356">
        <f t="shared" ref="BU109" si="306">SUM(BU96:BU105)</f>
        <v>10</v>
      </c>
      <c r="CC109" s="1">
        <f t="shared" si="210"/>
        <v>0</v>
      </c>
      <c r="CD109" s="1">
        <f t="shared" si="211"/>
        <v>0</v>
      </c>
      <c r="CE109" s="1">
        <f t="shared" si="212"/>
        <v>0</v>
      </c>
      <c r="CF109" s="1">
        <f t="shared" si="213"/>
        <v>0</v>
      </c>
      <c r="CG109" s="1">
        <f t="shared" si="214"/>
        <v>0</v>
      </c>
      <c r="CH109" s="1">
        <f t="shared" si="215"/>
        <v>0</v>
      </c>
    </row>
    <row r="110" spans="2:86" ht="15.75" customHeight="1">
      <c r="B110" s="1007" t="s">
        <v>151</v>
      </c>
      <c r="C110" s="1084" t="s">
        <v>76</v>
      </c>
      <c r="D110" s="1075">
        <f>'2020'!D110</f>
        <v>14</v>
      </c>
      <c r="E110" s="1067">
        <f>'2021'!D110</f>
        <v>17</v>
      </c>
      <c r="F110" s="1067">
        <f>'2022'!D110</f>
        <v>23</v>
      </c>
      <c r="G110" s="1067">
        <f>'2023'!D110</f>
        <v>23</v>
      </c>
      <c r="H110" s="1067"/>
      <c r="I110" s="1074"/>
      <c r="J110" s="903" t="s">
        <v>154</v>
      </c>
      <c r="K110" s="430" t="str">
        <f t="shared" ref="K110:K124" si="307">IF(R110=0,"","X")</f>
        <v/>
      </c>
      <c r="L110" s="430" t="str">
        <f t="shared" ref="L110:L124" si="308">IF(S110=0,"","X")</f>
        <v/>
      </c>
      <c r="M110" s="430" t="str">
        <f t="shared" ref="M110:M124" si="309">IF(T110=0,"","X")</f>
        <v>X</v>
      </c>
      <c r="N110" s="430" t="str">
        <f t="shared" ref="N110:N124" si="310">IF(U110=0,"","X")</f>
        <v/>
      </c>
      <c r="O110" s="430" t="str">
        <f t="shared" ref="O110:O124" si="311">IF(V110=0,"","X")</f>
        <v/>
      </c>
      <c r="P110" s="431" t="str">
        <f t="shared" ref="P110:P124" si="312">IF(W110=0,"","X")</f>
        <v/>
      </c>
      <c r="Q110" s="432" t="s">
        <v>62</v>
      </c>
      <c r="R110" s="663">
        <f>'2020'!G110</f>
        <v>0</v>
      </c>
      <c r="S110" s="664">
        <f>'2021'!G110</f>
        <v>0</v>
      </c>
      <c r="T110" s="664">
        <f>'2022'!G110</f>
        <v>5</v>
      </c>
      <c r="U110" s="664">
        <f>'2023'!G110</f>
        <v>0</v>
      </c>
      <c r="V110" s="664">
        <f>'2024'!G110</f>
        <v>0</v>
      </c>
      <c r="W110" s="665">
        <f>'2025'!G110</f>
        <v>0</v>
      </c>
      <c r="X110" s="684">
        <f>'2020'!H110</f>
        <v>0</v>
      </c>
      <c r="Y110" s="664">
        <f>'2021'!H110</f>
        <v>0</v>
      </c>
      <c r="Z110" s="664">
        <f>'2022'!H110</f>
        <v>4</v>
      </c>
      <c r="AA110" s="664">
        <f>'2023'!H110</f>
        <v>0</v>
      </c>
      <c r="AB110" s="664">
        <f>'2024'!H110</f>
        <v>0</v>
      </c>
      <c r="AC110" s="665">
        <f>'2025'!H110</f>
        <v>0</v>
      </c>
      <c r="AD110" s="440">
        <f t="shared" si="192"/>
        <v>0</v>
      </c>
      <c r="AE110" s="441">
        <f t="shared" si="193"/>
        <v>0</v>
      </c>
      <c r="AF110" s="441">
        <f t="shared" si="268"/>
        <v>0</v>
      </c>
      <c r="AG110" s="441">
        <f t="shared" si="195"/>
        <v>0</v>
      </c>
      <c r="AH110" s="441">
        <f t="shared" si="196"/>
        <v>0</v>
      </c>
      <c r="AI110" s="442">
        <f t="shared" si="197"/>
        <v>0</v>
      </c>
      <c r="AJ110" s="684">
        <f>'2020'!J110</f>
        <v>0</v>
      </c>
      <c r="AK110" s="664">
        <f>'2021'!J110</f>
        <v>0</v>
      </c>
      <c r="AL110" s="664">
        <f>'2022'!J110</f>
        <v>0</v>
      </c>
      <c r="AM110" s="664">
        <f>'2023'!J110</f>
        <v>0</v>
      </c>
      <c r="AN110" s="664">
        <f>'2024'!J110</f>
        <v>0</v>
      </c>
      <c r="AO110" s="665">
        <f>'2025'!J110</f>
        <v>0</v>
      </c>
      <c r="AP110" s="440" t="str">
        <f t="shared" si="208"/>
        <v/>
      </c>
      <c r="AQ110" s="441" t="str">
        <f t="shared" si="198"/>
        <v/>
      </c>
      <c r="AR110" s="441">
        <f t="shared" si="199"/>
        <v>0.2</v>
      </c>
      <c r="AS110" s="441" t="str">
        <f t="shared" si="200"/>
        <v/>
      </c>
      <c r="AT110" s="441" t="str">
        <f t="shared" si="201"/>
        <v/>
      </c>
      <c r="AU110" s="442" t="str">
        <f t="shared" si="202"/>
        <v/>
      </c>
      <c r="AV110" s="684">
        <f>'2020'!L110</f>
        <v>0</v>
      </c>
      <c r="AW110" s="664">
        <f>'2021'!L110</f>
        <v>0</v>
      </c>
      <c r="AX110" s="664">
        <f>'2022'!L110</f>
        <v>1</v>
      </c>
      <c r="AY110" s="664">
        <f>'2023'!L110</f>
        <v>0</v>
      </c>
      <c r="AZ110" s="664">
        <f>'2024'!L110</f>
        <v>0</v>
      </c>
      <c r="BA110" s="665">
        <f>'2025'!L110</f>
        <v>0</v>
      </c>
      <c r="BB110" s="484" t="str">
        <f t="shared" si="209"/>
        <v/>
      </c>
      <c r="BC110" s="485" t="str">
        <f t="shared" si="203"/>
        <v/>
      </c>
      <c r="BD110" s="485">
        <f t="shared" si="204"/>
        <v>0</v>
      </c>
      <c r="BE110" s="485" t="str">
        <f t="shared" si="205"/>
        <v/>
      </c>
      <c r="BF110" s="485" t="str">
        <f t="shared" si="206"/>
        <v/>
      </c>
      <c r="BG110" s="486" t="str">
        <f t="shared" si="207"/>
        <v/>
      </c>
      <c r="BH110" s="972">
        <f>'2020'!N110</f>
        <v>0</v>
      </c>
      <c r="BI110" s="973">
        <f>'2021'!N110</f>
        <v>0</v>
      </c>
      <c r="BJ110" s="973">
        <f>'2022'!N110</f>
        <v>0</v>
      </c>
      <c r="BK110" s="973">
        <f>'2023'!N110</f>
        <v>0</v>
      </c>
      <c r="BL110" s="973">
        <f>'2024'!N110</f>
        <v>0</v>
      </c>
      <c r="BM110" s="974">
        <f>'2025'!N110</f>
        <v>0</v>
      </c>
      <c r="BN110" s="443"/>
      <c r="BO110" s="444"/>
      <c r="BP110" s="443"/>
      <c r="BQ110" s="444"/>
      <c r="BR110" s="474"/>
      <c r="BS110" s="475"/>
      <c r="BT110" s="474"/>
      <c r="BU110" s="476"/>
      <c r="BV110" s="495"/>
      <c r="CC110" s="1" t="str">
        <f t="shared" si="210"/>
        <v/>
      </c>
      <c r="CD110" s="1" t="str">
        <f t="shared" si="211"/>
        <v/>
      </c>
      <c r="CE110" s="1" t="str">
        <f t="shared" si="212"/>
        <v>Frontière</v>
      </c>
      <c r="CF110" s="1" t="str">
        <f t="shared" si="213"/>
        <v/>
      </c>
      <c r="CG110" s="1" t="str">
        <f t="shared" si="214"/>
        <v/>
      </c>
      <c r="CH110" s="1" t="str">
        <f t="shared" si="215"/>
        <v/>
      </c>
    </row>
    <row r="111" spans="2:86" ht="15.75" customHeight="1">
      <c r="B111" s="1007"/>
      <c r="C111" s="1084"/>
      <c r="D111" s="1062"/>
      <c r="E111" s="1033"/>
      <c r="F111" s="1033"/>
      <c r="G111" s="1033"/>
      <c r="H111" s="1033"/>
      <c r="I111" s="1069"/>
      <c r="J111" s="905" t="s">
        <v>155</v>
      </c>
      <c r="K111" s="433" t="str">
        <f t="shared" si="307"/>
        <v/>
      </c>
      <c r="L111" s="433" t="str">
        <f t="shared" si="308"/>
        <v/>
      </c>
      <c r="M111" s="433" t="str">
        <f t="shared" si="309"/>
        <v>X</v>
      </c>
      <c r="N111" s="433" t="str">
        <f t="shared" si="310"/>
        <v/>
      </c>
      <c r="O111" s="433" t="str">
        <f t="shared" si="311"/>
        <v/>
      </c>
      <c r="P111" s="434" t="str">
        <f t="shared" si="312"/>
        <v/>
      </c>
      <c r="Q111" s="435" t="s">
        <v>62</v>
      </c>
      <c r="R111" s="666">
        <f>'2020'!G111</f>
        <v>0</v>
      </c>
      <c r="S111" s="667">
        <f>'2021'!G111</f>
        <v>0</v>
      </c>
      <c r="T111" s="667">
        <f>'2022'!G111</f>
        <v>14</v>
      </c>
      <c r="U111" s="667">
        <f>'2023'!G111</f>
        <v>0</v>
      </c>
      <c r="V111" s="667">
        <f>'2024'!G111</f>
        <v>0</v>
      </c>
      <c r="W111" s="668">
        <f>'2025'!G111</f>
        <v>0</v>
      </c>
      <c r="X111" s="685">
        <f>'2020'!H111</f>
        <v>0</v>
      </c>
      <c r="Y111" s="667">
        <f>'2021'!H111</f>
        <v>0</v>
      </c>
      <c r="Z111" s="667">
        <f>'2022'!H111</f>
        <v>6</v>
      </c>
      <c r="AA111" s="667">
        <f>'2023'!H111</f>
        <v>0</v>
      </c>
      <c r="AB111" s="667">
        <f>'2024'!H111</f>
        <v>0</v>
      </c>
      <c r="AC111" s="668">
        <f>'2025'!H111</f>
        <v>0</v>
      </c>
      <c r="AD111" s="449">
        <f t="shared" si="192"/>
        <v>0</v>
      </c>
      <c r="AE111" s="450">
        <f t="shared" si="193"/>
        <v>0</v>
      </c>
      <c r="AF111" s="450">
        <f t="shared" si="268"/>
        <v>0.5</v>
      </c>
      <c r="AG111" s="450">
        <f t="shared" si="195"/>
        <v>0</v>
      </c>
      <c r="AH111" s="450">
        <f t="shared" si="196"/>
        <v>0</v>
      </c>
      <c r="AI111" s="451">
        <f t="shared" si="197"/>
        <v>0</v>
      </c>
      <c r="AJ111" s="685">
        <f>'2020'!J111</f>
        <v>0</v>
      </c>
      <c r="AK111" s="667">
        <f>'2021'!J111</f>
        <v>0</v>
      </c>
      <c r="AL111" s="667">
        <f>'2022'!J111</f>
        <v>7</v>
      </c>
      <c r="AM111" s="667">
        <f>'2023'!J111</f>
        <v>0</v>
      </c>
      <c r="AN111" s="667">
        <f>'2024'!J111</f>
        <v>0</v>
      </c>
      <c r="AO111" s="668">
        <f>'2025'!J111</f>
        <v>0</v>
      </c>
      <c r="AP111" s="449" t="str">
        <f t="shared" si="208"/>
        <v/>
      </c>
      <c r="AQ111" s="450" t="str">
        <f t="shared" si="198"/>
        <v/>
      </c>
      <c r="AR111" s="450">
        <f t="shared" si="199"/>
        <v>0.14285714285714285</v>
      </c>
      <c r="AS111" s="450" t="str">
        <f t="shared" si="200"/>
        <v/>
      </c>
      <c r="AT111" s="450" t="str">
        <f t="shared" si="201"/>
        <v/>
      </c>
      <c r="AU111" s="451" t="str">
        <f t="shared" si="202"/>
        <v/>
      </c>
      <c r="AV111" s="685">
        <f>'2020'!L111</f>
        <v>0</v>
      </c>
      <c r="AW111" s="667">
        <f>'2021'!L111</f>
        <v>0</v>
      </c>
      <c r="AX111" s="667">
        <f>'2022'!L111</f>
        <v>2</v>
      </c>
      <c r="AY111" s="667">
        <f>'2023'!L111</f>
        <v>0</v>
      </c>
      <c r="AZ111" s="667">
        <f>'2024'!L111</f>
        <v>0</v>
      </c>
      <c r="BA111" s="668">
        <f>'2025'!L111</f>
        <v>0</v>
      </c>
      <c r="BB111" s="487" t="str">
        <f t="shared" si="209"/>
        <v/>
      </c>
      <c r="BC111" s="488" t="str">
        <f t="shared" si="203"/>
        <v/>
      </c>
      <c r="BD111" s="488">
        <f t="shared" si="204"/>
        <v>0.5</v>
      </c>
      <c r="BE111" s="488" t="str">
        <f t="shared" si="205"/>
        <v/>
      </c>
      <c r="BF111" s="488" t="str">
        <f t="shared" si="206"/>
        <v/>
      </c>
      <c r="BG111" s="489" t="str">
        <f t="shared" si="207"/>
        <v/>
      </c>
      <c r="BH111" s="966">
        <f>'2020'!N111</f>
        <v>0</v>
      </c>
      <c r="BI111" s="967">
        <f>'2021'!N111</f>
        <v>0</v>
      </c>
      <c r="BJ111" s="967">
        <f>'2022'!N111</f>
        <v>1</v>
      </c>
      <c r="BK111" s="967">
        <f>'2023'!N111</f>
        <v>0</v>
      </c>
      <c r="BL111" s="967">
        <f>'2024'!N111</f>
        <v>0</v>
      </c>
      <c r="BM111" s="968">
        <f>'2025'!N111</f>
        <v>0</v>
      </c>
      <c r="BN111" s="452"/>
      <c r="BO111" s="453"/>
      <c r="BP111" s="452"/>
      <c r="BQ111" s="453"/>
      <c r="BR111" s="477"/>
      <c r="BS111" s="478"/>
      <c r="BT111" s="477"/>
      <c r="BU111" s="479"/>
      <c r="BV111" s="496"/>
      <c r="CC111" s="1" t="str">
        <f t="shared" si="210"/>
        <v/>
      </c>
      <c r="CD111" s="1" t="str">
        <f t="shared" si="211"/>
        <v/>
      </c>
      <c r="CE111" s="1" t="str">
        <f t="shared" si="212"/>
        <v>Frontière</v>
      </c>
      <c r="CF111" s="1" t="str">
        <f t="shared" si="213"/>
        <v/>
      </c>
      <c r="CG111" s="1" t="str">
        <f t="shared" si="214"/>
        <v/>
      </c>
      <c r="CH111" s="1" t="str">
        <f t="shared" si="215"/>
        <v/>
      </c>
    </row>
    <row r="112" spans="2:86" ht="15.75" customHeight="1">
      <c r="B112" s="1007"/>
      <c r="C112" s="1084"/>
      <c r="D112" s="1062"/>
      <c r="E112" s="1033"/>
      <c r="F112" s="1033"/>
      <c r="G112" s="1033"/>
      <c r="H112" s="1033"/>
      <c r="I112" s="1069"/>
      <c r="J112" s="905" t="s">
        <v>156</v>
      </c>
      <c r="K112" s="433" t="str">
        <f t="shared" si="307"/>
        <v/>
      </c>
      <c r="L112" s="433" t="str">
        <f t="shared" si="308"/>
        <v/>
      </c>
      <c r="M112" s="433" t="str">
        <f t="shared" si="309"/>
        <v>X</v>
      </c>
      <c r="N112" s="433" t="str">
        <f t="shared" si="310"/>
        <v/>
      </c>
      <c r="O112" s="433" t="str">
        <f t="shared" si="311"/>
        <v/>
      </c>
      <c r="P112" s="434" t="str">
        <f t="shared" si="312"/>
        <v/>
      </c>
      <c r="Q112" s="435" t="s">
        <v>62</v>
      </c>
      <c r="R112" s="666">
        <f>'2020'!G112</f>
        <v>0</v>
      </c>
      <c r="S112" s="667">
        <f>'2021'!G112</f>
        <v>0</v>
      </c>
      <c r="T112" s="667">
        <f>'2022'!G112</f>
        <v>8</v>
      </c>
      <c r="U112" s="667">
        <f>'2023'!G112</f>
        <v>0</v>
      </c>
      <c r="V112" s="667">
        <f>'2024'!G112</f>
        <v>0</v>
      </c>
      <c r="W112" s="668">
        <f>'2025'!G112</f>
        <v>0</v>
      </c>
      <c r="X112" s="685">
        <f>'2020'!H112</f>
        <v>0</v>
      </c>
      <c r="Y112" s="667">
        <f>'2021'!H112</f>
        <v>0</v>
      </c>
      <c r="Z112" s="667">
        <f>'2022'!H112</f>
        <v>3</v>
      </c>
      <c r="AA112" s="667">
        <f>'2023'!H112</f>
        <v>0</v>
      </c>
      <c r="AB112" s="667">
        <f>'2024'!H112</f>
        <v>0</v>
      </c>
      <c r="AC112" s="668">
        <f>'2025'!H112</f>
        <v>0</v>
      </c>
      <c r="AD112" s="449">
        <f t="shared" si="192"/>
        <v>0</v>
      </c>
      <c r="AE112" s="450">
        <f t="shared" si="193"/>
        <v>0</v>
      </c>
      <c r="AF112" s="450">
        <f t="shared" si="268"/>
        <v>0.5</v>
      </c>
      <c r="AG112" s="450">
        <f t="shared" si="195"/>
        <v>0</v>
      </c>
      <c r="AH112" s="450">
        <f t="shared" si="196"/>
        <v>0</v>
      </c>
      <c r="AI112" s="451">
        <f t="shared" si="197"/>
        <v>0</v>
      </c>
      <c r="AJ112" s="685">
        <f>'2020'!J112</f>
        <v>0</v>
      </c>
      <c r="AK112" s="667">
        <f>'2021'!J112</f>
        <v>0</v>
      </c>
      <c r="AL112" s="667">
        <f>'2022'!J112</f>
        <v>4</v>
      </c>
      <c r="AM112" s="667">
        <f>'2023'!J112</f>
        <v>0</v>
      </c>
      <c r="AN112" s="667">
        <f>'2024'!J112</f>
        <v>0</v>
      </c>
      <c r="AO112" s="668">
        <f>'2025'!J112</f>
        <v>0</v>
      </c>
      <c r="AP112" s="449" t="str">
        <f t="shared" si="208"/>
        <v/>
      </c>
      <c r="AQ112" s="450" t="str">
        <f t="shared" si="198"/>
        <v/>
      </c>
      <c r="AR112" s="450">
        <f t="shared" si="199"/>
        <v>0.375</v>
      </c>
      <c r="AS112" s="450" t="str">
        <f t="shared" si="200"/>
        <v/>
      </c>
      <c r="AT112" s="450" t="str">
        <f t="shared" si="201"/>
        <v/>
      </c>
      <c r="AU112" s="451" t="str">
        <f t="shared" si="202"/>
        <v/>
      </c>
      <c r="AV112" s="685">
        <f>'2020'!L112</f>
        <v>0</v>
      </c>
      <c r="AW112" s="667">
        <f>'2021'!L112</f>
        <v>0</v>
      </c>
      <c r="AX112" s="667">
        <f>'2022'!L112</f>
        <v>3</v>
      </c>
      <c r="AY112" s="667">
        <f>'2023'!L112</f>
        <v>0</v>
      </c>
      <c r="AZ112" s="667">
        <f>'2024'!L112</f>
        <v>0</v>
      </c>
      <c r="BA112" s="668">
        <f>'2025'!L112</f>
        <v>0</v>
      </c>
      <c r="BB112" s="487" t="str">
        <f t="shared" si="209"/>
        <v/>
      </c>
      <c r="BC112" s="488" t="str">
        <f t="shared" si="203"/>
        <v/>
      </c>
      <c r="BD112" s="488">
        <f t="shared" si="204"/>
        <v>0.66666666666666663</v>
      </c>
      <c r="BE112" s="488" t="str">
        <f t="shared" si="205"/>
        <v/>
      </c>
      <c r="BF112" s="488" t="str">
        <f t="shared" si="206"/>
        <v/>
      </c>
      <c r="BG112" s="489" t="str">
        <f t="shared" si="207"/>
        <v/>
      </c>
      <c r="BH112" s="966">
        <f>'2020'!N112</f>
        <v>0</v>
      </c>
      <c r="BI112" s="967">
        <f>'2021'!N112</f>
        <v>0</v>
      </c>
      <c r="BJ112" s="967">
        <f>'2022'!N112</f>
        <v>2</v>
      </c>
      <c r="BK112" s="967">
        <f>'2023'!N112</f>
        <v>0</v>
      </c>
      <c r="BL112" s="967">
        <f>'2024'!N112</f>
        <v>0</v>
      </c>
      <c r="BM112" s="968">
        <f>'2025'!N112</f>
        <v>0</v>
      </c>
      <c r="BN112" s="452"/>
      <c r="BO112" s="453"/>
      <c r="BP112" s="452"/>
      <c r="BQ112" s="453"/>
      <c r="BR112" s="477"/>
      <c r="BS112" s="478"/>
      <c r="BT112" s="477"/>
      <c r="BU112" s="479"/>
      <c r="BV112" s="496"/>
      <c r="CC112" s="1" t="str">
        <f t="shared" si="210"/>
        <v/>
      </c>
      <c r="CD112" s="1" t="str">
        <f t="shared" si="211"/>
        <v/>
      </c>
      <c r="CE112" s="1" t="str">
        <f t="shared" si="212"/>
        <v>Frontière</v>
      </c>
      <c r="CF112" s="1" t="str">
        <f t="shared" si="213"/>
        <v/>
      </c>
      <c r="CG112" s="1" t="str">
        <f t="shared" si="214"/>
        <v/>
      </c>
      <c r="CH112" s="1" t="str">
        <f t="shared" si="215"/>
        <v/>
      </c>
    </row>
    <row r="113" spans="2:86" ht="15" customHeight="1">
      <c r="B113" s="1007"/>
      <c r="C113" s="1084"/>
      <c r="D113" s="1062"/>
      <c r="E113" s="1033"/>
      <c r="F113" s="1033"/>
      <c r="G113" s="1033"/>
      <c r="H113" s="1033"/>
      <c r="I113" s="1069"/>
      <c r="J113" s="905" t="s">
        <v>37</v>
      </c>
      <c r="K113" s="433" t="str">
        <f t="shared" si="307"/>
        <v>X</v>
      </c>
      <c r="L113" s="433" t="str">
        <f t="shared" si="308"/>
        <v>X</v>
      </c>
      <c r="M113" s="433" t="str">
        <f t="shared" si="309"/>
        <v>X</v>
      </c>
      <c r="N113" s="433" t="str">
        <f t="shared" si="310"/>
        <v/>
      </c>
      <c r="O113" s="433" t="str">
        <f t="shared" si="311"/>
        <v/>
      </c>
      <c r="P113" s="434" t="str">
        <f t="shared" si="312"/>
        <v/>
      </c>
      <c r="Q113" s="438" t="s">
        <v>62</v>
      </c>
      <c r="R113" s="640">
        <f>'2020'!G113</f>
        <v>217</v>
      </c>
      <c r="S113" s="641">
        <f>'2021'!G113</f>
        <v>346</v>
      </c>
      <c r="T113" s="641">
        <f>'2022'!G113</f>
        <v>458</v>
      </c>
      <c r="U113" s="641">
        <f>'2023'!G113</f>
        <v>0</v>
      </c>
      <c r="V113" s="641">
        <f>'2024'!G113</f>
        <v>0</v>
      </c>
      <c r="W113" s="642">
        <f>'2025'!G113</f>
        <v>0</v>
      </c>
      <c r="X113" s="676">
        <f>'2020'!H113</f>
        <v>102</v>
      </c>
      <c r="Y113" s="641">
        <f>'2021'!H113</f>
        <v>174</v>
      </c>
      <c r="Z113" s="641">
        <f>'2022'!H113</f>
        <v>230</v>
      </c>
      <c r="AA113" s="641">
        <f>'2023'!H113</f>
        <v>0</v>
      </c>
      <c r="AB113" s="641">
        <f>'2024'!H113</f>
        <v>0</v>
      </c>
      <c r="AC113" s="642">
        <f>'2025'!H113</f>
        <v>0</v>
      </c>
      <c r="AD113" s="449">
        <f t="shared" si="192"/>
        <v>0.28999999999999998</v>
      </c>
      <c r="AE113" s="450">
        <f t="shared" si="193"/>
        <v>0.31502890173410403</v>
      </c>
      <c r="AF113" s="450">
        <f t="shared" si="268"/>
        <v>0.27292576419213976</v>
      </c>
      <c r="AG113" s="450">
        <f t="shared" si="195"/>
        <v>0</v>
      </c>
      <c r="AH113" s="450">
        <f t="shared" si="196"/>
        <v>0</v>
      </c>
      <c r="AI113" s="451">
        <f t="shared" si="197"/>
        <v>0</v>
      </c>
      <c r="AJ113" s="676">
        <f>'2020'!J113</f>
        <v>62.929999999999993</v>
      </c>
      <c r="AK113" s="641">
        <f>'2021'!J113</f>
        <v>109</v>
      </c>
      <c r="AL113" s="641">
        <f>'2022'!J113</f>
        <v>125</v>
      </c>
      <c r="AM113" s="641">
        <f>'2023'!J113</f>
        <v>0</v>
      </c>
      <c r="AN113" s="641">
        <f>'2024'!J113</f>
        <v>0</v>
      </c>
      <c r="AO113" s="642">
        <f>'2025'!J113</f>
        <v>0</v>
      </c>
      <c r="AP113" s="449">
        <f t="shared" si="208"/>
        <v>0.31797235023041476</v>
      </c>
      <c r="AQ113" s="450">
        <f t="shared" si="198"/>
        <v>0.23699421965317918</v>
      </c>
      <c r="AR113" s="450">
        <f t="shared" si="199"/>
        <v>0.29039301310043669</v>
      </c>
      <c r="AS113" s="450" t="str">
        <f t="shared" si="200"/>
        <v/>
      </c>
      <c r="AT113" s="450" t="str">
        <f t="shared" si="201"/>
        <v/>
      </c>
      <c r="AU113" s="451" t="str">
        <f t="shared" si="202"/>
        <v/>
      </c>
      <c r="AV113" s="676">
        <f>'2020'!L113</f>
        <v>69</v>
      </c>
      <c r="AW113" s="641">
        <f>'2021'!L113</f>
        <v>82</v>
      </c>
      <c r="AX113" s="641">
        <f>'2022'!L113</f>
        <v>133</v>
      </c>
      <c r="AY113" s="641">
        <f>'2023'!L113</f>
        <v>0</v>
      </c>
      <c r="AZ113" s="641">
        <f>'2024'!L113</f>
        <v>0</v>
      </c>
      <c r="BA113" s="642">
        <f>'2025'!L113</f>
        <v>0</v>
      </c>
      <c r="BB113" s="449" t="str">
        <f t="shared" si="209"/>
        <v/>
      </c>
      <c r="BC113" s="450">
        <f t="shared" si="203"/>
        <v>0.52439024390243905</v>
      </c>
      <c r="BD113" s="450">
        <f t="shared" si="204"/>
        <v>0.33834586466165412</v>
      </c>
      <c r="BE113" s="450" t="str">
        <f t="shared" si="205"/>
        <v/>
      </c>
      <c r="BF113" s="450" t="str">
        <f t="shared" si="206"/>
        <v/>
      </c>
      <c r="BG113" s="451" t="str">
        <f t="shared" si="207"/>
        <v/>
      </c>
      <c r="BH113" s="966" t="str">
        <f>'2020'!N113</f>
        <v>-</v>
      </c>
      <c r="BI113" s="967">
        <f>'2021'!N113</f>
        <v>43</v>
      </c>
      <c r="BJ113" s="967">
        <f>'2022'!N113</f>
        <v>45</v>
      </c>
      <c r="BK113" s="967">
        <f>'2023'!N113</f>
        <v>0</v>
      </c>
      <c r="BL113" s="967">
        <f>'2024'!N113</f>
        <v>0</v>
      </c>
      <c r="BM113" s="968">
        <f>'2025'!N113</f>
        <v>0</v>
      </c>
      <c r="BN113" s="452">
        <v>11</v>
      </c>
      <c r="BO113" s="453">
        <v>7</v>
      </c>
      <c r="BP113" s="452">
        <v>50</v>
      </c>
      <c r="BQ113" s="453">
        <v>36</v>
      </c>
      <c r="BR113" s="477">
        <v>374</v>
      </c>
      <c r="BS113" s="478">
        <v>195</v>
      </c>
      <c r="BT113" s="477">
        <v>22</v>
      </c>
      <c r="BU113" s="479">
        <v>15</v>
      </c>
      <c r="BV113" s="496"/>
      <c r="CC113" s="1" t="str">
        <f t="shared" si="210"/>
        <v>Frontière</v>
      </c>
      <c r="CD113" s="1" t="str">
        <f t="shared" si="211"/>
        <v>Frontière</v>
      </c>
      <c r="CE113" s="1" t="str">
        <f t="shared" si="212"/>
        <v>Frontière</v>
      </c>
      <c r="CF113" s="1" t="str">
        <f t="shared" si="213"/>
        <v/>
      </c>
      <c r="CG113" s="1" t="str">
        <f t="shared" si="214"/>
        <v/>
      </c>
      <c r="CH113" s="1" t="str">
        <f t="shared" si="215"/>
        <v/>
      </c>
    </row>
    <row r="114" spans="2:86" ht="15" customHeight="1">
      <c r="B114" s="1007"/>
      <c r="C114" s="1084"/>
      <c r="D114" s="1062"/>
      <c r="E114" s="1033"/>
      <c r="F114" s="1033"/>
      <c r="G114" s="1033"/>
      <c r="H114" s="1033"/>
      <c r="I114" s="1069"/>
      <c r="J114" s="905" t="s">
        <v>157</v>
      </c>
      <c r="K114" s="433" t="str">
        <f t="shared" si="307"/>
        <v>X</v>
      </c>
      <c r="L114" s="433" t="str">
        <f t="shared" si="308"/>
        <v>X</v>
      </c>
      <c r="M114" s="433" t="str">
        <f t="shared" si="309"/>
        <v>X</v>
      </c>
      <c r="N114" s="433" t="str">
        <f t="shared" si="310"/>
        <v/>
      </c>
      <c r="O114" s="433" t="str">
        <f t="shared" si="311"/>
        <v/>
      </c>
      <c r="P114" s="434" t="str">
        <f t="shared" si="312"/>
        <v/>
      </c>
      <c r="Q114" s="438" t="s">
        <v>62</v>
      </c>
      <c r="R114" s="640">
        <f>'2020'!G114</f>
        <v>156</v>
      </c>
      <c r="S114" s="641">
        <f>'2021'!G114</f>
        <v>230</v>
      </c>
      <c r="T114" s="641">
        <f>'2022'!G114</f>
        <v>283</v>
      </c>
      <c r="U114" s="641">
        <f>'2023'!G114</f>
        <v>0</v>
      </c>
      <c r="V114" s="641">
        <f>'2024'!G114</f>
        <v>0</v>
      </c>
      <c r="W114" s="642">
        <f>'2025'!G114</f>
        <v>0</v>
      </c>
      <c r="X114" s="676">
        <f>'2020'!H114</f>
        <v>87</v>
      </c>
      <c r="Y114" s="641">
        <f>'2021'!H114</f>
        <v>116</v>
      </c>
      <c r="Z114" s="641">
        <f>'2022'!H114</f>
        <v>161</v>
      </c>
      <c r="AA114" s="641">
        <f>'2023'!H114</f>
        <v>0</v>
      </c>
      <c r="AB114" s="641">
        <f>'2024'!H114</f>
        <v>0</v>
      </c>
      <c r="AC114" s="642">
        <f>'2025'!H114</f>
        <v>0</v>
      </c>
      <c r="AD114" s="449">
        <f t="shared" si="192"/>
        <v>0.4</v>
      </c>
      <c r="AE114" s="450">
        <f t="shared" si="193"/>
        <v>0.4</v>
      </c>
      <c r="AF114" s="450">
        <f t="shared" si="268"/>
        <v>0.52296819787985871</v>
      </c>
      <c r="AG114" s="450">
        <f t="shared" si="195"/>
        <v>0</v>
      </c>
      <c r="AH114" s="450">
        <f t="shared" si="196"/>
        <v>0</v>
      </c>
      <c r="AI114" s="451">
        <f t="shared" si="197"/>
        <v>0</v>
      </c>
      <c r="AJ114" s="676">
        <f>'2020'!J114</f>
        <v>62.400000000000006</v>
      </c>
      <c r="AK114" s="641">
        <f>'2021'!J114</f>
        <v>92</v>
      </c>
      <c r="AL114" s="641">
        <f>'2022'!J114</f>
        <v>148</v>
      </c>
      <c r="AM114" s="641">
        <f>'2023'!J114</f>
        <v>0</v>
      </c>
      <c r="AN114" s="641">
        <f>'2024'!J114</f>
        <v>0</v>
      </c>
      <c r="AO114" s="642">
        <f>'2025'!J114</f>
        <v>0</v>
      </c>
      <c r="AP114" s="449">
        <f t="shared" si="208"/>
        <v>0.39102564102564102</v>
      </c>
      <c r="AQ114" s="450">
        <f t="shared" si="198"/>
        <v>0.33478260869565218</v>
      </c>
      <c r="AR114" s="450">
        <f t="shared" si="199"/>
        <v>0.38162544169611307</v>
      </c>
      <c r="AS114" s="450" t="str">
        <f t="shared" si="200"/>
        <v/>
      </c>
      <c r="AT114" s="450" t="str">
        <f t="shared" si="201"/>
        <v/>
      </c>
      <c r="AU114" s="451" t="str">
        <f t="shared" si="202"/>
        <v/>
      </c>
      <c r="AV114" s="676">
        <f>'2020'!L114</f>
        <v>61</v>
      </c>
      <c r="AW114" s="641">
        <f>'2021'!L114</f>
        <v>77</v>
      </c>
      <c r="AX114" s="641">
        <f>'2022'!L114</f>
        <v>108</v>
      </c>
      <c r="AY114" s="641">
        <f>'2023'!L114</f>
        <v>0</v>
      </c>
      <c r="AZ114" s="641">
        <f>'2024'!L114</f>
        <v>0</v>
      </c>
      <c r="BA114" s="642">
        <f>'2025'!L114</f>
        <v>0</v>
      </c>
      <c r="BB114" s="449" t="str">
        <f t="shared" si="209"/>
        <v/>
      </c>
      <c r="BC114" s="450">
        <f t="shared" si="203"/>
        <v>0.45454545454545453</v>
      </c>
      <c r="BD114" s="450">
        <f t="shared" si="204"/>
        <v>0.67592592592592593</v>
      </c>
      <c r="BE114" s="450" t="str">
        <f t="shared" si="205"/>
        <v/>
      </c>
      <c r="BF114" s="450" t="str">
        <f t="shared" si="206"/>
        <v/>
      </c>
      <c r="BG114" s="451" t="str">
        <f t="shared" si="207"/>
        <v/>
      </c>
      <c r="BH114" s="966" t="str">
        <f>'2020'!N114</f>
        <v>-</v>
      </c>
      <c r="BI114" s="967">
        <f>'2021'!N114</f>
        <v>35</v>
      </c>
      <c r="BJ114" s="967">
        <f>'2022'!N114</f>
        <v>73</v>
      </c>
      <c r="BK114" s="967">
        <f>'2023'!N114</f>
        <v>0</v>
      </c>
      <c r="BL114" s="967">
        <f>'2024'!N114</f>
        <v>0</v>
      </c>
      <c r="BM114" s="968">
        <f>'2025'!N114</f>
        <v>0</v>
      </c>
      <c r="BN114" s="452">
        <v>20</v>
      </c>
      <c r="BO114" s="453">
        <v>9</v>
      </c>
      <c r="BP114" s="452">
        <v>4</v>
      </c>
      <c r="BQ114" s="453">
        <v>3</v>
      </c>
      <c r="BR114" s="477">
        <v>216</v>
      </c>
      <c r="BS114" s="478">
        <v>106</v>
      </c>
      <c r="BT114" s="477">
        <v>18</v>
      </c>
      <c r="BU114" s="479">
        <v>10</v>
      </c>
      <c r="BV114" s="496"/>
      <c r="CC114" s="1" t="str">
        <f t="shared" si="210"/>
        <v>Frontière</v>
      </c>
      <c r="CD114" s="1" t="str">
        <f t="shared" si="211"/>
        <v>Frontière</v>
      </c>
      <c r="CE114" s="1" t="str">
        <f t="shared" si="212"/>
        <v>Frontière</v>
      </c>
      <c r="CF114" s="1" t="str">
        <f t="shared" si="213"/>
        <v/>
      </c>
      <c r="CG114" s="1" t="str">
        <f t="shared" si="214"/>
        <v/>
      </c>
      <c r="CH114" s="1" t="str">
        <f t="shared" si="215"/>
        <v/>
      </c>
    </row>
    <row r="115" spans="2:86" ht="15" customHeight="1">
      <c r="B115" s="1007"/>
      <c r="C115" s="1084"/>
      <c r="D115" s="1062"/>
      <c r="E115" s="1033"/>
      <c r="F115" s="1033"/>
      <c r="G115" s="1033"/>
      <c r="H115" s="1033"/>
      <c r="I115" s="1069"/>
      <c r="J115" s="905" t="s">
        <v>38</v>
      </c>
      <c r="K115" s="433" t="str">
        <f t="shared" si="307"/>
        <v>X</v>
      </c>
      <c r="L115" s="433" t="str">
        <f t="shared" si="308"/>
        <v>X</v>
      </c>
      <c r="M115" s="433" t="str">
        <f t="shared" si="309"/>
        <v>X</v>
      </c>
      <c r="N115" s="433" t="str">
        <f t="shared" si="310"/>
        <v/>
      </c>
      <c r="O115" s="433" t="str">
        <f t="shared" si="311"/>
        <v/>
      </c>
      <c r="P115" s="434" t="str">
        <f t="shared" si="312"/>
        <v/>
      </c>
      <c r="Q115" s="438" t="s">
        <v>62</v>
      </c>
      <c r="R115" s="640">
        <f>'2020'!G115</f>
        <v>167</v>
      </c>
      <c r="S115" s="641">
        <f>'2021'!G115</f>
        <v>239</v>
      </c>
      <c r="T115" s="641">
        <f>'2022'!G115</f>
        <v>312</v>
      </c>
      <c r="U115" s="641">
        <f>'2023'!G115</f>
        <v>0</v>
      </c>
      <c r="V115" s="641">
        <f>'2024'!G115</f>
        <v>0</v>
      </c>
      <c r="W115" s="642">
        <f>'2025'!G115</f>
        <v>0</v>
      </c>
      <c r="X115" s="676">
        <f>'2020'!H115</f>
        <v>80</v>
      </c>
      <c r="Y115" s="641">
        <f>'2021'!H115</f>
        <v>114</v>
      </c>
      <c r="Z115" s="641">
        <f>'2022'!H115</f>
        <v>170</v>
      </c>
      <c r="AA115" s="641">
        <f>'2023'!H115</f>
        <v>0</v>
      </c>
      <c r="AB115" s="641">
        <f>'2024'!H115</f>
        <v>0</v>
      </c>
      <c r="AC115" s="642">
        <f>'2025'!H115</f>
        <v>0</v>
      </c>
      <c r="AD115" s="449">
        <f t="shared" si="192"/>
        <v>0.26</v>
      </c>
      <c r="AE115" s="450">
        <f t="shared" si="193"/>
        <v>0.35564853556485354</v>
      </c>
      <c r="AF115" s="450">
        <f t="shared" si="268"/>
        <v>0.40064102564102566</v>
      </c>
      <c r="AG115" s="450">
        <f t="shared" si="195"/>
        <v>0</v>
      </c>
      <c r="AH115" s="450">
        <f t="shared" si="196"/>
        <v>0</v>
      </c>
      <c r="AI115" s="451">
        <f t="shared" si="197"/>
        <v>0</v>
      </c>
      <c r="AJ115" s="676">
        <f>'2020'!J115</f>
        <v>43.42</v>
      </c>
      <c r="AK115" s="641">
        <f>'2021'!J115</f>
        <v>85</v>
      </c>
      <c r="AL115" s="641">
        <f>'2022'!J115</f>
        <v>125</v>
      </c>
      <c r="AM115" s="641">
        <f>'2023'!J115</f>
        <v>0</v>
      </c>
      <c r="AN115" s="641">
        <f>'2024'!J115</f>
        <v>0</v>
      </c>
      <c r="AO115" s="642">
        <f>'2025'!J115</f>
        <v>0</v>
      </c>
      <c r="AP115" s="449">
        <f t="shared" si="208"/>
        <v>0.3712574850299401</v>
      </c>
      <c r="AQ115" s="450">
        <f t="shared" si="198"/>
        <v>0.32217573221757323</v>
      </c>
      <c r="AR115" s="450">
        <f t="shared" si="199"/>
        <v>0.30448717948717946</v>
      </c>
      <c r="AS115" s="450" t="str">
        <f t="shared" si="200"/>
        <v/>
      </c>
      <c r="AT115" s="450" t="str">
        <f t="shared" si="201"/>
        <v/>
      </c>
      <c r="AU115" s="451" t="str">
        <f t="shared" si="202"/>
        <v/>
      </c>
      <c r="AV115" s="676">
        <f>'2020'!L115</f>
        <v>62</v>
      </c>
      <c r="AW115" s="641">
        <f>'2021'!L115</f>
        <v>77</v>
      </c>
      <c r="AX115" s="641">
        <f>'2022'!L115</f>
        <v>95</v>
      </c>
      <c r="AY115" s="641">
        <f>'2023'!L115</f>
        <v>0</v>
      </c>
      <c r="AZ115" s="641">
        <f>'2024'!L115</f>
        <v>0</v>
      </c>
      <c r="BA115" s="642">
        <f>'2025'!L115</f>
        <v>0</v>
      </c>
      <c r="BB115" s="449" t="str">
        <f t="shared" si="209"/>
        <v/>
      </c>
      <c r="BC115" s="450">
        <f t="shared" si="203"/>
        <v>0.38961038961038963</v>
      </c>
      <c r="BD115" s="450">
        <f t="shared" si="204"/>
        <v>0.48421052631578948</v>
      </c>
      <c r="BE115" s="450" t="str">
        <f t="shared" si="205"/>
        <v/>
      </c>
      <c r="BF115" s="450" t="str">
        <f t="shared" si="206"/>
        <v/>
      </c>
      <c r="BG115" s="451" t="str">
        <f t="shared" si="207"/>
        <v/>
      </c>
      <c r="BH115" s="966" t="str">
        <f>'2020'!N115</f>
        <v>-</v>
      </c>
      <c r="BI115" s="967">
        <f>'2021'!N115</f>
        <v>30</v>
      </c>
      <c r="BJ115" s="967">
        <f>'2022'!N115</f>
        <v>46</v>
      </c>
      <c r="BK115" s="967">
        <f>'2023'!N115</f>
        <v>0</v>
      </c>
      <c r="BL115" s="967">
        <f>'2024'!N115</f>
        <v>0</v>
      </c>
      <c r="BM115" s="968">
        <f>'2025'!N115</f>
        <v>0</v>
      </c>
      <c r="BN115" s="452">
        <v>13</v>
      </c>
      <c r="BO115" s="453">
        <v>5</v>
      </c>
      <c r="BP115" s="452">
        <v>36</v>
      </c>
      <c r="BQ115" s="453">
        <v>17</v>
      </c>
      <c r="BR115" s="477">
        <v>228</v>
      </c>
      <c r="BS115" s="478">
        <v>105</v>
      </c>
      <c r="BT115" s="477">
        <v>47</v>
      </c>
      <c r="BU115" s="479">
        <v>26</v>
      </c>
      <c r="BV115" s="496"/>
      <c r="CC115" s="1" t="str">
        <f t="shared" si="210"/>
        <v>Frontière</v>
      </c>
      <c r="CD115" s="1" t="str">
        <f t="shared" si="211"/>
        <v>Frontière</v>
      </c>
      <c r="CE115" s="1" t="str">
        <f t="shared" si="212"/>
        <v>Frontière</v>
      </c>
      <c r="CF115" s="1" t="str">
        <f t="shared" si="213"/>
        <v/>
      </c>
      <c r="CG115" s="1" t="str">
        <f t="shared" si="214"/>
        <v/>
      </c>
      <c r="CH115" s="1" t="str">
        <f t="shared" si="215"/>
        <v/>
      </c>
    </row>
    <row r="116" spans="2:86" ht="15" customHeight="1">
      <c r="B116" s="1007"/>
      <c r="C116" s="1084"/>
      <c r="D116" s="1062"/>
      <c r="E116" s="1033"/>
      <c r="F116" s="1033"/>
      <c r="G116" s="1033"/>
      <c r="H116" s="1033"/>
      <c r="I116" s="1069"/>
      <c r="J116" s="905" t="s">
        <v>158</v>
      </c>
      <c r="K116" s="433" t="str">
        <f t="shared" si="307"/>
        <v/>
      </c>
      <c r="L116" s="433" t="str">
        <f t="shared" si="308"/>
        <v/>
      </c>
      <c r="M116" s="433" t="str">
        <f t="shared" si="309"/>
        <v>X</v>
      </c>
      <c r="N116" s="433" t="str">
        <f t="shared" si="310"/>
        <v/>
      </c>
      <c r="O116" s="433" t="str">
        <f t="shared" si="311"/>
        <v/>
      </c>
      <c r="P116" s="434" t="str">
        <f t="shared" si="312"/>
        <v/>
      </c>
      <c r="Q116" s="435" t="s">
        <v>62</v>
      </c>
      <c r="R116" s="640">
        <f>'2020'!G116</f>
        <v>0</v>
      </c>
      <c r="S116" s="641">
        <f>'2021'!G116</f>
        <v>0</v>
      </c>
      <c r="T116" s="641">
        <f>'2022'!G116</f>
        <v>110</v>
      </c>
      <c r="U116" s="641">
        <f>'2023'!G116</f>
        <v>0</v>
      </c>
      <c r="V116" s="641">
        <f>'2024'!G116</f>
        <v>0</v>
      </c>
      <c r="W116" s="642">
        <f>'2025'!G116</f>
        <v>0</v>
      </c>
      <c r="X116" s="676">
        <f>'2020'!H116</f>
        <v>0</v>
      </c>
      <c r="Y116" s="641">
        <f>'2021'!H116</f>
        <v>0</v>
      </c>
      <c r="Z116" s="641">
        <f>'2022'!H116</f>
        <v>68</v>
      </c>
      <c r="AA116" s="641">
        <f>'2023'!H116</f>
        <v>0</v>
      </c>
      <c r="AB116" s="641">
        <f>'2024'!H116</f>
        <v>0</v>
      </c>
      <c r="AC116" s="642">
        <f>'2025'!H116</f>
        <v>0</v>
      </c>
      <c r="AD116" s="449">
        <f t="shared" si="192"/>
        <v>0</v>
      </c>
      <c r="AE116" s="450">
        <f t="shared" si="193"/>
        <v>0</v>
      </c>
      <c r="AF116" s="450">
        <f t="shared" si="268"/>
        <v>0.42727272727272725</v>
      </c>
      <c r="AG116" s="450">
        <f t="shared" si="195"/>
        <v>0</v>
      </c>
      <c r="AH116" s="450">
        <f t="shared" si="196"/>
        <v>0</v>
      </c>
      <c r="AI116" s="451">
        <f t="shared" si="197"/>
        <v>0</v>
      </c>
      <c r="AJ116" s="676">
        <f>'2020'!J116</f>
        <v>0</v>
      </c>
      <c r="AK116" s="641">
        <f>'2021'!J116</f>
        <v>0</v>
      </c>
      <c r="AL116" s="641">
        <f>'2022'!J116</f>
        <v>47</v>
      </c>
      <c r="AM116" s="641">
        <f>'2023'!J116</f>
        <v>0</v>
      </c>
      <c r="AN116" s="641">
        <f>'2024'!J116</f>
        <v>0</v>
      </c>
      <c r="AO116" s="642">
        <f>'2025'!J116</f>
        <v>0</v>
      </c>
      <c r="AP116" s="449" t="str">
        <f t="shared" si="208"/>
        <v/>
      </c>
      <c r="AQ116" s="450" t="str">
        <f t="shared" si="198"/>
        <v/>
      </c>
      <c r="AR116" s="450">
        <f t="shared" si="199"/>
        <v>0.36363636363636365</v>
      </c>
      <c r="AS116" s="450" t="str">
        <f t="shared" si="200"/>
        <v/>
      </c>
      <c r="AT116" s="450" t="str">
        <f t="shared" si="201"/>
        <v/>
      </c>
      <c r="AU116" s="451" t="str">
        <f t="shared" si="202"/>
        <v/>
      </c>
      <c r="AV116" s="676">
        <f>'2020'!L116</f>
        <v>0</v>
      </c>
      <c r="AW116" s="641">
        <f>'2021'!L116</f>
        <v>0</v>
      </c>
      <c r="AX116" s="641">
        <f>'2022'!L116</f>
        <v>40</v>
      </c>
      <c r="AY116" s="641">
        <f>'2023'!L116</f>
        <v>0</v>
      </c>
      <c r="AZ116" s="641">
        <f>'2024'!L116</f>
        <v>0</v>
      </c>
      <c r="BA116" s="642">
        <f>'2025'!L116</f>
        <v>0</v>
      </c>
      <c r="BB116" s="449" t="str">
        <f t="shared" si="209"/>
        <v/>
      </c>
      <c r="BC116" s="450" t="str">
        <f t="shared" si="203"/>
        <v/>
      </c>
      <c r="BD116" s="450">
        <f t="shared" si="204"/>
        <v>0.5</v>
      </c>
      <c r="BE116" s="450" t="str">
        <f t="shared" si="205"/>
        <v/>
      </c>
      <c r="BF116" s="450" t="str">
        <f t="shared" si="206"/>
        <v/>
      </c>
      <c r="BG116" s="451" t="str">
        <f t="shared" si="207"/>
        <v/>
      </c>
      <c r="BH116" s="966">
        <f>'2020'!N116</f>
        <v>0</v>
      </c>
      <c r="BI116" s="967">
        <f>'2021'!N116</f>
        <v>0</v>
      </c>
      <c r="BJ116" s="967">
        <f>'2022'!N116</f>
        <v>20</v>
      </c>
      <c r="BK116" s="967">
        <f>'2023'!N116</f>
        <v>0</v>
      </c>
      <c r="BL116" s="967">
        <f>'2024'!N116</f>
        <v>0</v>
      </c>
      <c r="BM116" s="968">
        <f>'2025'!N116</f>
        <v>0</v>
      </c>
      <c r="BN116" s="452"/>
      <c r="BO116" s="453"/>
      <c r="BP116" s="452"/>
      <c r="BQ116" s="453"/>
      <c r="BR116" s="477"/>
      <c r="BS116" s="478"/>
      <c r="BT116" s="477"/>
      <c r="BU116" s="479"/>
      <c r="BV116" s="496"/>
      <c r="CC116" s="1" t="str">
        <f t="shared" si="210"/>
        <v/>
      </c>
      <c r="CD116" s="1" t="str">
        <f t="shared" si="211"/>
        <v/>
      </c>
      <c r="CE116" s="1" t="str">
        <f t="shared" si="212"/>
        <v>Frontière</v>
      </c>
      <c r="CF116" s="1" t="str">
        <f t="shared" si="213"/>
        <v/>
      </c>
      <c r="CG116" s="1" t="str">
        <f t="shared" si="214"/>
        <v/>
      </c>
      <c r="CH116" s="1" t="str">
        <f t="shared" si="215"/>
        <v/>
      </c>
    </row>
    <row r="117" spans="2:86" ht="15" customHeight="1">
      <c r="B117" s="1007"/>
      <c r="C117" s="1084"/>
      <c r="D117" s="1062"/>
      <c r="E117" s="1033"/>
      <c r="F117" s="1033"/>
      <c r="G117" s="1033"/>
      <c r="H117" s="1033"/>
      <c r="I117" s="1069"/>
      <c r="J117" s="905" t="s">
        <v>148</v>
      </c>
      <c r="K117" s="433" t="str">
        <f t="shared" si="307"/>
        <v/>
      </c>
      <c r="L117" s="433" t="str">
        <f t="shared" si="308"/>
        <v>X</v>
      </c>
      <c r="M117" s="433" t="str">
        <f t="shared" si="309"/>
        <v>X</v>
      </c>
      <c r="N117" s="433" t="str">
        <f t="shared" si="310"/>
        <v/>
      </c>
      <c r="O117" s="433" t="str">
        <f t="shared" si="311"/>
        <v/>
      </c>
      <c r="P117" s="434" t="str">
        <f t="shared" si="312"/>
        <v/>
      </c>
      <c r="Q117" s="435" t="s">
        <v>62</v>
      </c>
      <c r="R117" s="640">
        <f>'2020'!G117</f>
        <v>0</v>
      </c>
      <c r="S117" s="641">
        <f>'2021'!G117</f>
        <v>40</v>
      </c>
      <c r="T117" s="641">
        <f>'2022'!G117</f>
        <v>52</v>
      </c>
      <c r="U117" s="641">
        <f>'2023'!G117</f>
        <v>0</v>
      </c>
      <c r="V117" s="641">
        <f>'2024'!G117</f>
        <v>0</v>
      </c>
      <c r="W117" s="642">
        <f>'2025'!G117</f>
        <v>0</v>
      </c>
      <c r="X117" s="676">
        <f>'2020'!H117</f>
        <v>0</v>
      </c>
      <c r="Y117" s="641">
        <f>'2021'!H117</f>
        <v>20</v>
      </c>
      <c r="Z117" s="641">
        <f>'2022'!H117</f>
        <v>30</v>
      </c>
      <c r="AA117" s="641">
        <f>'2023'!H117</f>
        <v>0</v>
      </c>
      <c r="AB117" s="641">
        <f>'2024'!H117</f>
        <v>0</v>
      </c>
      <c r="AC117" s="642">
        <f>'2025'!H117</f>
        <v>0</v>
      </c>
      <c r="AD117" s="449">
        <f t="shared" si="192"/>
        <v>0</v>
      </c>
      <c r="AE117" s="450">
        <f t="shared" si="193"/>
        <v>0.375</v>
      </c>
      <c r="AF117" s="450">
        <f t="shared" si="268"/>
        <v>0.40384615384615385</v>
      </c>
      <c r="AG117" s="450">
        <f t="shared" si="195"/>
        <v>0</v>
      </c>
      <c r="AH117" s="450">
        <f t="shared" si="196"/>
        <v>0</v>
      </c>
      <c r="AI117" s="451">
        <f t="shared" si="197"/>
        <v>0</v>
      </c>
      <c r="AJ117" s="676">
        <f>'2020'!J117</f>
        <v>0</v>
      </c>
      <c r="AK117" s="641">
        <f>'2021'!J117</f>
        <v>15</v>
      </c>
      <c r="AL117" s="641">
        <f>'2022'!J117</f>
        <v>21</v>
      </c>
      <c r="AM117" s="641">
        <f>'2023'!J117</f>
        <v>0</v>
      </c>
      <c r="AN117" s="641">
        <f>'2024'!J117</f>
        <v>0</v>
      </c>
      <c r="AO117" s="642">
        <f>'2025'!J117</f>
        <v>0</v>
      </c>
      <c r="AP117" s="449" t="str">
        <f t="shared" si="208"/>
        <v/>
      </c>
      <c r="AQ117" s="450">
        <f t="shared" si="198"/>
        <v>0.32500000000000001</v>
      </c>
      <c r="AR117" s="450">
        <f t="shared" si="199"/>
        <v>0.32692307692307693</v>
      </c>
      <c r="AS117" s="450" t="str">
        <f t="shared" si="200"/>
        <v/>
      </c>
      <c r="AT117" s="450" t="str">
        <f t="shared" si="201"/>
        <v/>
      </c>
      <c r="AU117" s="451" t="str">
        <f t="shared" si="202"/>
        <v/>
      </c>
      <c r="AV117" s="676">
        <f>'2020'!L117</f>
        <v>0</v>
      </c>
      <c r="AW117" s="641">
        <f>'2021'!L117</f>
        <v>13</v>
      </c>
      <c r="AX117" s="641">
        <f>'2022'!L117</f>
        <v>17</v>
      </c>
      <c r="AY117" s="641">
        <f>'2023'!L117</f>
        <v>0</v>
      </c>
      <c r="AZ117" s="641">
        <f>'2024'!L117</f>
        <v>0</v>
      </c>
      <c r="BA117" s="642">
        <f>'2025'!L117</f>
        <v>0</v>
      </c>
      <c r="BB117" s="449" t="str">
        <f t="shared" si="209"/>
        <v/>
      </c>
      <c r="BC117" s="450">
        <f t="shared" si="203"/>
        <v>0.53846153846153844</v>
      </c>
      <c r="BD117" s="450">
        <f t="shared" si="204"/>
        <v>0.47058823529411764</v>
      </c>
      <c r="BE117" s="450" t="str">
        <f t="shared" si="205"/>
        <v/>
      </c>
      <c r="BF117" s="450" t="str">
        <f t="shared" si="206"/>
        <v/>
      </c>
      <c r="BG117" s="451" t="str">
        <f t="shared" si="207"/>
        <v/>
      </c>
      <c r="BH117" s="966">
        <f>'2020'!N117</f>
        <v>0</v>
      </c>
      <c r="BI117" s="967">
        <f>'2021'!N117</f>
        <v>7</v>
      </c>
      <c r="BJ117" s="967">
        <f>'2022'!N117</f>
        <v>8</v>
      </c>
      <c r="BK117" s="967">
        <f>'2023'!N117</f>
        <v>0</v>
      </c>
      <c r="BL117" s="967">
        <f>'2024'!N117</f>
        <v>0</v>
      </c>
      <c r="BM117" s="968">
        <f>'2025'!N117</f>
        <v>0</v>
      </c>
      <c r="BN117" s="452">
        <v>0</v>
      </c>
      <c r="BO117" s="453">
        <v>0</v>
      </c>
      <c r="BP117" s="452">
        <v>0</v>
      </c>
      <c r="BQ117" s="453">
        <v>0</v>
      </c>
      <c r="BR117" s="477">
        <v>28</v>
      </c>
      <c r="BS117" s="478">
        <v>15</v>
      </c>
      <c r="BT117" s="477">
        <v>12</v>
      </c>
      <c r="BU117" s="479">
        <v>5</v>
      </c>
      <c r="BV117" s="496"/>
      <c r="CC117" s="1" t="str">
        <f t="shared" si="210"/>
        <v/>
      </c>
      <c r="CD117" s="1" t="str">
        <f t="shared" si="211"/>
        <v>Frontière</v>
      </c>
      <c r="CE117" s="1" t="str">
        <f t="shared" si="212"/>
        <v>Frontière</v>
      </c>
      <c r="CF117" s="1" t="str">
        <f t="shared" si="213"/>
        <v/>
      </c>
      <c r="CG117" s="1" t="str">
        <f t="shared" si="214"/>
        <v/>
      </c>
      <c r="CH117" s="1" t="str">
        <f t="shared" si="215"/>
        <v/>
      </c>
    </row>
    <row r="118" spans="2:86" ht="15" customHeight="1">
      <c r="B118" s="1007"/>
      <c r="C118" s="1084"/>
      <c r="D118" s="1062"/>
      <c r="E118" s="1033"/>
      <c r="F118" s="1033"/>
      <c r="G118" s="1033"/>
      <c r="H118" s="1033"/>
      <c r="I118" s="1069"/>
      <c r="J118" s="905" t="s">
        <v>149</v>
      </c>
      <c r="K118" s="433" t="str">
        <f t="shared" si="307"/>
        <v/>
      </c>
      <c r="L118" s="433" t="str">
        <f t="shared" si="308"/>
        <v>X</v>
      </c>
      <c r="M118" s="433" t="str">
        <f t="shared" si="309"/>
        <v/>
      </c>
      <c r="N118" s="433" t="str">
        <f t="shared" si="310"/>
        <v/>
      </c>
      <c r="O118" s="433" t="str">
        <f t="shared" si="311"/>
        <v/>
      </c>
      <c r="P118" s="434" t="str">
        <f t="shared" si="312"/>
        <v/>
      </c>
      <c r="Q118" s="438" t="s">
        <v>62</v>
      </c>
      <c r="R118" s="640">
        <f>'2020'!G118</f>
        <v>0</v>
      </c>
      <c r="S118" s="641">
        <f>'2021'!G118</f>
        <v>24</v>
      </c>
      <c r="T118" s="641">
        <f>'2022'!G118</f>
        <v>0</v>
      </c>
      <c r="U118" s="641">
        <f>'2023'!G118</f>
        <v>0</v>
      </c>
      <c r="V118" s="641">
        <f>'2024'!G118</f>
        <v>0</v>
      </c>
      <c r="W118" s="642">
        <f>'2025'!G118</f>
        <v>0</v>
      </c>
      <c r="X118" s="676">
        <f>'2020'!H118</f>
        <v>0</v>
      </c>
      <c r="Y118" s="641">
        <f>'2021'!H118</f>
        <v>18</v>
      </c>
      <c r="Z118" s="641">
        <f>'2022'!H118</f>
        <v>0</v>
      </c>
      <c r="AA118" s="641">
        <f>'2023'!H118</f>
        <v>0</v>
      </c>
      <c r="AB118" s="641">
        <f>'2024'!H118</f>
        <v>0</v>
      </c>
      <c r="AC118" s="642">
        <f>'2025'!H118</f>
        <v>0</v>
      </c>
      <c r="AD118" s="449">
        <f t="shared" si="192"/>
        <v>0</v>
      </c>
      <c r="AE118" s="450">
        <f t="shared" si="193"/>
        <v>0.45833333333333331</v>
      </c>
      <c r="AF118" s="450">
        <f t="shared" si="268"/>
        <v>0</v>
      </c>
      <c r="AG118" s="450">
        <f t="shared" si="195"/>
        <v>0</v>
      </c>
      <c r="AH118" s="450">
        <f t="shared" si="196"/>
        <v>0</v>
      </c>
      <c r="AI118" s="451">
        <f t="shared" si="197"/>
        <v>0</v>
      </c>
      <c r="AJ118" s="676">
        <f>'2020'!J118</f>
        <v>0</v>
      </c>
      <c r="AK118" s="641">
        <f>'2021'!J118</f>
        <v>11</v>
      </c>
      <c r="AL118" s="641">
        <f>'2022'!J118</f>
        <v>0</v>
      </c>
      <c r="AM118" s="641">
        <f>'2023'!J118</f>
        <v>0</v>
      </c>
      <c r="AN118" s="641">
        <f>'2024'!J118</f>
        <v>0</v>
      </c>
      <c r="AO118" s="642">
        <f>'2025'!J118</f>
        <v>0</v>
      </c>
      <c r="AP118" s="449" t="str">
        <f t="shared" si="208"/>
        <v/>
      </c>
      <c r="AQ118" s="450">
        <f t="shared" si="198"/>
        <v>0.33333333333333331</v>
      </c>
      <c r="AR118" s="450" t="str">
        <f t="shared" si="199"/>
        <v/>
      </c>
      <c r="AS118" s="450" t="str">
        <f t="shared" si="200"/>
        <v/>
      </c>
      <c r="AT118" s="450" t="str">
        <f t="shared" si="201"/>
        <v/>
      </c>
      <c r="AU118" s="451" t="str">
        <f t="shared" si="202"/>
        <v/>
      </c>
      <c r="AV118" s="676">
        <f>'2020'!L118</f>
        <v>0</v>
      </c>
      <c r="AW118" s="641">
        <f>'2021'!L118</f>
        <v>8</v>
      </c>
      <c r="AX118" s="641">
        <f>'2022'!L118</f>
        <v>0</v>
      </c>
      <c r="AY118" s="641">
        <f>'2023'!L118</f>
        <v>0</v>
      </c>
      <c r="AZ118" s="641">
        <f>'2024'!L118</f>
        <v>0</v>
      </c>
      <c r="BA118" s="642">
        <f>'2025'!L118</f>
        <v>0</v>
      </c>
      <c r="BB118" s="449" t="str">
        <f t="shared" si="209"/>
        <v/>
      </c>
      <c r="BC118" s="450">
        <f t="shared" si="203"/>
        <v>0.5</v>
      </c>
      <c r="BD118" s="450" t="str">
        <f t="shared" si="204"/>
        <v/>
      </c>
      <c r="BE118" s="450" t="str">
        <f t="shared" si="205"/>
        <v/>
      </c>
      <c r="BF118" s="450" t="str">
        <f t="shared" si="206"/>
        <v/>
      </c>
      <c r="BG118" s="451" t="str">
        <f t="shared" si="207"/>
        <v/>
      </c>
      <c r="BH118" s="966">
        <f>'2020'!N118</f>
        <v>0</v>
      </c>
      <c r="BI118" s="967">
        <f>'2021'!N118</f>
        <v>4</v>
      </c>
      <c r="BJ118" s="967">
        <f>'2022'!N118</f>
        <v>0</v>
      </c>
      <c r="BK118" s="967">
        <f>'2023'!N118</f>
        <v>0</v>
      </c>
      <c r="BL118" s="967">
        <f>'2024'!N118</f>
        <v>0</v>
      </c>
      <c r="BM118" s="968">
        <f>'2025'!N118</f>
        <v>0</v>
      </c>
      <c r="BN118" s="452">
        <v>1</v>
      </c>
      <c r="BO118" s="453">
        <v>1</v>
      </c>
      <c r="BP118" s="452">
        <v>10</v>
      </c>
      <c r="BQ118" s="453">
        <v>9</v>
      </c>
      <c r="BR118" s="477">
        <v>32</v>
      </c>
      <c r="BS118" s="478">
        <v>25</v>
      </c>
      <c r="BT118" s="477">
        <v>2</v>
      </c>
      <c r="BU118" s="479">
        <v>2</v>
      </c>
      <c r="BV118" s="496"/>
      <c r="CC118" s="1" t="str">
        <f t="shared" si="210"/>
        <v/>
      </c>
      <c r="CD118" s="1" t="str">
        <f t="shared" si="211"/>
        <v>Frontière</v>
      </c>
      <c r="CE118" s="1" t="str">
        <f t="shared" si="212"/>
        <v/>
      </c>
      <c r="CF118" s="1" t="str">
        <f t="shared" si="213"/>
        <v/>
      </c>
      <c r="CG118" s="1" t="str">
        <f t="shared" si="214"/>
        <v/>
      </c>
      <c r="CH118" s="1" t="str">
        <f t="shared" si="215"/>
        <v/>
      </c>
    </row>
    <row r="119" spans="2:86" ht="15" customHeight="1">
      <c r="B119" s="1007"/>
      <c r="C119" s="1084"/>
      <c r="D119" s="1062"/>
      <c r="E119" s="1033"/>
      <c r="F119" s="1033"/>
      <c r="G119" s="1033"/>
      <c r="H119" s="1033"/>
      <c r="I119" s="1069"/>
      <c r="J119" s="905" t="s">
        <v>166</v>
      </c>
      <c r="K119" s="433" t="str">
        <f t="shared" si="307"/>
        <v/>
      </c>
      <c r="L119" s="433" t="str">
        <f t="shared" si="308"/>
        <v/>
      </c>
      <c r="M119" s="433" t="str">
        <f t="shared" si="309"/>
        <v/>
      </c>
      <c r="N119" s="433" t="str">
        <f t="shared" si="310"/>
        <v/>
      </c>
      <c r="O119" s="433" t="str">
        <f t="shared" si="311"/>
        <v/>
      </c>
      <c r="P119" s="434" t="str">
        <f t="shared" si="312"/>
        <v/>
      </c>
      <c r="Q119" s="438" t="s">
        <v>62</v>
      </c>
      <c r="R119" s="640">
        <f>'2020'!G119</f>
        <v>0</v>
      </c>
      <c r="S119" s="641">
        <f>'2021'!G119</f>
        <v>0</v>
      </c>
      <c r="T119" s="641">
        <f>'2022'!G119</f>
        <v>0</v>
      </c>
      <c r="U119" s="641">
        <f>'2023'!G119</f>
        <v>0</v>
      </c>
      <c r="V119" s="641">
        <f>'2024'!G119</f>
        <v>0</v>
      </c>
      <c r="W119" s="642">
        <f>'2025'!G119</f>
        <v>0</v>
      </c>
      <c r="X119" s="676">
        <f>'2020'!H119</f>
        <v>0</v>
      </c>
      <c r="Y119" s="641">
        <f>'2021'!H119</f>
        <v>0</v>
      </c>
      <c r="Z119" s="641">
        <f>'2022'!H119</f>
        <v>0</v>
      </c>
      <c r="AA119" s="641">
        <f>'2023'!H119</f>
        <v>0</v>
      </c>
      <c r="AB119" s="641">
        <f>'2024'!H119</f>
        <v>0</v>
      </c>
      <c r="AC119" s="642">
        <f>'2025'!H119</f>
        <v>0</v>
      </c>
      <c r="AD119" s="449">
        <f t="shared" si="192"/>
        <v>0</v>
      </c>
      <c r="AE119" s="450">
        <f t="shared" si="193"/>
        <v>0</v>
      </c>
      <c r="AF119" s="450">
        <f t="shared" si="268"/>
        <v>0</v>
      </c>
      <c r="AG119" s="450">
        <f t="shared" si="195"/>
        <v>0</v>
      </c>
      <c r="AH119" s="450">
        <f t="shared" si="196"/>
        <v>0</v>
      </c>
      <c r="AI119" s="451">
        <f t="shared" si="197"/>
        <v>0</v>
      </c>
      <c r="AJ119" s="676">
        <f>'2020'!J119</f>
        <v>0</v>
      </c>
      <c r="AK119" s="641">
        <f>'2021'!J119</f>
        <v>0</v>
      </c>
      <c r="AL119" s="641">
        <f>'2022'!J119</f>
        <v>0</v>
      </c>
      <c r="AM119" s="641">
        <f>'2023'!J119</f>
        <v>0</v>
      </c>
      <c r="AN119" s="641">
        <f>'2024'!J119</f>
        <v>0</v>
      </c>
      <c r="AO119" s="642">
        <f>'2025'!J119</f>
        <v>0</v>
      </c>
      <c r="AP119" s="449" t="str">
        <f t="shared" si="208"/>
        <v/>
      </c>
      <c r="AQ119" s="450" t="str">
        <f t="shared" si="198"/>
        <v/>
      </c>
      <c r="AR119" s="450" t="str">
        <f t="shared" si="199"/>
        <v/>
      </c>
      <c r="AS119" s="450" t="str">
        <f t="shared" si="200"/>
        <v/>
      </c>
      <c r="AT119" s="450" t="str">
        <f t="shared" si="201"/>
        <v/>
      </c>
      <c r="AU119" s="451" t="str">
        <f t="shared" si="202"/>
        <v/>
      </c>
      <c r="AV119" s="676">
        <f>'2020'!L119</f>
        <v>0</v>
      </c>
      <c r="AW119" s="641">
        <f>'2021'!L119</f>
        <v>0</v>
      </c>
      <c r="AX119" s="641">
        <f>'2022'!L119</f>
        <v>0</v>
      </c>
      <c r="AY119" s="641">
        <f>'2023'!L119</f>
        <v>0</v>
      </c>
      <c r="AZ119" s="641">
        <f>'2024'!L119</f>
        <v>0</v>
      </c>
      <c r="BA119" s="642">
        <f>'2025'!L119</f>
        <v>0</v>
      </c>
      <c r="BB119" s="449" t="str">
        <f t="shared" si="209"/>
        <v/>
      </c>
      <c r="BC119" s="450" t="str">
        <f t="shared" si="203"/>
        <v/>
      </c>
      <c r="BD119" s="450" t="str">
        <f t="shared" si="204"/>
        <v/>
      </c>
      <c r="BE119" s="450" t="str">
        <f t="shared" si="205"/>
        <v/>
      </c>
      <c r="BF119" s="450" t="str">
        <f t="shared" si="206"/>
        <v/>
      </c>
      <c r="BG119" s="451" t="str">
        <f t="shared" si="207"/>
        <v/>
      </c>
      <c r="BH119" s="966">
        <f>'2020'!N119</f>
        <v>0</v>
      </c>
      <c r="BI119" s="967">
        <f>'2021'!N119</f>
        <v>0</v>
      </c>
      <c r="BJ119" s="967">
        <f>'2022'!N119</f>
        <v>0</v>
      </c>
      <c r="BK119" s="967">
        <f>'2023'!N119</f>
        <v>0</v>
      </c>
      <c r="BL119" s="967">
        <f>'2024'!N119</f>
        <v>0</v>
      </c>
      <c r="BM119" s="968">
        <f>'2025'!N119</f>
        <v>0</v>
      </c>
      <c r="BN119" s="452"/>
      <c r="BO119" s="453"/>
      <c r="BP119" s="452"/>
      <c r="BQ119" s="453"/>
      <c r="BR119" s="477"/>
      <c r="BS119" s="478"/>
      <c r="BT119" s="477"/>
      <c r="BU119" s="479"/>
      <c r="BV119" s="496"/>
      <c r="CC119" s="1" t="str">
        <f t="shared" si="210"/>
        <v/>
      </c>
      <c r="CD119" s="1" t="str">
        <f t="shared" si="211"/>
        <v/>
      </c>
      <c r="CE119" s="1" t="str">
        <f t="shared" si="212"/>
        <v/>
      </c>
      <c r="CF119" s="1" t="str">
        <f t="shared" si="213"/>
        <v/>
      </c>
      <c r="CG119" s="1" t="str">
        <f t="shared" si="214"/>
        <v/>
      </c>
      <c r="CH119" s="1" t="str">
        <f t="shared" si="215"/>
        <v/>
      </c>
    </row>
    <row r="120" spans="2:86" ht="15" customHeight="1">
      <c r="B120" s="1007"/>
      <c r="C120" s="1084"/>
      <c r="D120" s="1062"/>
      <c r="E120" s="1033"/>
      <c r="F120" s="1033"/>
      <c r="G120" s="1033"/>
      <c r="H120" s="1033"/>
      <c r="I120" s="1069"/>
      <c r="J120" s="905" t="s">
        <v>166</v>
      </c>
      <c r="K120" s="433" t="str">
        <f t="shared" si="307"/>
        <v/>
      </c>
      <c r="L120" s="433" t="str">
        <f t="shared" si="308"/>
        <v/>
      </c>
      <c r="M120" s="433" t="str">
        <f t="shared" si="309"/>
        <v/>
      </c>
      <c r="N120" s="433" t="str">
        <f t="shared" si="310"/>
        <v/>
      </c>
      <c r="O120" s="433" t="str">
        <f t="shared" si="311"/>
        <v/>
      </c>
      <c r="P120" s="434" t="str">
        <f t="shared" si="312"/>
        <v/>
      </c>
      <c r="Q120" s="438" t="s">
        <v>62</v>
      </c>
      <c r="R120" s="640">
        <f>'2020'!G120</f>
        <v>0</v>
      </c>
      <c r="S120" s="641">
        <f>'2021'!G120</f>
        <v>0</v>
      </c>
      <c r="T120" s="641">
        <f>'2022'!G120</f>
        <v>0</v>
      </c>
      <c r="U120" s="641">
        <f>'2023'!G120</f>
        <v>0</v>
      </c>
      <c r="V120" s="641">
        <f>'2024'!G120</f>
        <v>0</v>
      </c>
      <c r="W120" s="642">
        <f>'2025'!G120</f>
        <v>0</v>
      </c>
      <c r="X120" s="676">
        <f>'2020'!H120</f>
        <v>0</v>
      </c>
      <c r="Y120" s="641">
        <f>'2021'!H120</f>
        <v>0</v>
      </c>
      <c r="Z120" s="641">
        <f>'2022'!H120</f>
        <v>0</v>
      </c>
      <c r="AA120" s="641">
        <f>'2023'!H120</f>
        <v>0</v>
      </c>
      <c r="AB120" s="641">
        <f>'2024'!H120</f>
        <v>0</v>
      </c>
      <c r="AC120" s="642">
        <f>'2025'!H120</f>
        <v>0</v>
      </c>
      <c r="AD120" s="449">
        <f t="shared" si="192"/>
        <v>0</v>
      </c>
      <c r="AE120" s="450">
        <f t="shared" si="193"/>
        <v>0</v>
      </c>
      <c r="AF120" s="450">
        <f t="shared" si="268"/>
        <v>0</v>
      </c>
      <c r="AG120" s="450">
        <f t="shared" si="195"/>
        <v>0</v>
      </c>
      <c r="AH120" s="450">
        <f t="shared" si="196"/>
        <v>0</v>
      </c>
      <c r="AI120" s="451">
        <f t="shared" si="197"/>
        <v>0</v>
      </c>
      <c r="AJ120" s="676">
        <f>'2020'!J120</f>
        <v>0</v>
      </c>
      <c r="AK120" s="641">
        <f>'2021'!J120</f>
        <v>0</v>
      </c>
      <c r="AL120" s="641">
        <f>'2022'!J120</f>
        <v>0</v>
      </c>
      <c r="AM120" s="641">
        <f>'2023'!J120</f>
        <v>0</v>
      </c>
      <c r="AN120" s="641">
        <f>'2024'!J120</f>
        <v>0</v>
      </c>
      <c r="AO120" s="642">
        <f>'2025'!J120</f>
        <v>0</v>
      </c>
      <c r="AP120" s="449" t="str">
        <f t="shared" si="208"/>
        <v/>
      </c>
      <c r="AQ120" s="450" t="str">
        <f t="shared" si="198"/>
        <v/>
      </c>
      <c r="AR120" s="450" t="str">
        <f t="shared" si="199"/>
        <v/>
      </c>
      <c r="AS120" s="450" t="str">
        <f t="shared" si="200"/>
        <v/>
      </c>
      <c r="AT120" s="450" t="str">
        <f t="shared" si="201"/>
        <v/>
      </c>
      <c r="AU120" s="451" t="str">
        <f t="shared" si="202"/>
        <v/>
      </c>
      <c r="AV120" s="676">
        <f>'2020'!L120</f>
        <v>0</v>
      </c>
      <c r="AW120" s="641">
        <f>'2021'!L120</f>
        <v>0</v>
      </c>
      <c r="AX120" s="641">
        <f>'2022'!L120</f>
        <v>0</v>
      </c>
      <c r="AY120" s="641">
        <f>'2023'!L120</f>
        <v>0</v>
      </c>
      <c r="AZ120" s="641">
        <f>'2024'!L120</f>
        <v>0</v>
      </c>
      <c r="BA120" s="642">
        <f>'2025'!L120</f>
        <v>0</v>
      </c>
      <c r="BB120" s="449" t="str">
        <f t="shared" si="209"/>
        <v/>
      </c>
      <c r="BC120" s="450" t="str">
        <f t="shared" si="203"/>
        <v/>
      </c>
      <c r="BD120" s="450" t="str">
        <f t="shared" si="204"/>
        <v/>
      </c>
      <c r="BE120" s="450" t="str">
        <f t="shared" si="205"/>
        <v/>
      </c>
      <c r="BF120" s="450" t="str">
        <f t="shared" si="206"/>
        <v/>
      </c>
      <c r="BG120" s="451" t="str">
        <f t="shared" si="207"/>
        <v/>
      </c>
      <c r="BH120" s="966">
        <f>'2020'!N120</f>
        <v>0</v>
      </c>
      <c r="BI120" s="967">
        <f>'2021'!N120</f>
        <v>0</v>
      </c>
      <c r="BJ120" s="967">
        <f>'2022'!N120</f>
        <v>0</v>
      </c>
      <c r="BK120" s="967">
        <f>'2023'!N120</f>
        <v>0</v>
      </c>
      <c r="BL120" s="967">
        <f>'2024'!N120</f>
        <v>0</v>
      </c>
      <c r="BM120" s="968">
        <f>'2025'!N120</f>
        <v>0</v>
      </c>
      <c r="BN120" s="452"/>
      <c r="BO120" s="453"/>
      <c r="BP120" s="452"/>
      <c r="BQ120" s="453"/>
      <c r="BR120" s="477"/>
      <c r="BS120" s="478"/>
      <c r="BT120" s="477"/>
      <c r="BU120" s="479"/>
      <c r="BV120" s="496"/>
      <c r="CC120" s="1" t="str">
        <f t="shared" si="210"/>
        <v/>
      </c>
      <c r="CD120" s="1" t="str">
        <f t="shared" si="211"/>
        <v/>
      </c>
      <c r="CE120" s="1" t="str">
        <f t="shared" si="212"/>
        <v/>
      </c>
      <c r="CF120" s="1" t="str">
        <f t="shared" si="213"/>
        <v/>
      </c>
      <c r="CG120" s="1" t="str">
        <f t="shared" si="214"/>
        <v/>
      </c>
      <c r="CH120" s="1" t="str">
        <f t="shared" si="215"/>
        <v/>
      </c>
    </row>
    <row r="121" spans="2:86" ht="15" customHeight="1">
      <c r="B121" s="1007"/>
      <c r="C121" s="1084"/>
      <c r="D121" s="1062"/>
      <c r="E121" s="1033"/>
      <c r="F121" s="1033"/>
      <c r="G121" s="1033"/>
      <c r="H121" s="1033"/>
      <c r="I121" s="1069"/>
      <c r="J121" s="905" t="s">
        <v>152</v>
      </c>
      <c r="K121" s="433" t="str">
        <f t="shared" si="307"/>
        <v/>
      </c>
      <c r="L121" s="433" t="str">
        <f t="shared" si="308"/>
        <v>X</v>
      </c>
      <c r="M121" s="433" t="str">
        <f t="shared" si="309"/>
        <v/>
      </c>
      <c r="N121" s="433" t="str">
        <f t="shared" si="310"/>
        <v/>
      </c>
      <c r="O121" s="433" t="str">
        <f t="shared" si="311"/>
        <v/>
      </c>
      <c r="P121" s="434" t="str">
        <f t="shared" si="312"/>
        <v/>
      </c>
      <c r="Q121" s="438" t="s">
        <v>62</v>
      </c>
      <c r="R121" s="640">
        <f>'2020'!G121</f>
        <v>0</v>
      </c>
      <c r="S121" s="641">
        <f>'2021'!G121</f>
        <v>3</v>
      </c>
      <c r="T121" s="641">
        <f>'2022'!G121</f>
        <v>0</v>
      </c>
      <c r="U121" s="641">
        <f>'2023'!G121</f>
        <v>0</v>
      </c>
      <c r="V121" s="641">
        <f>'2024'!G121</f>
        <v>0</v>
      </c>
      <c r="W121" s="642">
        <f>'2025'!G121</f>
        <v>0</v>
      </c>
      <c r="X121" s="676">
        <f>'2020'!H121</f>
        <v>0</v>
      </c>
      <c r="Y121" s="641">
        <f>'2021'!H121</f>
        <v>3</v>
      </c>
      <c r="Z121" s="641">
        <f>'2022'!H121</f>
        <v>0</v>
      </c>
      <c r="AA121" s="641">
        <f>'2023'!H121</f>
        <v>0</v>
      </c>
      <c r="AB121" s="641">
        <f>'2024'!H121</f>
        <v>0</v>
      </c>
      <c r="AC121" s="642">
        <f>'2025'!H121</f>
        <v>0</v>
      </c>
      <c r="AD121" s="449">
        <f t="shared" si="192"/>
        <v>0</v>
      </c>
      <c r="AE121" s="450">
        <f t="shared" si="193"/>
        <v>0.66666666666666663</v>
      </c>
      <c r="AF121" s="450">
        <f t="shared" si="268"/>
        <v>0</v>
      </c>
      <c r="AG121" s="450">
        <f t="shared" si="195"/>
        <v>0</v>
      </c>
      <c r="AH121" s="450">
        <f t="shared" si="196"/>
        <v>0</v>
      </c>
      <c r="AI121" s="451">
        <f t="shared" si="197"/>
        <v>0</v>
      </c>
      <c r="AJ121" s="676">
        <f>'2020'!J121</f>
        <v>0</v>
      </c>
      <c r="AK121" s="641">
        <f>'2021'!J121</f>
        <v>2</v>
      </c>
      <c r="AL121" s="641">
        <f>'2022'!J121</f>
        <v>0</v>
      </c>
      <c r="AM121" s="641">
        <f>'2023'!J121</f>
        <v>0</v>
      </c>
      <c r="AN121" s="641">
        <f>'2024'!J121</f>
        <v>0</v>
      </c>
      <c r="AO121" s="642">
        <f>'2025'!J121</f>
        <v>0</v>
      </c>
      <c r="AP121" s="449" t="str">
        <f t="shared" si="208"/>
        <v/>
      </c>
      <c r="AQ121" s="450">
        <f t="shared" si="198"/>
        <v>0.66666666666666663</v>
      </c>
      <c r="AR121" s="450" t="str">
        <f t="shared" si="199"/>
        <v/>
      </c>
      <c r="AS121" s="450" t="str">
        <f t="shared" si="200"/>
        <v/>
      </c>
      <c r="AT121" s="450" t="str">
        <f t="shared" si="201"/>
        <v/>
      </c>
      <c r="AU121" s="451" t="str">
        <f t="shared" si="202"/>
        <v/>
      </c>
      <c r="AV121" s="676">
        <f>'2020'!L121</f>
        <v>0</v>
      </c>
      <c r="AW121" s="641">
        <f>'2021'!L121</f>
        <v>2</v>
      </c>
      <c r="AX121" s="641">
        <f>'2022'!L121</f>
        <v>0</v>
      </c>
      <c r="AY121" s="641">
        <f>'2023'!L121</f>
        <v>0</v>
      </c>
      <c r="AZ121" s="641">
        <f>'2024'!L121</f>
        <v>0</v>
      </c>
      <c r="BA121" s="642">
        <f>'2025'!L121</f>
        <v>0</v>
      </c>
      <c r="BB121" s="449" t="str">
        <f t="shared" si="209"/>
        <v/>
      </c>
      <c r="BC121" s="450">
        <f t="shared" si="203"/>
        <v>0.5</v>
      </c>
      <c r="BD121" s="450" t="str">
        <f t="shared" si="204"/>
        <v/>
      </c>
      <c r="BE121" s="450" t="str">
        <f t="shared" si="205"/>
        <v/>
      </c>
      <c r="BF121" s="450" t="str">
        <f t="shared" si="206"/>
        <v/>
      </c>
      <c r="BG121" s="451" t="str">
        <f t="shared" si="207"/>
        <v/>
      </c>
      <c r="BH121" s="966">
        <f>'2020'!N121</f>
        <v>0</v>
      </c>
      <c r="BI121" s="967">
        <f>'2021'!N121</f>
        <v>1</v>
      </c>
      <c r="BJ121" s="967">
        <f>'2022'!N121</f>
        <v>0</v>
      </c>
      <c r="BK121" s="967">
        <f>'2023'!N121</f>
        <v>0</v>
      </c>
      <c r="BL121" s="967">
        <f>'2024'!N121</f>
        <v>0</v>
      </c>
      <c r="BM121" s="968">
        <f>'2025'!N121</f>
        <v>0</v>
      </c>
      <c r="BN121" s="452">
        <v>0</v>
      </c>
      <c r="BO121" s="453">
        <v>0</v>
      </c>
      <c r="BP121" s="452">
        <v>0</v>
      </c>
      <c r="BQ121" s="453">
        <v>0</v>
      </c>
      <c r="BR121" s="477">
        <v>3</v>
      </c>
      <c r="BS121" s="478">
        <v>3</v>
      </c>
      <c r="BT121" s="477">
        <v>0</v>
      </c>
      <c r="BU121" s="479">
        <v>0</v>
      </c>
      <c r="BV121" s="496"/>
      <c r="CC121" s="1" t="str">
        <f t="shared" si="210"/>
        <v/>
      </c>
      <c r="CD121" s="1" t="str">
        <f t="shared" si="211"/>
        <v>Frontière</v>
      </c>
      <c r="CE121" s="1" t="str">
        <f t="shared" si="212"/>
        <v/>
      </c>
      <c r="CF121" s="1" t="str">
        <f t="shared" si="213"/>
        <v/>
      </c>
      <c r="CG121" s="1" t="str">
        <f t="shared" si="214"/>
        <v/>
      </c>
      <c r="CH121" s="1" t="str">
        <f t="shared" si="215"/>
        <v/>
      </c>
    </row>
    <row r="122" spans="2:86" ht="15" customHeight="1">
      <c r="B122" s="1007"/>
      <c r="C122" s="1084"/>
      <c r="D122" s="1062"/>
      <c r="E122" s="1033"/>
      <c r="F122" s="1033"/>
      <c r="G122" s="1033"/>
      <c r="H122" s="1033"/>
      <c r="I122" s="1069"/>
      <c r="J122" s="905" t="s">
        <v>166</v>
      </c>
      <c r="K122" s="433" t="str">
        <f t="shared" si="307"/>
        <v/>
      </c>
      <c r="L122" s="433" t="str">
        <f t="shared" si="308"/>
        <v/>
      </c>
      <c r="M122" s="433" t="str">
        <f t="shared" si="309"/>
        <v/>
      </c>
      <c r="N122" s="433" t="str">
        <f t="shared" si="310"/>
        <v/>
      </c>
      <c r="O122" s="433" t="str">
        <f t="shared" si="311"/>
        <v/>
      </c>
      <c r="P122" s="434" t="str">
        <f t="shared" si="312"/>
        <v/>
      </c>
      <c r="Q122" s="438"/>
      <c r="R122" s="640">
        <f>'2020'!G122</f>
        <v>0</v>
      </c>
      <c r="S122" s="641">
        <f>'2021'!G122</f>
        <v>0</v>
      </c>
      <c r="T122" s="641">
        <f>'2022'!G122</f>
        <v>0</v>
      </c>
      <c r="U122" s="641">
        <f>'2023'!G122</f>
        <v>0</v>
      </c>
      <c r="V122" s="641">
        <f>'2024'!G122</f>
        <v>0</v>
      </c>
      <c r="W122" s="642">
        <f>'2025'!G122</f>
        <v>0</v>
      </c>
      <c r="X122" s="676">
        <f>'2020'!H122</f>
        <v>0</v>
      </c>
      <c r="Y122" s="641">
        <f>'2021'!H122</f>
        <v>0</v>
      </c>
      <c r="Z122" s="641">
        <f>'2022'!H122</f>
        <v>0</v>
      </c>
      <c r="AA122" s="641">
        <f>'2023'!H122</f>
        <v>0</v>
      </c>
      <c r="AB122" s="641">
        <f>'2024'!H122</f>
        <v>0</v>
      </c>
      <c r="AC122" s="642">
        <f>'2025'!H122</f>
        <v>0</v>
      </c>
      <c r="AD122" s="449">
        <f t="shared" si="192"/>
        <v>0</v>
      </c>
      <c r="AE122" s="450">
        <f t="shared" si="193"/>
        <v>0</v>
      </c>
      <c r="AF122" s="450">
        <f t="shared" si="268"/>
        <v>0</v>
      </c>
      <c r="AG122" s="450">
        <f t="shared" si="195"/>
        <v>0</v>
      </c>
      <c r="AH122" s="450">
        <f t="shared" si="196"/>
        <v>0</v>
      </c>
      <c r="AI122" s="451">
        <f t="shared" si="197"/>
        <v>0</v>
      </c>
      <c r="AJ122" s="676">
        <f>'2020'!J122</f>
        <v>0</v>
      </c>
      <c r="AK122" s="641">
        <f>'2021'!J122</f>
        <v>0</v>
      </c>
      <c r="AL122" s="641">
        <f>'2022'!J122</f>
        <v>0</v>
      </c>
      <c r="AM122" s="641">
        <f>'2023'!J122</f>
        <v>0</v>
      </c>
      <c r="AN122" s="641">
        <f>'2024'!J122</f>
        <v>0</v>
      </c>
      <c r="AO122" s="642">
        <f>'2025'!J122</f>
        <v>0</v>
      </c>
      <c r="AP122" s="449" t="str">
        <f t="shared" si="208"/>
        <v/>
      </c>
      <c r="AQ122" s="450" t="str">
        <f t="shared" si="198"/>
        <v/>
      </c>
      <c r="AR122" s="450" t="str">
        <f t="shared" si="199"/>
        <v/>
      </c>
      <c r="AS122" s="450" t="str">
        <f t="shared" si="200"/>
        <v/>
      </c>
      <c r="AT122" s="450" t="str">
        <f t="shared" si="201"/>
        <v/>
      </c>
      <c r="AU122" s="451" t="str">
        <f t="shared" si="202"/>
        <v/>
      </c>
      <c r="AV122" s="676">
        <f>'2020'!L122</f>
        <v>0</v>
      </c>
      <c r="AW122" s="641">
        <f>'2021'!L122</f>
        <v>0</v>
      </c>
      <c r="AX122" s="641">
        <f>'2022'!L122</f>
        <v>0</v>
      </c>
      <c r="AY122" s="641">
        <f>'2023'!L122</f>
        <v>0</v>
      </c>
      <c r="AZ122" s="641">
        <f>'2024'!L122</f>
        <v>0</v>
      </c>
      <c r="BA122" s="642">
        <f>'2025'!L122</f>
        <v>0</v>
      </c>
      <c r="BB122" s="449" t="str">
        <f t="shared" si="209"/>
        <v/>
      </c>
      <c r="BC122" s="450" t="str">
        <f t="shared" si="203"/>
        <v/>
      </c>
      <c r="BD122" s="450" t="str">
        <f t="shared" si="204"/>
        <v/>
      </c>
      <c r="BE122" s="450" t="str">
        <f t="shared" si="205"/>
        <v/>
      </c>
      <c r="BF122" s="450" t="str">
        <f t="shared" si="206"/>
        <v/>
      </c>
      <c r="BG122" s="451" t="str">
        <f t="shared" si="207"/>
        <v/>
      </c>
      <c r="BH122" s="966">
        <f>'2020'!N122</f>
        <v>0</v>
      </c>
      <c r="BI122" s="967">
        <f>'2021'!N122</f>
        <v>0</v>
      </c>
      <c r="BJ122" s="967">
        <f>'2022'!N122</f>
        <v>0</v>
      </c>
      <c r="BK122" s="967">
        <f>'2023'!N122</f>
        <v>0</v>
      </c>
      <c r="BL122" s="967">
        <f>'2024'!N122</f>
        <v>0</v>
      </c>
      <c r="BM122" s="968">
        <f>'2025'!N122</f>
        <v>0</v>
      </c>
      <c r="BN122" s="452"/>
      <c r="BO122" s="453"/>
      <c r="BP122" s="452"/>
      <c r="BQ122" s="453"/>
      <c r="BR122" s="477"/>
      <c r="BS122" s="478"/>
      <c r="BT122" s="477"/>
      <c r="BU122" s="479"/>
      <c r="BV122" s="497"/>
      <c r="CC122" s="1" t="str">
        <f t="shared" si="210"/>
        <v/>
      </c>
      <c r="CD122" s="1" t="str">
        <f t="shared" si="211"/>
        <v/>
      </c>
      <c r="CE122" s="1" t="str">
        <f t="shared" si="212"/>
        <v/>
      </c>
      <c r="CF122" s="1" t="str">
        <f t="shared" si="213"/>
        <v/>
      </c>
      <c r="CG122" s="1" t="str">
        <f t="shared" si="214"/>
        <v/>
      </c>
      <c r="CH122" s="1" t="str">
        <f t="shared" si="215"/>
        <v/>
      </c>
    </row>
    <row r="123" spans="2:86" ht="15" customHeight="1">
      <c r="B123" s="1007"/>
      <c r="C123" s="1084"/>
      <c r="D123" s="1062"/>
      <c r="E123" s="1033"/>
      <c r="F123" s="1033"/>
      <c r="G123" s="1033"/>
      <c r="H123" s="1033"/>
      <c r="I123" s="1069"/>
      <c r="J123" s="905" t="s">
        <v>166</v>
      </c>
      <c r="K123" s="433" t="str">
        <f t="shared" si="307"/>
        <v/>
      </c>
      <c r="L123" s="433" t="str">
        <f t="shared" si="308"/>
        <v/>
      </c>
      <c r="M123" s="433" t="str">
        <f t="shared" si="309"/>
        <v/>
      </c>
      <c r="N123" s="433" t="str">
        <f t="shared" si="310"/>
        <v/>
      </c>
      <c r="O123" s="433" t="str">
        <f t="shared" si="311"/>
        <v/>
      </c>
      <c r="P123" s="434" t="str">
        <f t="shared" si="312"/>
        <v/>
      </c>
      <c r="Q123" s="438"/>
      <c r="R123" s="640">
        <f>'2020'!G123</f>
        <v>0</v>
      </c>
      <c r="S123" s="641">
        <f>'2021'!G123</f>
        <v>0</v>
      </c>
      <c r="T123" s="641">
        <f>'2022'!G123</f>
        <v>0</v>
      </c>
      <c r="U123" s="641">
        <f>'2023'!G123</f>
        <v>0</v>
      </c>
      <c r="V123" s="641">
        <f>'2024'!G123</f>
        <v>0</v>
      </c>
      <c r="W123" s="642">
        <f>'2025'!G123</f>
        <v>0</v>
      </c>
      <c r="X123" s="676">
        <f>'2020'!H123</f>
        <v>0</v>
      </c>
      <c r="Y123" s="641">
        <f>'2021'!H123</f>
        <v>0</v>
      </c>
      <c r="Z123" s="641">
        <f>'2022'!H123</f>
        <v>0</v>
      </c>
      <c r="AA123" s="641">
        <f>'2023'!H123</f>
        <v>0</v>
      </c>
      <c r="AB123" s="641">
        <f>'2024'!H123</f>
        <v>0</v>
      </c>
      <c r="AC123" s="642">
        <f>'2025'!H123</f>
        <v>0</v>
      </c>
      <c r="AD123" s="449">
        <f t="shared" si="192"/>
        <v>0</v>
      </c>
      <c r="AE123" s="450">
        <f t="shared" si="193"/>
        <v>0</v>
      </c>
      <c r="AF123" s="450">
        <f t="shared" si="268"/>
        <v>0</v>
      </c>
      <c r="AG123" s="450">
        <f t="shared" si="195"/>
        <v>0</v>
      </c>
      <c r="AH123" s="450">
        <f t="shared" si="196"/>
        <v>0</v>
      </c>
      <c r="AI123" s="451">
        <f t="shared" si="197"/>
        <v>0</v>
      </c>
      <c r="AJ123" s="676">
        <f>'2020'!J123</f>
        <v>0</v>
      </c>
      <c r="AK123" s="641">
        <f>'2021'!J123</f>
        <v>0</v>
      </c>
      <c r="AL123" s="641">
        <f>'2022'!J123</f>
        <v>0</v>
      </c>
      <c r="AM123" s="641">
        <f>'2023'!J123</f>
        <v>0</v>
      </c>
      <c r="AN123" s="641">
        <f>'2024'!J123</f>
        <v>0</v>
      </c>
      <c r="AO123" s="642">
        <f>'2025'!J123</f>
        <v>0</v>
      </c>
      <c r="AP123" s="449" t="str">
        <f t="shared" si="208"/>
        <v/>
      </c>
      <c r="AQ123" s="450" t="str">
        <f t="shared" si="198"/>
        <v/>
      </c>
      <c r="AR123" s="450" t="str">
        <f t="shared" si="199"/>
        <v/>
      </c>
      <c r="AS123" s="450" t="str">
        <f t="shared" si="200"/>
        <v/>
      </c>
      <c r="AT123" s="450" t="str">
        <f t="shared" si="201"/>
        <v/>
      </c>
      <c r="AU123" s="451" t="str">
        <f t="shared" si="202"/>
        <v/>
      </c>
      <c r="AV123" s="676">
        <f>'2020'!L123</f>
        <v>0</v>
      </c>
      <c r="AW123" s="641">
        <f>'2021'!L123</f>
        <v>0</v>
      </c>
      <c r="AX123" s="641">
        <f>'2022'!L123</f>
        <v>0</v>
      </c>
      <c r="AY123" s="641">
        <f>'2023'!L123</f>
        <v>0</v>
      </c>
      <c r="AZ123" s="641">
        <f>'2024'!L123</f>
        <v>0</v>
      </c>
      <c r="BA123" s="642">
        <f>'2025'!L123</f>
        <v>0</v>
      </c>
      <c r="BB123" s="449" t="str">
        <f t="shared" si="209"/>
        <v/>
      </c>
      <c r="BC123" s="450" t="str">
        <f t="shared" si="203"/>
        <v/>
      </c>
      <c r="BD123" s="450" t="str">
        <f t="shared" si="204"/>
        <v/>
      </c>
      <c r="BE123" s="450" t="str">
        <f t="shared" si="205"/>
        <v/>
      </c>
      <c r="BF123" s="450" t="str">
        <f t="shared" si="206"/>
        <v/>
      </c>
      <c r="BG123" s="451" t="str">
        <f t="shared" si="207"/>
        <v/>
      </c>
      <c r="BH123" s="966">
        <f>'2020'!N123</f>
        <v>0</v>
      </c>
      <c r="BI123" s="967">
        <f>'2021'!N123</f>
        <v>0</v>
      </c>
      <c r="BJ123" s="967">
        <f>'2022'!N123</f>
        <v>0</v>
      </c>
      <c r="BK123" s="967">
        <f>'2023'!N123</f>
        <v>0</v>
      </c>
      <c r="BL123" s="967">
        <f>'2024'!N123</f>
        <v>0</v>
      </c>
      <c r="BM123" s="968">
        <f>'2025'!N123</f>
        <v>0</v>
      </c>
      <c r="BN123" s="452"/>
      <c r="BO123" s="453"/>
      <c r="BP123" s="452"/>
      <c r="BQ123" s="453"/>
      <c r="BR123" s="477"/>
      <c r="BS123" s="478"/>
      <c r="BT123" s="477"/>
      <c r="BU123" s="479"/>
      <c r="BV123" s="497"/>
      <c r="CC123" s="1" t="str">
        <f t="shared" si="210"/>
        <v/>
      </c>
      <c r="CD123" s="1" t="str">
        <f t="shared" si="211"/>
        <v/>
      </c>
      <c r="CE123" s="1" t="str">
        <f t="shared" si="212"/>
        <v/>
      </c>
      <c r="CF123" s="1" t="str">
        <f t="shared" si="213"/>
        <v/>
      </c>
      <c r="CG123" s="1" t="str">
        <f t="shared" si="214"/>
        <v/>
      </c>
      <c r="CH123" s="1" t="str">
        <f t="shared" si="215"/>
        <v/>
      </c>
    </row>
    <row r="124" spans="2:86" ht="15" customHeight="1">
      <c r="B124" s="1007"/>
      <c r="C124" s="1084"/>
      <c r="D124" s="1063"/>
      <c r="E124" s="1034"/>
      <c r="F124" s="1034"/>
      <c r="G124" s="1034"/>
      <c r="H124" s="1034"/>
      <c r="I124" s="1070"/>
      <c r="J124" s="907" t="s">
        <v>166</v>
      </c>
      <c r="K124" s="436" t="str">
        <f t="shared" si="307"/>
        <v/>
      </c>
      <c r="L124" s="436" t="str">
        <f t="shared" si="308"/>
        <v/>
      </c>
      <c r="M124" s="436" t="str">
        <f t="shared" si="309"/>
        <v/>
      </c>
      <c r="N124" s="436" t="str">
        <f t="shared" si="310"/>
        <v/>
      </c>
      <c r="O124" s="436" t="str">
        <f t="shared" si="311"/>
        <v/>
      </c>
      <c r="P124" s="437" t="str">
        <f t="shared" si="312"/>
        <v/>
      </c>
      <c r="Q124" s="480"/>
      <c r="R124" s="643">
        <f>'2020'!G124</f>
        <v>0</v>
      </c>
      <c r="S124" s="644">
        <f>'2021'!G124</f>
        <v>0</v>
      </c>
      <c r="T124" s="644">
        <f>'2022'!G124</f>
        <v>0</v>
      </c>
      <c r="U124" s="644">
        <f>'2023'!G124</f>
        <v>0</v>
      </c>
      <c r="V124" s="644">
        <f>'2024'!G124</f>
        <v>0</v>
      </c>
      <c r="W124" s="645">
        <f>'2025'!G124</f>
        <v>0</v>
      </c>
      <c r="X124" s="677">
        <f>'2020'!H124</f>
        <v>0</v>
      </c>
      <c r="Y124" s="644">
        <f>'2021'!H124</f>
        <v>0</v>
      </c>
      <c r="Z124" s="644">
        <f>'2022'!H124</f>
        <v>0</v>
      </c>
      <c r="AA124" s="644">
        <f>'2023'!H124</f>
        <v>0</v>
      </c>
      <c r="AB124" s="644">
        <f>'2024'!H124</f>
        <v>0</v>
      </c>
      <c r="AC124" s="645">
        <f>'2025'!H124</f>
        <v>0</v>
      </c>
      <c r="AD124" s="460">
        <f t="shared" si="192"/>
        <v>0</v>
      </c>
      <c r="AE124" s="461">
        <f t="shared" si="193"/>
        <v>0</v>
      </c>
      <c r="AF124" s="461">
        <f t="shared" si="268"/>
        <v>0</v>
      </c>
      <c r="AG124" s="461">
        <f t="shared" si="195"/>
        <v>0</v>
      </c>
      <c r="AH124" s="461">
        <f t="shared" si="196"/>
        <v>0</v>
      </c>
      <c r="AI124" s="462">
        <f t="shared" si="197"/>
        <v>0</v>
      </c>
      <c r="AJ124" s="677">
        <f>'2020'!J124</f>
        <v>0</v>
      </c>
      <c r="AK124" s="644">
        <f>'2021'!J124</f>
        <v>0</v>
      </c>
      <c r="AL124" s="644">
        <f>'2022'!J124</f>
        <v>0</v>
      </c>
      <c r="AM124" s="644">
        <f>'2023'!J124</f>
        <v>0</v>
      </c>
      <c r="AN124" s="644">
        <f>'2024'!J124</f>
        <v>0</v>
      </c>
      <c r="AO124" s="645">
        <f>'2025'!J124</f>
        <v>0</v>
      </c>
      <c r="AP124" s="460" t="str">
        <f t="shared" si="208"/>
        <v/>
      </c>
      <c r="AQ124" s="461" t="str">
        <f t="shared" si="198"/>
        <v/>
      </c>
      <c r="AR124" s="461" t="str">
        <f t="shared" si="199"/>
        <v/>
      </c>
      <c r="AS124" s="461" t="str">
        <f t="shared" si="200"/>
        <v/>
      </c>
      <c r="AT124" s="461" t="str">
        <f t="shared" si="201"/>
        <v/>
      </c>
      <c r="AU124" s="462" t="str">
        <f t="shared" si="202"/>
        <v/>
      </c>
      <c r="AV124" s="677">
        <f>'2020'!L124</f>
        <v>0</v>
      </c>
      <c r="AW124" s="644">
        <f>'2021'!L124</f>
        <v>0</v>
      </c>
      <c r="AX124" s="644">
        <f>'2022'!L124</f>
        <v>0</v>
      </c>
      <c r="AY124" s="644">
        <f>'2023'!L124</f>
        <v>0</v>
      </c>
      <c r="AZ124" s="644">
        <f>'2024'!L124</f>
        <v>0</v>
      </c>
      <c r="BA124" s="645">
        <f>'2025'!L124</f>
        <v>0</v>
      </c>
      <c r="BB124" s="460" t="str">
        <f t="shared" si="209"/>
        <v/>
      </c>
      <c r="BC124" s="461" t="str">
        <f t="shared" si="203"/>
        <v/>
      </c>
      <c r="BD124" s="461" t="str">
        <f t="shared" si="204"/>
        <v/>
      </c>
      <c r="BE124" s="461" t="str">
        <f t="shared" si="205"/>
        <v/>
      </c>
      <c r="BF124" s="461" t="str">
        <f t="shared" si="206"/>
        <v/>
      </c>
      <c r="BG124" s="462" t="str">
        <f t="shared" si="207"/>
        <v/>
      </c>
      <c r="BH124" s="969">
        <f>'2020'!N124</f>
        <v>0</v>
      </c>
      <c r="BI124" s="970">
        <f>'2021'!N124</f>
        <v>0</v>
      </c>
      <c r="BJ124" s="970">
        <f>'2022'!N124</f>
        <v>0</v>
      </c>
      <c r="BK124" s="970">
        <f>'2023'!N124</f>
        <v>0</v>
      </c>
      <c r="BL124" s="970">
        <f>'2024'!N124</f>
        <v>0</v>
      </c>
      <c r="BM124" s="971">
        <f>'2025'!N124</f>
        <v>0</v>
      </c>
      <c r="BN124" s="463"/>
      <c r="BO124" s="464"/>
      <c r="BP124" s="463"/>
      <c r="BQ124" s="464"/>
      <c r="BR124" s="481"/>
      <c r="BS124" s="482"/>
      <c r="BT124" s="481"/>
      <c r="BU124" s="483"/>
      <c r="BV124" s="497"/>
      <c r="CC124" s="1" t="str">
        <f t="shared" si="210"/>
        <v/>
      </c>
      <c r="CD124" s="1" t="str">
        <f t="shared" si="211"/>
        <v/>
      </c>
      <c r="CE124" s="1" t="str">
        <f t="shared" si="212"/>
        <v/>
      </c>
      <c r="CF124" s="1" t="str">
        <f t="shared" si="213"/>
        <v/>
      </c>
      <c r="CG124" s="1" t="str">
        <f t="shared" si="214"/>
        <v/>
      </c>
      <c r="CH124" s="1" t="str">
        <f t="shared" si="215"/>
        <v/>
      </c>
    </row>
    <row r="125" spans="2:86" ht="15.75">
      <c r="B125" s="1007"/>
      <c r="C125" s="1084"/>
      <c r="D125" s="407" t="s">
        <v>138</v>
      </c>
      <c r="E125" s="403"/>
      <c r="F125" s="403"/>
      <c r="G125" s="403"/>
      <c r="H125" s="403"/>
      <c r="I125" s="411"/>
      <c r="J125" s="898"/>
      <c r="K125" s="414">
        <f>COUNTIF(K110:K124,"X")</f>
        <v>3</v>
      </c>
      <c r="L125" s="418">
        <f t="shared" ref="L125:P125" si="313">COUNTIF(L110:L124,"X")</f>
        <v>6</v>
      </c>
      <c r="M125" s="418">
        <f t="shared" si="313"/>
        <v>8</v>
      </c>
      <c r="N125" s="418">
        <f t="shared" si="313"/>
        <v>0</v>
      </c>
      <c r="O125" s="418">
        <f t="shared" si="313"/>
        <v>0</v>
      </c>
      <c r="P125" s="419">
        <f t="shared" si="313"/>
        <v>0</v>
      </c>
      <c r="Q125" s="264"/>
      <c r="R125" s="657">
        <f>SUM(R110:R124)</f>
        <v>540</v>
      </c>
      <c r="S125" s="658">
        <f t="shared" ref="S125:W125" si="314">SUM(S110:S124)</f>
        <v>882</v>
      </c>
      <c r="T125" s="658">
        <f>SUM(T110:T124)</f>
        <v>1242</v>
      </c>
      <c r="U125" s="658">
        <f t="shared" si="314"/>
        <v>0</v>
      </c>
      <c r="V125" s="658">
        <f t="shared" si="314"/>
        <v>0</v>
      </c>
      <c r="W125" s="659">
        <f t="shared" si="314"/>
        <v>0</v>
      </c>
      <c r="X125" s="682">
        <f>SUM(X110:X124)</f>
        <v>269</v>
      </c>
      <c r="Y125" s="658">
        <f t="shared" ref="Y125:AC125" si="315">SUM(Y110:Y124)</f>
        <v>445</v>
      </c>
      <c r="Z125" s="658">
        <f t="shared" si="315"/>
        <v>672</v>
      </c>
      <c r="AA125" s="658">
        <f t="shared" si="315"/>
        <v>0</v>
      </c>
      <c r="AB125" s="658">
        <f t="shared" si="315"/>
        <v>0</v>
      </c>
      <c r="AC125" s="659">
        <f t="shared" si="315"/>
        <v>0</v>
      </c>
      <c r="AD125" s="338">
        <f t="shared" si="192"/>
        <v>0.3125</v>
      </c>
      <c r="AE125" s="339">
        <f t="shared" si="193"/>
        <v>0.35600907029478457</v>
      </c>
      <c r="AF125" s="339">
        <f t="shared" si="268"/>
        <v>0.38405797101449274</v>
      </c>
      <c r="AG125" s="339">
        <f t="shared" si="195"/>
        <v>0</v>
      </c>
      <c r="AH125" s="339">
        <f t="shared" si="196"/>
        <v>0</v>
      </c>
      <c r="AI125" s="344">
        <f t="shared" si="197"/>
        <v>0</v>
      </c>
      <c r="AJ125" s="682">
        <f>SUM(AJ110:AJ124)</f>
        <v>168.75</v>
      </c>
      <c r="AK125" s="658">
        <f t="shared" ref="AK125" si="316">SUM(AK110:AK124)</f>
        <v>314</v>
      </c>
      <c r="AL125" s="658">
        <f t="shared" ref="AL125" si="317">SUM(AL110:AL124)</f>
        <v>477</v>
      </c>
      <c r="AM125" s="658">
        <f t="shared" ref="AM125" si="318">SUM(AM110:AM124)</f>
        <v>0</v>
      </c>
      <c r="AN125" s="658">
        <f t="shared" ref="AN125" si="319">SUM(AN110:AN124)</f>
        <v>0</v>
      </c>
      <c r="AO125" s="659">
        <f t="shared" ref="AO125" si="320">SUM(AO110:AO124)</f>
        <v>0</v>
      </c>
      <c r="AP125" s="338">
        <f t="shared" si="208"/>
        <v>0.35555555555555557</v>
      </c>
      <c r="AQ125" s="339">
        <f t="shared" si="198"/>
        <v>0.29365079365079366</v>
      </c>
      <c r="AR125" s="339">
        <f t="shared" si="199"/>
        <v>0.32125603864734298</v>
      </c>
      <c r="AS125" s="339" t="str">
        <f t="shared" si="200"/>
        <v/>
      </c>
      <c r="AT125" s="339" t="str">
        <f t="shared" si="201"/>
        <v/>
      </c>
      <c r="AU125" s="344" t="str">
        <f t="shared" si="202"/>
        <v/>
      </c>
      <c r="AV125" s="682">
        <f>SUM(AV110:AV124)</f>
        <v>192</v>
      </c>
      <c r="AW125" s="658">
        <f t="shared" ref="AW125" si="321">SUM(AW110:AW124)</f>
        <v>259</v>
      </c>
      <c r="AX125" s="658">
        <f t="shared" ref="AX125" si="322">SUM(AX110:AX124)</f>
        <v>399</v>
      </c>
      <c r="AY125" s="658">
        <f t="shared" ref="AY125" si="323">SUM(AY110:AY124)</f>
        <v>0</v>
      </c>
      <c r="AZ125" s="658">
        <f t="shared" ref="AZ125" si="324">SUM(AZ110:AZ124)</f>
        <v>0</v>
      </c>
      <c r="BA125" s="659">
        <f t="shared" ref="BA125" si="325">SUM(BA110:BA124)</f>
        <v>0</v>
      </c>
      <c r="BB125" s="340">
        <f t="shared" si="209"/>
        <v>0</v>
      </c>
      <c r="BC125" s="341">
        <f t="shared" si="203"/>
        <v>0.46332046332046334</v>
      </c>
      <c r="BD125" s="341">
        <f t="shared" si="204"/>
        <v>0.48872180451127817</v>
      </c>
      <c r="BE125" s="341" t="str">
        <f t="shared" si="205"/>
        <v/>
      </c>
      <c r="BF125" s="341" t="str">
        <f t="shared" si="206"/>
        <v/>
      </c>
      <c r="BG125" s="345" t="str">
        <f t="shared" si="207"/>
        <v/>
      </c>
      <c r="BH125" s="682">
        <f>SUM(BH110:BH124)</f>
        <v>0</v>
      </c>
      <c r="BI125" s="658">
        <f t="shared" ref="BI125" si="326">SUM(BI110:BI124)</f>
        <v>120</v>
      </c>
      <c r="BJ125" s="658">
        <f t="shared" ref="BJ125" si="327">SUM(BJ110:BJ124)</f>
        <v>195</v>
      </c>
      <c r="BK125" s="658">
        <f t="shared" ref="BK125" si="328">SUM(BK110:BK124)</f>
        <v>0</v>
      </c>
      <c r="BL125" s="658">
        <f t="shared" ref="BL125" si="329">SUM(BL110:BL124)</f>
        <v>0</v>
      </c>
      <c r="BM125" s="659">
        <f t="shared" ref="BM125" si="330">SUM(BM110:BM124)</f>
        <v>0</v>
      </c>
      <c r="BN125" s="354">
        <f t="shared" ref="BN125:BU125" si="331">SUM(BN110:BN121)</f>
        <v>45</v>
      </c>
      <c r="BO125" s="355">
        <f t="shared" si="331"/>
        <v>22</v>
      </c>
      <c r="BP125" s="354">
        <f t="shared" si="331"/>
        <v>100</v>
      </c>
      <c r="BQ125" s="355">
        <f t="shared" si="331"/>
        <v>65</v>
      </c>
      <c r="BR125" s="354">
        <f t="shared" si="331"/>
        <v>881</v>
      </c>
      <c r="BS125" s="355">
        <f t="shared" si="331"/>
        <v>449</v>
      </c>
      <c r="BT125" s="354">
        <f t="shared" si="331"/>
        <v>101</v>
      </c>
      <c r="BU125" s="356">
        <f t="shared" si="331"/>
        <v>58</v>
      </c>
      <c r="BV125" s="497"/>
      <c r="CC125" s="1">
        <f t="shared" si="210"/>
        <v>0</v>
      </c>
      <c r="CD125" s="1">
        <f t="shared" si="211"/>
        <v>0</v>
      </c>
      <c r="CE125" s="1">
        <f t="shared" si="212"/>
        <v>0</v>
      </c>
      <c r="CF125" s="1">
        <f t="shared" si="213"/>
        <v>0</v>
      </c>
      <c r="CG125" s="1">
        <f t="shared" si="214"/>
        <v>0</v>
      </c>
      <c r="CH125" s="1">
        <f t="shared" si="215"/>
        <v>0</v>
      </c>
    </row>
    <row r="126" spans="2:86" ht="15.75" customHeight="1">
      <c r="B126" s="1022" t="s">
        <v>72</v>
      </c>
      <c r="C126" s="1084" t="s">
        <v>76</v>
      </c>
      <c r="D126" s="1075">
        <f>'2020'!D126</f>
        <v>2</v>
      </c>
      <c r="E126" s="1067">
        <f>'2021'!D126</f>
        <v>5</v>
      </c>
      <c r="F126" s="1067">
        <f>'2022'!D126</f>
        <v>3</v>
      </c>
      <c r="G126" s="1067">
        <f>'2023'!D126</f>
        <v>3</v>
      </c>
      <c r="H126" s="1067"/>
      <c r="I126" s="1074"/>
      <c r="J126" s="903" t="s">
        <v>150</v>
      </c>
      <c r="K126" s="430" t="str">
        <f t="shared" ref="K126:K133" si="332">IF(R126=0,"","X")</f>
        <v>X</v>
      </c>
      <c r="L126" s="430" t="str">
        <f t="shared" ref="L126:L133" si="333">IF(S126=0,"","X")</f>
        <v>X</v>
      </c>
      <c r="M126" s="430" t="str">
        <f t="shared" ref="M126:M133" si="334">IF(T126=0,"","X")</f>
        <v>X</v>
      </c>
      <c r="N126" s="430" t="str">
        <f t="shared" ref="N126:N133" si="335">IF(U126=0,"","X")</f>
        <v/>
      </c>
      <c r="O126" s="430" t="str">
        <f t="shared" ref="O126:O133" si="336">IF(V126=0,"","X")</f>
        <v/>
      </c>
      <c r="P126" s="431" t="str">
        <f t="shared" ref="P126:P133" si="337">IF(W126=0,"","X")</f>
        <v/>
      </c>
      <c r="Q126" s="473" t="s">
        <v>62</v>
      </c>
      <c r="R126" s="649">
        <f>'2020'!G126</f>
        <v>21</v>
      </c>
      <c r="S126" s="650">
        <f>'2021'!G126</f>
        <v>47</v>
      </c>
      <c r="T126" s="650">
        <f>'2022'!G126</f>
        <v>45</v>
      </c>
      <c r="U126" s="650">
        <f>'2023'!G126</f>
        <v>0</v>
      </c>
      <c r="V126" s="650">
        <f>'2024'!G126</f>
        <v>0</v>
      </c>
      <c r="W126" s="651">
        <f>'2025'!G126</f>
        <v>0</v>
      </c>
      <c r="X126" s="679">
        <f>'2020'!H126</f>
        <v>8</v>
      </c>
      <c r="Y126" s="650">
        <f>'2021'!H126</f>
        <v>38</v>
      </c>
      <c r="Z126" s="650">
        <f>'2022'!H126</f>
        <v>24</v>
      </c>
      <c r="AA126" s="650">
        <f>'2023'!H126</f>
        <v>0</v>
      </c>
      <c r="AB126" s="650">
        <f>'2024'!H126</f>
        <v>0</v>
      </c>
      <c r="AC126" s="651">
        <f>'2025'!H126</f>
        <v>0</v>
      </c>
      <c r="AD126" s="440">
        <f t="shared" si="192"/>
        <v>0.28999999999999998</v>
      </c>
      <c r="AE126" s="441">
        <f t="shared" si="193"/>
        <v>0.19148936170212766</v>
      </c>
      <c r="AF126" s="441">
        <f t="shared" si="268"/>
        <v>0.28888888888888886</v>
      </c>
      <c r="AG126" s="441">
        <f t="shared" si="195"/>
        <v>0</v>
      </c>
      <c r="AH126" s="441">
        <f t="shared" si="196"/>
        <v>0</v>
      </c>
      <c r="AI126" s="442">
        <f t="shared" si="197"/>
        <v>0</v>
      </c>
      <c r="AJ126" s="679">
        <f>'2020'!J126</f>
        <v>6.09</v>
      </c>
      <c r="AK126" s="650">
        <f>'2021'!J126</f>
        <v>9</v>
      </c>
      <c r="AL126" s="650">
        <f>'2022'!J126</f>
        <v>13</v>
      </c>
      <c r="AM126" s="650">
        <f>'2023'!J126</f>
        <v>0</v>
      </c>
      <c r="AN126" s="650">
        <f>'2024'!J126</f>
        <v>0</v>
      </c>
      <c r="AO126" s="651">
        <f>'2025'!J126</f>
        <v>0</v>
      </c>
      <c r="AP126" s="440">
        <f t="shared" si="208"/>
        <v>0.32</v>
      </c>
      <c r="AQ126" s="441">
        <f t="shared" si="198"/>
        <v>0.23404255319148937</v>
      </c>
      <c r="AR126" s="441">
        <f t="shared" si="199"/>
        <v>0.24444444444444444</v>
      </c>
      <c r="AS126" s="441" t="str">
        <f t="shared" si="200"/>
        <v/>
      </c>
      <c r="AT126" s="441" t="str">
        <f t="shared" si="201"/>
        <v/>
      </c>
      <c r="AU126" s="442" t="str">
        <f t="shared" si="202"/>
        <v/>
      </c>
      <c r="AV126" s="679">
        <f>'2020'!L126</f>
        <v>6.72</v>
      </c>
      <c r="AW126" s="650">
        <f>'2021'!L126</f>
        <v>11</v>
      </c>
      <c r="AX126" s="650">
        <f>'2022'!L126</f>
        <v>11</v>
      </c>
      <c r="AY126" s="650">
        <f>'2023'!L126</f>
        <v>0</v>
      </c>
      <c r="AZ126" s="650">
        <f>'2024'!L126</f>
        <v>0</v>
      </c>
      <c r="BA126" s="651">
        <f>'2025'!L126</f>
        <v>0</v>
      </c>
      <c r="BB126" s="440">
        <f t="shared" si="209"/>
        <v>0</v>
      </c>
      <c r="BC126" s="441">
        <f t="shared" si="203"/>
        <v>0.54545454545454541</v>
      </c>
      <c r="BD126" s="441">
        <f t="shared" si="204"/>
        <v>0.45454545454545453</v>
      </c>
      <c r="BE126" s="441" t="str">
        <f t="shared" si="205"/>
        <v/>
      </c>
      <c r="BF126" s="441" t="str">
        <f t="shared" si="206"/>
        <v/>
      </c>
      <c r="BG126" s="442" t="str">
        <f t="shared" si="207"/>
        <v/>
      </c>
      <c r="BH126" s="972">
        <f>'2020'!N126</f>
        <v>0</v>
      </c>
      <c r="BI126" s="973">
        <f>'2021'!N126</f>
        <v>6</v>
      </c>
      <c r="BJ126" s="973">
        <f>'2022'!N126</f>
        <v>5</v>
      </c>
      <c r="BK126" s="973">
        <f>'2023'!N126</f>
        <v>0</v>
      </c>
      <c r="BL126" s="973">
        <f>'2024'!N126</f>
        <v>0</v>
      </c>
      <c r="BM126" s="974">
        <f>'2025'!N126</f>
        <v>0</v>
      </c>
      <c r="BN126" s="443">
        <v>1</v>
      </c>
      <c r="BO126" s="444">
        <v>0</v>
      </c>
      <c r="BP126" s="443">
        <v>1</v>
      </c>
      <c r="BQ126" s="444">
        <v>1</v>
      </c>
      <c r="BR126" s="474">
        <v>45</v>
      </c>
      <c r="BS126" s="475">
        <v>38</v>
      </c>
      <c r="BT126" s="474">
        <v>3</v>
      </c>
      <c r="BU126" s="476">
        <v>1</v>
      </c>
      <c r="CC126" s="1" t="str">
        <f t="shared" si="210"/>
        <v>Frontière</v>
      </c>
      <c r="CD126" s="1" t="str">
        <f t="shared" si="211"/>
        <v>Frontière</v>
      </c>
      <c r="CE126" s="1" t="str">
        <f t="shared" si="212"/>
        <v>Frontière</v>
      </c>
      <c r="CF126" s="1" t="str">
        <f t="shared" si="213"/>
        <v/>
      </c>
      <c r="CG126" s="1" t="str">
        <f t="shared" si="214"/>
        <v/>
      </c>
      <c r="CH126" s="1" t="str">
        <f t="shared" si="215"/>
        <v/>
      </c>
    </row>
    <row r="127" spans="2:86" ht="15.75" customHeight="1">
      <c r="B127" s="1022"/>
      <c r="C127" s="1084"/>
      <c r="D127" s="1062"/>
      <c r="E127" s="1033"/>
      <c r="F127" s="1033"/>
      <c r="G127" s="1033"/>
      <c r="H127" s="1033"/>
      <c r="I127" s="1069"/>
      <c r="J127" s="905" t="s">
        <v>153</v>
      </c>
      <c r="K127" s="433" t="str">
        <f t="shared" si="332"/>
        <v/>
      </c>
      <c r="L127" s="433" t="str">
        <f t="shared" si="333"/>
        <v>X</v>
      </c>
      <c r="M127" s="433" t="str">
        <f t="shared" si="334"/>
        <v>X</v>
      </c>
      <c r="N127" s="433" t="str">
        <f t="shared" si="335"/>
        <v/>
      </c>
      <c r="O127" s="433" t="str">
        <f t="shared" si="336"/>
        <v/>
      </c>
      <c r="P127" s="434" t="str">
        <f t="shared" si="337"/>
        <v/>
      </c>
      <c r="Q127" s="438" t="s">
        <v>62</v>
      </c>
      <c r="R127" s="640">
        <f>'2020'!G127</f>
        <v>0</v>
      </c>
      <c r="S127" s="641">
        <f>'2021'!G127</f>
        <v>23</v>
      </c>
      <c r="T127" s="641">
        <f>'2022'!G127</f>
        <v>16</v>
      </c>
      <c r="U127" s="641">
        <f>'2023'!G127</f>
        <v>0</v>
      </c>
      <c r="V127" s="641">
        <f>'2024'!G127</f>
        <v>0</v>
      </c>
      <c r="W127" s="642">
        <f>'2025'!G127</f>
        <v>0</v>
      </c>
      <c r="X127" s="676">
        <f>'2020'!H127</f>
        <v>0</v>
      </c>
      <c r="Y127" s="641">
        <f>'2021'!H127</f>
        <v>7</v>
      </c>
      <c r="Z127" s="641">
        <f>'2022'!H127</f>
        <v>10</v>
      </c>
      <c r="AA127" s="641">
        <f>'2023'!H127</f>
        <v>0</v>
      </c>
      <c r="AB127" s="641">
        <f>'2024'!H127</f>
        <v>0</v>
      </c>
      <c r="AC127" s="642">
        <f>'2025'!H127</f>
        <v>0</v>
      </c>
      <c r="AD127" s="449">
        <f t="shared" si="192"/>
        <v>0</v>
      </c>
      <c r="AE127" s="450">
        <f t="shared" si="193"/>
        <v>0.39130434782608697</v>
      </c>
      <c r="AF127" s="450">
        <f t="shared" si="268"/>
        <v>0.25</v>
      </c>
      <c r="AG127" s="450">
        <f t="shared" si="195"/>
        <v>0</v>
      </c>
      <c r="AH127" s="450">
        <f t="shared" si="196"/>
        <v>0</v>
      </c>
      <c r="AI127" s="451">
        <f t="shared" si="197"/>
        <v>0</v>
      </c>
      <c r="AJ127" s="676">
        <f>'2020'!J127</f>
        <v>0</v>
      </c>
      <c r="AK127" s="641">
        <f>'2021'!J127</f>
        <v>9</v>
      </c>
      <c r="AL127" s="641">
        <f>'2022'!J127</f>
        <v>4</v>
      </c>
      <c r="AM127" s="641">
        <f>'2023'!J127</f>
        <v>0</v>
      </c>
      <c r="AN127" s="641">
        <f>'2024'!J127</f>
        <v>0</v>
      </c>
      <c r="AO127" s="642">
        <f>'2025'!J127</f>
        <v>0</v>
      </c>
      <c r="AP127" s="449" t="str">
        <f t="shared" si="208"/>
        <v/>
      </c>
      <c r="AQ127" s="450">
        <f t="shared" si="198"/>
        <v>0.39130434782608697</v>
      </c>
      <c r="AR127" s="450">
        <f t="shared" si="199"/>
        <v>0.3125</v>
      </c>
      <c r="AS127" s="450" t="str">
        <f t="shared" si="200"/>
        <v/>
      </c>
      <c r="AT127" s="450" t="str">
        <f t="shared" si="201"/>
        <v/>
      </c>
      <c r="AU127" s="451" t="str">
        <f t="shared" si="202"/>
        <v/>
      </c>
      <c r="AV127" s="676">
        <f>'2020'!L127</f>
        <v>0</v>
      </c>
      <c r="AW127" s="641">
        <f>'2021'!L127</f>
        <v>9</v>
      </c>
      <c r="AX127" s="641">
        <f>'2022'!L127</f>
        <v>5</v>
      </c>
      <c r="AY127" s="641">
        <f>'2023'!L127</f>
        <v>0</v>
      </c>
      <c r="AZ127" s="641">
        <f>'2024'!L127</f>
        <v>0</v>
      </c>
      <c r="BA127" s="642">
        <f>'2025'!L127</f>
        <v>0</v>
      </c>
      <c r="BB127" s="449" t="str">
        <f t="shared" si="209"/>
        <v/>
      </c>
      <c r="BC127" s="450">
        <f t="shared" si="203"/>
        <v>0.55555555555555558</v>
      </c>
      <c r="BD127" s="450">
        <f t="shared" si="204"/>
        <v>0.2</v>
      </c>
      <c r="BE127" s="450" t="str">
        <f t="shared" si="205"/>
        <v/>
      </c>
      <c r="BF127" s="450" t="str">
        <f t="shared" si="206"/>
        <v/>
      </c>
      <c r="BG127" s="451" t="str">
        <f t="shared" si="207"/>
        <v/>
      </c>
      <c r="BH127" s="966">
        <f>'2020'!N127</f>
        <v>0</v>
      </c>
      <c r="BI127" s="967">
        <f>'2021'!N127</f>
        <v>5</v>
      </c>
      <c r="BJ127" s="967">
        <f>'2022'!N127</f>
        <v>1</v>
      </c>
      <c r="BK127" s="967">
        <f>'2023'!N127</f>
        <v>0</v>
      </c>
      <c r="BL127" s="967">
        <f>'2024'!N127</f>
        <v>0</v>
      </c>
      <c r="BM127" s="968">
        <f>'2025'!N127</f>
        <v>0</v>
      </c>
      <c r="BN127" s="452">
        <v>0</v>
      </c>
      <c r="BO127" s="453">
        <v>0</v>
      </c>
      <c r="BP127" s="452">
        <v>8</v>
      </c>
      <c r="BQ127" s="453">
        <v>7</v>
      </c>
      <c r="BR127" s="477">
        <v>22</v>
      </c>
      <c r="BS127" s="478">
        <v>10</v>
      </c>
      <c r="BT127" s="477">
        <v>9</v>
      </c>
      <c r="BU127" s="479">
        <v>4</v>
      </c>
      <c r="CC127" s="1" t="str">
        <f t="shared" si="210"/>
        <v/>
      </c>
      <c r="CD127" s="1" t="str">
        <f t="shared" si="211"/>
        <v>Frontière</v>
      </c>
      <c r="CE127" s="1" t="str">
        <f t="shared" si="212"/>
        <v>Frontière</v>
      </c>
      <c r="CF127" s="1" t="str">
        <f t="shared" si="213"/>
        <v/>
      </c>
      <c r="CG127" s="1" t="str">
        <f t="shared" si="214"/>
        <v/>
      </c>
      <c r="CH127" s="1" t="str">
        <f t="shared" si="215"/>
        <v/>
      </c>
    </row>
    <row r="128" spans="2:86" ht="15.75" customHeight="1">
      <c r="B128" s="1022"/>
      <c r="C128" s="1084"/>
      <c r="D128" s="1062"/>
      <c r="E128" s="1033"/>
      <c r="F128" s="1033"/>
      <c r="G128" s="1033"/>
      <c r="H128" s="1033"/>
      <c r="I128" s="1069"/>
      <c r="J128" s="905" t="s">
        <v>166</v>
      </c>
      <c r="K128" s="433" t="str">
        <f t="shared" si="332"/>
        <v/>
      </c>
      <c r="L128" s="433" t="str">
        <f t="shared" si="333"/>
        <v/>
      </c>
      <c r="M128" s="433" t="str">
        <f t="shared" si="334"/>
        <v/>
      </c>
      <c r="N128" s="433" t="str">
        <f t="shared" si="335"/>
        <v/>
      </c>
      <c r="O128" s="433" t="str">
        <f t="shared" si="336"/>
        <v/>
      </c>
      <c r="P128" s="434" t="str">
        <f t="shared" si="337"/>
        <v/>
      </c>
      <c r="Q128" s="438" t="s">
        <v>62</v>
      </c>
      <c r="R128" s="640">
        <f>'2020'!G128</f>
        <v>0</v>
      </c>
      <c r="S128" s="641">
        <f>'2021'!G128</f>
        <v>0</v>
      </c>
      <c r="T128" s="641">
        <f>'2022'!G128</f>
        <v>0</v>
      </c>
      <c r="U128" s="641">
        <f>'2023'!G128</f>
        <v>0</v>
      </c>
      <c r="V128" s="641">
        <f>'2024'!G128</f>
        <v>0</v>
      </c>
      <c r="W128" s="642">
        <f>'2025'!G128</f>
        <v>0</v>
      </c>
      <c r="X128" s="676">
        <f>'2020'!H128</f>
        <v>0</v>
      </c>
      <c r="Y128" s="641">
        <f>'2021'!H128</f>
        <v>0</v>
      </c>
      <c r="Z128" s="641">
        <f>'2022'!H128</f>
        <v>0</v>
      </c>
      <c r="AA128" s="641">
        <f>'2023'!H128</f>
        <v>0</v>
      </c>
      <c r="AB128" s="641">
        <f>'2024'!H128</f>
        <v>0</v>
      </c>
      <c r="AC128" s="642">
        <f>'2025'!H128</f>
        <v>0</v>
      </c>
      <c r="AD128" s="449">
        <f t="shared" si="192"/>
        <v>0</v>
      </c>
      <c r="AE128" s="450">
        <f t="shared" si="193"/>
        <v>0</v>
      </c>
      <c r="AF128" s="450">
        <f t="shared" si="268"/>
        <v>0</v>
      </c>
      <c r="AG128" s="450">
        <f t="shared" si="195"/>
        <v>0</v>
      </c>
      <c r="AH128" s="450">
        <f t="shared" si="196"/>
        <v>0</v>
      </c>
      <c r="AI128" s="451">
        <f t="shared" si="197"/>
        <v>0</v>
      </c>
      <c r="AJ128" s="676">
        <f>'2020'!J128</f>
        <v>0</v>
      </c>
      <c r="AK128" s="641">
        <f>'2021'!J128</f>
        <v>0</v>
      </c>
      <c r="AL128" s="641">
        <f>'2022'!J128</f>
        <v>0</v>
      </c>
      <c r="AM128" s="641">
        <f>'2023'!J128</f>
        <v>0</v>
      </c>
      <c r="AN128" s="641">
        <f>'2024'!J128</f>
        <v>0</v>
      </c>
      <c r="AO128" s="642">
        <f>'2025'!J128</f>
        <v>0</v>
      </c>
      <c r="AP128" s="449" t="str">
        <f t="shared" si="208"/>
        <v/>
      </c>
      <c r="AQ128" s="450" t="str">
        <f t="shared" si="198"/>
        <v/>
      </c>
      <c r="AR128" s="450" t="str">
        <f t="shared" si="199"/>
        <v/>
      </c>
      <c r="AS128" s="450" t="str">
        <f t="shared" si="200"/>
        <v/>
      </c>
      <c r="AT128" s="450" t="str">
        <f t="shared" si="201"/>
        <v/>
      </c>
      <c r="AU128" s="451" t="str">
        <f t="shared" si="202"/>
        <v/>
      </c>
      <c r="AV128" s="676">
        <f>'2020'!L128</f>
        <v>0</v>
      </c>
      <c r="AW128" s="641">
        <f>'2021'!L128</f>
        <v>0</v>
      </c>
      <c r="AX128" s="641">
        <f>'2022'!L128</f>
        <v>0</v>
      </c>
      <c r="AY128" s="641">
        <f>'2023'!L128</f>
        <v>0</v>
      </c>
      <c r="AZ128" s="641">
        <f>'2024'!L128</f>
        <v>0</v>
      </c>
      <c r="BA128" s="642">
        <f>'2025'!L128</f>
        <v>0</v>
      </c>
      <c r="BB128" s="449" t="str">
        <f t="shared" si="209"/>
        <v/>
      </c>
      <c r="BC128" s="450" t="str">
        <f t="shared" si="203"/>
        <v/>
      </c>
      <c r="BD128" s="450" t="str">
        <f t="shared" si="204"/>
        <v/>
      </c>
      <c r="BE128" s="450" t="str">
        <f t="shared" si="205"/>
        <v/>
      </c>
      <c r="BF128" s="450" t="str">
        <f t="shared" si="206"/>
        <v/>
      </c>
      <c r="BG128" s="451" t="str">
        <f t="shared" si="207"/>
        <v/>
      </c>
      <c r="BH128" s="966">
        <f>'2020'!N128</f>
        <v>0</v>
      </c>
      <c r="BI128" s="967">
        <f>'2021'!N128</f>
        <v>0</v>
      </c>
      <c r="BJ128" s="967">
        <f>'2022'!N128</f>
        <v>0</v>
      </c>
      <c r="BK128" s="967">
        <f>'2023'!N128</f>
        <v>0</v>
      </c>
      <c r="BL128" s="967">
        <f>'2024'!N128</f>
        <v>0</v>
      </c>
      <c r="BM128" s="968">
        <f>'2025'!N128</f>
        <v>0</v>
      </c>
      <c r="BN128" s="452"/>
      <c r="BO128" s="453"/>
      <c r="BP128" s="452"/>
      <c r="BQ128" s="453"/>
      <c r="BR128" s="477"/>
      <c r="BS128" s="478"/>
      <c r="BT128" s="477"/>
      <c r="BU128" s="479"/>
      <c r="CC128" s="1" t="str">
        <f t="shared" si="210"/>
        <v/>
      </c>
      <c r="CD128" s="1" t="str">
        <f t="shared" si="211"/>
        <v/>
      </c>
      <c r="CE128" s="1" t="str">
        <f t="shared" si="212"/>
        <v/>
      </c>
      <c r="CF128" s="1" t="str">
        <f t="shared" si="213"/>
        <v/>
      </c>
      <c r="CG128" s="1" t="str">
        <f t="shared" si="214"/>
        <v/>
      </c>
      <c r="CH128" s="1" t="str">
        <f t="shared" si="215"/>
        <v/>
      </c>
    </row>
    <row r="129" spans="2:86" ht="15.75" customHeight="1">
      <c r="B129" s="1022"/>
      <c r="C129" s="1084"/>
      <c r="D129" s="1062"/>
      <c r="E129" s="1033"/>
      <c r="F129" s="1033"/>
      <c r="G129" s="1033"/>
      <c r="H129" s="1033"/>
      <c r="I129" s="1069"/>
      <c r="J129" s="905" t="s">
        <v>166</v>
      </c>
      <c r="K129" s="433" t="str">
        <f t="shared" si="332"/>
        <v/>
      </c>
      <c r="L129" s="433" t="str">
        <f t="shared" si="333"/>
        <v/>
      </c>
      <c r="M129" s="433" t="str">
        <f t="shared" si="334"/>
        <v/>
      </c>
      <c r="N129" s="433" t="str">
        <f t="shared" si="335"/>
        <v/>
      </c>
      <c r="O129" s="433" t="str">
        <f t="shared" si="336"/>
        <v/>
      </c>
      <c r="P129" s="434" t="str">
        <f t="shared" si="337"/>
        <v/>
      </c>
      <c r="Q129" s="438" t="s">
        <v>62</v>
      </c>
      <c r="R129" s="640">
        <f>'2020'!G129</f>
        <v>0</v>
      </c>
      <c r="S129" s="641">
        <f>'2021'!G129</f>
        <v>0</v>
      </c>
      <c r="T129" s="641">
        <f>'2022'!G129</f>
        <v>0</v>
      </c>
      <c r="U129" s="641">
        <f>'2023'!G129</f>
        <v>0</v>
      </c>
      <c r="V129" s="641">
        <f>'2024'!G129</f>
        <v>0</v>
      </c>
      <c r="W129" s="642">
        <f>'2025'!G129</f>
        <v>0</v>
      </c>
      <c r="X129" s="676">
        <f>'2020'!H129</f>
        <v>0</v>
      </c>
      <c r="Y129" s="641">
        <f>'2021'!H129</f>
        <v>0</v>
      </c>
      <c r="Z129" s="641">
        <f>'2022'!H129</f>
        <v>0</v>
      </c>
      <c r="AA129" s="641">
        <f>'2023'!H129</f>
        <v>0</v>
      </c>
      <c r="AB129" s="641">
        <f>'2024'!H129</f>
        <v>0</v>
      </c>
      <c r="AC129" s="642">
        <f>'2025'!H129</f>
        <v>0</v>
      </c>
      <c r="AD129" s="449">
        <f t="shared" si="192"/>
        <v>0</v>
      </c>
      <c r="AE129" s="450">
        <f t="shared" si="193"/>
        <v>0</v>
      </c>
      <c r="AF129" s="450">
        <f t="shared" si="268"/>
        <v>0</v>
      </c>
      <c r="AG129" s="450">
        <f t="shared" si="195"/>
        <v>0</v>
      </c>
      <c r="AH129" s="450">
        <f t="shared" si="196"/>
        <v>0</v>
      </c>
      <c r="AI129" s="451">
        <f t="shared" si="197"/>
        <v>0</v>
      </c>
      <c r="AJ129" s="676">
        <f>'2020'!J129</f>
        <v>0</v>
      </c>
      <c r="AK129" s="641">
        <f>'2021'!J129</f>
        <v>0</v>
      </c>
      <c r="AL129" s="641">
        <f>'2022'!J129</f>
        <v>0</v>
      </c>
      <c r="AM129" s="641">
        <f>'2023'!J129</f>
        <v>0</v>
      </c>
      <c r="AN129" s="641">
        <f>'2024'!J129</f>
        <v>0</v>
      </c>
      <c r="AO129" s="642">
        <f>'2025'!J129</f>
        <v>0</v>
      </c>
      <c r="AP129" s="449" t="str">
        <f t="shared" si="208"/>
        <v/>
      </c>
      <c r="AQ129" s="450" t="str">
        <f t="shared" si="198"/>
        <v/>
      </c>
      <c r="AR129" s="450" t="str">
        <f t="shared" si="199"/>
        <v/>
      </c>
      <c r="AS129" s="450" t="str">
        <f t="shared" si="200"/>
        <v/>
      </c>
      <c r="AT129" s="450" t="str">
        <f t="shared" si="201"/>
        <v/>
      </c>
      <c r="AU129" s="451" t="str">
        <f t="shared" si="202"/>
        <v/>
      </c>
      <c r="AV129" s="676">
        <f>'2020'!L129</f>
        <v>0</v>
      </c>
      <c r="AW129" s="641">
        <f>'2021'!L129</f>
        <v>0</v>
      </c>
      <c r="AX129" s="641">
        <f>'2022'!L129</f>
        <v>0</v>
      </c>
      <c r="AY129" s="641">
        <f>'2023'!L129</f>
        <v>0</v>
      </c>
      <c r="AZ129" s="641">
        <f>'2024'!L129</f>
        <v>0</v>
      </c>
      <c r="BA129" s="642">
        <f>'2025'!L129</f>
        <v>0</v>
      </c>
      <c r="BB129" s="449" t="str">
        <f t="shared" si="209"/>
        <v/>
      </c>
      <c r="BC129" s="450" t="str">
        <f t="shared" si="203"/>
        <v/>
      </c>
      <c r="BD129" s="450" t="str">
        <f t="shared" si="204"/>
        <v/>
      </c>
      <c r="BE129" s="450" t="str">
        <f t="shared" si="205"/>
        <v/>
      </c>
      <c r="BF129" s="450" t="str">
        <f t="shared" si="206"/>
        <v/>
      </c>
      <c r="BG129" s="451" t="str">
        <f t="shared" si="207"/>
        <v/>
      </c>
      <c r="BH129" s="966">
        <f>'2020'!N129</f>
        <v>0</v>
      </c>
      <c r="BI129" s="967">
        <f>'2021'!N129</f>
        <v>0</v>
      </c>
      <c r="BJ129" s="967">
        <f>'2022'!N129</f>
        <v>0</v>
      </c>
      <c r="BK129" s="967">
        <f>'2023'!N129</f>
        <v>0</v>
      </c>
      <c r="BL129" s="967">
        <f>'2024'!N129</f>
        <v>0</v>
      </c>
      <c r="BM129" s="968">
        <f>'2025'!N129</f>
        <v>0</v>
      </c>
      <c r="BN129" s="452"/>
      <c r="BO129" s="453"/>
      <c r="BP129" s="452"/>
      <c r="BQ129" s="453"/>
      <c r="BR129" s="477"/>
      <c r="BS129" s="478"/>
      <c r="BT129" s="477"/>
      <c r="BU129" s="479"/>
      <c r="CC129" s="1" t="str">
        <f t="shared" si="210"/>
        <v/>
      </c>
      <c r="CD129" s="1" t="str">
        <f t="shared" si="211"/>
        <v/>
      </c>
      <c r="CE129" s="1" t="str">
        <f t="shared" si="212"/>
        <v/>
      </c>
      <c r="CF129" s="1" t="str">
        <f t="shared" si="213"/>
        <v/>
      </c>
      <c r="CG129" s="1" t="str">
        <f t="shared" si="214"/>
        <v/>
      </c>
      <c r="CH129" s="1" t="str">
        <f t="shared" si="215"/>
        <v/>
      </c>
    </row>
    <row r="130" spans="2:86" ht="15.75" customHeight="1">
      <c r="B130" s="1022"/>
      <c r="C130" s="1084"/>
      <c r="D130" s="1062"/>
      <c r="E130" s="1033"/>
      <c r="F130" s="1033"/>
      <c r="G130" s="1033"/>
      <c r="H130" s="1033"/>
      <c r="I130" s="1069"/>
      <c r="J130" s="905" t="s">
        <v>36</v>
      </c>
      <c r="K130" s="433" t="str">
        <f t="shared" si="332"/>
        <v/>
      </c>
      <c r="L130" s="433" t="str">
        <f t="shared" si="333"/>
        <v>X</v>
      </c>
      <c r="M130" s="433" t="str">
        <f t="shared" si="334"/>
        <v>X</v>
      </c>
      <c r="N130" s="433" t="str">
        <f t="shared" si="335"/>
        <v/>
      </c>
      <c r="O130" s="433" t="str">
        <f t="shared" si="336"/>
        <v/>
      </c>
      <c r="P130" s="434" t="str">
        <f t="shared" si="337"/>
        <v/>
      </c>
      <c r="Q130" s="438" t="s">
        <v>62</v>
      </c>
      <c r="R130" s="640">
        <f>'2020'!G130</f>
        <v>0</v>
      </c>
      <c r="S130" s="641">
        <f>'2021'!G130</f>
        <v>13</v>
      </c>
      <c r="T130" s="641">
        <f>'2022'!G130</f>
        <v>9</v>
      </c>
      <c r="U130" s="641">
        <f>'2023'!G130</f>
        <v>0</v>
      </c>
      <c r="V130" s="641">
        <f>'2024'!G130</f>
        <v>0</v>
      </c>
      <c r="W130" s="642">
        <f>'2025'!G130</f>
        <v>0</v>
      </c>
      <c r="X130" s="676">
        <f>'2020'!H130</f>
        <v>0</v>
      </c>
      <c r="Y130" s="641">
        <f>'2021'!H130</f>
        <v>11</v>
      </c>
      <c r="Z130" s="641">
        <f>'2022'!H130</f>
        <v>8</v>
      </c>
      <c r="AA130" s="641">
        <f>'2023'!H130</f>
        <v>0</v>
      </c>
      <c r="AB130" s="641">
        <f>'2024'!H130</f>
        <v>0</v>
      </c>
      <c r="AC130" s="642">
        <f>'2025'!H130</f>
        <v>0</v>
      </c>
      <c r="AD130" s="449">
        <f t="shared" si="192"/>
        <v>0</v>
      </c>
      <c r="AE130" s="450">
        <f t="shared" si="193"/>
        <v>0.38461538461538464</v>
      </c>
      <c r="AF130" s="450">
        <f t="shared" si="268"/>
        <v>0.22222222222222221</v>
      </c>
      <c r="AG130" s="450">
        <f t="shared" si="195"/>
        <v>0</v>
      </c>
      <c r="AH130" s="450">
        <f t="shared" si="196"/>
        <v>0</v>
      </c>
      <c r="AI130" s="451">
        <f t="shared" si="197"/>
        <v>0</v>
      </c>
      <c r="AJ130" s="676">
        <f>'2020'!J130</f>
        <v>0</v>
      </c>
      <c r="AK130" s="641">
        <f>'2021'!J130</f>
        <v>5</v>
      </c>
      <c r="AL130" s="641">
        <f>'2022'!J130</f>
        <v>2</v>
      </c>
      <c r="AM130" s="641">
        <f>'2023'!J130</f>
        <v>0</v>
      </c>
      <c r="AN130" s="641">
        <f>'2024'!J130</f>
        <v>0</v>
      </c>
      <c r="AO130" s="642">
        <f>'2025'!J130</f>
        <v>0</v>
      </c>
      <c r="AP130" s="449" t="str">
        <f t="shared" si="208"/>
        <v/>
      </c>
      <c r="AQ130" s="450">
        <f t="shared" si="198"/>
        <v>0.23076923076923078</v>
      </c>
      <c r="AR130" s="450">
        <f t="shared" si="199"/>
        <v>0.44444444444444442</v>
      </c>
      <c r="AS130" s="450" t="str">
        <f t="shared" si="200"/>
        <v/>
      </c>
      <c r="AT130" s="450" t="str">
        <f t="shared" si="201"/>
        <v/>
      </c>
      <c r="AU130" s="451" t="str">
        <f t="shared" si="202"/>
        <v/>
      </c>
      <c r="AV130" s="676">
        <f>'2020'!L130</f>
        <v>0</v>
      </c>
      <c r="AW130" s="641">
        <f>'2021'!L130</f>
        <v>3</v>
      </c>
      <c r="AX130" s="641">
        <f>'2022'!L130</f>
        <v>4</v>
      </c>
      <c r="AY130" s="641">
        <f>'2023'!L130</f>
        <v>0</v>
      </c>
      <c r="AZ130" s="641">
        <f>'2024'!L130</f>
        <v>0</v>
      </c>
      <c r="BA130" s="642">
        <f>'2025'!L130</f>
        <v>0</v>
      </c>
      <c r="BB130" s="449" t="str">
        <f t="shared" si="209"/>
        <v/>
      </c>
      <c r="BC130" s="450">
        <f t="shared" si="203"/>
        <v>0.66666666666666663</v>
      </c>
      <c r="BD130" s="450">
        <f t="shared" si="204"/>
        <v>0.25</v>
      </c>
      <c r="BE130" s="450" t="str">
        <f t="shared" si="205"/>
        <v/>
      </c>
      <c r="BF130" s="450" t="str">
        <f t="shared" si="206"/>
        <v/>
      </c>
      <c r="BG130" s="451" t="str">
        <f t="shared" si="207"/>
        <v/>
      </c>
      <c r="BH130" s="966">
        <f>'2020'!N130</f>
        <v>0</v>
      </c>
      <c r="BI130" s="967">
        <f>'2021'!N130</f>
        <v>2</v>
      </c>
      <c r="BJ130" s="967">
        <f>'2022'!N130</f>
        <v>1</v>
      </c>
      <c r="BK130" s="967">
        <f>'2023'!N130</f>
        <v>0</v>
      </c>
      <c r="BL130" s="967">
        <f>'2024'!N130</f>
        <v>0</v>
      </c>
      <c r="BM130" s="968">
        <f>'2025'!N130</f>
        <v>0</v>
      </c>
      <c r="BN130" s="452">
        <v>0</v>
      </c>
      <c r="BO130" s="453">
        <v>0</v>
      </c>
      <c r="BP130" s="452">
        <v>2</v>
      </c>
      <c r="BQ130" s="453">
        <v>1</v>
      </c>
      <c r="BR130" s="477">
        <v>11</v>
      </c>
      <c r="BS130" s="478">
        <v>8</v>
      </c>
      <c r="BT130" s="477">
        <v>4</v>
      </c>
      <c r="BU130" s="479">
        <v>4</v>
      </c>
      <c r="CC130" s="1" t="str">
        <f t="shared" si="210"/>
        <v/>
      </c>
      <c r="CD130" s="1" t="str">
        <f t="shared" si="211"/>
        <v>Frontière</v>
      </c>
      <c r="CE130" s="1" t="str">
        <f t="shared" si="212"/>
        <v>Frontière</v>
      </c>
      <c r="CF130" s="1" t="str">
        <f t="shared" si="213"/>
        <v/>
      </c>
      <c r="CG130" s="1" t="str">
        <f t="shared" si="214"/>
        <v/>
      </c>
      <c r="CH130" s="1" t="str">
        <f t="shared" si="215"/>
        <v/>
      </c>
    </row>
    <row r="131" spans="2:86" ht="15.75" customHeight="1">
      <c r="B131" s="1022"/>
      <c r="C131" s="1084"/>
      <c r="D131" s="1062"/>
      <c r="E131" s="1033"/>
      <c r="F131" s="1033"/>
      <c r="G131" s="1033"/>
      <c r="H131" s="1033"/>
      <c r="I131" s="1069"/>
      <c r="J131" s="905" t="s">
        <v>166</v>
      </c>
      <c r="K131" s="433" t="str">
        <f t="shared" si="332"/>
        <v/>
      </c>
      <c r="L131" s="433" t="str">
        <f t="shared" si="333"/>
        <v/>
      </c>
      <c r="M131" s="433" t="str">
        <f t="shared" si="334"/>
        <v/>
      </c>
      <c r="N131" s="433" t="str">
        <f t="shared" si="335"/>
        <v/>
      </c>
      <c r="O131" s="433" t="str">
        <f t="shared" si="336"/>
        <v/>
      </c>
      <c r="P131" s="434" t="str">
        <f t="shared" si="337"/>
        <v/>
      </c>
      <c r="Q131" s="438"/>
      <c r="R131" s="640">
        <f>'2020'!G131</f>
        <v>0</v>
      </c>
      <c r="S131" s="641">
        <f>'2021'!G131</f>
        <v>0</v>
      </c>
      <c r="T131" s="641">
        <f>'2022'!G131</f>
        <v>0</v>
      </c>
      <c r="U131" s="641">
        <f>'2023'!G131</f>
        <v>0</v>
      </c>
      <c r="V131" s="641">
        <f>'2024'!G131</f>
        <v>0</v>
      </c>
      <c r="W131" s="642">
        <f>'2025'!G131</f>
        <v>0</v>
      </c>
      <c r="X131" s="676">
        <f>'2020'!H131</f>
        <v>0</v>
      </c>
      <c r="Y131" s="641">
        <f>'2021'!H131</f>
        <v>0</v>
      </c>
      <c r="Z131" s="641">
        <f>'2022'!H131</f>
        <v>0</v>
      </c>
      <c r="AA131" s="641">
        <f>'2023'!H131</f>
        <v>0</v>
      </c>
      <c r="AB131" s="641">
        <f>'2024'!H131</f>
        <v>0</v>
      </c>
      <c r="AC131" s="642">
        <f>'2025'!H131</f>
        <v>0</v>
      </c>
      <c r="AD131" s="449">
        <f t="shared" si="192"/>
        <v>0</v>
      </c>
      <c r="AE131" s="450">
        <f t="shared" si="193"/>
        <v>0</v>
      </c>
      <c r="AF131" s="450">
        <f t="shared" si="268"/>
        <v>0</v>
      </c>
      <c r="AG131" s="450">
        <f t="shared" si="195"/>
        <v>0</v>
      </c>
      <c r="AH131" s="450">
        <f t="shared" si="196"/>
        <v>0</v>
      </c>
      <c r="AI131" s="451">
        <f t="shared" si="197"/>
        <v>0</v>
      </c>
      <c r="AJ131" s="676">
        <f>'2020'!J131</f>
        <v>0</v>
      </c>
      <c r="AK131" s="641">
        <f>'2021'!J131</f>
        <v>0</v>
      </c>
      <c r="AL131" s="641">
        <f>'2022'!J131</f>
        <v>0</v>
      </c>
      <c r="AM131" s="641">
        <f>'2023'!J131</f>
        <v>0</v>
      </c>
      <c r="AN131" s="641">
        <f>'2024'!J131</f>
        <v>0</v>
      </c>
      <c r="AO131" s="642">
        <f>'2025'!J131</f>
        <v>0</v>
      </c>
      <c r="AP131" s="449" t="str">
        <f t="shared" si="208"/>
        <v/>
      </c>
      <c r="AQ131" s="450" t="str">
        <f t="shared" si="198"/>
        <v/>
      </c>
      <c r="AR131" s="450" t="str">
        <f t="shared" si="199"/>
        <v/>
      </c>
      <c r="AS131" s="450" t="str">
        <f t="shared" si="200"/>
        <v/>
      </c>
      <c r="AT131" s="450" t="str">
        <f t="shared" si="201"/>
        <v/>
      </c>
      <c r="AU131" s="451" t="str">
        <f t="shared" si="202"/>
        <v/>
      </c>
      <c r="AV131" s="676">
        <f>'2020'!L131</f>
        <v>0</v>
      </c>
      <c r="AW131" s="641">
        <f>'2021'!L131</f>
        <v>0</v>
      </c>
      <c r="AX131" s="641">
        <f>'2022'!L131</f>
        <v>0</v>
      </c>
      <c r="AY131" s="641">
        <f>'2023'!L131</f>
        <v>0</v>
      </c>
      <c r="AZ131" s="641">
        <f>'2024'!L131</f>
        <v>0</v>
      </c>
      <c r="BA131" s="642">
        <f>'2025'!L131</f>
        <v>0</v>
      </c>
      <c r="BB131" s="449" t="str">
        <f t="shared" si="209"/>
        <v/>
      </c>
      <c r="BC131" s="450" t="str">
        <f t="shared" si="203"/>
        <v/>
      </c>
      <c r="BD131" s="450" t="str">
        <f t="shared" si="204"/>
        <v/>
      </c>
      <c r="BE131" s="450" t="str">
        <f t="shared" si="205"/>
        <v/>
      </c>
      <c r="BF131" s="450" t="str">
        <f t="shared" si="206"/>
        <v/>
      </c>
      <c r="BG131" s="451" t="str">
        <f t="shared" si="207"/>
        <v/>
      </c>
      <c r="BH131" s="966">
        <f>'2020'!N131</f>
        <v>0</v>
      </c>
      <c r="BI131" s="967">
        <f>'2021'!N131</f>
        <v>0</v>
      </c>
      <c r="BJ131" s="967">
        <f>'2022'!N131</f>
        <v>0</v>
      </c>
      <c r="BK131" s="967">
        <f>'2023'!N131</f>
        <v>0</v>
      </c>
      <c r="BL131" s="967">
        <f>'2024'!N131</f>
        <v>0</v>
      </c>
      <c r="BM131" s="968">
        <f>'2025'!N131</f>
        <v>0</v>
      </c>
      <c r="BN131" s="452"/>
      <c r="BO131" s="453"/>
      <c r="BP131" s="452"/>
      <c r="BQ131" s="453"/>
      <c r="BR131" s="477"/>
      <c r="BS131" s="478"/>
      <c r="BT131" s="477"/>
      <c r="BU131" s="479"/>
      <c r="CC131" s="1" t="str">
        <f t="shared" si="210"/>
        <v/>
      </c>
      <c r="CD131" s="1" t="str">
        <f t="shared" si="211"/>
        <v/>
      </c>
      <c r="CE131" s="1" t="str">
        <f t="shared" si="212"/>
        <v/>
      </c>
      <c r="CF131" s="1" t="str">
        <f t="shared" si="213"/>
        <v/>
      </c>
      <c r="CG131" s="1" t="str">
        <f t="shared" si="214"/>
        <v/>
      </c>
      <c r="CH131" s="1" t="str">
        <f t="shared" si="215"/>
        <v/>
      </c>
    </row>
    <row r="132" spans="2:86" ht="15.75" customHeight="1">
      <c r="B132" s="1022"/>
      <c r="C132" s="1084"/>
      <c r="D132" s="1062"/>
      <c r="E132" s="1033"/>
      <c r="F132" s="1033"/>
      <c r="G132" s="1033"/>
      <c r="H132" s="1033"/>
      <c r="I132" s="1069"/>
      <c r="J132" s="905" t="s">
        <v>166</v>
      </c>
      <c r="K132" s="433" t="str">
        <f t="shared" si="332"/>
        <v/>
      </c>
      <c r="L132" s="433" t="str">
        <f t="shared" si="333"/>
        <v/>
      </c>
      <c r="M132" s="433" t="str">
        <f t="shared" si="334"/>
        <v/>
      </c>
      <c r="N132" s="433" t="str">
        <f t="shared" si="335"/>
        <v/>
      </c>
      <c r="O132" s="433" t="str">
        <f t="shared" si="336"/>
        <v/>
      </c>
      <c r="P132" s="434" t="str">
        <f t="shared" si="337"/>
        <v/>
      </c>
      <c r="Q132" s="438"/>
      <c r="R132" s="640">
        <f>'2020'!G132</f>
        <v>0</v>
      </c>
      <c r="S132" s="641">
        <f>'2021'!G132</f>
        <v>0</v>
      </c>
      <c r="T132" s="641">
        <f>'2022'!G132</f>
        <v>0</v>
      </c>
      <c r="U132" s="641">
        <f>'2023'!G132</f>
        <v>0</v>
      </c>
      <c r="V132" s="641">
        <f>'2024'!G132</f>
        <v>0</v>
      </c>
      <c r="W132" s="642">
        <f>'2025'!G132</f>
        <v>0</v>
      </c>
      <c r="X132" s="676">
        <f>'2020'!H132</f>
        <v>0</v>
      </c>
      <c r="Y132" s="641">
        <f>'2021'!H132</f>
        <v>0</v>
      </c>
      <c r="Z132" s="641">
        <f>'2022'!H132</f>
        <v>0</v>
      </c>
      <c r="AA132" s="641">
        <f>'2023'!H132</f>
        <v>0</v>
      </c>
      <c r="AB132" s="641">
        <f>'2024'!H132</f>
        <v>0</v>
      </c>
      <c r="AC132" s="642">
        <f>'2025'!H132</f>
        <v>0</v>
      </c>
      <c r="AD132" s="449">
        <f t="shared" ref="AD132:AD161" si="338">IF(R132="",0,IF(AJ132=0,0,AJ132/R132))</f>
        <v>0</v>
      </c>
      <c r="AE132" s="450">
        <f t="shared" ref="AE132:AE161" si="339">IF(S132="",0,IF(AK132=0,0,AK132/S132))</f>
        <v>0</v>
      </c>
      <c r="AF132" s="450">
        <f t="shared" si="268"/>
        <v>0</v>
      </c>
      <c r="AG132" s="450">
        <f t="shared" ref="AG132:AG161" si="340">IF(U132="",0,IF(AM132=0,0,AM132/U132))</f>
        <v>0</v>
      </c>
      <c r="AH132" s="450">
        <f t="shared" ref="AH132:AH161" si="341">IF(V132="",0,IF(AN132=0,0,AN132/V132))</f>
        <v>0</v>
      </c>
      <c r="AI132" s="451">
        <f t="shared" ref="AI132:AI161" si="342">IF(W132="",0,IF(AO132=0,0,AO132/W132))</f>
        <v>0</v>
      </c>
      <c r="AJ132" s="676">
        <f>'2020'!J132</f>
        <v>0</v>
      </c>
      <c r="AK132" s="641">
        <f>'2021'!J132</f>
        <v>0</v>
      </c>
      <c r="AL132" s="641">
        <f>'2022'!J132</f>
        <v>0</v>
      </c>
      <c r="AM132" s="641">
        <f>'2023'!J132</f>
        <v>0</v>
      </c>
      <c r="AN132" s="641">
        <f>'2024'!J132</f>
        <v>0</v>
      </c>
      <c r="AO132" s="642">
        <f>'2025'!J132</f>
        <v>0</v>
      </c>
      <c r="AP132" s="449" t="str">
        <f t="shared" si="208"/>
        <v/>
      </c>
      <c r="AQ132" s="450" t="str">
        <f t="shared" ref="AQ132:AQ161" si="343">IF(S132=0,"",IF(AW132="","",AW132/S132))</f>
        <v/>
      </c>
      <c r="AR132" s="450" t="str">
        <f t="shared" ref="AR132:AR161" si="344">IF(T132=0,"",IF(AX132="","",AX132/T132))</f>
        <v/>
      </c>
      <c r="AS132" s="450" t="str">
        <f t="shared" ref="AS132:AS161" si="345">IF(U132=0,"",IF(AY132="","",AY132/U132))</f>
        <v/>
      </c>
      <c r="AT132" s="450" t="str">
        <f t="shared" ref="AT132:AT161" si="346">IF(V132=0,"",IF(AZ132="","",AZ132/V132))</f>
        <v/>
      </c>
      <c r="AU132" s="451" t="str">
        <f t="shared" ref="AU132:AU161" si="347">IF(W132=0,"",IF(BA132="","",BA132/W132))</f>
        <v/>
      </c>
      <c r="AV132" s="676">
        <f>'2020'!L132</f>
        <v>0</v>
      </c>
      <c r="AW132" s="641">
        <f>'2021'!L132</f>
        <v>0</v>
      </c>
      <c r="AX132" s="641">
        <f>'2022'!L132</f>
        <v>0</v>
      </c>
      <c r="AY132" s="641">
        <f>'2023'!L132</f>
        <v>0</v>
      </c>
      <c r="AZ132" s="641">
        <f>'2024'!L132</f>
        <v>0</v>
      </c>
      <c r="BA132" s="642">
        <f>'2025'!L132</f>
        <v>0</v>
      </c>
      <c r="BB132" s="449" t="str">
        <f t="shared" si="209"/>
        <v/>
      </c>
      <c r="BC132" s="450" t="str">
        <f t="shared" ref="BC132:BC161" si="348">IF(AW132=0,"",IF(BI132="-","",BI132/AW132))</f>
        <v/>
      </c>
      <c r="BD132" s="450" t="str">
        <f t="shared" ref="BD132:BD161" si="349">IF(AX132=0,"",IF(BJ132="-","",BJ132/AX132))</f>
        <v/>
      </c>
      <c r="BE132" s="450" t="str">
        <f t="shared" ref="BE132:BE161" si="350">IF(AY132=0,"",IF(BK132="-","",BK132/AY132))</f>
        <v/>
      </c>
      <c r="BF132" s="450" t="str">
        <f t="shared" ref="BF132:BF161" si="351">IF(AZ132=0,"",IF(BL132="-","",BL132/AZ132))</f>
        <v/>
      </c>
      <c r="BG132" s="451" t="str">
        <f t="shared" ref="BG132:BG161" si="352">IF(BA132=0,"",IF(BM132="-","",BM132/BA132))</f>
        <v/>
      </c>
      <c r="BH132" s="966">
        <f>'2020'!N132</f>
        <v>0</v>
      </c>
      <c r="BI132" s="967">
        <f>'2021'!N132</f>
        <v>0</v>
      </c>
      <c r="BJ132" s="967">
        <f>'2022'!N132</f>
        <v>0</v>
      </c>
      <c r="BK132" s="967">
        <f>'2023'!N132</f>
        <v>0</v>
      </c>
      <c r="BL132" s="967">
        <f>'2024'!N132</f>
        <v>0</v>
      </c>
      <c r="BM132" s="968">
        <f>'2025'!N132</f>
        <v>0</v>
      </c>
      <c r="BN132" s="452"/>
      <c r="BO132" s="453"/>
      <c r="BP132" s="452"/>
      <c r="BQ132" s="453"/>
      <c r="BR132" s="477"/>
      <c r="BS132" s="478"/>
      <c r="BT132" s="477"/>
      <c r="BU132" s="479"/>
      <c r="CC132" s="1" t="str">
        <f t="shared" si="210"/>
        <v/>
      </c>
      <c r="CD132" s="1" t="str">
        <f t="shared" si="211"/>
        <v/>
      </c>
      <c r="CE132" s="1" t="str">
        <f t="shared" si="212"/>
        <v/>
      </c>
      <c r="CF132" s="1" t="str">
        <f t="shared" si="213"/>
        <v/>
      </c>
      <c r="CG132" s="1" t="str">
        <f t="shared" si="214"/>
        <v/>
      </c>
      <c r="CH132" s="1" t="str">
        <f t="shared" si="215"/>
        <v/>
      </c>
    </row>
    <row r="133" spans="2:86" ht="15.75" customHeight="1">
      <c r="B133" s="1022"/>
      <c r="C133" s="1084"/>
      <c r="D133" s="1063"/>
      <c r="E133" s="1034"/>
      <c r="F133" s="1034"/>
      <c r="G133" s="1034"/>
      <c r="H133" s="1034"/>
      <c r="I133" s="1070"/>
      <c r="J133" s="907" t="s">
        <v>166</v>
      </c>
      <c r="K133" s="436" t="str">
        <f t="shared" si="332"/>
        <v/>
      </c>
      <c r="L133" s="436" t="str">
        <f t="shared" si="333"/>
        <v/>
      </c>
      <c r="M133" s="436" t="str">
        <f t="shared" si="334"/>
        <v/>
      </c>
      <c r="N133" s="436" t="str">
        <f t="shared" si="335"/>
        <v/>
      </c>
      <c r="O133" s="436" t="str">
        <f t="shared" si="336"/>
        <v/>
      </c>
      <c r="P133" s="437" t="str">
        <f t="shared" si="337"/>
        <v/>
      </c>
      <c r="Q133" s="480"/>
      <c r="R133" s="643">
        <f>'2020'!G133</f>
        <v>0</v>
      </c>
      <c r="S133" s="644">
        <f>'2021'!G133</f>
        <v>0</v>
      </c>
      <c r="T133" s="644">
        <f>'2022'!G133</f>
        <v>0</v>
      </c>
      <c r="U133" s="644">
        <f>'2023'!G133</f>
        <v>0</v>
      </c>
      <c r="V133" s="644">
        <f>'2024'!G133</f>
        <v>0</v>
      </c>
      <c r="W133" s="645">
        <f>'2025'!G133</f>
        <v>0</v>
      </c>
      <c r="X133" s="677">
        <f>'2020'!H133</f>
        <v>0</v>
      </c>
      <c r="Y133" s="644">
        <f>'2021'!H133</f>
        <v>0</v>
      </c>
      <c r="Z133" s="644">
        <f>'2022'!H133</f>
        <v>0</v>
      </c>
      <c r="AA133" s="644">
        <f>'2023'!H133</f>
        <v>0</v>
      </c>
      <c r="AB133" s="644">
        <f>'2024'!H133</f>
        <v>0</v>
      </c>
      <c r="AC133" s="645">
        <f>'2025'!H133</f>
        <v>0</v>
      </c>
      <c r="AD133" s="460">
        <f t="shared" si="338"/>
        <v>0</v>
      </c>
      <c r="AE133" s="461">
        <f t="shared" si="339"/>
        <v>0</v>
      </c>
      <c r="AF133" s="461">
        <f t="shared" si="268"/>
        <v>0</v>
      </c>
      <c r="AG133" s="461">
        <f t="shared" si="340"/>
        <v>0</v>
      </c>
      <c r="AH133" s="461">
        <f t="shared" si="341"/>
        <v>0</v>
      </c>
      <c r="AI133" s="462">
        <f t="shared" si="342"/>
        <v>0</v>
      </c>
      <c r="AJ133" s="677">
        <f>'2020'!J133</f>
        <v>0</v>
      </c>
      <c r="AK133" s="644">
        <f>'2021'!J133</f>
        <v>0</v>
      </c>
      <c r="AL133" s="644">
        <f>'2022'!J133</f>
        <v>0</v>
      </c>
      <c r="AM133" s="644">
        <f>'2023'!J133</f>
        <v>0</v>
      </c>
      <c r="AN133" s="644">
        <f>'2024'!J133</f>
        <v>0</v>
      </c>
      <c r="AO133" s="645">
        <f>'2025'!J133</f>
        <v>0</v>
      </c>
      <c r="AP133" s="460" t="str">
        <f t="shared" ref="AP133:AP161" si="353">IF(R133=0,"",IF(AV133="","",AV133/R133))</f>
        <v/>
      </c>
      <c r="AQ133" s="461" t="str">
        <f t="shared" si="343"/>
        <v/>
      </c>
      <c r="AR133" s="461" t="str">
        <f t="shared" si="344"/>
        <v/>
      </c>
      <c r="AS133" s="461" t="str">
        <f t="shared" si="345"/>
        <v/>
      </c>
      <c r="AT133" s="461" t="str">
        <f t="shared" si="346"/>
        <v/>
      </c>
      <c r="AU133" s="462" t="str">
        <f t="shared" si="347"/>
        <v/>
      </c>
      <c r="AV133" s="677">
        <f>'2020'!L133</f>
        <v>0</v>
      </c>
      <c r="AW133" s="644">
        <f>'2021'!L133</f>
        <v>0</v>
      </c>
      <c r="AX133" s="644">
        <f>'2022'!L133</f>
        <v>0</v>
      </c>
      <c r="AY133" s="644">
        <f>'2023'!L133</f>
        <v>0</v>
      </c>
      <c r="AZ133" s="644">
        <f>'2024'!L133</f>
        <v>0</v>
      </c>
      <c r="BA133" s="645">
        <f>'2025'!L133</f>
        <v>0</v>
      </c>
      <c r="BB133" s="460" t="str">
        <f t="shared" ref="BB133:BB161" si="354">IF(AV133=0,"",IF(BH133="-","",BH133/AV133))</f>
        <v/>
      </c>
      <c r="BC133" s="461" t="str">
        <f t="shared" si="348"/>
        <v/>
      </c>
      <c r="BD133" s="461" t="str">
        <f t="shared" si="349"/>
        <v/>
      </c>
      <c r="BE133" s="461" t="str">
        <f t="shared" si="350"/>
        <v/>
      </c>
      <c r="BF133" s="461" t="str">
        <f t="shared" si="351"/>
        <v/>
      </c>
      <c r="BG133" s="462" t="str">
        <f t="shared" si="352"/>
        <v/>
      </c>
      <c r="BH133" s="969">
        <f>'2020'!N133</f>
        <v>0</v>
      </c>
      <c r="BI133" s="970">
        <f>'2021'!N133</f>
        <v>0</v>
      </c>
      <c r="BJ133" s="970">
        <f>'2022'!N133</f>
        <v>0</v>
      </c>
      <c r="BK133" s="970">
        <f>'2023'!N133</f>
        <v>0</v>
      </c>
      <c r="BL133" s="970">
        <f>'2024'!N133</f>
        <v>0</v>
      </c>
      <c r="BM133" s="971">
        <f>'2025'!N133</f>
        <v>0</v>
      </c>
      <c r="BN133" s="463"/>
      <c r="BO133" s="464"/>
      <c r="BP133" s="463"/>
      <c r="BQ133" s="464"/>
      <c r="BR133" s="481"/>
      <c r="BS133" s="482"/>
      <c r="BT133" s="481"/>
      <c r="BU133" s="483"/>
      <c r="CC133" s="1" t="str">
        <f t="shared" ref="CC133:CC159" si="355">IF(K133&lt;&gt;"",$Q133,"")</f>
        <v/>
      </c>
      <c r="CD133" s="1" t="str">
        <f t="shared" ref="CD133:CD159" si="356">IF(L133&lt;&gt;"",$Q133,"")</f>
        <v/>
      </c>
      <c r="CE133" s="1" t="str">
        <f t="shared" ref="CE133:CE159" si="357">IF(M133&lt;&gt;"",$Q133,"")</f>
        <v/>
      </c>
      <c r="CF133" s="1" t="str">
        <f t="shared" ref="CF133:CF159" si="358">IF(N133&lt;&gt;"",$Q133,"")</f>
        <v/>
      </c>
      <c r="CG133" s="1" t="str">
        <f t="shared" ref="CG133:CG159" si="359">IF(O133&lt;&gt;"",$Q133,"")</f>
        <v/>
      </c>
      <c r="CH133" s="1" t="str">
        <f t="shared" ref="CH133:CH159" si="360">IF(P133&lt;&gt;"",$Q133,"")</f>
        <v/>
      </c>
    </row>
    <row r="134" spans="2:86" ht="15.75" customHeight="1">
      <c r="B134" s="1022"/>
      <c r="C134" s="1084"/>
      <c r="D134" s="407" t="s">
        <v>138</v>
      </c>
      <c r="E134" s="403"/>
      <c r="F134" s="403"/>
      <c r="G134" s="403"/>
      <c r="H134" s="403"/>
      <c r="I134" s="411"/>
      <c r="J134" s="898"/>
      <c r="K134" s="414">
        <f>COUNTIF(K126:K133,"X")</f>
        <v>1</v>
      </c>
      <c r="L134" s="418">
        <f t="shared" ref="L134:P134" si="361">COUNTIF(L126:L133,"X")</f>
        <v>3</v>
      </c>
      <c r="M134" s="418">
        <f t="shared" si="361"/>
        <v>3</v>
      </c>
      <c r="N134" s="418">
        <f t="shared" si="361"/>
        <v>0</v>
      </c>
      <c r="O134" s="418">
        <f t="shared" si="361"/>
        <v>0</v>
      </c>
      <c r="P134" s="419">
        <f t="shared" si="361"/>
        <v>0</v>
      </c>
      <c r="Q134" s="264"/>
      <c r="R134" s="657">
        <f>SUM(R126:R133)</f>
        <v>21</v>
      </c>
      <c r="S134" s="658">
        <f t="shared" ref="S134:W134" si="362">SUM(S126:S133)</f>
        <v>83</v>
      </c>
      <c r="T134" s="658">
        <f t="shared" si="362"/>
        <v>70</v>
      </c>
      <c r="U134" s="658">
        <f t="shared" si="362"/>
        <v>0</v>
      </c>
      <c r="V134" s="658">
        <f t="shared" si="362"/>
        <v>0</v>
      </c>
      <c r="W134" s="659">
        <f t="shared" si="362"/>
        <v>0</v>
      </c>
      <c r="X134" s="682">
        <f>SUM(X126:X133)</f>
        <v>8</v>
      </c>
      <c r="Y134" s="658">
        <f t="shared" ref="Y134:AC134" si="363">SUM(Y126:Y133)</f>
        <v>56</v>
      </c>
      <c r="Z134" s="658">
        <f t="shared" si="363"/>
        <v>42</v>
      </c>
      <c r="AA134" s="658">
        <f t="shared" si="363"/>
        <v>0</v>
      </c>
      <c r="AB134" s="658">
        <f t="shared" si="363"/>
        <v>0</v>
      </c>
      <c r="AC134" s="659">
        <f t="shared" si="363"/>
        <v>0</v>
      </c>
      <c r="AD134" s="338">
        <f t="shared" si="338"/>
        <v>0.28999999999999998</v>
      </c>
      <c r="AE134" s="339">
        <f t="shared" si="339"/>
        <v>0.27710843373493976</v>
      </c>
      <c r="AF134" s="339">
        <f t="shared" si="268"/>
        <v>0.27142857142857141</v>
      </c>
      <c r="AG134" s="339">
        <f t="shared" si="340"/>
        <v>0</v>
      </c>
      <c r="AH134" s="339">
        <f t="shared" si="341"/>
        <v>0</v>
      </c>
      <c r="AI134" s="344">
        <f t="shared" si="342"/>
        <v>0</v>
      </c>
      <c r="AJ134" s="682">
        <f>SUM(AJ126:AJ133)</f>
        <v>6.09</v>
      </c>
      <c r="AK134" s="658">
        <f t="shared" ref="AK134" si="364">SUM(AK126:AK133)</f>
        <v>23</v>
      </c>
      <c r="AL134" s="658">
        <f t="shared" ref="AL134" si="365">SUM(AL126:AL133)</f>
        <v>19</v>
      </c>
      <c r="AM134" s="658">
        <f t="shared" ref="AM134" si="366">SUM(AM126:AM133)</f>
        <v>0</v>
      </c>
      <c r="AN134" s="658">
        <f t="shared" ref="AN134" si="367">SUM(AN126:AN133)</f>
        <v>0</v>
      </c>
      <c r="AO134" s="659">
        <f t="shared" ref="AO134" si="368">SUM(AO126:AO133)</f>
        <v>0</v>
      </c>
      <c r="AP134" s="338">
        <f t="shared" si="353"/>
        <v>0.32</v>
      </c>
      <c r="AQ134" s="339">
        <f t="shared" si="343"/>
        <v>0.27710843373493976</v>
      </c>
      <c r="AR134" s="339">
        <f t="shared" si="344"/>
        <v>0.2857142857142857</v>
      </c>
      <c r="AS134" s="339" t="str">
        <f t="shared" si="345"/>
        <v/>
      </c>
      <c r="AT134" s="339" t="str">
        <f t="shared" si="346"/>
        <v/>
      </c>
      <c r="AU134" s="344" t="str">
        <f t="shared" si="347"/>
        <v/>
      </c>
      <c r="AV134" s="682">
        <f>SUM(AV126:AV133)</f>
        <v>6.72</v>
      </c>
      <c r="AW134" s="658">
        <f t="shared" ref="AW134" si="369">SUM(AW126:AW133)</f>
        <v>23</v>
      </c>
      <c r="AX134" s="658">
        <f t="shared" ref="AX134" si="370">SUM(AX126:AX133)</f>
        <v>20</v>
      </c>
      <c r="AY134" s="658">
        <f t="shared" ref="AY134" si="371">SUM(AY126:AY133)</f>
        <v>0</v>
      </c>
      <c r="AZ134" s="658">
        <f t="shared" ref="AZ134" si="372">SUM(AZ126:AZ133)</f>
        <v>0</v>
      </c>
      <c r="BA134" s="659">
        <f t="shared" ref="BA134" si="373">SUM(BA126:BA133)</f>
        <v>0</v>
      </c>
      <c r="BB134" s="340">
        <f t="shared" si="354"/>
        <v>0</v>
      </c>
      <c r="BC134" s="341">
        <f t="shared" si="348"/>
        <v>0.56521739130434778</v>
      </c>
      <c r="BD134" s="341">
        <f t="shared" si="349"/>
        <v>0.35</v>
      </c>
      <c r="BE134" s="341" t="str">
        <f t="shared" si="350"/>
        <v/>
      </c>
      <c r="BF134" s="341" t="str">
        <f t="shared" si="351"/>
        <v/>
      </c>
      <c r="BG134" s="345" t="str">
        <f t="shared" si="352"/>
        <v/>
      </c>
      <c r="BH134" s="682">
        <f>SUM(BH126:BH133)</f>
        <v>0</v>
      </c>
      <c r="BI134" s="658">
        <f t="shared" ref="BI134" si="374">SUM(BI126:BI133)</f>
        <v>13</v>
      </c>
      <c r="BJ134" s="658">
        <f t="shared" ref="BJ134" si="375">SUM(BJ126:BJ133)</f>
        <v>7</v>
      </c>
      <c r="BK134" s="658">
        <f t="shared" ref="BK134" si="376">SUM(BK126:BK133)</f>
        <v>0</v>
      </c>
      <c r="BL134" s="658">
        <f t="shared" ref="BL134" si="377">SUM(BL126:BL133)</f>
        <v>0</v>
      </c>
      <c r="BM134" s="659">
        <f t="shared" ref="BM134" si="378">SUM(BM126:BM133)</f>
        <v>0</v>
      </c>
      <c r="BN134" s="354">
        <f t="shared" ref="BN134:BU134" si="379">SUM(BN126:BN130)</f>
        <v>1</v>
      </c>
      <c r="BO134" s="355">
        <f t="shared" si="379"/>
        <v>0</v>
      </c>
      <c r="BP134" s="354">
        <f t="shared" si="379"/>
        <v>11</v>
      </c>
      <c r="BQ134" s="355">
        <f t="shared" si="379"/>
        <v>9</v>
      </c>
      <c r="BR134" s="354">
        <f t="shared" si="379"/>
        <v>78</v>
      </c>
      <c r="BS134" s="355">
        <f t="shared" si="379"/>
        <v>56</v>
      </c>
      <c r="BT134" s="354">
        <f t="shared" si="379"/>
        <v>16</v>
      </c>
      <c r="BU134" s="356">
        <f t="shared" si="379"/>
        <v>9</v>
      </c>
      <c r="CC134" s="1">
        <f t="shared" si="355"/>
        <v>0</v>
      </c>
      <c r="CD134" s="1">
        <f t="shared" si="356"/>
        <v>0</v>
      </c>
      <c r="CE134" s="1">
        <f t="shared" si="357"/>
        <v>0</v>
      </c>
      <c r="CF134" s="1">
        <f t="shared" si="358"/>
        <v>0</v>
      </c>
      <c r="CG134" s="1">
        <f t="shared" si="359"/>
        <v>0</v>
      </c>
      <c r="CH134" s="1">
        <f t="shared" si="360"/>
        <v>0</v>
      </c>
    </row>
    <row r="135" spans="2:86" ht="15.75" customHeight="1">
      <c r="B135" s="980" t="s">
        <v>3</v>
      </c>
      <c r="C135" s="1036" t="s">
        <v>76</v>
      </c>
      <c r="D135" s="1026">
        <f>'2020'!D135</f>
        <v>14</v>
      </c>
      <c r="E135" s="1029">
        <f>'2021'!D135</f>
        <v>11</v>
      </c>
      <c r="F135" s="1029">
        <f>'2022'!D135</f>
        <v>17</v>
      </c>
      <c r="G135" s="1029">
        <f>'2023'!D135</f>
        <v>14</v>
      </c>
      <c r="H135" s="1029"/>
      <c r="I135" s="1023"/>
      <c r="J135" s="903" t="s">
        <v>48</v>
      </c>
      <c r="K135" s="424" t="str">
        <f t="shared" ref="K135:K158" si="380">IF(R135=0,"","X")</f>
        <v>X</v>
      </c>
      <c r="L135" s="424" t="str">
        <f t="shared" ref="L135:L158" si="381">IF(S135=0,"","X")</f>
        <v/>
      </c>
      <c r="M135" s="424" t="str">
        <f t="shared" ref="M135:M158" si="382">IF(T135=0,"","X")</f>
        <v/>
      </c>
      <c r="N135" s="424" t="str">
        <f t="shared" ref="N135:N158" si="383">IF(U135=0,"","X")</f>
        <v/>
      </c>
      <c r="O135" s="424" t="str">
        <f t="shared" ref="O135:O158" si="384">IF(V135=0,"","X")</f>
        <v/>
      </c>
      <c r="P135" s="425" t="str">
        <f t="shared" ref="P135:P158" si="385">IF(W135=0,"","X")</f>
        <v/>
      </c>
      <c r="Q135" s="246" t="s">
        <v>61</v>
      </c>
      <c r="R135" s="649">
        <f>'2020'!G135</f>
        <v>42</v>
      </c>
      <c r="S135" s="650">
        <f>'2021'!G135</f>
        <v>0</v>
      </c>
      <c r="T135" s="650">
        <f>'2022'!G135</f>
        <v>0</v>
      </c>
      <c r="U135" s="650">
        <f>'2023'!G135</f>
        <v>0</v>
      </c>
      <c r="V135" s="650">
        <f>'2024'!G135</f>
        <v>0</v>
      </c>
      <c r="W135" s="651">
        <f>'2025'!G135</f>
        <v>0</v>
      </c>
      <c r="X135" s="679">
        <f>'2020'!H135</f>
        <v>42</v>
      </c>
      <c r="Y135" s="650">
        <f>'2021'!H135</f>
        <v>0</v>
      </c>
      <c r="Z135" s="650">
        <f>'2022'!H135</f>
        <v>0</v>
      </c>
      <c r="AA135" s="650">
        <f>'2023'!H135</f>
        <v>0</v>
      </c>
      <c r="AB135" s="650">
        <f>'2024'!H135</f>
        <v>0</v>
      </c>
      <c r="AC135" s="651">
        <f>'2025'!H135</f>
        <v>0</v>
      </c>
      <c r="AD135" s="440">
        <f t="shared" si="338"/>
        <v>0.40476190476190477</v>
      </c>
      <c r="AE135" s="441">
        <f t="shared" si="339"/>
        <v>0</v>
      </c>
      <c r="AF135" s="441">
        <f t="shared" si="268"/>
        <v>0</v>
      </c>
      <c r="AG135" s="441">
        <f t="shared" si="340"/>
        <v>0</v>
      </c>
      <c r="AH135" s="441">
        <f t="shared" si="341"/>
        <v>0</v>
      </c>
      <c r="AI135" s="442">
        <f t="shared" si="342"/>
        <v>0</v>
      </c>
      <c r="AJ135" s="679">
        <f>'2020'!J135</f>
        <v>17</v>
      </c>
      <c r="AK135" s="650">
        <f>'2021'!J135</f>
        <v>0</v>
      </c>
      <c r="AL135" s="650">
        <f>'2022'!J135</f>
        <v>0</v>
      </c>
      <c r="AM135" s="650">
        <f>'2023'!J135</f>
        <v>0</v>
      </c>
      <c r="AN135" s="650">
        <f>'2024'!J135</f>
        <v>0</v>
      </c>
      <c r="AO135" s="651">
        <f>'2025'!J135</f>
        <v>0</v>
      </c>
      <c r="AP135" s="440">
        <f t="shared" si="353"/>
        <v>0.5</v>
      </c>
      <c r="AQ135" s="441" t="str">
        <f t="shared" si="343"/>
        <v/>
      </c>
      <c r="AR135" s="441" t="str">
        <f t="shared" si="344"/>
        <v/>
      </c>
      <c r="AS135" s="441" t="str">
        <f t="shared" si="345"/>
        <v/>
      </c>
      <c r="AT135" s="441" t="str">
        <f t="shared" si="346"/>
        <v/>
      </c>
      <c r="AU135" s="442" t="str">
        <f t="shared" si="347"/>
        <v/>
      </c>
      <c r="AV135" s="679">
        <f>'2020'!L135</f>
        <v>21</v>
      </c>
      <c r="AW135" s="650">
        <f>'2021'!L135</f>
        <v>0</v>
      </c>
      <c r="AX135" s="650">
        <f>'2022'!L135</f>
        <v>0</v>
      </c>
      <c r="AY135" s="650">
        <f>'2023'!L135</f>
        <v>0</v>
      </c>
      <c r="AZ135" s="650">
        <f>'2024'!L135</f>
        <v>0</v>
      </c>
      <c r="BA135" s="651">
        <f>'2025'!L135</f>
        <v>0</v>
      </c>
      <c r="BB135" s="440">
        <f t="shared" si="354"/>
        <v>0</v>
      </c>
      <c r="BC135" s="441" t="str">
        <f t="shared" si="348"/>
        <v/>
      </c>
      <c r="BD135" s="441" t="str">
        <f t="shared" si="349"/>
        <v/>
      </c>
      <c r="BE135" s="441" t="str">
        <f t="shared" si="350"/>
        <v/>
      </c>
      <c r="BF135" s="441" t="str">
        <f t="shared" si="351"/>
        <v/>
      </c>
      <c r="BG135" s="442" t="str">
        <f t="shared" si="352"/>
        <v/>
      </c>
      <c r="BH135" s="972">
        <f>'2020'!N135</f>
        <v>0</v>
      </c>
      <c r="BI135" s="973">
        <f>'2021'!N135</f>
        <v>0</v>
      </c>
      <c r="BJ135" s="973">
        <f>'2022'!N135</f>
        <v>0</v>
      </c>
      <c r="BK135" s="973">
        <f>'2023'!N135</f>
        <v>0</v>
      </c>
      <c r="BL135" s="973">
        <f>'2024'!N135</f>
        <v>0</v>
      </c>
      <c r="BM135" s="974">
        <f>'2025'!N135</f>
        <v>0</v>
      </c>
      <c r="BN135" s="443" t="s">
        <v>21</v>
      </c>
      <c r="BO135" s="444" t="s">
        <v>21</v>
      </c>
      <c r="BP135" s="443" t="s">
        <v>21</v>
      </c>
      <c r="BQ135" s="444" t="s">
        <v>21</v>
      </c>
      <c r="BR135" s="445"/>
      <c r="BS135" s="446"/>
      <c r="BT135" s="445"/>
      <c r="BU135" s="447"/>
      <c r="CC135" s="1" t="str">
        <f t="shared" si="355"/>
        <v>Suisse</v>
      </c>
      <c r="CD135" s="1" t="str">
        <f t="shared" si="356"/>
        <v/>
      </c>
      <c r="CE135" s="1" t="str">
        <f t="shared" si="357"/>
        <v/>
      </c>
      <c r="CF135" s="1" t="str">
        <f t="shared" si="358"/>
        <v/>
      </c>
      <c r="CG135" s="1" t="str">
        <f t="shared" si="359"/>
        <v/>
      </c>
      <c r="CH135" s="1" t="str">
        <f t="shared" si="360"/>
        <v/>
      </c>
    </row>
    <row r="136" spans="2:86" ht="15.75" customHeight="1">
      <c r="B136" s="981"/>
      <c r="C136" s="1037"/>
      <c r="D136" s="1027"/>
      <c r="E136" s="1030"/>
      <c r="F136" s="1030"/>
      <c r="G136" s="1030"/>
      <c r="H136" s="1030"/>
      <c r="I136" s="1024"/>
      <c r="J136" s="905" t="s">
        <v>49</v>
      </c>
      <c r="K136" s="426" t="str">
        <f t="shared" si="380"/>
        <v>X</v>
      </c>
      <c r="L136" s="426" t="str">
        <f t="shared" si="381"/>
        <v/>
      </c>
      <c r="M136" s="426" t="str">
        <f t="shared" si="382"/>
        <v/>
      </c>
      <c r="N136" s="426" t="str">
        <f t="shared" si="383"/>
        <v>X</v>
      </c>
      <c r="O136" s="426" t="str">
        <f t="shared" si="384"/>
        <v/>
      </c>
      <c r="P136" s="427" t="str">
        <f t="shared" si="385"/>
        <v/>
      </c>
      <c r="Q136" s="251" t="s">
        <v>61</v>
      </c>
      <c r="R136" s="640">
        <f>'2020'!G136</f>
        <v>283</v>
      </c>
      <c r="S136" s="641">
        <f>'2021'!G136</f>
        <v>0</v>
      </c>
      <c r="T136" s="641">
        <f>'2022'!G136</f>
        <v>0</v>
      </c>
      <c r="U136" s="641">
        <f>'2023'!G136</f>
        <v>503</v>
      </c>
      <c r="V136" s="641">
        <f>'2024'!G136</f>
        <v>0</v>
      </c>
      <c r="W136" s="642">
        <f>'2025'!G136</f>
        <v>0</v>
      </c>
      <c r="X136" s="676">
        <f>'2020'!H136</f>
        <v>283</v>
      </c>
      <c r="Y136" s="641">
        <f>'2021'!H136</f>
        <v>0</v>
      </c>
      <c r="Z136" s="641">
        <f>'2022'!H136</f>
        <v>0</v>
      </c>
      <c r="AA136" s="641">
        <f>'2023'!H136</f>
        <v>503</v>
      </c>
      <c r="AB136" s="641">
        <f>'2024'!H136</f>
        <v>0</v>
      </c>
      <c r="AC136" s="642">
        <f>'2025'!H136</f>
        <v>0</v>
      </c>
      <c r="AD136" s="449">
        <f t="shared" si="338"/>
        <v>0.14840989399293286</v>
      </c>
      <c r="AE136" s="450">
        <f t="shared" si="339"/>
        <v>0</v>
      </c>
      <c r="AF136" s="450">
        <f t="shared" si="268"/>
        <v>0</v>
      </c>
      <c r="AG136" s="450">
        <f t="shared" si="340"/>
        <v>0.27634194831013914</v>
      </c>
      <c r="AH136" s="450">
        <f t="shared" si="341"/>
        <v>0</v>
      </c>
      <c r="AI136" s="451">
        <f t="shared" si="342"/>
        <v>0</v>
      </c>
      <c r="AJ136" s="676">
        <f>'2020'!J136</f>
        <v>42</v>
      </c>
      <c r="AK136" s="641">
        <f>'2021'!J136</f>
        <v>0</v>
      </c>
      <c r="AL136" s="641">
        <f>'2022'!J136</f>
        <v>0</v>
      </c>
      <c r="AM136" s="641">
        <f>'2023'!J136</f>
        <v>139</v>
      </c>
      <c r="AN136" s="641">
        <f>'2024'!J136</f>
        <v>0</v>
      </c>
      <c r="AO136" s="642">
        <f>'2025'!J136</f>
        <v>0</v>
      </c>
      <c r="AP136" s="449">
        <f t="shared" si="353"/>
        <v>0.39575971731448761</v>
      </c>
      <c r="AQ136" s="450" t="str">
        <f t="shared" si="343"/>
        <v/>
      </c>
      <c r="AR136" s="450" t="str">
        <f t="shared" si="344"/>
        <v/>
      </c>
      <c r="AS136" s="450">
        <f t="shared" si="345"/>
        <v>0.37773359840954274</v>
      </c>
      <c r="AT136" s="450" t="str">
        <f t="shared" si="346"/>
        <v/>
      </c>
      <c r="AU136" s="451" t="str">
        <f t="shared" si="347"/>
        <v/>
      </c>
      <c r="AV136" s="676">
        <f>'2020'!L136</f>
        <v>112</v>
      </c>
      <c r="AW136" s="641">
        <f>'2021'!L136</f>
        <v>0</v>
      </c>
      <c r="AX136" s="641">
        <f>'2022'!L136</f>
        <v>0</v>
      </c>
      <c r="AY136" s="641">
        <f>'2023'!L136</f>
        <v>190</v>
      </c>
      <c r="AZ136" s="641">
        <f>'2024'!L136</f>
        <v>0</v>
      </c>
      <c r="BA136" s="642">
        <f>'2025'!L136</f>
        <v>0</v>
      </c>
      <c r="BB136" s="449">
        <f t="shared" si="354"/>
        <v>0</v>
      </c>
      <c r="BC136" s="450" t="str">
        <f t="shared" si="348"/>
        <v/>
      </c>
      <c r="BD136" s="450" t="str">
        <f t="shared" si="349"/>
        <v/>
      </c>
      <c r="BE136" s="450">
        <f t="shared" si="350"/>
        <v>0.36842105263157893</v>
      </c>
      <c r="BF136" s="450" t="str">
        <f t="shared" si="351"/>
        <v/>
      </c>
      <c r="BG136" s="451" t="str">
        <f t="shared" si="352"/>
        <v/>
      </c>
      <c r="BH136" s="966">
        <f>'2020'!N136</f>
        <v>0</v>
      </c>
      <c r="BI136" s="967">
        <f>'2021'!N136</f>
        <v>0</v>
      </c>
      <c r="BJ136" s="967">
        <f>'2022'!N136</f>
        <v>0</v>
      </c>
      <c r="BK136" s="967">
        <f>'2023'!N136</f>
        <v>70</v>
      </c>
      <c r="BL136" s="967">
        <f>'2024'!N136</f>
        <v>0</v>
      </c>
      <c r="BM136" s="968">
        <f>'2025'!N136</f>
        <v>0</v>
      </c>
      <c r="BN136" s="452" t="s">
        <v>21</v>
      </c>
      <c r="BO136" s="453" t="s">
        <v>21</v>
      </c>
      <c r="BP136" s="452" t="s">
        <v>21</v>
      </c>
      <c r="BQ136" s="453" t="s">
        <v>21</v>
      </c>
      <c r="BR136" s="454"/>
      <c r="BS136" s="455"/>
      <c r="BT136" s="454"/>
      <c r="BU136" s="456"/>
      <c r="CC136" s="1" t="str">
        <f t="shared" si="355"/>
        <v>Suisse</v>
      </c>
      <c r="CD136" s="1" t="str">
        <f t="shared" si="356"/>
        <v/>
      </c>
      <c r="CE136" s="1" t="str">
        <f t="shared" si="357"/>
        <v/>
      </c>
      <c r="CF136" s="1" t="str">
        <f t="shared" si="358"/>
        <v>Suisse</v>
      </c>
      <c r="CG136" s="1" t="str">
        <f t="shared" si="359"/>
        <v/>
      </c>
      <c r="CH136" s="1" t="str">
        <f t="shared" si="360"/>
        <v/>
      </c>
    </row>
    <row r="137" spans="2:86" ht="15.75" customHeight="1">
      <c r="B137" s="981"/>
      <c r="C137" s="1037"/>
      <c r="D137" s="1027"/>
      <c r="E137" s="1030"/>
      <c r="F137" s="1030"/>
      <c r="G137" s="1030"/>
      <c r="H137" s="1030"/>
      <c r="I137" s="1024"/>
      <c r="J137" s="905" t="s">
        <v>81</v>
      </c>
      <c r="K137" s="426" t="str">
        <f t="shared" si="380"/>
        <v>X</v>
      </c>
      <c r="L137" s="426" t="str">
        <f t="shared" si="381"/>
        <v/>
      </c>
      <c r="M137" s="426" t="str">
        <f t="shared" si="382"/>
        <v/>
      </c>
      <c r="N137" s="426" t="str">
        <f t="shared" si="383"/>
        <v/>
      </c>
      <c r="O137" s="426" t="str">
        <f t="shared" si="384"/>
        <v/>
      </c>
      <c r="P137" s="427" t="str">
        <f t="shared" si="385"/>
        <v/>
      </c>
      <c r="Q137" s="251" t="s">
        <v>61</v>
      </c>
      <c r="R137" s="640">
        <f>'2020'!G137</f>
        <v>79</v>
      </c>
      <c r="S137" s="641">
        <f>'2021'!G137</f>
        <v>0</v>
      </c>
      <c r="T137" s="641">
        <f>'2022'!G137</f>
        <v>0</v>
      </c>
      <c r="U137" s="641">
        <f>'2023'!G137</f>
        <v>0</v>
      </c>
      <c r="V137" s="641">
        <f>'2024'!G137</f>
        <v>0</v>
      </c>
      <c r="W137" s="642">
        <f>'2025'!G137</f>
        <v>0</v>
      </c>
      <c r="X137" s="676">
        <f>'2020'!H137</f>
        <v>79</v>
      </c>
      <c r="Y137" s="641">
        <f>'2021'!H137</f>
        <v>0</v>
      </c>
      <c r="Z137" s="641">
        <f>'2022'!H137</f>
        <v>0</v>
      </c>
      <c r="AA137" s="641">
        <f>'2023'!H137</f>
        <v>0</v>
      </c>
      <c r="AB137" s="641">
        <f>'2024'!H137</f>
        <v>0</v>
      </c>
      <c r="AC137" s="642">
        <f>'2025'!H137</f>
        <v>0</v>
      </c>
      <c r="AD137" s="449">
        <f t="shared" si="338"/>
        <v>0.36708860759493672</v>
      </c>
      <c r="AE137" s="450">
        <f t="shared" si="339"/>
        <v>0</v>
      </c>
      <c r="AF137" s="450">
        <f t="shared" si="268"/>
        <v>0</v>
      </c>
      <c r="AG137" s="450">
        <f t="shared" si="340"/>
        <v>0</v>
      </c>
      <c r="AH137" s="450">
        <f t="shared" si="341"/>
        <v>0</v>
      </c>
      <c r="AI137" s="451">
        <f t="shared" si="342"/>
        <v>0</v>
      </c>
      <c r="AJ137" s="676">
        <f>'2020'!J137</f>
        <v>29</v>
      </c>
      <c r="AK137" s="641">
        <f>'2021'!J137</f>
        <v>0</v>
      </c>
      <c r="AL137" s="641">
        <f>'2022'!J137</f>
        <v>0</v>
      </c>
      <c r="AM137" s="641">
        <f>'2023'!J137</f>
        <v>0</v>
      </c>
      <c r="AN137" s="641">
        <f>'2024'!J137</f>
        <v>0</v>
      </c>
      <c r="AO137" s="642">
        <f>'2025'!J137</f>
        <v>0</v>
      </c>
      <c r="AP137" s="449">
        <f t="shared" si="353"/>
        <v>0.41772151898734178</v>
      </c>
      <c r="AQ137" s="450" t="str">
        <f t="shared" si="343"/>
        <v/>
      </c>
      <c r="AR137" s="450" t="str">
        <f t="shared" si="344"/>
        <v/>
      </c>
      <c r="AS137" s="450" t="str">
        <f t="shared" si="345"/>
        <v/>
      </c>
      <c r="AT137" s="450" t="str">
        <f t="shared" si="346"/>
        <v/>
      </c>
      <c r="AU137" s="451" t="str">
        <f t="shared" si="347"/>
        <v/>
      </c>
      <c r="AV137" s="676">
        <f>'2020'!L137</f>
        <v>33</v>
      </c>
      <c r="AW137" s="641">
        <f>'2021'!L137</f>
        <v>0</v>
      </c>
      <c r="AX137" s="641">
        <f>'2022'!L137</f>
        <v>0</v>
      </c>
      <c r="AY137" s="641">
        <f>'2023'!L137</f>
        <v>0</v>
      </c>
      <c r="AZ137" s="641">
        <f>'2024'!L137</f>
        <v>0</v>
      </c>
      <c r="BA137" s="642">
        <f>'2025'!L137</f>
        <v>0</v>
      </c>
      <c r="BB137" s="449">
        <f t="shared" si="354"/>
        <v>0</v>
      </c>
      <c r="BC137" s="450" t="str">
        <f t="shared" si="348"/>
        <v/>
      </c>
      <c r="BD137" s="450" t="str">
        <f t="shared" si="349"/>
        <v/>
      </c>
      <c r="BE137" s="450" t="str">
        <f t="shared" si="350"/>
        <v/>
      </c>
      <c r="BF137" s="450" t="str">
        <f t="shared" si="351"/>
        <v/>
      </c>
      <c r="BG137" s="451" t="str">
        <f t="shared" si="352"/>
        <v/>
      </c>
      <c r="BH137" s="966">
        <f>'2020'!N137</f>
        <v>0</v>
      </c>
      <c r="BI137" s="967">
        <f>'2021'!N137</f>
        <v>0</v>
      </c>
      <c r="BJ137" s="967">
        <f>'2022'!N137</f>
        <v>0</v>
      </c>
      <c r="BK137" s="967">
        <f>'2023'!N137</f>
        <v>0</v>
      </c>
      <c r="BL137" s="967">
        <f>'2024'!N137</f>
        <v>0</v>
      </c>
      <c r="BM137" s="968">
        <f>'2025'!N137</f>
        <v>0</v>
      </c>
      <c r="BN137" s="452" t="s">
        <v>21</v>
      </c>
      <c r="BO137" s="453" t="s">
        <v>21</v>
      </c>
      <c r="BP137" s="452" t="s">
        <v>21</v>
      </c>
      <c r="BQ137" s="453" t="s">
        <v>21</v>
      </c>
      <c r="BR137" s="454"/>
      <c r="BS137" s="455"/>
      <c r="BT137" s="454"/>
      <c r="BU137" s="456"/>
      <c r="CC137" s="1" t="str">
        <f t="shared" si="355"/>
        <v>Suisse</v>
      </c>
      <c r="CD137" s="1" t="str">
        <f t="shared" si="356"/>
        <v/>
      </c>
      <c r="CE137" s="1" t="str">
        <f t="shared" si="357"/>
        <v/>
      </c>
      <c r="CF137" s="1" t="str">
        <f t="shared" si="358"/>
        <v/>
      </c>
      <c r="CG137" s="1" t="str">
        <f t="shared" si="359"/>
        <v/>
      </c>
      <c r="CH137" s="1" t="str">
        <f t="shared" si="360"/>
        <v/>
      </c>
    </row>
    <row r="138" spans="2:86" ht="15.75" customHeight="1">
      <c r="B138" s="981"/>
      <c r="C138" s="1037"/>
      <c r="D138" s="1027"/>
      <c r="E138" s="1030"/>
      <c r="F138" s="1030"/>
      <c r="G138" s="1030"/>
      <c r="H138" s="1030"/>
      <c r="I138" s="1024"/>
      <c r="J138" s="905" t="s">
        <v>73</v>
      </c>
      <c r="K138" s="426" t="str">
        <f t="shared" si="380"/>
        <v>X</v>
      </c>
      <c r="L138" s="426" t="str">
        <f t="shared" si="381"/>
        <v/>
      </c>
      <c r="M138" s="426" t="str">
        <f t="shared" si="382"/>
        <v/>
      </c>
      <c r="N138" s="426" t="str">
        <f t="shared" si="383"/>
        <v/>
      </c>
      <c r="O138" s="426" t="str">
        <f t="shared" si="384"/>
        <v/>
      </c>
      <c r="P138" s="427" t="str">
        <f t="shared" si="385"/>
        <v/>
      </c>
      <c r="Q138" s="251" t="s">
        <v>61</v>
      </c>
      <c r="R138" s="640">
        <f>'2020'!G138</f>
        <v>108</v>
      </c>
      <c r="S138" s="641">
        <f>'2021'!G138</f>
        <v>0</v>
      </c>
      <c r="T138" s="641">
        <f>'2022'!G138</f>
        <v>0</v>
      </c>
      <c r="U138" s="641">
        <f>'2023'!G138</f>
        <v>0</v>
      </c>
      <c r="V138" s="641">
        <f>'2024'!G138</f>
        <v>0</v>
      </c>
      <c r="W138" s="642">
        <f>'2025'!G138</f>
        <v>0</v>
      </c>
      <c r="X138" s="676">
        <f>'2020'!H138</f>
        <v>108</v>
      </c>
      <c r="Y138" s="641">
        <f>'2021'!H138</f>
        <v>0</v>
      </c>
      <c r="Z138" s="641">
        <f>'2022'!H138</f>
        <v>0</v>
      </c>
      <c r="AA138" s="641">
        <f>'2023'!H138</f>
        <v>0</v>
      </c>
      <c r="AB138" s="641">
        <f>'2024'!H138</f>
        <v>0</v>
      </c>
      <c r="AC138" s="642">
        <f>'2025'!H138</f>
        <v>0</v>
      </c>
      <c r="AD138" s="449">
        <f t="shared" si="338"/>
        <v>0.43518518518518517</v>
      </c>
      <c r="AE138" s="450">
        <f t="shared" si="339"/>
        <v>0</v>
      </c>
      <c r="AF138" s="450">
        <f t="shared" si="268"/>
        <v>0</v>
      </c>
      <c r="AG138" s="450">
        <f t="shared" si="340"/>
        <v>0</v>
      </c>
      <c r="AH138" s="450">
        <f t="shared" si="341"/>
        <v>0</v>
      </c>
      <c r="AI138" s="451">
        <f t="shared" si="342"/>
        <v>0</v>
      </c>
      <c r="AJ138" s="676">
        <f>'2020'!J138</f>
        <v>47</v>
      </c>
      <c r="AK138" s="641">
        <f>'2021'!J138</f>
        <v>0</v>
      </c>
      <c r="AL138" s="641">
        <f>'2022'!J138</f>
        <v>0</v>
      </c>
      <c r="AM138" s="641">
        <f>'2023'!J138</f>
        <v>0</v>
      </c>
      <c r="AN138" s="641">
        <f>'2024'!J138</f>
        <v>0</v>
      </c>
      <c r="AO138" s="642">
        <f>'2025'!J138</f>
        <v>0</v>
      </c>
      <c r="AP138" s="449">
        <f t="shared" si="353"/>
        <v>0.47222222222222221</v>
      </c>
      <c r="AQ138" s="450" t="str">
        <f t="shared" si="343"/>
        <v/>
      </c>
      <c r="AR138" s="450" t="str">
        <f t="shared" si="344"/>
        <v/>
      </c>
      <c r="AS138" s="450" t="str">
        <f t="shared" si="345"/>
        <v/>
      </c>
      <c r="AT138" s="450" t="str">
        <f t="shared" si="346"/>
        <v/>
      </c>
      <c r="AU138" s="451" t="str">
        <f t="shared" si="347"/>
        <v/>
      </c>
      <c r="AV138" s="676">
        <f>'2020'!L138</f>
        <v>51</v>
      </c>
      <c r="AW138" s="641">
        <f>'2021'!L138</f>
        <v>0</v>
      </c>
      <c r="AX138" s="641">
        <f>'2022'!L138</f>
        <v>0</v>
      </c>
      <c r="AY138" s="641">
        <f>'2023'!L138</f>
        <v>0</v>
      </c>
      <c r="AZ138" s="641">
        <f>'2024'!L138</f>
        <v>0</v>
      </c>
      <c r="BA138" s="642">
        <f>'2025'!L138</f>
        <v>0</v>
      </c>
      <c r="BB138" s="449">
        <f t="shared" si="354"/>
        <v>0</v>
      </c>
      <c r="BC138" s="450" t="str">
        <f t="shared" si="348"/>
        <v/>
      </c>
      <c r="BD138" s="450" t="str">
        <f t="shared" si="349"/>
        <v/>
      </c>
      <c r="BE138" s="450" t="str">
        <f t="shared" si="350"/>
        <v/>
      </c>
      <c r="BF138" s="450" t="str">
        <f t="shared" si="351"/>
        <v/>
      </c>
      <c r="BG138" s="451" t="str">
        <f t="shared" si="352"/>
        <v/>
      </c>
      <c r="BH138" s="966">
        <f>'2020'!N138</f>
        <v>0</v>
      </c>
      <c r="BI138" s="967">
        <f>'2021'!N138</f>
        <v>0</v>
      </c>
      <c r="BJ138" s="967">
        <f>'2022'!N138</f>
        <v>0</v>
      </c>
      <c r="BK138" s="967">
        <f>'2023'!N138</f>
        <v>0</v>
      </c>
      <c r="BL138" s="967">
        <f>'2024'!N138</f>
        <v>0</v>
      </c>
      <c r="BM138" s="968">
        <f>'2025'!N138</f>
        <v>0</v>
      </c>
      <c r="BN138" s="452" t="s">
        <v>21</v>
      </c>
      <c r="BO138" s="453" t="s">
        <v>21</v>
      </c>
      <c r="BP138" s="452" t="s">
        <v>21</v>
      </c>
      <c r="BQ138" s="453" t="s">
        <v>21</v>
      </c>
      <c r="BR138" s="454"/>
      <c r="BS138" s="455"/>
      <c r="BT138" s="454"/>
      <c r="BU138" s="456"/>
      <c r="CC138" s="1" t="str">
        <f t="shared" si="355"/>
        <v>Suisse</v>
      </c>
      <c r="CD138" s="1" t="str">
        <f t="shared" si="356"/>
        <v/>
      </c>
      <c r="CE138" s="1" t="str">
        <f t="shared" si="357"/>
        <v/>
      </c>
      <c r="CF138" s="1" t="str">
        <f t="shared" si="358"/>
        <v/>
      </c>
      <c r="CG138" s="1" t="str">
        <f t="shared" si="359"/>
        <v/>
      </c>
      <c r="CH138" s="1" t="str">
        <f t="shared" si="360"/>
        <v/>
      </c>
    </row>
    <row r="139" spans="2:86" ht="15.75" customHeight="1">
      <c r="B139" s="981"/>
      <c r="C139" s="1037"/>
      <c r="D139" s="1027"/>
      <c r="E139" s="1030"/>
      <c r="F139" s="1030"/>
      <c r="G139" s="1030"/>
      <c r="H139" s="1030"/>
      <c r="I139" s="1024"/>
      <c r="J139" s="905" t="s">
        <v>50</v>
      </c>
      <c r="K139" s="426" t="str">
        <f t="shared" si="380"/>
        <v>X</v>
      </c>
      <c r="L139" s="426" t="str">
        <f t="shared" si="381"/>
        <v/>
      </c>
      <c r="M139" s="426" t="str">
        <f t="shared" si="382"/>
        <v/>
      </c>
      <c r="N139" s="426" t="str">
        <f t="shared" si="383"/>
        <v/>
      </c>
      <c r="O139" s="426" t="str">
        <f t="shared" si="384"/>
        <v/>
      </c>
      <c r="P139" s="427" t="str">
        <f t="shared" si="385"/>
        <v/>
      </c>
      <c r="Q139" s="251" t="s">
        <v>61</v>
      </c>
      <c r="R139" s="640">
        <f>'2020'!G139</f>
        <v>117</v>
      </c>
      <c r="S139" s="641">
        <f>'2021'!G139</f>
        <v>0</v>
      </c>
      <c r="T139" s="641">
        <f>'2022'!G139</f>
        <v>0</v>
      </c>
      <c r="U139" s="641">
        <f>'2023'!G139</f>
        <v>0</v>
      </c>
      <c r="V139" s="641">
        <f>'2024'!G139</f>
        <v>0</v>
      </c>
      <c r="W139" s="642">
        <f>'2025'!G139</f>
        <v>0</v>
      </c>
      <c r="X139" s="676">
        <f>'2020'!H139</f>
        <v>117</v>
      </c>
      <c r="Y139" s="641">
        <f>'2021'!H139</f>
        <v>0</v>
      </c>
      <c r="Z139" s="641">
        <f>'2022'!H139</f>
        <v>0</v>
      </c>
      <c r="AA139" s="641">
        <f>'2023'!H139</f>
        <v>0</v>
      </c>
      <c r="AB139" s="641">
        <f>'2024'!H139</f>
        <v>0</v>
      </c>
      <c r="AC139" s="642">
        <f>'2025'!H139</f>
        <v>0</v>
      </c>
      <c r="AD139" s="449">
        <f t="shared" si="338"/>
        <v>0.35897435897435898</v>
      </c>
      <c r="AE139" s="450">
        <f t="shared" si="339"/>
        <v>0</v>
      </c>
      <c r="AF139" s="450">
        <f t="shared" si="268"/>
        <v>0</v>
      </c>
      <c r="AG139" s="450">
        <f t="shared" si="340"/>
        <v>0</v>
      </c>
      <c r="AH139" s="450">
        <f t="shared" si="341"/>
        <v>0</v>
      </c>
      <c r="AI139" s="451">
        <f t="shared" si="342"/>
        <v>0</v>
      </c>
      <c r="AJ139" s="676">
        <f>'2020'!J139</f>
        <v>42</v>
      </c>
      <c r="AK139" s="641">
        <f>'2021'!J139</f>
        <v>0</v>
      </c>
      <c r="AL139" s="641">
        <f>'2022'!J139</f>
        <v>0</v>
      </c>
      <c r="AM139" s="641">
        <f>'2023'!J139</f>
        <v>0</v>
      </c>
      <c r="AN139" s="641">
        <f>'2024'!J139</f>
        <v>0</v>
      </c>
      <c r="AO139" s="642">
        <f>'2025'!J139</f>
        <v>0</v>
      </c>
      <c r="AP139" s="449">
        <f t="shared" si="353"/>
        <v>0.44444444444444442</v>
      </c>
      <c r="AQ139" s="450" t="str">
        <f t="shared" si="343"/>
        <v/>
      </c>
      <c r="AR139" s="450" t="str">
        <f t="shared" si="344"/>
        <v/>
      </c>
      <c r="AS139" s="450" t="str">
        <f t="shared" si="345"/>
        <v/>
      </c>
      <c r="AT139" s="450" t="str">
        <f t="shared" si="346"/>
        <v/>
      </c>
      <c r="AU139" s="451" t="str">
        <f t="shared" si="347"/>
        <v/>
      </c>
      <c r="AV139" s="676">
        <f>'2020'!L139</f>
        <v>52</v>
      </c>
      <c r="AW139" s="641">
        <f>'2021'!L139</f>
        <v>0</v>
      </c>
      <c r="AX139" s="641">
        <f>'2022'!L139</f>
        <v>0</v>
      </c>
      <c r="AY139" s="641">
        <f>'2023'!L139</f>
        <v>0</v>
      </c>
      <c r="AZ139" s="641">
        <f>'2024'!L139</f>
        <v>0</v>
      </c>
      <c r="BA139" s="642">
        <f>'2025'!L139</f>
        <v>0</v>
      </c>
      <c r="BB139" s="449">
        <f t="shared" si="354"/>
        <v>0</v>
      </c>
      <c r="BC139" s="450" t="str">
        <f t="shared" si="348"/>
        <v/>
      </c>
      <c r="BD139" s="450" t="str">
        <f t="shared" si="349"/>
        <v/>
      </c>
      <c r="BE139" s="450" t="str">
        <f t="shared" si="350"/>
        <v/>
      </c>
      <c r="BF139" s="450" t="str">
        <f t="shared" si="351"/>
        <v/>
      </c>
      <c r="BG139" s="451" t="str">
        <f t="shared" si="352"/>
        <v/>
      </c>
      <c r="BH139" s="966">
        <f>'2020'!N139</f>
        <v>0</v>
      </c>
      <c r="BI139" s="967">
        <f>'2021'!N139</f>
        <v>0</v>
      </c>
      <c r="BJ139" s="967">
        <f>'2022'!N139</f>
        <v>0</v>
      </c>
      <c r="BK139" s="967">
        <f>'2023'!N139</f>
        <v>0</v>
      </c>
      <c r="BL139" s="967">
        <f>'2024'!N139</f>
        <v>0</v>
      </c>
      <c r="BM139" s="968">
        <f>'2025'!N139</f>
        <v>0</v>
      </c>
      <c r="BN139" s="452" t="s">
        <v>21</v>
      </c>
      <c r="BO139" s="453" t="s">
        <v>21</v>
      </c>
      <c r="BP139" s="452" t="s">
        <v>21</v>
      </c>
      <c r="BQ139" s="453" t="s">
        <v>21</v>
      </c>
      <c r="BR139" s="454"/>
      <c r="BS139" s="455"/>
      <c r="BT139" s="454"/>
      <c r="BU139" s="456"/>
      <c r="CC139" s="1" t="str">
        <f t="shared" si="355"/>
        <v>Suisse</v>
      </c>
      <c r="CD139" s="1" t="str">
        <f t="shared" si="356"/>
        <v/>
      </c>
      <c r="CE139" s="1" t="str">
        <f t="shared" si="357"/>
        <v/>
      </c>
      <c r="CF139" s="1" t="str">
        <f t="shared" si="358"/>
        <v/>
      </c>
      <c r="CG139" s="1" t="str">
        <f t="shared" si="359"/>
        <v/>
      </c>
      <c r="CH139" s="1" t="str">
        <f t="shared" si="360"/>
        <v/>
      </c>
    </row>
    <row r="140" spans="2:86" ht="15.75" customHeight="1">
      <c r="B140" s="981"/>
      <c r="C140" s="1037"/>
      <c r="D140" s="1027"/>
      <c r="E140" s="1030"/>
      <c r="F140" s="1030"/>
      <c r="G140" s="1030"/>
      <c r="H140" s="1030"/>
      <c r="I140" s="1024"/>
      <c r="J140" s="905" t="s">
        <v>144</v>
      </c>
      <c r="K140" s="426" t="str">
        <f t="shared" si="380"/>
        <v/>
      </c>
      <c r="L140" s="426" t="str">
        <f t="shared" si="381"/>
        <v>X</v>
      </c>
      <c r="M140" s="426" t="str">
        <f t="shared" si="382"/>
        <v/>
      </c>
      <c r="N140" s="426" t="str">
        <f t="shared" si="383"/>
        <v/>
      </c>
      <c r="O140" s="426" t="str">
        <f t="shared" si="384"/>
        <v/>
      </c>
      <c r="P140" s="427" t="str">
        <f t="shared" si="385"/>
        <v/>
      </c>
      <c r="Q140" s="251" t="s">
        <v>61</v>
      </c>
      <c r="R140" s="640">
        <f>'2020'!G140</f>
        <v>0</v>
      </c>
      <c r="S140" s="641">
        <f>'2021'!G140</f>
        <v>159</v>
      </c>
      <c r="T140" s="641">
        <f>'2022'!G140</f>
        <v>0</v>
      </c>
      <c r="U140" s="641">
        <f>'2023'!G140</f>
        <v>0</v>
      </c>
      <c r="V140" s="641">
        <f>'2024'!G140</f>
        <v>0</v>
      </c>
      <c r="W140" s="642">
        <f>'2025'!G140</f>
        <v>0</v>
      </c>
      <c r="X140" s="676">
        <f>'2020'!H140</f>
        <v>0</v>
      </c>
      <c r="Y140" s="641">
        <f>'2021'!H140</f>
        <v>159</v>
      </c>
      <c r="Z140" s="641">
        <f>'2022'!H140</f>
        <v>0</v>
      </c>
      <c r="AA140" s="641">
        <f>'2023'!H140</f>
        <v>0</v>
      </c>
      <c r="AB140" s="641">
        <f>'2024'!H140</f>
        <v>0</v>
      </c>
      <c r="AC140" s="642">
        <f>'2025'!H140</f>
        <v>0</v>
      </c>
      <c r="AD140" s="449">
        <f t="shared" si="338"/>
        <v>0</v>
      </c>
      <c r="AE140" s="450">
        <f t="shared" si="339"/>
        <v>0.34591194968553457</v>
      </c>
      <c r="AF140" s="450">
        <f t="shared" si="268"/>
        <v>0</v>
      </c>
      <c r="AG140" s="450">
        <f t="shared" si="340"/>
        <v>0</v>
      </c>
      <c r="AH140" s="450">
        <f t="shared" si="341"/>
        <v>0</v>
      </c>
      <c r="AI140" s="451">
        <f t="shared" si="342"/>
        <v>0</v>
      </c>
      <c r="AJ140" s="676">
        <f>'2020'!J140</f>
        <v>0</v>
      </c>
      <c r="AK140" s="641">
        <f>'2021'!J140</f>
        <v>55</v>
      </c>
      <c r="AL140" s="641">
        <f>'2022'!J140</f>
        <v>0</v>
      </c>
      <c r="AM140" s="641">
        <f>'2023'!J140</f>
        <v>0</v>
      </c>
      <c r="AN140" s="641">
        <f>'2024'!J140</f>
        <v>0</v>
      </c>
      <c r="AO140" s="642">
        <f>'2025'!J140</f>
        <v>0</v>
      </c>
      <c r="AP140" s="449" t="str">
        <f t="shared" si="353"/>
        <v/>
      </c>
      <c r="AQ140" s="450">
        <f t="shared" si="343"/>
        <v>0.41509433962264153</v>
      </c>
      <c r="AR140" s="450" t="str">
        <f t="shared" si="344"/>
        <v/>
      </c>
      <c r="AS140" s="450" t="str">
        <f t="shared" si="345"/>
        <v/>
      </c>
      <c r="AT140" s="450" t="str">
        <f t="shared" si="346"/>
        <v/>
      </c>
      <c r="AU140" s="451" t="str">
        <f t="shared" si="347"/>
        <v/>
      </c>
      <c r="AV140" s="676">
        <f>'2020'!L140</f>
        <v>0</v>
      </c>
      <c r="AW140" s="641">
        <f>'2021'!L140</f>
        <v>66</v>
      </c>
      <c r="AX140" s="641">
        <f>'2022'!L140</f>
        <v>0</v>
      </c>
      <c r="AY140" s="641">
        <f>'2023'!L140</f>
        <v>0</v>
      </c>
      <c r="AZ140" s="641">
        <f>'2024'!L140</f>
        <v>0</v>
      </c>
      <c r="BA140" s="642">
        <f>'2025'!L140</f>
        <v>0</v>
      </c>
      <c r="BB140" s="449" t="str">
        <f t="shared" si="354"/>
        <v/>
      </c>
      <c r="BC140" s="450">
        <f t="shared" si="348"/>
        <v>0.46969696969696972</v>
      </c>
      <c r="BD140" s="450" t="str">
        <f t="shared" si="349"/>
        <v/>
      </c>
      <c r="BE140" s="450" t="str">
        <f t="shared" si="350"/>
        <v/>
      </c>
      <c r="BF140" s="450" t="str">
        <f t="shared" si="351"/>
        <v/>
      </c>
      <c r="BG140" s="451" t="str">
        <f t="shared" si="352"/>
        <v/>
      </c>
      <c r="BH140" s="966">
        <f>'2020'!N140</f>
        <v>0</v>
      </c>
      <c r="BI140" s="967">
        <f>'2021'!N140</f>
        <v>31</v>
      </c>
      <c r="BJ140" s="967">
        <f>'2022'!N140</f>
        <v>0</v>
      </c>
      <c r="BK140" s="967">
        <f>'2023'!N140</f>
        <v>0</v>
      </c>
      <c r="BL140" s="967">
        <f>'2024'!N140</f>
        <v>0</v>
      </c>
      <c r="BM140" s="968">
        <f>'2025'!N140</f>
        <v>0</v>
      </c>
      <c r="BN140" s="452" t="s">
        <v>21</v>
      </c>
      <c r="BO140" s="453" t="s">
        <v>21</v>
      </c>
      <c r="BP140" s="452" t="s">
        <v>21</v>
      </c>
      <c r="BQ140" s="453" t="s">
        <v>21</v>
      </c>
      <c r="BR140" s="454"/>
      <c r="BS140" s="455"/>
      <c r="BT140" s="454"/>
      <c r="BU140" s="456"/>
      <c r="CC140" s="1" t="str">
        <f t="shared" si="355"/>
        <v/>
      </c>
      <c r="CD140" s="1" t="str">
        <f t="shared" si="356"/>
        <v>Suisse</v>
      </c>
      <c r="CE140" s="1" t="str">
        <f t="shared" si="357"/>
        <v/>
      </c>
      <c r="CF140" s="1" t="str">
        <f t="shared" si="358"/>
        <v/>
      </c>
      <c r="CG140" s="1" t="str">
        <f t="shared" si="359"/>
        <v/>
      </c>
      <c r="CH140" s="1" t="str">
        <f t="shared" si="360"/>
        <v/>
      </c>
    </row>
    <row r="141" spans="2:86" ht="15.75" customHeight="1">
      <c r="B141" s="981"/>
      <c r="C141" s="1037"/>
      <c r="D141" s="1027"/>
      <c r="E141" s="1030"/>
      <c r="F141" s="1030"/>
      <c r="G141" s="1030"/>
      <c r="H141" s="1030"/>
      <c r="I141" s="1024"/>
      <c r="J141" s="905" t="s">
        <v>143</v>
      </c>
      <c r="K141" s="426" t="str">
        <f t="shared" si="380"/>
        <v/>
      </c>
      <c r="L141" s="426" t="str">
        <f t="shared" si="381"/>
        <v>X</v>
      </c>
      <c r="M141" s="426" t="str">
        <f t="shared" si="382"/>
        <v/>
      </c>
      <c r="N141" s="426" t="str">
        <f t="shared" si="383"/>
        <v/>
      </c>
      <c r="O141" s="426" t="str">
        <f t="shared" si="384"/>
        <v/>
      </c>
      <c r="P141" s="427" t="str">
        <f t="shared" si="385"/>
        <v/>
      </c>
      <c r="Q141" s="251" t="s">
        <v>61</v>
      </c>
      <c r="R141" s="640">
        <f>'2020'!G141</f>
        <v>0</v>
      </c>
      <c r="S141" s="641">
        <f>'2021'!G141</f>
        <v>165</v>
      </c>
      <c r="T141" s="641">
        <f>'2022'!G141</f>
        <v>0</v>
      </c>
      <c r="U141" s="641">
        <f>'2023'!G141</f>
        <v>0</v>
      </c>
      <c r="V141" s="641">
        <f>'2024'!G141</f>
        <v>0</v>
      </c>
      <c r="W141" s="642">
        <f>'2025'!G141</f>
        <v>0</v>
      </c>
      <c r="X141" s="676">
        <f>'2020'!H141</f>
        <v>0</v>
      </c>
      <c r="Y141" s="641">
        <f>'2021'!H141</f>
        <v>165</v>
      </c>
      <c r="Z141" s="641">
        <f>'2022'!H141</f>
        <v>0</v>
      </c>
      <c r="AA141" s="641">
        <f>'2023'!H141</f>
        <v>0</v>
      </c>
      <c r="AB141" s="641">
        <f>'2024'!H141</f>
        <v>0</v>
      </c>
      <c r="AC141" s="642">
        <f>'2025'!H141</f>
        <v>0</v>
      </c>
      <c r="AD141" s="449">
        <f t="shared" si="338"/>
        <v>0</v>
      </c>
      <c r="AE141" s="450">
        <f t="shared" si="339"/>
        <v>0</v>
      </c>
      <c r="AF141" s="450">
        <f t="shared" si="268"/>
        <v>0</v>
      </c>
      <c r="AG141" s="450">
        <f t="shared" si="340"/>
        <v>0</v>
      </c>
      <c r="AH141" s="450">
        <f t="shared" si="341"/>
        <v>0</v>
      </c>
      <c r="AI141" s="451">
        <f t="shared" si="342"/>
        <v>0</v>
      </c>
      <c r="AJ141" s="676">
        <f>'2020'!J141</f>
        <v>0</v>
      </c>
      <c r="AK141" s="641">
        <f>'2021'!J141</f>
        <v>0</v>
      </c>
      <c r="AL141" s="641">
        <f>'2022'!J141</f>
        <v>0</v>
      </c>
      <c r="AM141" s="641">
        <f>'2023'!J141</f>
        <v>0</v>
      </c>
      <c r="AN141" s="641">
        <f>'2024'!J141</f>
        <v>0</v>
      </c>
      <c r="AO141" s="642">
        <f>'2025'!J141</f>
        <v>0</v>
      </c>
      <c r="AP141" s="449" t="str">
        <f t="shared" si="353"/>
        <v/>
      </c>
      <c r="AQ141" s="450">
        <f t="shared" si="343"/>
        <v>0</v>
      </c>
      <c r="AR141" s="450" t="str">
        <f t="shared" si="344"/>
        <v/>
      </c>
      <c r="AS141" s="450" t="str">
        <f t="shared" si="345"/>
        <v/>
      </c>
      <c r="AT141" s="450" t="str">
        <f t="shared" si="346"/>
        <v/>
      </c>
      <c r="AU141" s="451" t="str">
        <f t="shared" si="347"/>
        <v/>
      </c>
      <c r="AV141" s="676">
        <f>'2020'!L141</f>
        <v>0</v>
      </c>
      <c r="AW141" s="641">
        <f>'2021'!L141</f>
        <v>0</v>
      </c>
      <c r="AX141" s="641">
        <f>'2022'!L141</f>
        <v>0</v>
      </c>
      <c r="AY141" s="641">
        <f>'2023'!L141</f>
        <v>0</v>
      </c>
      <c r="AZ141" s="641">
        <f>'2024'!L141</f>
        <v>0</v>
      </c>
      <c r="BA141" s="642">
        <f>'2025'!L141</f>
        <v>0</v>
      </c>
      <c r="BB141" s="449" t="str">
        <f t="shared" si="354"/>
        <v/>
      </c>
      <c r="BC141" s="450" t="str">
        <f t="shared" si="348"/>
        <v/>
      </c>
      <c r="BD141" s="450" t="str">
        <f t="shared" si="349"/>
        <v/>
      </c>
      <c r="BE141" s="450" t="str">
        <f t="shared" si="350"/>
        <v/>
      </c>
      <c r="BF141" s="450" t="str">
        <f t="shared" si="351"/>
        <v/>
      </c>
      <c r="BG141" s="451" t="str">
        <f t="shared" si="352"/>
        <v/>
      </c>
      <c r="BH141" s="966">
        <f>'2020'!N141</f>
        <v>0</v>
      </c>
      <c r="BI141" s="967">
        <f>'2021'!N141</f>
        <v>0</v>
      </c>
      <c r="BJ141" s="967">
        <f>'2022'!N141</f>
        <v>0</v>
      </c>
      <c r="BK141" s="967">
        <f>'2023'!N141</f>
        <v>0</v>
      </c>
      <c r="BL141" s="967">
        <f>'2024'!N141</f>
        <v>0</v>
      </c>
      <c r="BM141" s="968">
        <f>'2025'!N141</f>
        <v>0</v>
      </c>
      <c r="BN141" s="452" t="s">
        <v>21</v>
      </c>
      <c r="BO141" s="453" t="s">
        <v>21</v>
      </c>
      <c r="BP141" s="452" t="s">
        <v>21</v>
      </c>
      <c r="BQ141" s="453" t="s">
        <v>21</v>
      </c>
      <c r="BR141" s="454"/>
      <c r="BS141" s="455"/>
      <c r="BT141" s="454"/>
      <c r="BU141" s="456"/>
      <c r="CC141" s="1" t="str">
        <f t="shared" si="355"/>
        <v/>
      </c>
      <c r="CD141" s="1" t="str">
        <f t="shared" si="356"/>
        <v>Suisse</v>
      </c>
      <c r="CE141" s="1" t="str">
        <f t="shared" si="357"/>
        <v/>
      </c>
      <c r="CF141" s="1" t="str">
        <f t="shared" si="358"/>
        <v/>
      </c>
      <c r="CG141" s="1" t="str">
        <f t="shared" si="359"/>
        <v/>
      </c>
      <c r="CH141" s="1" t="str">
        <f t="shared" si="360"/>
        <v/>
      </c>
    </row>
    <row r="142" spans="2:86" ht="15.75" customHeight="1">
      <c r="B142" s="981"/>
      <c r="C142" s="1037"/>
      <c r="D142" s="1027"/>
      <c r="E142" s="1030"/>
      <c r="F142" s="1030"/>
      <c r="G142" s="1030"/>
      <c r="H142" s="1030"/>
      <c r="I142" s="1024"/>
      <c r="J142" s="905" t="s">
        <v>176</v>
      </c>
      <c r="K142" s="426" t="str">
        <f t="shared" si="380"/>
        <v/>
      </c>
      <c r="L142" s="426" t="str">
        <f t="shared" si="381"/>
        <v/>
      </c>
      <c r="M142" s="426" t="str">
        <f t="shared" si="382"/>
        <v>X</v>
      </c>
      <c r="N142" s="426" t="str">
        <f t="shared" si="383"/>
        <v>X</v>
      </c>
      <c r="O142" s="426" t="str">
        <f t="shared" si="384"/>
        <v/>
      </c>
      <c r="P142" s="427" t="str">
        <f t="shared" si="385"/>
        <v/>
      </c>
      <c r="Q142" s="251" t="s">
        <v>61</v>
      </c>
      <c r="R142" s="640">
        <f>'2020'!G142</f>
        <v>0</v>
      </c>
      <c r="S142" s="641">
        <f>'2021'!G142</f>
        <v>0</v>
      </c>
      <c r="T142" s="641">
        <f>'2022'!G142</f>
        <v>299</v>
      </c>
      <c r="U142" s="641">
        <f>'2023'!G142</f>
        <v>386</v>
      </c>
      <c r="V142" s="641">
        <f>'2024'!G142</f>
        <v>0</v>
      </c>
      <c r="W142" s="642">
        <f>'2025'!G142</f>
        <v>0</v>
      </c>
      <c r="X142" s="676">
        <f>'2020'!H142</f>
        <v>0</v>
      </c>
      <c r="Y142" s="641">
        <f>'2021'!H142</f>
        <v>0</v>
      </c>
      <c r="Z142" s="641">
        <f>'2022'!H142</f>
        <v>299</v>
      </c>
      <c r="AA142" s="641">
        <f>'2023'!H142</f>
        <v>386</v>
      </c>
      <c r="AB142" s="641">
        <f>'2024'!H142</f>
        <v>0</v>
      </c>
      <c r="AC142" s="642">
        <f>'2025'!H142</f>
        <v>0</v>
      </c>
      <c r="AD142" s="449">
        <f t="shared" si="338"/>
        <v>0</v>
      </c>
      <c r="AE142" s="450">
        <f t="shared" si="339"/>
        <v>0</v>
      </c>
      <c r="AF142" s="450">
        <f t="shared" si="268"/>
        <v>0.51170568561872909</v>
      </c>
      <c r="AG142" s="450">
        <f t="shared" si="340"/>
        <v>0.4844559585492228</v>
      </c>
      <c r="AH142" s="450">
        <f t="shared" si="341"/>
        <v>0</v>
      </c>
      <c r="AI142" s="451">
        <f t="shared" si="342"/>
        <v>0</v>
      </c>
      <c r="AJ142" s="676">
        <f>'2020'!J142</f>
        <v>0</v>
      </c>
      <c r="AK142" s="641">
        <f>'2021'!J142</f>
        <v>0</v>
      </c>
      <c r="AL142" s="641">
        <f>'2022'!J142</f>
        <v>153</v>
      </c>
      <c r="AM142" s="641">
        <f>'2023'!J142</f>
        <v>187</v>
      </c>
      <c r="AN142" s="641">
        <f>'2024'!J142</f>
        <v>0</v>
      </c>
      <c r="AO142" s="642">
        <f>'2025'!J142</f>
        <v>0</v>
      </c>
      <c r="AP142" s="449" t="str">
        <f t="shared" si="353"/>
        <v/>
      </c>
      <c r="AQ142" s="450" t="str">
        <f t="shared" si="343"/>
        <v/>
      </c>
      <c r="AR142" s="450">
        <f t="shared" si="344"/>
        <v>0.37123745819397991</v>
      </c>
      <c r="AS142" s="450">
        <f t="shared" si="345"/>
        <v>0.40673575129533679</v>
      </c>
      <c r="AT142" s="450" t="str">
        <f t="shared" si="346"/>
        <v/>
      </c>
      <c r="AU142" s="451" t="str">
        <f t="shared" si="347"/>
        <v/>
      </c>
      <c r="AV142" s="676">
        <f>'2020'!L142</f>
        <v>0</v>
      </c>
      <c r="AW142" s="641">
        <f>'2021'!L142</f>
        <v>0</v>
      </c>
      <c r="AX142" s="641">
        <f>'2022'!L142</f>
        <v>111</v>
      </c>
      <c r="AY142" s="641">
        <f>'2023'!L142</f>
        <v>157</v>
      </c>
      <c r="AZ142" s="641">
        <f>'2024'!L142</f>
        <v>0</v>
      </c>
      <c r="BA142" s="642">
        <f>'2025'!L142</f>
        <v>0</v>
      </c>
      <c r="BB142" s="449" t="str">
        <f t="shared" si="354"/>
        <v/>
      </c>
      <c r="BC142" s="450" t="str">
        <f t="shared" si="348"/>
        <v/>
      </c>
      <c r="BD142" s="450">
        <f t="shared" si="349"/>
        <v>0.70270270270270274</v>
      </c>
      <c r="BE142" s="450">
        <f t="shared" si="350"/>
        <v>0.60509554140127386</v>
      </c>
      <c r="BF142" s="450" t="str">
        <f t="shared" si="351"/>
        <v/>
      </c>
      <c r="BG142" s="451" t="str">
        <f t="shared" si="352"/>
        <v/>
      </c>
      <c r="BH142" s="966">
        <f>'2020'!N142</f>
        <v>0</v>
      </c>
      <c r="BI142" s="967">
        <f>'2021'!N142</f>
        <v>0</v>
      </c>
      <c r="BJ142" s="967">
        <f>'2022'!N142</f>
        <v>78</v>
      </c>
      <c r="BK142" s="967">
        <f>'2023'!N142</f>
        <v>95</v>
      </c>
      <c r="BL142" s="967">
        <f>'2024'!N142</f>
        <v>0</v>
      </c>
      <c r="BM142" s="968">
        <f>'2025'!N142</f>
        <v>0</v>
      </c>
      <c r="BN142" s="452" t="s">
        <v>21</v>
      </c>
      <c r="BO142" s="453" t="s">
        <v>21</v>
      </c>
      <c r="BP142" s="452" t="s">
        <v>21</v>
      </c>
      <c r="BQ142" s="453" t="s">
        <v>21</v>
      </c>
      <c r="BR142" s="454"/>
      <c r="BS142" s="455"/>
      <c r="BT142" s="454"/>
      <c r="BU142" s="456"/>
      <c r="CC142" s="1" t="str">
        <f t="shared" si="355"/>
        <v/>
      </c>
      <c r="CD142" s="1" t="str">
        <f t="shared" si="356"/>
        <v/>
      </c>
      <c r="CE142" s="1" t="str">
        <f t="shared" si="357"/>
        <v>Suisse</v>
      </c>
      <c r="CF142" s="1" t="str">
        <f t="shared" si="358"/>
        <v>Suisse</v>
      </c>
      <c r="CG142" s="1" t="str">
        <f t="shared" si="359"/>
        <v/>
      </c>
      <c r="CH142" s="1" t="str">
        <f t="shared" si="360"/>
        <v/>
      </c>
    </row>
    <row r="143" spans="2:86" ht="15.75" customHeight="1">
      <c r="B143" s="981"/>
      <c r="C143" s="1037"/>
      <c r="D143" s="1027"/>
      <c r="E143" s="1030"/>
      <c r="F143" s="1030"/>
      <c r="G143" s="1030"/>
      <c r="H143" s="1030"/>
      <c r="I143" s="1024"/>
      <c r="J143" s="905" t="s">
        <v>177</v>
      </c>
      <c r="K143" s="426" t="str">
        <f t="shared" si="380"/>
        <v/>
      </c>
      <c r="L143" s="426" t="str">
        <f t="shared" si="381"/>
        <v/>
      </c>
      <c r="M143" s="426" t="str">
        <f t="shared" si="382"/>
        <v>X</v>
      </c>
      <c r="N143" s="426" t="str">
        <f t="shared" si="383"/>
        <v>X</v>
      </c>
      <c r="O143" s="426" t="str">
        <f t="shared" si="384"/>
        <v/>
      </c>
      <c r="P143" s="427" t="str">
        <f t="shared" si="385"/>
        <v/>
      </c>
      <c r="Q143" s="251" t="s">
        <v>61</v>
      </c>
      <c r="R143" s="640">
        <f>'2020'!G143</f>
        <v>0</v>
      </c>
      <c r="S143" s="641">
        <f>'2021'!G143</f>
        <v>0</v>
      </c>
      <c r="T143" s="641">
        <f>'2022'!G143</f>
        <v>385</v>
      </c>
      <c r="U143" s="641">
        <f>'2023'!G143</f>
        <v>393</v>
      </c>
      <c r="V143" s="641">
        <f>'2024'!G143</f>
        <v>0</v>
      </c>
      <c r="W143" s="642">
        <f>'2025'!G143</f>
        <v>0</v>
      </c>
      <c r="X143" s="676">
        <f>'2020'!H143</f>
        <v>0</v>
      </c>
      <c r="Y143" s="641">
        <f>'2021'!H143</f>
        <v>0</v>
      </c>
      <c r="Z143" s="641">
        <f>'2022'!H143</f>
        <v>385</v>
      </c>
      <c r="AA143" s="641">
        <f>'2023'!H143</f>
        <v>393</v>
      </c>
      <c r="AB143" s="641">
        <f>'2024'!H143</f>
        <v>0</v>
      </c>
      <c r="AC143" s="642">
        <f>'2025'!H143</f>
        <v>0</v>
      </c>
      <c r="AD143" s="449">
        <f t="shared" si="338"/>
        <v>0</v>
      </c>
      <c r="AE143" s="450">
        <f t="shared" si="339"/>
        <v>0</v>
      </c>
      <c r="AF143" s="450">
        <f t="shared" si="268"/>
        <v>0.55844155844155841</v>
      </c>
      <c r="AG143" s="450">
        <f t="shared" si="340"/>
        <v>0.54452926208651398</v>
      </c>
      <c r="AH143" s="450">
        <f t="shared" si="341"/>
        <v>0</v>
      </c>
      <c r="AI143" s="451">
        <f t="shared" si="342"/>
        <v>0</v>
      </c>
      <c r="AJ143" s="676">
        <f>'2020'!J143</f>
        <v>0</v>
      </c>
      <c r="AK143" s="641">
        <f>'2021'!J143</f>
        <v>0</v>
      </c>
      <c r="AL143" s="641">
        <f>'2022'!J143</f>
        <v>215</v>
      </c>
      <c r="AM143" s="641">
        <f>'2023'!J143</f>
        <v>214</v>
      </c>
      <c r="AN143" s="641">
        <f>'2024'!J143</f>
        <v>0</v>
      </c>
      <c r="AO143" s="642">
        <f>'2025'!J143</f>
        <v>0</v>
      </c>
      <c r="AP143" s="449" t="str">
        <f t="shared" si="353"/>
        <v/>
      </c>
      <c r="AQ143" s="450" t="str">
        <f t="shared" si="343"/>
        <v/>
      </c>
      <c r="AR143" s="450">
        <f t="shared" si="344"/>
        <v>0.41558441558441561</v>
      </c>
      <c r="AS143" s="450">
        <f t="shared" si="345"/>
        <v>0.37659033078880405</v>
      </c>
      <c r="AT143" s="450" t="str">
        <f t="shared" si="346"/>
        <v/>
      </c>
      <c r="AU143" s="451" t="str">
        <f t="shared" si="347"/>
        <v/>
      </c>
      <c r="AV143" s="676">
        <f>'2020'!L143</f>
        <v>0</v>
      </c>
      <c r="AW143" s="641">
        <f>'2021'!L143</f>
        <v>0</v>
      </c>
      <c r="AX143" s="641">
        <f>'2022'!L143</f>
        <v>160</v>
      </c>
      <c r="AY143" s="641">
        <f>'2023'!L143</f>
        <v>148</v>
      </c>
      <c r="AZ143" s="641">
        <f>'2024'!L143</f>
        <v>0</v>
      </c>
      <c r="BA143" s="642">
        <f>'2025'!L143</f>
        <v>0</v>
      </c>
      <c r="BB143" s="449" t="str">
        <f t="shared" si="354"/>
        <v/>
      </c>
      <c r="BC143" s="450" t="str">
        <f t="shared" si="348"/>
        <v/>
      </c>
      <c r="BD143" s="450">
        <f t="shared" si="349"/>
        <v>0.71250000000000002</v>
      </c>
      <c r="BE143" s="450">
        <f t="shared" si="350"/>
        <v>0.69594594594594594</v>
      </c>
      <c r="BF143" s="450" t="str">
        <f t="shared" si="351"/>
        <v/>
      </c>
      <c r="BG143" s="451" t="str">
        <f t="shared" si="352"/>
        <v/>
      </c>
      <c r="BH143" s="966">
        <f>'2020'!N143</f>
        <v>0</v>
      </c>
      <c r="BI143" s="967">
        <f>'2021'!N143</f>
        <v>0</v>
      </c>
      <c r="BJ143" s="967">
        <f>'2022'!N143</f>
        <v>114</v>
      </c>
      <c r="BK143" s="967">
        <f>'2023'!N143</f>
        <v>103</v>
      </c>
      <c r="BL143" s="967">
        <f>'2024'!N143</f>
        <v>0</v>
      </c>
      <c r="BM143" s="968">
        <f>'2025'!N143</f>
        <v>0</v>
      </c>
      <c r="BN143" s="452" t="s">
        <v>21</v>
      </c>
      <c r="BO143" s="453" t="s">
        <v>21</v>
      </c>
      <c r="BP143" s="452" t="s">
        <v>21</v>
      </c>
      <c r="BQ143" s="453" t="s">
        <v>21</v>
      </c>
      <c r="BR143" s="454"/>
      <c r="BS143" s="455"/>
      <c r="BT143" s="454"/>
      <c r="BU143" s="456"/>
      <c r="CC143" s="1" t="str">
        <f t="shared" si="355"/>
        <v/>
      </c>
      <c r="CD143" s="1" t="str">
        <f t="shared" si="356"/>
        <v/>
      </c>
      <c r="CE143" s="1" t="str">
        <f t="shared" si="357"/>
        <v>Suisse</v>
      </c>
      <c r="CF143" s="1" t="str">
        <f t="shared" si="358"/>
        <v>Suisse</v>
      </c>
      <c r="CG143" s="1" t="str">
        <f t="shared" si="359"/>
        <v/>
      </c>
      <c r="CH143" s="1" t="str">
        <f t="shared" si="360"/>
        <v/>
      </c>
    </row>
    <row r="144" spans="2:86" ht="15.75" customHeight="1">
      <c r="B144" s="981"/>
      <c r="C144" s="1037"/>
      <c r="D144" s="1027"/>
      <c r="E144" s="1030"/>
      <c r="F144" s="1030"/>
      <c r="G144" s="1030"/>
      <c r="H144" s="1030"/>
      <c r="I144" s="1024"/>
      <c r="J144" s="905" t="s">
        <v>178</v>
      </c>
      <c r="K144" s="426" t="str">
        <f t="shared" si="380"/>
        <v/>
      </c>
      <c r="L144" s="426" t="str">
        <f t="shared" si="381"/>
        <v/>
      </c>
      <c r="M144" s="426" t="str">
        <f t="shared" si="382"/>
        <v/>
      </c>
      <c r="N144" s="426" t="str">
        <f t="shared" si="383"/>
        <v/>
      </c>
      <c r="O144" s="426" t="str">
        <f t="shared" si="384"/>
        <v/>
      </c>
      <c r="P144" s="427" t="str">
        <f t="shared" si="385"/>
        <v/>
      </c>
      <c r="Q144" s="251" t="s">
        <v>61</v>
      </c>
      <c r="R144" s="640">
        <f>'2020'!G144</f>
        <v>0</v>
      </c>
      <c r="S144" s="641">
        <f>'2021'!G144</f>
        <v>0</v>
      </c>
      <c r="T144" s="641">
        <f>'2022'!G144</f>
        <v>0</v>
      </c>
      <c r="U144" s="641">
        <f>'2023'!G144</f>
        <v>0</v>
      </c>
      <c r="V144" s="641">
        <f>'2024'!G144</f>
        <v>0</v>
      </c>
      <c r="W144" s="642">
        <f>'2025'!G144</f>
        <v>0</v>
      </c>
      <c r="X144" s="676">
        <f>'2020'!H144</f>
        <v>0</v>
      </c>
      <c r="Y144" s="641">
        <f>'2021'!H144</f>
        <v>0</v>
      </c>
      <c r="Z144" s="641">
        <f>'2022'!H144</f>
        <v>0</v>
      </c>
      <c r="AA144" s="641">
        <f>'2023'!H144</f>
        <v>0</v>
      </c>
      <c r="AB144" s="641">
        <f>'2024'!H144</f>
        <v>0</v>
      </c>
      <c r="AC144" s="642">
        <f>'2025'!H144</f>
        <v>0</v>
      </c>
      <c r="AD144" s="449">
        <f t="shared" si="338"/>
        <v>0</v>
      </c>
      <c r="AE144" s="450">
        <f t="shared" si="339"/>
        <v>0</v>
      </c>
      <c r="AF144" s="450">
        <f t="shared" si="268"/>
        <v>0</v>
      </c>
      <c r="AG144" s="450">
        <f t="shared" si="340"/>
        <v>0</v>
      </c>
      <c r="AH144" s="450">
        <f t="shared" si="341"/>
        <v>0</v>
      </c>
      <c r="AI144" s="451">
        <f t="shared" si="342"/>
        <v>0</v>
      </c>
      <c r="AJ144" s="676">
        <f>'2020'!J144</f>
        <v>0</v>
      </c>
      <c r="AK144" s="641">
        <f>'2021'!J144</f>
        <v>0</v>
      </c>
      <c r="AL144" s="641">
        <f>'2022'!J144</f>
        <v>0</v>
      </c>
      <c r="AM144" s="641">
        <f>'2023'!J144</f>
        <v>0</v>
      </c>
      <c r="AN144" s="641">
        <f>'2024'!J144</f>
        <v>0</v>
      </c>
      <c r="AO144" s="642">
        <f>'2025'!J144</f>
        <v>0</v>
      </c>
      <c r="AP144" s="449" t="str">
        <f t="shared" si="353"/>
        <v/>
      </c>
      <c r="AQ144" s="450" t="str">
        <f t="shared" si="343"/>
        <v/>
      </c>
      <c r="AR144" s="450" t="str">
        <f t="shared" si="344"/>
        <v/>
      </c>
      <c r="AS144" s="450" t="str">
        <f t="shared" si="345"/>
        <v/>
      </c>
      <c r="AT144" s="450" t="str">
        <f t="shared" si="346"/>
        <v/>
      </c>
      <c r="AU144" s="451" t="str">
        <f t="shared" si="347"/>
        <v/>
      </c>
      <c r="AV144" s="676">
        <f>'2020'!L144</f>
        <v>0</v>
      </c>
      <c r="AW144" s="641">
        <f>'2021'!L144</f>
        <v>0</v>
      </c>
      <c r="AX144" s="641">
        <f>'2022'!L144</f>
        <v>0</v>
      </c>
      <c r="AY144" s="641">
        <f>'2023'!L144</f>
        <v>0</v>
      </c>
      <c r="AZ144" s="641">
        <f>'2024'!L144</f>
        <v>0</v>
      </c>
      <c r="BA144" s="642">
        <f>'2025'!L144</f>
        <v>0</v>
      </c>
      <c r="BB144" s="449" t="str">
        <f t="shared" si="354"/>
        <v/>
      </c>
      <c r="BC144" s="450" t="str">
        <f t="shared" si="348"/>
        <v/>
      </c>
      <c r="BD144" s="450" t="str">
        <f t="shared" si="349"/>
        <v/>
      </c>
      <c r="BE144" s="450" t="str">
        <f t="shared" si="350"/>
        <v/>
      </c>
      <c r="BF144" s="450" t="str">
        <f t="shared" si="351"/>
        <v/>
      </c>
      <c r="BG144" s="451" t="str">
        <f t="shared" si="352"/>
        <v/>
      </c>
      <c r="BH144" s="966">
        <f>'2020'!N144</f>
        <v>0</v>
      </c>
      <c r="BI144" s="967">
        <f>'2021'!N144</f>
        <v>0</v>
      </c>
      <c r="BJ144" s="967">
        <f>'2022'!N144</f>
        <v>0</v>
      </c>
      <c r="BK144" s="967">
        <f>'2023'!N144</f>
        <v>0</v>
      </c>
      <c r="BL144" s="967">
        <f>'2024'!N144</f>
        <v>0</v>
      </c>
      <c r="BM144" s="968">
        <f>'2025'!N144</f>
        <v>0</v>
      </c>
      <c r="BN144" s="452" t="s">
        <v>21</v>
      </c>
      <c r="BO144" s="453" t="s">
        <v>21</v>
      </c>
      <c r="BP144" s="452" t="s">
        <v>21</v>
      </c>
      <c r="BQ144" s="453" t="s">
        <v>21</v>
      </c>
      <c r="BR144" s="454"/>
      <c r="BS144" s="455"/>
      <c r="BT144" s="454"/>
      <c r="BU144" s="456"/>
      <c r="CC144" s="1" t="str">
        <f t="shared" si="355"/>
        <v/>
      </c>
      <c r="CD144" s="1" t="str">
        <f t="shared" si="356"/>
        <v/>
      </c>
      <c r="CE144" s="1" t="str">
        <f t="shared" si="357"/>
        <v/>
      </c>
      <c r="CF144" s="1" t="str">
        <f t="shared" si="358"/>
        <v/>
      </c>
      <c r="CG144" s="1" t="str">
        <f t="shared" si="359"/>
        <v/>
      </c>
      <c r="CH144" s="1" t="str">
        <f t="shared" si="360"/>
        <v/>
      </c>
    </row>
    <row r="145" spans="1:86" ht="15.75" customHeight="1">
      <c r="B145" s="981"/>
      <c r="C145" s="1037"/>
      <c r="D145" s="1027"/>
      <c r="E145" s="1030"/>
      <c r="F145" s="1030"/>
      <c r="G145" s="1030"/>
      <c r="H145" s="1030"/>
      <c r="I145" s="1024"/>
      <c r="J145" s="905" t="s">
        <v>179</v>
      </c>
      <c r="K145" s="426" t="str">
        <f t="shared" si="380"/>
        <v/>
      </c>
      <c r="L145" s="426" t="str">
        <f t="shared" si="381"/>
        <v/>
      </c>
      <c r="M145" s="426" t="str">
        <f t="shared" si="382"/>
        <v>X</v>
      </c>
      <c r="N145" s="426" t="str">
        <f t="shared" si="383"/>
        <v/>
      </c>
      <c r="O145" s="426" t="str">
        <f t="shared" si="384"/>
        <v/>
      </c>
      <c r="P145" s="427" t="str">
        <f t="shared" si="385"/>
        <v/>
      </c>
      <c r="Q145" s="251" t="s">
        <v>61</v>
      </c>
      <c r="R145" s="640">
        <f>'2020'!G145</f>
        <v>0</v>
      </c>
      <c r="S145" s="641">
        <f>'2021'!G145</f>
        <v>0</v>
      </c>
      <c r="T145" s="641">
        <f>'2022'!G145</f>
        <v>252</v>
      </c>
      <c r="U145" s="641">
        <f>'2023'!G145</f>
        <v>0</v>
      </c>
      <c r="V145" s="641">
        <f>'2024'!G145</f>
        <v>0</v>
      </c>
      <c r="W145" s="642">
        <f>'2025'!G145</f>
        <v>0</v>
      </c>
      <c r="X145" s="676">
        <f>'2020'!H145</f>
        <v>0</v>
      </c>
      <c r="Y145" s="641">
        <f>'2021'!H145</f>
        <v>0</v>
      </c>
      <c r="Z145" s="641">
        <f>'2022'!H145</f>
        <v>252</v>
      </c>
      <c r="AA145" s="641">
        <f>'2023'!H145</f>
        <v>0</v>
      </c>
      <c r="AB145" s="641">
        <f>'2024'!H145</f>
        <v>0</v>
      </c>
      <c r="AC145" s="642">
        <f>'2025'!H145</f>
        <v>0</v>
      </c>
      <c r="AD145" s="449">
        <f t="shared" si="338"/>
        <v>0</v>
      </c>
      <c r="AE145" s="450">
        <f t="shared" si="339"/>
        <v>0</v>
      </c>
      <c r="AF145" s="450">
        <f t="shared" si="268"/>
        <v>0.31746031746031744</v>
      </c>
      <c r="AG145" s="450">
        <f t="shared" si="340"/>
        <v>0</v>
      </c>
      <c r="AH145" s="450">
        <f t="shared" si="341"/>
        <v>0</v>
      </c>
      <c r="AI145" s="451">
        <f t="shared" si="342"/>
        <v>0</v>
      </c>
      <c r="AJ145" s="676">
        <f>'2020'!J145</f>
        <v>0</v>
      </c>
      <c r="AK145" s="641">
        <f>'2021'!J145</f>
        <v>0</v>
      </c>
      <c r="AL145" s="641">
        <f>'2022'!J145</f>
        <v>80</v>
      </c>
      <c r="AM145" s="641">
        <f>'2023'!J145</f>
        <v>0</v>
      </c>
      <c r="AN145" s="641">
        <f>'2024'!J145</f>
        <v>0</v>
      </c>
      <c r="AO145" s="642">
        <f>'2025'!J145</f>
        <v>0</v>
      </c>
      <c r="AP145" s="449" t="str">
        <f t="shared" si="353"/>
        <v/>
      </c>
      <c r="AQ145" s="450" t="str">
        <f t="shared" si="343"/>
        <v/>
      </c>
      <c r="AR145" s="450">
        <f t="shared" si="344"/>
        <v>0.40079365079365081</v>
      </c>
      <c r="AS145" s="450" t="str">
        <f t="shared" si="345"/>
        <v/>
      </c>
      <c r="AT145" s="450" t="str">
        <f t="shared" si="346"/>
        <v/>
      </c>
      <c r="AU145" s="451" t="str">
        <f t="shared" si="347"/>
        <v/>
      </c>
      <c r="AV145" s="676">
        <f>'2020'!L145</f>
        <v>0</v>
      </c>
      <c r="AW145" s="641">
        <f>'2021'!L145</f>
        <v>0</v>
      </c>
      <c r="AX145" s="641">
        <f>'2022'!L145</f>
        <v>101</v>
      </c>
      <c r="AY145" s="641">
        <f>'2023'!L145</f>
        <v>0</v>
      </c>
      <c r="AZ145" s="641">
        <f>'2024'!L145</f>
        <v>0</v>
      </c>
      <c r="BA145" s="642">
        <f>'2025'!L145</f>
        <v>0</v>
      </c>
      <c r="BB145" s="449" t="str">
        <f t="shared" si="354"/>
        <v/>
      </c>
      <c r="BC145" s="450" t="str">
        <f t="shared" si="348"/>
        <v/>
      </c>
      <c r="BD145" s="450">
        <f t="shared" si="349"/>
        <v>0.37623762376237624</v>
      </c>
      <c r="BE145" s="450" t="str">
        <f t="shared" si="350"/>
        <v/>
      </c>
      <c r="BF145" s="450" t="str">
        <f t="shared" si="351"/>
        <v/>
      </c>
      <c r="BG145" s="451" t="str">
        <f t="shared" si="352"/>
        <v/>
      </c>
      <c r="BH145" s="966">
        <f>'2020'!N145</f>
        <v>0</v>
      </c>
      <c r="BI145" s="967">
        <f>'2021'!N145</f>
        <v>0</v>
      </c>
      <c r="BJ145" s="967">
        <f>'2022'!N145</f>
        <v>38</v>
      </c>
      <c r="BK145" s="967">
        <f>'2023'!N145</f>
        <v>0</v>
      </c>
      <c r="BL145" s="967">
        <f>'2024'!N145</f>
        <v>0</v>
      </c>
      <c r="BM145" s="968">
        <f>'2025'!N145</f>
        <v>0</v>
      </c>
      <c r="BN145" s="452" t="s">
        <v>21</v>
      </c>
      <c r="BO145" s="453" t="s">
        <v>21</v>
      </c>
      <c r="BP145" s="452" t="s">
        <v>21</v>
      </c>
      <c r="BQ145" s="453" t="s">
        <v>21</v>
      </c>
      <c r="BR145" s="454"/>
      <c r="BS145" s="455"/>
      <c r="BT145" s="454"/>
      <c r="BU145" s="456"/>
      <c r="CC145" s="1" t="str">
        <f t="shared" si="355"/>
        <v/>
      </c>
      <c r="CD145" s="1" t="str">
        <f t="shared" si="356"/>
        <v/>
      </c>
      <c r="CE145" s="1" t="str">
        <f t="shared" si="357"/>
        <v>Suisse</v>
      </c>
      <c r="CF145" s="1" t="str">
        <f t="shared" si="358"/>
        <v/>
      </c>
      <c r="CG145" s="1" t="str">
        <f t="shared" si="359"/>
        <v/>
      </c>
      <c r="CH145" s="1" t="str">
        <f t="shared" si="360"/>
        <v/>
      </c>
    </row>
    <row r="146" spans="1:86" ht="15.75" customHeight="1">
      <c r="B146" s="981"/>
      <c r="C146" s="1037"/>
      <c r="D146" s="1027"/>
      <c r="E146" s="1030"/>
      <c r="F146" s="1030"/>
      <c r="G146" s="1030"/>
      <c r="H146" s="1030"/>
      <c r="I146" s="1024"/>
      <c r="J146" s="905" t="s">
        <v>180</v>
      </c>
      <c r="K146" s="426" t="str">
        <f t="shared" si="380"/>
        <v/>
      </c>
      <c r="L146" s="426" t="str">
        <f t="shared" si="381"/>
        <v/>
      </c>
      <c r="M146" s="426" t="str">
        <f t="shared" si="382"/>
        <v>X</v>
      </c>
      <c r="N146" s="426" t="str">
        <f t="shared" si="383"/>
        <v/>
      </c>
      <c r="O146" s="426" t="str">
        <f t="shared" si="384"/>
        <v/>
      </c>
      <c r="P146" s="427" t="str">
        <f t="shared" si="385"/>
        <v/>
      </c>
      <c r="Q146" s="251" t="s">
        <v>61</v>
      </c>
      <c r="R146" s="640">
        <f>'2020'!G146</f>
        <v>0</v>
      </c>
      <c r="S146" s="641">
        <f>'2021'!G146</f>
        <v>0</v>
      </c>
      <c r="T146" s="641">
        <f>'2022'!G146</f>
        <v>17</v>
      </c>
      <c r="U146" s="641">
        <f>'2023'!G146</f>
        <v>0</v>
      </c>
      <c r="V146" s="641">
        <f>'2024'!G146</f>
        <v>0</v>
      </c>
      <c r="W146" s="642">
        <f>'2025'!G146</f>
        <v>0</v>
      </c>
      <c r="X146" s="676">
        <f>'2020'!H146</f>
        <v>0</v>
      </c>
      <c r="Y146" s="641">
        <f>'2021'!H146</f>
        <v>0</v>
      </c>
      <c r="Z146" s="641">
        <f>'2022'!H146</f>
        <v>17</v>
      </c>
      <c r="AA146" s="641">
        <f>'2023'!H146</f>
        <v>0</v>
      </c>
      <c r="AB146" s="641">
        <f>'2024'!H146</f>
        <v>0</v>
      </c>
      <c r="AC146" s="642">
        <f>'2025'!H146</f>
        <v>0</v>
      </c>
      <c r="AD146" s="449">
        <f t="shared" si="338"/>
        <v>0</v>
      </c>
      <c r="AE146" s="450">
        <f t="shared" si="339"/>
        <v>0</v>
      </c>
      <c r="AF146" s="450">
        <f t="shared" si="268"/>
        <v>0.47058823529411764</v>
      </c>
      <c r="AG146" s="450">
        <f t="shared" si="340"/>
        <v>0</v>
      </c>
      <c r="AH146" s="450">
        <f t="shared" si="341"/>
        <v>0</v>
      </c>
      <c r="AI146" s="451">
        <f t="shared" si="342"/>
        <v>0</v>
      </c>
      <c r="AJ146" s="676">
        <f>'2020'!J146</f>
        <v>0</v>
      </c>
      <c r="AK146" s="641">
        <f>'2021'!J146</f>
        <v>0</v>
      </c>
      <c r="AL146" s="641">
        <f>'2022'!J146</f>
        <v>8</v>
      </c>
      <c r="AM146" s="641">
        <f>'2023'!J146</f>
        <v>0</v>
      </c>
      <c r="AN146" s="641">
        <f>'2024'!J146</f>
        <v>0</v>
      </c>
      <c r="AO146" s="642">
        <f>'2025'!J146</f>
        <v>0</v>
      </c>
      <c r="AP146" s="449" t="str">
        <f t="shared" si="353"/>
        <v/>
      </c>
      <c r="AQ146" s="450" t="str">
        <f t="shared" si="343"/>
        <v/>
      </c>
      <c r="AR146" s="450">
        <f t="shared" si="344"/>
        <v>0.35294117647058826</v>
      </c>
      <c r="AS146" s="450" t="str">
        <f t="shared" si="345"/>
        <v/>
      </c>
      <c r="AT146" s="450" t="str">
        <f t="shared" si="346"/>
        <v/>
      </c>
      <c r="AU146" s="451" t="str">
        <f t="shared" si="347"/>
        <v/>
      </c>
      <c r="AV146" s="676">
        <f>'2020'!L146</f>
        <v>0</v>
      </c>
      <c r="AW146" s="641">
        <f>'2021'!L146</f>
        <v>0</v>
      </c>
      <c r="AX146" s="641">
        <f>'2022'!L146</f>
        <v>6</v>
      </c>
      <c r="AY146" s="641">
        <f>'2023'!L146</f>
        <v>0</v>
      </c>
      <c r="AZ146" s="641">
        <f>'2024'!L146</f>
        <v>0</v>
      </c>
      <c r="BA146" s="642">
        <f>'2025'!L146</f>
        <v>0</v>
      </c>
      <c r="BB146" s="449" t="str">
        <f t="shared" si="354"/>
        <v/>
      </c>
      <c r="BC146" s="450" t="str">
        <f t="shared" si="348"/>
        <v/>
      </c>
      <c r="BD146" s="450">
        <f t="shared" si="349"/>
        <v>0.83333333333333337</v>
      </c>
      <c r="BE146" s="450" t="str">
        <f t="shared" si="350"/>
        <v/>
      </c>
      <c r="BF146" s="450" t="str">
        <f t="shared" si="351"/>
        <v/>
      </c>
      <c r="BG146" s="451" t="str">
        <f t="shared" si="352"/>
        <v/>
      </c>
      <c r="BH146" s="966">
        <f>'2020'!N146</f>
        <v>0</v>
      </c>
      <c r="BI146" s="967">
        <f>'2021'!N146</f>
        <v>0</v>
      </c>
      <c r="BJ146" s="967">
        <f>'2022'!N146</f>
        <v>5</v>
      </c>
      <c r="BK146" s="967">
        <f>'2023'!N146</f>
        <v>0</v>
      </c>
      <c r="BL146" s="967">
        <f>'2024'!N146</f>
        <v>0</v>
      </c>
      <c r="BM146" s="968">
        <f>'2025'!N146</f>
        <v>0</v>
      </c>
      <c r="BN146" s="452" t="s">
        <v>21</v>
      </c>
      <c r="BO146" s="453" t="s">
        <v>21</v>
      </c>
      <c r="BP146" s="452" t="s">
        <v>21</v>
      </c>
      <c r="BQ146" s="453" t="s">
        <v>21</v>
      </c>
      <c r="BR146" s="454"/>
      <c r="BS146" s="455"/>
      <c r="BT146" s="454"/>
      <c r="BU146" s="456"/>
      <c r="CC146" s="1" t="str">
        <f t="shared" si="355"/>
        <v/>
      </c>
      <c r="CD146" s="1" t="str">
        <f t="shared" si="356"/>
        <v/>
      </c>
      <c r="CE146" s="1" t="str">
        <f t="shared" si="357"/>
        <v>Suisse</v>
      </c>
      <c r="CF146" s="1" t="str">
        <f t="shared" si="358"/>
        <v/>
      </c>
      <c r="CG146" s="1" t="str">
        <f t="shared" si="359"/>
        <v/>
      </c>
      <c r="CH146" s="1" t="str">
        <f t="shared" si="360"/>
        <v/>
      </c>
    </row>
    <row r="147" spans="1:86" ht="15.75" customHeight="1">
      <c r="B147" s="981"/>
      <c r="C147" s="1037"/>
      <c r="D147" s="1027"/>
      <c r="E147" s="1030"/>
      <c r="F147" s="1030"/>
      <c r="G147" s="1030"/>
      <c r="H147" s="1030"/>
      <c r="I147" s="1024"/>
      <c r="J147" s="905" t="s">
        <v>181</v>
      </c>
      <c r="K147" s="426" t="str">
        <f t="shared" si="380"/>
        <v/>
      </c>
      <c r="L147" s="426" t="str">
        <f t="shared" si="381"/>
        <v/>
      </c>
      <c r="M147" s="426" t="str">
        <f t="shared" si="382"/>
        <v>X</v>
      </c>
      <c r="N147" s="426" t="str">
        <f t="shared" si="383"/>
        <v/>
      </c>
      <c r="O147" s="426" t="str">
        <f t="shared" si="384"/>
        <v/>
      </c>
      <c r="P147" s="427" t="str">
        <f t="shared" si="385"/>
        <v/>
      </c>
      <c r="Q147" s="251" t="s">
        <v>61</v>
      </c>
      <c r="R147" s="640">
        <f>'2020'!G147</f>
        <v>0</v>
      </c>
      <c r="S147" s="641">
        <f>'2021'!G147</f>
        <v>0</v>
      </c>
      <c r="T147" s="641">
        <f>'2022'!G147</f>
        <v>24</v>
      </c>
      <c r="U147" s="641">
        <f>'2023'!G147</f>
        <v>0</v>
      </c>
      <c r="V147" s="641">
        <f>'2024'!G147</f>
        <v>0</v>
      </c>
      <c r="W147" s="642">
        <f>'2025'!G147</f>
        <v>0</v>
      </c>
      <c r="X147" s="676">
        <f>'2020'!H147</f>
        <v>0</v>
      </c>
      <c r="Y147" s="641">
        <f>'2021'!H147</f>
        <v>0</v>
      </c>
      <c r="Z147" s="641">
        <f>'2022'!H147</f>
        <v>24</v>
      </c>
      <c r="AA147" s="641">
        <f>'2023'!H147</f>
        <v>0</v>
      </c>
      <c r="AB147" s="641">
        <f>'2024'!H147</f>
        <v>0</v>
      </c>
      <c r="AC147" s="642">
        <f>'2025'!H147</f>
        <v>0</v>
      </c>
      <c r="AD147" s="449">
        <f t="shared" si="338"/>
        <v>0</v>
      </c>
      <c r="AE147" s="450">
        <f t="shared" si="339"/>
        <v>0</v>
      </c>
      <c r="AF147" s="450">
        <f t="shared" si="268"/>
        <v>0.41666666666666669</v>
      </c>
      <c r="AG147" s="450">
        <f t="shared" si="340"/>
        <v>0</v>
      </c>
      <c r="AH147" s="450">
        <f t="shared" si="341"/>
        <v>0</v>
      </c>
      <c r="AI147" s="451">
        <f t="shared" si="342"/>
        <v>0</v>
      </c>
      <c r="AJ147" s="676">
        <f>'2020'!J147</f>
        <v>0</v>
      </c>
      <c r="AK147" s="641">
        <f>'2021'!J147</f>
        <v>0</v>
      </c>
      <c r="AL147" s="641">
        <f>'2022'!J147</f>
        <v>10</v>
      </c>
      <c r="AM147" s="641">
        <f>'2023'!J147</f>
        <v>0</v>
      </c>
      <c r="AN147" s="641">
        <f>'2024'!J147</f>
        <v>0</v>
      </c>
      <c r="AO147" s="642">
        <f>'2025'!J147</f>
        <v>0</v>
      </c>
      <c r="AP147" s="449" t="str">
        <f t="shared" si="353"/>
        <v/>
      </c>
      <c r="AQ147" s="450" t="str">
        <f t="shared" si="343"/>
        <v/>
      </c>
      <c r="AR147" s="450">
        <f t="shared" si="344"/>
        <v>0.33333333333333331</v>
      </c>
      <c r="AS147" s="450" t="str">
        <f t="shared" si="345"/>
        <v/>
      </c>
      <c r="AT147" s="450" t="str">
        <f t="shared" si="346"/>
        <v/>
      </c>
      <c r="AU147" s="451" t="str">
        <f t="shared" si="347"/>
        <v/>
      </c>
      <c r="AV147" s="676">
        <f>'2020'!L147</f>
        <v>0</v>
      </c>
      <c r="AW147" s="641">
        <f>'2021'!L147</f>
        <v>0</v>
      </c>
      <c r="AX147" s="641">
        <f>'2022'!L147</f>
        <v>8</v>
      </c>
      <c r="AY147" s="641">
        <f>'2023'!L147</f>
        <v>0</v>
      </c>
      <c r="AZ147" s="641">
        <f>'2024'!L147</f>
        <v>0</v>
      </c>
      <c r="BA147" s="642">
        <f>'2025'!L147</f>
        <v>0</v>
      </c>
      <c r="BB147" s="449" t="str">
        <f t="shared" si="354"/>
        <v/>
      </c>
      <c r="BC147" s="450" t="str">
        <f t="shared" si="348"/>
        <v/>
      </c>
      <c r="BD147" s="450">
        <f t="shared" si="349"/>
        <v>0.75</v>
      </c>
      <c r="BE147" s="450" t="str">
        <f t="shared" si="350"/>
        <v/>
      </c>
      <c r="BF147" s="450" t="str">
        <f t="shared" si="351"/>
        <v/>
      </c>
      <c r="BG147" s="451" t="str">
        <f t="shared" si="352"/>
        <v/>
      </c>
      <c r="BH147" s="966">
        <f>'2020'!N147</f>
        <v>0</v>
      </c>
      <c r="BI147" s="967">
        <f>'2021'!N147</f>
        <v>0</v>
      </c>
      <c r="BJ147" s="967">
        <f>'2022'!N147</f>
        <v>6</v>
      </c>
      <c r="BK147" s="967">
        <f>'2023'!N147</f>
        <v>0</v>
      </c>
      <c r="BL147" s="967">
        <f>'2024'!N147</f>
        <v>0</v>
      </c>
      <c r="BM147" s="968">
        <f>'2025'!N147</f>
        <v>0</v>
      </c>
      <c r="BN147" s="452" t="s">
        <v>21</v>
      </c>
      <c r="BO147" s="453" t="s">
        <v>21</v>
      </c>
      <c r="BP147" s="452" t="s">
        <v>21</v>
      </c>
      <c r="BQ147" s="453" t="s">
        <v>21</v>
      </c>
      <c r="BR147" s="454"/>
      <c r="BS147" s="455"/>
      <c r="BT147" s="454"/>
      <c r="BU147" s="456"/>
      <c r="CC147" s="1" t="str">
        <f t="shared" si="355"/>
        <v/>
      </c>
      <c r="CD147" s="1" t="str">
        <f t="shared" si="356"/>
        <v/>
      </c>
      <c r="CE147" s="1" t="str">
        <f t="shared" si="357"/>
        <v>Suisse</v>
      </c>
      <c r="CF147" s="1" t="str">
        <f t="shared" si="358"/>
        <v/>
      </c>
      <c r="CG147" s="1" t="str">
        <f t="shared" si="359"/>
        <v/>
      </c>
      <c r="CH147" s="1" t="str">
        <f t="shared" si="360"/>
        <v/>
      </c>
    </row>
    <row r="148" spans="1:86" ht="15.75" customHeight="1">
      <c r="B148" s="981"/>
      <c r="C148" s="1037"/>
      <c r="D148" s="1027"/>
      <c r="E148" s="1030"/>
      <c r="F148" s="1030"/>
      <c r="G148" s="1030"/>
      <c r="H148" s="1030"/>
      <c r="I148" s="1024"/>
      <c r="J148" s="905" t="s">
        <v>80</v>
      </c>
      <c r="K148" s="426" t="str">
        <f t="shared" si="380"/>
        <v>X</v>
      </c>
      <c r="L148" s="426" t="str">
        <f t="shared" si="381"/>
        <v>X</v>
      </c>
      <c r="M148" s="426" t="str">
        <f t="shared" si="382"/>
        <v>X</v>
      </c>
      <c r="N148" s="426" t="str">
        <f t="shared" si="383"/>
        <v>X</v>
      </c>
      <c r="O148" s="426" t="str">
        <f t="shared" si="384"/>
        <v/>
      </c>
      <c r="P148" s="427" t="str">
        <f t="shared" si="385"/>
        <v/>
      </c>
      <c r="Q148" s="251" t="s">
        <v>61</v>
      </c>
      <c r="R148" s="640">
        <f>'2020'!G148</f>
        <v>651</v>
      </c>
      <c r="S148" s="641">
        <f>'2021'!G148</f>
        <v>773</v>
      </c>
      <c r="T148" s="641">
        <f>'2022'!G148</f>
        <v>853</v>
      </c>
      <c r="U148" s="641">
        <f>'2023'!G148</f>
        <v>663</v>
      </c>
      <c r="V148" s="641">
        <f>'2024'!G148</f>
        <v>0</v>
      </c>
      <c r="W148" s="642">
        <f>'2025'!G148</f>
        <v>0</v>
      </c>
      <c r="X148" s="676">
        <f>'2020'!H148</f>
        <v>651</v>
      </c>
      <c r="Y148" s="641">
        <f>'2021'!H148</f>
        <v>773</v>
      </c>
      <c r="Z148" s="641">
        <f>'2022'!H148</f>
        <v>853</v>
      </c>
      <c r="AA148" s="641">
        <f>'2023'!H148</f>
        <v>663</v>
      </c>
      <c r="AB148" s="641">
        <f>'2024'!H148</f>
        <v>0</v>
      </c>
      <c r="AC148" s="642">
        <f>'2025'!H148</f>
        <v>0</v>
      </c>
      <c r="AD148" s="449">
        <f t="shared" si="338"/>
        <v>0</v>
      </c>
      <c r="AE148" s="450">
        <f t="shared" si="339"/>
        <v>0.39327296248382926</v>
      </c>
      <c r="AF148" s="450">
        <f t="shared" si="268"/>
        <v>0.43259085580304807</v>
      </c>
      <c r="AG148" s="450">
        <f t="shared" si="340"/>
        <v>0.45701357466063347</v>
      </c>
      <c r="AH148" s="450">
        <f t="shared" si="341"/>
        <v>0</v>
      </c>
      <c r="AI148" s="451">
        <f t="shared" si="342"/>
        <v>0</v>
      </c>
      <c r="AJ148" s="676">
        <f>'2020'!J148</f>
        <v>0</v>
      </c>
      <c r="AK148" s="641">
        <f>'2021'!J148</f>
        <v>304</v>
      </c>
      <c r="AL148" s="641">
        <f>'2022'!J148</f>
        <v>369</v>
      </c>
      <c r="AM148" s="641">
        <f>'2023'!J148</f>
        <v>303</v>
      </c>
      <c r="AN148" s="641">
        <f>'2024'!J148</f>
        <v>0</v>
      </c>
      <c r="AO148" s="642">
        <f>'2025'!J148</f>
        <v>0</v>
      </c>
      <c r="AP148" s="449">
        <f t="shared" si="353"/>
        <v>0.38402457757296465</v>
      </c>
      <c r="AQ148" s="450">
        <f t="shared" si="343"/>
        <v>0.43078913324708928</v>
      </c>
      <c r="AR148" s="450">
        <f t="shared" si="344"/>
        <v>0.38452520515826494</v>
      </c>
      <c r="AS148" s="450">
        <f t="shared" si="345"/>
        <v>0.40271493212669685</v>
      </c>
      <c r="AT148" s="450" t="str">
        <f t="shared" si="346"/>
        <v/>
      </c>
      <c r="AU148" s="451" t="str">
        <f t="shared" si="347"/>
        <v/>
      </c>
      <c r="AV148" s="676">
        <f>'2020'!L148</f>
        <v>250</v>
      </c>
      <c r="AW148" s="641">
        <f>'2021'!L148</f>
        <v>333</v>
      </c>
      <c r="AX148" s="641">
        <f>'2022'!L148</f>
        <v>328</v>
      </c>
      <c r="AY148" s="641">
        <f>'2023'!L148</f>
        <v>267</v>
      </c>
      <c r="AZ148" s="641">
        <f>'2024'!L148</f>
        <v>0</v>
      </c>
      <c r="BA148" s="642">
        <f>'2025'!L148</f>
        <v>0</v>
      </c>
      <c r="BB148" s="449">
        <f t="shared" si="354"/>
        <v>0</v>
      </c>
      <c r="BC148" s="450">
        <f t="shared" si="348"/>
        <v>0.57657657657657657</v>
      </c>
      <c r="BD148" s="450">
        <f t="shared" si="349"/>
        <v>0.61280487804878048</v>
      </c>
      <c r="BE148" s="450">
        <f t="shared" si="350"/>
        <v>0.54307116104868913</v>
      </c>
      <c r="BF148" s="450" t="str">
        <f t="shared" si="351"/>
        <v/>
      </c>
      <c r="BG148" s="451" t="str">
        <f t="shared" si="352"/>
        <v/>
      </c>
      <c r="BH148" s="966">
        <f>'2020'!N148</f>
        <v>0</v>
      </c>
      <c r="BI148" s="967">
        <f>'2021'!N148</f>
        <v>192</v>
      </c>
      <c r="BJ148" s="967">
        <f>'2022'!N148</f>
        <v>201</v>
      </c>
      <c r="BK148" s="967">
        <f>'2023'!N148</f>
        <v>145</v>
      </c>
      <c r="BL148" s="967">
        <f>'2024'!N148</f>
        <v>0</v>
      </c>
      <c r="BM148" s="968">
        <f>'2025'!N148</f>
        <v>0</v>
      </c>
      <c r="BN148" s="452" t="s">
        <v>21</v>
      </c>
      <c r="BO148" s="453" t="s">
        <v>21</v>
      </c>
      <c r="BP148" s="452" t="s">
        <v>21</v>
      </c>
      <c r="BQ148" s="453" t="s">
        <v>21</v>
      </c>
      <c r="BR148" s="454"/>
      <c r="BS148" s="455"/>
      <c r="BT148" s="454"/>
      <c r="BU148" s="456"/>
      <c r="CC148" s="1" t="str">
        <f t="shared" si="355"/>
        <v>Suisse</v>
      </c>
      <c r="CD148" s="1" t="str">
        <f t="shared" si="356"/>
        <v>Suisse</v>
      </c>
      <c r="CE148" s="1" t="str">
        <f t="shared" si="357"/>
        <v>Suisse</v>
      </c>
      <c r="CF148" s="1" t="str">
        <f t="shared" si="358"/>
        <v>Suisse</v>
      </c>
      <c r="CG148" s="1" t="str">
        <f t="shared" si="359"/>
        <v/>
      </c>
      <c r="CH148" s="1" t="str">
        <f t="shared" si="360"/>
        <v/>
      </c>
    </row>
    <row r="149" spans="1:86" ht="15.75" customHeight="1">
      <c r="B149" s="981"/>
      <c r="C149" s="1037"/>
      <c r="D149" s="1027"/>
      <c r="E149" s="1030"/>
      <c r="F149" s="1030"/>
      <c r="G149" s="1030"/>
      <c r="H149" s="1030"/>
      <c r="I149" s="1024"/>
      <c r="J149" s="905" t="s">
        <v>51</v>
      </c>
      <c r="K149" s="426" t="str">
        <f t="shared" si="380"/>
        <v>X</v>
      </c>
      <c r="L149" s="426" t="str">
        <f t="shared" si="381"/>
        <v>X</v>
      </c>
      <c r="M149" s="426" t="str">
        <f t="shared" si="382"/>
        <v>X</v>
      </c>
      <c r="N149" s="426" t="str">
        <f t="shared" si="383"/>
        <v>X</v>
      </c>
      <c r="O149" s="426" t="str">
        <f t="shared" si="384"/>
        <v/>
      </c>
      <c r="P149" s="427" t="str">
        <f t="shared" si="385"/>
        <v/>
      </c>
      <c r="Q149" s="251" t="s">
        <v>61</v>
      </c>
      <c r="R149" s="640">
        <f>'2020'!G149</f>
        <v>615</v>
      </c>
      <c r="S149" s="641">
        <f>'2021'!G149</f>
        <v>629</v>
      </c>
      <c r="T149" s="641">
        <f>'2022'!G149</f>
        <v>822</v>
      </c>
      <c r="U149" s="641">
        <f>'2023'!G149</f>
        <v>788</v>
      </c>
      <c r="V149" s="641">
        <f>'2024'!G149</f>
        <v>0</v>
      </c>
      <c r="W149" s="642">
        <f>'2025'!G149</f>
        <v>0</v>
      </c>
      <c r="X149" s="676">
        <f>'2020'!H149</f>
        <v>615</v>
      </c>
      <c r="Y149" s="641">
        <f>'2021'!H149</f>
        <v>629</v>
      </c>
      <c r="Z149" s="641">
        <f>'2022'!H149</f>
        <v>822</v>
      </c>
      <c r="AA149" s="641">
        <f>'2023'!H149</f>
        <v>788</v>
      </c>
      <c r="AB149" s="641">
        <f>'2024'!H149</f>
        <v>0</v>
      </c>
      <c r="AC149" s="642">
        <f>'2025'!H149</f>
        <v>0</v>
      </c>
      <c r="AD149" s="449">
        <f t="shared" si="338"/>
        <v>0</v>
      </c>
      <c r="AE149" s="450">
        <f t="shared" si="339"/>
        <v>0.47058823529411764</v>
      </c>
      <c r="AF149" s="450">
        <f t="shared" si="268"/>
        <v>0.38442822384428221</v>
      </c>
      <c r="AG149" s="450">
        <f t="shared" si="340"/>
        <v>0.48096446700507617</v>
      </c>
      <c r="AH149" s="450">
        <f t="shared" si="341"/>
        <v>0</v>
      </c>
      <c r="AI149" s="451">
        <f t="shared" si="342"/>
        <v>0</v>
      </c>
      <c r="AJ149" s="676">
        <f>'2020'!J149</f>
        <v>0</v>
      </c>
      <c r="AK149" s="641">
        <f>'2021'!J149</f>
        <v>296</v>
      </c>
      <c r="AL149" s="641">
        <f>'2022'!J149</f>
        <v>316</v>
      </c>
      <c r="AM149" s="641">
        <f>'2023'!J149</f>
        <v>379</v>
      </c>
      <c r="AN149" s="641">
        <f>'2024'!J149</f>
        <v>0</v>
      </c>
      <c r="AO149" s="642">
        <f>'2025'!J149</f>
        <v>0</v>
      </c>
      <c r="AP149" s="449">
        <f t="shared" si="353"/>
        <v>0.39186991869918697</v>
      </c>
      <c r="AQ149" s="450">
        <f t="shared" si="343"/>
        <v>0.49443561208267089</v>
      </c>
      <c r="AR149" s="450">
        <f t="shared" si="344"/>
        <v>0.4002433090024331</v>
      </c>
      <c r="AS149" s="450">
        <f t="shared" si="345"/>
        <v>0.40101522842639592</v>
      </c>
      <c r="AT149" s="450" t="str">
        <f t="shared" si="346"/>
        <v/>
      </c>
      <c r="AU149" s="451" t="str">
        <f t="shared" si="347"/>
        <v/>
      </c>
      <c r="AV149" s="676">
        <f>'2020'!L149</f>
        <v>241</v>
      </c>
      <c r="AW149" s="641">
        <f>'2021'!L149</f>
        <v>311</v>
      </c>
      <c r="AX149" s="641">
        <f>'2022'!L149</f>
        <v>329</v>
      </c>
      <c r="AY149" s="641">
        <f>'2023'!L149</f>
        <v>316</v>
      </c>
      <c r="AZ149" s="641">
        <f>'2024'!L149</f>
        <v>0</v>
      </c>
      <c r="BA149" s="642">
        <f>'2025'!L149</f>
        <v>0</v>
      </c>
      <c r="BB149" s="449">
        <f t="shared" si="354"/>
        <v>0</v>
      </c>
      <c r="BC149" s="450">
        <f t="shared" si="348"/>
        <v>0.58520900321543412</v>
      </c>
      <c r="BD149" s="450">
        <f t="shared" si="349"/>
        <v>0.49240121580547114</v>
      </c>
      <c r="BE149" s="450">
        <f t="shared" si="350"/>
        <v>0.53481012658227844</v>
      </c>
      <c r="BF149" s="450" t="str">
        <f t="shared" si="351"/>
        <v/>
      </c>
      <c r="BG149" s="451" t="str">
        <f t="shared" si="352"/>
        <v/>
      </c>
      <c r="BH149" s="966">
        <f>'2020'!N149</f>
        <v>0</v>
      </c>
      <c r="BI149" s="967">
        <f>'2021'!N149</f>
        <v>182</v>
      </c>
      <c r="BJ149" s="967">
        <f>'2022'!N149</f>
        <v>162</v>
      </c>
      <c r="BK149" s="967">
        <f>'2023'!N149</f>
        <v>169</v>
      </c>
      <c r="BL149" s="967">
        <f>'2024'!N149</f>
        <v>0</v>
      </c>
      <c r="BM149" s="968">
        <f>'2025'!N149</f>
        <v>0</v>
      </c>
      <c r="BN149" s="452" t="s">
        <v>21</v>
      </c>
      <c r="BO149" s="453" t="s">
        <v>21</v>
      </c>
      <c r="BP149" s="452" t="s">
        <v>21</v>
      </c>
      <c r="BQ149" s="453" t="s">
        <v>21</v>
      </c>
      <c r="BR149" s="454"/>
      <c r="BS149" s="455"/>
      <c r="BT149" s="454"/>
      <c r="BU149" s="456"/>
      <c r="CC149" s="1" t="str">
        <f t="shared" si="355"/>
        <v>Suisse</v>
      </c>
      <c r="CD149" s="1" t="str">
        <f t="shared" si="356"/>
        <v>Suisse</v>
      </c>
      <c r="CE149" s="1" t="str">
        <f t="shared" si="357"/>
        <v>Suisse</v>
      </c>
      <c r="CF149" s="1" t="str">
        <f t="shared" si="358"/>
        <v>Suisse</v>
      </c>
      <c r="CG149" s="1" t="str">
        <f t="shared" si="359"/>
        <v/>
      </c>
      <c r="CH149" s="1" t="str">
        <f t="shared" si="360"/>
        <v/>
      </c>
    </row>
    <row r="150" spans="1:86" ht="15.75" customHeight="1">
      <c r="B150" s="981"/>
      <c r="C150" s="1037"/>
      <c r="D150" s="1027"/>
      <c r="E150" s="1030"/>
      <c r="F150" s="1030"/>
      <c r="G150" s="1030"/>
      <c r="H150" s="1030"/>
      <c r="I150" s="1024"/>
      <c r="J150" s="905" t="s">
        <v>31</v>
      </c>
      <c r="K150" s="633" t="str">
        <f t="shared" ref="K150:P150" si="386">IF(R150=0,"","X")</f>
        <v>X</v>
      </c>
      <c r="L150" s="633" t="str">
        <f t="shared" si="386"/>
        <v>X</v>
      </c>
      <c r="M150" s="633" t="str">
        <f t="shared" si="386"/>
        <v/>
      </c>
      <c r="N150" s="633" t="str">
        <f t="shared" si="386"/>
        <v/>
      </c>
      <c r="O150" s="633" t="str">
        <f t="shared" si="386"/>
        <v/>
      </c>
      <c r="P150" s="634" t="str">
        <f t="shared" si="386"/>
        <v/>
      </c>
      <c r="Q150" s="435" t="s">
        <v>62</v>
      </c>
      <c r="R150" s="640">
        <f>'2020'!G150</f>
        <v>36</v>
      </c>
      <c r="S150" s="641">
        <f>'2021'!G150</f>
        <v>44</v>
      </c>
      <c r="T150" s="641">
        <f>'2022'!G150</f>
        <v>0</v>
      </c>
      <c r="U150" s="641">
        <f>'2023'!G150</f>
        <v>0</v>
      </c>
      <c r="V150" s="641">
        <f>'2024'!G150</f>
        <v>0</v>
      </c>
      <c r="W150" s="642">
        <f>'2025'!G150</f>
        <v>0</v>
      </c>
      <c r="X150" s="676">
        <f>'2020'!H150</f>
        <v>36</v>
      </c>
      <c r="Y150" s="641">
        <f>'2021'!H150</f>
        <v>44</v>
      </c>
      <c r="Z150" s="641">
        <f>'2022'!H150</f>
        <v>0</v>
      </c>
      <c r="AA150" s="641">
        <f>'2023'!H150</f>
        <v>0</v>
      </c>
      <c r="AB150" s="641">
        <f>'2024'!H150</f>
        <v>0</v>
      </c>
      <c r="AC150" s="642">
        <f>'2025'!H150</f>
        <v>0</v>
      </c>
      <c r="AD150" s="449">
        <f t="shared" ref="AD150:AI150" si="387">IF(R150="",0,IF(AJ150=0,0,AJ150/R150))</f>
        <v>0.5</v>
      </c>
      <c r="AE150" s="450">
        <f t="shared" si="387"/>
        <v>0.63636363636363635</v>
      </c>
      <c r="AF150" s="450">
        <f t="shared" si="387"/>
        <v>0</v>
      </c>
      <c r="AG150" s="450">
        <f t="shared" si="387"/>
        <v>0</v>
      </c>
      <c r="AH150" s="450">
        <f t="shared" si="387"/>
        <v>0</v>
      </c>
      <c r="AI150" s="451">
        <f t="shared" si="387"/>
        <v>0</v>
      </c>
      <c r="AJ150" s="676">
        <f>'2020'!J150</f>
        <v>18</v>
      </c>
      <c r="AK150" s="641">
        <f>'2021'!J150</f>
        <v>28</v>
      </c>
      <c r="AL150" s="641">
        <f>'2022'!J150</f>
        <v>0</v>
      </c>
      <c r="AM150" s="641">
        <f>'2023'!J150</f>
        <v>0</v>
      </c>
      <c r="AN150" s="641">
        <f>'2024'!J150</f>
        <v>0</v>
      </c>
      <c r="AO150" s="642">
        <f>'2025'!J150</f>
        <v>0</v>
      </c>
      <c r="AP150" s="449">
        <f t="shared" ref="AP150:AU150" si="388">IF(R150=0,"",IF(AV150="","",AV150/R150))</f>
        <v>0.47222222222222221</v>
      </c>
      <c r="AQ150" s="450">
        <f t="shared" si="388"/>
        <v>0.36363636363636365</v>
      </c>
      <c r="AR150" s="450" t="str">
        <f t="shared" si="388"/>
        <v/>
      </c>
      <c r="AS150" s="450" t="str">
        <f t="shared" si="388"/>
        <v/>
      </c>
      <c r="AT150" s="450" t="str">
        <f t="shared" si="388"/>
        <v/>
      </c>
      <c r="AU150" s="451" t="str">
        <f t="shared" si="388"/>
        <v/>
      </c>
      <c r="AV150" s="676">
        <f>'2020'!L150</f>
        <v>17</v>
      </c>
      <c r="AW150" s="641">
        <f>'2021'!L150</f>
        <v>16</v>
      </c>
      <c r="AX150" s="641">
        <f>'2022'!L150</f>
        <v>0</v>
      </c>
      <c r="AY150" s="641">
        <f>'2023'!L150</f>
        <v>0</v>
      </c>
      <c r="AZ150" s="641">
        <f>'2024'!L150</f>
        <v>0</v>
      </c>
      <c r="BA150" s="642">
        <f>'2025'!L150</f>
        <v>0</v>
      </c>
      <c r="BB150" s="449">
        <f t="shared" ref="BB150:BG150" si="389">IF(AV150=0,"",IF(BH150="-","",BH150/AV150))</f>
        <v>0.76470588235294112</v>
      </c>
      <c r="BC150" s="450">
        <f t="shared" si="389"/>
        <v>0.9375</v>
      </c>
      <c r="BD150" s="450" t="str">
        <f t="shared" si="389"/>
        <v/>
      </c>
      <c r="BE150" s="450" t="str">
        <f t="shared" si="389"/>
        <v/>
      </c>
      <c r="BF150" s="450" t="str">
        <f t="shared" si="389"/>
        <v/>
      </c>
      <c r="BG150" s="451" t="str">
        <f t="shared" si="389"/>
        <v/>
      </c>
      <c r="BH150" s="966">
        <f>'2020'!N150</f>
        <v>13</v>
      </c>
      <c r="BI150" s="967">
        <f>'2021'!N150</f>
        <v>15</v>
      </c>
      <c r="BJ150" s="967">
        <f>'2022'!N150</f>
        <v>0</v>
      </c>
      <c r="BK150" s="967">
        <f>'2023'!N150</f>
        <v>0</v>
      </c>
      <c r="BL150" s="967">
        <f>'2024'!N150</f>
        <v>0</v>
      </c>
      <c r="BM150" s="968">
        <f>'2025'!N150</f>
        <v>0</v>
      </c>
      <c r="BN150" s="452" t="s">
        <v>21</v>
      </c>
      <c r="BO150" s="453" t="s">
        <v>21</v>
      </c>
      <c r="BP150" s="452" t="s">
        <v>21</v>
      </c>
      <c r="BQ150" s="453" t="s">
        <v>21</v>
      </c>
      <c r="BR150" s="477">
        <v>40</v>
      </c>
      <c r="BS150" s="478">
        <v>40</v>
      </c>
      <c r="BT150" s="477">
        <v>4</v>
      </c>
      <c r="BU150" s="479">
        <v>4</v>
      </c>
      <c r="BW150" s="492" t="s">
        <v>199</v>
      </c>
      <c r="CC150" s="1" t="str">
        <f t="shared" ref="CC150:CH150" si="390">IF(K150&lt;&gt;"",$Q150,"")</f>
        <v>Frontière</v>
      </c>
      <c r="CD150" s="1" t="str">
        <f t="shared" si="390"/>
        <v>Frontière</v>
      </c>
      <c r="CE150" s="1" t="str">
        <f t="shared" si="390"/>
        <v/>
      </c>
      <c r="CF150" s="1" t="str">
        <f t="shared" si="390"/>
        <v/>
      </c>
      <c r="CG150" s="1" t="str">
        <f t="shared" si="390"/>
        <v/>
      </c>
      <c r="CH150" s="1" t="str">
        <f t="shared" si="390"/>
        <v/>
      </c>
    </row>
    <row r="151" spans="1:86" ht="15.75" customHeight="1">
      <c r="B151" s="981"/>
      <c r="C151" s="1037"/>
      <c r="D151" s="1027"/>
      <c r="E151" s="1030"/>
      <c r="F151" s="1030"/>
      <c r="G151" s="1030"/>
      <c r="H151" s="1030"/>
      <c r="I151" s="1024"/>
      <c r="J151" s="905" t="s">
        <v>166</v>
      </c>
      <c r="K151" s="426" t="str">
        <f t="shared" si="380"/>
        <v/>
      </c>
      <c r="L151" s="426" t="str">
        <f t="shared" si="381"/>
        <v/>
      </c>
      <c r="M151" s="426" t="str">
        <f t="shared" si="382"/>
        <v/>
      </c>
      <c r="N151" s="426" t="str">
        <f t="shared" si="383"/>
        <v/>
      </c>
      <c r="O151" s="426" t="str">
        <f t="shared" si="384"/>
        <v/>
      </c>
      <c r="P151" s="427" t="str">
        <f t="shared" si="385"/>
        <v/>
      </c>
      <c r="Q151" s="251" t="s">
        <v>203</v>
      </c>
      <c r="R151" s="640">
        <f>'2020'!G151</f>
        <v>0</v>
      </c>
      <c r="S151" s="641">
        <f>'2021'!G151</f>
        <v>0</v>
      </c>
      <c r="T151" s="641">
        <f>'2022'!G151</f>
        <v>0</v>
      </c>
      <c r="U151" s="641">
        <f>'2023'!G151</f>
        <v>0</v>
      </c>
      <c r="V151" s="641">
        <f>'2024'!G151</f>
        <v>0</v>
      </c>
      <c r="W151" s="642">
        <f>'2025'!G151</f>
        <v>0</v>
      </c>
      <c r="X151" s="676">
        <f>'2020'!H151</f>
        <v>0</v>
      </c>
      <c r="Y151" s="641">
        <f>'2021'!H151</f>
        <v>0</v>
      </c>
      <c r="Z151" s="641">
        <f>'2022'!H151</f>
        <v>0</v>
      </c>
      <c r="AA151" s="641">
        <f>'2023'!H151</f>
        <v>0</v>
      </c>
      <c r="AB151" s="641">
        <f>'2024'!H151</f>
        <v>0</v>
      </c>
      <c r="AC151" s="642">
        <f>'2025'!H151</f>
        <v>0</v>
      </c>
      <c r="AD151" s="449">
        <f t="shared" si="338"/>
        <v>0</v>
      </c>
      <c r="AE151" s="450">
        <f t="shared" si="339"/>
        <v>0</v>
      </c>
      <c r="AF151" s="450">
        <f t="shared" si="268"/>
        <v>0</v>
      </c>
      <c r="AG151" s="450">
        <f t="shared" si="340"/>
        <v>0</v>
      </c>
      <c r="AH151" s="450">
        <f t="shared" si="341"/>
        <v>0</v>
      </c>
      <c r="AI151" s="451">
        <f t="shared" si="342"/>
        <v>0</v>
      </c>
      <c r="AJ151" s="676">
        <f>'2020'!J151</f>
        <v>0</v>
      </c>
      <c r="AK151" s="641">
        <f>'2021'!J151</f>
        <v>0</v>
      </c>
      <c r="AL151" s="641">
        <f>'2022'!J151</f>
        <v>0</v>
      </c>
      <c r="AM151" s="641">
        <f>'2023'!J151</f>
        <v>0</v>
      </c>
      <c r="AN151" s="641">
        <f>'2024'!J151</f>
        <v>0</v>
      </c>
      <c r="AO151" s="642">
        <f>'2025'!J151</f>
        <v>0</v>
      </c>
      <c r="AP151" s="449" t="str">
        <f t="shared" si="353"/>
        <v/>
      </c>
      <c r="AQ151" s="450" t="str">
        <f t="shared" si="343"/>
        <v/>
      </c>
      <c r="AR151" s="450" t="str">
        <f t="shared" si="344"/>
        <v/>
      </c>
      <c r="AS151" s="450" t="str">
        <f t="shared" si="345"/>
        <v/>
      </c>
      <c r="AT151" s="450" t="str">
        <f t="shared" si="346"/>
        <v/>
      </c>
      <c r="AU151" s="451" t="str">
        <f t="shared" si="347"/>
        <v/>
      </c>
      <c r="AV151" s="676">
        <f>'2020'!L151</f>
        <v>0</v>
      </c>
      <c r="AW151" s="641">
        <f>'2021'!L151</f>
        <v>0</v>
      </c>
      <c r="AX151" s="641">
        <f>'2022'!L151</f>
        <v>0</v>
      </c>
      <c r="AY151" s="641">
        <f>'2023'!L151</f>
        <v>0</v>
      </c>
      <c r="AZ151" s="641">
        <f>'2024'!L151</f>
        <v>0</v>
      </c>
      <c r="BA151" s="642">
        <f>'2025'!L151</f>
        <v>0</v>
      </c>
      <c r="BB151" s="449" t="str">
        <f t="shared" si="354"/>
        <v/>
      </c>
      <c r="BC151" s="450" t="str">
        <f t="shared" si="348"/>
        <v/>
      </c>
      <c r="BD151" s="450" t="str">
        <f t="shared" si="349"/>
        <v/>
      </c>
      <c r="BE151" s="450" t="str">
        <f t="shared" si="350"/>
        <v/>
      </c>
      <c r="BF151" s="450" t="str">
        <f t="shared" si="351"/>
        <v/>
      </c>
      <c r="BG151" s="451" t="str">
        <f t="shared" si="352"/>
        <v/>
      </c>
      <c r="BH151" s="966">
        <f>'2020'!N151</f>
        <v>0</v>
      </c>
      <c r="BI151" s="967">
        <f>'2021'!N151</f>
        <v>0</v>
      </c>
      <c r="BJ151" s="967">
        <f>'2022'!N151</f>
        <v>0</v>
      </c>
      <c r="BK151" s="967">
        <f>'2023'!N151</f>
        <v>0</v>
      </c>
      <c r="BL151" s="967">
        <f>'2024'!N151</f>
        <v>0</v>
      </c>
      <c r="BM151" s="968">
        <f>'2025'!N151</f>
        <v>0</v>
      </c>
      <c r="BN151" s="452"/>
      <c r="BO151" s="453"/>
      <c r="BP151" s="452"/>
      <c r="BQ151" s="453"/>
      <c r="BR151" s="454"/>
      <c r="BS151" s="455"/>
      <c r="BT151" s="454"/>
      <c r="BU151" s="456"/>
      <c r="CC151" s="1" t="str">
        <f t="shared" si="355"/>
        <v/>
      </c>
      <c r="CD151" s="1" t="str">
        <f t="shared" si="356"/>
        <v/>
      </c>
      <c r="CE151" s="1" t="str">
        <f t="shared" si="357"/>
        <v/>
      </c>
      <c r="CF151" s="1" t="str">
        <f t="shared" si="358"/>
        <v/>
      </c>
      <c r="CG151" s="1" t="str">
        <f t="shared" si="359"/>
        <v/>
      </c>
      <c r="CH151" s="1" t="str">
        <f t="shared" si="360"/>
        <v/>
      </c>
    </row>
    <row r="152" spans="1:86" ht="15.75" customHeight="1">
      <c r="B152" s="981"/>
      <c r="C152" s="1037"/>
      <c r="D152" s="1027"/>
      <c r="E152" s="1030"/>
      <c r="F152" s="1030"/>
      <c r="G152" s="1030"/>
      <c r="H152" s="1030"/>
      <c r="I152" s="1024"/>
      <c r="J152" s="905" t="s">
        <v>166</v>
      </c>
      <c r="K152" s="426" t="str">
        <f t="shared" si="380"/>
        <v/>
      </c>
      <c r="L152" s="426" t="str">
        <f t="shared" si="381"/>
        <v/>
      </c>
      <c r="M152" s="426" t="str">
        <f t="shared" si="382"/>
        <v/>
      </c>
      <c r="N152" s="426" t="str">
        <f t="shared" si="383"/>
        <v/>
      </c>
      <c r="O152" s="426" t="str">
        <f t="shared" si="384"/>
        <v/>
      </c>
      <c r="P152" s="427" t="str">
        <f t="shared" si="385"/>
        <v/>
      </c>
      <c r="Q152" s="251" t="s">
        <v>203</v>
      </c>
      <c r="R152" s="640">
        <f>'2020'!G152</f>
        <v>0</v>
      </c>
      <c r="S152" s="641">
        <f>'2021'!G152</f>
        <v>0</v>
      </c>
      <c r="T152" s="641">
        <f>'2022'!G152</f>
        <v>0</v>
      </c>
      <c r="U152" s="641">
        <f>'2023'!G152</f>
        <v>0</v>
      </c>
      <c r="V152" s="641">
        <f>'2024'!G152</f>
        <v>0</v>
      </c>
      <c r="W152" s="642">
        <f>'2025'!G152</f>
        <v>0</v>
      </c>
      <c r="X152" s="676">
        <f>'2020'!H152</f>
        <v>0</v>
      </c>
      <c r="Y152" s="641">
        <f>'2021'!H152</f>
        <v>0</v>
      </c>
      <c r="Z152" s="641">
        <f>'2022'!H152</f>
        <v>0</v>
      </c>
      <c r="AA152" s="641">
        <f>'2023'!H152</f>
        <v>0</v>
      </c>
      <c r="AB152" s="641">
        <f>'2024'!H152</f>
        <v>0</v>
      </c>
      <c r="AC152" s="642">
        <f>'2025'!H152</f>
        <v>0</v>
      </c>
      <c r="AD152" s="449">
        <f t="shared" si="338"/>
        <v>0</v>
      </c>
      <c r="AE152" s="450">
        <f t="shared" si="339"/>
        <v>0</v>
      </c>
      <c r="AF152" s="450">
        <f t="shared" si="268"/>
        <v>0</v>
      </c>
      <c r="AG152" s="450">
        <f t="shared" si="340"/>
        <v>0</v>
      </c>
      <c r="AH152" s="450">
        <f t="shared" si="341"/>
        <v>0</v>
      </c>
      <c r="AI152" s="451">
        <f t="shared" si="342"/>
        <v>0</v>
      </c>
      <c r="AJ152" s="676">
        <f>'2020'!J152</f>
        <v>0</v>
      </c>
      <c r="AK152" s="641">
        <f>'2021'!J152</f>
        <v>0</v>
      </c>
      <c r="AL152" s="641">
        <f>'2022'!J152</f>
        <v>0</v>
      </c>
      <c r="AM152" s="641">
        <f>'2023'!J152</f>
        <v>0</v>
      </c>
      <c r="AN152" s="641">
        <f>'2024'!J152</f>
        <v>0</v>
      </c>
      <c r="AO152" s="642">
        <f>'2025'!J152</f>
        <v>0</v>
      </c>
      <c r="AP152" s="449" t="str">
        <f t="shared" si="353"/>
        <v/>
      </c>
      <c r="AQ152" s="450" t="str">
        <f t="shared" si="343"/>
        <v/>
      </c>
      <c r="AR152" s="450" t="str">
        <f t="shared" si="344"/>
        <v/>
      </c>
      <c r="AS152" s="450" t="str">
        <f t="shared" si="345"/>
        <v/>
      </c>
      <c r="AT152" s="450" t="str">
        <f t="shared" si="346"/>
        <v/>
      </c>
      <c r="AU152" s="451" t="str">
        <f t="shared" si="347"/>
        <v/>
      </c>
      <c r="AV152" s="676">
        <f>'2020'!L152</f>
        <v>0</v>
      </c>
      <c r="AW152" s="641">
        <f>'2021'!L152</f>
        <v>0</v>
      </c>
      <c r="AX152" s="641">
        <f>'2022'!L152</f>
        <v>0</v>
      </c>
      <c r="AY152" s="641">
        <f>'2023'!L152</f>
        <v>0</v>
      </c>
      <c r="AZ152" s="641">
        <f>'2024'!L152</f>
        <v>0</v>
      </c>
      <c r="BA152" s="642">
        <f>'2025'!L152</f>
        <v>0</v>
      </c>
      <c r="BB152" s="449" t="str">
        <f t="shared" si="354"/>
        <v/>
      </c>
      <c r="BC152" s="450" t="str">
        <f t="shared" si="348"/>
        <v/>
      </c>
      <c r="BD152" s="450" t="str">
        <f t="shared" si="349"/>
        <v/>
      </c>
      <c r="BE152" s="450" t="str">
        <f t="shared" si="350"/>
        <v/>
      </c>
      <c r="BF152" s="450" t="str">
        <f t="shared" si="351"/>
        <v/>
      </c>
      <c r="BG152" s="451" t="str">
        <f t="shared" si="352"/>
        <v/>
      </c>
      <c r="BH152" s="966">
        <f>'2020'!N152</f>
        <v>0</v>
      </c>
      <c r="BI152" s="967">
        <f>'2021'!N152</f>
        <v>0</v>
      </c>
      <c r="BJ152" s="967">
        <f>'2022'!N152</f>
        <v>0</v>
      </c>
      <c r="BK152" s="967">
        <f>'2023'!N152</f>
        <v>0</v>
      </c>
      <c r="BL152" s="967">
        <f>'2024'!N152</f>
        <v>0</v>
      </c>
      <c r="BM152" s="968">
        <f>'2025'!N152</f>
        <v>0</v>
      </c>
      <c r="BN152" s="452"/>
      <c r="BO152" s="453"/>
      <c r="BP152" s="452"/>
      <c r="BQ152" s="453"/>
      <c r="BR152" s="454"/>
      <c r="BS152" s="455"/>
      <c r="BT152" s="454"/>
      <c r="BU152" s="456"/>
      <c r="CC152" s="1" t="str">
        <f t="shared" si="355"/>
        <v/>
      </c>
      <c r="CD152" s="1" t="str">
        <f t="shared" si="356"/>
        <v/>
      </c>
      <c r="CE152" s="1" t="str">
        <f t="shared" si="357"/>
        <v/>
      </c>
      <c r="CF152" s="1" t="str">
        <f t="shared" si="358"/>
        <v/>
      </c>
      <c r="CG152" s="1" t="str">
        <f t="shared" si="359"/>
        <v/>
      </c>
      <c r="CH152" s="1" t="str">
        <f t="shared" si="360"/>
        <v/>
      </c>
    </row>
    <row r="153" spans="1:86" ht="15.75" customHeight="1">
      <c r="B153" s="981"/>
      <c r="C153" s="1037"/>
      <c r="D153" s="1027"/>
      <c r="E153" s="1030"/>
      <c r="F153" s="1030"/>
      <c r="G153" s="1030"/>
      <c r="H153" s="1030"/>
      <c r="I153" s="1024"/>
      <c r="J153" s="905" t="s">
        <v>52</v>
      </c>
      <c r="K153" s="426" t="str">
        <f t="shared" si="380"/>
        <v>X</v>
      </c>
      <c r="L153" s="426" t="str">
        <f t="shared" si="381"/>
        <v/>
      </c>
      <c r="M153" s="426" t="str">
        <f t="shared" si="382"/>
        <v/>
      </c>
      <c r="N153" s="426" t="str">
        <f t="shared" si="383"/>
        <v/>
      </c>
      <c r="O153" s="426" t="str">
        <f t="shared" si="384"/>
        <v/>
      </c>
      <c r="P153" s="427" t="str">
        <f t="shared" si="385"/>
        <v/>
      </c>
      <c r="Q153" s="251" t="s">
        <v>61</v>
      </c>
      <c r="R153" s="640">
        <f>'2020'!G153</f>
        <v>316</v>
      </c>
      <c r="S153" s="641">
        <f>'2021'!G153</f>
        <v>0</v>
      </c>
      <c r="T153" s="641">
        <f>'2022'!G153</f>
        <v>0</v>
      </c>
      <c r="U153" s="641">
        <f>'2023'!G153</f>
        <v>0</v>
      </c>
      <c r="V153" s="641">
        <f>'2024'!G153</f>
        <v>0</v>
      </c>
      <c r="W153" s="642">
        <f>'2025'!G153</f>
        <v>0</v>
      </c>
      <c r="X153" s="676">
        <f>'2020'!H153</f>
        <v>316</v>
      </c>
      <c r="Y153" s="641">
        <f>'2021'!H153</f>
        <v>0</v>
      </c>
      <c r="Z153" s="641">
        <f>'2022'!H153</f>
        <v>0</v>
      </c>
      <c r="AA153" s="641">
        <f>'2023'!H153</f>
        <v>0</v>
      </c>
      <c r="AB153" s="641">
        <f>'2024'!H153</f>
        <v>0</v>
      </c>
      <c r="AC153" s="642">
        <f>'2025'!H153</f>
        <v>0</v>
      </c>
      <c r="AD153" s="449">
        <f t="shared" si="338"/>
        <v>0.2848101265822785</v>
      </c>
      <c r="AE153" s="450">
        <f t="shared" si="339"/>
        <v>0</v>
      </c>
      <c r="AF153" s="450">
        <f t="shared" si="268"/>
        <v>0</v>
      </c>
      <c r="AG153" s="450">
        <f t="shared" si="340"/>
        <v>0</v>
      </c>
      <c r="AH153" s="450">
        <f t="shared" si="341"/>
        <v>0</v>
      </c>
      <c r="AI153" s="451">
        <f t="shared" si="342"/>
        <v>0</v>
      </c>
      <c r="AJ153" s="676">
        <f>'2020'!J153</f>
        <v>90</v>
      </c>
      <c r="AK153" s="641">
        <f>'2021'!J153</f>
        <v>0</v>
      </c>
      <c r="AL153" s="641">
        <f>'2022'!J153</f>
        <v>0</v>
      </c>
      <c r="AM153" s="641">
        <f>'2023'!J153</f>
        <v>0</v>
      </c>
      <c r="AN153" s="641">
        <f>'2024'!J153</f>
        <v>0</v>
      </c>
      <c r="AO153" s="642">
        <f>'2025'!J153</f>
        <v>0</v>
      </c>
      <c r="AP153" s="449">
        <f t="shared" si="353"/>
        <v>0.39240506329113922</v>
      </c>
      <c r="AQ153" s="450" t="str">
        <f t="shared" si="343"/>
        <v/>
      </c>
      <c r="AR153" s="450" t="str">
        <f t="shared" si="344"/>
        <v/>
      </c>
      <c r="AS153" s="450" t="str">
        <f t="shared" si="345"/>
        <v/>
      </c>
      <c r="AT153" s="450" t="str">
        <f t="shared" si="346"/>
        <v/>
      </c>
      <c r="AU153" s="451" t="str">
        <f t="shared" si="347"/>
        <v/>
      </c>
      <c r="AV153" s="676">
        <f>'2020'!L153</f>
        <v>124</v>
      </c>
      <c r="AW153" s="641">
        <f>'2021'!L153</f>
        <v>0</v>
      </c>
      <c r="AX153" s="641">
        <f>'2022'!L153</f>
        <v>0</v>
      </c>
      <c r="AY153" s="641">
        <f>'2023'!L153</f>
        <v>0</v>
      </c>
      <c r="AZ153" s="641">
        <f>'2024'!L153</f>
        <v>0</v>
      </c>
      <c r="BA153" s="642">
        <f>'2025'!L153</f>
        <v>0</v>
      </c>
      <c r="BB153" s="449">
        <f t="shared" si="354"/>
        <v>0</v>
      </c>
      <c r="BC153" s="450" t="str">
        <f t="shared" si="348"/>
        <v/>
      </c>
      <c r="BD153" s="450" t="str">
        <f t="shared" si="349"/>
        <v/>
      </c>
      <c r="BE153" s="450" t="str">
        <f t="shared" si="350"/>
        <v/>
      </c>
      <c r="BF153" s="450" t="str">
        <f t="shared" si="351"/>
        <v/>
      </c>
      <c r="BG153" s="451" t="str">
        <f t="shared" si="352"/>
        <v/>
      </c>
      <c r="BH153" s="966">
        <f>'2020'!N153</f>
        <v>0</v>
      </c>
      <c r="BI153" s="967">
        <f>'2021'!N153</f>
        <v>0</v>
      </c>
      <c r="BJ153" s="967">
        <f>'2022'!N153</f>
        <v>0</v>
      </c>
      <c r="BK153" s="967">
        <f>'2023'!N153</f>
        <v>0</v>
      </c>
      <c r="BL153" s="967">
        <f>'2024'!N153</f>
        <v>0</v>
      </c>
      <c r="BM153" s="968">
        <f>'2025'!N153</f>
        <v>0</v>
      </c>
      <c r="BN153" s="452" t="s">
        <v>21</v>
      </c>
      <c r="BO153" s="453" t="s">
        <v>21</v>
      </c>
      <c r="BP153" s="452" t="s">
        <v>21</v>
      </c>
      <c r="BQ153" s="453" t="s">
        <v>21</v>
      </c>
      <c r="BR153" s="454"/>
      <c r="BS153" s="455"/>
      <c r="BT153" s="454"/>
      <c r="BU153" s="456"/>
      <c r="CC153" s="1" t="str">
        <f t="shared" si="355"/>
        <v>Suisse</v>
      </c>
      <c r="CD153" s="1" t="str">
        <f t="shared" si="356"/>
        <v/>
      </c>
      <c r="CE153" s="1" t="str">
        <f t="shared" si="357"/>
        <v/>
      </c>
      <c r="CF153" s="1" t="str">
        <f t="shared" si="358"/>
        <v/>
      </c>
      <c r="CG153" s="1" t="str">
        <f t="shared" si="359"/>
        <v/>
      </c>
      <c r="CH153" s="1" t="str">
        <f t="shared" si="360"/>
        <v/>
      </c>
    </row>
    <row r="154" spans="1:86" ht="15.75" customHeight="1">
      <c r="B154" s="981"/>
      <c r="C154" s="1037"/>
      <c r="D154" s="1027"/>
      <c r="E154" s="1030"/>
      <c r="F154" s="1030"/>
      <c r="G154" s="1030"/>
      <c r="H154" s="1030"/>
      <c r="I154" s="1024"/>
      <c r="J154" s="905" t="s">
        <v>166</v>
      </c>
      <c r="K154" s="426" t="str">
        <f t="shared" si="380"/>
        <v/>
      </c>
      <c r="L154" s="426" t="str">
        <f t="shared" si="381"/>
        <v/>
      </c>
      <c r="M154" s="426" t="str">
        <f t="shared" si="382"/>
        <v/>
      </c>
      <c r="N154" s="426" t="str">
        <f t="shared" si="383"/>
        <v/>
      </c>
      <c r="O154" s="426" t="str">
        <f t="shared" si="384"/>
        <v/>
      </c>
      <c r="P154" s="427" t="str">
        <f t="shared" si="385"/>
        <v/>
      </c>
      <c r="Q154" s="251"/>
      <c r="R154" s="640">
        <f>'2020'!G154</f>
        <v>0</v>
      </c>
      <c r="S154" s="641">
        <f>'2021'!G154</f>
        <v>0</v>
      </c>
      <c r="T154" s="641">
        <f>'2022'!G154</f>
        <v>0</v>
      </c>
      <c r="U154" s="641">
        <f>'2023'!G154</f>
        <v>0</v>
      </c>
      <c r="V154" s="641">
        <f>'2024'!G154</f>
        <v>0</v>
      </c>
      <c r="W154" s="642">
        <f>'2025'!G154</f>
        <v>0</v>
      </c>
      <c r="X154" s="676">
        <f>'2020'!H154</f>
        <v>0</v>
      </c>
      <c r="Y154" s="641">
        <f>'2021'!H154</f>
        <v>0</v>
      </c>
      <c r="Z154" s="641">
        <f>'2022'!H154</f>
        <v>0</v>
      </c>
      <c r="AA154" s="641">
        <f>'2023'!H154</f>
        <v>0</v>
      </c>
      <c r="AB154" s="641">
        <f>'2024'!H154</f>
        <v>0</v>
      </c>
      <c r="AC154" s="642">
        <f>'2025'!H154</f>
        <v>0</v>
      </c>
      <c r="AD154" s="449">
        <f t="shared" si="338"/>
        <v>0</v>
      </c>
      <c r="AE154" s="450">
        <f t="shared" si="339"/>
        <v>0</v>
      </c>
      <c r="AF154" s="450">
        <f t="shared" si="268"/>
        <v>0</v>
      </c>
      <c r="AG154" s="450">
        <f t="shared" si="340"/>
        <v>0</v>
      </c>
      <c r="AH154" s="450">
        <f t="shared" si="341"/>
        <v>0</v>
      </c>
      <c r="AI154" s="451">
        <f t="shared" si="342"/>
        <v>0</v>
      </c>
      <c r="AJ154" s="676">
        <f>'2020'!J154</f>
        <v>0</v>
      </c>
      <c r="AK154" s="641">
        <f>'2021'!J154</f>
        <v>0</v>
      </c>
      <c r="AL154" s="641">
        <f>'2022'!J154</f>
        <v>0</v>
      </c>
      <c r="AM154" s="641">
        <f>'2023'!J154</f>
        <v>0</v>
      </c>
      <c r="AN154" s="641">
        <f>'2024'!J154</f>
        <v>0</v>
      </c>
      <c r="AO154" s="642">
        <f>'2025'!J154</f>
        <v>0</v>
      </c>
      <c r="AP154" s="449" t="str">
        <f t="shared" si="353"/>
        <v/>
      </c>
      <c r="AQ154" s="450" t="str">
        <f t="shared" si="343"/>
        <v/>
      </c>
      <c r="AR154" s="450" t="str">
        <f t="shared" si="344"/>
        <v/>
      </c>
      <c r="AS154" s="450" t="str">
        <f t="shared" si="345"/>
        <v/>
      </c>
      <c r="AT154" s="450" t="str">
        <f t="shared" si="346"/>
        <v/>
      </c>
      <c r="AU154" s="451" t="str">
        <f t="shared" si="347"/>
        <v/>
      </c>
      <c r="AV154" s="676">
        <f>'2020'!L154</f>
        <v>0</v>
      </c>
      <c r="AW154" s="641">
        <f>'2021'!L154</f>
        <v>0</v>
      </c>
      <c r="AX154" s="641">
        <f>'2022'!L154</f>
        <v>0</v>
      </c>
      <c r="AY154" s="641">
        <f>'2023'!L154</f>
        <v>0</v>
      </c>
      <c r="AZ154" s="641">
        <f>'2024'!L154</f>
        <v>0</v>
      </c>
      <c r="BA154" s="642">
        <f>'2025'!L154</f>
        <v>0</v>
      </c>
      <c r="BB154" s="449" t="str">
        <f t="shared" si="354"/>
        <v/>
      </c>
      <c r="BC154" s="450" t="str">
        <f t="shared" si="348"/>
        <v/>
      </c>
      <c r="BD154" s="450" t="str">
        <f t="shared" si="349"/>
        <v/>
      </c>
      <c r="BE154" s="450" t="str">
        <f t="shared" si="350"/>
        <v/>
      </c>
      <c r="BF154" s="450" t="str">
        <f t="shared" si="351"/>
        <v/>
      </c>
      <c r="BG154" s="451" t="str">
        <f t="shared" si="352"/>
        <v/>
      </c>
      <c r="BH154" s="966">
        <f>'2020'!N154</f>
        <v>0</v>
      </c>
      <c r="BI154" s="967">
        <f>'2021'!N154</f>
        <v>0</v>
      </c>
      <c r="BJ154" s="967">
        <f>'2022'!N154</f>
        <v>0</v>
      </c>
      <c r="BK154" s="967">
        <f>'2023'!N154</f>
        <v>0</v>
      </c>
      <c r="BL154" s="967">
        <f>'2024'!N154</f>
        <v>0</v>
      </c>
      <c r="BM154" s="968">
        <f>'2025'!N154</f>
        <v>0</v>
      </c>
      <c r="BN154" s="452"/>
      <c r="BO154" s="453"/>
      <c r="BP154" s="452"/>
      <c r="BQ154" s="453"/>
      <c r="BR154" s="454"/>
      <c r="BS154" s="455"/>
      <c r="BT154" s="454"/>
      <c r="BU154" s="456"/>
      <c r="CC154" s="1" t="str">
        <f t="shared" si="355"/>
        <v/>
      </c>
      <c r="CD154" s="1" t="str">
        <f t="shared" si="356"/>
        <v/>
      </c>
      <c r="CE154" s="1" t="str">
        <f t="shared" si="357"/>
        <v/>
      </c>
      <c r="CF154" s="1" t="str">
        <f t="shared" si="358"/>
        <v/>
      </c>
      <c r="CG154" s="1" t="str">
        <f t="shared" si="359"/>
        <v/>
      </c>
      <c r="CH154" s="1" t="str">
        <f t="shared" si="360"/>
        <v/>
      </c>
    </row>
    <row r="155" spans="1:86" ht="15.75" customHeight="1">
      <c r="B155" s="981"/>
      <c r="C155" s="1037"/>
      <c r="D155" s="1027"/>
      <c r="E155" s="1030"/>
      <c r="F155" s="1030"/>
      <c r="G155" s="1030"/>
      <c r="H155" s="1030"/>
      <c r="I155" s="1024"/>
      <c r="J155" s="905" t="s">
        <v>166</v>
      </c>
      <c r="K155" s="426" t="str">
        <f t="shared" si="380"/>
        <v/>
      </c>
      <c r="L155" s="426" t="str">
        <f t="shared" si="381"/>
        <v/>
      </c>
      <c r="M155" s="426" t="str">
        <f t="shared" si="382"/>
        <v/>
      </c>
      <c r="N155" s="426" t="str">
        <f t="shared" si="383"/>
        <v/>
      </c>
      <c r="O155" s="426" t="str">
        <f t="shared" si="384"/>
        <v/>
      </c>
      <c r="P155" s="427" t="str">
        <f t="shared" si="385"/>
        <v/>
      </c>
      <c r="Q155" s="251"/>
      <c r="R155" s="640">
        <f>'2020'!G155</f>
        <v>0</v>
      </c>
      <c r="S155" s="641">
        <f>'2021'!G155</f>
        <v>0</v>
      </c>
      <c r="T155" s="641">
        <f>'2022'!G155</f>
        <v>0</v>
      </c>
      <c r="U155" s="641">
        <f>'2023'!G155</f>
        <v>0</v>
      </c>
      <c r="V155" s="641">
        <f>'2024'!G155</f>
        <v>0</v>
      </c>
      <c r="W155" s="642">
        <f>'2025'!G155</f>
        <v>0</v>
      </c>
      <c r="X155" s="676">
        <f>'2020'!H155</f>
        <v>0</v>
      </c>
      <c r="Y155" s="641">
        <f>'2021'!H155</f>
        <v>0</v>
      </c>
      <c r="Z155" s="641">
        <f>'2022'!H155</f>
        <v>0</v>
      </c>
      <c r="AA155" s="641">
        <f>'2023'!H155</f>
        <v>0</v>
      </c>
      <c r="AB155" s="641">
        <f>'2024'!H155</f>
        <v>0</v>
      </c>
      <c r="AC155" s="642">
        <f>'2025'!H155</f>
        <v>0</v>
      </c>
      <c r="AD155" s="449">
        <f t="shared" si="338"/>
        <v>0</v>
      </c>
      <c r="AE155" s="450">
        <f t="shared" si="339"/>
        <v>0</v>
      </c>
      <c r="AF155" s="450">
        <f t="shared" si="268"/>
        <v>0</v>
      </c>
      <c r="AG155" s="450">
        <f t="shared" si="340"/>
        <v>0</v>
      </c>
      <c r="AH155" s="450">
        <f t="shared" si="341"/>
        <v>0</v>
      </c>
      <c r="AI155" s="451">
        <f t="shared" si="342"/>
        <v>0</v>
      </c>
      <c r="AJ155" s="676">
        <f>'2020'!J155</f>
        <v>0</v>
      </c>
      <c r="AK155" s="641">
        <f>'2021'!J155</f>
        <v>0</v>
      </c>
      <c r="AL155" s="641">
        <f>'2022'!J155</f>
        <v>0</v>
      </c>
      <c r="AM155" s="641">
        <f>'2023'!J155</f>
        <v>0</v>
      </c>
      <c r="AN155" s="641">
        <f>'2024'!J155</f>
        <v>0</v>
      </c>
      <c r="AO155" s="642">
        <f>'2025'!J155</f>
        <v>0</v>
      </c>
      <c r="AP155" s="449" t="str">
        <f t="shared" si="353"/>
        <v/>
      </c>
      <c r="AQ155" s="450" t="str">
        <f t="shared" si="343"/>
        <v/>
      </c>
      <c r="AR155" s="450" t="str">
        <f t="shared" si="344"/>
        <v/>
      </c>
      <c r="AS155" s="450" t="str">
        <f t="shared" si="345"/>
        <v/>
      </c>
      <c r="AT155" s="450" t="str">
        <f t="shared" si="346"/>
        <v/>
      </c>
      <c r="AU155" s="451" t="str">
        <f t="shared" si="347"/>
        <v/>
      </c>
      <c r="AV155" s="676">
        <f>'2020'!L155</f>
        <v>0</v>
      </c>
      <c r="AW155" s="641">
        <f>'2021'!L155</f>
        <v>0</v>
      </c>
      <c r="AX155" s="641">
        <f>'2022'!L155</f>
        <v>0</v>
      </c>
      <c r="AY155" s="641">
        <f>'2023'!L155</f>
        <v>0</v>
      </c>
      <c r="AZ155" s="641">
        <f>'2024'!L155</f>
        <v>0</v>
      </c>
      <c r="BA155" s="642">
        <f>'2025'!L155</f>
        <v>0</v>
      </c>
      <c r="BB155" s="449" t="str">
        <f t="shared" si="354"/>
        <v/>
      </c>
      <c r="BC155" s="450" t="str">
        <f t="shared" si="348"/>
        <v/>
      </c>
      <c r="BD155" s="450" t="str">
        <f t="shared" si="349"/>
        <v/>
      </c>
      <c r="BE155" s="450" t="str">
        <f t="shared" si="350"/>
        <v/>
      </c>
      <c r="BF155" s="450" t="str">
        <f t="shared" si="351"/>
        <v/>
      </c>
      <c r="BG155" s="451" t="str">
        <f t="shared" si="352"/>
        <v/>
      </c>
      <c r="BH155" s="966">
        <f>'2020'!N155</f>
        <v>0</v>
      </c>
      <c r="BI155" s="967">
        <f>'2021'!N155</f>
        <v>0</v>
      </c>
      <c r="BJ155" s="967">
        <f>'2022'!N155</f>
        <v>0</v>
      </c>
      <c r="BK155" s="967">
        <f>'2023'!N155</f>
        <v>0</v>
      </c>
      <c r="BL155" s="967">
        <f>'2024'!N155</f>
        <v>0</v>
      </c>
      <c r="BM155" s="968">
        <f>'2025'!N155</f>
        <v>0</v>
      </c>
      <c r="BN155" s="452"/>
      <c r="BO155" s="453"/>
      <c r="BP155" s="452"/>
      <c r="BQ155" s="453"/>
      <c r="BR155" s="454"/>
      <c r="BS155" s="455"/>
      <c r="BT155" s="454"/>
      <c r="BU155" s="456"/>
      <c r="CC155" s="1" t="str">
        <f t="shared" si="355"/>
        <v/>
      </c>
      <c r="CD155" s="1" t="str">
        <f t="shared" si="356"/>
        <v/>
      </c>
      <c r="CE155" s="1" t="str">
        <f t="shared" si="357"/>
        <v/>
      </c>
      <c r="CF155" s="1" t="str">
        <f t="shared" si="358"/>
        <v/>
      </c>
      <c r="CG155" s="1" t="str">
        <f t="shared" si="359"/>
        <v/>
      </c>
      <c r="CH155" s="1" t="str">
        <f t="shared" si="360"/>
        <v/>
      </c>
    </row>
    <row r="156" spans="1:86" ht="15.75" customHeight="1">
      <c r="B156" s="981"/>
      <c r="C156" s="1037"/>
      <c r="D156" s="1027"/>
      <c r="E156" s="1030"/>
      <c r="F156" s="1030"/>
      <c r="G156" s="1030"/>
      <c r="H156" s="1030"/>
      <c r="I156" s="1024"/>
      <c r="J156" s="905" t="s">
        <v>166</v>
      </c>
      <c r="K156" s="426" t="str">
        <f t="shared" si="380"/>
        <v/>
      </c>
      <c r="L156" s="426" t="str">
        <f t="shared" si="381"/>
        <v/>
      </c>
      <c r="M156" s="426" t="str">
        <f t="shared" si="382"/>
        <v/>
      </c>
      <c r="N156" s="426" t="str">
        <f t="shared" si="383"/>
        <v/>
      </c>
      <c r="O156" s="426" t="str">
        <f t="shared" si="384"/>
        <v/>
      </c>
      <c r="P156" s="427" t="str">
        <f t="shared" si="385"/>
        <v/>
      </c>
      <c r="Q156" s="251"/>
      <c r="R156" s="640">
        <f>'2020'!G156</f>
        <v>0</v>
      </c>
      <c r="S156" s="641">
        <f>'2021'!G156</f>
        <v>0</v>
      </c>
      <c r="T156" s="641">
        <f>'2022'!G156</f>
        <v>0</v>
      </c>
      <c r="U156" s="641">
        <f>'2023'!G156</f>
        <v>0</v>
      </c>
      <c r="V156" s="641">
        <f>'2024'!G156</f>
        <v>0</v>
      </c>
      <c r="W156" s="642">
        <f>'2025'!G156</f>
        <v>0</v>
      </c>
      <c r="X156" s="676">
        <f>'2020'!H156</f>
        <v>0</v>
      </c>
      <c r="Y156" s="641">
        <f>'2021'!H156</f>
        <v>0</v>
      </c>
      <c r="Z156" s="641">
        <f>'2022'!H156</f>
        <v>0</v>
      </c>
      <c r="AA156" s="641">
        <f>'2023'!H156</f>
        <v>0</v>
      </c>
      <c r="AB156" s="641">
        <f>'2024'!H156</f>
        <v>0</v>
      </c>
      <c r="AC156" s="642">
        <f>'2025'!H156</f>
        <v>0</v>
      </c>
      <c r="AD156" s="449">
        <f t="shared" si="338"/>
        <v>0</v>
      </c>
      <c r="AE156" s="450">
        <f t="shared" si="339"/>
        <v>0</v>
      </c>
      <c r="AF156" s="450">
        <f t="shared" si="268"/>
        <v>0</v>
      </c>
      <c r="AG156" s="450">
        <f t="shared" si="340"/>
        <v>0</v>
      </c>
      <c r="AH156" s="450">
        <f t="shared" si="341"/>
        <v>0</v>
      </c>
      <c r="AI156" s="451">
        <f t="shared" si="342"/>
        <v>0</v>
      </c>
      <c r="AJ156" s="676">
        <f>'2020'!J156</f>
        <v>0</v>
      </c>
      <c r="AK156" s="641">
        <f>'2021'!J156</f>
        <v>0</v>
      </c>
      <c r="AL156" s="641">
        <f>'2022'!J156</f>
        <v>0</v>
      </c>
      <c r="AM156" s="641">
        <f>'2023'!J156</f>
        <v>0</v>
      </c>
      <c r="AN156" s="641">
        <f>'2024'!J156</f>
        <v>0</v>
      </c>
      <c r="AO156" s="642">
        <f>'2025'!J156</f>
        <v>0</v>
      </c>
      <c r="AP156" s="449" t="str">
        <f t="shared" si="353"/>
        <v/>
      </c>
      <c r="AQ156" s="450" t="str">
        <f t="shared" si="343"/>
        <v/>
      </c>
      <c r="AR156" s="450" t="str">
        <f t="shared" si="344"/>
        <v/>
      </c>
      <c r="AS156" s="450" t="str">
        <f t="shared" si="345"/>
        <v/>
      </c>
      <c r="AT156" s="450" t="str">
        <f t="shared" si="346"/>
        <v/>
      </c>
      <c r="AU156" s="451" t="str">
        <f t="shared" si="347"/>
        <v/>
      </c>
      <c r="AV156" s="676">
        <f>'2020'!L156</f>
        <v>0</v>
      </c>
      <c r="AW156" s="641">
        <f>'2021'!L156</f>
        <v>0</v>
      </c>
      <c r="AX156" s="641">
        <f>'2022'!L156</f>
        <v>0</v>
      </c>
      <c r="AY156" s="641">
        <f>'2023'!L156</f>
        <v>0</v>
      </c>
      <c r="AZ156" s="641">
        <f>'2024'!L156</f>
        <v>0</v>
      </c>
      <c r="BA156" s="642">
        <f>'2025'!L156</f>
        <v>0</v>
      </c>
      <c r="BB156" s="449" t="str">
        <f t="shared" si="354"/>
        <v/>
      </c>
      <c r="BC156" s="450" t="str">
        <f t="shared" si="348"/>
        <v/>
      </c>
      <c r="BD156" s="450" t="str">
        <f t="shared" si="349"/>
        <v/>
      </c>
      <c r="BE156" s="450" t="str">
        <f t="shared" si="350"/>
        <v/>
      </c>
      <c r="BF156" s="450" t="str">
        <f t="shared" si="351"/>
        <v/>
      </c>
      <c r="BG156" s="451" t="str">
        <f t="shared" si="352"/>
        <v/>
      </c>
      <c r="BH156" s="966">
        <f>'2020'!N156</f>
        <v>0</v>
      </c>
      <c r="BI156" s="967">
        <f>'2021'!N156</f>
        <v>0</v>
      </c>
      <c r="BJ156" s="967">
        <f>'2022'!N156</f>
        <v>0</v>
      </c>
      <c r="BK156" s="967">
        <f>'2023'!N156</f>
        <v>0</v>
      </c>
      <c r="BL156" s="967">
        <f>'2024'!N156</f>
        <v>0</v>
      </c>
      <c r="BM156" s="968">
        <f>'2025'!N156</f>
        <v>0</v>
      </c>
      <c r="BN156" s="452"/>
      <c r="BO156" s="453"/>
      <c r="BP156" s="452"/>
      <c r="BQ156" s="453"/>
      <c r="BR156" s="454"/>
      <c r="BS156" s="455"/>
      <c r="BT156" s="454"/>
      <c r="BU156" s="456"/>
      <c r="CC156" s="1" t="str">
        <f t="shared" si="355"/>
        <v/>
      </c>
      <c r="CD156" s="1" t="str">
        <f t="shared" si="356"/>
        <v/>
      </c>
      <c r="CE156" s="1" t="str">
        <f t="shared" si="357"/>
        <v/>
      </c>
      <c r="CF156" s="1" t="str">
        <f t="shared" si="358"/>
        <v/>
      </c>
      <c r="CG156" s="1" t="str">
        <f t="shared" si="359"/>
        <v/>
      </c>
      <c r="CH156" s="1" t="str">
        <f t="shared" si="360"/>
        <v/>
      </c>
    </row>
    <row r="157" spans="1:86" ht="15.75" customHeight="1">
      <c r="B157" s="981"/>
      <c r="C157" s="1037"/>
      <c r="D157" s="1027"/>
      <c r="E157" s="1030"/>
      <c r="F157" s="1030"/>
      <c r="G157" s="1030"/>
      <c r="H157" s="1030"/>
      <c r="I157" s="1024"/>
      <c r="J157" s="905" t="s">
        <v>166</v>
      </c>
      <c r="K157" s="426" t="str">
        <f t="shared" si="380"/>
        <v/>
      </c>
      <c r="L157" s="426" t="str">
        <f t="shared" si="381"/>
        <v/>
      </c>
      <c r="M157" s="426" t="str">
        <f t="shared" si="382"/>
        <v/>
      </c>
      <c r="N157" s="426" t="str">
        <f t="shared" si="383"/>
        <v/>
      </c>
      <c r="O157" s="426" t="str">
        <f t="shared" si="384"/>
        <v/>
      </c>
      <c r="P157" s="427" t="str">
        <f t="shared" si="385"/>
        <v/>
      </c>
      <c r="Q157" s="251"/>
      <c r="R157" s="640">
        <f>'2020'!G157</f>
        <v>0</v>
      </c>
      <c r="S157" s="641">
        <f>'2021'!G157</f>
        <v>0</v>
      </c>
      <c r="T157" s="641">
        <f>'2022'!G157</f>
        <v>0</v>
      </c>
      <c r="U157" s="641">
        <f>'2023'!G157</f>
        <v>0</v>
      </c>
      <c r="V157" s="641">
        <f>'2024'!G157</f>
        <v>0</v>
      </c>
      <c r="W157" s="642">
        <f>'2025'!G157</f>
        <v>0</v>
      </c>
      <c r="X157" s="676">
        <f>'2020'!H157</f>
        <v>0</v>
      </c>
      <c r="Y157" s="641">
        <f>'2021'!H157</f>
        <v>0</v>
      </c>
      <c r="Z157" s="641">
        <f>'2022'!H157</f>
        <v>0</v>
      </c>
      <c r="AA157" s="641">
        <f>'2023'!H157</f>
        <v>0</v>
      </c>
      <c r="AB157" s="641">
        <f>'2024'!H157</f>
        <v>0</v>
      </c>
      <c r="AC157" s="642">
        <f>'2025'!H157</f>
        <v>0</v>
      </c>
      <c r="AD157" s="449">
        <f t="shared" si="338"/>
        <v>0</v>
      </c>
      <c r="AE157" s="450">
        <f t="shared" si="339"/>
        <v>0</v>
      </c>
      <c r="AF157" s="450">
        <f t="shared" si="268"/>
        <v>0</v>
      </c>
      <c r="AG157" s="450">
        <f t="shared" si="340"/>
        <v>0</v>
      </c>
      <c r="AH157" s="450">
        <f t="shared" si="341"/>
        <v>0</v>
      </c>
      <c r="AI157" s="451">
        <f t="shared" si="342"/>
        <v>0</v>
      </c>
      <c r="AJ157" s="676">
        <f>'2020'!J157</f>
        <v>0</v>
      </c>
      <c r="AK157" s="641">
        <f>'2021'!J157</f>
        <v>0</v>
      </c>
      <c r="AL157" s="641">
        <f>'2022'!J157</f>
        <v>0</v>
      </c>
      <c r="AM157" s="641">
        <f>'2023'!J157</f>
        <v>0</v>
      </c>
      <c r="AN157" s="641">
        <f>'2024'!J157</f>
        <v>0</v>
      </c>
      <c r="AO157" s="642">
        <f>'2025'!J157</f>
        <v>0</v>
      </c>
      <c r="AP157" s="449" t="str">
        <f t="shared" si="353"/>
        <v/>
      </c>
      <c r="AQ157" s="450" t="str">
        <f t="shared" si="343"/>
        <v/>
      </c>
      <c r="AR157" s="450" t="str">
        <f t="shared" si="344"/>
        <v/>
      </c>
      <c r="AS157" s="450" t="str">
        <f t="shared" si="345"/>
        <v/>
      </c>
      <c r="AT157" s="450" t="str">
        <f t="shared" si="346"/>
        <v/>
      </c>
      <c r="AU157" s="451" t="str">
        <f t="shared" si="347"/>
        <v/>
      </c>
      <c r="AV157" s="676">
        <f>'2020'!L157</f>
        <v>0</v>
      </c>
      <c r="AW157" s="641">
        <f>'2021'!L157</f>
        <v>0</v>
      </c>
      <c r="AX157" s="641">
        <f>'2022'!L157</f>
        <v>0</v>
      </c>
      <c r="AY157" s="641">
        <f>'2023'!L157</f>
        <v>0</v>
      </c>
      <c r="AZ157" s="641">
        <f>'2024'!L157</f>
        <v>0</v>
      </c>
      <c r="BA157" s="642">
        <f>'2025'!L157</f>
        <v>0</v>
      </c>
      <c r="BB157" s="449" t="str">
        <f t="shared" si="354"/>
        <v/>
      </c>
      <c r="BC157" s="450" t="str">
        <f t="shared" si="348"/>
        <v/>
      </c>
      <c r="BD157" s="450" t="str">
        <f t="shared" si="349"/>
        <v/>
      </c>
      <c r="BE157" s="450" t="str">
        <f t="shared" si="350"/>
        <v/>
      </c>
      <c r="BF157" s="450" t="str">
        <f t="shared" si="351"/>
        <v/>
      </c>
      <c r="BG157" s="451" t="str">
        <f t="shared" si="352"/>
        <v/>
      </c>
      <c r="BH157" s="966">
        <f>'2020'!N157</f>
        <v>0</v>
      </c>
      <c r="BI157" s="967">
        <f>'2021'!N157</f>
        <v>0</v>
      </c>
      <c r="BJ157" s="967">
        <f>'2022'!N157</f>
        <v>0</v>
      </c>
      <c r="BK157" s="967">
        <f>'2023'!N157</f>
        <v>0</v>
      </c>
      <c r="BL157" s="967">
        <f>'2024'!N157</f>
        <v>0</v>
      </c>
      <c r="BM157" s="968">
        <f>'2025'!N157</f>
        <v>0</v>
      </c>
      <c r="BN157" s="452"/>
      <c r="BO157" s="453"/>
      <c r="BP157" s="452"/>
      <c r="BQ157" s="453"/>
      <c r="BR157" s="454"/>
      <c r="BS157" s="455"/>
      <c r="BT157" s="454"/>
      <c r="BU157" s="456"/>
      <c r="CC157" s="1" t="str">
        <f t="shared" si="355"/>
        <v/>
      </c>
      <c r="CD157" s="1" t="str">
        <f t="shared" si="356"/>
        <v/>
      </c>
      <c r="CE157" s="1" t="str">
        <f t="shared" si="357"/>
        <v/>
      </c>
      <c r="CF157" s="1" t="str">
        <f t="shared" si="358"/>
        <v/>
      </c>
      <c r="CG157" s="1" t="str">
        <f t="shared" si="359"/>
        <v/>
      </c>
      <c r="CH157" s="1" t="str">
        <f t="shared" si="360"/>
        <v/>
      </c>
    </row>
    <row r="158" spans="1:86" ht="15.75" customHeight="1">
      <c r="B158" s="981"/>
      <c r="C158" s="1037"/>
      <c r="D158" s="1028"/>
      <c r="E158" s="1031"/>
      <c r="F158" s="1031"/>
      <c r="G158" s="1031"/>
      <c r="H158" s="1031"/>
      <c r="I158" s="1025"/>
      <c r="J158" s="907" t="s">
        <v>166</v>
      </c>
      <c r="K158" s="457" t="str">
        <f t="shared" si="380"/>
        <v/>
      </c>
      <c r="L158" s="457" t="str">
        <f t="shared" si="381"/>
        <v/>
      </c>
      <c r="M158" s="457" t="str">
        <f t="shared" si="382"/>
        <v/>
      </c>
      <c r="N158" s="457" t="str">
        <f t="shared" si="383"/>
        <v/>
      </c>
      <c r="O158" s="457" t="str">
        <f t="shared" si="384"/>
        <v/>
      </c>
      <c r="P158" s="458" t="str">
        <f t="shared" si="385"/>
        <v/>
      </c>
      <c r="Q158" s="459"/>
      <c r="R158" s="643">
        <f>'2020'!G158</f>
        <v>0</v>
      </c>
      <c r="S158" s="644">
        <f>'2021'!G158</f>
        <v>0</v>
      </c>
      <c r="T158" s="644">
        <f>'2022'!G158</f>
        <v>0</v>
      </c>
      <c r="U158" s="644">
        <f>'2023'!G158</f>
        <v>0</v>
      </c>
      <c r="V158" s="644">
        <f>'2024'!G158</f>
        <v>0</v>
      </c>
      <c r="W158" s="645">
        <f>'2025'!G158</f>
        <v>0</v>
      </c>
      <c r="X158" s="677">
        <f>'2020'!H158</f>
        <v>0</v>
      </c>
      <c r="Y158" s="644">
        <f>'2021'!H158</f>
        <v>0</v>
      </c>
      <c r="Z158" s="644">
        <f>'2022'!H158</f>
        <v>0</v>
      </c>
      <c r="AA158" s="644">
        <f>'2023'!H158</f>
        <v>0</v>
      </c>
      <c r="AB158" s="644">
        <f>'2024'!H158</f>
        <v>0</v>
      </c>
      <c r="AC158" s="645">
        <f>'2025'!H158</f>
        <v>0</v>
      </c>
      <c r="AD158" s="460">
        <f t="shared" si="338"/>
        <v>0</v>
      </c>
      <c r="AE158" s="461">
        <f t="shared" si="339"/>
        <v>0</v>
      </c>
      <c r="AF158" s="461">
        <f t="shared" ref="AF158:AF161" si="391">IF(T158="",0,IF(AL158=0,0,AL158/T158))</f>
        <v>0</v>
      </c>
      <c r="AG158" s="461">
        <f t="shared" si="340"/>
        <v>0</v>
      </c>
      <c r="AH158" s="461">
        <f t="shared" si="341"/>
        <v>0</v>
      </c>
      <c r="AI158" s="462">
        <f t="shared" si="342"/>
        <v>0</v>
      </c>
      <c r="AJ158" s="677">
        <f>'2020'!J158</f>
        <v>0</v>
      </c>
      <c r="AK158" s="644">
        <f>'2021'!J158</f>
        <v>0</v>
      </c>
      <c r="AL158" s="644">
        <f>'2022'!J158</f>
        <v>0</v>
      </c>
      <c r="AM158" s="644">
        <f>'2023'!J158</f>
        <v>0</v>
      </c>
      <c r="AN158" s="644">
        <f>'2024'!J158</f>
        <v>0</v>
      </c>
      <c r="AO158" s="645">
        <f>'2025'!J158</f>
        <v>0</v>
      </c>
      <c r="AP158" s="460" t="str">
        <f t="shared" si="353"/>
        <v/>
      </c>
      <c r="AQ158" s="461" t="str">
        <f t="shared" si="343"/>
        <v/>
      </c>
      <c r="AR158" s="461" t="str">
        <f t="shared" si="344"/>
        <v/>
      </c>
      <c r="AS158" s="461" t="str">
        <f t="shared" si="345"/>
        <v/>
      </c>
      <c r="AT158" s="461" t="str">
        <f t="shared" si="346"/>
        <v/>
      </c>
      <c r="AU158" s="462" t="str">
        <f t="shared" si="347"/>
        <v/>
      </c>
      <c r="AV158" s="677">
        <f>'2020'!L158</f>
        <v>0</v>
      </c>
      <c r="AW158" s="644">
        <f>'2021'!L158</f>
        <v>0</v>
      </c>
      <c r="AX158" s="644">
        <f>'2022'!L158</f>
        <v>0</v>
      </c>
      <c r="AY158" s="644">
        <f>'2023'!L158</f>
        <v>0</v>
      </c>
      <c r="AZ158" s="644">
        <f>'2024'!L158</f>
        <v>0</v>
      </c>
      <c r="BA158" s="645">
        <f>'2025'!L158</f>
        <v>0</v>
      </c>
      <c r="BB158" s="460" t="str">
        <f t="shared" si="354"/>
        <v/>
      </c>
      <c r="BC158" s="461" t="str">
        <f t="shared" si="348"/>
        <v/>
      </c>
      <c r="BD158" s="461" t="str">
        <f t="shared" si="349"/>
        <v/>
      </c>
      <c r="BE158" s="461" t="str">
        <f t="shared" si="350"/>
        <v/>
      </c>
      <c r="BF158" s="461" t="str">
        <f t="shared" si="351"/>
        <v/>
      </c>
      <c r="BG158" s="462" t="str">
        <f t="shared" si="352"/>
        <v/>
      </c>
      <c r="BH158" s="969">
        <f>'2020'!N158</f>
        <v>0</v>
      </c>
      <c r="BI158" s="970">
        <f>'2021'!N158</f>
        <v>0</v>
      </c>
      <c r="BJ158" s="970">
        <f>'2022'!N158</f>
        <v>0</v>
      </c>
      <c r="BK158" s="970">
        <f>'2023'!N158</f>
        <v>0</v>
      </c>
      <c r="BL158" s="970">
        <f>'2024'!N158</f>
        <v>0</v>
      </c>
      <c r="BM158" s="971">
        <f>'2025'!N158</f>
        <v>0</v>
      </c>
      <c r="BN158" s="463"/>
      <c r="BO158" s="464"/>
      <c r="BP158" s="463"/>
      <c r="BQ158" s="464"/>
      <c r="BR158" s="465"/>
      <c r="BS158" s="466"/>
      <c r="BT158" s="465"/>
      <c r="BU158" s="467"/>
      <c r="CC158" s="1" t="str">
        <f t="shared" si="355"/>
        <v/>
      </c>
      <c r="CD158" s="1" t="str">
        <f t="shared" si="356"/>
        <v/>
      </c>
      <c r="CE158" s="1" t="str">
        <f t="shared" si="357"/>
        <v/>
      </c>
      <c r="CF158" s="1" t="str">
        <f t="shared" si="358"/>
        <v/>
      </c>
      <c r="CG158" s="1" t="str">
        <f t="shared" si="359"/>
        <v/>
      </c>
      <c r="CH158" s="1" t="str">
        <f t="shared" si="360"/>
        <v/>
      </c>
    </row>
    <row r="159" spans="1:86" ht="16.5" thickBot="1">
      <c r="B159" s="982"/>
      <c r="C159" s="1039"/>
      <c r="D159" s="916" t="s">
        <v>138</v>
      </c>
      <c r="E159" s="917"/>
      <c r="F159" s="917"/>
      <c r="G159" s="917"/>
      <c r="H159" s="917"/>
      <c r="I159" s="918"/>
      <c r="J159" s="412"/>
      <c r="K159" s="420">
        <f>COUNTIF(K135:K158,"X")</f>
        <v>9</v>
      </c>
      <c r="L159" s="420">
        <f t="shared" ref="L159:P159" si="392">COUNTIF(L135:L158,"X")</f>
        <v>5</v>
      </c>
      <c r="M159" s="420">
        <f t="shared" si="392"/>
        <v>7</v>
      </c>
      <c r="N159" s="420">
        <f t="shared" si="392"/>
        <v>5</v>
      </c>
      <c r="O159" s="420">
        <f t="shared" si="392"/>
        <v>0</v>
      </c>
      <c r="P159" s="421">
        <f t="shared" si="392"/>
        <v>0</v>
      </c>
      <c r="Q159" s="204"/>
      <c r="R159" s="669">
        <f>SUM(R135:R158)</f>
        <v>2247</v>
      </c>
      <c r="S159" s="670">
        <f t="shared" ref="S159:W159" si="393">SUM(S135:S158)</f>
        <v>1770</v>
      </c>
      <c r="T159" s="670">
        <f t="shared" si="393"/>
        <v>2652</v>
      </c>
      <c r="U159" s="670">
        <f t="shared" si="393"/>
        <v>2733</v>
      </c>
      <c r="V159" s="670">
        <f t="shared" si="393"/>
        <v>0</v>
      </c>
      <c r="W159" s="671">
        <f t="shared" si="393"/>
        <v>0</v>
      </c>
      <c r="X159" s="686">
        <f>SUM(X135:X158)</f>
        <v>2247</v>
      </c>
      <c r="Y159" s="670">
        <f t="shared" ref="Y159:AC159" si="394">SUM(Y135:Y158)</f>
        <v>1770</v>
      </c>
      <c r="Z159" s="670">
        <f t="shared" si="394"/>
        <v>2652</v>
      </c>
      <c r="AA159" s="670">
        <f t="shared" si="394"/>
        <v>2733</v>
      </c>
      <c r="AB159" s="670">
        <f t="shared" si="394"/>
        <v>0</v>
      </c>
      <c r="AC159" s="671">
        <f t="shared" si="394"/>
        <v>0</v>
      </c>
      <c r="AD159" s="707">
        <f t="shared" si="338"/>
        <v>0.12683578104138851</v>
      </c>
      <c r="AE159" s="708">
        <f t="shared" si="339"/>
        <v>0.38587570621468925</v>
      </c>
      <c r="AF159" s="708">
        <f t="shared" si="391"/>
        <v>0.43401206636500755</v>
      </c>
      <c r="AG159" s="708">
        <f t="shared" si="340"/>
        <v>0.44712769849981704</v>
      </c>
      <c r="AH159" s="708">
        <f t="shared" si="341"/>
        <v>0</v>
      </c>
      <c r="AI159" s="709">
        <f t="shared" si="342"/>
        <v>0</v>
      </c>
      <c r="AJ159" s="686">
        <f>SUM(AJ135:AJ158)</f>
        <v>285</v>
      </c>
      <c r="AK159" s="670">
        <f t="shared" ref="AK159" si="395">SUM(AK135:AK158)</f>
        <v>683</v>
      </c>
      <c r="AL159" s="670">
        <f t="shared" ref="AL159" si="396">SUM(AL135:AL158)</f>
        <v>1151</v>
      </c>
      <c r="AM159" s="670">
        <f t="shared" ref="AM159" si="397">SUM(AM135:AM158)</f>
        <v>1222</v>
      </c>
      <c r="AN159" s="670">
        <f t="shared" ref="AN159" si="398">SUM(AN135:AN158)</f>
        <v>0</v>
      </c>
      <c r="AO159" s="671">
        <f t="shared" ref="AO159" si="399">SUM(AO135:AO158)</f>
        <v>0</v>
      </c>
      <c r="AP159" s="707">
        <f t="shared" si="353"/>
        <v>0.40097908322207387</v>
      </c>
      <c r="AQ159" s="708">
        <f t="shared" si="343"/>
        <v>0.4101694915254237</v>
      </c>
      <c r="AR159" s="708">
        <f t="shared" si="344"/>
        <v>0.39328808446455504</v>
      </c>
      <c r="AS159" s="708">
        <f t="shared" si="345"/>
        <v>0.39443834613977313</v>
      </c>
      <c r="AT159" s="708" t="str">
        <f t="shared" si="346"/>
        <v/>
      </c>
      <c r="AU159" s="709" t="str">
        <f t="shared" si="347"/>
        <v/>
      </c>
      <c r="AV159" s="686">
        <f>SUM(AV135:AV158)</f>
        <v>901</v>
      </c>
      <c r="AW159" s="670">
        <f t="shared" ref="AW159" si="400">SUM(AW135:AW158)</f>
        <v>726</v>
      </c>
      <c r="AX159" s="670">
        <f t="shared" ref="AX159" si="401">SUM(AX135:AX158)</f>
        <v>1043</v>
      </c>
      <c r="AY159" s="670">
        <f t="shared" ref="AY159" si="402">SUM(AY135:AY158)</f>
        <v>1078</v>
      </c>
      <c r="AZ159" s="670">
        <f t="shared" ref="AZ159" si="403">SUM(AZ135:AZ158)</f>
        <v>0</v>
      </c>
      <c r="BA159" s="671">
        <f t="shared" ref="BA159" si="404">SUM(BA135:BA158)</f>
        <v>0</v>
      </c>
      <c r="BB159" s="340">
        <f t="shared" si="354"/>
        <v>1.4428412874583796E-2</v>
      </c>
      <c r="BC159" s="342">
        <f t="shared" si="348"/>
        <v>0.57851239669421484</v>
      </c>
      <c r="BD159" s="342">
        <f t="shared" si="349"/>
        <v>0.57909875359539786</v>
      </c>
      <c r="BE159" s="342">
        <f t="shared" si="350"/>
        <v>0.53988868274582558</v>
      </c>
      <c r="BF159" s="342" t="str">
        <f t="shared" si="351"/>
        <v/>
      </c>
      <c r="BG159" s="346" t="str">
        <f t="shared" si="352"/>
        <v/>
      </c>
      <c r="BH159" s="686">
        <f>SUM(BH135:BH158)</f>
        <v>13</v>
      </c>
      <c r="BI159" s="670">
        <f t="shared" ref="BI159" si="405">SUM(BI135:BI158)</f>
        <v>420</v>
      </c>
      <c r="BJ159" s="670">
        <f t="shared" ref="BJ159" si="406">SUM(BJ135:BJ158)</f>
        <v>604</v>
      </c>
      <c r="BK159" s="670">
        <f t="shared" ref="BK159" si="407">SUM(BK135:BK158)</f>
        <v>582</v>
      </c>
      <c r="BL159" s="670">
        <f t="shared" ref="BL159" si="408">SUM(BL135:BL158)</f>
        <v>0</v>
      </c>
      <c r="BM159" s="671">
        <f t="shared" ref="BM159" si="409">SUM(BM135:BM158)</f>
        <v>0</v>
      </c>
      <c r="BN159" s="357">
        <f t="shared" ref="BN159:BU159" si="410">SUM(BN135:BN153)</f>
        <v>0</v>
      </c>
      <c r="BO159" s="358">
        <f t="shared" si="410"/>
        <v>0</v>
      </c>
      <c r="BP159" s="357">
        <f t="shared" si="410"/>
        <v>0</v>
      </c>
      <c r="BQ159" s="358">
        <f t="shared" si="410"/>
        <v>0</v>
      </c>
      <c r="BR159" s="357">
        <f t="shared" si="410"/>
        <v>40</v>
      </c>
      <c r="BS159" s="358">
        <f t="shared" si="410"/>
        <v>40</v>
      </c>
      <c r="BT159" s="357">
        <f t="shared" si="410"/>
        <v>4</v>
      </c>
      <c r="BU159" s="359">
        <f t="shared" si="410"/>
        <v>4</v>
      </c>
      <c r="BW159" s="211"/>
      <c r="CC159" s="1">
        <f t="shared" si="355"/>
        <v>0</v>
      </c>
      <c r="CD159" s="1">
        <f t="shared" si="356"/>
        <v>0</v>
      </c>
      <c r="CE159" s="1">
        <f t="shared" si="357"/>
        <v>0</v>
      </c>
      <c r="CF159" s="1">
        <f t="shared" si="358"/>
        <v>0</v>
      </c>
      <c r="CG159" s="1">
        <f t="shared" si="359"/>
        <v>0</v>
      </c>
      <c r="CH159" s="1">
        <f t="shared" si="360"/>
        <v>0</v>
      </c>
    </row>
    <row r="160" spans="1:86" s="386" customFormat="1" ht="31.5" customHeight="1" thickBot="1">
      <c r="A160" s="20"/>
      <c r="B160" s="379" t="s">
        <v>77</v>
      </c>
      <c r="C160" s="405"/>
      <c r="D160" s="406">
        <f t="shared" ref="D160:I160" si="411">SUM(D66:D159)</f>
        <v>83</v>
      </c>
      <c r="E160" s="402">
        <f t="shared" si="411"/>
        <v>67</v>
      </c>
      <c r="F160" s="402">
        <f t="shared" si="411"/>
        <v>79</v>
      </c>
      <c r="G160" s="402">
        <f t="shared" si="411"/>
        <v>76</v>
      </c>
      <c r="H160" s="402">
        <f t="shared" si="411"/>
        <v>0</v>
      </c>
      <c r="I160" s="410">
        <f t="shared" si="411"/>
        <v>0</v>
      </c>
      <c r="J160" s="688" t="s">
        <v>79</v>
      </c>
      <c r="K160" s="661">
        <f>COUNTIF(K$66:K$159,"X")</f>
        <v>29</v>
      </c>
      <c r="L160" s="661">
        <f t="shared" ref="L160:P160" si="412">COUNTIF(L$66:L$159,"X")</f>
        <v>31</v>
      </c>
      <c r="M160" s="661">
        <f t="shared" si="412"/>
        <v>37</v>
      </c>
      <c r="N160" s="661">
        <f t="shared" si="412"/>
        <v>5</v>
      </c>
      <c r="O160" s="661">
        <f t="shared" si="412"/>
        <v>0</v>
      </c>
      <c r="P160" s="662">
        <f t="shared" si="412"/>
        <v>0</v>
      </c>
      <c r="Q160" s="396"/>
      <c r="R160" s="660">
        <f t="shared" ref="R160:AC160" si="413">R77+R85+R95+R109+R125+R134+R159</f>
        <v>4797</v>
      </c>
      <c r="S160" s="661">
        <f t="shared" si="413"/>
        <v>3986</v>
      </c>
      <c r="T160" s="661">
        <f t="shared" si="413"/>
        <v>6112</v>
      </c>
      <c r="U160" s="661">
        <f t="shared" si="413"/>
        <v>2733</v>
      </c>
      <c r="V160" s="661">
        <f t="shared" si="413"/>
        <v>0</v>
      </c>
      <c r="W160" s="662">
        <f t="shared" si="413"/>
        <v>0</v>
      </c>
      <c r="X160" s="683">
        <f t="shared" si="413"/>
        <v>3358</v>
      </c>
      <c r="Y160" s="661">
        <f t="shared" si="413"/>
        <v>3111</v>
      </c>
      <c r="Z160" s="661">
        <f t="shared" si="413"/>
        <v>4726</v>
      </c>
      <c r="AA160" s="661">
        <f t="shared" si="413"/>
        <v>2733</v>
      </c>
      <c r="AB160" s="661">
        <f t="shared" si="413"/>
        <v>0</v>
      </c>
      <c r="AC160" s="662">
        <f t="shared" si="413"/>
        <v>0</v>
      </c>
      <c r="AD160" s="380">
        <f t="shared" si="338"/>
        <v>0.27893475088597036</v>
      </c>
      <c r="AE160" s="381">
        <f t="shared" si="339"/>
        <v>0.40466633216256898</v>
      </c>
      <c r="AF160" s="381">
        <f t="shared" si="391"/>
        <v>0.44273560209424084</v>
      </c>
      <c r="AG160" s="381">
        <f t="shared" si="340"/>
        <v>0.44712769849981704</v>
      </c>
      <c r="AH160" s="381">
        <f t="shared" si="341"/>
        <v>0</v>
      </c>
      <c r="AI160" s="382">
        <f t="shared" si="342"/>
        <v>0</v>
      </c>
      <c r="AJ160" s="683">
        <f t="shared" ref="AJ160:AO160" si="414">AJ77+AJ85+AJ95+AJ109+AJ125+AJ134+AJ159</f>
        <v>1338.05</v>
      </c>
      <c r="AK160" s="661">
        <f t="shared" si="414"/>
        <v>1613</v>
      </c>
      <c r="AL160" s="661">
        <f t="shared" si="414"/>
        <v>2706</v>
      </c>
      <c r="AM160" s="661">
        <f t="shared" si="414"/>
        <v>1222</v>
      </c>
      <c r="AN160" s="661">
        <f t="shared" si="414"/>
        <v>0</v>
      </c>
      <c r="AO160" s="662">
        <f t="shared" si="414"/>
        <v>0</v>
      </c>
      <c r="AP160" s="380">
        <f t="shared" si="353"/>
        <v>0.39968938920158431</v>
      </c>
      <c r="AQ160" s="381">
        <f t="shared" si="343"/>
        <v>0.37907676869041645</v>
      </c>
      <c r="AR160" s="381">
        <f t="shared" si="344"/>
        <v>0.37107329842931935</v>
      </c>
      <c r="AS160" s="381">
        <f t="shared" si="345"/>
        <v>0.39443834613977313</v>
      </c>
      <c r="AT160" s="381" t="str">
        <f t="shared" si="346"/>
        <v/>
      </c>
      <c r="AU160" s="382" t="str">
        <f t="shared" si="347"/>
        <v/>
      </c>
      <c r="AV160" s="683">
        <f t="shared" ref="AV160:BA160" si="415">AV77+AV85+AV95+AV109+AV125+AV134+AV159</f>
        <v>1917.31</v>
      </c>
      <c r="AW160" s="661">
        <f t="shared" si="415"/>
        <v>1511</v>
      </c>
      <c r="AX160" s="661">
        <f t="shared" si="415"/>
        <v>2268</v>
      </c>
      <c r="AY160" s="661">
        <f t="shared" si="415"/>
        <v>1078</v>
      </c>
      <c r="AZ160" s="661">
        <f t="shared" si="415"/>
        <v>0</v>
      </c>
      <c r="BA160" s="662">
        <f t="shared" si="415"/>
        <v>0</v>
      </c>
      <c r="BB160" s="380">
        <f t="shared" si="354"/>
        <v>4.8974970140457208E-2</v>
      </c>
      <c r="BC160" s="381">
        <f t="shared" si="348"/>
        <v>0.45598941098610191</v>
      </c>
      <c r="BD160" s="381">
        <f t="shared" si="349"/>
        <v>0.41754850088183421</v>
      </c>
      <c r="BE160" s="381">
        <f t="shared" si="350"/>
        <v>0.53988868274582558</v>
      </c>
      <c r="BF160" s="381" t="str">
        <f t="shared" si="351"/>
        <v/>
      </c>
      <c r="BG160" s="382" t="str">
        <f t="shared" si="352"/>
        <v/>
      </c>
      <c r="BH160" s="683">
        <f t="shared" ref="BH160:BM160" si="416">BH77+BH85+BH95+BH109+BH125+BH134+BH159</f>
        <v>93.900200000000012</v>
      </c>
      <c r="BI160" s="661">
        <f t="shared" si="416"/>
        <v>689</v>
      </c>
      <c r="BJ160" s="661">
        <f t="shared" si="416"/>
        <v>947</v>
      </c>
      <c r="BK160" s="661">
        <f t="shared" si="416"/>
        <v>582</v>
      </c>
      <c r="BL160" s="661">
        <f t="shared" si="416"/>
        <v>0</v>
      </c>
      <c r="BM160" s="662">
        <f t="shared" si="416"/>
        <v>0</v>
      </c>
      <c r="BN160" s="383"/>
      <c r="BO160" s="384"/>
      <c r="BP160" s="383"/>
      <c r="BQ160" s="384"/>
      <c r="BR160" s="383">
        <f ca="1">BR77+BR95+BR109+BR125+BR134</f>
        <v>1465</v>
      </c>
      <c r="BS160" s="384">
        <f ca="1">BS77+BS95+BS109+BS125+BS134</f>
        <v>949</v>
      </c>
      <c r="BT160" s="383">
        <f ca="1">BT77+BT95+BT109+BT125+BT134</f>
        <v>141</v>
      </c>
      <c r="BU160" s="385">
        <f ca="1">BU77+BU95+BU109+BU125+BU134</f>
        <v>89</v>
      </c>
      <c r="BV160" s="494"/>
      <c r="CC160" s="1" t="str">
        <f t="shared" ref="CC160:CC161" si="417">IF(K160="X",$Q160,"")</f>
        <v/>
      </c>
      <c r="CD160" s="1" t="str">
        <f t="shared" ref="CD160:CD161" si="418">IF(L160="X",$Q160,"")</f>
        <v/>
      </c>
      <c r="CE160" s="1" t="str">
        <f t="shared" ref="CE160:CE161" si="419">IF(M160="X",$Q160,"")</f>
        <v/>
      </c>
    </row>
    <row r="161" spans="1:83" s="395" customFormat="1" ht="31.5" customHeight="1" thickBot="1">
      <c r="A161" s="20"/>
      <c r="B161" s="387" t="s">
        <v>66</v>
      </c>
      <c r="C161" s="408"/>
      <c r="D161" s="499">
        <f t="shared" ref="D161:I161" si="420">D160+D65</f>
        <v>102</v>
      </c>
      <c r="E161" s="626">
        <f t="shared" si="420"/>
        <v>87</v>
      </c>
      <c r="F161" s="626">
        <f t="shared" si="420"/>
        <v>116</v>
      </c>
      <c r="G161" s="626">
        <f t="shared" si="420"/>
        <v>116</v>
      </c>
      <c r="H161" s="626">
        <f t="shared" si="420"/>
        <v>0</v>
      </c>
      <c r="I161" s="627">
        <f t="shared" si="420"/>
        <v>0</v>
      </c>
      <c r="J161" s="689" t="s">
        <v>79</v>
      </c>
      <c r="K161" s="673">
        <f t="shared" ref="K161:P161" si="421">K65+K160</f>
        <v>46</v>
      </c>
      <c r="L161" s="673">
        <f t="shared" si="421"/>
        <v>48</v>
      </c>
      <c r="M161" s="673">
        <f t="shared" si="421"/>
        <v>72</v>
      </c>
      <c r="N161" s="673">
        <f t="shared" si="421"/>
        <v>14</v>
      </c>
      <c r="O161" s="673">
        <f t="shared" si="421"/>
        <v>0</v>
      </c>
      <c r="P161" s="674">
        <f t="shared" si="421"/>
        <v>0</v>
      </c>
      <c r="Q161" s="388"/>
      <c r="R161" s="672">
        <f t="shared" ref="R161:AC161" si="422">R65+R160</f>
        <v>5191</v>
      </c>
      <c r="S161" s="673">
        <f t="shared" si="422"/>
        <v>4581</v>
      </c>
      <c r="T161" s="673">
        <f t="shared" si="422"/>
        <v>7331</v>
      </c>
      <c r="U161" s="673">
        <f t="shared" si="422"/>
        <v>3265</v>
      </c>
      <c r="V161" s="673">
        <f t="shared" si="422"/>
        <v>0</v>
      </c>
      <c r="W161" s="674">
        <f t="shared" si="422"/>
        <v>0</v>
      </c>
      <c r="X161" s="687">
        <f t="shared" si="422"/>
        <v>3593</v>
      </c>
      <c r="Y161" s="673">
        <f t="shared" si="422"/>
        <v>3526</v>
      </c>
      <c r="Z161" s="673">
        <f t="shared" si="422"/>
        <v>5620</v>
      </c>
      <c r="AA161" s="673">
        <f t="shared" si="422"/>
        <v>2949</v>
      </c>
      <c r="AB161" s="673">
        <f t="shared" si="422"/>
        <v>0</v>
      </c>
      <c r="AC161" s="674">
        <f t="shared" si="422"/>
        <v>0</v>
      </c>
      <c r="AD161" s="389">
        <f t="shared" si="338"/>
        <v>0.27490271623964552</v>
      </c>
      <c r="AE161" s="390">
        <f t="shared" si="339"/>
        <v>0.38921632831259551</v>
      </c>
      <c r="AF161" s="390">
        <f t="shared" si="391"/>
        <v>0.41563224662392578</v>
      </c>
      <c r="AG161" s="390">
        <f t="shared" si="340"/>
        <v>0.3742725880551302</v>
      </c>
      <c r="AH161" s="390">
        <f t="shared" si="341"/>
        <v>0</v>
      </c>
      <c r="AI161" s="391">
        <f t="shared" si="342"/>
        <v>0</v>
      </c>
      <c r="AJ161" s="687">
        <f t="shared" ref="AJ161:AO161" si="423">AJ65+AJ160</f>
        <v>1427.02</v>
      </c>
      <c r="AK161" s="673">
        <f t="shared" si="423"/>
        <v>1783</v>
      </c>
      <c r="AL161" s="673">
        <f t="shared" si="423"/>
        <v>3047</v>
      </c>
      <c r="AM161" s="673">
        <f t="shared" si="423"/>
        <v>1222</v>
      </c>
      <c r="AN161" s="673">
        <f t="shared" si="423"/>
        <v>0</v>
      </c>
      <c r="AO161" s="674">
        <f t="shared" si="423"/>
        <v>0</v>
      </c>
      <c r="AP161" s="389">
        <f t="shared" si="353"/>
        <v>0.38650163744943167</v>
      </c>
      <c r="AQ161" s="390">
        <f t="shared" si="343"/>
        <v>0.36280288146692863</v>
      </c>
      <c r="AR161" s="390">
        <f t="shared" si="344"/>
        <v>0.36066021006683946</v>
      </c>
      <c r="AS161" s="390">
        <f t="shared" si="345"/>
        <v>0.33016845329249617</v>
      </c>
      <c r="AT161" s="390" t="str">
        <f t="shared" si="346"/>
        <v/>
      </c>
      <c r="AU161" s="391" t="str">
        <f t="shared" si="347"/>
        <v/>
      </c>
      <c r="AV161" s="687">
        <f t="shared" ref="AV161:BA161" si="424">AV65+AV160</f>
        <v>2006.33</v>
      </c>
      <c r="AW161" s="673">
        <f t="shared" si="424"/>
        <v>1662</v>
      </c>
      <c r="AX161" s="673">
        <f t="shared" si="424"/>
        <v>2644</v>
      </c>
      <c r="AY161" s="673">
        <f t="shared" si="424"/>
        <v>1078</v>
      </c>
      <c r="AZ161" s="673">
        <f t="shared" si="424"/>
        <v>0</v>
      </c>
      <c r="BA161" s="674">
        <f t="shared" si="424"/>
        <v>0</v>
      </c>
      <c r="BB161" s="389">
        <f t="shared" si="354"/>
        <v>5.4258372251822992E-2</v>
      </c>
      <c r="BC161" s="390">
        <f t="shared" si="348"/>
        <v>0.43321299638989169</v>
      </c>
      <c r="BD161" s="390">
        <f t="shared" si="349"/>
        <v>0.40317700453857791</v>
      </c>
      <c r="BE161" s="390">
        <f t="shared" si="350"/>
        <v>0.53988868274582558</v>
      </c>
      <c r="BF161" s="390" t="str">
        <f t="shared" si="351"/>
        <v/>
      </c>
      <c r="BG161" s="391" t="str">
        <f t="shared" si="352"/>
        <v/>
      </c>
      <c r="BH161" s="687">
        <f t="shared" ref="BH161:BM161" si="425">BH65+BH160</f>
        <v>108.86020000000002</v>
      </c>
      <c r="BI161" s="673">
        <f t="shared" si="425"/>
        <v>720</v>
      </c>
      <c r="BJ161" s="673">
        <f t="shared" si="425"/>
        <v>1066</v>
      </c>
      <c r="BK161" s="673">
        <f t="shared" si="425"/>
        <v>582</v>
      </c>
      <c r="BL161" s="673">
        <f t="shared" si="425"/>
        <v>0</v>
      </c>
      <c r="BM161" s="674">
        <f t="shared" si="425"/>
        <v>0</v>
      </c>
      <c r="BN161" s="392"/>
      <c r="BO161" s="393"/>
      <c r="BP161" s="392"/>
      <c r="BQ161" s="393"/>
      <c r="BR161" s="392">
        <f ca="1">BR160</f>
        <v>1465</v>
      </c>
      <c r="BS161" s="393">
        <f ca="1">BS160</f>
        <v>949</v>
      </c>
      <c r="BT161" s="392">
        <f ca="1">BT160</f>
        <v>141</v>
      </c>
      <c r="BU161" s="394">
        <f ca="1">BU160</f>
        <v>89</v>
      </c>
      <c r="BV161" s="498"/>
      <c r="CC161" s="1" t="str">
        <f t="shared" si="417"/>
        <v/>
      </c>
      <c r="CD161" s="1" t="str">
        <f t="shared" si="418"/>
        <v/>
      </c>
      <c r="CE161" s="1" t="str">
        <f t="shared" si="419"/>
        <v/>
      </c>
    </row>
    <row r="162" spans="1:83" ht="15.75" thickBot="1">
      <c r="B162" s="5"/>
      <c r="C162" s="14"/>
      <c r="D162" s="14"/>
      <c r="E162" s="14"/>
      <c r="F162" s="14"/>
      <c r="G162" s="14"/>
      <c r="H162" s="14"/>
      <c r="I162" s="14"/>
      <c r="J162" s="5"/>
      <c r="K162" s="14"/>
      <c r="L162" s="14"/>
      <c r="M162" s="14"/>
      <c r="N162" s="14"/>
      <c r="O162" s="14"/>
      <c r="P162" s="14"/>
      <c r="Q162" s="14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9"/>
      <c r="AE162" s="59"/>
      <c r="AF162" s="59"/>
      <c r="AG162" s="59"/>
      <c r="AH162" s="59"/>
      <c r="AI162" s="59"/>
      <c r="AJ162" s="58"/>
      <c r="AK162" s="58"/>
      <c r="AL162" s="58"/>
      <c r="AM162" s="58"/>
      <c r="AN162" s="58"/>
      <c r="AO162" s="58"/>
      <c r="AP162" s="59"/>
      <c r="AQ162" s="59"/>
      <c r="AR162" s="59"/>
      <c r="AS162" s="59"/>
      <c r="AT162" s="59"/>
      <c r="AU162" s="59"/>
      <c r="AV162" s="58"/>
      <c r="AW162" s="58"/>
      <c r="AX162" s="58"/>
      <c r="AY162" s="58"/>
      <c r="AZ162" s="58"/>
      <c r="BA162" s="58"/>
      <c r="BB162" s="992" t="s">
        <v>68</v>
      </c>
      <c r="BC162" s="992"/>
      <c r="BD162" s="992"/>
      <c r="BE162" s="992"/>
      <c r="BF162" s="992"/>
      <c r="BG162" s="992"/>
      <c r="BH162" s="992"/>
      <c r="BI162" s="514"/>
      <c r="BJ162" s="514"/>
      <c r="BK162" s="619"/>
      <c r="BL162" s="619"/>
      <c r="BM162" s="619"/>
      <c r="BN162" s="360"/>
      <c r="BO162" s="360"/>
      <c r="BP162" s="360"/>
      <c r="BQ162" s="360"/>
      <c r="BR162" s="360"/>
      <c r="BS162" s="360"/>
      <c r="BT162" s="360"/>
      <c r="BU162" s="360"/>
    </row>
    <row r="163" spans="1:83">
      <c r="B163" s="211"/>
      <c r="C163" s="517"/>
      <c r="D163" s="517"/>
      <c r="E163" s="517"/>
      <c r="F163" s="517"/>
      <c r="G163" s="517"/>
      <c r="H163" s="517"/>
      <c r="I163" s="517"/>
      <c r="J163" s="211"/>
      <c r="K163" s="517"/>
      <c r="L163" s="517"/>
      <c r="M163" s="517"/>
      <c r="N163" s="517"/>
      <c r="O163" s="517"/>
      <c r="P163" s="517"/>
      <c r="Q163" s="517"/>
      <c r="R163" s="522" t="s">
        <v>159</v>
      </c>
      <c r="S163" s="523"/>
      <c r="T163" s="524"/>
      <c r="U163" s="608"/>
      <c r="V163" s="608"/>
      <c r="W163" s="608"/>
      <c r="X163" s="522" t="s">
        <v>44</v>
      </c>
      <c r="Y163" s="523"/>
      <c r="Z163" s="524"/>
      <c r="AA163" s="608"/>
      <c r="AB163" s="608"/>
      <c r="AC163" s="608"/>
      <c r="AD163" s="518"/>
      <c r="AE163" s="518"/>
      <c r="AF163" s="518"/>
      <c r="AG163" s="518"/>
      <c r="AH163" s="518"/>
      <c r="AI163" s="518"/>
      <c r="AJ163" s="522" t="s">
        <v>209</v>
      </c>
      <c r="AK163" s="523"/>
      <c r="AL163" s="524"/>
      <c r="AM163" s="718"/>
      <c r="AN163" s="718"/>
      <c r="AO163" s="719"/>
      <c r="AP163" s="518"/>
      <c r="AQ163" s="518"/>
      <c r="AR163" s="518"/>
      <c r="AS163" s="518"/>
      <c r="AT163" s="518"/>
      <c r="AU163" s="518"/>
      <c r="AV163" s="522" t="s">
        <v>208</v>
      </c>
      <c r="AW163" s="523"/>
      <c r="AX163" s="524"/>
      <c r="AY163" s="718"/>
      <c r="AZ163" s="718"/>
      <c r="BA163" s="719"/>
      <c r="BC163" s="518"/>
      <c r="BD163" s="518"/>
      <c r="BE163" s="518"/>
      <c r="BF163" s="518"/>
      <c r="BG163" s="518"/>
      <c r="BH163" s="522" t="s">
        <v>207</v>
      </c>
      <c r="BI163" s="523"/>
      <c r="BJ163" s="524"/>
      <c r="BK163" s="718"/>
      <c r="BL163" s="718"/>
      <c r="BM163" s="719"/>
      <c r="BN163" s="519"/>
      <c r="BO163" s="519"/>
      <c r="BP163" s="519"/>
      <c r="BQ163" s="519"/>
      <c r="BR163" s="519"/>
      <c r="BS163" s="519"/>
      <c r="BT163" s="519"/>
      <c r="BU163" s="519"/>
    </row>
    <row r="164" spans="1:83">
      <c r="H164" s="1035" t="s">
        <v>66</v>
      </c>
      <c r="J164" s="26" t="s">
        <v>205</v>
      </c>
      <c r="K164" s="413">
        <v>2020</v>
      </c>
      <c r="L164" s="413">
        <v>2021</v>
      </c>
      <c r="M164" s="413">
        <v>2022</v>
      </c>
      <c r="N164" s="413">
        <v>2023</v>
      </c>
      <c r="O164" s="413">
        <v>2024</v>
      </c>
      <c r="P164" s="413">
        <v>2025</v>
      </c>
      <c r="Q164" s="538"/>
      <c r="R164" s="525">
        <f t="shared" ref="R164:AC164" si="426">R4</f>
        <v>2020</v>
      </c>
      <c r="S164" s="526">
        <f t="shared" si="426"/>
        <v>2021</v>
      </c>
      <c r="T164" s="526">
        <f t="shared" si="426"/>
        <v>2022</v>
      </c>
      <c r="U164" s="526">
        <f t="shared" si="426"/>
        <v>2023</v>
      </c>
      <c r="V164" s="526">
        <f t="shared" si="426"/>
        <v>2024</v>
      </c>
      <c r="W164" s="527">
        <f t="shared" si="426"/>
        <v>2025</v>
      </c>
      <c r="X164" s="525">
        <f t="shared" si="426"/>
        <v>2020</v>
      </c>
      <c r="Y164" s="526">
        <f t="shared" si="426"/>
        <v>2021</v>
      </c>
      <c r="Z164" s="526">
        <f t="shared" si="426"/>
        <v>2022</v>
      </c>
      <c r="AA164" s="526">
        <f t="shared" si="426"/>
        <v>2023</v>
      </c>
      <c r="AB164" s="526">
        <f t="shared" si="426"/>
        <v>2024</v>
      </c>
      <c r="AC164" s="527">
        <f t="shared" si="426"/>
        <v>2025</v>
      </c>
      <c r="AG164" s="710"/>
      <c r="AI164" s="541"/>
      <c r="AJ164" s="525">
        <f t="shared" ref="AJ164:AO164" si="427">AJ4</f>
        <v>2020</v>
      </c>
      <c r="AK164" s="526">
        <f t="shared" si="427"/>
        <v>2021</v>
      </c>
      <c r="AL164" s="526">
        <f t="shared" si="427"/>
        <v>2022</v>
      </c>
      <c r="AM164" s="526">
        <f t="shared" si="427"/>
        <v>2023</v>
      </c>
      <c r="AN164" s="526">
        <f t="shared" si="427"/>
        <v>2024</v>
      </c>
      <c r="AO164" s="527">
        <f t="shared" si="427"/>
        <v>2025</v>
      </c>
      <c r="AS164" s="710"/>
      <c r="AU164" s="541"/>
      <c r="AV164" s="525">
        <f t="shared" ref="AV164:BA164" si="428">AV4</f>
        <v>2020</v>
      </c>
      <c r="AW164" s="526">
        <f t="shared" si="428"/>
        <v>2021</v>
      </c>
      <c r="AX164" s="526">
        <f t="shared" si="428"/>
        <v>2022</v>
      </c>
      <c r="AY164" s="526">
        <f t="shared" si="428"/>
        <v>2023</v>
      </c>
      <c r="AZ164" s="526">
        <f t="shared" si="428"/>
        <v>2024</v>
      </c>
      <c r="BA164" s="527">
        <f t="shared" si="428"/>
        <v>2025</v>
      </c>
      <c r="BC164" s="4"/>
      <c r="BD164" s="4"/>
      <c r="BE164" s="710"/>
      <c r="BF164" s="4"/>
      <c r="BG164" s="541"/>
      <c r="BH164" s="525">
        <f t="shared" ref="BH164:BM164" si="429">BH4</f>
        <v>2020</v>
      </c>
      <c r="BI164" s="526">
        <f t="shared" si="429"/>
        <v>2021</v>
      </c>
      <c r="BJ164" s="526">
        <f t="shared" si="429"/>
        <v>2022</v>
      </c>
      <c r="BK164" s="526">
        <f t="shared" si="429"/>
        <v>2023</v>
      </c>
      <c r="BL164" s="526">
        <f t="shared" si="429"/>
        <v>2024</v>
      </c>
      <c r="BM164" s="527">
        <f t="shared" si="429"/>
        <v>2025</v>
      </c>
    </row>
    <row r="165" spans="1:83">
      <c r="H165" s="1035"/>
      <c r="J165" s="1" t="s">
        <v>60</v>
      </c>
      <c r="K165" s="2">
        <f t="shared" ref="K165:P167" si="430">COUNTIF(CC$5:CC$153,$J165)</f>
        <v>21</v>
      </c>
      <c r="L165" s="2">
        <f t="shared" si="430"/>
        <v>19</v>
      </c>
      <c r="M165" s="2">
        <f t="shared" si="430"/>
        <v>36</v>
      </c>
      <c r="N165" s="2">
        <f t="shared" si="430"/>
        <v>9</v>
      </c>
      <c r="O165" s="2">
        <f t="shared" si="430"/>
        <v>0</v>
      </c>
      <c r="P165" s="2">
        <f t="shared" si="430"/>
        <v>0</v>
      </c>
      <c r="Q165" s="539" t="s">
        <v>60</v>
      </c>
      <c r="R165" s="528">
        <f t="shared" ref="R165:AC167" si="431">SUMIF($Q$5:$Q$159,$J165,R$5:R$159)</f>
        <v>1779</v>
      </c>
      <c r="S165" s="529">
        <f t="shared" si="431"/>
        <v>1057</v>
      </c>
      <c r="T165" s="529">
        <f t="shared" si="431"/>
        <v>2388</v>
      </c>
      <c r="U165" s="529">
        <f t="shared" si="431"/>
        <v>532</v>
      </c>
      <c r="V165" s="529">
        <f t="shared" si="431"/>
        <v>0</v>
      </c>
      <c r="W165" s="530">
        <f t="shared" si="431"/>
        <v>0</v>
      </c>
      <c r="X165" s="528">
        <f t="shared" si="431"/>
        <v>647</v>
      </c>
      <c r="Y165" s="529">
        <f t="shared" si="431"/>
        <v>667</v>
      </c>
      <c r="Z165" s="529">
        <f t="shared" si="431"/>
        <v>1559</v>
      </c>
      <c r="AA165" s="529">
        <f t="shared" si="431"/>
        <v>216</v>
      </c>
      <c r="AB165" s="529">
        <f t="shared" si="431"/>
        <v>0</v>
      </c>
      <c r="AC165" s="530">
        <f t="shared" si="431"/>
        <v>0</v>
      </c>
      <c r="AG165" s="211"/>
      <c r="AH165" s="692" t="s">
        <v>60</v>
      </c>
      <c r="AI165" s="539"/>
      <c r="AJ165" s="528">
        <f t="shared" ref="AJ165:AO167" si="432">SUMIF($Q$5:$Q$159,$J165,AJ$5:AJ$159)</f>
        <v>715.97</v>
      </c>
      <c r="AK165" s="529">
        <f t="shared" si="432"/>
        <v>359</v>
      </c>
      <c r="AL165" s="529">
        <f t="shared" si="432"/>
        <v>882</v>
      </c>
      <c r="AM165" s="529">
        <f t="shared" si="432"/>
        <v>235</v>
      </c>
      <c r="AN165" s="529">
        <f t="shared" si="432"/>
        <v>0</v>
      </c>
      <c r="AO165" s="530">
        <f t="shared" si="432"/>
        <v>0</v>
      </c>
      <c r="AS165" s="211"/>
      <c r="AT165" s="692" t="s">
        <v>60</v>
      </c>
      <c r="AU165" s="539"/>
      <c r="AV165" s="528">
        <f t="shared" ref="AV165:BA167" si="433">SUMIF($Q$5:$Q$159,$J165,AV$5:AV$159)</f>
        <v>663.02</v>
      </c>
      <c r="AW165" s="529">
        <f t="shared" si="433"/>
        <v>354</v>
      </c>
      <c r="AX165" s="529">
        <f t="shared" si="433"/>
        <v>820</v>
      </c>
      <c r="AY165" s="529">
        <f t="shared" si="433"/>
        <v>176</v>
      </c>
      <c r="AZ165" s="529">
        <f t="shared" si="433"/>
        <v>0</v>
      </c>
      <c r="BA165" s="530">
        <f t="shared" si="433"/>
        <v>0</v>
      </c>
      <c r="BC165" s="4"/>
      <c r="BD165" s="4"/>
      <c r="BE165" s="211"/>
      <c r="BF165" s="692" t="s">
        <v>60</v>
      </c>
      <c r="BG165" s="539"/>
      <c r="BH165" s="528">
        <f t="shared" ref="BH165:BM167" si="434">SUMIF($Q$5:$Q$159,$J165,BH$5:BH$159)</f>
        <v>14.96</v>
      </c>
      <c r="BI165" s="529">
        <f t="shared" si="434"/>
        <v>31</v>
      </c>
      <c r="BJ165" s="529">
        <f t="shared" si="434"/>
        <v>90</v>
      </c>
      <c r="BK165" s="529">
        <f t="shared" si="434"/>
        <v>97</v>
      </c>
      <c r="BL165" s="529">
        <f t="shared" si="434"/>
        <v>0</v>
      </c>
      <c r="BM165" s="530">
        <f t="shared" si="434"/>
        <v>0</v>
      </c>
    </row>
    <row r="166" spans="1:83">
      <c r="H166" s="1035"/>
      <c r="J166" s="1" t="s">
        <v>61</v>
      </c>
      <c r="K166" s="2">
        <f t="shared" si="430"/>
        <v>8</v>
      </c>
      <c r="L166" s="2">
        <f t="shared" si="430"/>
        <v>4</v>
      </c>
      <c r="M166" s="2">
        <f t="shared" si="430"/>
        <v>7</v>
      </c>
      <c r="N166" s="2">
        <f t="shared" si="430"/>
        <v>5</v>
      </c>
      <c r="O166" s="2">
        <f t="shared" si="430"/>
        <v>0</v>
      </c>
      <c r="P166" s="2">
        <f t="shared" si="430"/>
        <v>0</v>
      </c>
      <c r="Q166" s="539" t="s">
        <v>61</v>
      </c>
      <c r="R166" s="528">
        <f t="shared" si="431"/>
        <v>2211</v>
      </c>
      <c r="S166" s="529">
        <f t="shared" si="431"/>
        <v>1726</v>
      </c>
      <c r="T166" s="529">
        <f t="shared" si="431"/>
        <v>2652</v>
      </c>
      <c r="U166" s="529">
        <f t="shared" si="431"/>
        <v>2733</v>
      </c>
      <c r="V166" s="529">
        <f t="shared" si="431"/>
        <v>0</v>
      </c>
      <c r="W166" s="530">
        <f t="shared" si="431"/>
        <v>0</v>
      </c>
      <c r="X166" s="528">
        <f t="shared" si="431"/>
        <v>2211</v>
      </c>
      <c r="Y166" s="529">
        <f t="shared" si="431"/>
        <v>1726</v>
      </c>
      <c r="Z166" s="529">
        <f t="shared" si="431"/>
        <v>2652</v>
      </c>
      <c r="AA166" s="529">
        <f t="shared" si="431"/>
        <v>2733</v>
      </c>
      <c r="AB166" s="529">
        <f t="shared" si="431"/>
        <v>0</v>
      </c>
      <c r="AC166" s="530">
        <f t="shared" si="431"/>
        <v>0</v>
      </c>
      <c r="AG166" s="211"/>
      <c r="AH166" s="692" t="s">
        <v>61</v>
      </c>
      <c r="AI166" s="539"/>
      <c r="AJ166" s="528">
        <f t="shared" si="432"/>
        <v>267</v>
      </c>
      <c r="AK166" s="529">
        <f t="shared" si="432"/>
        <v>655</v>
      </c>
      <c r="AL166" s="529">
        <f t="shared" si="432"/>
        <v>1151</v>
      </c>
      <c r="AM166" s="529">
        <f t="shared" si="432"/>
        <v>1222</v>
      </c>
      <c r="AN166" s="529">
        <f t="shared" si="432"/>
        <v>0</v>
      </c>
      <c r="AO166" s="530">
        <f t="shared" si="432"/>
        <v>0</v>
      </c>
      <c r="AS166" s="211"/>
      <c r="AT166" s="692" t="s">
        <v>61</v>
      </c>
      <c r="AU166" s="539"/>
      <c r="AV166" s="528">
        <f t="shared" si="433"/>
        <v>884</v>
      </c>
      <c r="AW166" s="529">
        <f t="shared" si="433"/>
        <v>710</v>
      </c>
      <c r="AX166" s="529">
        <f t="shared" si="433"/>
        <v>1043</v>
      </c>
      <c r="AY166" s="529">
        <f t="shared" si="433"/>
        <v>1078</v>
      </c>
      <c r="AZ166" s="529">
        <f t="shared" si="433"/>
        <v>0</v>
      </c>
      <c r="BA166" s="530">
        <f t="shared" si="433"/>
        <v>0</v>
      </c>
      <c r="BC166" s="4"/>
      <c r="BD166" s="4"/>
      <c r="BE166" s="211"/>
      <c r="BF166" s="692" t="s">
        <v>61</v>
      </c>
      <c r="BG166" s="539"/>
      <c r="BH166" s="528">
        <f t="shared" si="434"/>
        <v>0</v>
      </c>
      <c r="BI166" s="529">
        <f t="shared" si="434"/>
        <v>405</v>
      </c>
      <c r="BJ166" s="529">
        <f t="shared" si="434"/>
        <v>604</v>
      </c>
      <c r="BK166" s="529">
        <f t="shared" si="434"/>
        <v>582</v>
      </c>
      <c r="BL166" s="529">
        <f t="shared" si="434"/>
        <v>0</v>
      </c>
      <c r="BM166" s="530">
        <f t="shared" si="434"/>
        <v>0</v>
      </c>
    </row>
    <row r="167" spans="1:83" ht="15.75" thickBot="1">
      <c r="H167" s="1035"/>
      <c r="J167" s="551" t="s">
        <v>62</v>
      </c>
      <c r="K167" s="552">
        <f t="shared" si="430"/>
        <v>17</v>
      </c>
      <c r="L167" s="552">
        <f t="shared" si="430"/>
        <v>25</v>
      </c>
      <c r="M167" s="552">
        <f t="shared" si="430"/>
        <v>29</v>
      </c>
      <c r="N167" s="552">
        <f t="shared" si="430"/>
        <v>0</v>
      </c>
      <c r="O167" s="552">
        <f t="shared" si="430"/>
        <v>0</v>
      </c>
      <c r="P167" s="552">
        <f t="shared" si="430"/>
        <v>0</v>
      </c>
      <c r="Q167" s="540" t="s">
        <v>62</v>
      </c>
      <c r="R167" s="531">
        <f t="shared" si="431"/>
        <v>1201</v>
      </c>
      <c r="S167" s="532">
        <f t="shared" si="431"/>
        <v>1798</v>
      </c>
      <c r="T167" s="532">
        <f t="shared" si="431"/>
        <v>2291</v>
      </c>
      <c r="U167" s="532">
        <f t="shared" si="431"/>
        <v>0</v>
      </c>
      <c r="V167" s="532">
        <f t="shared" si="431"/>
        <v>0</v>
      </c>
      <c r="W167" s="533">
        <f t="shared" si="431"/>
        <v>0</v>
      </c>
      <c r="X167" s="531">
        <f t="shared" si="431"/>
        <v>735</v>
      </c>
      <c r="Y167" s="532">
        <f t="shared" si="431"/>
        <v>1133</v>
      </c>
      <c r="Z167" s="532">
        <f t="shared" si="431"/>
        <v>1409</v>
      </c>
      <c r="AA167" s="532">
        <f t="shared" si="431"/>
        <v>0</v>
      </c>
      <c r="AB167" s="532">
        <f t="shared" si="431"/>
        <v>0</v>
      </c>
      <c r="AC167" s="533">
        <f t="shared" si="431"/>
        <v>0</v>
      </c>
      <c r="AG167" s="211"/>
      <c r="AH167" s="693" t="s">
        <v>62</v>
      </c>
      <c r="AI167" s="540"/>
      <c r="AJ167" s="531">
        <f t="shared" si="432"/>
        <v>444.04999999999995</v>
      </c>
      <c r="AK167" s="532">
        <f t="shared" si="432"/>
        <v>769</v>
      </c>
      <c r="AL167" s="532">
        <f t="shared" si="432"/>
        <v>1014</v>
      </c>
      <c r="AM167" s="532">
        <f t="shared" si="432"/>
        <v>0</v>
      </c>
      <c r="AN167" s="532">
        <f t="shared" si="432"/>
        <v>0</v>
      </c>
      <c r="AO167" s="533">
        <f t="shared" si="432"/>
        <v>0</v>
      </c>
      <c r="AS167" s="211"/>
      <c r="AT167" s="693" t="s">
        <v>62</v>
      </c>
      <c r="AU167" s="540"/>
      <c r="AV167" s="531">
        <f t="shared" si="433"/>
        <v>459.31000000000006</v>
      </c>
      <c r="AW167" s="532">
        <f t="shared" si="433"/>
        <v>598</v>
      </c>
      <c r="AX167" s="532">
        <f t="shared" si="433"/>
        <v>781</v>
      </c>
      <c r="AY167" s="532">
        <f t="shared" si="433"/>
        <v>0</v>
      </c>
      <c r="AZ167" s="532">
        <f t="shared" si="433"/>
        <v>0</v>
      </c>
      <c r="BA167" s="533">
        <f t="shared" si="433"/>
        <v>0</v>
      </c>
      <c r="BC167" s="4"/>
      <c r="BD167" s="4"/>
      <c r="BE167" s="211"/>
      <c r="BF167" s="693" t="s">
        <v>62</v>
      </c>
      <c r="BG167" s="540"/>
      <c r="BH167" s="531">
        <f t="shared" si="434"/>
        <v>93.900199999999998</v>
      </c>
      <c r="BI167" s="532">
        <f t="shared" si="434"/>
        <v>284</v>
      </c>
      <c r="BJ167" s="532">
        <f t="shared" si="434"/>
        <v>372</v>
      </c>
      <c r="BK167" s="532">
        <f t="shared" si="434"/>
        <v>0</v>
      </c>
      <c r="BL167" s="532">
        <f t="shared" si="434"/>
        <v>0</v>
      </c>
      <c r="BM167" s="533">
        <f t="shared" si="434"/>
        <v>0</v>
      </c>
    </row>
    <row r="168" spans="1:83" ht="15.75" thickBot="1">
      <c r="H168" s="1035"/>
      <c r="J168" s="553" t="s">
        <v>66</v>
      </c>
      <c r="K168" s="554">
        <f>SUM(K165:K167)</f>
        <v>46</v>
      </c>
      <c r="L168" s="554">
        <f t="shared" ref="L168:M168" si="435">SUM(L165:L167)</f>
        <v>48</v>
      </c>
      <c r="M168" s="554">
        <f t="shared" si="435"/>
        <v>72</v>
      </c>
      <c r="N168" s="554">
        <f t="shared" ref="N168:P168" si="436">SUM(N165:N167)</f>
        <v>14</v>
      </c>
      <c r="O168" s="554">
        <f t="shared" si="436"/>
        <v>0</v>
      </c>
      <c r="P168" s="554">
        <f t="shared" si="436"/>
        <v>0</v>
      </c>
      <c r="Q168" s="537" t="s">
        <v>66</v>
      </c>
      <c r="R168" s="534">
        <f>SUM(R165:R167)</f>
        <v>5191</v>
      </c>
      <c r="S168" s="535">
        <f t="shared" ref="S168:AC168" si="437">SUM(S165:S167)</f>
        <v>4581</v>
      </c>
      <c r="T168" s="535">
        <f t="shared" si="437"/>
        <v>7331</v>
      </c>
      <c r="U168" s="535">
        <f t="shared" si="437"/>
        <v>3265</v>
      </c>
      <c r="V168" s="535">
        <f t="shared" si="437"/>
        <v>0</v>
      </c>
      <c r="W168" s="536">
        <f t="shared" si="437"/>
        <v>0</v>
      </c>
      <c r="X168" s="534">
        <f t="shared" si="437"/>
        <v>3593</v>
      </c>
      <c r="Y168" s="535">
        <f t="shared" si="437"/>
        <v>3526</v>
      </c>
      <c r="Z168" s="535">
        <f t="shared" si="437"/>
        <v>5620</v>
      </c>
      <c r="AA168" s="535">
        <f t="shared" si="437"/>
        <v>2949</v>
      </c>
      <c r="AB168" s="535">
        <f t="shared" si="437"/>
        <v>0</v>
      </c>
      <c r="AC168" s="536">
        <f t="shared" si="437"/>
        <v>0</v>
      </c>
      <c r="AG168" s="520"/>
      <c r="AH168" s="553" t="s">
        <v>66</v>
      </c>
      <c r="AI168" s="537"/>
      <c r="AJ168" s="534">
        <f t="shared" ref="AJ168" si="438">SUM(AJ165:AJ167)</f>
        <v>1427.02</v>
      </c>
      <c r="AK168" s="535">
        <f t="shared" ref="AK168" si="439">SUM(AK165:AK167)</f>
        <v>1783</v>
      </c>
      <c r="AL168" s="535">
        <f t="shared" ref="AL168:AO168" si="440">SUM(AL165:AL167)</f>
        <v>3047</v>
      </c>
      <c r="AM168" s="535">
        <f t="shared" si="440"/>
        <v>1457</v>
      </c>
      <c r="AN168" s="535">
        <f t="shared" si="440"/>
        <v>0</v>
      </c>
      <c r="AO168" s="536">
        <f t="shared" si="440"/>
        <v>0</v>
      </c>
      <c r="AS168" s="520"/>
      <c r="AT168" s="553" t="s">
        <v>66</v>
      </c>
      <c r="AU168" s="537"/>
      <c r="AV168" s="534">
        <f t="shared" ref="AV168" si="441">SUM(AV165:AV167)</f>
        <v>2006.33</v>
      </c>
      <c r="AW168" s="535">
        <f t="shared" ref="AW168:AY168" si="442">SUM(AW165:AW167)</f>
        <v>1662</v>
      </c>
      <c r="AX168" s="535">
        <f t="shared" si="442"/>
        <v>2644</v>
      </c>
      <c r="AY168" s="535">
        <f t="shared" si="442"/>
        <v>1254</v>
      </c>
      <c r="AZ168" s="535">
        <f t="shared" ref="AZ168" si="443">SUM(AZ165:AZ167)</f>
        <v>0</v>
      </c>
      <c r="BA168" s="536">
        <f t="shared" ref="BA168" si="444">SUM(BA165:BA167)</f>
        <v>0</v>
      </c>
      <c r="BC168" s="4"/>
      <c r="BD168" s="4"/>
      <c r="BE168" s="520"/>
      <c r="BF168" s="553" t="s">
        <v>66</v>
      </c>
      <c r="BG168" s="537"/>
      <c r="BH168" s="534">
        <f t="shared" ref="BH168" si="445">SUM(BH165:BH167)</f>
        <v>108.86019999999999</v>
      </c>
      <c r="BI168" s="535">
        <f t="shared" ref="BI168:BL168" si="446">SUM(BI165:BI167)</f>
        <v>720</v>
      </c>
      <c r="BJ168" s="535">
        <f t="shared" si="446"/>
        <v>1066</v>
      </c>
      <c r="BK168" s="535">
        <f t="shared" si="446"/>
        <v>679</v>
      </c>
      <c r="BL168" s="535">
        <f t="shared" si="446"/>
        <v>0</v>
      </c>
      <c r="BM168" s="536">
        <f t="shared" ref="BM168" si="447">SUM(BM165:BM167)</f>
        <v>0</v>
      </c>
    </row>
    <row r="169" spans="1:83">
      <c r="J169" s="520"/>
      <c r="K169" s="521"/>
      <c r="L169" s="521"/>
      <c r="M169" s="521"/>
      <c r="N169" s="521"/>
      <c r="O169" s="521"/>
      <c r="P169" s="521"/>
      <c r="Q169" s="517"/>
      <c r="AG169" s="517"/>
      <c r="AH169" s="517"/>
      <c r="AI169" s="517"/>
      <c r="AJ169" s="563">
        <f>AJ168/R168</f>
        <v>0.27490271623964552</v>
      </c>
      <c r="AK169" s="563">
        <f>AK168/S168</f>
        <v>0.38921632831259551</v>
      </c>
      <c r="AL169" s="563">
        <f>AL168/T168</f>
        <v>0.41563224662392578</v>
      </c>
      <c r="AM169" s="563">
        <f t="shared" ref="AM169:AO169" si="448">AM168/U168</f>
        <v>0.44624808575803981</v>
      </c>
      <c r="AN169" s="563" t="e">
        <f t="shared" si="448"/>
        <v>#DIV/0!</v>
      </c>
      <c r="AO169" s="563" t="e">
        <f t="shared" si="448"/>
        <v>#DIV/0!</v>
      </c>
      <c r="AS169" s="517"/>
      <c r="AT169" s="517"/>
      <c r="AU169" s="517"/>
      <c r="AV169" s="563">
        <f>AV168/R168</f>
        <v>0.38650163744943167</v>
      </c>
      <c r="AW169" s="563">
        <f>AW168/S168</f>
        <v>0.36280288146692863</v>
      </c>
      <c r="AX169" s="563">
        <f t="shared" ref="AX169:AY169" si="449">AX168/T168</f>
        <v>0.36066021006683946</v>
      </c>
      <c r="AY169" s="563">
        <f t="shared" si="449"/>
        <v>0.38407350689127107</v>
      </c>
      <c r="AZ169" s="563" t="e">
        <f>AZ168/V168</f>
        <v>#DIV/0!</v>
      </c>
      <c r="BA169" s="563" t="e">
        <f>BA168/W168</f>
        <v>#DIV/0!</v>
      </c>
      <c r="BC169" s="4"/>
      <c r="BD169" s="4"/>
      <c r="BE169" s="517"/>
      <c r="BF169" s="517"/>
      <c r="BG169" s="517"/>
      <c r="BH169" s="2"/>
      <c r="BI169" s="2"/>
      <c r="BJ169" s="2"/>
      <c r="BK169" s="2"/>
      <c r="BL169" s="2"/>
      <c r="BM169" s="2"/>
    </row>
    <row r="170" spans="1:83" ht="15.75" thickBot="1">
      <c r="J170" s="520"/>
      <c r="K170" s="521"/>
      <c r="L170" s="562"/>
      <c r="M170" s="521"/>
      <c r="N170" s="562"/>
      <c r="O170" s="562"/>
      <c r="P170" s="562"/>
      <c r="Q170" s="555"/>
      <c r="R170" s="556"/>
      <c r="S170" s="557"/>
      <c r="T170" s="557"/>
      <c r="U170" s="557"/>
      <c r="V170" s="557"/>
      <c r="W170" s="557"/>
      <c r="X170" s="556"/>
      <c r="Y170" s="557"/>
      <c r="Z170" s="557"/>
      <c r="AA170" s="557"/>
      <c r="AB170" s="557"/>
      <c r="AC170" s="557"/>
      <c r="AD170" s="558"/>
      <c r="AG170" s="555"/>
      <c r="AH170" s="555"/>
      <c r="AI170" s="555"/>
      <c r="AJ170" s="556"/>
      <c r="AK170" s="557"/>
      <c r="AL170" s="557"/>
      <c r="AM170" s="557"/>
      <c r="AN170" s="557"/>
      <c r="AO170" s="557"/>
      <c r="AP170" s="558"/>
      <c r="AS170" s="555"/>
      <c r="AT170" s="555"/>
      <c r="AU170" s="555"/>
      <c r="AV170" s="556"/>
      <c r="AW170" s="557"/>
      <c r="AX170" s="557"/>
      <c r="AY170" s="557"/>
      <c r="AZ170" s="557"/>
      <c r="BA170" s="557"/>
      <c r="BB170" s="559"/>
      <c r="BC170" s="4"/>
      <c r="BD170" s="4"/>
      <c r="BE170" s="555"/>
      <c r="BF170" s="555"/>
      <c r="BG170" s="555"/>
      <c r="BH170" s="556"/>
      <c r="BI170" s="557"/>
      <c r="BJ170" s="557"/>
      <c r="BK170" s="557"/>
      <c r="BL170" s="557"/>
      <c r="BM170" s="557"/>
      <c r="BN170" s="560"/>
    </row>
    <row r="171" spans="1:83" s="777" customFormat="1">
      <c r="A171" s="793"/>
      <c r="B171" s="825"/>
      <c r="C171" s="926"/>
      <c r="D171" s="926"/>
      <c r="E171" s="926"/>
      <c r="F171" s="926"/>
      <c r="G171" s="926"/>
      <c r="H171" s="926"/>
      <c r="I171" s="926"/>
      <c r="J171" s="825"/>
      <c r="K171" s="926"/>
      <c r="L171" s="926"/>
      <c r="M171" s="926"/>
      <c r="N171" s="926"/>
      <c r="O171" s="926"/>
      <c r="P171" s="926"/>
      <c r="Q171" s="926"/>
      <c r="R171" s="931" t="s">
        <v>159</v>
      </c>
      <c r="S171" s="932"/>
      <c r="T171" s="933"/>
      <c r="U171" s="960"/>
      <c r="V171" s="960"/>
      <c r="W171" s="960"/>
      <c r="X171" s="931" t="s">
        <v>44</v>
      </c>
      <c r="Y171" s="932"/>
      <c r="Z171" s="933"/>
      <c r="AA171" s="960"/>
      <c r="AB171" s="960"/>
      <c r="AC171" s="960"/>
      <c r="AD171" s="927"/>
      <c r="AE171" s="927"/>
      <c r="AF171" s="927"/>
      <c r="AG171" s="927"/>
      <c r="AH171" s="927"/>
      <c r="AI171" s="927"/>
      <c r="AJ171" s="931" t="s">
        <v>209</v>
      </c>
      <c r="AK171" s="932"/>
      <c r="AL171" s="933"/>
      <c r="AM171" s="718"/>
      <c r="AN171" s="718"/>
      <c r="AO171" s="719"/>
      <c r="AP171" s="927"/>
      <c r="AQ171" s="927"/>
      <c r="AR171" s="927"/>
      <c r="AS171" s="927"/>
      <c r="AT171" s="927"/>
      <c r="AU171" s="927"/>
      <c r="AV171" s="931" t="s">
        <v>208</v>
      </c>
      <c r="AW171" s="932"/>
      <c r="AX171" s="933"/>
      <c r="AY171" s="718"/>
      <c r="AZ171" s="718"/>
      <c r="BA171" s="719"/>
      <c r="BB171" s="779"/>
      <c r="BC171" s="927"/>
      <c r="BD171" s="927"/>
      <c r="BE171" s="927"/>
      <c r="BF171" s="927"/>
      <c r="BG171" s="927"/>
      <c r="BH171" s="931" t="s">
        <v>207</v>
      </c>
      <c r="BI171" s="932"/>
      <c r="BJ171" s="933"/>
      <c r="BK171" s="718"/>
      <c r="BL171" s="718"/>
      <c r="BM171" s="719"/>
      <c r="BN171" s="928"/>
      <c r="BO171" s="928"/>
      <c r="BP171" s="928"/>
      <c r="BQ171" s="928"/>
      <c r="BR171" s="928"/>
      <c r="BS171" s="928"/>
      <c r="BT171" s="928"/>
      <c r="BU171" s="928"/>
      <c r="BV171" s="919"/>
    </row>
    <row r="172" spans="1:83" s="777" customFormat="1">
      <c r="A172" s="793"/>
      <c r="C172" s="778"/>
      <c r="D172" s="778"/>
      <c r="E172" s="778"/>
      <c r="F172" s="778"/>
      <c r="G172" s="778"/>
      <c r="H172" s="1035" t="s">
        <v>230</v>
      </c>
      <c r="I172" s="778"/>
      <c r="J172" s="798" t="s">
        <v>205</v>
      </c>
      <c r="K172" s="900">
        <v>2020</v>
      </c>
      <c r="L172" s="900">
        <v>2021</v>
      </c>
      <c r="M172" s="900">
        <v>2022</v>
      </c>
      <c r="N172" s="900">
        <v>2023</v>
      </c>
      <c r="O172" s="900">
        <v>2024</v>
      </c>
      <c r="P172" s="900">
        <v>2025</v>
      </c>
      <c r="Q172" s="947"/>
      <c r="R172" s="934">
        <f>R4</f>
        <v>2020</v>
      </c>
      <c r="S172" s="935">
        <f t="shared" ref="S172:AC172" si="450">S4</f>
        <v>2021</v>
      </c>
      <c r="T172" s="935">
        <f t="shared" si="450"/>
        <v>2022</v>
      </c>
      <c r="U172" s="935">
        <f t="shared" si="450"/>
        <v>2023</v>
      </c>
      <c r="V172" s="935">
        <f t="shared" si="450"/>
        <v>2024</v>
      </c>
      <c r="W172" s="936">
        <f t="shared" si="450"/>
        <v>2025</v>
      </c>
      <c r="X172" s="934">
        <f t="shared" si="450"/>
        <v>2020</v>
      </c>
      <c r="Y172" s="935">
        <f t="shared" si="450"/>
        <v>2021</v>
      </c>
      <c r="Z172" s="935">
        <f t="shared" si="450"/>
        <v>2022</v>
      </c>
      <c r="AA172" s="935">
        <f t="shared" si="450"/>
        <v>2023</v>
      </c>
      <c r="AB172" s="935">
        <f t="shared" si="450"/>
        <v>2024</v>
      </c>
      <c r="AC172" s="936">
        <f t="shared" si="450"/>
        <v>2025</v>
      </c>
      <c r="AD172" s="780"/>
      <c r="AE172" s="780"/>
      <c r="AF172" s="780"/>
      <c r="AG172" s="710"/>
      <c r="AH172" s="780"/>
      <c r="AI172" s="950"/>
      <c r="AJ172" s="934">
        <f>AJ4</f>
        <v>2020</v>
      </c>
      <c r="AK172" s="935">
        <f t="shared" ref="AK172:AO172" si="451">AK4</f>
        <v>2021</v>
      </c>
      <c r="AL172" s="935">
        <f t="shared" si="451"/>
        <v>2022</v>
      </c>
      <c r="AM172" s="935">
        <f t="shared" si="451"/>
        <v>2023</v>
      </c>
      <c r="AN172" s="935">
        <f t="shared" si="451"/>
        <v>2024</v>
      </c>
      <c r="AO172" s="936">
        <f t="shared" si="451"/>
        <v>2025</v>
      </c>
      <c r="AP172" s="780"/>
      <c r="AQ172" s="780"/>
      <c r="AR172" s="780"/>
      <c r="AS172" s="710"/>
      <c r="AT172" s="780"/>
      <c r="AU172" s="950"/>
      <c r="AV172" s="934">
        <f>AV4</f>
        <v>2020</v>
      </c>
      <c r="AW172" s="935">
        <f t="shared" ref="AW172:BA172" si="452">AW4</f>
        <v>2021</v>
      </c>
      <c r="AX172" s="935">
        <f t="shared" si="452"/>
        <v>2022</v>
      </c>
      <c r="AY172" s="935">
        <f t="shared" si="452"/>
        <v>2023</v>
      </c>
      <c r="AZ172" s="935">
        <f t="shared" si="452"/>
        <v>2024</v>
      </c>
      <c r="BA172" s="936">
        <f t="shared" si="452"/>
        <v>2025</v>
      </c>
      <c r="BB172" s="779"/>
      <c r="BC172" s="780"/>
      <c r="BD172" s="780"/>
      <c r="BE172" s="710"/>
      <c r="BF172" s="780"/>
      <c r="BG172" s="950"/>
      <c r="BH172" s="934">
        <f t="shared" ref="BH172:BM172" si="453">BH4</f>
        <v>2020</v>
      </c>
      <c r="BI172" s="935">
        <f t="shared" si="453"/>
        <v>2021</v>
      </c>
      <c r="BJ172" s="935">
        <f t="shared" si="453"/>
        <v>2022</v>
      </c>
      <c r="BK172" s="935">
        <f t="shared" si="453"/>
        <v>2023</v>
      </c>
      <c r="BL172" s="935">
        <f t="shared" si="453"/>
        <v>2024</v>
      </c>
      <c r="BM172" s="936">
        <f t="shared" si="453"/>
        <v>2025</v>
      </c>
      <c r="BN172" s="876"/>
      <c r="BO172" s="876"/>
      <c r="BP172" s="876"/>
      <c r="BQ172" s="876"/>
      <c r="BR172" s="876"/>
      <c r="BS172" s="876"/>
      <c r="BT172" s="876"/>
      <c r="BU172" s="876"/>
      <c r="BV172" s="919"/>
    </row>
    <row r="173" spans="1:83" s="777" customFormat="1">
      <c r="A173" s="793"/>
      <c r="C173" s="778"/>
      <c r="D173" s="778"/>
      <c r="E173" s="778"/>
      <c r="F173" s="778"/>
      <c r="G173" s="778"/>
      <c r="H173" s="1035"/>
      <c r="I173" s="778"/>
      <c r="J173" s="777" t="s">
        <v>60</v>
      </c>
      <c r="K173" s="778">
        <f t="shared" ref="K173:P175" si="454">COUNTIF(CC$5:CC$153,$J173)</f>
        <v>21</v>
      </c>
      <c r="L173" s="778">
        <f t="shared" si="454"/>
        <v>19</v>
      </c>
      <c r="M173" s="778">
        <f t="shared" si="454"/>
        <v>36</v>
      </c>
      <c r="N173" s="778">
        <f t="shared" si="454"/>
        <v>9</v>
      </c>
      <c r="O173" s="778">
        <f t="shared" si="454"/>
        <v>0</v>
      </c>
      <c r="P173" s="778">
        <f t="shared" si="454"/>
        <v>0</v>
      </c>
      <c r="Q173" s="948" t="s">
        <v>60</v>
      </c>
      <c r="R173" s="937">
        <f t="shared" ref="R173:AC175" si="455">AVERAGEIF($Q$5:$Q$159,$J173,R$5:R$159)</f>
        <v>42.357142857142854</v>
      </c>
      <c r="S173" s="938">
        <f t="shared" si="455"/>
        <v>25.166666666666668</v>
      </c>
      <c r="T173" s="938">
        <f t="shared" si="455"/>
        <v>58.243902439024389</v>
      </c>
      <c r="U173" s="938">
        <f t="shared" si="455"/>
        <v>12.666666666666666</v>
      </c>
      <c r="V173" s="938">
        <f t="shared" si="455"/>
        <v>0</v>
      </c>
      <c r="W173" s="939">
        <f t="shared" si="455"/>
        <v>0</v>
      </c>
      <c r="X173" s="937">
        <f t="shared" si="455"/>
        <v>15.404761904761905</v>
      </c>
      <c r="Y173" s="938">
        <f t="shared" si="455"/>
        <v>15.880952380952381</v>
      </c>
      <c r="Z173" s="938">
        <f t="shared" si="455"/>
        <v>38.024390243902438</v>
      </c>
      <c r="AA173" s="938">
        <f t="shared" si="455"/>
        <v>5.1428571428571432</v>
      </c>
      <c r="AB173" s="938">
        <f t="shared" si="455"/>
        <v>0</v>
      </c>
      <c r="AC173" s="939">
        <f t="shared" si="455"/>
        <v>0</v>
      </c>
      <c r="AD173" s="780"/>
      <c r="AE173" s="780"/>
      <c r="AF173" s="780"/>
      <c r="AG173" s="825"/>
      <c r="AH173" s="692" t="s">
        <v>60</v>
      </c>
      <c r="AI173" s="948"/>
      <c r="AJ173" s="937">
        <f t="shared" ref="AJ173:AO175" si="456">AVERAGEIF($Q$5:$Q$159,$J173,AJ$5:AJ$159)</f>
        <v>17.046904761904763</v>
      </c>
      <c r="AK173" s="938">
        <f t="shared" si="456"/>
        <v>8.5476190476190474</v>
      </c>
      <c r="AL173" s="938">
        <f t="shared" si="456"/>
        <v>21.512195121951219</v>
      </c>
      <c r="AM173" s="938">
        <f t="shared" si="456"/>
        <v>5.5952380952380949</v>
      </c>
      <c r="AN173" s="938">
        <f t="shared" si="456"/>
        <v>0</v>
      </c>
      <c r="AO173" s="939">
        <f t="shared" si="456"/>
        <v>0</v>
      </c>
      <c r="AP173" s="780"/>
      <c r="AQ173" s="780"/>
      <c r="AR173" s="780"/>
      <c r="AS173" s="825"/>
      <c r="AT173" s="692" t="s">
        <v>60</v>
      </c>
      <c r="AU173" s="948"/>
      <c r="AV173" s="937">
        <f t="shared" ref="AV173:BA175" si="457">AVERAGEIF($Q$5:$Q$159,$J173,AV$5:AV$159)</f>
        <v>15.786190476190475</v>
      </c>
      <c r="AW173" s="938">
        <f t="shared" si="457"/>
        <v>8.4285714285714288</v>
      </c>
      <c r="AX173" s="938">
        <f t="shared" si="457"/>
        <v>20</v>
      </c>
      <c r="AY173" s="938">
        <f t="shared" si="457"/>
        <v>4.1904761904761907</v>
      </c>
      <c r="AZ173" s="938">
        <f t="shared" si="457"/>
        <v>0</v>
      </c>
      <c r="BA173" s="939">
        <f t="shared" si="457"/>
        <v>0</v>
      </c>
      <c r="BB173" s="779"/>
      <c r="BC173" s="780"/>
      <c r="BD173" s="780"/>
      <c r="BE173" s="825"/>
      <c r="BF173" s="692" t="s">
        <v>60</v>
      </c>
      <c r="BG173" s="948"/>
      <c r="BH173" s="937">
        <f t="shared" ref="BH173:BM175" si="458">AVERAGEIF($Q$5:$Q$159,$J173,BH$5:BH$159)</f>
        <v>1.1507692307692308</v>
      </c>
      <c r="BI173" s="938">
        <f t="shared" si="458"/>
        <v>2.3846153846153846</v>
      </c>
      <c r="BJ173" s="938">
        <f t="shared" si="458"/>
        <v>2.4324324324324325</v>
      </c>
      <c r="BK173" s="938">
        <f t="shared" si="458"/>
        <v>2.4871794871794872</v>
      </c>
      <c r="BL173" s="938">
        <f t="shared" si="458"/>
        <v>0</v>
      </c>
      <c r="BM173" s="939">
        <f t="shared" si="458"/>
        <v>0</v>
      </c>
      <c r="BN173" s="876"/>
      <c r="BO173" s="876"/>
      <c r="BP173" s="876"/>
      <c r="BQ173" s="876"/>
      <c r="BR173" s="876"/>
      <c r="BS173" s="876"/>
      <c r="BT173" s="876"/>
      <c r="BU173" s="876"/>
      <c r="BV173" s="919"/>
    </row>
    <row r="174" spans="1:83" s="777" customFormat="1">
      <c r="A174" s="793"/>
      <c r="C174" s="778"/>
      <c r="D174" s="778"/>
      <c r="E174" s="778"/>
      <c r="F174" s="778"/>
      <c r="G174" s="778"/>
      <c r="H174" s="1035"/>
      <c r="I174" s="778"/>
      <c r="J174" s="777" t="s">
        <v>61</v>
      </c>
      <c r="K174" s="778">
        <f t="shared" si="454"/>
        <v>8</v>
      </c>
      <c r="L174" s="778">
        <f t="shared" si="454"/>
        <v>4</v>
      </c>
      <c r="M174" s="778">
        <f t="shared" si="454"/>
        <v>7</v>
      </c>
      <c r="N174" s="778">
        <f t="shared" si="454"/>
        <v>5</v>
      </c>
      <c r="O174" s="778">
        <f t="shared" si="454"/>
        <v>0</v>
      </c>
      <c r="P174" s="778">
        <f t="shared" si="454"/>
        <v>0</v>
      </c>
      <c r="Q174" s="948" t="s">
        <v>61</v>
      </c>
      <c r="R174" s="937">
        <f t="shared" si="455"/>
        <v>138.1875</v>
      </c>
      <c r="S174" s="938">
        <f t="shared" si="455"/>
        <v>107.875</v>
      </c>
      <c r="T174" s="938">
        <f t="shared" si="455"/>
        <v>165.75</v>
      </c>
      <c r="U174" s="938">
        <f t="shared" si="455"/>
        <v>170.8125</v>
      </c>
      <c r="V174" s="938">
        <f t="shared" si="455"/>
        <v>0</v>
      </c>
      <c r="W174" s="939">
        <f t="shared" si="455"/>
        <v>0</v>
      </c>
      <c r="X174" s="937">
        <f t="shared" si="455"/>
        <v>138.1875</v>
      </c>
      <c r="Y174" s="938">
        <f t="shared" si="455"/>
        <v>107.875</v>
      </c>
      <c r="Z174" s="938">
        <f t="shared" si="455"/>
        <v>165.75</v>
      </c>
      <c r="AA174" s="938">
        <f t="shared" si="455"/>
        <v>170.8125</v>
      </c>
      <c r="AB174" s="938">
        <f t="shared" si="455"/>
        <v>0</v>
      </c>
      <c r="AC174" s="939">
        <f t="shared" si="455"/>
        <v>0</v>
      </c>
      <c r="AD174" s="780"/>
      <c r="AE174" s="780"/>
      <c r="AF174" s="780"/>
      <c r="AG174" s="825"/>
      <c r="AH174" s="692" t="s">
        <v>61</v>
      </c>
      <c r="AI174" s="948"/>
      <c r="AJ174" s="937">
        <f t="shared" si="456"/>
        <v>16.6875</v>
      </c>
      <c r="AK174" s="938">
        <f t="shared" si="456"/>
        <v>40.9375</v>
      </c>
      <c r="AL174" s="938">
        <f t="shared" si="456"/>
        <v>71.9375</v>
      </c>
      <c r="AM174" s="938">
        <f t="shared" si="456"/>
        <v>76.375</v>
      </c>
      <c r="AN174" s="938">
        <f t="shared" si="456"/>
        <v>0</v>
      </c>
      <c r="AO174" s="939">
        <f t="shared" si="456"/>
        <v>0</v>
      </c>
      <c r="AP174" s="780"/>
      <c r="AQ174" s="780"/>
      <c r="AR174" s="780"/>
      <c r="AS174" s="825"/>
      <c r="AT174" s="692" t="s">
        <v>61</v>
      </c>
      <c r="AU174" s="948"/>
      <c r="AV174" s="937">
        <f t="shared" si="457"/>
        <v>55.25</v>
      </c>
      <c r="AW174" s="938">
        <f t="shared" si="457"/>
        <v>44.375</v>
      </c>
      <c r="AX174" s="938">
        <f t="shared" si="457"/>
        <v>65.1875</v>
      </c>
      <c r="AY174" s="938">
        <f t="shared" si="457"/>
        <v>67.375</v>
      </c>
      <c r="AZ174" s="938">
        <f t="shared" si="457"/>
        <v>0</v>
      </c>
      <c r="BA174" s="939">
        <f t="shared" si="457"/>
        <v>0</v>
      </c>
      <c r="BB174" s="779"/>
      <c r="BC174" s="780"/>
      <c r="BD174" s="780"/>
      <c r="BE174" s="825"/>
      <c r="BF174" s="692" t="s">
        <v>61</v>
      </c>
      <c r="BG174" s="948"/>
      <c r="BH174" s="937">
        <f t="shared" si="458"/>
        <v>0</v>
      </c>
      <c r="BI174" s="938">
        <f t="shared" si="458"/>
        <v>25.3125</v>
      </c>
      <c r="BJ174" s="938">
        <f t="shared" si="458"/>
        <v>37.75</v>
      </c>
      <c r="BK174" s="938">
        <f t="shared" si="458"/>
        <v>36.375</v>
      </c>
      <c r="BL174" s="938">
        <f t="shared" si="458"/>
        <v>0</v>
      </c>
      <c r="BM174" s="939">
        <f t="shared" si="458"/>
        <v>0</v>
      </c>
      <c r="BN174" s="876"/>
      <c r="BO174" s="876"/>
      <c r="BP174" s="876"/>
      <c r="BQ174" s="876"/>
      <c r="BR174" s="876"/>
      <c r="BS174" s="876"/>
      <c r="BT174" s="876"/>
      <c r="BU174" s="876"/>
      <c r="BV174" s="919"/>
    </row>
    <row r="175" spans="1:83" s="777" customFormat="1" ht="15.75" thickBot="1">
      <c r="A175" s="793"/>
      <c r="C175" s="778"/>
      <c r="D175" s="778"/>
      <c r="E175" s="778"/>
      <c r="F175" s="778"/>
      <c r="G175" s="778"/>
      <c r="H175" s="1035"/>
      <c r="I175" s="778"/>
      <c r="J175" s="954" t="s">
        <v>62</v>
      </c>
      <c r="K175" s="955">
        <f t="shared" si="454"/>
        <v>17</v>
      </c>
      <c r="L175" s="955">
        <f t="shared" si="454"/>
        <v>25</v>
      </c>
      <c r="M175" s="955">
        <f t="shared" si="454"/>
        <v>29</v>
      </c>
      <c r="N175" s="955">
        <f t="shared" si="454"/>
        <v>0</v>
      </c>
      <c r="O175" s="955">
        <f t="shared" si="454"/>
        <v>0</v>
      </c>
      <c r="P175" s="955">
        <f t="shared" si="454"/>
        <v>0</v>
      </c>
      <c r="Q175" s="949" t="s">
        <v>62</v>
      </c>
      <c r="R175" s="940">
        <f t="shared" si="455"/>
        <v>30.794871794871796</v>
      </c>
      <c r="S175" s="941">
        <f t="shared" si="455"/>
        <v>46.102564102564102</v>
      </c>
      <c r="T175" s="941">
        <f t="shared" si="455"/>
        <v>58.743589743589745</v>
      </c>
      <c r="U175" s="941">
        <f t="shared" si="455"/>
        <v>0</v>
      </c>
      <c r="V175" s="941">
        <f t="shared" si="455"/>
        <v>0</v>
      </c>
      <c r="W175" s="942">
        <f t="shared" si="455"/>
        <v>0</v>
      </c>
      <c r="X175" s="940">
        <f t="shared" si="455"/>
        <v>18.846153846153847</v>
      </c>
      <c r="Y175" s="941">
        <f t="shared" si="455"/>
        <v>29.051282051282051</v>
      </c>
      <c r="Z175" s="941">
        <f t="shared" si="455"/>
        <v>36.128205128205131</v>
      </c>
      <c r="AA175" s="941">
        <f t="shared" si="455"/>
        <v>0</v>
      </c>
      <c r="AB175" s="941">
        <f t="shared" si="455"/>
        <v>0</v>
      </c>
      <c r="AC175" s="942">
        <f t="shared" si="455"/>
        <v>0</v>
      </c>
      <c r="AD175" s="780"/>
      <c r="AE175" s="780"/>
      <c r="AF175" s="780"/>
      <c r="AG175" s="825"/>
      <c r="AH175" s="693" t="s">
        <v>62</v>
      </c>
      <c r="AI175" s="949"/>
      <c r="AJ175" s="940">
        <f t="shared" si="456"/>
        <v>11.385897435897435</v>
      </c>
      <c r="AK175" s="941">
        <f t="shared" si="456"/>
        <v>19.717948717948719</v>
      </c>
      <c r="AL175" s="941">
        <f t="shared" si="456"/>
        <v>26</v>
      </c>
      <c r="AM175" s="941">
        <f t="shared" si="456"/>
        <v>0</v>
      </c>
      <c r="AN175" s="941">
        <f t="shared" si="456"/>
        <v>0</v>
      </c>
      <c r="AO175" s="942">
        <f t="shared" si="456"/>
        <v>0</v>
      </c>
      <c r="AP175" s="780"/>
      <c r="AQ175" s="780"/>
      <c r="AR175" s="780"/>
      <c r="AS175" s="825"/>
      <c r="AT175" s="693" t="s">
        <v>62</v>
      </c>
      <c r="AU175" s="949"/>
      <c r="AV175" s="940">
        <f t="shared" si="457"/>
        <v>11.777179487179488</v>
      </c>
      <c r="AW175" s="941">
        <f t="shared" si="457"/>
        <v>15.333333333333334</v>
      </c>
      <c r="AX175" s="941">
        <f t="shared" si="457"/>
        <v>20.025641025641026</v>
      </c>
      <c r="AY175" s="941">
        <f t="shared" si="457"/>
        <v>0</v>
      </c>
      <c r="AZ175" s="941">
        <f t="shared" si="457"/>
        <v>0</v>
      </c>
      <c r="BA175" s="942">
        <f t="shared" si="457"/>
        <v>0</v>
      </c>
      <c r="BB175" s="779"/>
      <c r="BC175" s="780"/>
      <c r="BD175" s="780"/>
      <c r="BE175" s="825"/>
      <c r="BF175" s="693" t="s">
        <v>62</v>
      </c>
      <c r="BG175" s="949"/>
      <c r="BH175" s="940">
        <f t="shared" si="458"/>
        <v>3.0290387096774194</v>
      </c>
      <c r="BI175" s="941">
        <f t="shared" si="458"/>
        <v>8.1142857142857139</v>
      </c>
      <c r="BJ175" s="941">
        <f t="shared" si="458"/>
        <v>9.5384615384615383</v>
      </c>
      <c r="BK175" s="941">
        <f t="shared" si="458"/>
        <v>0</v>
      </c>
      <c r="BL175" s="941">
        <f t="shared" si="458"/>
        <v>0</v>
      </c>
      <c r="BM175" s="942">
        <f t="shared" si="458"/>
        <v>0</v>
      </c>
      <c r="BN175" s="876"/>
      <c r="BO175" s="876"/>
      <c r="BP175" s="876"/>
      <c r="BQ175" s="876"/>
      <c r="BR175" s="876"/>
      <c r="BS175" s="876"/>
      <c r="BT175" s="876"/>
      <c r="BU175" s="876"/>
      <c r="BV175" s="919"/>
    </row>
    <row r="176" spans="1:83" s="777" customFormat="1" ht="15.75" thickBot="1">
      <c r="A176" s="793"/>
      <c r="C176" s="778"/>
      <c r="D176" s="778"/>
      <c r="E176" s="778"/>
      <c r="F176" s="778"/>
      <c r="G176" s="778"/>
      <c r="H176" s="1035"/>
      <c r="I176" s="778"/>
      <c r="J176" s="956" t="s">
        <v>66</v>
      </c>
      <c r="K176" s="957">
        <f>SUM(K173:K175)</f>
        <v>46</v>
      </c>
      <c r="L176" s="957">
        <f t="shared" ref="L176:P176" si="459">SUM(L173:L175)</f>
        <v>48</v>
      </c>
      <c r="M176" s="957">
        <f t="shared" si="459"/>
        <v>72</v>
      </c>
      <c r="N176" s="957">
        <f t="shared" si="459"/>
        <v>14</v>
      </c>
      <c r="O176" s="957">
        <f t="shared" si="459"/>
        <v>0</v>
      </c>
      <c r="P176" s="957">
        <f t="shared" si="459"/>
        <v>0</v>
      </c>
      <c r="Q176" s="946" t="s">
        <v>66</v>
      </c>
      <c r="R176" s="943">
        <f>SUM(R173:R175)</f>
        <v>211.33951465201466</v>
      </c>
      <c r="S176" s="944">
        <f t="shared" ref="S176:AC176" si="460">SUM(S173:S175)</f>
        <v>179.14423076923077</v>
      </c>
      <c r="T176" s="944">
        <f t="shared" si="460"/>
        <v>282.73749218261412</v>
      </c>
      <c r="U176" s="944">
        <f t="shared" si="460"/>
        <v>183.47916666666666</v>
      </c>
      <c r="V176" s="944">
        <f t="shared" si="460"/>
        <v>0</v>
      </c>
      <c r="W176" s="945">
        <f t="shared" si="460"/>
        <v>0</v>
      </c>
      <c r="X176" s="943">
        <f t="shared" si="460"/>
        <v>172.43841575091574</v>
      </c>
      <c r="Y176" s="944">
        <f t="shared" si="460"/>
        <v>152.80723443223442</v>
      </c>
      <c r="Z176" s="944">
        <f t="shared" si="460"/>
        <v>239.90259537210758</v>
      </c>
      <c r="AA176" s="944">
        <f t="shared" si="460"/>
        <v>175.95535714285714</v>
      </c>
      <c r="AB176" s="944">
        <f t="shared" si="460"/>
        <v>0</v>
      </c>
      <c r="AC176" s="945">
        <f t="shared" si="460"/>
        <v>0</v>
      </c>
      <c r="AD176" s="780"/>
      <c r="AE176" s="780"/>
      <c r="AF176" s="780"/>
      <c r="AG176" s="929"/>
      <c r="AH176" s="956" t="s">
        <v>66</v>
      </c>
      <c r="AI176" s="946"/>
      <c r="AJ176" s="943">
        <f t="shared" ref="AJ176:AO176" si="461">SUM(AJ173:AJ175)</f>
        <v>45.120302197802197</v>
      </c>
      <c r="AK176" s="944">
        <f t="shared" si="461"/>
        <v>69.203067765567766</v>
      </c>
      <c r="AL176" s="944">
        <f t="shared" si="461"/>
        <v>119.44969512195122</v>
      </c>
      <c r="AM176" s="944">
        <f t="shared" si="461"/>
        <v>81.970238095238102</v>
      </c>
      <c r="AN176" s="944">
        <f t="shared" si="461"/>
        <v>0</v>
      </c>
      <c r="AO176" s="945">
        <f t="shared" si="461"/>
        <v>0</v>
      </c>
      <c r="AP176" s="780"/>
      <c r="AQ176" s="780"/>
      <c r="AR176" s="780"/>
      <c r="AS176" s="929"/>
      <c r="AT176" s="956" t="s">
        <v>66</v>
      </c>
      <c r="AU176" s="946"/>
      <c r="AV176" s="943">
        <f t="shared" ref="AV176:BA176" si="462">SUM(AV173:AV175)</f>
        <v>82.813369963369951</v>
      </c>
      <c r="AW176" s="944">
        <f t="shared" si="462"/>
        <v>68.136904761904759</v>
      </c>
      <c r="AX176" s="944">
        <f t="shared" si="462"/>
        <v>105.21314102564102</v>
      </c>
      <c r="AY176" s="944">
        <f t="shared" si="462"/>
        <v>71.56547619047619</v>
      </c>
      <c r="AZ176" s="944">
        <f t="shared" si="462"/>
        <v>0</v>
      </c>
      <c r="BA176" s="945">
        <f t="shared" si="462"/>
        <v>0</v>
      </c>
      <c r="BB176" s="779"/>
      <c r="BC176" s="780"/>
      <c r="BD176" s="780"/>
      <c r="BE176" s="929"/>
      <c r="BF176" s="956" t="s">
        <v>66</v>
      </c>
      <c r="BG176" s="946"/>
      <c r="BH176" s="943">
        <f t="shared" ref="BH176:BM176" si="463">SUM(BH173:BH175)</f>
        <v>4.1798079404466506</v>
      </c>
      <c r="BI176" s="944">
        <f t="shared" si="463"/>
        <v>35.811401098901101</v>
      </c>
      <c r="BJ176" s="944">
        <f t="shared" si="463"/>
        <v>49.720893970893975</v>
      </c>
      <c r="BK176" s="944">
        <f t="shared" si="463"/>
        <v>38.862179487179489</v>
      </c>
      <c r="BL176" s="944">
        <f t="shared" si="463"/>
        <v>0</v>
      </c>
      <c r="BM176" s="945">
        <f t="shared" si="463"/>
        <v>0</v>
      </c>
      <c r="BN176" s="876"/>
      <c r="BO176" s="876"/>
      <c r="BP176" s="876"/>
      <c r="BQ176" s="876"/>
      <c r="BR176" s="876"/>
      <c r="BS176" s="876"/>
      <c r="BT176" s="876"/>
      <c r="BU176" s="876"/>
      <c r="BV176" s="919"/>
    </row>
    <row r="177" spans="1:74" s="777" customFormat="1" ht="15.75" thickBot="1">
      <c r="A177" s="793"/>
      <c r="C177" s="778"/>
      <c r="D177" s="778"/>
      <c r="E177" s="778"/>
      <c r="F177" s="778"/>
      <c r="G177" s="778"/>
      <c r="H177" s="778"/>
      <c r="I177" s="778"/>
      <c r="J177" s="929"/>
      <c r="K177" s="930"/>
      <c r="L177" s="930"/>
      <c r="M177" s="930"/>
      <c r="N177" s="930"/>
      <c r="O177" s="930"/>
      <c r="P177" s="930"/>
      <c r="Q177" s="926"/>
      <c r="R177" s="778"/>
      <c r="S177" s="778"/>
      <c r="T177" s="778"/>
      <c r="U177" s="778"/>
      <c r="V177" s="778"/>
      <c r="W177" s="778"/>
      <c r="X177" s="778"/>
      <c r="Y177" s="778"/>
      <c r="Z177" s="778"/>
      <c r="AA177" s="778"/>
      <c r="AB177" s="778"/>
      <c r="AC177" s="778"/>
      <c r="AD177" s="780"/>
      <c r="AE177" s="780"/>
      <c r="AF177" s="780"/>
      <c r="AG177" s="926"/>
      <c r="AH177" s="926"/>
      <c r="AI177" s="926"/>
      <c r="AJ177" s="958">
        <f>AJ176/R176</f>
        <v>0.2134967626479882</v>
      </c>
      <c r="AK177" s="958">
        <f>AK176/S176</f>
        <v>0.38629805419027685</v>
      </c>
      <c r="AL177" s="958">
        <f>AL176/T176</f>
        <v>0.42247561227147479</v>
      </c>
      <c r="AM177" s="958">
        <f t="shared" ref="AM177" si="464">AM176/U176</f>
        <v>0.44675501630196768</v>
      </c>
      <c r="AN177" s="958" t="e">
        <f t="shared" ref="AN177" si="465">AN176/V176</f>
        <v>#DIV/0!</v>
      </c>
      <c r="AO177" s="958" t="e">
        <f t="shared" ref="AO177" si="466">AO176/W176</f>
        <v>#DIV/0!</v>
      </c>
      <c r="AP177" s="780"/>
      <c r="AQ177" s="780"/>
      <c r="AR177" s="780"/>
      <c r="AS177" s="926"/>
      <c r="AT177" s="926"/>
      <c r="AU177" s="926"/>
      <c r="AV177" s="958">
        <f>AV176/R176</f>
        <v>0.39184991079272596</v>
      </c>
      <c r="AW177" s="958">
        <f>AW176/S176</f>
        <v>0.38034663170189981</v>
      </c>
      <c r="AX177" s="958">
        <f t="shared" ref="AX177" si="467">AX176/T176</f>
        <v>0.3721230609122263</v>
      </c>
      <c r="AY177" s="958">
        <f t="shared" ref="AY177" si="468">AY176/U176</f>
        <v>0.39004687829486284</v>
      </c>
      <c r="AZ177" s="958" t="e">
        <f>AZ176/V176</f>
        <v>#DIV/0!</v>
      </c>
      <c r="BA177" s="958" t="e">
        <f>BA176/W176</f>
        <v>#DIV/0!</v>
      </c>
      <c r="BB177" s="779"/>
      <c r="BC177" s="780"/>
      <c r="BD177" s="780"/>
      <c r="BE177" s="926"/>
      <c r="BF177" s="926"/>
      <c r="BG177" s="926"/>
      <c r="BH177" s="778"/>
      <c r="BI177" s="778"/>
      <c r="BJ177" s="778"/>
      <c r="BK177" s="778"/>
      <c r="BL177" s="778"/>
      <c r="BM177" s="778"/>
      <c r="BN177" s="876"/>
      <c r="BO177" s="876"/>
      <c r="BP177" s="876"/>
      <c r="BQ177" s="876"/>
      <c r="BR177" s="876"/>
      <c r="BS177" s="876"/>
      <c r="BT177" s="876"/>
      <c r="BU177" s="876"/>
      <c r="BV177" s="919"/>
    </row>
    <row r="178" spans="1:74">
      <c r="J178" s="520"/>
      <c r="K178" s="521"/>
      <c r="M178" s="521"/>
      <c r="N178" s="562"/>
      <c r="O178" s="1065" t="s">
        <v>216</v>
      </c>
      <c r="P178" s="562"/>
      <c r="Q178" s="555"/>
      <c r="R178" s="522" t="s">
        <v>159</v>
      </c>
      <c r="S178" s="523"/>
      <c r="T178" s="524"/>
      <c r="U178" s="608"/>
      <c r="V178" s="608"/>
      <c r="W178" s="608"/>
      <c r="X178" s="522" t="s">
        <v>44</v>
      </c>
      <c r="Y178" s="523"/>
      <c r="Z178" s="524"/>
      <c r="AA178" s="608"/>
      <c r="AB178" s="608"/>
      <c r="AC178" s="608"/>
      <c r="AD178" s="518"/>
      <c r="AG178" s="518"/>
      <c r="AH178" s="518"/>
      <c r="AI178" s="518"/>
      <c r="AJ178" s="522" t="s">
        <v>209</v>
      </c>
      <c r="AK178" s="523"/>
      <c r="AL178" s="524"/>
      <c r="AM178" s="718"/>
      <c r="AN178" s="718"/>
      <c r="AO178" s="719"/>
      <c r="AP178" s="518"/>
      <c r="AS178" s="518"/>
      <c r="AT178" s="518"/>
      <c r="AU178" s="518"/>
      <c r="AV178" s="522" t="s">
        <v>208</v>
      </c>
      <c r="AW178" s="523"/>
      <c r="AX178" s="524"/>
      <c r="AY178" s="718"/>
      <c r="AZ178" s="718"/>
      <c r="BA178" s="719"/>
      <c r="BC178" s="4"/>
      <c r="BD178" s="4"/>
      <c r="BE178" s="518"/>
      <c r="BF178" s="518"/>
      <c r="BG178" s="518"/>
      <c r="BH178" s="522" t="s">
        <v>207</v>
      </c>
      <c r="BI178" s="523"/>
      <c r="BJ178" s="524"/>
      <c r="BK178" s="718"/>
      <c r="BL178" s="718"/>
      <c r="BM178" s="719"/>
      <c r="BN178" s="560"/>
    </row>
    <row r="179" spans="1:74" ht="15.75" thickBot="1">
      <c r="J179" s="520"/>
      <c r="K179" s="521"/>
      <c r="M179" s="521"/>
      <c r="N179" s="562"/>
      <c r="O179" s="1065"/>
      <c r="P179" s="562"/>
      <c r="Q179" s="555"/>
      <c r="R179" s="573">
        <f>R$164</f>
        <v>2020</v>
      </c>
      <c r="S179" s="574">
        <f t="shared" ref="S179:AC179" si="469">S$164</f>
        <v>2021</v>
      </c>
      <c r="T179" s="574">
        <f t="shared" si="469"/>
        <v>2022</v>
      </c>
      <c r="U179" s="574">
        <f t="shared" si="469"/>
        <v>2023</v>
      </c>
      <c r="V179" s="574">
        <f t="shared" si="469"/>
        <v>2024</v>
      </c>
      <c r="W179" s="575">
        <f t="shared" si="469"/>
        <v>2025</v>
      </c>
      <c r="X179" s="573">
        <f t="shared" si="469"/>
        <v>2020</v>
      </c>
      <c r="Y179" s="574">
        <f t="shared" si="469"/>
        <v>2021</v>
      </c>
      <c r="Z179" s="574">
        <f t="shared" si="469"/>
        <v>2022</v>
      </c>
      <c r="AA179" s="574">
        <f t="shared" si="469"/>
        <v>2023</v>
      </c>
      <c r="AB179" s="574">
        <f t="shared" si="469"/>
        <v>2024</v>
      </c>
      <c r="AC179" s="575">
        <f t="shared" si="469"/>
        <v>2025</v>
      </c>
      <c r="AG179" s="710"/>
      <c r="AH179" s="691"/>
      <c r="AI179" s="541"/>
      <c r="AJ179" s="525">
        <f t="shared" ref="AJ179:AO179" si="470">AJ$164</f>
        <v>2020</v>
      </c>
      <c r="AK179" s="526">
        <f t="shared" si="470"/>
        <v>2021</v>
      </c>
      <c r="AL179" s="526">
        <f t="shared" si="470"/>
        <v>2022</v>
      </c>
      <c r="AM179" s="526">
        <f t="shared" si="470"/>
        <v>2023</v>
      </c>
      <c r="AN179" s="526">
        <f t="shared" si="470"/>
        <v>2024</v>
      </c>
      <c r="AO179" s="527">
        <f t="shared" si="470"/>
        <v>2025</v>
      </c>
      <c r="AS179" s="710"/>
      <c r="AT179" s="691"/>
      <c r="AU179" s="541"/>
      <c r="AV179" s="525">
        <f t="shared" ref="AV179:BA179" si="471">AV$164</f>
        <v>2020</v>
      </c>
      <c r="AW179" s="526">
        <f t="shared" si="471"/>
        <v>2021</v>
      </c>
      <c r="AX179" s="526">
        <f t="shared" si="471"/>
        <v>2022</v>
      </c>
      <c r="AY179" s="526">
        <f t="shared" si="471"/>
        <v>2023</v>
      </c>
      <c r="AZ179" s="526">
        <f t="shared" si="471"/>
        <v>2024</v>
      </c>
      <c r="BA179" s="527">
        <f t="shared" si="471"/>
        <v>2025</v>
      </c>
      <c r="BC179" s="4"/>
      <c r="BD179" s="4"/>
      <c r="BE179" s="710"/>
      <c r="BF179" s="691"/>
      <c r="BG179" s="541"/>
      <c r="BH179" s="525">
        <f t="shared" ref="BH179:BM179" si="472">BH$164</f>
        <v>2020</v>
      </c>
      <c r="BI179" s="526">
        <f t="shared" si="472"/>
        <v>2021</v>
      </c>
      <c r="BJ179" s="526">
        <f t="shared" si="472"/>
        <v>2022</v>
      </c>
      <c r="BK179" s="526">
        <f t="shared" si="472"/>
        <v>2023</v>
      </c>
      <c r="BL179" s="526">
        <f t="shared" si="472"/>
        <v>2024</v>
      </c>
      <c r="BM179" s="527">
        <f t="shared" si="472"/>
        <v>2025</v>
      </c>
      <c r="BN179" s="560"/>
    </row>
    <row r="180" spans="1:74">
      <c r="B180" s="492" t="str">
        <f>B5</f>
        <v>UP Cluses</v>
      </c>
      <c r="N180" s="562"/>
      <c r="O180" s="1065"/>
      <c r="P180" s="555"/>
      <c r="Q180" s="580" t="s">
        <v>70</v>
      </c>
      <c r="R180" s="581">
        <f t="shared" ref="R180:AC180" si="473">R8</f>
        <v>63</v>
      </c>
      <c r="S180" s="576">
        <f t="shared" si="473"/>
        <v>102</v>
      </c>
      <c r="T180" s="576">
        <f t="shared" si="473"/>
        <v>72</v>
      </c>
      <c r="U180" s="576">
        <f t="shared" si="473"/>
        <v>176</v>
      </c>
      <c r="V180" s="576">
        <f t="shared" si="473"/>
        <v>0</v>
      </c>
      <c r="W180" s="577">
        <f t="shared" si="473"/>
        <v>0</v>
      </c>
      <c r="X180" s="581">
        <f t="shared" si="473"/>
        <v>29</v>
      </c>
      <c r="Y180" s="576">
        <f t="shared" si="473"/>
        <v>94</v>
      </c>
      <c r="Z180" s="576">
        <f t="shared" si="473"/>
        <v>72</v>
      </c>
      <c r="AA180" s="576">
        <f t="shared" si="473"/>
        <v>0</v>
      </c>
      <c r="AB180" s="576">
        <f t="shared" si="473"/>
        <v>0</v>
      </c>
      <c r="AC180" s="577">
        <f t="shared" si="473"/>
        <v>0</v>
      </c>
      <c r="AD180" s="571"/>
      <c r="AG180" s="711"/>
      <c r="AH180" s="694" t="s">
        <v>70</v>
      </c>
      <c r="AI180" s="713"/>
      <c r="AJ180" s="581">
        <f t="shared" ref="AJ180:AO180" si="474">AJ8</f>
        <v>2</v>
      </c>
      <c r="AK180" s="576">
        <f t="shared" si="474"/>
        <v>2</v>
      </c>
      <c r="AL180" s="576">
        <f t="shared" si="474"/>
        <v>0</v>
      </c>
      <c r="AM180" s="576">
        <f t="shared" si="474"/>
        <v>45</v>
      </c>
      <c r="AN180" s="576">
        <f t="shared" si="474"/>
        <v>0</v>
      </c>
      <c r="AO180" s="577">
        <f t="shared" si="474"/>
        <v>0</v>
      </c>
      <c r="AP180" s="571"/>
      <c r="AS180" s="711"/>
      <c r="AT180" s="694" t="s">
        <v>70</v>
      </c>
      <c r="AU180" s="713"/>
      <c r="AV180" s="581">
        <f t="shared" ref="AV180:BA180" si="475">AV8</f>
        <v>17</v>
      </c>
      <c r="AW180" s="576">
        <f t="shared" si="475"/>
        <v>18</v>
      </c>
      <c r="AX180" s="576">
        <f t="shared" si="475"/>
        <v>0</v>
      </c>
      <c r="AY180" s="576">
        <f t="shared" si="475"/>
        <v>60</v>
      </c>
      <c r="AZ180" s="576">
        <f t="shared" si="475"/>
        <v>0</v>
      </c>
      <c r="BA180" s="577">
        <f t="shared" si="475"/>
        <v>0</v>
      </c>
      <c r="BB180" s="571"/>
      <c r="BC180" s="4"/>
      <c r="BD180" s="4"/>
      <c r="BE180" s="711"/>
      <c r="BF180" s="694" t="s">
        <v>70</v>
      </c>
      <c r="BG180" s="713"/>
      <c r="BH180" s="581">
        <f t="shared" ref="BH180:BM180" si="476">BH8</f>
        <v>2</v>
      </c>
      <c r="BI180" s="576">
        <f t="shared" si="476"/>
        <v>2</v>
      </c>
      <c r="BJ180" s="576">
        <f t="shared" si="476"/>
        <v>0</v>
      </c>
      <c r="BK180" s="576">
        <f t="shared" si="476"/>
        <v>16</v>
      </c>
      <c r="BL180" s="576">
        <f t="shared" si="476"/>
        <v>0</v>
      </c>
      <c r="BM180" s="577">
        <f t="shared" si="476"/>
        <v>0</v>
      </c>
      <c r="BN180" s="492"/>
      <c r="BO180" s="492"/>
      <c r="BP180" s="492"/>
      <c r="BQ180" s="492"/>
      <c r="BR180" s="492"/>
      <c r="BS180" s="492"/>
      <c r="BT180" s="492"/>
    </row>
    <row r="181" spans="1:74">
      <c r="B181" s="492" t="str">
        <f>B9</f>
        <v>L'Abeille (Contamine)</v>
      </c>
      <c r="N181" s="562"/>
      <c r="O181" s="1065"/>
      <c r="P181" s="555"/>
      <c r="Q181" s="582" t="s">
        <v>210</v>
      </c>
      <c r="R181" s="583">
        <f t="shared" ref="R181:AC181" si="477">R12</f>
        <v>0</v>
      </c>
      <c r="S181" s="578">
        <f t="shared" si="477"/>
        <v>0</v>
      </c>
      <c r="T181" s="578">
        <f t="shared" si="477"/>
        <v>20</v>
      </c>
      <c r="U181" s="578">
        <f t="shared" si="477"/>
        <v>0</v>
      </c>
      <c r="V181" s="578">
        <f t="shared" si="477"/>
        <v>0</v>
      </c>
      <c r="W181" s="579">
        <f t="shared" si="477"/>
        <v>0</v>
      </c>
      <c r="X181" s="583">
        <f t="shared" si="477"/>
        <v>0</v>
      </c>
      <c r="Y181" s="578">
        <f t="shared" si="477"/>
        <v>0</v>
      </c>
      <c r="Z181" s="578">
        <f t="shared" si="477"/>
        <v>9</v>
      </c>
      <c r="AA181" s="578">
        <f t="shared" si="477"/>
        <v>0</v>
      </c>
      <c r="AB181" s="578">
        <f t="shared" si="477"/>
        <v>0</v>
      </c>
      <c r="AC181" s="579">
        <f t="shared" si="477"/>
        <v>0</v>
      </c>
      <c r="AD181" s="571"/>
      <c r="AG181" s="711"/>
      <c r="AH181" s="695" t="s">
        <v>210</v>
      </c>
      <c r="AI181" s="714"/>
      <c r="AJ181" s="583">
        <f t="shared" ref="AJ181:AO181" si="478">AJ12</f>
        <v>0</v>
      </c>
      <c r="AK181" s="578">
        <f t="shared" si="478"/>
        <v>0</v>
      </c>
      <c r="AL181" s="578">
        <f t="shared" si="478"/>
        <v>8</v>
      </c>
      <c r="AM181" s="578">
        <f t="shared" si="478"/>
        <v>0</v>
      </c>
      <c r="AN181" s="578">
        <f t="shared" si="478"/>
        <v>0</v>
      </c>
      <c r="AO181" s="579">
        <f t="shared" si="478"/>
        <v>0</v>
      </c>
      <c r="AP181" s="571"/>
      <c r="AS181" s="711"/>
      <c r="AT181" s="695" t="s">
        <v>210</v>
      </c>
      <c r="AU181" s="714"/>
      <c r="AV181" s="583">
        <f t="shared" ref="AV181:BA181" si="479">AV12</f>
        <v>0</v>
      </c>
      <c r="AW181" s="578">
        <f t="shared" si="479"/>
        <v>0</v>
      </c>
      <c r="AX181" s="578">
        <f t="shared" si="479"/>
        <v>4</v>
      </c>
      <c r="AY181" s="578">
        <f t="shared" si="479"/>
        <v>0</v>
      </c>
      <c r="AZ181" s="578">
        <f t="shared" si="479"/>
        <v>0</v>
      </c>
      <c r="BA181" s="579">
        <f t="shared" si="479"/>
        <v>0</v>
      </c>
      <c r="BB181" s="571"/>
      <c r="BC181" s="4"/>
      <c r="BD181" s="4"/>
      <c r="BE181" s="711"/>
      <c r="BF181" s="695" t="s">
        <v>210</v>
      </c>
      <c r="BG181" s="714"/>
      <c r="BH181" s="583">
        <f t="shared" ref="BH181:BM181" si="480">BH12</f>
        <v>0</v>
      </c>
      <c r="BI181" s="578">
        <f t="shared" si="480"/>
        <v>0</v>
      </c>
      <c r="BJ181" s="578">
        <f t="shared" si="480"/>
        <v>2</v>
      </c>
      <c r="BK181" s="578">
        <f t="shared" si="480"/>
        <v>0</v>
      </c>
      <c r="BL181" s="578">
        <f t="shared" si="480"/>
        <v>0</v>
      </c>
      <c r="BM181" s="579">
        <f t="shared" si="480"/>
        <v>0</v>
      </c>
      <c r="BN181" s="492"/>
      <c r="BO181" s="492"/>
      <c r="BP181" s="492"/>
      <c r="BQ181" s="492"/>
      <c r="BR181" s="492"/>
      <c r="BS181" s="492"/>
      <c r="BT181" s="492"/>
    </row>
    <row r="182" spans="1:74">
      <c r="B182" s="492" t="str">
        <f>B13</f>
        <v>AMDC (Chablais)</v>
      </c>
      <c r="N182" s="562"/>
      <c r="O182" s="1065"/>
      <c r="P182" s="555"/>
      <c r="Q182" s="582" t="s">
        <v>211</v>
      </c>
      <c r="R182" s="583">
        <f t="shared" ref="R182:AC182" si="481">R34</f>
        <v>0</v>
      </c>
      <c r="S182" s="578">
        <f t="shared" si="481"/>
        <v>0</v>
      </c>
      <c r="T182" s="578">
        <f t="shared" si="481"/>
        <v>694</v>
      </c>
      <c r="U182" s="578">
        <f t="shared" si="481"/>
        <v>0</v>
      </c>
      <c r="V182" s="578">
        <f t="shared" si="481"/>
        <v>0</v>
      </c>
      <c r="W182" s="579">
        <f t="shared" si="481"/>
        <v>0</v>
      </c>
      <c r="X182" s="583">
        <f t="shared" si="481"/>
        <v>0</v>
      </c>
      <c r="Y182" s="578">
        <f t="shared" si="481"/>
        <v>0</v>
      </c>
      <c r="Z182" s="578">
        <f t="shared" si="481"/>
        <v>611</v>
      </c>
      <c r="AA182" s="578">
        <f t="shared" si="481"/>
        <v>0</v>
      </c>
      <c r="AB182" s="578">
        <f t="shared" si="481"/>
        <v>0</v>
      </c>
      <c r="AC182" s="579">
        <f t="shared" si="481"/>
        <v>0</v>
      </c>
      <c r="AD182" s="571"/>
      <c r="AG182" s="711"/>
      <c r="AH182" s="695" t="s">
        <v>211</v>
      </c>
      <c r="AI182" s="714"/>
      <c r="AJ182" s="583">
        <f t="shared" ref="AJ182:AO182" si="482">AJ34</f>
        <v>0</v>
      </c>
      <c r="AK182" s="578">
        <f t="shared" si="482"/>
        <v>0</v>
      </c>
      <c r="AL182" s="578">
        <f t="shared" si="482"/>
        <v>171</v>
      </c>
      <c r="AM182" s="578">
        <f t="shared" si="482"/>
        <v>0</v>
      </c>
      <c r="AN182" s="578">
        <f t="shared" si="482"/>
        <v>0</v>
      </c>
      <c r="AO182" s="579">
        <f t="shared" si="482"/>
        <v>0</v>
      </c>
      <c r="AP182" s="571"/>
      <c r="AS182" s="711"/>
      <c r="AT182" s="695" t="s">
        <v>211</v>
      </c>
      <c r="AU182" s="714"/>
      <c r="AV182" s="583">
        <f t="shared" ref="AV182:BA182" si="483">AV34</f>
        <v>0</v>
      </c>
      <c r="AW182" s="578">
        <f t="shared" si="483"/>
        <v>0</v>
      </c>
      <c r="AX182" s="578">
        <f t="shared" si="483"/>
        <v>267</v>
      </c>
      <c r="AY182" s="578">
        <f t="shared" si="483"/>
        <v>0</v>
      </c>
      <c r="AZ182" s="578">
        <f t="shared" si="483"/>
        <v>0</v>
      </c>
      <c r="BA182" s="579">
        <f t="shared" si="483"/>
        <v>0</v>
      </c>
      <c r="BB182" s="571"/>
      <c r="BC182" s="4"/>
      <c r="BD182" s="4"/>
      <c r="BE182" s="711"/>
      <c r="BF182" s="695" t="s">
        <v>211</v>
      </c>
      <c r="BG182" s="714"/>
      <c r="BH182" s="583">
        <f t="shared" ref="BH182:BM182" si="484">BH34</f>
        <v>0</v>
      </c>
      <c r="BI182" s="578">
        <f t="shared" si="484"/>
        <v>0</v>
      </c>
      <c r="BJ182" s="578">
        <f t="shared" si="484"/>
        <v>93</v>
      </c>
      <c r="BK182" s="578">
        <f t="shared" si="484"/>
        <v>0</v>
      </c>
      <c r="BL182" s="578">
        <f t="shared" si="484"/>
        <v>0</v>
      </c>
      <c r="BM182" s="579">
        <f t="shared" si="484"/>
        <v>0</v>
      </c>
      <c r="BN182" s="492"/>
      <c r="BO182" s="492"/>
      <c r="BP182" s="492"/>
      <c r="BQ182" s="492"/>
      <c r="BR182" s="492"/>
      <c r="BS182" s="492"/>
      <c r="BT182" s="492"/>
    </row>
    <row r="183" spans="1:74">
      <c r="B183" s="492" t="str">
        <f>B35</f>
        <v>NatEnv (Nature Environnement en Pays rochois)Fabrique à BiclouPays rochois en Transition</v>
      </c>
      <c r="N183" s="562"/>
      <c r="O183" s="1065"/>
      <c r="P183" s="555"/>
      <c r="Q183" s="584" t="s">
        <v>212</v>
      </c>
      <c r="R183" s="583">
        <f t="shared" ref="R183:AC183" si="485">R49</f>
        <v>172</v>
      </c>
      <c r="S183" s="578">
        <f t="shared" si="485"/>
        <v>295</v>
      </c>
      <c r="T183" s="578">
        <f t="shared" si="485"/>
        <v>285</v>
      </c>
      <c r="U183" s="578">
        <f t="shared" si="485"/>
        <v>0</v>
      </c>
      <c r="V183" s="578">
        <f t="shared" si="485"/>
        <v>0</v>
      </c>
      <c r="W183" s="579">
        <f t="shared" si="485"/>
        <v>0</v>
      </c>
      <c r="X183" s="583">
        <f t="shared" si="485"/>
        <v>111</v>
      </c>
      <c r="Y183" s="578">
        <f t="shared" si="485"/>
        <v>193</v>
      </c>
      <c r="Z183" s="578">
        <f t="shared" si="485"/>
        <v>106</v>
      </c>
      <c r="AA183" s="578">
        <f t="shared" si="485"/>
        <v>0</v>
      </c>
      <c r="AB183" s="578">
        <f t="shared" si="485"/>
        <v>0</v>
      </c>
      <c r="AC183" s="579">
        <f t="shared" si="485"/>
        <v>0</v>
      </c>
      <c r="AD183" s="571"/>
      <c r="AG183" s="712"/>
      <c r="AH183" s="696" t="s">
        <v>212</v>
      </c>
      <c r="AI183" s="715"/>
      <c r="AJ183" s="583">
        <f t="shared" ref="AJ183:AO183" si="486">AJ49</f>
        <v>42</v>
      </c>
      <c r="AK183" s="578">
        <f t="shared" si="486"/>
        <v>74</v>
      </c>
      <c r="AL183" s="578">
        <f t="shared" si="486"/>
        <v>89</v>
      </c>
      <c r="AM183" s="578">
        <f t="shared" si="486"/>
        <v>0</v>
      </c>
      <c r="AN183" s="578">
        <f t="shared" si="486"/>
        <v>0</v>
      </c>
      <c r="AO183" s="579">
        <f t="shared" si="486"/>
        <v>0</v>
      </c>
      <c r="AP183" s="571"/>
      <c r="AS183" s="712"/>
      <c r="AT183" s="696" t="s">
        <v>212</v>
      </c>
      <c r="AU183" s="715"/>
      <c r="AV183" s="583">
        <f t="shared" ref="AV183:BA183" si="487">AV49</f>
        <v>53</v>
      </c>
      <c r="AW183" s="578">
        <f t="shared" si="487"/>
        <v>87</v>
      </c>
      <c r="AX183" s="578">
        <f t="shared" si="487"/>
        <v>72</v>
      </c>
      <c r="AY183" s="578">
        <f t="shared" si="487"/>
        <v>0</v>
      </c>
      <c r="AZ183" s="578">
        <f t="shared" si="487"/>
        <v>0</v>
      </c>
      <c r="BA183" s="579">
        <f t="shared" si="487"/>
        <v>0</v>
      </c>
      <c r="BB183" s="571"/>
      <c r="BC183" s="4"/>
      <c r="BD183" s="4"/>
      <c r="BE183" s="712"/>
      <c r="BF183" s="696" t="s">
        <v>212</v>
      </c>
      <c r="BG183" s="715"/>
      <c r="BH183" s="583">
        <f t="shared" ref="BH183:BM183" si="488">BH49</f>
        <v>0</v>
      </c>
      <c r="BI183" s="578">
        <f t="shared" si="488"/>
        <v>0</v>
      </c>
      <c r="BJ183" s="578">
        <f t="shared" si="488"/>
        <v>0</v>
      </c>
      <c r="BK183" s="578">
        <f t="shared" si="488"/>
        <v>0</v>
      </c>
      <c r="BL183" s="578">
        <f t="shared" si="488"/>
        <v>0</v>
      </c>
      <c r="BM183" s="579">
        <f t="shared" si="488"/>
        <v>0</v>
      </c>
      <c r="BN183" s="492"/>
      <c r="BO183" s="492"/>
      <c r="BP183" s="492"/>
      <c r="BQ183" s="492"/>
      <c r="BR183" s="492"/>
      <c r="BS183" s="492"/>
      <c r="BT183" s="492"/>
    </row>
    <row r="184" spans="1:74">
      <c r="B184" s="492" t="str">
        <f>B50</f>
        <v>AERE (Association Environnement Reignier-Esery)</v>
      </c>
      <c r="N184" s="562"/>
      <c r="O184" s="1065"/>
      <c r="P184" s="555"/>
      <c r="Q184" s="582" t="s">
        <v>0</v>
      </c>
      <c r="R184" s="583">
        <f t="shared" ref="R184:AC184" si="489">R64</f>
        <v>159</v>
      </c>
      <c r="S184" s="578">
        <f t="shared" si="489"/>
        <v>198</v>
      </c>
      <c r="T184" s="578">
        <f t="shared" si="489"/>
        <v>148</v>
      </c>
      <c r="U184" s="578">
        <f t="shared" si="489"/>
        <v>356</v>
      </c>
      <c r="V184" s="578">
        <f t="shared" si="489"/>
        <v>0</v>
      </c>
      <c r="W184" s="579">
        <f t="shared" si="489"/>
        <v>0</v>
      </c>
      <c r="X184" s="583">
        <f t="shared" si="489"/>
        <v>95</v>
      </c>
      <c r="Y184" s="578">
        <f t="shared" si="489"/>
        <v>128</v>
      </c>
      <c r="Z184" s="578">
        <f t="shared" si="489"/>
        <v>96</v>
      </c>
      <c r="AA184" s="578">
        <f t="shared" si="489"/>
        <v>216</v>
      </c>
      <c r="AB184" s="578">
        <f t="shared" si="489"/>
        <v>0</v>
      </c>
      <c r="AC184" s="579">
        <f t="shared" si="489"/>
        <v>0</v>
      </c>
      <c r="AD184" s="571"/>
      <c r="AG184" s="711"/>
      <c r="AH184" s="695" t="s">
        <v>0</v>
      </c>
      <c r="AI184" s="714"/>
      <c r="AJ184" s="583">
        <f t="shared" ref="AJ184:AO184" si="490">AJ64</f>
        <v>44.97</v>
      </c>
      <c r="AK184" s="578">
        <f t="shared" si="490"/>
        <v>94</v>
      </c>
      <c r="AL184" s="578">
        <f t="shared" si="490"/>
        <v>73</v>
      </c>
      <c r="AM184" s="578">
        <f t="shared" si="490"/>
        <v>190</v>
      </c>
      <c r="AN184" s="578">
        <f t="shared" si="490"/>
        <v>0</v>
      </c>
      <c r="AO184" s="579">
        <f t="shared" si="490"/>
        <v>0</v>
      </c>
      <c r="AP184" s="571"/>
      <c r="AS184" s="711"/>
      <c r="AT184" s="695" t="s">
        <v>0</v>
      </c>
      <c r="AU184" s="714"/>
      <c r="AV184" s="583">
        <f t="shared" ref="AV184:BA184" si="491">AV64</f>
        <v>19.020000000000003</v>
      </c>
      <c r="AW184" s="578">
        <f t="shared" si="491"/>
        <v>46</v>
      </c>
      <c r="AX184" s="578">
        <f t="shared" si="491"/>
        <v>33</v>
      </c>
      <c r="AY184" s="578">
        <f t="shared" si="491"/>
        <v>116</v>
      </c>
      <c r="AZ184" s="578">
        <f t="shared" si="491"/>
        <v>0</v>
      </c>
      <c r="BA184" s="579">
        <f t="shared" si="491"/>
        <v>0</v>
      </c>
      <c r="BB184" s="571"/>
      <c r="BC184" s="4"/>
      <c r="BD184" s="4"/>
      <c r="BE184" s="711"/>
      <c r="BF184" s="695" t="s">
        <v>0</v>
      </c>
      <c r="BG184" s="714"/>
      <c r="BH184" s="583">
        <f t="shared" ref="BH184:BM184" si="492">BH64</f>
        <v>12.96</v>
      </c>
      <c r="BI184" s="578">
        <f t="shared" si="492"/>
        <v>29</v>
      </c>
      <c r="BJ184" s="578">
        <f t="shared" si="492"/>
        <v>24</v>
      </c>
      <c r="BK184" s="578">
        <f t="shared" si="492"/>
        <v>81</v>
      </c>
      <c r="BL184" s="578">
        <f t="shared" si="492"/>
        <v>0</v>
      </c>
      <c r="BM184" s="579">
        <f t="shared" si="492"/>
        <v>0</v>
      </c>
      <c r="BN184" s="492"/>
      <c r="BO184" s="492"/>
      <c r="BP184" s="492"/>
      <c r="BQ184" s="492"/>
      <c r="BR184" s="492"/>
      <c r="BS184" s="492"/>
      <c r="BT184" s="492"/>
    </row>
    <row r="185" spans="1:74">
      <c r="B185" s="492" t="str">
        <f>B66</f>
        <v>EVAV (En Ville A Vélo)</v>
      </c>
      <c r="N185" s="562"/>
      <c r="O185" s="1065"/>
      <c r="P185" s="555"/>
      <c r="Q185" s="582" t="s">
        <v>4</v>
      </c>
      <c r="R185" s="583">
        <f t="shared" ref="R185:AC185" si="493">R77</f>
        <v>1664</v>
      </c>
      <c r="S185" s="578">
        <f t="shared" si="493"/>
        <v>760</v>
      </c>
      <c r="T185" s="578">
        <f t="shared" si="493"/>
        <v>1614</v>
      </c>
      <c r="U185" s="578">
        <f t="shared" si="493"/>
        <v>0</v>
      </c>
      <c r="V185" s="578">
        <f t="shared" si="493"/>
        <v>0</v>
      </c>
      <c r="W185" s="579">
        <f t="shared" si="493"/>
        <v>0</v>
      </c>
      <c r="X185" s="583">
        <f t="shared" si="493"/>
        <v>509</v>
      </c>
      <c r="Y185" s="578">
        <f t="shared" si="493"/>
        <v>414</v>
      </c>
      <c r="Z185" s="578">
        <f t="shared" si="493"/>
        <v>920</v>
      </c>
      <c r="AA185" s="578">
        <f t="shared" si="493"/>
        <v>0</v>
      </c>
      <c r="AB185" s="578">
        <f t="shared" si="493"/>
        <v>0</v>
      </c>
      <c r="AC185" s="579">
        <f t="shared" si="493"/>
        <v>0</v>
      </c>
      <c r="AD185" s="571"/>
      <c r="AG185" s="711"/>
      <c r="AH185" s="695" t="s">
        <v>4</v>
      </c>
      <c r="AI185" s="714"/>
      <c r="AJ185" s="583">
        <f t="shared" ref="AJ185:AO185" si="494">AJ77</f>
        <v>705</v>
      </c>
      <c r="AK185" s="578">
        <f t="shared" si="494"/>
        <v>290</v>
      </c>
      <c r="AL185" s="578">
        <f t="shared" si="494"/>
        <v>717</v>
      </c>
      <c r="AM185" s="578">
        <f t="shared" si="494"/>
        <v>0</v>
      </c>
      <c r="AN185" s="578">
        <f t="shared" si="494"/>
        <v>0</v>
      </c>
      <c r="AO185" s="579">
        <f t="shared" si="494"/>
        <v>0</v>
      </c>
      <c r="AP185" s="571"/>
      <c r="AS185" s="711"/>
      <c r="AT185" s="695" t="s">
        <v>4</v>
      </c>
      <c r="AU185" s="714"/>
      <c r="AV185" s="583">
        <f t="shared" ref="AV185:BA185" si="495">AV77</f>
        <v>697</v>
      </c>
      <c r="AW185" s="578">
        <f t="shared" si="495"/>
        <v>314</v>
      </c>
      <c r="AX185" s="578">
        <f t="shared" si="495"/>
        <v>617</v>
      </c>
      <c r="AY185" s="578">
        <f t="shared" si="495"/>
        <v>0</v>
      </c>
      <c r="AZ185" s="578">
        <f t="shared" si="495"/>
        <v>0</v>
      </c>
      <c r="BA185" s="579">
        <f t="shared" si="495"/>
        <v>0</v>
      </c>
      <c r="BB185" s="571"/>
      <c r="BC185" s="4"/>
      <c r="BD185" s="4"/>
      <c r="BE185" s="711"/>
      <c r="BF185" s="695" t="s">
        <v>4</v>
      </c>
      <c r="BG185" s="714"/>
      <c r="BH185" s="583">
        <f t="shared" ref="BH185:BM185" si="496">BH77</f>
        <v>0</v>
      </c>
      <c r="BI185" s="578">
        <f t="shared" si="496"/>
        <v>0</v>
      </c>
      <c r="BJ185" s="578">
        <f t="shared" si="496"/>
        <v>0</v>
      </c>
      <c r="BK185" s="578">
        <f t="shared" si="496"/>
        <v>0</v>
      </c>
      <c r="BL185" s="578">
        <f t="shared" si="496"/>
        <v>0</v>
      </c>
      <c r="BM185" s="579">
        <f t="shared" si="496"/>
        <v>0</v>
      </c>
      <c r="BN185" s="492"/>
      <c r="BO185" s="492"/>
      <c r="BP185" s="492"/>
      <c r="BQ185" s="492"/>
      <c r="BR185" s="492"/>
      <c r="BS185" s="492"/>
      <c r="BT185" s="492"/>
    </row>
    <row r="186" spans="1:74">
      <c r="B186" s="492" t="str">
        <f>B78</f>
        <v>Le Préau</v>
      </c>
      <c r="N186" s="562"/>
      <c r="O186" s="1065"/>
      <c r="P186" s="555"/>
      <c r="Q186" s="582" t="s">
        <v>167</v>
      </c>
      <c r="R186" s="583">
        <f t="shared" ref="R186:AC186" si="497">R85</f>
        <v>0</v>
      </c>
      <c r="S186" s="578">
        <f t="shared" si="497"/>
        <v>5</v>
      </c>
      <c r="T186" s="578">
        <f t="shared" si="497"/>
        <v>31</v>
      </c>
      <c r="U186" s="578">
        <f t="shared" si="497"/>
        <v>0</v>
      </c>
      <c r="V186" s="578">
        <f t="shared" si="497"/>
        <v>0</v>
      </c>
      <c r="W186" s="579">
        <f t="shared" si="497"/>
        <v>0</v>
      </c>
      <c r="X186" s="583">
        <f t="shared" si="497"/>
        <v>0</v>
      </c>
      <c r="Y186" s="578">
        <f t="shared" si="497"/>
        <v>4</v>
      </c>
      <c r="Z186" s="578">
        <f t="shared" si="497"/>
        <v>12</v>
      </c>
      <c r="AA186" s="578">
        <f t="shared" si="497"/>
        <v>0</v>
      </c>
      <c r="AB186" s="578">
        <f t="shared" si="497"/>
        <v>0</v>
      </c>
      <c r="AC186" s="579">
        <f t="shared" si="497"/>
        <v>0</v>
      </c>
      <c r="AD186" s="571"/>
      <c r="AG186" s="711"/>
      <c r="AH186" s="695" t="s">
        <v>167</v>
      </c>
      <c r="AI186" s="714"/>
      <c r="AJ186" s="583">
        <f t="shared" ref="AJ186:AO186" si="498">AJ85</f>
        <v>0</v>
      </c>
      <c r="AK186" s="578">
        <f t="shared" si="498"/>
        <v>2</v>
      </c>
      <c r="AL186" s="578">
        <f t="shared" si="498"/>
        <v>19</v>
      </c>
      <c r="AM186" s="578">
        <f t="shared" si="498"/>
        <v>0</v>
      </c>
      <c r="AN186" s="578">
        <f t="shared" si="498"/>
        <v>0</v>
      </c>
      <c r="AO186" s="579">
        <f t="shared" si="498"/>
        <v>0</v>
      </c>
      <c r="AP186" s="571"/>
      <c r="AS186" s="711"/>
      <c r="AT186" s="695" t="s">
        <v>167</v>
      </c>
      <c r="AU186" s="714"/>
      <c r="AV186" s="583">
        <f t="shared" ref="AV186:BA186" si="499">AV85</f>
        <v>0</v>
      </c>
      <c r="AW186" s="578">
        <f t="shared" si="499"/>
        <v>1</v>
      </c>
      <c r="AX186" s="578">
        <f t="shared" si="499"/>
        <v>7</v>
      </c>
      <c r="AY186" s="578">
        <f t="shared" si="499"/>
        <v>0</v>
      </c>
      <c r="AZ186" s="578">
        <f t="shared" si="499"/>
        <v>0</v>
      </c>
      <c r="BA186" s="579">
        <f t="shared" si="499"/>
        <v>0</v>
      </c>
      <c r="BB186" s="571"/>
      <c r="BC186" s="4"/>
      <c r="BD186" s="4"/>
      <c r="BE186" s="711"/>
      <c r="BF186" s="695" t="s">
        <v>167</v>
      </c>
      <c r="BG186" s="714"/>
      <c r="BH186" s="583">
        <f t="shared" ref="BH186:BM186" si="500">BH85</f>
        <v>0</v>
      </c>
      <c r="BI186" s="578">
        <f t="shared" si="500"/>
        <v>0</v>
      </c>
      <c r="BJ186" s="578">
        <f t="shared" si="500"/>
        <v>5</v>
      </c>
      <c r="BK186" s="578">
        <f t="shared" si="500"/>
        <v>0</v>
      </c>
      <c r="BL186" s="578">
        <f t="shared" si="500"/>
        <v>0</v>
      </c>
      <c r="BM186" s="579">
        <f t="shared" si="500"/>
        <v>0</v>
      </c>
      <c r="BN186" s="492"/>
      <c r="BO186" s="492"/>
      <c r="BP186" s="492"/>
      <c r="BQ186" s="492"/>
      <c r="BR186" s="492"/>
      <c r="BS186" s="492"/>
      <c r="BT186" s="492"/>
    </row>
    <row r="187" spans="1:74">
      <c r="B187" s="492" t="str">
        <f>B86</f>
        <v>Salève Vivant</v>
      </c>
      <c r="N187" s="562"/>
      <c r="O187" s="1065"/>
      <c r="P187" s="555"/>
      <c r="Q187" s="582" t="s">
        <v>1</v>
      </c>
      <c r="R187" s="583">
        <f>R95</f>
        <v>158</v>
      </c>
      <c r="S187" s="578">
        <f t="shared" ref="S187:Z187" si="501">S95</f>
        <v>241</v>
      </c>
      <c r="T187" s="578">
        <f t="shared" si="501"/>
        <v>201</v>
      </c>
      <c r="U187" s="578">
        <f t="shared" ref="U187:W187" si="502">U95</f>
        <v>0</v>
      </c>
      <c r="V187" s="578">
        <f t="shared" si="502"/>
        <v>0</v>
      </c>
      <c r="W187" s="579">
        <f t="shared" si="502"/>
        <v>0</v>
      </c>
      <c r="X187" s="583">
        <f t="shared" si="501"/>
        <v>158</v>
      </c>
      <c r="Y187" s="578">
        <f t="shared" si="501"/>
        <v>177</v>
      </c>
      <c r="Z187" s="578">
        <f t="shared" si="501"/>
        <v>201</v>
      </c>
      <c r="AA187" s="578">
        <f t="shared" ref="AA187:AC187" si="503">AA95</f>
        <v>0</v>
      </c>
      <c r="AB187" s="578">
        <f t="shared" si="503"/>
        <v>0</v>
      </c>
      <c r="AC187" s="579">
        <f t="shared" si="503"/>
        <v>0</v>
      </c>
      <c r="AD187" s="571"/>
      <c r="AG187" s="711"/>
      <c r="AH187" s="695" t="s">
        <v>1</v>
      </c>
      <c r="AI187" s="714"/>
      <c r="AJ187" s="583">
        <f>AJ95</f>
        <v>98</v>
      </c>
      <c r="AK187" s="578">
        <f t="shared" ref="AK187:AL187" si="504">AK95</f>
        <v>164</v>
      </c>
      <c r="AL187" s="578">
        <f t="shared" si="504"/>
        <v>152</v>
      </c>
      <c r="AM187" s="578">
        <f t="shared" ref="AM187:AO187" si="505">AM95</f>
        <v>0</v>
      </c>
      <c r="AN187" s="578">
        <f t="shared" si="505"/>
        <v>0</v>
      </c>
      <c r="AO187" s="579">
        <f t="shared" si="505"/>
        <v>0</v>
      </c>
      <c r="AP187" s="571"/>
      <c r="AS187" s="711"/>
      <c r="AT187" s="695" t="s">
        <v>1</v>
      </c>
      <c r="AU187" s="714"/>
      <c r="AV187" s="583">
        <f>AV95</f>
        <v>58</v>
      </c>
      <c r="AW187" s="578">
        <f t="shared" ref="AW187" si="506">AW95</f>
        <v>91</v>
      </c>
      <c r="AX187" s="578">
        <f t="shared" ref="AX187:AZ187" si="507">AX95</f>
        <v>79</v>
      </c>
      <c r="AY187" s="578">
        <f t="shared" si="507"/>
        <v>0</v>
      </c>
      <c r="AZ187" s="578">
        <f t="shared" si="507"/>
        <v>0</v>
      </c>
      <c r="BA187" s="579">
        <f t="shared" ref="BA187" si="508">BA95</f>
        <v>0</v>
      </c>
      <c r="BB187" s="571"/>
      <c r="BC187" s="4"/>
      <c r="BD187" s="4"/>
      <c r="BE187" s="711"/>
      <c r="BF187" s="695" t="s">
        <v>1</v>
      </c>
      <c r="BG187" s="714"/>
      <c r="BH187" s="583">
        <f>BH95</f>
        <v>46</v>
      </c>
      <c r="BI187" s="578">
        <f t="shared" ref="BI187" si="509">BI95</f>
        <v>69</v>
      </c>
      <c r="BJ187" s="578">
        <f t="shared" ref="BJ187:BL187" si="510">BJ95</f>
        <v>67</v>
      </c>
      <c r="BK187" s="578">
        <f t="shared" si="510"/>
        <v>0</v>
      </c>
      <c r="BL187" s="578">
        <f t="shared" si="510"/>
        <v>0</v>
      </c>
      <c r="BM187" s="579">
        <f t="shared" ref="BM187" si="511">BM95</f>
        <v>0</v>
      </c>
      <c r="BN187" s="492"/>
      <c r="BO187" s="492"/>
      <c r="BP187" s="492"/>
      <c r="BQ187" s="492"/>
      <c r="BR187" s="492"/>
      <c r="BS187" s="492"/>
      <c r="BT187" s="492"/>
    </row>
    <row r="188" spans="1:74">
      <c r="B188" s="492" t="str">
        <f>B96</f>
        <v>Groupe St-Julien</v>
      </c>
      <c r="N188" s="562"/>
      <c r="O188" s="1065"/>
      <c r="P188" s="555"/>
      <c r="Q188" s="582" t="s">
        <v>45</v>
      </c>
      <c r="R188" s="583">
        <f>R109</f>
        <v>167</v>
      </c>
      <c r="S188" s="578">
        <f t="shared" ref="S188:Z188" si="512">S109</f>
        <v>245</v>
      </c>
      <c r="T188" s="578">
        <f t="shared" si="512"/>
        <v>302</v>
      </c>
      <c r="U188" s="578">
        <f t="shared" ref="U188:W188" si="513">U109</f>
        <v>0</v>
      </c>
      <c r="V188" s="578">
        <f t="shared" si="513"/>
        <v>0</v>
      </c>
      <c r="W188" s="579">
        <f t="shared" si="513"/>
        <v>0</v>
      </c>
      <c r="X188" s="583">
        <f t="shared" si="512"/>
        <v>167</v>
      </c>
      <c r="Y188" s="578">
        <f t="shared" si="512"/>
        <v>245</v>
      </c>
      <c r="Z188" s="578">
        <f t="shared" si="512"/>
        <v>227</v>
      </c>
      <c r="AA188" s="578">
        <f t="shared" ref="AA188:AC188" si="514">AA109</f>
        <v>0</v>
      </c>
      <c r="AB188" s="578">
        <f t="shared" si="514"/>
        <v>0</v>
      </c>
      <c r="AC188" s="579">
        <f t="shared" si="514"/>
        <v>0</v>
      </c>
      <c r="AD188" s="571"/>
      <c r="AG188" s="711"/>
      <c r="AH188" s="695" t="s">
        <v>45</v>
      </c>
      <c r="AI188" s="714"/>
      <c r="AJ188" s="583">
        <f>AJ109</f>
        <v>75.209999999999994</v>
      </c>
      <c r="AK188" s="578">
        <f t="shared" ref="AK188:AL188" si="515">AK109</f>
        <v>137</v>
      </c>
      <c r="AL188" s="578">
        <f t="shared" si="515"/>
        <v>171</v>
      </c>
      <c r="AM188" s="578">
        <f t="shared" ref="AM188:AO188" si="516">AM109</f>
        <v>0</v>
      </c>
      <c r="AN188" s="578">
        <f t="shared" si="516"/>
        <v>0</v>
      </c>
      <c r="AO188" s="579">
        <f t="shared" si="516"/>
        <v>0</v>
      </c>
      <c r="AP188" s="571"/>
      <c r="AS188" s="711"/>
      <c r="AT188" s="695" t="s">
        <v>45</v>
      </c>
      <c r="AU188" s="714"/>
      <c r="AV188" s="583">
        <f>AV109</f>
        <v>62.590000000000011</v>
      </c>
      <c r="AW188" s="578">
        <f t="shared" ref="AW188" si="517">AW109</f>
        <v>97</v>
      </c>
      <c r="AX188" s="578">
        <f t="shared" ref="AX188:AZ188" si="518">AX109</f>
        <v>103</v>
      </c>
      <c r="AY188" s="578">
        <f t="shared" si="518"/>
        <v>0</v>
      </c>
      <c r="AZ188" s="578">
        <f t="shared" si="518"/>
        <v>0</v>
      </c>
      <c r="BA188" s="579">
        <f t="shared" ref="BA188" si="519">BA109</f>
        <v>0</v>
      </c>
      <c r="BB188" s="571"/>
      <c r="BC188" s="4"/>
      <c r="BD188" s="4"/>
      <c r="BE188" s="711"/>
      <c r="BF188" s="695" t="s">
        <v>45</v>
      </c>
      <c r="BG188" s="714"/>
      <c r="BH188" s="583">
        <f>BH109</f>
        <v>34.900200000000005</v>
      </c>
      <c r="BI188" s="578">
        <f t="shared" ref="BI188" si="520">BI109</f>
        <v>67</v>
      </c>
      <c r="BJ188" s="578">
        <f t="shared" ref="BJ188:BL188" si="521">BJ109</f>
        <v>69</v>
      </c>
      <c r="BK188" s="578">
        <f t="shared" si="521"/>
        <v>0</v>
      </c>
      <c r="BL188" s="578">
        <f t="shared" si="521"/>
        <v>0</v>
      </c>
      <c r="BM188" s="579">
        <f t="shared" ref="BM188" si="522">BM109</f>
        <v>0</v>
      </c>
      <c r="BN188" s="492"/>
      <c r="BO188" s="492"/>
      <c r="BP188" s="492"/>
      <c r="BQ188" s="492"/>
      <c r="BR188" s="492"/>
      <c r="BS188" s="492"/>
      <c r="BT188" s="492"/>
    </row>
    <row r="189" spans="1:74">
      <c r="B189" s="492" t="str">
        <f>B110</f>
        <v>APiCy (Association des Piétons et Cyclistes du Pays de Gex)+ ProVélo La Côte et ATE Vaud</v>
      </c>
      <c r="N189" s="562"/>
      <c r="O189" s="1065"/>
      <c r="P189" s="555"/>
      <c r="Q189" s="584" t="s">
        <v>214</v>
      </c>
      <c r="R189" s="583">
        <f>R125</f>
        <v>540</v>
      </c>
      <c r="S189" s="578">
        <f t="shared" ref="S189:Z189" si="523">S125</f>
        <v>882</v>
      </c>
      <c r="T189" s="578">
        <f t="shared" si="523"/>
        <v>1242</v>
      </c>
      <c r="U189" s="578">
        <f t="shared" ref="U189:W189" si="524">U125</f>
        <v>0</v>
      </c>
      <c r="V189" s="578">
        <f t="shared" si="524"/>
        <v>0</v>
      </c>
      <c r="W189" s="579">
        <f t="shared" si="524"/>
        <v>0</v>
      </c>
      <c r="X189" s="583">
        <f t="shared" si="523"/>
        <v>269</v>
      </c>
      <c r="Y189" s="578">
        <f t="shared" si="523"/>
        <v>445</v>
      </c>
      <c r="Z189" s="578">
        <f t="shared" si="523"/>
        <v>672</v>
      </c>
      <c r="AA189" s="578">
        <f t="shared" ref="AA189:AC189" si="525">AA125</f>
        <v>0</v>
      </c>
      <c r="AB189" s="578">
        <f t="shared" si="525"/>
        <v>0</v>
      </c>
      <c r="AC189" s="579">
        <f t="shared" si="525"/>
        <v>0</v>
      </c>
      <c r="AD189" s="571"/>
      <c r="AG189" s="712"/>
      <c r="AH189" s="696" t="s">
        <v>214</v>
      </c>
      <c r="AI189" s="715"/>
      <c r="AJ189" s="583">
        <f>AJ125</f>
        <v>168.75</v>
      </c>
      <c r="AK189" s="578">
        <f t="shared" ref="AK189:AL189" si="526">AK125</f>
        <v>314</v>
      </c>
      <c r="AL189" s="578">
        <f t="shared" si="526"/>
        <v>477</v>
      </c>
      <c r="AM189" s="578">
        <f t="shared" ref="AM189:AO189" si="527">AM125</f>
        <v>0</v>
      </c>
      <c r="AN189" s="578">
        <f t="shared" si="527"/>
        <v>0</v>
      </c>
      <c r="AO189" s="579">
        <f t="shared" si="527"/>
        <v>0</v>
      </c>
      <c r="AP189" s="571"/>
      <c r="AS189" s="712"/>
      <c r="AT189" s="696" t="s">
        <v>214</v>
      </c>
      <c r="AU189" s="715"/>
      <c r="AV189" s="583">
        <f>AV125</f>
        <v>192</v>
      </c>
      <c r="AW189" s="578">
        <f t="shared" ref="AW189" si="528">AW125</f>
        <v>259</v>
      </c>
      <c r="AX189" s="578">
        <f t="shared" ref="AX189:AZ189" si="529">AX125</f>
        <v>399</v>
      </c>
      <c r="AY189" s="578">
        <f t="shared" si="529"/>
        <v>0</v>
      </c>
      <c r="AZ189" s="578">
        <f t="shared" si="529"/>
        <v>0</v>
      </c>
      <c r="BA189" s="579">
        <f t="shared" ref="BA189" si="530">BA125</f>
        <v>0</v>
      </c>
      <c r="BB189" s="571"/>
      <c r="BC189" s="4"/>
      <c r="BD189" s="4"/>
      <c r="BE189" s="712"/>
      <c r="BF189" s="696" t="s">
        <v>214</v>
      </c>
      <c r="BG189" s="715"/>
      <c r="BH189" s="583">
        <f>BH125</f>
        <v>0</v>
      </c>
      <c r="BI189" s="578">
        <f t="shared" ref="BI189" si="531">BI125</f>
        <v>120</v>
      </c>
      <c r="BJ189" s="578">
        <f t="shared" ref="BJ189:BL189" si="532">BJ125</f>
        <v>195</v>
      </c>
      <c r="BK189" s="578">
        <f t="shared" si="532"/>
        <v>0</v>
      </c>
      <c r="BL189" s="578">
        <f t="shared" si="532"/>
        <v>0</v>
      </c>
      <c r="BM189" s="579">
        <f t="shared" ref="BM189" si="533">BM125</f>
        <v>0</v>
      </c>
      <c r="BN189" s="492"/>
      <c r="BO189" s="492"/>
      <c r="BP189" s="492"/>
      <c r="BQ189" s="492"/>
      <c r="BR189" s="492"/>
      <c r="BS189" s="492"/>
      <c r="BT189" s="492"/>
    </row>
    <row r="190" spans="1:74">
      <c r="B190" s="492" t="str">
        <f>B126</f>
        <v>ATE Vaud / ProVélo La Côte</v>
      </c>
      <c r="N190" s="562"/>
      <c r="O190" s="1065"/>
      <c r="P190" s="555"/>
      <c r="Q190" s="584" t="s">
        <v>213</v>
      </c>
      <c r="R190" s="583">
        <f>R134</f>
        <v>21</v>
      </c>
      <c r="S190" s="578">
        <f t="shared" ref="S190:Z190" si="534">S134</f>
        <v>83</v>
      </c>
      <c r="T190" s="578">
        <f t="shared" si="534"/>
        <v>70</v>
      </c>
      <c r="U190" s="578">
        <f t="shared" ref="U190:W190" si="535">U134</f>
        <v>0</v>
      </c>
      <c r="V190" s="578">
        <f t="shared" si="535"/>
        <v>0</v>
      </c>
      <c r="W190" s="579">
        <f t="shared" si="535"/>
        <v>0</v>
      </c>
      <c r="X190" s="583">
        <f t="shared" si="534"/>
        <v>8</v>
      </c>
      <c r="Y190" s="578">
        <f t="shared" si="534"/>
        <v>56</v>
      </c>
      <c r="Z190" s="578">
        <f t="shared" si="534"/>
        <v>42</v>
      </c>
      <c r="AA190" s="578">
        <f t="shared" ref="AA190:AC190" si="536">AA134</f>
        <v>0</v>
      </c>
      <c r="AB190" s="578">
        <f t="shared" si="536"/>
        <v>0</v>
      </c>
      <c r="AC190" s="579">
        <f t="shared" si="536"/>
        <v>0</v>
      </c>
      <c r="AD190" s="571"/>
      <c r="AG190" s="712"/>
      <c r="AH190" s="696" t="s">
        <v>213</v>
      </c>
      <c r="AI190" s="715"/>
      <c r="AJ190" s="583">
        <f>AJ134</f>
        <v>6.09</v>
      </c>
      <c r="AK190" s="578">
        <f t="shared" ref="AK190:AL190" si="537">AK134</f>
        <v>23</v>
      </c>
      <c r="AL190" s="578">
        <f t="shared" si="537"/>
        <v>19</v>
      </c>
      <c r="AM190" s="578">
        <f t="shared" ref="AM190:AO190" si="538">AM134</f>
        <v>0</v>
      </c>
      <c r="AN190" s="578">
        <f t="shared" si="538"/>
        <v>0</v>
      </c>
      <c r="AO190" s="579">
        <f t="shared" si="538"/>
        <v>0</v>
      </c>
      <c r="AP190" s="571"/>
      <c r="AS190" s="712"/>
      <c r="AT190" s="696" t="s">
        <v>213</v>
      </c>
      <c r="AU190" s="715"/>
      <c r="AV190" s="583">
        <f>AV134</f>
        <v>6.72</v>
      </c>
      <c r="AW190" s="578">
        <f t="shared" ref="AW190" si="539">AW134</f>
        <v>23</v>
      </c>
      <c r="AX190" s="578">
        <f t="shared" ref="AX190:AZ190" si="540">AX134</f>
        <v>20</v>
      </c>
      <c r="AY190" s="578">
        <f t="shared" si="540"/>
        <v>0</v>
      </c>
      <c r="AZ190" s="578">
        <f t="shared" si="540"/>
        <v>0</v>
      </c>
      <c r="BA190" s="579">
        <f t="shared" ref="BA190" si="541">BA134</f>
        <v>0</v>
      </c>
      <c r="BB190" s="571"/>
      <c r="BC190" s="4"/>
      <c r="BD190" s="4"/>
      <c r="BE190" s="712"/>
      <c r="BF190" s="696" t="s">
        <v>213</v>
      </c>
      <c r="BG190" s="715"/>
      <c r="BH190" s="583">
        <f>BH134</f>
        <v>0</v>
      </c>
      <c r="BI190" s="578">
        <f t="shared" ref="BI190" si="542">BI134</f>
        <v>13</v>
      </c>
      <c r="BJ190" s="578">
        <f t="shared" ref="BJ190:BL190" si="543">BJ134</f>
        <v>7</v>
      </c>
      <c r="BK190" s="578">
        <f t="shared" si="543"/>
        <v>0</v>
      </c>
      <c r="BL190" s="578">
        <f t="shared" si="543"/>
        <v>0</v>
      </c>
      <c r="BM190" s="579">
        <f t="shared" ref="BM190" si="544">BM134</f>
        <v>0</v>
      </c>
      <c r="BN190" s="492"/>
      <c r="BO190" s="492"/>
      <c r="BP190" s="492"/>
      <c r="BQ190" s="492"/>
      <c r="BR190" s="492"/>
      <c r="BS190" s="492"/>
      <c r="BT190" s="492"/>
    </row>
    <row r="191" spans="1:74" ht="15.75" thickBot="1">
      <c r="B191" s="492" t="str">
        <f>B135</f>
        <v>ProVélo GE</v>
      </c>
      <c r="N191" s="562"/>
      <c r="O191" s="1065"/>
      <c r="P191" s="555"/>
      <c r="Q191" s="585" t="s">
        <v>3</v>
      </c>
      <c r="R191" s="586">
        <f>R159</f>
        <v>2247</v>
      </c>
      <c r="S191" s="587">
        <f t="shared" ref="S191:Z191" si="545">S159</f>
        <v>1770</v>
      </c>
      <c r="T191" s="587">
        <f t="shared" si="545"/>
        <v>2652</v>
      </c>
      <c r="U191" s="587">
        <f t="shared" ref="U191:W191" si="546">U159</f>
        <v>2733</v>
      </c>
      <c r="V191" s="587">
        <f t="shared" si="546"/>
        <v>0</v>
      </c>
      <c r="W191" s="588">
        <f t="shared" si="546"/>
        <v>0</v>
      </c>
      <c r="X191" s="586">
        <f t="shared" si="545"/>
        <v>2247</v>
      </c>
      <c r="Y191" s="587">
        <f t="shared" si="545"/>
        <v>1770</v>
      </c>
      <c r="Z191" s="587">
        <f t="shared" si="545"/>
        <v>2652</v>
      </c>
      <c r="AA191" s="587">
        <f t="shared" ref="AA191:AC191" si="547">AA159</f>
        <v>2733</v>
      </c>
      <c r="AB191" s="587">
        <f t="shared" si="547"/>
        <v>0</v>
      </c>
      <c r="AC191" s="588">
        <f t="shared" si="547"/>
        <v>0</v>
      </c>
      <c r="AD191" s="571"/>
      <c r="AG191" s="711"/>
      <c r="AH191" s="697" t="s">
        <v>3</v>
      </c>
      <c r="AI191" s="716"/>
      <c r="AJ191" s="586">
        <f>AJ159</f>
        <v>285</v>
      </c>
      <c r="AK191" s="587">
        <f t="shared" ref="AK191:AL191" si="548">AK159</f>
        <v>683</v>
      </c>
      <c r="AL191" s="587">
        <f t="shared" si="548"/>
        <v>1151</v>
      </c>
      <c r="AM191" s="587">
        <f t="shared" ref="AM191:AO191" si="549">AM159</f>
        <v>1222</v>
      </c>
      <c r="AN191" s="587">
        <f t="shared" si="549"/>
        <v>0</v>
      </c>
      <c r="AO191" s="588">
        <f t="shared" si="549"/>
        <v>0</v>
      </c>
      <c r="AP191" s="571"/>
      <c r="AS191" s="711"/>
      <c r="AT191" s="697" t="s">
        <v>3</v>
      </c>
      <c r="AU191" s="716"/>
      <c r="AV191" s="586">
        <f>AV159</f>
        <v>901</v>
      </c>
      <c r="AW191" s="587">
        <f t="shared" ref="AW191" si="550">AW159</f>
        <v>726</v>
      </c>
      <c r="AX191" s="587">
        <f t="shared" ref="AX191:AZ191" si="551">AX159</f>
        <v>1043</v>
      </c>
      <c r="AY191" s="587">
        <f t="shared" si="551"/>
        <v>1078</v>
      </c>
      <c r="AZ191" s="587">
        <f t="shared" si="551"/>
        <v>0</v>
      </c>
      <c r="BA191" s="588">
        <f t="shared" ref="BA191" si="552">BA159</f>
        <v>0</v>
      </c>
      <c r="BB191" s="571"/>
      <c r="BC191" s="4"/>
      <c r="BD191" s="4"/>
      <c r="BE191" s="711"/>
      <c r="BF191" s="697" t="s">
        <v>3</v>
      </c>
      <c r="BG191" s="716"/>
      <c r="BH191" s="586">
        <f>BH159</f>
        <v>13</v>
      </c>
      <c r="BI191" s="587">
        <f t="shared" ref="BI191" si="553">BI159</f>
        <v>420</v>
      </c>
      <c r="BJ191" s="587">
        <f t="shared" ref="BJ191:BL191" si="554">BJ159</f>
        <v>604</v>
      </c>
      <c r="BK191" s="587">
        <f t="shared" si="554"/>
        <v>582</v>
      </c>
      <c r="BL191" s="587">
        <f t="shared" si="554"/>
        <v>0</v>
      </c>
      <c r="BM191" s="588">
        <f t="shared" ref="BM191" si="555">BM159</f>
        <v>0</v>
      </c>
      <c r="BN191" s="492"/>
      <c r="BO191" s="492"/>
      <c r="BP191" s="492"/>
      <c r="BQ191" s="492"/>
      <c r="BR191" s="492"/>
      <c r="BS191" s="492"/>
      <c r="BT191" s="492"/>
    </row>
    <row r="192" spans="1:74" s="568" customFormat="1" ht="15.75" thickBot="1">
      <c r="A192" s="20"/>
      <c r="B192" s="561"/>
      <c r="C192" s="569"/>
      <c r="D192" s="569"/>
      <c r="E192" s="569"/>
      <c r="F192" s="569"/>
      <c r="G192" s="569"/>
      <c r="H192" s="569"/>
      <c r="I192" s="569"/>
      <c r="K192" s="569"/>
      <c r="M192" s="569"/>
      <c r="N192" s="562"/>
      <c r="O192" s="1065"/>
      <c r="P192" s="562"/>
      <c r="Q192" s="589" t="s">
        <v>66</v>
      </c>
      <c r="R192" s="590">
        <f>SUBTOTAL(9,R180:R191)</f>
        <v>5191</v>
      </c>
      <c r="S192" s="591">
        <f t="shared" ref="S192:Z192" si="556">SUBTOTAL(9,S180:S191)</f>
        <v>4581</v>
      </c>
      <c r="T192" s="591">
        <f t="shared" si="556"/>
        <v>7331</v>
      </c>
      <c r="U192" s="591">
        <f t="shared" ref="U192:W192" si="557">SUBTOTAL(9,U180:U191)</f>
        <v>3265</v>
      </c>
      <c r="V192" s="591">
        <f t="shared" si="557"/>
        <v>0</v>
      </c>
      <c r="W192" s="592">
        <f t="shared" si="557"/>
        <v>0</v>
      </c>
      <c r="X192" s="590">
        <f t="shared" si="556"/>
        <v>3593</v>
      </c>
      <c r="Y192" s="591">
        <f t="shared" si="556"/>
        <v>3526</v>
      </c>
      <c r="Z192" s="591">
        <f t="shared" si="556"/>
        <v>5620</v>
      </c>
      <c r="AA192" s="591">
        <f t="shared" ref="AA192:AC192" si="558">SUBTOTAL(9,AA180:AA191)</f>
        <v>2949</v>
      </c>
      <c r="AB192" s="591">
        <f t="shared" si="558"/>
        <v>0</v>
      </c>
      <c r="AC192" s="592">
        <f t="shared" si="558"/>
        <v>0</v>
      </c>
      <c r="AD192" s="572"/>
      <c r="AG192" s="520"/>
      <c r="AH192" s="698" t="s">
        <v>66</v>
      </c>
      <c r="AI192" s="717"/>
      <c r="AJ192" s="590">
        <f>SUBTOTAL(9,AJ180:AJ191)</f>
        <v>1427.02</v>
      </c>
      <c r="AK192" s="591">
        <f t="shared" ref="AK192" si="559">SUBTOTAL(9,AK180:AK191)</f>
        <v>1783</v>
      </c>
      <c r="AL192" s="591">
        <f t="shared" ref="AL192:AO192" si="560">SUBTOTAL(9,AL180:AL191)</f>
        <v>3047</v>
      </c>
      <c r="AM192" s="591">
        <f t="shared" si="560"/>
        <v>1457</v>
      </c>
      <c r="AN192" s="591">
        <f t="shared" si="560"/>
        <v>0</v>
      </c>
      <c r="AO192" s="592">
        <f t="shared" si="560"/>
        <v>0</v>
      </c>
      <c r="AP192" s="572"/>
      <c r="AS192" s="520"/>
      <c r="AT192" s="698" t="s">
        <v>66</v>
      </c>
      <c r="AU192" s="717"/>
      <c r="AV192" s="590">
        <f>SUBTOTAL(9,AV180:AV191)</f>
        <v>2006.3300000000002</v>
      </c>
      <c r="AW192" s="591">
        <f t="shared" ref="AW192:AZ192" si="561">SUBTOTAL(9,AW180:AW191)</f>
        <v>1662</v>
      </c>
      <c r="AX192" s="591">
        <f t="shared" si="561"/>
        <v>2644</v>
      </c>
      <c r="AY192" s="591">
        <f t="shared" si="561"/>
        <v>1254</v>
      </c>
      <c r="AZ192" s="591">
        <f t="shared" si="561"/>
        <v>0</v>
      </c>
      <c r="BA192" s="592">
        <f t="shared" ref="BA192" si="562">SUBTOTAL(9,BA180:BA191)</f>
        <v>0</v>
      </c>
      <c r="BB192" s="572"/>
      <c r="BE192" s="520"/>
      <c r="BF192" s="698" t="s">
        <v>66</v>
      </c>
      <c r="BG192" s="717"/>
      <c r="BH192" s="590">
        <f>SUBTOTAL(9,BH180:BH191)</f>
        <v>108.86020000000001</v>
      </c>
      <c r="BI192" s="591">
        <f t="shared" ref="BI192:BL192" si="563">SUBTOTAL(9,BI180:BI191)</f>
        <v>720</v>
      </c>
      <c r="BJ192" s="591">
        <f t="shared" si="563"/>
        <v>1066</v>
      </c>
      <c r="BK192" s="591">
        <f t="shared" si="563"/>
        <v>679</v>
      </c>
      <c r="BL192" s="591">
        <f t="shared" si="563"/>
        <v>0</v>
      </c>
      <c r="BM192" s="592">
        <f t="shared" ref="BM192" si="564">SUBTOTAL(9,BM180:BM191)</f>
        <v>0</v>
      </c>
      <c r="BN192" s="561"/>
      <c r="BO192" s="561"/>
      <c r="BP192" s="561"/>
      <c r="BQ192" s="561"/>
      <c r="BR192" s="561"/>
      <c r="BS192" s="561"/>
      <c r="BT192" s="561"/>
      <c r="BU192" s="570"/>
      <c r="BV192" s="561"/>
    </row>
    <row r="193" spans="1:74" ht="15" customHeight="1" thickBot="1">
      <c r="N193" s="562"/>
      <c r="R193" s="492"/>
      <c r="S193" s="492"/>
      <c r="T193" s="492"/>
      <c r="U193" s="492"/>
      <c r="V193" s="492"/>
      <c r="W193" s="492"/>
      <c r="X193" s="492"/>
      <c r="Y193" s="492"/>
      <c r="Z193" s="492"/>
      <c r="AA193" s="492"/>
      <c r="AB193" s="492"/>
      <c r="AC193" s="492"/>
      <c r="AD193" s="492"/>
      <c r="AG193" s="492"/>
      <c r="AH193" s="492"/>
      <c r="AI193" s="492"/>
      <c r="AJ193" s="492"/>
      <c r="AK193" s="492"/>
      <c r="AL193" s="492"/>
      <c r="AM193" s="492"/>
      <c r="AN193" s="492"/>
      <c r="AO193" s="492"/>
      <c r="AP193" s="492"/>
      <c r="AS193" s="492"/>
      <c r="AT193" s="492"/>
      <c r="AU193" s="492"/>
      <c r="AV193" s="492"/>
      <c r="AW193" s="492"/>
      <c r="AX193" s="492"/>
      <c r="AY193" s="492"/>
      <c r="AZ193" s="492"/>
      <c r="BA193" s="492"/>
      <c r="BB193" s="492"/>
      <c r="BC193" s="4"/>
      <c r="BD193" s="4"/>
      <c r="BE193" s="492"/>
      <c r="BF193" s="492"/>
      <c r="BG193" s="492"/>
      <c r="BH193" s="492"/>
      <c r="BI193" s="492"/>
      <c r="BJ193" s="492"/>
      <c r="BK193" s="492"/>
      <c r="BL193" s="492"/>
      <c r="BM193" s="492"/>
      <c r="BN193" s="492"/>
      <c r="BO193" s="492"/>
      <c r="BP193" s="492"/>
      <c r="BQ193" s="492"/>
      <c r="BR193" s="492"/>
      <c r="BS193" s="492"/>
      <c r="BT193" s="492"/>
    </row>
    <row r="194" spans="1:74">
      <c r="J194" s="520"/>
      <c r="K194" s="521"/>
      <c r="M194" s="521"/>
      <c r="N194" s="562"/>
      <c r="O194" s="1065" t="s">
        <v>217</v>
      </c>
      <c r="P194" s="562"/>
      <c r="Q194" s="555"/>
      <c r="R194" s="607" t="s">
        <v>159</v>
      </c>
      <c r="S194" s="608" t="s">
        <v>215</v>
      </c>
      <c r="T194" s="609"/>
      <c r="U194" s="608"/>
      <c r="V194" s="608"/>
      <c r="W194" s="608"/>
      <c r="X194" s="607" t="s">
        <v>44</v>
      </c>
      <c r="Y194" s="608" t="s">
        <v>215</v>
      </c>
      <c r="Z194" s="609"/>
      <c r="AA194" s="608"/>
      <c r="AB194" s="608"/>
      <c r="AC194" s="608"/>
      <c r="AD194" s="518"/>
      <c r="AG194" s="518"/>
      <c r="AH194" s="518"/>
      <c r="AI194" s="518"/>
      <c r="AJ194" s="522" t="s">
        <v>209</v>
      </c>
      <c r="AK194" s="720" t="s">
        <v>215</v>
      </c>
      <c r="AL194" s="608"/>
      <c r="AM194" s="608"/>
      <c r="AN194" s="608"/>
      <c r="AO194" s="609"/>
      <c r="AP194" s="518"/>
      <c r="AS194" s="518"/>
      <c r="AT194" s="518"/>
      <c r="AU194" s="518"/>
      <c r="AV194" s="607" t="s">
        <v>208</v>
      </c>
      <c r="AW194" s="608" t="s">
        <v>215</v>
      </c>
      <c r="AX194" s="609"/>
      <c r="AY194" s="718"/>
      <c r="AZ194" s="718"/>
      <c r="BA194" s="719"/>
      <c r="BC194" s="4"/>
      <c r="BD194" s="4"/>
      <c r="BE194" s="518"/>
      <c r="BF194" s="518"/>
      <c r="BG194" s="518"/>
      <c r="BH194" s="607" t="s">
        <v>207</v>
      </c>
      <c r="BI194" s="608" t="s">
        <v>215</v>
      </c>
      <c r="BJ194" s="609"/>
      <c r="BK194" s="718"/>
      <c r="BL194" s="718"/>
      <c r="BM194" s="719"/>
      <c r="BN194" s="560"/>
    </row>
    <row r="195" spans="1:74" ht="15.75" thickBot="1">
      <c r="J195" s="520"/>
      <c r="K195" s="521"/>
      <c r="M195" s="521"/>
      <c r="N195" s="562"/>
      <c r="O195" s="1065"/>
      <c r="P195" s="562"/>
      <c r="Q195" s="555"/>
      <c r="R195" s="573">
        <f>R$164</f>
        <v>2020</v>
      </c>
      <c r="S195" s="574">
        <f t="shared" ref="S195:AC195" si="565">S$164</f>
        <v>2021</v>
      </c>
      <c r="T195" s="574">
        <f t="shared" si="565"/>
        <v>2022</v>
      </c>
      <c r="U195" s="574">
        <f t="shared" si="565"/>
        <v>2023</v>
      </c>
      <c r="V195" s="574">
        <f t="shared" si="565"/>
        <v>2024</v>
      </c>
      <c r="W195" s="575">
        <f t="shared" si="565"/>
        <v>2025</v>
      </c>
      <c r="X195" s="573">
        <f t="shared" si="565"/>
        <v>2020</v>
      </c>
      <c r="Y195" s="574">
        <f t="shared" si="565"/>
        <v>2021</v>
      </c>
      <c r="Z195" s="574">
        <f t="shared" si="565"/>
        <v>2022</v>
      </c>
      <c r="AA195" s="574">
        <f t="shared" si="565"/>
        <v>2023</v>
      </c>
      <c r="AB195" s="574">
        <f t="shared" si="565"/>
        <v>2024</v>
      </c>
      <c r="AC195" s="575">
        <f t="shared" si="565"/>
        <v>2025</v>
      </c>
      <c r="AG195" s="710"/>
      <c r="AH195" s="691"/>
      <c r="AI195" s="541"/>
      <c r="AJ195" s="525">
        <f t="shared" ref="AJ195:AO195" si="566">AJ$164</f>
        <v>2020</v>
      </c>
      <c r="AK195" s="526">
        <f t="shared" si="566"/>
        <v>2021</v>
      </c>
      <c r="AL195" s="526">
        <f t="shared" si="566"/>
        <v>2022</v>
      </c>
      <c r="AM195" s="526">
        <f t="shared" si="566"/>
        <v>2023</v>
      </c>
      <c r="AN195" s="526">
        <f t="shared" si="566"/>
        <v>2024</v>
      </c>
      <c r="AO195" s="527">
        <f t="shared" si="566"/>
        <v>2025</v>
      </c>
      <c r="AS195" s="710"/>
      <c r="AT195" s="691"/>
      <c r="AU195" s="541"/>
      <c r="AV195" s="525">
        <f t="shared" ref="AV195:BA195" si="567">AV$164</f>
        <v>2020</v>
      </c>
      <c r="AW195" s="526">
        <f t="shared" si="567"/>
        <v>2021</v>
      </c>
      <c r="AX195" s="526">
        <f t="shared" si="567"/>
        <v>2022</v>
      </c>
      <c r="AY195" s="526">
        <f t="shared" si="567"/>
        <v>2023</v>
      </c>
      <c r="AZ195" s="526">
        <f t="shared" si="567"/>
        <v>2024</v>
      </c>
      <c r="BA195" s="527">
        <f t="shared" si="567"/>
        <v>2025</v>
      </c>
      <c r="BC195" s="4"/>
      <c r="BD195" s="4"/>
      <c r="BE195" s="710"/>
      <c r="BF195" s="691"/>
      <c r="BG195" s="541"/>
      <c r="BH195" s="525">
        <f t="shared" ref="BH195:BM195" si="568">BH$164</f>
        <v>2020</v>
      </c>
      <c r="BI195" s="526">
        <f t="shared" si="568"/>
        <v>2021</v>
      </c>
      <c r="BJ195" s="526">
        <f t="shared" si="568"/>
        <v>2022</v>
      </c>
      <c r="BK195" s="526">
        <f t="shared" si="568"/>
        <v>2023</v>
      </c>
      <c r="BL195" s="526">
        <f t="shared" si="568"/>
        <v>2024</v>
      </c>
      <c r="BM195" s="527">
        <f t="shared" si="568"/>
        <v>2025</v>
      </c>
      <c r="BN195" s="560"/>
    </row>
    <row r="196" spans="1:74">
      <c r="B196" s="492"/>
      <c r="N196" s="562"/>
      <c r="O196" s="1065"/>
      <c r="P196" s="555"/>
      <c r="Q196" s="580" t="s">
        <v>70</v>
      </c>
      <c r="R196" s="603" t="str">
        <f>IF(R180=0,"","100%")</f>
        <v>100%</v>
      </c>
      <c r="S196" s="595" t="str">
        <f>IF(R180=0,"",  IF(S180=0,"",  IF(S180&gt;R180,"+"&amp;ROUND((S180/R180-1)*100,0)&amp;"%",  IF(S180&lt;R180,ROUND((S180/R180-1)*100,0)&amp;"%",  ""))))</f>
        <v>+62%</v>
      </c>
      <c r="T196" s="595" t="str">
        <f t="shared" ref="S196:T206" si="569">IF(S180=0,"",  IF(T180=0,"",  IF(T180&gt;S180,"+"&amp;ROUND((T180/S180-1)*100,0)&amp;"%",  IF(T180&lt;S180,ROUND((T180/S180-1)*100,0)&amp;"%",  ""))))</f>
        <v>-29%</v>
      </c>
      <c r="U196" s="595" t="str">
        <f t="shared" ref="U196:U208" si="570">IF(T180=0,"",  IF(U180=0,"",  IF(U180&gt;T180,"+"&amp;ROUND((U180/T180-1)*100,0)&amp;"%",  IF(U180&lt;T180,ROUND((U180/T180-1)*100,0)&amp;"%",  ""))))</f>
        <v>+144%</v>
      </c>
      <c r="V196" s="595" t="str">
        <f t="shared" ref="V196:V208" si="571">IF(U180=0,"",  IF(V180=0,"",  IF(V180&gt;U180,"+"&amp;ROUND((V180/U180-1)*100,0)&amp;"%",  IF(V180&lt;U180,ROUND((V180/U180-1)*100,0)&amp;"%",  ""))))</f>
        <v/>
      </c>
      <c r="W196" s="596" t="str">
        <f t="shared" ref="W196:W208" si="572">IF(V180=0,"",  IF(W180=0,"",  IF(W180&gt;V180,"+"&amp;ROUND((W180/V180-1)*100,0)&amp;"%",  IF(W180&lt;V180,ROUND((W180/V180-1)*100,0)&amp;"%",  ""))))</f>
        <v/>
      </c>
      <c r="X196" s="603">
        <v>1</v>
      </c>
      <c r="Y196" s="595" t="str">
        <f t="shared" ref="Y196:Z196" si="573">IF(X180=0,"",  IF(Y180=0,"",  IF(Y180&gt;X180,"+"&amp;ROUND((Y180/X180-1)*100,0)&amp;"%",  IF(Y180&lt;X180,ROUND((Y180/X180-1)*100,0)&amp;"%",  ""))))</f>
        <v>+224%</v>
      </c>
      <c r="Z196" s="595" t="str">
        <f t="shared" si="573"/>
        <v>-23%</v>
      </c>
      <c r="AA196" s="595" t="str">
        <f t="shared" ref="AA196:AA208" si="574">IF(Z180=0,"",  IF(AA180=0,"",  IF(AA180&gt;Z180,"+"&amp;ROUND((AA180/Z180-1)*100,0)&amp;"%",  IF(AA180&lt;Z180,ROUND((AA180/Z180-1)*100,0)&amp;"%",  ""))))</f>
        <v/>
      </c>
      <c r="AB196" s="595" t="str">
        <f t="shared" ref="AB196:AB208" si="575">IF(AA180=0,"",  IF(AB180=0,"",  IF(AB180&gt;AA180,"+"&amp;ROUND((AB180/AA180-1)*100,0)&amp;"%",  IF(AB180&lt;AA180,ROUND((AB180/AA180-1)*100,0)&amp;"%",  ""))))</f>
        <v/>
      </c>
      <c r="AC196" s="596" t="str">
        <f t="shared" ref="AC196:AC208" si="576">IF(AB180=0,"",  IF(AC180=0,"",  IF(AC180&gt;AB180,"+"&amp;ROUND((AC180/AB180-1)*100,0)&amp;"%",  IF(AC180&lt;AB180,ROUND((AC180/AB180-1)*100,0)&amp;"%",  ""))))</f>
        <v/>
      </c>
      <c r="AD196" s="571"/>
      <c r="AG196" s="711"/>
      <c r="AH196" s="694" t="s">
        <v>70</v>
      </c>
      <c r="AI196" s="713"/>
      <c r="AJ196" s="603" t="str">
        <f>IF(AJ180=0,"","100%")</f>
        <v>100%</v>
      </c>
      <c r="AK196" s="595" t="str">
        <f t="shared" ref="AK196" si="577">IF(AJ180=0,"",  IF(AK180=0,"",  IF(AK180&gt;AJ180,"+"&amp;ROUND((AK180/AJ180-1)*100,0)&amp;"%",  IF(AK180&lt;AJ180,ROUND((AK180/AJ180-1)*100,0)&amp;"%",  ""))))</f>
        <v/>
      </c>
      <c r="AL196" s="595" t="str">
        <f t="shared" ref="AL196:AL208" si="578">IF(AK180=0,"",  IF(AL180=0,"",  IF(AL180&gt;AK180,"+"&amp;ROUND((AL180/AK180-1)*100,0)&amp;"%",  IF(AL180&lt;AK180,ROUND((AL180/AK180-1)*100,0)&amp;"%",  ""))))</f>
        <v/>
      </c>
      <c r="AM196" s="595" t="str">
        <f t="shared" ref="AM196:AM208" si="579">IF(AL180=0,"",  IF(AM180=0,"",  IF(AM180&gt;AL180,"+"&amp;ROUND((AM180/AL180-1)*100,0)&amp;"%",  IF(AM180&lt;AL180,ROUND((AM180/AL180-1)*100,0)&amp;"%",  ""))))</f>
        <v/>
      </c>
      <c r="AN196" s="595" t="str">
        <f t="shared" ref="AN196:AN208" si="580">IF(AM180=0,"",  IF(AN180=0,"",  IF(AN180&gt;AM180,"+"&amp;ROUND((AN180/AM180-1)*100,0)&amp;"%",  IF(AN180&lt;AM180,ROUND((AN180/AM180-1)*100,0)&amp;"%",  ""))))</f>
        <v/>
      </c>
      <c r="AO196" s="596" t="str">
        <f t="shared" ref="AO196:AO206" si="581">IF(AN180=0,"",  IF(AO180=0,"",  IF(AO180&gt;AN180,"+"&amp;ROUND((AO180/AN180-1)*100,0)&amp;"%",  IF(AO180&lt;AN180,ROUND((AO180/AN180-1)*100,0)&amp;"%",  ""))))</f>
        <v/>
      </c>
      <c r="AP196" s="571"/>
      <c r="AS196" s="711"/>
      <c r="AT196" s="694" t="s">
        <v>70</v>
      </c>
      <c r="AU196" s="713"/>
      <c r="AV196" s="603" t="str">
        <f>IF(AV180=0,"","100%")</f>
        <v>100%</v>
      </c>
      <c r="AW196" s="595" t="str">
        <f t="shared" ref="AW196" si="582">IF(AV180=0,"",  IF(AW180=0,"",  IF(AW180&gt;AV180,"+"&amp;ROUND((AW180/AV180-1)*100,0)&amp;"%",  IF(AW180&lt;AV180,ROUND((AW180/AV180-1)*100,0)&amp;"%",  ""))))</f>
        <v>+6%</v>
      </c>
      <c r="AX196" s="595" t="str">
        <f t="shared" ref="AX196:AX208" si="583">IF(AW180=0,"",  IF(AX180=0,"",  IF(AX180&gt;AW180,"+"&amp;ROUND((AX180/AW180-1)*100,0)&amp;"%",  IF(AX180&lt;AW180,ROUND((AX180/AW180-1)*100,0)&amp;"%",  ""))))</f>
        <v/>
      </c>
      <c r="AY196" s="595" t="str">
        <f t="shared" ref="AY196:AY208" si="584">IF(AX180=0,"",  IF(AY180=0,"",  IF(AY180&gt;AX180,"+"&amp;ROUND((AY180/AX180-1)*100,0)&amp;"%",  IF(AY180&lt;AX180,ROUND((AY180/AX180-1)*100,0)&amp;"%",  ""))))</f>
        <v/>
      </c>
      <c r="AZ196" s="595" t="str">
        <f t="shared" ref="AZ196:AZ208" si="585">IF(AY180=0,"",  IF(AZ180=0,"",  IF(AZ180&gt;AY180,"+"&amp;ROUND((AZ180/AY180-1)*100,0)&amp;"%",  IF(AZ180&lt;AY180,ROUND((AZ180/AY180-1)*100,0)&amp;"%",  ""))))</f>
        <v/>
      </c>
      <c r="BA196" s="596" t="str">
        <f t="shared" ref="BA196:BA206" si="586">IF(AZ180=0,"",  IF(BA180=0,"",  IF(BA180&gt;AZ180,"+"&amp;ROUND((BA180/AZ180-1)*100,0)&amp;"%",  IF(BA180&lt;AZ180,ROUND((BA180/AZ180-1)*100,0)&amp;"%",  ""))))</f>
        <v/>
      </c>
      <c r="BB196" s="571"/>
      <c r="BC196" s="4"/>
      <c r="BD196" s="4"/>
      <c r="BE196" s="711"/>
      <c r="BF196" s="694" t="s">
        <v>70</v>
      </c>
      <c r="BG196" s="713"/>
      <c r="BH196" s="603" t="str">
        <f>IF(BH180=0,"","100%")</f>
        <v>100%</v>
      </c>
      <c r="BI196" s="595" t="str">
        <f t="shared" ref="BI196" si="587">IF(BH180=0,"",  IF(BI180=0,"",  IF(BI180&gt;BH180,"+"&amp;ROUND((BI180/BH180-1)*100,0)&amp;"%",  IF(BI180&lt;BH180,ROUND((BI180/BH180-1)*100,0)&amp;"%",  ""))))</f>
        <v/>
      </c>
      <c r="BJ196" s="595" t="str">
        <f t="shared" ref="BJ196:BJ208" si="588">IF(BI180=0,"",  IF(BJ180=0,"",  IF(BJ180&gt;BI180,"+"&amp;ROUND((BJ180/BI180-1)*100,0)&amp;"%",  IF(BJ180&lt;BI180,ROUND((BJ180/BI180-1)*100,0)&amp;"%",  ""))))</f>
        <v/>
      </c>
      <c r="BK196" s="595" t="str">
        <f t="shared" ref="BK196:BK208" si="589">IF(BJ180=0,"",  IF(BK180=0,"",  IF(BK180&gt;BJ180,"+"&amp;ROUND((BK180/BJ180-1)*100,0)&amp;"%",  IF(BK180&lt;BJ180,ROUND((BK180/BJ180-1)*100,0)&amp;"%",  ""))))</f>
        <v/>
      </c>
      <c r="BL196" s="595" t="str">
        <f t="shared" ref="BL196:BL208" si="590">IF(BK180=0,"",  IF(BL180=0,"",  IF(BL180&gt;BK180,"+"&amp;ROUND((BL180/BK180-1)*100,0)&amp;"%",  IF(BL180&lt;BK180,ROUND((BL180/BK180-1)*100,0)&amp;"%",  ""))))</f>
        <v/>
      </c>
      <c r="BM196" s="596" t="str">
        <f t="shared" ref="BM196:BM206" si="591">IF(BL180=0,"",  IF(BM180=0,"",  IF(BM180&gt;BL180,"+"&amp;ROUND((BM180/BL180-1)*100,0)&amp;"%",  IF(BM180&lt;BL180,ROUND((BM180/BL180-1)*100,0)&amp;"%",  ""))))</f>
        <v/>
      </c>
      <c r="BN196" s="492"/>
      <c r="BO196" s="492"/>
      <c r="BP196" s="492"/>
      <c r="BQ196" s="492"/>
      <c r="BR196" s="492"/>
      <c r="BS196" s="492"/>
      <c r="BT196" s="492"/>
    </row>
    <row r="197" spans="1:74">
      <c r="B197" s="492"/>
      <c r="N197" s="562"/>
      <c r="O197" s="1065"/>
      <c r="P197" s="555"/>
      <c r="Q197" s="582" t="s">
        <v>210</v>
      </c>
      <c r="R197" s="604" t="str">
        <f t="shared" ref="R197:R208" si="592">IF(R181=0,"","100%")</f>
        <v/>
      </c>
      <c r="S197" s="593" t="str">
        <f t="shared" si="569"/>
        <v/>
      </c>
      <c r="T197" s="593" t="str">
        <f t="shared" si="569"/>
        <v/>
      </c>
      <c r="U197" s="593" t="str">
        <f t="shared" si="570"/>
        <v/>
      </c>
      <c r="V197" s="593" t="str">
        <f t="shared" si="571"/>
        <v/>
      </c>
      <c r="W197" s="594" t="str">
        <f t="shared" si="572"/>
        <v/>
      </c>
      <c r="X197" s="604">
        <v>1</v>
      </c>
      <c r="Y197" s="593" t="str">
        <f t="shared" ref="Y197:Z197" si="593">IF(X181=0,"",  IF(Y181=0,"",  IF(Y181&gt;X181,"+"&amp;ROUND((Y181/X181-1)*100,0)&amp;"%",  IF(Y181&lt;X181,ROUND((Y181/X181-1)*100,0)&amp;"%",  ""))))</f>
        <v/>
      </c>
      <c r="Z197" s="593" t="str">
        <f t="shared" si="593"/>
        <v/>
      </c>
      <c r="AA197" s="593" t="str">
        <f t="shared" si="574"/>
        <v/>
      </c>
      <c r="AB197" s="593" t="str">
        <f t="shared" si="575"/>
        <v/>
      </c>
      <c r="AC197" s="594" t="str">
        <f t="shared" si="576"/>
        <v/>
      </c>
      <c r="AD197" s="571"/>
      <c r="AG197" s="711"/>
      <c r="AH197" s="695" t="s">
        <v>210</v>
      </c>
      <c r="AI197" s="714"/>
      <c r="AJ197" s="604" t="str">
        <f t="shared" ref="AJ197:AJ208" si="594">IF(AJ181=0,"","100%")</f>
        <v/>
      </c>
      <c r="AK197" s="593" t="str">
        <f t="shared" ref="AK197" si="595">IF(AJ181=0,"",  IF(AK181=0,"",  IF(AK181&gt;AJ181,"+"&amp;ROUND((AK181/AJ181-1)*100,0)&amp;"%",  IF(AK181&lt;AJ181,ROUND((AK181/AJ181-1)*100,0)&amp;"%",  ""))))</f>
        <v/>
      </c>
      <c r="AL197" s="593" t="str">
        <f t="shared" si="578"/>
        <v/>
      </c>
      <c r="AM197" s="593" t="str">
        <f t="shared" si="579"/>
        <v/>
      </c>
      <c r="AN197" s="593" t="str">
        <f t="shared" si="580"/>
        <v/>
      </c>
      <c r="AO197" s="594" t="str">
        <f t="shared" si="581"/>
        <v/>
      </c>
      <c r="AP197" s="571"/>
      <c r="AS197" s="711"/>
      <c r="AT197" s="695" t="s">
        <v>210</v>
      </c>
      <c r="AU197" s="714"/>
      <c r="AV197" s="604" t="str">
        <f t="shared" ref="AV197:AV208" si="596">IF(AV181=0,"","100%")</f>
        <v/>
      </c>
      <c r="AW197" s="593" t="str">
        <f t="shared" ref="AW197" si="597">IF(AV181=0,"",  IF(AW181=0,"",  IF(AW181&gt;AV181,"+"&amp;ROUND((AW181/AV181-1)*100,0)&amp;"%",  IF(AW181&lt;AV181,ROUND((AW181/AV181-1)*100,0)&amp;"%",  ""))))</f>
        <v/>
      </c>
      <c r="AX197" s="593" t="str">
        <f t="shared" si="583"/>
        <v/>
      </c>
      <c r="AY197" s="593" t="str">
        <f t="shared" si="584"/>
        <v/>
      </c>
      <c r="AZ197" s="593" t="str">
        <f t="shared" si="585"/>
        <v/>
      </c>
      <c r="BA197" s="594" t="str">
        <f t="shared" si="586"/>
        <v/>
      </c>
      <c r="BB197" s="571"/>
      <c r="BC197" s="4"/>
      <c r="BD197" s="4"/>
      <c r="BE197" s="711"/>
      <c r="BF197" s="695" t="s">
        <v>210</v>
      </c>
      <c r="BG197" s="714"/>
      <c r="BH197" s="604" t="str">
        <f t="shared" ref="BH197:BH208" si="598">IF(BH181=0,"","100%")</f>
        <v/>
      </c>
      <c r="BI197" s="593" t="str">
        <f t="shared" ref="BI197" si="599">IF(BH181=0,"",  IF(BI181=0,"",  IF(BI181&gt;BH181,"+"&amp;ROUND((BI181/BH181-1)*100,0)&amp;"%",  IF(BI181&lt;BH181,ROUND((BI181/BH181-1)*100,0)&amp;"%",  ""))))</f>
        <v/>
      </c>
      <c r="BJ197" s="593" t="str">
        <f t="shared" si="588"/>
        <v/>
      </c>
      <c r="BK197" s="593" t="str">
        <f t="shared" si="589"/>
        <v/>
      </c>
      <c r="BL197" s="593" t="str">
        <f t="shared" si="590"/>
        <v/>
      </c>
      <c r="BM197" s="594" t="str">
        <f t="shared" si="591"/>
        <v/>
      </c>
      <c r="BN197" s="492"/>
      <c r="BO197" s="492"/>
      <c r="BP197" s="492"/>
      <c r="BQ197" s="492"/>
      <c r="BR197" s="492"/>
      <c r="BS197" s="492"/>
      <c r="BT197" s="492"/>
    </row>
    <row r="198" spans="1:74">
      <c r="B198" s="492"/>
      <c r="N198" s="562"/>
      <c r="O198" s="1065"/>
      <c r="P198" s="555"/>
      <c r="Q198" s="582" t="s">
        <v>211</v>
      </c>
      <c r="R198" s="604" t="str">
        <f t="shared" si="592"/>
        <v/>
      </c>
      <c r="S198" s="597" t="str">
        <f t="shared" si="569"/>
        <v/>
      </c>
      <c r="T198" s="597" t="str">
        <f t="shared" si="569"/>
        <v/>
      </c>
      <c r="U198" s="597" t="str">
        <f t="shared" si="570"/>
        <v/>
      </c>
      <c r="V198" s="597" t="str">
        <f t="shared" si="571"/>
        <v/>
      </c>
      <c r="W198" s="598" t="str">
        <f t="shared" si="572"/>
        <v/>
      </c>
      <c r="X198" s="604">
        <v>1</v>
      </c>
      <c r="Y198" s="597" t="str">
        <f t="shared" ref="Y198:Z198" si="600">IF(X182=0,"",  IF(Y182=0,"",  IF(Y182&gt;X182,"+"&amp;ROUND((Y182/X182-1)*100,0)&amp;"%",  IF(Y182&lt;X182,ROUND((Y182/X182-1)*100,0)&amp;"%",  ""))))</f>
        <v/>
      </c>
      <c r="Z198" s="597" t="str">
        <f t="shared" si="600"/>
        <v/>
      </c>
      <c r="AA198" s="597" t="str">
        <f t="shared" si="574"/>
        <v/>
      </c>
      <c r="AB198" s="597" t="str">
        <f t="shared" si="575"/>
        <v/>
      </c>
      <c r="AC198" s="598" t="str">
        <f t="shared" si="576"/>
        <v/>
      </c>
      <c r="AD198" s="571"/>
      <c r="AG198" s="711"/>
      <c r="AH198" s="695" t="s">
        <v>211</v>
      </c>
      <c r="AI198" s="714"/>
      <c r="AJ198" s="604" t="str">
        <f t="shared" si="594"/>
        <v/>
      </c>
      <c r="AK198" s="597" t="str">
        <f t="shared" ref="AK198" si="601">IF(AJ182=0,"",  IF(AK182=0,"",  IF(AK182&gt;AJ182,"+"&amp;ROUND((AK182/AJ182-1)*100,0)&amp;"%",  IF(AK182&lt;AJ182,ROUND((AK182/AJ182-1)*100,0)&amp;"%",  ""))))</f>
        <v/>
      </c>
      <c r="AL198" s="597" t="str">
        <f t="shared" si="578"/>
        <v/>
      </c>
      <c r="AM198" s="597" t="str">
        <f t="shared" si="579"/>
        <v/>
      </c>
      <c r="AN198" s="597" t="str">
        <f t="shared" si="580"/>
        <v/>
      </c>
      <c r="AO198" s="598" t="str">
        <f t="shared" si="581"/>
        <v/>
      </c>
      <c r="AP198" s="571"/>
      <c r="AS198" s="711"/>
      <c r="AT198" s="695" t="s">
        <v>211</v>
      </c>
      <c r="AU198" s="714"/>
      <c r="AV198" s="604" t="str">
        <f t="shared" si="596"/>
        <v/>
      </c>
      <c r="AW198" s="597" t="str">
        <f t="shared" ref="AW198" si="602">IF(AV182=0,"",  IF(AW182=0,"",  IF(AW182&gt;AV182,"+"&amp;ROUND((AW182/AV182-1)*100,0)&amp;"%",  IF(AW182&lt;AV182,ROUND((AW182/AV182-1)*100,0)&amp;"%",  ""))))</f>
        <v/>
      </c>
      <c r="AX198" s="597" t="str">
        <f t="shared" si="583"/>
        <v/>
      </c>
      <c r="AY198" s="597" t="str">
        <f t="shared" si="584"/>
        <v/>
      </c>
      <c r="AZ198" s="597" t="str">
        <f t="shared" si="585"/>
        <v/>
      </c>
      <c r="BA198" s="598" t="str">
        <f t="shared" si="586"/>
        <v/>
      </c>
      <c r="BB198" s="571"/>
      <c r="BC198" s="4"/>
      <c r="BD198" s="4"/>
      <c r="BE198" s="711"/>
      <c r="BF198" s="695" t="s">
        <v>211</v>
      </c>
      <c r="BG198" s="714"/>
      <c r="BH198" s="604" t="str">
        <f t="shared" si="598"/>
        <v/>
      </c>
      <c r="BI198" s="597" t="str">
        <f t="shared" ref="BI198" si="603">IF(BH182=0,"",  IF(BI182=0,"",  IF(BI182&gt;BH182,"+"&amp;ROUND((BI182/BH182-1)*100,0)&amp;"%",  IF(BI182&lt;BH182,ROUND((BI182/BH182-1)*100,0)&amp;"%",  ""))))</f>
        <v/>
      </c>
      <c r="BJ198" s="597" t="str">
        <f t="shared" si="588"/>
        <v/>
      </c>
      <c r="BK198" s="597" t="str">
        <f t="shared" si="589"/>
        <v/>
      </c>
      <c r="BL198" s="597" t="str">
        <f t="shared" si="590"/>
        <v/>
      </c>
      <c r="BM198" s="598" t="str">
        <f t="shared" si="591"/>
        <v/>
      </c>
      <c r="BN198" s="492"/>
      <c r="BO198" s="492"/>
      <c r="BP198" s="492"/>
      <c r="BQ198" s="492"/>
      <c r="BR198" s="492"/>
      <c r="BS198" s="492"/>
      <c r="BT198" s="492"/>
    </row>
    <row r="199" spans="1:74">
      <c r="B199" s="492"/>
      <c r="N199" s="562"/>
      <c r="O199" s="1065"/>
      <c r="P199" s="555"/>
      <c r="Q199" s="584" t="s">
        <v>212</v>
      </c>
      <c r="R199" s="604" t="str">
        <f t="shared" si="592"/>
        <v>100%</v>
      </c>
      <c r="S199" s="597" t="str">
        <f>IF(R183=0,"",  IF(S183=0,"",  IF(S183&gt;R183,"+"&amp;ROUND((S183/R183-1)*100,0)&amp;"%",  IF(S183&lt;R183,ROUND((S183/R183-1)*100,0)&amp;"%",  ""))))</f>
        <v>+72%</v>
      </c>
      <c r="T199" s="597" t="str">
        <f t="shared" si="569"/>
        <v>-3%</v>
      </c>
      <c r="U199" s="597" t="str">
        <f t="shared" si="570"/>
        <v/>
      </c>
      <c r="V199" s="597" t="str">
        <f t="shared" si="571"/>
        <v/>
      </c>
      <c r="W199" s="598" t="str">
        <f t="shared" si="572"/>
        <v/>
      </c>
      <c r="X199" s="604">
        <v>1</v>
      </c>
      <c r="Y199" s="597" t="str">
        <f t="shared" ref="Y199:Z199" si="604">IF(X183=0,"",  IF(Y183=0,"",  IF(Y183&gt;X183,"+"&amp;ROUND((Y183/X183-1)*100,0)&amp;"%",  IF(Y183&lt;X183,ROUND((Y183/X183-1)*100,0)&amp;"%",  ""))))</f>
        <v>+74%</v>
      </c>
      <c r="Z199" s="597" t="str">
        <f t="shared" si="604"/>
        <v>-45%</v>
      </c>
      <c r="AA199" s="597" t="str">
        <f t="shared" si="574"/>
        <v/>
      </c>
      <c r="AB199" s="597" t="str">
        <f t="shared" si="575"/>
        <v/>
      </c>
      <c r="AC199" s="598" t="str">
        <f t="shared" si="576"/>
        <v/>
      </c>
      <c r="AD199" s="571"/>
      <c r="AG199" s="712"/>
      <c r="AH199" s="696" t="s">
        <v>212</v>
      </c>
      <c r="AI199" s="715"/>
      <c r="AJ199" s="604" t="str">
        <f t="shared" si="594"/>
        <v>100%</v>
      </c>
      <c r="AK199" s="597" t="str">
        <f t="shared" ref="AK199" si="605">IF(AJ183=0,"",  IF(AK183=0,"",  IF(AK183&gt;AJ183,"+"&amp;ROUND((AK183/AJ183-1)*100,0)&amp;"%",  IF(AK183&lt;AJ183,ROUND((AK183/AJ183-1)*100,0)&amp;"%",  ""))))</f>
        <v>+76%</v>
      </c>
      <c r="AL199" s="597" t="str">
        <f t="shared" si="578"/>
        <v>+20%</v>
      </c>
      <c r="AM199" s="597" t="str">
        <f t="shared" si="579"/>
        <v/>
      </c>
      <c r="AN199" s="597" t="str">
        <f t="shared" si="580"/>
        <v/>
      </c>
      <c r="AO199" s="598" t="str">
        <f t="shared" si="581"/>
        <v/>
      </c>
      <c r="AP199" s="571"/>
      <c r="AS199" s="712"/>
      <c r="AT199" s="696" t="s">
        <v>212</v>
      </c>
      <c r="AU199" s="715"/>
      <c r="AV199" s="604" t="str">
        <f t="shared" si="596"/>
        <v>100%</v>
      </c>
      <c r="AW199" s="597" t="str">
        <f t="shared" ref="AW199" si="606">IF(AV183=0,"",  IF(AW183=0,"",  IF(AW183&gt;AV183,"+"&amp;ROUND((AW183/AV183-1)*100,0)&amp;"%",  IF(AW183&lt;AV183,ROUND((AW183/AV183-1)*100,0)&amp;"%",  ""))))</f>
        <v>+64%</v>
      </c>
      <c r="AX199" s="597" t="str">
        <f t="shared" si="583"/>
        <v>-17%</v>
      </c>
      <c r="AY199" s="597" t="str">
        <f t="shared" si="584"/>
        <v/>
      </c>
      <c r="AZ199" s="597" t="str">
        <f t="shared" si="585"/>
        <v/>
      </c>
      <c r="BA199" s="598" t="str">
        <f t="shared" si="586"/>
        <v/>
      </c>
      <c r="BB199" s="571"/>
      <c r="BC199" s="4"/>
      <c r="BD199" s="4"/>
      <c r="BE199" s="712"/>
      <c r="BF199" s="696" t="s">
        <v>212</v>
      </c>
      <c r="BG199" s="715"/>
      <c r="BH199" s="604" t="str">
        <f t="shared" si="598"/>
        <v/>
      </c>
      <c r="BI199" s="597" t="str">
        <f t="shared" ref="BI199" si="607">IF(BH183=0,"",  IF(BI183=0,"",  IF(BI183&gt;BH183,"+"&amp;ROUND((BI183/BH183-1)*100,0)&amp;"%",  IF(BI183&lt;BH183,ROUND((BI183/BH183-1)*100,0)&amp;"%",  ""))))</f>
        <v/>
      </c>
      <c r="BJ199" s="597" t="str">
        <f t="shared" si="588"/>
        <v/>
      </c>
      <c r="BK199" s="597" t="str">
        <f t="shared" si="589"/>
        <v/>
      </c>
      <c r="BL199" s="597" t="str">
        <f t="shared" si="590"/>
        <v/>
      </c>
      <c r="BM199" s="598" t="str">
        <f t="shared" si="591"/>
        <v/>
      </c>
      <c r="BN199" s="492"/>
      <c r="BO199" s="492"/>
      <c r="BP199" s="492"/>
      <c r="BQ199" s="492"/>
      <c r="BR199" s="492"/>
      <c r="BS199" s="492"/>
      <c r="BT199" s="492"/>
    </row>
    <row r="200" spans="1:74">
      <c r="B200" s="492"/>
      <c r="N200" s="562"/>
      <c r="O200" s="1065"/>
      <c r="P200" s="555"/>
      <c r="Q200" s="582" t="s">
        <v>0</v>
      </c>
      <c r="R200" s="604" t="str">
        <f t="shared" si="592"/>
        <v>100%</v>
      </c>
      <c r="S200" s="597" t="str">
        <f t="shared" si="569"/>
        <v>+25%</v>
      </c>
      <c r="T200" s="597" t="str">
        <f t="shared" si="569"/>
        <v>-25%</v>
      </c>
      <c r="U200" s="597" t="str">
        <f t="shared" si="570"/>
        <v>+141%</v>
      </c>
      <c r="V200" s="597" t="str">
        <f t="shared" si="571"/>
        <v/>
      </c>
      <c r="W200" s="598" t="str">
        <f t="shared" si="572"/>
        <v/>
      </c>
      <c r="X200" s="604">
        <v>1</v>
      </c>
      <c r="Y200" s="597" t="str">
        <f t="shared" ref="Y200:Z200" si="608">IF(X184=0,"",  IF(Y184=0,"",  IF(Y184&gt;X184,"+"&amp;ROUND((Y184/X184-1)*100,0)&amp;"%",  IF(Y184&lt;X184,ROUND((Y184/X184-1)*100,0)&amp;"%",  ""))))</f>
        <v>+35%</v>
      </c>
      <c r="Z200" s="597" t="str">
        <f t="shared" si="608"/>
        <v>-25%</v>
      </c>
      <c r="AA200" s="597" t="str">
        <f t="shared" si="574"/>
        <v>+125%</v>
      </c>
      <c r="AB200" s="597" t="str">
        <f t="shared" si="575"/>
        <v/>
      </c>
      <c r="AC200" s="598" t="str">
        <f t="shared" si="576"/>
        <v/>
      </c>
      <c r="AD200" s="571"/>
      <c r="AG200" s="711"/>
      <c r="AH200" s="695" t="s">
        <v>0</v>
      </c>
      <c r="AI200" s="714"/>
      <c r="AJ200" s="604" t="str">
        <f t="shared" si="594"/>
        <v>100%</v>
      </c>
      <c r="AK200" s="597" t="str">
        <f t="shared" ref="AK200" si="609">IF(AJ184=0,"",  IF(AK184=0,"",  IF(AK184&gt;AJ184,"+"&amp;ROUND((AK184/AJ184-1)*100,0)&amp;"%",  IF(AK184&lt;AJ184,ROUND((AK184/AJ184-1)*100,0)&amp;"%",  ""))))</f>
        <v>+109%</v>
      </c>
      <c r="AL200" s="597" t="str">
        <f t="shared" si="578"/>
        <v>-22%</v>
      </c>
      <c r="AM200" s="597" t="str">
        <f t="shared" si="579"/>
        <v>+160%</v>
      </c>
      <c r="AN200" s="597" t="str">
        <f t="shared" si="580"/>
        <v/>
      </c>
      <c r="AO200" s="598" t="str">
        <f t="shared" si="581"/>
        <v/>
      </c>
      <c r="AP200" s="571"/>
      <c r="AS200" s="711"/>
      <c r="AT200" s="695" t="s">
        <v>0</v>
      </c>
      <c r="AU200" s="714"/>
      <c r="AV200" s="604" t="str">
        <f t="shared" si="596"/>
        <v>100%</v>
      </c>
      <c r="AW200" s="597" t="str">
        <f t="shared" ref="AW200" si="610">IF(AV184=0,"",  IF(AW184=0,"",  IF(AW184&gt;AV184,"+"&amp;ROUND((AW184/AV184-1)*100,0)&amp;"%",  IF(AW184&lt;AV184,ROUND((AW184/AV184-1)*100,0)&amp;"%",  ""))))</f>
        <v>+142%</v>
      </c>
      <c r="AX200" s="597" t="str">
        <f t="shared" si="583"/>
        <v>-28%</v>
      </c>
      <c r="AY200" s="597" t="str">
        <f t="shared" si="584"/>
        <v>+252%</v>
      </c>
      <c r="AZ200" s="597" t="str">
        <f t="shared" si="585"/>
        <v/>
      </c>
      <c r="BA200" s="598" t="str">
        <f t="shared" si="586"/>
        <v/>
      </c>
      <c r="BB200" s="571"/>
      <c r="BC200" s="4"/>
      <c r="BD200" s="4"/>
      <c r="BE200" s="711"/>
      <c r="BF200" s="695" t="s">
        <v>0</v>
      </c>
      <c r="BG200" s="714"/>
      <c r="BH200" s="604" t="str">
        <f t="shared" si="598"/>
        <v>100%</v>
      </c>
      <c r="BI200" s="597" t="str">
        <f t="shared" ref="BI200" si="611">IF(BH184=0,"",  IF(BI184=0,"",  IF(BI184&gt;BH184,"+"&amp;ROUND((BI184/BH184-1)*100,0)&amp;"%",  IF(BI184&lt;BH184,ROUND((BI184/BH184-1)*100,0)&amp;"%",  ""))))</f>
        <v>+124%</v>
      </c>
      <c r="BJ200" s="597" t="str">
        <f t="shared" si="588"/>
        <v>-17%</v>
      </c>
      <c r="BK200" s="597" t="str">
        <f t="shared" si="589"/>
        <v>+238%</v>
      </c>
      <c r="BL200" s="597" t="str">
        <f t="shared" si="590"/>
        <v/>
      </c>
      <c r="BM200" s="598" t="str">
        <f t="shared" si="591"/>
        <v/>
      </c>
      <c r="BN200" s="492"/>
      <c r="BO200" s="492"/>
      <c r="BP200" s="492"/>
      <c r="BQ200" s="492"/>
      <c r="BR200" s="492"/>
      <c r="BS200" s="492"/>
      <c r="BT200" s="492"/>
    </row>
    <row r="201" spans="1:74">
      <c r="B201" s="492"/>
      <c r="N201" s="562"/>
      <c r="O201" s="1065"/>
      <c r="P201" s="555"/>
      <c r="Q201" s="582" t="s">
        <v>4</v>
      </c>
      <c r="R201" s="604" t="str">
        <f t="shared" si="592"/>
        <v>100%</v>
      </c>
      <c r="S201" s="597" t="str">
        <f t="shared" si="569"/>
        <v>-54%</v>
      </c>
      <c r="T201" s="597" t="str">
        <f t="shared" si="569"/>
        <v>+112%</v>
      </c>
      <c r="U201" s="597" t="str">
        <f t="shared" si="570"/>
        <v/>
      </c>
      <c r="V201" s="597" t="str">
        <f t="shared" si="571"/>
        <v/>
      </c>
      <c r="W201" s="598" t="str">
        <f t="shared" si="572"/>
        <v/>
      </c>
      <c r="X201" s="604">
        <v>1</v>
      </c>
      <c r="Y201" s="597" t="str">
        <f t="shared" ref="Y201:Z201" si="612">IF(X185=0,"",  IF(Y185=0,"",  IF(Y185&gt;X185,"+"&amp;ROUND((Y185/X185-1)*100,0)&amp;"%",  IF(Y185&lt;X185,ROUND((Y185/X185-1)*100,0)&amp;"%",  ""))))</f>
        <v>-19%</v>
      </c>
      <c r="Z201" s="597" t="str">
        <f t="shared" si="612"/>
        <v>+122%</v>
      </c>
      <c r="AA201" s="597" t="str">
        <f t="shared" si="574"/>
        <v/>
      </c>
      <c r="AB201" s="597" t="str">
        <f t="shared" si="575"/>
        <v/>
      </c>
      <c r="AC201" s="598" t="str">
        <f t="shared" si="576"/>
        <v/>
      </c>
      <c r="AD201" s="571"/>
      <c r="AG201" s="711"/>
      <c r="AH201" s="695" t="s">
        <v>4</v>
      </c>
      <c r="AI201" s="714"/>
      <c r="AJ201" s="604" t="str">
        <f t="shared" si="594"/>
        <v>100%</v>
      </c>
      <c r="AK201" s="597" t="str">
        <f t="shared" ref="AK201" si="613">IF(AJ185=0,"",  IF(AK185=0,"",  IF(AK185&gt;AJ185,"+"&amp;ROUND((AK185/AJ185-1)*100,0)&amp;"%",  IF(AK185&lt;AJ185,ROUND((AK185/AJ185-1)*100,0)&amp;"%",  ""))))</f>
        <v>-59%</v>
      </c>
      <c r="AL201" s="597" t="str">
        <f t="shared" si="578"/>
        <v>+147%</v>
      </c>
      <c r="AM201" s="597" t="str">
        <f t="shared" si="579"/>
        <v/>
      </c>
      <c r="AN201" s="597" t="str">
        <f t="shared" si="580"/>
        <v/>
      </c>
      <c r="AO201" s="598" t="str">
        <f t="shared" si="581"/>
        <v/>
      </c>
      <c r="AP201" s="571"/>
      <c r="AS201" s="711"/>
      <c r="AT201" s="695" t="s">
        <v>4</v>
      </c>
      <c r="AU201" s="714"/>
      <c r="AV201" s="604" t="str">
        <f t="shared" si="596"/>
        <v>100%</v>
      </c>
      <c r="AW201" s="597" t="str">
        <f t="shared" ref="AW201" si="614">IF(AV185=0,"",  IF(AW185=0,"",  IF(AW185&gt;AV185,"+"&amp;ROUND((AW185/AV185-1)*100,0)&amp;"%",  IF(AW185&lt;AV185,ROUND((AW185/AV185-1)*100,0)&amp;"%",  ""))))</f>
        <v>-55%</v>
      </c>
      <c r="AX201" s="597" t="str">
        <f t="shared" si="583"/>
        <v>+96%</v>
      </c>
      <c r="AY201" s="597" t="str">
        <f t="shared" si="584"/>
        <v/>
      </c>
      <c r="AZ201" s="597" t="str">
        <f t="shared" si="585"/>
        <v/>
      </c>
      <c r="BA201" s="598" t="str">
        <f t="shared" si="586"/>
        <v/>
      </c>
      <c r="BB201" s="571"/>
      <c r="BC201" s="4"/>
      <c r="BD201" s="4"/>
      <c r="BE201" s="711"/>
      <c r="BF201" s="695" t="s">
        <v>4</v>
      </c>
      <c r="BG201" s="714"/>
      <c r="BH201" s="604" t="str">
        <f t="shared" si="598"/>
        <v/>
      </c>
      <c r="BI201" s="597" t="str">
        <f t="shared" ref="BI201" si="615">IF(BH185=0,"",  IF(BI185=0,"",  IF(BI185&gt;BH185,"+"&amp;ROUND((BI185/BH185-1)*100,0)&amp;"%",  IF(BI185&lt;BH185,ROUND((BI185/BH185-1)*100,0)&amp;"%",  ""))))</f>
        <v/>
      </c>
      <c r="BJ201" s="597" t="str">
        <f t="shared" si="588"/>
        <v/>
      </c>
      <c r="BK201" s="597" t="str">
        <f t="shared" si="589"/>
        <v/>
      </c>
      <c r="BL201" s="597" t="str">
        <f t="shared" si="590"/>
        <v/>
      </c>
      <c r="BM201" s="598" t="str">
        <f t="shared" si="591"/>
        <v/>
      </c>
      <c r="BN201" s="492"/>
      <c r="BO201" s="492"/>
      <c r="BP201" s="492"/>
      <c r="BQ201" s="492"/>
      <c r="BR201" s="492"/>
      <c r="BS201" s="492"/>
      <c r="BT201" s="492"/>
    </row>
    <row r="202" spans="1:74">
      <c r="B202" s="492"/>
      <c r="N202" s="562"/>
      <c r="O202" s="1065"/>
      <c r="P202" s="555"/>
      <c r="Q202" s="582" t="s">
        <v>167</v>
      </c>
      <c r="R202" s="604" t="str">
        <f t="shared" si="592"/>
        <v/>
      </c>
      <c r="S202" s="597" t="str">
        <f t="shared" si="569"/>
        <v/>
      </c>
      <c r="T202" s="597" t="str">
        <f t="shared" si="569"/>
        <v>+520%</v>
      </c>
      <c r="U202" s="597" t="str">
        <f t="shared" si="570"/>
        <v/>
      </c>
      <c r="V202" s="597" t="str">
        <f t="shared" si="571"/>
        <v/>
      </c>
      <c r="W202" s="598" t="str">
        <f t="shared" si="572"/>
        <v/>
      </c>
      <c r="X202" s="604">
        <v>1</v>
      </c>
      <c r="Y202" s="597" t="str">
        <f t="shared" ref="Y202:Z202" si="616">IF(X186=0,"",  IF(Y186=0,"",  IF(Y186&gt;X186,"+"&amp;ROUND((Y186/X186-1)*100,0)&amp;"%",  IF(Y186&lt;X186,ROUND((Y186/X186-1)*100,0)&amp;"%",  ""))))</f>
        <v/>
      </c>
      <c r="Z202" s="597" t="str">
        <f t="shared" si="616"/>
        <v>+200%</v>
      </c>
      <c r="AA202" s="597" t="str">
        <f t="shared" si="574"/>
        <v/>
      </c>
      <c r="AB202" s="597" t="str">
        <f t="shared" si="575"/>
        <v/>
      </c>
      <c r="AC202" s="598" t="str">
        <f t="shared" si="576"/>
        <v/>
      </c>
      <c r="AD202" s="571"/>
      <c r="AG202" s="711"/>
      <c r="AH202" s="695" t="s">
        <v>167</v>
      </c>
      <c r="AI202" s="714"/>
      <c r="AJ202" s="604" t="str">
        <f t="shared" si="594"/>
        <v/>
      </c>
      <c r="AK202" s="597" t="str">
        <f t="shared" ref="AK202" si="617">IF(AJ186=0,"",  IF(AK186=0,"",  IF(AK186&gt;AJ186,"+"&amp;ROUND((AK186/AJ186-1)*100,0)&amp;"%",  IF(AK186&lt;AJ186,ROUND((AK186/AJ186-1)*100,0)&amp;"%",  ""))))</f>
        <v/>
      </c>
      <c r="AL202" s="597" t="str">
        <f t="shared" si="578"/>
        <v>+850%</v>
      </c>
      <c r="AM202" s="597" t="str">
        <f t="shared" si="579"/>
        <v/>
      </c>
      <c r="AN202" s="597" t="str">
        <f t="shared" si="580"/>
        <v/>
      </c>
      <c r="AO202" s="598" t="str">
        <f t="shared" si="581"/>
        <v/>
      </c>
      <c r="AP202" s="571"/>
      <c r="AS202" s="711"/>
      <c r="AT202" s="695" t="s">
        <v>167</v>
      </c>
      <c r="AU202" s="714"/>
      <c r="AV202" s="604" t="str">
        <f t="shared" si="596"/>
        <v/>
      </c>
      <c r="AW202" s="597" t="str">
        <f t="shared" ref="AW202" si="618">IF(AV186=0,"",  IF(AW186=0,"",  IF(AW186&gt;AV186,"+"&amp;ROUND((AW186/AV186-1)*100,0)&amp;"%",  IF(AW186&lt;AV186,ROUND((AW186/AV186-1)*100,0)&amp;"%",  ""))))</f>
        <v/>
      </c>
      <c r="AX202" s="597" t="str">
        <f t="shared" si="583"/>
        <v>+600%</v>
      </c>
      <c r="AY202" s="597" t="str">
        <f t="shared" si="584"/>
        <v/>
      </c>
      <c r="AZ202" s="597" t="str">
        <f t="shared" si="585"/>
        <v/>
      </c>
      <c r="BA202" s="598" t="str">
        <f t="shared" si="586"/>
        <v/>
      </c>
      <c r="BB202" s="571"/>
      <c r="BC202" s="4"/>
      <c r="BD202" s="4"/>
      <c r="BE202" s="711"/>
      <c r="BF202" s="695" t="s">
        <v>167</v>
      </c>
      <c r="BG202" s="714"/>
      <c r="BH202" s="604" t="str">
        <f t="shared" si="598"/>
        <v/>
      </c>
      <c r="BI202" s="597" t="str">
        <f t="shared" ref="BI202" si="619">IF(BH186=0,"",  IF(BI186=0,"",  IF(BI186&gt;BH186,"+"&amp;ROUND((BI186/BH186-1)*100,0)&amp;"%",  IF(BI186&lt;BH186,ROUND((BI186/BH186-1)*100,0)&amp;"%",  ""))))</f>
        <v/>
      </c>
      <c r="BJ202" s="597" t="str">
        <f t="shared" si="588"/>
        <v/>
      </c>
      <c r="BK202" s="597" t="str">
        <f t="shared" si="589"/>
        <v/>
      </c>
      <c r="BL202" s="597" t="str">
        <f t="shared" si="590"/>
        <v/>
      </c>
      <c r="BM202" s="598" t="str">
        <f t="shared" si="591"/>
        <v/>
      </c>
      <c r="BN202" s="492"/>
      <c r="BO202" s="492"/>
      <c r="BP202" s="492"/>
      <c r="BQ202" s="492"/>
      <c r="BR202" s="492"/>
      <c r="BS202" s="492"/>
      <c r="BT202" s="492"/>
    </row>
    <row r="203" spans="1:74">
      <c r="B203" s="492"/>
      <c r="N203" s="562"/>
      <c r="O203" s="1065"/>
      <c r="P203" s="555"/>
      <c r="Q203" s="582" t="s">
        <v>1</v>
      </c>
      <c r="R203" s="604" t="str">
        <f t="shared" si="592"/>
        <v>100%</v>
      </c>
      <c r="S203" s="597" t="str">
        <f t="shared" si="569"/>
        <v>+53%</v>
      </c>
      <c r="T203" s="597" t="str">
        <f t="shared" si="569"/>
        <v>-17%</v>
      </c>
      <c r="U203" s="597" t="str">
        <f t="shared" si="570"/>
        <v/>
      </c>
      <c r="V203" s="597" t="str">
        <f t="shared" si="571"/>
        <v/>
      </c>
      <c r="W203" s="598" t="str">
        <f t="shared" si="572"/>
        <v/>
      </c>
      <c r="X203" s="604">
        <v>1</v>
      </c>
      <c r="Y203" s="597" t="str">
        <f t="shared" ref="Y203:Z203" si="620">IF(X187=0,"",  IF(Y187=0,"",  IF(Y187&gt;X187,"+"&amp;ROUND((Y187/X187-1)*100,0)&amp;"%",  IF(Y187&lt;X187,ROUND((Y187/X187-1)*100,0)&amp;"%",  ""))))</f>
        <v>+12%</v>
      </c>
      <c r="Z203" s="597" t="str">
        <f t="shared" si="620"/>
        <v>+14%</v>
      </c>
      <c r="AA203" s="597" t="str">
        <f t="shared" si="574"/>
        <v/>
      </c>
      <c r="AB203" s="597" t="str">
        <f t="shared" si="575"/>
        <v/>
      </c>
      <c r="AC203" s="598" t="str">
        <f t="shared" si="576"/>
        <v/>
      </c>
      <c r="AD203" s="571"/>
      <c r="AG203" s="711"/>
      <c r="AH203" s="695" t="s">
        <v>1</v>
      </c>
      <c r="AI203" s="714"/>
      <c r="AJ203" s="604" t="str">
        <f t="shared" si="594"/>
        <v>100%</v>
      </c>
      <c r="AK203" s="597" t="str">
        <f t="shared" ref="AK203" si="621">IF(AJ187=0,"",  IF(AK187=0,"",  IF(AK187&gt;AJ187,"+"&amp;ROUND((AK187/AJ187-1)*100,0)&amp;"%",  IF(AK187&lt;AJ187,ROUND((AK187/AJ187-1)*100,0)&amp;"%",  ""))))</f>
        <v>+67%</v>
      </c>
      <c r="AL203" s="597" t="str">
        <f t="shared" si="578"/>
        <v>-7%</v>
      </c>
      <c r="AM203" s="597" t="str">
        <f t="shared" si="579"/>
        <v/>
      </c>
      <c r="AN203" s="597" t="str">
        <f t="shared" si="580"/>
        <v/>
      </c>
      <c r="AO203" s="598" t="str">
        <f t="shared" si="581"/>
        <v/>
      </c>
      <c r="AP203" s="571"/>
      <c r="AS203" s="711"/>
      <c r="AT203" s="695" t="s">
        <v>1</v>
      </c>
      <c r="AU203" s="714"/>
      <c r="AV203" s="604" t="str">
        <f t="shared" si="596"/>
        <v>100%</v>
      </c>
      <c r="AW203" s="597" t="str">
        <f t="shared" ref="AW203" si="622">IF(AV187=0,"",  IF(AW187=0,"",  IF(AW187&gt;AV187,"+"&amp;ROUND((AW187/AV187-1)*100,0)&amp;"%",  IF(AW187&lt;AV187,ROUND((AW187/AV187-1)*100,0)&amp;"%",  ""))))</f>
        <v>+57%</v>
      </c>
      <c r="AX203" s="597" t="str">
        <f t="shared" si="583"/>
        <v>-13%</v>
      </c>
      <c r="AY203" s="597" t="str">
        <f t="shared" si="584"/>
        <v/>
      </c>
      <c r="AZ203" s="597" t="str">
        <f t="shared" si="585"/>
        <v/>
      </c>
      <c r="BA203" s="598" t="str">
        <f t="shared" si="586"/>
        <v/>
      </c>
      <c r="BB203" s="571"/>
      <c r="BC203" s="4"/>
      <c r="BD203" s="4"/>
      <c r="BE203" s="711"/>
      <c r="BF203" s="695" t="s">
        <v>1</v>
      </c>
      <c r="BG203" s="714"/>
      <c r="BH203" s="604" t="str">
        <f t="shared" si="598"/>
        <v>100%</v>
      </c>
      <c r="BI203" s="597" t="str">
        <f t="shared" ref="BI203" si="623">IF(BH187=0,"",  IF(BI187=0,"",  IF(BI187&gt;BH187,"+"&amp;ROUND((BI187/BH187-1)*100,0)&amp;"%",  IF(BI187&lt;BH187,ROUND((BI187/BH187-1)*100,0)&amp;"%",  ""))))</f>
        <v>+50%</v>
      </c>
      <c r="BJ203" s="597" t="str">
        <f t="shared" si="588"/>
        <v>-3%</v>
      </c>
      <c r="BK203" s="597" t="str">
        <f t="shared" si="589"/>
        <v/>
      </c>
      <c r="BL203" s="597" t="str">
        <f t="shared" si="590"/>
        <v/>
      </c>
      <c r="BM203" s="598" t="str">
        <f t="shared" si="591"/>
        <v/>
      </c>
      <c r="BN203" s="492"/>
      <c r="BO203" s="492"/>
      <c r="BP203" s="492"/>
      <c r="BQ203" s="492"/>
      <c r="BR203" s="492"/>
      <c r="BS203" s="492"/>
      <c r="BT203" s="492"/>
    </row>
    <row r="204" spans="1:74">
      <c r="B204" s="492"/>
      <c r="N204" s="562"/>
      <c r="O204" s="1065"/>
      <c r="P204" s="555"/>
      <c r="Q204" s="582" t="s">
        <v>45</v>
      </c>
      <c r="R204" s="604" t="str">
        <f t="shared" si="592"/>
        <v>100%</v>
      </c>
      <c r="S204" s="597" t="str">
        <f t="shared" si="569"/>
        <v>+47%</v>
      </c>
      <c r="T204" s="597" t="str">
        <f t="shared" si="569"/>
        <v>+23%</v>
      </c>
      <c r="U204" s="597" t="str">
        <f t="shared" si="570"/>
        <v/>
      </c>
      <c r="V204" s="597" t="str">
        <f t="shared" si="571"/>
        <v/>
      </c>
      <c r="W204" s="598" t="str">
        <f t="shared" si="572"/>
        <v/>
      </c>
      <c r="X204" s="604">
        <v>1</v>
      </c>
      <c r="Y204" s="597" t="str">
        <f t="shared" ref="Y204:Z204" si="624">IF(X188=0,"",  IF(Y188=0,"",  IF(Y188&gt;X188,"+"&amp;ROUND((Y188/X188-1)*100,0)&amp;"%",  IF(Y188&lt;X188,ROUND((Y188/X188-1)*100,0)&amp;"%",  ""))))</f>
        <v>+47%</v>
      </c>
      <c r="Z204" s="597" t="str">
        <f t="shared" si="624"/>
        <v>-7%</v>
      </c>
      <c r="AA204" s="597" t="str">
        <f t="shared" si="574"/>
        <v/>
      </c>
      <c r="AB204" s="597" t="str">
        <f t="shared" si="575"/>
        <v/>
      </c>
      <c r="AC204" s="598" t="str">
        <f t="shared" si="576"/>
        <v/>
      </c>
      <c r="AD204" s="571"/>
      <c r="AG204" s="711"/>
      <c r="AH204" s="695" t="s">
        <v>45</v>
      </c>
      <c r="AI204" s="714"/>
      <c r="AJ204" s="604" t="str">
        <f t="shared" si="594"/>
        <v>100%</v>
      </c>
      <c r="AK204" s="597" t="str">
        <f t="shared" ref="AK204" si="625">IF(AJ188=0,"",  IF(AK188=0,"",  IF(AK188&gt;AJ188,"+"&amp;ROUND((AK188/AJ188-1)*100,0)&amp;"%",  IF(AK188&lt;AJ188,ROUND((AK188/AJ188-1)*100,0)&amp;"%",  ""))))</f>
        <v>+82%</v>
      </c>
      <c r="AL204" s="597" t="str">
        <f t="shared" si="578"/>
        <v>+25%</v>
      </c>
      <c r="AM204" s="597" t="str">
        <f t="shared" si="579"/>
        <v/>
      </c>
      <c r="AN204" s="597" t="str">
        <f t="shared" si="580"/>
        <v/>
      </c>
      <c r="AO204" s="598" t="str">
        <f t="shared" si="581"/>
        <v/>
      </c>
      <c r="AP204" s="571"/>
      <c r="AS204" s="711"/>
      <c r="AT204" s="695" t="s">
        <v>45</v>
      </c>
      <c r="AU204" s="714"/>
      <c r="AV204" s="604" t="str">
        <f t="shared" si="596"/>
        <v>100%</v>
      </c>
      <c r="AW204" s="597" t="str">
        <f t="shared" ref="AW204" si="626">IF(AV188=0,"",  IF(AW188=0,"",  IF(AW188&gt;AV188,"+"&amp;ROUND((AW188/AV188-1)*100,0)&amp;"%",  IF(AW188&lt;AV188,ROUND((AW188/AV188-1)*100,0)&amp;"%",  ""))))</f>
        <v>+55%</v>
      </c>
      <c r="AX204" s="597" t="str">
        <f t="shared" si="583"/>
        <v>+6%</v>
      </c>
      <c r="AY204" s="597" t="str">
        <f t="shared" si="584"/>
        <v/>
      </c>
      <c r="AZ204" s="597" t="str">
        <f t="shared" si="585"/>
        <v/>
      </c>
      <c r="BA204" s="598" t="str">
        <f t="shared" si="586"/>
        <v/>
      </c>
      <c r="BB204" s="571"/>
      <c r="BC204" s="4"/>
      <c r="BD204" s="4"/>
      <c r="BE204" s="711"/>
      <c r="BF204" s="695" t="s">
        <v>45</v>
      </c>
      <c r="BG204" s="714"/>
      <c r="BH204" s="604" t="str">
        <f t="shared" si="598"/>
        <v>100%</v>
      </c>
      <c r="BI204" s="597" t="str">
        <f t="shared" ref="BI204" si="627">IF(BH188=0,"",  IF(BI188=0,"",  IF(BI188&gt;BH188,"+"&amp;ROUND((BI188/BH188-1)*100,0)&amp;"%",  IF(BI188&lt;BH188,ROUND((BI188/BH188-1)*100,0)&amp;"%",  ""))))</f>
        <v>+92%</v>
      </c>
      <c r="BJ204" s="597" t="str">
        <f t="shared" si="588"/>
        <v>+3%</v>
      </c>
      <c r="BK204" s="597" t="str">
        <f t="shared" si="589"/>
        <v/>
      </c>
      <c r="BL204" s="597" t="str">
        <f t="shared" si="590"/>
        <v/>
      </c>
      <c r="BM204" s="598" t="str">
        <f t="shared" si="591"/>
        <v/>
      </c>
      <c r="BN204" s="492"/>
      <c r="BO204" s="492"/>
      <c r="BP204" s="492"/>
      <c r="BQ204" s="492"/>
      <c r="BR204" s="492"/>
      <c r="BS204" s="492"/>
      <c r="BT204" s="492"/>
    </row>
    <row r="205" spans="1:74">
      <c r="B205" s="492"/>
      <c r="N205" s="562"/>
      <c r="O205" s="1065"/>
      <c r="P205" s="555"/>
      <c r="Q205" s="584" t="s">
        <v>214</v>
      </c>
      <c r="R205" s="604" t="str">
        <f t="shared" si="592"/>
        <v>100%</v>
      </c>
      <c r="S205" s="597" t="str">
        <f t="shared" si="569"/>
        <v>+63%</v>
      </c>
      <c r="T205" s="597" t="str">
        <f t="shared" si="569"/>
        <v>+41%</v>
      </c>
      <c r="U205" s="597" t="str">
        <f t="shared" si="570"/>
        <v/>
      </c>
      <c r="V205" s="597" t="str">
        <f t="shared" si="571"/>
        <v/>
      </c>
      <c r="W205" s="598" t="str">
        <f t="shared" si="572"/>
        <v/>
      </c>
      <c r="X205" s="604">
        <v>1</v>
      </c>
      <c r="Y205" s="597" t="str">
        <f t="shared" ref="Y205:Z205" si="628">IF(X189=0,"",  IF(Y189=0,"",  IF(Y189&gt;X189,"+"&amp;ROUND((Y189/X189-1)*100,0)&amp;"%",  IF(Y189&lt;X189,ROUND((Y189/X189-1)*100,0)&amp;"%",  ""))))</f>
        <v>+65%</v>
      </c>
      <c r="Z205" s="597" t="str">
        <f t="shared" si="628"/>
        <v>+51%</v>
      </c>
      <c r="AA205" s="597" t="str">
        <f t="shared" si="574"/>
        <v/>
      </c>
      <c r="AB205" s="597" t="str">
        <f t="shared" si="575"/>
        <v/>
      </c>
      <c r="AC205" s="598" t="str">
        <f t="shared" si="576"/>
        <v/>
      </c>
      <c r="AD205" s="571"/>
      <c r="AG205" s="712"/>
      <c r="AH205" s="696" t="s">
        <v>214</v>
      </c>
      <c r="AI205" s="715"/>
      <c r="AJ205" s="604" t="str">
        <f t="shared" si="594"/>
        <v>100%</v>
      </c>
      <c r="AK205" s="597" t="str">
        <f t="shared" ref="AK205" si="629">IF(AJ189=0,"",  IF(AK189=0,"",  IF(AK189&gt;AJ189,"+"&amp;ROUND((AK189/AJ189-1)*100,0)&amp;"%",  IF(AK189&lt;AJ189,ROUND((AK189/AJ189-1)*100,0)&amp;"%",  ""))))</f>
        <v>+86%</v>
      </c>
      <c r="AL205" s="597" t="str">
        <f t="shared" si="578"/>
        <v>+52%</v>
      </c>
      <c r="AM205" s="597" t="str">
        <f t="shared" si="579"/>
        <v/>
      </c>
      <c r="AN205" s="597" t="str">
        <f t="shared" si="580"/>
        <v/>
      </c>
      <c r="AO205" s="598" t="str">
        <f t="shared" si="581"/>
        <v/>
      </c>
      <c r="AP205" s="571"/>
      <c r="AS205" s="712"/>
      <c r="AT205" s="696" t="s">
        <v>214</v>
      </c>
      <c r="AU205" s="715"/>
      <c r="AV205" s="604" t="str">
        <f t="shared" si="596"/>
        <v>100%</v>
      </c>
      <c r="AW205" s="597" t="str">
        <f t="shared" ref="AW205" si="630">IF(AV189=0,"",  IF(AW189=0,"",  IF(AW189&gt;AV189,"+"&amp;ROUND((AW189/AV189-1)*100,0)&amp;"%",  IF(AW189&lt;AV189,ROUND((AW189/AV189-1)*100,0)&amp;"%",  ""))))</f>
        <v>+35%</v>
      </c>
      <c r="AX205" s="597" t="str">
        <f t="shared" si="583"/>
        <v>+54%</v>
      </c>
      <c r="AY205" s="597" t="str">
        <f t="shared" si="584"/>
        <v/>
      </c>
      <c r="AZ205" s="597" t="str">
        <f t="shared" si="585"/>
        <v/>
      </c>
      <c r="BA205" s="598" t="str">
        <f t="shared" si="586"/>
        <v/>
      </c>
      <c r="BB205" s="571"/>
      <c r="BC205" s="4"/>
      <c r="BD205" s="4"/>
      <c r="BE205" s="712"/>
      <c r="BF205" s="696" t="s">
        <v>214</v>
      </c>
      <c r="BG205" s="715"/>
      <c r="BH205" s="604" t="str">
        <f t="shared" si="598"/>
        <v/>
      </c>
      <c r="BI205" s="597" t="str">
        <f t="shared" ref="BI205" si="631">IF(BH189=0,"",  IF(BI189=0,"",  IF(BI189&gt;BH189,"+"&amp;ROUND((BI189/BH189-1)*100,0)&amp;"%",  IF(BI189&lt;BH189,ROUND((BI189/BH189-1)*100,0)&amp;"%",  ""))))</f>
        <v/>
      </c>
      <c r="BJ205" s="597" t="str">
        <f t="shared" si="588"/>
        <v>+63%</v>
      </c>
      <c r="BK205" s="597" t="str">
        <f t="shared" si="589"/>
        <v/>
      </c>
      <c r="BL205" s="597" t="str">
        <f t="shared" si="590"/>
        <v/>
      </c>
      <c r="BM205" s="598" t="str">
        <f t="shared" si="591"/>
        <v/>
      </c>
      <c r="BN205" s="492"/>
      <c r="BO205" s="492"/>
      <c r="BP205" s="492"/>
      <c r="BQ205" s="492"/>
      <c r="BR205" s="492"/>
      <c r="BS205" s="492"/>
      <c r="BT205" s="492"/>
    </row>
    <row r="206" spans="1:74">
      <c r="B206" s="492"/>
      <c r="N206" s="562"/>
      <c r="O206" s="1065"/>
      <c r="P206" s="555"/>
      <c r="Q206" s="584" t="s">
        <v>213</v>
      </c>
      <c r="R206" s="604" t="str">
        <f t="shared" si="592"/>
        <v>100%</v>
      </c>
      <c r="S206" s="597" t="str">
        <f t="shared" si="569"/>
        <v>+295%</v>
      </c>
      <c r="T206" s="597" t="str">
        <f t="shared" si="569"/>
        <v>-16%</v>
      </c>
      <c r="U206" s="597" t="str">
        <f t="shared" si="570"/>
        <v/>
      </c>
      <c r="V206" s="597" t="str">
        <f t="shared" si="571"/>
        <v/>
      </c>
      <c r="W206" s="598" t="str">
        <f t="shared" si="572"/>
        <v/>
      </c>
      <c r="X206" s="604">
        <v>1</v>
      </c>
      <c r="Y206" s="597" t="str">
        <f t="shared" ref="Y206:Z206" si="632">IF(X190=0,"",  IF(Y190=0,"",  IF(Y190&gt;X190,"+"&amp;ROUND((Y190/X190-1)*100,0)&amp;"%",  IF(Y190&lt;X190,ROUND((Y190/X190-1)*100,0)&amp;"%",  ""))))</f>
        <v>+600%</v>
      </c>
      <c r="Z206" s="597" t="str">
        <f t="shared" si="632"/>
        <v>-25%</v>
      </c>
      <c r="AA206" s="597" t="str">
        <f t="shared" si="574"/>
        <v/>
      </c>
      <c r="AB206" s="597" t="str">
        <f t="shared" si="575"/>
        <v/>
      </c>
      <c r="AC206" s="598" t="str">
        <f t="shared" si="576"/>
        <v/>
      </c>
      <c r="AD206" s="571"/>
      <c r="AG206" s="712"/>
      <c r="AH206" s="696" t="s">
        <v>213</v>
      </c>
      <c r="AI206" s="715"/>
      <c r="AJ206" s="604" t="str">
        <f t="shared" si="594"/>
        <v>100%</v>
      </c>
      <c r="AK206" s="597" t="str">
        <f t="shared" ref="AK206" si="633">IF(AJ190=0,"",  IF(AK190=0,"",  IF(AK190&gt;AJ190,"+"&amp;ROUND((AK190/AJ190-1)*100,0)&amp;"%",  IF(AK190&lt;AJ190,ROUND((AK190/AJ190-1)*100,0)&amp;"%",  ""))))</f>
        <v>+278%</v>
      </c>
      <c r="AL206" s="597" t="str">
        <f t="shared" si="578"/>
        <v>-17%</v>
      </c>
      <c r="AM206" s="597" t="str">
        <f t="shared" si="579"/>
        <v/>
      </c>
      <c r="AN206" s="597" t="str">
        <f t="shared" si="580"/>
        <v/>
      </c>
      <c r="AO206" s="598" t="str">
        <f t="shared" si="581"/>
        <v/>
      </c>
      <c r="AP206" s="571"/>
      <c r="AS206" s="712"/>
      <c r="AT206" s="696" t="s">
        <v>213</v>
      </c>
      <c r="AU206" s="715"/>
      <c r="AV206" s="604" t="str">
        <f t="shared" si="596"/>
        <v>100%</v>
      </c>
      <c r="AW206" s="597" t="str">
        <f t="shared" ref="AW206" si="634">IF(AV190=0,"",  IF(AW190=0,"",  IF(AW190&gt;AV190,"+"&amp;ROUND((AW190/AV190-1)*100,0)&amp;"%",  IF(AW190&lt;AV190,ROUND((AW190/AV190-1)*100,0)&amp;"%",  ""))))</f>
        <v>+242%</v>
      </c>
      <c r="AX206" s="597" t="str">
        <f t="shared" si="583"/>
        <v>-13%</v>
      </c>
      <c r="AY206" s="597" t="str">
        <f t="shared" si="584"/>
        <v/>
      </c>
      <c r="AZ206" s="597" t="str">
        <f t="shared" si="585"/>
        <v/>
      </c>
      <c r="BA206" s="598" t="str">
        <f t="shared" si="586"/>
        <v/>
      </c>
      <c r="BB206" s="571"/>
      <c r="BC206" s="4"/>
      <c r="BD206" s="4"/>
      <c r="BE206" s="712"/>
      <c r="BF206" s="696" t="s">
        <v>213</v>
      </c>
      <c r="BG206" s="715"/>
      <c r="BH206" s="604" t="str">
        <f t="shared" si="598"/>
        <v/>
      </c>
      <c r="BI206" s="597" t="str">
        <f t="shared" ref="BI206" si="635">IF(BH190=0,"",  IF(BI190=0,"",  IF(BI190&gt;BH190,"+"&amp;ROUND((BI190/BH190-1)*100,0)&amp;"%",  IF(BI190&lt;BH190,ROUND((BI190/BH190-1)*100,0)&amp;"%",  ""))))</f>
        <v/>
      </c>
      <c r="BJ206" s="597" t="str">
        <f t="shared" si="588"/>
        <v>-46%</v>
      </c>
      <c r="BK206" s="597" t="str">
        <f t="shared" si="589"/>
        <v/>
      </c>
      <c r="BL206" s="597" t="str">
        <f t="shared" si="590"/>
        <v/>
      </c>
      <c r="BM206" s="598" t="str">
        <f t="shared" si="591"/>
        <v/>
      </c>
      <c r="BN206" s="492"/>
      <c r="BO206" s="492"/>
      <c r="BP206" s="492"/>
      <c r="BQ206" s="492"/>
      <c r="BR206" s="492"/>
      <c r="BS206" s="492"/>
      <c r="BT206" s="492"/>
    </row>
    <row r="207" spans="1:74" ht="15.75" thickBot="1">
      <c r="B207" s="492"/>
      <c r="N207" s="562"/>
      <c r="O207" s="1065"/>
      <c r="P207" s="555"/>
      <c r="Q207" s="585" t="s">
        <v>3</v>
      </c>
      <c r="R207" s="605" t="str">
        <f t="shared" si="592"/>
        <v>100%</v>
      </c>
      <c r="S207" s="599" t="str">
        <f>IF(R191=0,"",  IF(S191=0,"",  IF(S191&gt;R191,"+"&amp;ROUND((S191/R191-1)*100,0)&amp;"%",  IF(S191&lt;R191,ROUND((S191/R191-1)*100,0)&amp;"%",  ""))))</f>
        <v>-21%</v>
      </c>
      <c r="T207" s="599" t="str">
        <f>IF(S191=0,"",  IF(T191=0,"",  IF(T191&gt;S191,"+"&amp;ROUND((T191/S191-1)*100,0)&amp;"%",  IF(T191&lt;S191,ROUND((T191/S191-1)*100,0)&amp;"%",  ""))))</f>
        <v>+50%</v>
      </c>
      <c r="U207" s="599" t="str">
        <f t="shared" si="570"/>
        <v>+3%</v>
      </c>
      <c r="V207" s="599" t="str">
        <f t="shared" si="571"/>
        <v/>
      </c>
      <c r="W207" s="600" t="str">
        <f t="shared" si="572"/>
        <v/>
      </c>
      <c r="X207" s="605">
        <v>1</v>
      </c>
      <c r="Y207" s="599" t="str">
        <f>IF(X191=0,"",  IF(Y191=0,"",  IF(Y191&gt;X191,"+"&amp;ROUND((Y191/X191-1)*100,0)&amp;"%",  IF(Y191&lt;X191,ROUND((Y191/X191-1)*100,0)&amp;"%",  ""))))</f>
        <v>-21%</v>
      </c>
      <c r="Z207" s="599" t="str">
        <f>IF(Y191=0,"",  IF(Z191=0,"",  IF(Z191&gt;Y191,"+"&amp;ROUND((Z191/Y191-1)*100,0)&amp;"%",  IF(Z191&lt;Y191,ROUND((Z191/Y191-1)*100,0)&amp;"%",  ""))))</f>
        <v>+50%</v>
      </c>
      <c r="AA207" s="599" t="str">
        <f t="shared" si="574"/>
        <v>+3%</v>
      </c>
      <c r="AB207" s="599" t="str">
        <f t="shared" si="575"/>
        <v/>
      </c>
      <c r="AC207" s="600" t="str">
        <f t="shared" si="576"/>
        <v/>
      </c>
      <c r="AD207" s="571"/>
      <c r="AG207" s="711"/>
      <c r="AH207" s="697" t="s">
        <v>3</v>
      </c>
      <c r="AI207" s="716"/>
      <c r="AJ207" s="605" t="str">
        <f t="shared" si="594"/>
        <v>100%</v>
      </c>
      <c r="AK207" s="599" t="str">
        <f>IF(AJ191=0,"",  IF(AK191=0,"",  IF(AK191&gt;AJ191,"+"&amp;ROUND((AK191/AJ191-1)*100,0)&amp;"%",  IF(AK191&lt;AJ191,ROUND((AK191/AJ191-1)*100,0)&amp;"%",  ""))))</f>
        <v>+140%</v>
      </c>
      <c r="AL207" s="599" t="str">
        <f t="shared" si="578"/>
        <v>+69%</v>
      </c>
      <c r="AM207" s="599" t="str">
        <f t="shared" si="579"/>
        <v>+6%</v>
      </c>
      <c r="AN207" s="599" t="str">
        <f t="shared" si="580"/>
        <v/>
      </c>
      <c r="AO207" s="600" t="str">
        <f>IF(AN191=0,"",  IF(AO191=0,"",  IF(AO191&gt;AN191,"+"&amp;ROUND((AO191/AN191-1)*100,0)&amp;"%",  IF(AO191&lt;AN191,ROUND((AO191/AN191-1)*100,0)&amp;"%",  ""))))</f>
        <v/>
      </c>
      <c r="AP207" s="571"/>
      <c r="AS207" s="711"/>
      <c r="AT207" s="697" t="s">
        <v>3</v>
      </c>
      <c r="AU207" s="716"/>
      <c r="AV207" s="605" t="str">
        <f t="shared" si="596"/>
        <v>100%</v>
      </c>
      <c r="AW207" s="599" t="str">
        <f>IF(AV191=0,"",  IF(AW191=0,"",  IF(AW191&gt;AV191,"+"&amp;ROUND((AW191/AV191-1)*100,0)&amp;"%",  IF(AW191&lt;AV191,ROUND((AW191/AV191-1)*100,0)&amp;"%",  ""))))</f>
        <v>-19%</v>
      </c>
      <c r="AX207" s="599" t="str">
        <f t="shared" si="583"/>
        <v>+44%</v>
      </c>
      <c r="AY207" s="599" t="str">
        <f t="shared" si="584"/>
        <v>+3%</v>
      </c>
      <c r="AZ207" s="599" t="str">
        <f t="shared" si="585"/>
        <v/>
      </c>
      <c r="BA207" s="600" t="str">
        <f>IF(AZ191=0,"",  IF(BA191=0,"",  IF(BA191&gt;AZ191,"+"&amp;ROUND((BA191/AZ191-1)*100,0)&amp;"%",  IF(BA191&lt;AZ191,ROUND((BA191/AZ191-1)*100,0)&amp;"%",  ""))))</f>
        <v/>
      </c>
      <c r="BB207" s="571"/>
      <c r="BC207" s="4"/>
      <c r="BD207" s="4"/>
      <c r="BE207" s="711"/>
      <c r="BF207" s="697" t="s">
        <v>3</v>
      </c>
      <c r="BG207" s="716"/>
      <c r="BH207" s="605" t="str">
        <f t="shared" si="598"/>
        <v>100%</v>
      </c>
      <c r="BI207" s="599" t="str">
        <f>IF(BH191=0,"",  IF(BI191=0,"",  IF(BI191&gt;BH191,"+"&amp;ROUND((BI191/BH191-1)*100,0)&amp;"%",  IF(BI191&lt;BH191,ROUND((BI191/BH191-1)*100,0)&amp;"%",  ""))))</f>
        <v>+3131%</v>
      </c>
      <c r="BJ207" s="599" t="str">
        <f t="shared" si="588"/>
        <v>+44%</v>
      </c>
      <c r="BK207" s="599" t="str">
        <f t="shared" si="589"/>
        <v>-4%</v>
      </c>
      <c r="BL207" s="599" t="str">
        <f t="shared" si="590"/>
        <v/>
      </c>
      <c r="BM207" s="600" t="str">
        <f>IF(BL191=0,"",  IF(BM191=0,"",  IF(BM191&gt;BL191,"+"&amp;ROUND((BM191/BL191-1)*100,0)&amp;"%",  IF(BM191&lt;BL191,ROUND((BM191/BL191-1)*100,0)&amp;"%",  ""))))</f>
        <v/>
      </c>
      <c r="BN207" s="492"/>
      <c r="BO207" s="492"/>
      <c r="BP207" s="492"/>
      <c r="BQ207" s="492"/>
      <c r="BR207" s="492"/>
      <c r="BS207" s="492"/>
      <c r="BT207" s="492"/>
    </row>
    <row r="208" spans="1:74" s="568" customFormat="1" ht="15.75" thickBot="1">
      <c r="A208" s="20"/>
      <c r="B208" s="561"/>
      <c r="C208" s="569"/>
      <c r="D208" s="569"/>
      <c r="E208" s="569"/>
      <c r="F208" s="569"/>
      <c r="G208" s="569"/>
      <c r="H208" s="569"/>
      <c r="I208" s="569"/>
      <c r="K208" s="569"/>
      <c r="M208" s="569"/>
      <c r="N208" s="562"/>
      <c r="O208" s="1065"/>
      <c r="P208" s="562"/>
      <c r="Q208" s="589" t="s">
        <v>66</v>
      </c>
      <c r="R208" s="606" t="str">
        <f t="shared" si="592"/>
        <v>100%</v>
      </c>
      <c r="S208" s="601" t="str">
        <f>IF(R192=0,"",  IF(S192=0,"",  IF(S192&gt;R192,"+"&amp;ROUND((S192/R192-1)*100,0)&amp;"%",  IF(S192&lt;R192,ROUND((S192/R192-1)*100,0)&amp;"%",  ""))))</f>
        <v>-12%</v>
      </c>
      <c r="T208" s="601" t="str">
        <f>IF(S192=0,"",  IF(T192=0,"",  IF(T192&gt;S192,"+"&amp;ROUND((T192/S192-1)*100,0)&amp;"%",  IF(T192&lt;S192,ROUND((T192/S192-1)*100,0)&amp;"%",  ""))))</f>
        <v>+60%</v>
      </c>
      <c r="U208" s="601" t="str">
        <f t="shared" si="570"/>
        <v>-55%</v>
      </c>
      <c r="V208" s="601" t="str">
        <f t="shared" si="571"/>
        <v/>
      </c>
      <c r="W208" s="602" t="str">
        <f t="shared" si="572"/>
        <v/>
      </c>
      <c r="X208" s="606">
        <v>1</v>
      </c>
      <c r="Y208" s="601" t="str">
        <f>IF(X192=0,"",  IF(Y192=0,"",  IF(Y192&gt;X192,"+"&amp;ROUND((Y192/X192-1)*100,0)&amp;"%",  IF(Y192&lt;X192,ROUND((Y192/X192-1)*100,0)&amp;"%",  ""))))</f>
        <v>-2%</v>
      </c>
      <c r="Z208" s="601" t="str">
        <f>IF(Y192=0,"",  IF(Z192=0,"",  IF(Z192&gt;Y192,"+"&amp;ROUND((Z192/Y192-1)*100,0)&amp;"%",  IF(Z192&lt;Y192,ROUND((Z192/Y192-1)*100,0)&amp;"%",  ""))))</f>
        <v>+59%</v>
      </c>
      <c r="AA208" s="601" t="str">
        <f t="shared" si="574"/>
        <v>-48%</v>
      </c>
      <c r="AB208" s="601" t="str">
        <f t="shared" si="575"/>
        <v/>
      </c>
      <c r="AC208" s="602" t="str">
        <f t="shared" si="576"/>
        <v/>
      </c>
      <c r="AD208" s="572"/>
      <c r="AG208" s="520"/>
      <c r="AH208" s="698" t="s">
        <v>66</v>
      </c>
      <c r="AI208" s="717"/>
      <c r="AJ208" s="606" t="str">
        <f t="shared" si="594"/>
        <v>100%</v>
      </c>
      <c r="AK208" s="601" t="str">
        <f>IF(AJ192=0,"",  IF(AK192=0,"",  IF(AK192&gt;AJ192,"+"&amp;ROUND((AK192/AJ192-1)*100,0)&amp;"%",  IF(AK192&lt;AJ192,ROUND((AK192/AJ192-1)*100,0)&amp;"%",  ""))))</f>
        <v>+25%</v>
      </c>
      <c r="AL208" s="601" t="str">
        <f t="shared" si="578"/>
        <v>+71%</v>
      </c>
      <c r="AM208" s="601" t="str">
        <f t="shared" si="579"/>
        <v>-52%</v>
      </c>
      <c r="AN208" s="601" t="str">
        <f t="shared" si="580"/>
        <v/>
      </c>
      <c r="AO208" s="602" t="str">
        <f>IF(AN192=0,"",  IF(AO192=0,"",  IF(AO192&gt;AN192,"+"&amp;ROUND((AO192/AN192-1)*100,0)&amp;"%",  IF(AO192&lt;AN192,ROUND((AO192/AN192-1)*100,0)&amp;"%",  ""))))</f>
        <v/>
      </c>
      <c r="AP208" s="572"/>
      <c r="AS208" s="520"/>
      <c r="AT208" s="698" t="s">
        <v>66</v>
      </c>
      <c r="AU208" s="717"/>
      <c r="AV208" s="606" t="str">
        <f t="shared" si="596"/>
        <v>100%</v>
      </c>
      <c r="AW208" s="601" t="str">
        <f>IF(AV192=0,"",  IF(AW192=0,"",  IF(AW192&gt;AV192,"+"&amp;ROUND((AW192/AV192-1)*100,0)&amp;"%",  IF(AW192&lt;AV192,ROUND((AW192/AV192-1)*100,0)&amp;"%",  ""))))</f>
        <v>-17%</v>
      </c>
      <c r="AX208" s="601" t="str">
        <f t="shared" si="583"/>
        <v>+59%</v>
      </c>
      <c r="AY208" s="601" t="str">
        <f t="shared" si="584"/>
        <v>-53%</v>
      </c>
      <c r="AZ208" s="601" t="str">
        <f t="shared" si="585"/>
        <v/>
      </c>
      <c r="BA208" s="602" t="str">
        <f>IF(AZ192=0,"",  IF(BA192=0,"",  IF(BA192&gt;AZ192,"+"&amp;ROUND((BA192/AZ192-1)*100,0)&amp;"%",  IF(BA192&lt;AZ192,ROUND((BA192/AZ192-1)*100,0)&amp;"%",  ""))))</f>
        <v/>
      </c>
      <c r="BB208" s="572"/>
      <c r="BE208" s="520"/>
      <c r="BF208" s="698" t="s">
        <v>66</v>
      </c>
      <c r="BG208" s="717"/>
      <c r="BH208" s="606" t="str">
        <f t="shared" si="598"/>
        <v>100%</v>
      </c>
      <c r="BI208" s="601" t="str">
        <f>IF(BH192=0,"",  IF(BI192=0,"",  IF(BI192&gt;BH192,"+"&amp;ROUND((BI192/BH192-1)*100,0)&amp;"%",  IF(BI192&lt;BH192,ROUND((BI192/BH192-1)*100,0)&amp;"%",  ""))))</f>
        <v>+561%</v>
      </c>
      <c r="BJ208" s="601" t="str">
        <f t="shared" si="588"/>
        <v>+48%</v>
      </c>
      <c r="BK208" s="601" t="str">
        <f t="shared" si="589"/>
        <v>-36%</v>
      </c>
      <c r="BL208" s="601" t="str">
        <f t="shared" si="590"/>
        <v/>
      </c>
      <c r="BM208" s="602" t="str">
        <f>IF(BL192=0,"",  IF(BM192=0,"",  IF(BM192&gt;BL192,"+"&amp;ROUND((BM192/BL192-1)*100,0)&amp;"%",  IF(BM192&lt;BL192,ROUND((BM192/BL192-1)*100,0)&amp;"%",  ""))))</f>
        <v/>
      </c>
      <c r="BN208" s="561"/>
      <c r="BO208" s="561"/>
      <c r="BP208" s="561"/>
      <c r="BQ208" s="561"/>
      <c r="BR208" s="561"/>
      <c r="BS208" s="561"/>
      <c r="BT208" s="561"/>
      <c r="BU208" s="570"/>
      <c r="BV208" s="561"/>
    </row>
    <row r="209" spans="1:74" ht="15" customHeight="1" thickBot="1">
      <c r="N209" s="562"/>
      <c r="AG209" s="710"/>
      <c r="AH209" s="710"/>
      <c r="AI209" s="710"/>
      <c r="AS209" s="710"/>
      <c r="AT209" s="710"/>
      <c r="AU209" s="710"/>
      <c r="BC209" s="4"/>
      <c r="BD209" s="4"/>
      <c r="BE209" s="710"/>
      <c r="BF209" s="710"/>
      <c r="BG209" s="710"/>
    </row>
    <row r="210" spans="1:74">
      <c r="J210" s="520"/>
      <c r="K210" s="521"/>
      <c r="M210" s="521"/>
      <c r="N210" s="562"/>
      <c r="O210" s="1066" t="s">
        <v>218</v>
      </c>
      <c r="P210" s="562"/>
      <c r="Q210" s="555"/>
      <c r="R210" s="522" t="s">
        <v>159</v>
      </c>
      <c r="S210" s="523"/>
      <c r="T210" s="524"/>
      <c r="U210" s="608"/>
      <c r="V210" s="608"/>
      <c r="W210" s="608"/>
      <c r="X210" s="522" t="s">
        <v>44</v>
      </c>
      <c r="Y210" s="523"/>
      <c r="Z210" s="524"/>
      <c r="AA210" s="608"/>
      <c r="AB210" s="608"/>
      <c r="AC210" s="608"/>
      <c r="AD210" s="518"/>
      <c r="AG210" s="518"/>
      <c r="AH210" s="518"/>
      <c r="AI210" s="518"/>
      <c r="AJ210" s="522" t="s">
        <v>209</v>
      </c>
      <c r="AK210" s="523"/>
      <c r="AL210" s="524"/>
      <c r="AM210" s="718"/>
      <c r="AN210" s="718"/>
      <c r="AO210" s="719"/>
      <c r="AP210" s="518"/>
      <c r="AS210" s="518"/>
      <c r="AT210" s="518"/>
      <c r="AU210" s="518"/>
      <c r="AV210" s="522" t="s">
        <v>208</v>
      </c>
      <c r="AW210" s="523"/>
      <c r="AX210" s="524"/>
      <c r="AY210" s="718"/>
      <c r="AZ210" s="718"/>
      <c r="BA210" s="719"/>
      <c r="BC210" s="4"/>
      <c r="BD210" s="4"/>
      <c r="BE210" s="518"/>
      <c r="BF210" s="518"/>
      <c r="BG210" s="518"/>
      <c r="BH210" s="522" t="s">
        <v>207</v>
      </c>
      <c r="BI210" s="523"/>
      <c r="BJ210" s="524"/>
      <c r="BK210" s="718"/>
      <c r="BL210" s="718"/>
      <c r="BM210" s="719"/>
      <c r="BN210" s="560"/>
    </row>
    <row r="211" spans="1:74" ht="15.75" thickBot="1">
      <c r="J211" s="520"/>
      <c r="K211" s="521"/>
      <c r="M211" s="521"/>
      <c r="N211" s="562"/>
      <c r="O211" s="1065"/>
      <c r="P211" s="562"/>
      <c r="Q211" s="555"/>
      <c r="R211" s="573">
        <f>R$164</f>
        <v>2020</v>
      </c>
      <c r="S211" s="574">
        <f t="shared" ref="S211:AC211" si="636">S$164</f>
        <v>2021</v>
      </c>
      <c r="T211" s="574">
        <f t="shared" si="636"/>
        <v>2022</v>
      </c>
      <c r="U211" s="574">
        <f t="shared" si="636"/>
        <v>2023</v>
      </c>
      <c r="V211" s="574">
        <f t="shared" si="636"/>
        <v>2024</v>
      </c>
      <c r="W211" s="575">
        <f t="shared" si="636"/>
        <v>2025</v>
      </c>
      <c r="X211" s="573">
        <f t="shared" si="636"/>
        <v>2020</v>
      </c>
      <c r="Y211" s="574">
        <f t="shared" si="636"/>
        <v>2021</v>
      </c>
      <c r="Z211" s="574">
        <f t="shared" si="636"/>
        <v>2022</v>
      </c>
      <c r="AA211" s="574">
        <f t="shared" si="636"/>
        <v>2023</v>
      </c>
      <c r="AB211" s="574">
        <f t="shared" si="636"/>
        <v>2024</v>
      </c>
      <c r="AC211" s="575">
        <f t="shared" si="636"/>
        <v>2025</v>
      </c>
      <c r="AG211" s="710"/>
      <c r="AH211" s="691"/>
      <c r="AI211" s="541"/>
      <c r="AJ211" s="525">
        <f t="shared" ref="AJ211:AO211" si="637">AJ$164</f>
        <v>2020</v>
      </c>
      <c r="AK211" s="526">
        <f t="shared" si="637"/>
        <v>2021</v>
      </c>
      <c r="AL211" s="526">
        <f t="shared" si="637"/>
        <v>2022</v>
      </c>
      <c r="AM211" s="526">
        <f t="shared" si="637"/>
        <v>2023</v>
      </c>
      <c r="AN211" s="526">
        <f t="shared" si="637"/>
        <v>2024</v>
      </c>
      <c r="AO211" s="527">
        <f t="shared" si="637"/>
        <v>2025</v>
      </c>
      <c r="AS211" s="710"/>
      <c r="AT211" s="691"/>
      <c r="AU211" s="541"/>
      <c r="AV211" s="525">
        <f t="shared" ref="AV211:AZ211" si="638">AV$164</f>
        <v>2020</v>
      </c>
      <c r="AW211" s="526">
        <f t="shared" si="638"/>
        <v>2021</v>
      </c>
      <c r="AX211" s="526">
        <f t="shared" si="638"/>
        <v>2022</v>
      </c>
      <c r="AY211" s="526">
        <f t="shared" si="638"/>
        <v>2023</v>
      </c>
      <c r="AZ211" s="526">
        <f t="shared" si="638"/>
        <v>2024</v>
      </c>
      <c r="BA211" s="527"/>
      <c r="BC211" s="4"/>
      <c r="BD211" s="4"/>
      <c r="BE211" s="710"/>
      <c r="BF211" s="691"/>
      <c r="BG211" s="541"/>
      <c r="BH211" s="525">
        <f t="shared" ref="BH211:BM211" si="639">BH$164</f>
        <v>2020</v>
      </c>
      <c r="BI211" s="526">
        <f t="shared" si="639"/>
        <v>2021</v>
      </c>
      <c r="BJ211" s="526">
        <f t="shared" si="639"/>
        <v>2022</v>
      </c>
      <c r="BK211" s="526">
        <f t="shared" si="639"/>
        <v>2023</v>
      </c>
      <c r="BL211" s="526">
        <f t="shared" si="639"/>
        <v>2024</v>
      </c>
      <c r="BM211" s="527">
        <f t="shared" si="639"/>
        <v>2025</v>
      </c>
      <c r="BN211" s="560"/>
    </row>
    <row r="212" spans="1:74">
      <c r="B212" s="492">
        <f>B49</f>
        <v>0</v>
      </c>
      <c r="N212" s="562"/>
      <c r="O212" s="1065"/>
      <c r="P212" s="555"/>
      <c r="Q212" s="580" t="s">
        <v>70</v>
      </c>
      <c r="R212" s="581">
        <f t="shared" ref="R212:W212" si="640">IF(R180=0,"",R180/COUNTIF(K5:K7,"X"))</f>
        <v>63</v>
      </c>
      <c r="S212" s="576">
        <f t="shared" si="640"/>
        <v>102</v>
      </c>
      <c r="T212" s="576">
        <f t="shared" si="640"/>
        <v>72</v>
      </c>
      <c r="U212" s="576">
        <f t="shared" si="640"/>
        <v>176</v>
      </c>
      <c r="V212" s="576" t="str">
        <f t="shared" si="640"/>
        <v/>
      </c>
      <c r="W212" s="577" t="str">
        <f t="shared" si="640"/>
        <v/>
      </c>
      <c r="X212" s="581">
        <f t="shared" ref="X212:AC212" si="641">IF(X180=0,"",X180/COUNTIF(K5:K7,"X"))</f>
        <v>29</v>
      </c>
      <c r="Y212" s="576">
        <f t="shared" si="641"/>
        <v>94</v>
      </c>
      <c r="Z212" s="576">
        <f t="shared" si="641"/>
        <v>72</v>
      </c>
      <c r="AA212" s="576" t="str">
        <f t="shared" si="641"/>
        <v/>
      </c>
      <c r="AB212" s="576" t="str">
        <f t="shared" si="641"/>
        <v/>
      </c>
      <c r="AC212" s="577" t="str">
        <f t="shared" si="641"/>
        <v/>
      </c>
      <c r="AD212" s="571"/>
      <c r="AG212" s="711"/>
      <c r="AH212" s="694" t="s">
        <v>70</v>
      </c>
      <c r="AI212" s="713"/>
      <c r="AJ212" s="581">
        <f t="shared" ref="AJ212:AO212" si="642">IF(AJ180=0,"",AJ180/COUNTIF(K5:K7,"X"))</f>
        <v>2</v>
      </c>
      <c r="AK212" s="576">
        <f t="shared" si="642"/>
        <v>2</v>
      </c>
      <c r="AL212" s="576" t="str">
        <f t="shared" si="642"/>
        <v/>
      </c>
      <c r="AM212" s="576">
        <f t="shared" si="642"/>
        <v>45</v>
      </c>
      <c r="AN212" s="576" t="str">
        <f t="shared" si="642"/>
        <v/>
      </c>
      <c r="AO212" s="577" t="str">
        <f t="shared" si="642"/>
        <v/>
      </c>
      <c r="AP212" s="571"/>
      <c r="AS212" s="711"/>
      <c r="AT212" s="694" t="s">
        <v>70</v>
      </c>
      <c r="AU212" s="713"/>
      <c r="AV212" s="581">
        <f t="shared" ref="AV212:BA212" si="643">IF(AV180=0,"",AV180/COUNTIF(K5:K7,"X"))</f>
        <v>17</v>
      </c>
      <c r="AW212" s="576">
        <f t="shared" si="643"/>
        <v>18</v>
      </c>
      <c r="AX212" s="576" t="str">
        <f t="shared" si="643"/>
        <v/>
      </c>
      <c r="AY212" s="576">
        <f t="shared" si="643"/>
        <v>60</v>
      </c>
      <c r="AZ212" s="576" t="str">
        <f t="shared" si="643"/>
        <v/>
      </c>
      <c r="BA212" s="577" t="str">
        <f t="shared" si="643"/>
        <v/>
      </c>
      <c r="BB212" s="571"/>
      <c r="BC212" s="4"/>
      <c r="BD212" s="4"/>
      <c r="BE212" s="711"/>
      <c r="BF212" s="694" t="s">
        <v>70</v>
      </c>
      <c r="BG212" s="713"/>
      <c r="BH212" s="581">
        <f t="shared" ref="BH212:BM212" si="644">IF(BH180=0,"",BH180/COUNTIF(K5:K7,"X"))</f>
        <v>2</v>
      </c>
      <c r="BI212" s="576">
        <f t="shared" si="644"/>
        <v>2</v>
      </c>
      <c r="BJ212" s="576" t="str">
        <f t="shared" si="644"/>
        <v/>
      </c>
      <c r="BK212" s="576">
        <f t="shared" si="644"/>
        <v>16</v>
      </c>
      <c r="BL212" s="576" t="str">
        <f t="shared" si="644"/>
        <v/>
      </c>
      <c r="BM212" s="577" t="str">
        <f t="shared" si="644"/>
        <v/>
      </c>
      <c r="BN212" s="492"/>
      <c r="BO212" s="492"/>
      <c r="BP212" s="492"/>
      <c r="BQ212" s="492"/>
      <c r="BR212" s="492"/>
      <c r="BS212" s="492"/>
      <c r="BT212" s="492"/>
    </row>
    <row r="213" spans="1:74">
      <c r="B213" s="492">
        <f>B51</f>
        <v>0</v>
      </c>
      <c r="N213" s="562"/>
      <c r="O213" s="1065"/>
      <c r="P213" s="555"/>
      <c r="Q213" s="582" t="s">
        <v>210</v>
      </c>
      <c r="R213" s="583" t="str">
        <f t="shared" ref="R213:W213" si="645">IF(R181=0,"",R181/COUNTIF(K9:K11,"X"))</f>
        <v/>
      </c>
      <c r="S213" s="578" t="str">
        <f t="shared" si="645"/>
        <v/>
      </c>
      <c r="T213" s="578">
        <f t="shared" si="645"/>
        <v>20</v>
      </c>
      <c r="U213" s="578" t="str">
        <f t="shared" si="645"/>
        <v/>
      </c>
      <c r="V213" s="578" t="str">
        <f t="shared" si="645"/>
        <v/>
      </c>
      <c r="W213" s="579" t="str">
        <f t="shared" si="645"/>
        <v/>
      </c>
      <c r="X213" s="583" t="str">
        <f t="shared" ref="X213:AC213" si="646">IF(X181=0,"",X181/COUNTIF(K9:K11,"X"))</f>
        <v/>
      </c>
      <c r="Y213" s="578" t="str">
        <f t="shared" si="646"/>
        <v/>
      </c>
      <c r="Z213" s="578">
        <f t="shared" si="646"/>
        <v>9</v>
      </c>
      <c r="AA213" s="578" t="str">
        <f t="shared" si="646"/>
        <v/>
      </c>
      <c r="AB213" s="578" t="str">
        <f t="shared" si="646"/>
        <v/>
      </c>
      <c r="AC213" s="579" t="str">
        <f t="shared" si="646"/>
        <v/>
      </c>
      <c r="AD213" s="571"/>
      <c r="AG213" s="711"/>
      <c r="AH213" s="695" t="s">
        <v>210</v>
      </c>
      <c r="AI213" s="714"/>
      <c r="AJ213" s="583" t="str">
        <f t="shared" ref="AJ213:AO213" si="647">IF(AJ181=0,"",AJ181/COUNTIF(K9:K11,"X"))</f>
        <v/>
      </c>
      <c r="AK213" s="578" t="str">
        <f t="shared" si="647"/>
        <v/>
      </c>
      <c r="AL213" s="578">
        <f t="shared" si="647"/>
        <v>8</v>
      </c>
      <c r="AM213" s="578" t="str">
        <f t="shared" si="647"/>
        <v/>
      </c>
      <c r="AN213" s="578" t="str">
        <f t="shared" si="647"/>
        <v/>
      </c>
      <c r="AO213" s="579" t="str">
        <f t="shared" si="647"/>
        <v/>
      </c>
      <c r="AP213" s="571"/>
      <c r="AS213" s="711"/>
      <c r="AT213" s="695" t="s">
        <v>210</v>
      </c>
      <c r="AU213" s="714"/>
      <c r="AV213" s="583" t="str">
        <f t="shared" ref="AV213:BA213" si="648">IF(AV181=0,"",AV181/COUNTIF(K9:K11,"X"))</f>
        <v/>
      </c>
      <c r="AW213" s="578" t="str">
        <f t="shared" si="648"/>
        <v/>
      </c>
      <c r="AX213" s="578">
        <f t="shared" si="648"/>
        <v>4</v>
      </c>
      <c r="AY213" s="578" t="str">
        <f t="shared" si="648"/>
        <v/>
      </c>
      <c r="AZ213" s="578" t="str">
        <f t="shared" si="648"/>
        <v/>
      </c>
      <c r="BA213" s="579" t="str">
        <f t="shared" si="648"/>
        <v/>
      </c>
      <c r="BB213" s="571"/>
      <c r="BC213" s="4"/>
      <c r="BD213" s="4"/>
      <c r="BE213" s="711"/>
      <c r="BF213" s="695" t="s">
        <v>210</v>
      </c>
      <c r="BG213" s="714"/>
      <c r="BH213" s="583" t="str">
        <f t="shared" ref="BH213:BM213" si="649">IF(BH181=0,"",BH181/COUNTIF(K9:K11,"X"))</f>
        <v/>
      </c>
      <c r="BI213" s="578" t="str">
        <f t="shared" si="649"/>
        <v/>
      </c>
      <c r="BJ213" s="578">
        <f t="shared" si="649"/>
        <v>2</v>
      </c>
      <c r="BK213" s="578" t="str">
        <f t="shared" si="649"/>
        <v/>
      </c>
      <c r="BL213" s="578" t="str">
        <f t="shared" si="649"/>
        <v/>
      </c>
      <c r="BM213" s="579" t="str">
        <f t="shared" si="649"/>
        <v/>
      </c>
      <c r="BN213" s="492"/>
      <c r="BO213" s="492"/>
      <c r="BP213" s="492"/>
      <c r="BQ213" s="492"/>
      <c r="BR213" s="492"/>
      <c r="BS213" s="492"/>
      <c r="BT213" s="492"/>
    </row>
    <row r="214" spans="1:74">
      <c r="B214" s="492">
        <f>B53</f>
        <v>0</v>
      </c>
      <c r="N214" s="562"/>
      <c r="O214" s="1065"/>
      <c r="P214" s="555"/>
      <c r="Q214" s="582" t="s">
        <v>211</v>
      </c>
      <c r="R214" s="583" t="str">
        <f t="shared" ref="R214:W214" si="650">IF(R182=0,"",R182/COUNTIF(K13:K33,"X"))</f>
        <v/>
      </c>
      <c r="S214" s="578" t="str">
        <f t="shared" si="650"/>
        <v/>
      </c>
      <c r="T214" s="578">
        <f t="shared" si="650"/>
        <v>43.375</v>
      </c>
      <c r="U214" s="578" t="str">
        <f t="shared" si="650"/>
        <v/>
      </c>
      <c r="V214" s="578" t="str">
        <f t="shared" si="650"/>
        <v/>
      </c>
      <c r="W214" s="579" t="str">
        <f t="shared" si="650"/>
        <v/>
      </c>
      <c r="X214" s="583" t="str">
        <f t="shared" ref="X214:AC214" si="651">IF(X182=0,"",X182/COUNTIF(K13:K33,"X"))</f>
        <v/>
      </c>
      <c r="Y214" s="578" t="str">
        <f t="shared" si="651"/>
        <v/>
      </c>
      <c r="Z214" s="578">
        <f t="shared" si="651"/>
        <v>38.1875</v>
      </c>
      <c r="AA214" s="578" t="str">
        <f t="shared" si="651"/>
        <v/>
      </c>
      <c r="AB214" s="578" t="str">
        <f t="shared" si="651"/>
        <v/>
      </c>
      <c r="AC214" s="579" t="str">
        <f t="shared" si="651"/>
        <v/>
      </c>
      <c r="AD214" s="571"/>
      <c r="AG214" s="711"/>
      <c r="AH214" s="695" t="s">
        <v>211</v>
      </c>
      <c r="AI214" s="714"/>
      <c r="AJ214" s="583" t="str">
        <f t="shared" ref="AJ214:AO214" si="652">IF(AJ182=0,"",AJ182/COUNTIF(K13:K33,"X"))</f>
        <v/>
      </c>
      <c r="AK214" s="578" t="str">
        <f t="shared" si="652"/>
        <v/>
      </c>
      <c r="AL214" s="578">
        <f t="shared" si="652"/>
        <v>10.6875</v>
      </c>
      <c r="AM214" s="578" t="str">
        <f t="shared" si="652"/>
        <v/>
      </c>
      <c r="AN214" s="578" t="str">
        <f t="shared" si="652"/>
        <v/>
      </c>
      <c r="AO214" s="579" t="str">
        <f t="shared" si="652"/>
        <v/>
      </c>
      <c r="AP214" s="571"/>
      <c r="AS214" s="711"/>
      <c r="AT214" s="695" t="s">
        <v>211</v>
      </c>
      <c r="AU214" s="714"/>
      <c r="AV214" s="583" t="str">
        <f t="shared" ref="AV214:BA214" si="653">IF(AV182=0,"",AV182/COUNTIF(K13:K33,"X"))</f>
        <v/>
      </c>
      <c r="AW214" s="578" t="str">
        <f t="shared" si="653"/>
        <v/>
      </c>
      <c r="AX214" s="578">
        <f t="shared" si="653"/>
        <v>16.6875</v>
      </c>
      <c r="AY214" s="578" t="str">
        <f t="shared" si="653"/>
        <v/>
      </c>
      <c r="AZ214" s="578" t="str">
        <f t="shared" si="653"/>
        <v/>
      </c>
      <c r="BA214" s="579" t="str">
        <f t="shared" si="653"/>
        <v/>
      </c>
      <c r="BB214" s="571"/>
      <c r="BC214" s="4"/>
      <c r="BD214" s="4"/>
      <c r="BE214" s="711"/>
      <c r="BF214" s="695" t="s">
        <v>211</v>
      </c>
      <c r="BG214" s="714"/>
      <c r="BH214" s="583" t="str">
        <f t="shared" ref="BH214:BM214" si="654">IF(BH182=0,"",BH182/COUNTIF(K13:K33,"X"))</f>
        <v/>
      </c>
      <c r="BI214" s="578" t="str">
        <f t="shared" si="654"/>
        <v/>
      </c>
      <c r="BJ214" s="578">
        <f t="shared" si="654"/>
        <v>5.8125</v>
      </c>
      <c r="BK214" s="578" t="str">
        <f t="shared" si="654"/>
        <v/>
      </c>
      <c r="BL214" s="578" t="str">
        <f t="shared" si="654"/>
        <v/>
      </c>
      <c r="BM214" s="579" t="str">
        <f t="shared" si="654"/>
        <v/>
      </c>
      <c r="BN214" s="492"/>
      <c r="BO214" s="492"/>
      <c r="BP214" s="492"/>
      <c r="BQ214" s="492"/>
      <c r="BR214" s="492"/>
      <c r="BS214" s="492"/>
      <c r="BT214" s="492"/>
    </row>
    <row r="215" spans="1:74">
      <c r="B215" s="492">
        <f>B73</f>
        <v>0</v>
      </c>
      <c r="N215" s="562"/>
      <c r="O215" s="1065"/>
      <c r="P215" s="555"/>
      <c r="Q215" s="584" t="s">
        <v>212</v>
      </c>
      <c r="R215" s="583">
        <f t="shared" ref="R215:W215" si="655">IF(R183=0,"",R183/COUNTIF(K35:K48,"X"))</f>
        <v>21.5</v>
      </c>
      <c r="S215" s="578">
        <f t="shared" si="655"/>
        <v>36.875</v>
      </c>
      <c r="T215" s="578">
        <f t="shared" si="655"/>
        <v>28.5</v>
      </c>
      <c r="U215" s="578" t="str">
        <f t="shared" si="655"/>
        <v/>
      </c>
      <c r="V215" s="578" t="str">
        <f t="shared" si="655"/>
        <v/>
      </c>
      <c r="W215" s="579" t="str">
        <f t="shared" si="655"/>
        <v/>
      </c>
      <c r="X215" s="583">
        <f t="shared" ref="X215:AC215" si="656">IF(X183=0,"",X183/COUNTIF(K35:K48,"X"))</f>
        <v>13.875</v>
      </c>
      <c r="Y215" s="578">
        <f t="shared" si="656"/>
        <v>24.125</v>
      </c>
      <c r="Z215" s="578">
        <f t="shared" si="656"/>
        <v>10.6</v>
      </c>
      <c r="AA215" s="578" t="str">
        <f t="shared" si="656"/>
        <v/>
      </c>
      <c r="AB215" s="578" t="str">
        <f t="shared" si="656"/>
        <v/>
      </c>
      <c r="AC215" s="579" t="str">
        <f t="shared" si="656"/>
        <v/>
      </c>
      <c r="AD215" s="571"/>
      <c r="AG215" s="712"/>
      <c r="AH215" s="696" t="s">
        <v>212</v>
      </c>
      <c r="AI215" s="715"/>
      <c r="AJ215" s="583">
        <f t="shared" ref="AJ215:AO215" si="657">IF(AJ183=0,"",AJ183/COUNTIF(K35:K48,"X"))</f>
        <v>5.25</v>
      </c>
      <c r="AK215" s="578">
        <f t="shared" si="657"/>
        <v>9.25</v>
      </c>
      <c r="AL215" s="578">
        <f t="shared" si="657"/>
        <v>8.9</v>
      </c>
      <c r="AM215" s="578" t="str">
        <f t="shared" si="657"/>
        <v/>
      </c>
      <c r="AN215" s="578" t="str">
        <f t="shared" si="657"/>
        <v/>
      </c>
      <c r="AO215" s="579" t="str">
        <f t="shared" si="657"/>
        <v/>
      </c>
      <c r="AP215" s="571"/>
      <c r="AS215" s="712"/>
      <c r="AT215" s="696" t="s">
        <v>212</v>
      </c>
      <c r="AU215" s="715"/>
      <c r="AV215" s="583">
        <f t="shared" ref="AV215:BA215" si="658">IF(AV183=0,"",AV183/COUNTIF(K35:K48,"X"))</f>
        <v>6.625</v>
      </c>
      <c r="AW215" s="578">
        <f t="shared" si="658"/>
        <v>10.875</v>
      </c>
      <c r="AX215" s="578">
        <f t="shared" si="658"/>
        <v>7.2</v>
      </c>
      <c r="AY215" s="578" t="str">
        <f t="shared" si="658"/>
        <v/>
      </c>
      <c r="AZ215" s="578" t="str">
        <f t="shared" si="658"/>
        <v/>
      </c>
      <c r="BA215" s="579" t="str">
        <f t="shared" si="658"/>
        <v/>
      </c>
      <c r="BB215" s="571"/>
      <c r="BC215" s="4"/>
      <c r="BD215" s="4"/>
      <c r="BE215" s="712"/>
      <c r="BF215" s="696" t="s">
        <v>212</v>
      </c>
      <c r="BG215" s="715"/>
      <c r="BH215" s="583" t="str">
        <f t="shared" ref="BH215:BM215" si="659">IF(BH183=0,"",BH183/COUNTIF(K35:K48,"X"))</f>
        <v/>
      </c>
      <c r="BI215" s="578" t="str">
        <f t="shared" si="659"/>
        <v/>
      </c>
      <c r="BJ215" s="578" t="str">
        <f t="shared" si="659"/>
        <v/>
      </c>
      <c r="BK215" s="578" t="str">
        <f t="shared" si="659"/>
        <v/>
      </c>
      <c r="BL215" s="578" t="str">
        <f t="shared" si="659"/>
        <v/>
      </c>
      <c r="BM215" s="579" t="str">
        <f t="shared" si="659"/>
        <v/>
      </c>
      <c r="BN215" s="492"/>
      <c r="BO215" s="492"/>
      <c r="BP215" s="492"/>
      <c r="BQ215" s="492"/>
      <c r="BR215" s="492"/>
      <c r="BS215" s="492"/>
      <c r="BT215" s="492"/>
    </row>
    <row r="216" spans="1:74">
      <c r="B216" s="492">
        <f>B88</f>
        <v>0</v>
      </c>
      <c r="N216" s="562"/>
      <c r="O216" s="1065"/>
      <c r="P216" s="555"/>
      <c r="Q216" s="582" t="s">
        <v>0</v>
      </c>
      <c r="R216" s="583">
        <f t="shared" ref="R216:W216" si="660">IF(R184=0,"",R184/COUNTIF(K50:K63,"X"))</f>
        <v>19.875</v>
      </c>
      <c r="S216" s="578">
        <f t="shared" si="660"/>
        <v>24.75</v>
      </c>
      <c r="T216" s="578">
        <f t="shared" si="660"/>
        <v>21.142857142857142</v>
      </c>
      <c r="U216" s="578">
        <f t="shared" si="660"/>
        <v>44.5</v>
      </c>
      <c r="V216" s="578" t="str">
        <f t="shared" si="660"/>
        <v/>
      </c>
      <c r="W216" s="579" t="str">
        <f t="shared" si="660"/>
        <v/>
      </c>
      <c r="X216" s="583">
        <f t="shared" ref="X216:AC216" si="661">IF(X184=0,"",X184/COUNTIF(K50:K63,"X"))</f>
        <v>11.875</v>
      </c>
      <c r="Y216" s="578">
        <f t="shared" si="661"/>
        <v>16</v>
      </c>
      <c r="Z216" s="578">
        <f t="shared" si="661"/>
        <v>13.714285714285714</v>
      </c>
      <c r="AA216" s="578">
        <f t="shared" si="661"/>
        <v>27</v>
      </c>
      <c r="AB216" s="578" t="str">
        <f t="shared" si="661"/>
        <v/>
      </c>
      <c r="AC216" s="579" t="str">
        <f t="shared" si="661"/>
        <v/>
      </c>
      <c r="AD216" s="571"/>
      <c r="AG216" s="711"/>
      <c r="AH216" s="695" t="s">
        <v>0</v>
      </c>
      <c r="AI216" s="714"/>
      <c r="AJ216" s="583">
        <f t="shared" ref="AJ216:AO216" si="662">IF(AJ184=0,"",AJ184/COUNTIF(K50:K63,"X"))</f>
        <v>5.6212499999999999</v>
      </c>
      <c r="AK216" s="578">
        <f t="shared" si="662"/>
        <v>11.75</v>
      </c>
      <c r="AL216" s="578">
        <f t="shared" si="662"/>
        <v>10.428571428571429</v>
      </c>
      <c r="AM216" s="578">
        <f t="shared" si="662"/>
        <v>23.75</v>
      </c>
      <c r="AN216" s="578" t="str">
        <f t="shared" si="662"/>
        <v/>
      </c>
      <c r="AO216" s="579" t="str">
        <f t="shared" si="662"/>
        <v/>
      </c>
      <c r="AP216" s="571"/>
      <c r="AS216" s="711"/>
      <c r="AT216" s="695" t="s">
        <v>0</v>
      </c>
      <c r="AU216" s="714"/>
      <c r="AV216" s="583">
        <f t="shared" ref="AV216:BA216" si="663">IF(AV184=0,"",AV184/COUNTIF(K50:K63,"X"))</f>
        <v>2.3775000000000004</v>
      </c>
      <c r="AW216" s="578">
        <f t="shared" si="663"/>
        <v>5.75</v>
      </c>
      <c r="AX216" s="578">
        <f t="shared" si="663"/>
        <v>4.7142857142857144</v>
      </c>
      <c r="AY216" s="578">
        <f t="shared" si="663"/>
        <v>14.5</v>
      </c>
      <c r="AZ216" s="578" t="str">
        <f t="shared" si="663"/>
        <v/>
      </c>
      <c r="BA216" s="579" t="str">
        <f t="shared" si="663"/>
        <v/>
      </c>
      <c r="BB216" s="571"/>
      <c r="BC216" s="4"/>
      <c r="BD216" s="4"/>
      <c r="BE216" s="711"/>
      <c r="BF216" s="695" t="s">
        <v>0</v>
      </c>
      <c r="BG216" s="714"/>
      <c r="BH216" s="583">
        <f t="shared" ref="BH216:BM216" si="664">IF(BH184=0,"",BH184/COUNTIF(K50:K63,"X"))</f>
        <v>1.62</v>
      </c>
      <c r="BI216" s="578">
        <f t="shared" si="664"/>
        <v>3.625</v>
      </c>
      <c r="BJ216" s="578">
        <f t="shared" si="664"/>
        <v>3.4285714285714284</v>
      </c>
      <c r="BK216" s="578">
        <f t="shared" si="664"/>
        <v>10.125</v>
      </c>
      <c r="BL216" s="578" t="str">
        <f t="shared" si="664"/>
        <v/>
      </c>
      <c r="BM216" s="579" t="str">
        <f t="shared" si="664"/>
        <v/>
      </c>
      <c r="BN216" s="492"/>
      <c r="BO216" s="492"/>
      <c r="BP216" s="492"/>
      <c r="BQ216" s="492"/>
      <c r="BR216" s="492"/>
      <c r="BS216" s="492"/>
      <c r="BT216" s="492"/>
    </row>
    <row r="217" spans="1:74">
      <c r="B217" s="492">
        <f>B103</f>
        <v>0</v>
      </c>
      <c r="N217" s="562"/>
      <c r="O217" s="1065"/>
      <c r="P217" s="555"/>
      <c r="Q217" s="582" t="s">
        <v>4</v>
      </c>
      <c r="R217" s="583">
        <f t="shared" ref="R217:W217" si="665">IF(R185=0,"",R185/COUNTIF(K66:K76,"X"))</f>
        <v>277.33333333333331</v>
      </c>
      <c r="S217" s="578">
        <f t="shared" si="665"/>
        <v>190</v>
      </c>
      <c r="T217" s="578">
        <f t="shared" si="665"/>
        <v>322.8</v>
      </c>
      <c r="U217" s="578" t="str">
        <f t="shared" si="665"/>
        <v/>
      </c>
      <c r="V217" s="578" t="str">
        <f t="shared" si="665"/>
        <v/>
      </c>
      <c r="W217" s="579" t="str">
        <f t="shared" si="665"/>
        <v/>
      </c>
      <c r="X217" s="583">
        <f t="shared" ref="X217:AC217" si="666">IF(X185=0,"",X185/COUNTIF(K66:K76,"X"))</f>
        <v>84.833333333333329</v>
      </c>
      <c r="Y217" s="578">
        <f t="shared" si="666"/>
        <v>103.5</v>
      </c>
      <c r="Z217" s="578">
        <f t="shared" si="666"/>
        <v>184</v>
      </c>
      <c r="AA217" s="578" t="str">
        <f t="shared" si="666"/>
        <v/>
      </c>
      <c r="AB217" s="578" t="str">
        <f t="shared" si="666"/>
        <v/>
      </c>
      <c r="AC217" s="579" t="str">
        <f t="shared" si="666"/>
        <v/>
      </c>
      <c r="AD217" s="571"/>
      <c r="AG217" s="711"/>
      <c r="AH217" s="695" t="s">
        <v>4</v>
      </c>
      <c r="AI217" s="714"/>
      <c r="AJ217" s="583">
        <f t="shared" ref="AJ217:AO217" si="667">IF(AJ185=0,"",AJ185/COUNTIF(K66:K76,"X"))</f>
        <v>117.5</v>
      </c>
      <c r="AK217" s="578">
        <f t="shared" si="667"/>
        <v>72.5</v>
      </c>
      <c r="AL217" s="578">
        <f t="shared" si="667"/>
        <v>143.4</v>
      </c>
      <c r="AM217" s="578" t="str">
        <f t="shared" si="667"/>
        <v/>
      </c>
      <c r="AN217" s="578" t="str">
        <f t="shared" si="667"/>
        <v/>
      </c>
      <c r="AO217" s="579" t="str">
        <f t="shared" si="667"/>
        <v/>
      </c>
      <c r="AP217" s="571"/>
      <c r="AS217" s="711"/>
      <c r="AT217" s="695" t="s">
        <v>4</v>
      </c>
      <c r="AU217" s="714"/>
      <c r="AV217" s="583">
        <f t="shared" ref="AV217:BA217" si="668">IF(AV185=0,"",AV185/COUNTIF(K66:K76,"X"))</f>
        <v>116.16666666666667</v>
      </c>
      <c r="AW217" s="578">
        <f t="shared" si="668"/>
        <v>78.5</v>
      </c>
      <c r="AX217" s="578">
        <f t="shared" si="668"/>
        <v>123.4</v>
      </c>
      <c r="AY217" s="578" t="str">
        <f t="shared" si="668"/>
        <v/>
      </c>
      <c r="AZ217" s="578" t="str">
        <f t="shared" si="668"/>
        <v/>
      </c>
      <c r="BA217" s="579" t="str">
        <f t="shared" si="668"/>
        <v/>
      </c>
      <c r="BB217" s="571"/>
      <c r="BC217" s="4"/>
      <c r="BD217" s="4"/>
      <c r="BE217" s="711"/>
      <c r="BF217" s="695" t="s">
        <v>4</v>
      </c>
      <c r="BG217" s="714"/>
      <c r="BH217" s="583" t="str">
        <f t="shared" ref="BH217:BM217" si="669">IF(BH185=0,"",BH185/COUNTIF(K66:K76,"X"))</f>
        <v/>
      </c>
      <c r="BI217" s="578" t="str">
        <f t="shared" si="669"/>
        <v/>
      </c>
      <c r="BJ217" s="578" t="str">
        <f t="shared" si="669"/>
        <v/>
      </c>
      <c r="BK217" s="578" t="str">
        <f t="shared" si="669"/>
        <v/>
      </c>
      <c r="BL217" s="578" t="str">
        <f t="shared" si="669"/>
        <v/>
      </c>
      <c r="BM217" s="579" t="str">
        <f t="shared" si="669"/>
        <v/>
      </c>
      <c r="BN217" s="492"/>
      <c r="BO217" s="492"/>
      <c r="BP217" s="492"/>
      <c r="BQ217" s="492"/>
      <c r="BR217" s="492"/>
      <c r="BS217" s="492"/>
      <c r="BT217" s="492"/>
    </row>
    <row r="218" spans="1:74">
      <c r="B218" s="492">
        <f>B115</f>
        <v>0</v>
      </c>
      <c r="N218" s="562"/>
      <c r="O218" s="1065"/>
      <c r="P218" s="555"/>
      <c r="Q218" s="582" t="s">
        <v>167</v>
      </c>
      <c r="R218" s="583" t="str">
        <f t="shared" ref="R218:W218" si="670">IF(R186=0,"",R186/COUNTIF(K78:K84,"X"))</f>
        <v/>
      </c>
      <c r="S218" s="578">
        <f t="shared" si="670"/>
        <v>5</v>
      </c>
      <c r="T218" s="578">
        <f t="shared" si="670"/>
        <v>15.5</v>
      </c>
      <c r="U218" s="578" t="str">
        <f t="shared" si="670"/>
        <v/>
      </c>
      <c r="V218" s="578" t="str">
        <f t="shared" si="670"/>
        <v/>
      </c>
      <c r="W218" s="579" t="str">
        <f t="shared" si="670"/>
        <v/>
      </c>
      <c r="X218" s="583" t="str">
        <f t="shared" ref="X218:AC218" si="671">IF(X186=0,"",X186/COUNTIF(K78:K84,"X"))</f>
        <v/>
      </c>
      <c r="Y218" s="578">
        <f t="shared" si="671"/>
        <v>4</v>
      </c>
      <c r="Z218" s="578">
        <f t="shared" si="671"/>
        <v>6</v>
      </c>
      <c r="AA218" s="578" t="str">
        <f t="shared" si="671"/>
        <v/>
      </c>
      <c r="AB218" s="578" t="str">
        <f t="shared" si="671"/>
        <v/>
      </c>
      <c r="AC218" s="579" t="str">
        <f t="shared" si="671"/>
        <v/>
      </c>
      <c r="AD218" s="571"/>
      <c r="AG218" s="711"/>
      <c r="AH218" s="695" t="s">
        <v>167</v>
      </c>
      <c r="AI218" s="714"/>
      <c r="AJ218" s="583" t="str">
        <f t="shared" ref="AJ218:AO218" si="672">IF(AJ186=0,"",AJ186/COUNTIF(K78:K84,"X"))</f>
        <v/>
      </c>
      <c r="AK218" s="578">
        <f t="shared" si="672"/>
        <v>2</v>
      </c>
      <c r="AL218" s="578">
        <f t="shared" si="672"/>
        <v>9.5</v>
      </c>
      <c r="AM218" s="578" t="str">
        <f t="shared" si="672"/>
        <v/>
      </c>
      <c r="AN218" s="578" t="str">
        <f t="shared" si="672"/>
        <v/>
      </c>
      <c r="AO218" s="579" t="str">
        <f t="shared" si="672"/>
        <v/>
      </c>
      <c r="AP218" s="571"/>
      <c r="AS218" s="711"/>
      <c r="AT218" s="695" t="s">
        <v>167</v>
      </c>
      <c r="AU218" s="714"/>
      <c r="AV218" s="583" t="str">
        <f t="shared" ref="AV218:BA218" si="673">IF(AV186=0,"",AV186/COUNTIF(K78:K84,"X"))</f>
        <v/>
      </c>
      <c r="AW218" s="578">
        <f t="shared" si="673"/>
        <v>1</v>
      </c>
      <c r="AX218" s="578">
        <f t="shared" si="673"/>
        <v>3.5</v>
      </c>
      <c r="AY218" s="578" t="str">
        <f t="shared" si="673"/>
        <v/>
      </c>
      <c r="AZ218" s="578" t="str">
        <f t="shared" si="673"/>
        <v/>
      </c>
      <c r="BA218" s="579" t="str">
        <f t="shared" si="673"/>
        <v/>
      </c>
      <c r="BB218" s="571"/>
      <c r="BC218" s="4"/>
      <c r="BD218" s="4"/>
      <c r="BE218" s="711"/>
      <c r="BF218" s="695" t="s">
        <v>167</v>
      </c>
      <c r="BG218" s="714"/>
      <c r="BH218" s="583" t="str">
        <f t="shared" ref="BH218:BM218" si="674">IF(BH186=0,"",BH186/COUNTIF(K78:K84,"X"))</f>
        <v/>
      </c>
      <c r="BI218" s="578" t="str">
        <f t="shared" si="674"/>
        <v/>
      </c>
      <c r="BJ218" s="578">
        <f t="shared" si="674"/>
        <v>2.5</v>
      </c>
      <c r="BK218" s="578" t="str">
        <f t="shared" si="674"/>
        <v/>
      </c>
      <c r="BL218" s="578" t="str">
        <f t="shared" si="674"/>
        <v/>
      </c>
      <c r="BM218" s="579" t="str">
        <f t="shared" si="674"/>
        <v/>
      </c>
      <c r="BN218" s="492"/>
      <c r="BO218" s="492"/>
      <c r="BP218" s="492"/>
      <c r="BQ218" s="492"/>
      <c r="BR218" s="492"/>
      <c r="BS218" s="492"/>
      <c r="BT218" s="492"/>
    </row>
    <row r="219" spans="1:74">
      <c r="B219" s="492" t="str">
        <f>B126</f>
        <v>ATE Vaud / ProVélo La Côte</v>
      </c>
      <c r="N219" s="562"/>
      <c r="O219" s="1065"/>
      <c r="P219" s="555"/>
      <c r="Q219" s="582" t="s">
        <v>1</v>
      </c>
      <c r="R219" s="583">
        <f t="shared" ref="R219:W219" si="675">IF(R187=0,"",R187/COUNTIF(K86:K94,"X"))</f>
        <v>39.5</v>
      </c>
      <c r="S219" s="578">
        <f t="shared" si="675"/>
        <v>60.25</v>
      </c>
      <c r="T219" s="578">
        <f t="shared" si="675"/>
        <v>40.200000000000003</v>
      </c>
      <c r="U219" s="578" t="str">
        <f t="shared" si="675"/>
        <v/>
      </c>
      <c r="V219" s="578" t="str">
        <f t="shared" si="675"/>
        <v/>
      </c>
      <c r="W219" s="579" t="str">
        <f t="shared" si="675"/>
        <v/>
      </c>
      <c r="X219" s="583">
        <f t="shared" ref="X219:AC219" si="676">IF(X187=0,"",X187/COUNTIF(K86:K94,"X"))</f>
        <v>39.5</v>
      </c>
      <c r="Y219" s="578">
        <f t="shared" si="676"/>
        <v>44.25</v>
      </c>
      <c r="Z219" s="578">
        <f t="shared" si="676"/>
        <v>40.200000000000003</v>
      </c>
      <c r="AA219" s="578" t="str">
        <f t="shared" si="676"/>
        <v/>
      </c>
      <c r="AB219" s="578" t="str">
        <f t="shared" si="676"/>
        <v/>
      </c>
      <c r="AC219" s="579" t="str">
        <f t="shared" si="676"/>
        <v/>
      </c>
      <c r="AD219" s="571"/>
      <c r="AG219" s="711"/>
      <c r="AH219" s="695" t="s">
        <v>1</v>
      </c>
      <c r="AI219" s="714"/>
      <c r="AJ219" s="583">
        <f t="shared" ref="AJ219:AO219" si="677">IF(AJ187=0,"",AJ187/COUNTIF(K86:K94,"X"))</f>
        <v>24.5</v>
      </c>
      <c r="AK219" s="578">
        <f t="shared" si="677"/>
        <v>41</v>
      </c>
      <c r="AL219" s="578">
        <f t="shared" si="677"/>
        <v>30.4</v>
      </c>
      <c r="AM219" s="578" t="str">
        <f t="shared" si="677"/>
        <v/>
      </c>
      <c r="AN219" s="578" t="str">
        <f t="shared" si="677"/>
        <v/>
      </c>
      <c r="AO219" s="579" t="str">
        <f t="shared" si="677"/>
        <v/>
      </c>
      <c r="AP219" s="571"/>
      <c r="AS219" s="711"/>
      <c r="AT219" s="695" t="s">
        <v>1</v>
      </c>
      <c r="AU219" s="714"/>
      <c r="AV219" s="583">
        <f t="shared" ref="AV219:BA219" si="678">IF(AV187=0,"",AV187/COUNTIF(K86:K94,"X"))</f>
        <v>14.5</v>
      </c>
      <c r="AW219" s="578">
        <f t="shared" si="678"/>
        <v>22.75</v>
      </c>
      <c r="AX219" s="578">
        <f t="shared" si="678"/>
        <v>15.8</v>
      </c>
      <c r="AY219" s="578" t="str">
        <f t="shared" si="678"/>
        <v/>
      </c>
      <c r="AZ219" s="578" t="str">
        <f t="shared" si="678"/>
        <v/>
      </c>
      <c r="BA219" s="579" t="str">
        <f t="shared" si="678"/>
        <v/>
      </c>
      <c r="BB219" s="571"/>
      <c r="BC219" s="4"/>
      <c r="BD219" s="4"/>
      <c r="BE219" s="711"/>
      <c r="BF219" s="695" t="s">
        <v>1</v>
      </c>
      <c r="BG219" s="714"/>
      <c r="BH219" s="583">
        <f t="shared" ref="BH219:BM219" si="679">IF(BH187=0,"",BH187/COUNTIF(K86:K94,"X"))</f>
        <v>11.5</v>
      </c>
      <c r="BI219" s="578">
        <f t="shared" si="679"/>
        <v>17.25</v>
      </c>
      <c r="BJ219" s="578">
        <f t="shared" si="679"/>
        <v>13.4</v>
      </c>
      <c r="BK219" s="578" t="str">
        <f t="shared" si="679"/>
        <v/>
      </c>
      <c r="BL219" s="578" t="str">
        <f t="shared" si="679"/>
        <v/>
      </c>
      <c r="BM219" s="579" t="str">
        <f t="shared" si="679"/>
        <v/>
      </c>
      <c r="BN219" s="492"/>
      <c r="BO219" s="492"/>
      <c r="BP219" s="492"/>
      <c r="BQ219" s="492"/>
      <c r="BR219" s="492"/>
      <c r="BS219" s="492"/>
      <c r="BT219" s="492"/>
    </row>
    <row r="220" spans="1:74">
      <c r="B220" s="492">
        <f>B137</f>
        <v>0</v>
      </c>
      <c r="N220" s="562"/>
      <c r="O220" s="1065"/>
      <c r="P220" s="555"/>
      <c r="Q220" s="582" t="s">
        <v>45</v>
      </c>
      <c r="R220" s="583">
        <f>IF(R188=0,"",R188/COUNTIF(K96:K108,"X"))</f>
        <v>27.833333333333332</v>
      </c>
      <c r="S220" s="578">
        <f t="shared" ref="S220:W220" si="680">IF(S188=0,"",S188/COUNTIF(L96:L108,"X"))</f>
        <v>30.625</v>
      </c>
      <c r="T220" s="578">
        <f t="shared" si="680"/>
        <v>43.142857142857146</v>
      </c>
      <c r="U220" s="578" t="str">
        <f t="shared" si="680"/>
        <v/>
      </c>
      <c r="V220" s="578" t="str">
        <f t="shared" si="680"/>
        <v/>
      </c>
      <c r="W220" s="579" t="str">
        <f t="shared" si="680"/>
        <v/>
      </c>
      <c r="X220" s="583">
        <f>IF(X188=0,"",X188/COUNTIF(K96:K108,"X"))</f>
        <v>27.833333333333332</v>
      </c>
      <c r="Y220" s="578">
        <f t="shared" ref="Y220:AC220" si="681">IF(Y188=0,"",Y188/COUNTIF(L96:L108,"X"))</f>
        <v>30.625</v>
      </c>
      <c r="Z220" s="578">
        <f t="shared" si="681"/>
        <v>32.428571428571431</v>
      </c>
      <c r="AA220" s="578" t="str">
        <f t="shared" si="681"/>
        <v/>
      </c>
      <c r="AB220" s="578" t="str">
        <f t="shared" si="681"/>
        <v/>
      </c>
      <c r="AC220" s="579" t="str">
        <f t="shared" si="681"/>
        <v/>
      </c>
      <c r="AD220" s="571"/>
      <c r="AG220" s="711"/>
      <c r="AH220" s="695" t="s">
        <v>45</v>
      </c>
      <c r="AI220" s="714"/>
      <c r="AJ220" s="583">
        <f>IF(AJ188=0,"",AJ188/COUNTIF(K96:K108,"X"))</f>
        <v>12.534999999999998</v>
      </c>
      <c r="AK220" s="578">
        <f t="shared" ref="AK220:AO220" si="682">IF(AK188=0,"",AK188/COUNTIF(L96:L108,"X"))</f>
        <v>17.125</v>
      </c>
      <c r="AL220" s="578">
        <f t="shared" si="682"/>
        <v>24.428571428571427</v>
      </c>
      <c r="AM220" s="578" t="str">
        <f t="shared" si="682"/>
        <v/>
      </c>
      <c r="AN220" s="578" t="str">
        <f t="shared" si="682"/>
        <v/>
      </c>
      <c r="AO220" s="579" t="str">
        <f t="shared" si="682"/>
        <v/>
      </c>
      <c r="AP220" s="571"/>
      <c r="AS220" s="711"/>
      <c r="AT220" s="695" t="s">
        <v>45</v>
      </c>
      <c r="AU220" s="714"/>
      <c r="AV220" s="583">
        <f>IF(AV188=0,"",AV188/COUNTIF(K96:K108,"X"))</f>
        <v>10.431666666666668</v>
      </c>
      <c r="AW220" s="578">
        <f t="shared" ref="AW220:BA220" si="683">IF(AW188=0,"",AW188/COUNTIF(L96:L108,"X"))</f>
        <v>12.125</v>
      </c>
      <c r="AX220" s="578">
        <f t="shared" si="683"/>
        <v>14.714285714285714</v>
      </c>
      <c r="AY220" s="578" t="str">
        <f t="shared" si="683"/>
        <v/>
      </c>
      <c r="AZ220" s="578" t="str">
        <f t="shared" si="683"/>
        <v/>
      </c>
      <c r="BA220" s="579" t="str">
        <f t="shared" si="683"/>
        <v/>
      </c>
      <c r="BB220" s="571"/>
      <c r="BC220" s="4"/>
      <c r="BD220" s="4"/>
      <c r="BE220" s="711"/>
      <c r="BF220" s="695" t="s">
        <v>45</v>
      </c>
      <c r="BG220" s="714"/>
      <c r="BH220" s="583">
        <f>IF(BH188=0,"",BH188/COUNTIF(K96:K108,"X"))</f>
        <v>5.8167000000000009</v>
      </c>
      <c r="BI220" s="578">
        <f t="shared" ref="BI220:BM220" si="684">IF(BI188=0,"",BI188/COUNTIF(L96:L108,"X"))</f>
        <v>8.375</v>
      </c>
      <c r="BJ220" s="578">
        <f t="shared" si="684"/>
        <v>9.8571428571428577</v>
      </c>
      <c r="BK220" s="578" t="str">
        <f t="shared" si="684"/>
        <v/>
      </c>
      <c r="BL220" s="578" t="str">
        <f t="shared" si="684"/>
        <v/>
      </c>
      <c r="BM220" s="579" t="str">
        <f t="shared" si="684"/>
        <v/>
      </c>
      <c r="BN220" s="492"/>
      <c r="BO220" s="492"/>
      <c r="BP220" s="492"/>
      <c r="BQ220" s="492"/>
      <c r="BR220" s="492"/>
      <c r="BS220" s="492"/>
      <c r="BT220" s="492"/>
    </row>
    <row r="221" spans="1:74">
      <c r="B221" s="492">
        <f>B148</f>
        <v>0</v>
      </c>
      <c r="N221" s="562"/>
      <c r="O221" s="1065"/>
      <c r="P221" s="555"/>
      <c r="Q221" s="584" t="s">
        <v>214</v>
      </c>
      <c r="R221" s="583">
        <f>IF(R189=0,"",R189/COUNTIF(K110:K124,"X"))</f>
        <v>180</v>
      </c>
      <c r="S221" s="578">
        <f t="shared" ref="S221:W221" si="685">IF(S189=0,"",S189/COUNTIF(L110:L124,"X"))</f>
        <v>147</v>
      </c>
      <c r="T221" s="578">
        <f t="shared" si="685"/>
        <v>155.25</v>
      </c>
      <c r="U221" s="578" t="str">
        <f t="shared" si="685"/>
        <v/>
      </c>
      <c r="V221" s="578" t="str">
        <f t="shared" si="685"/>
        <v/>
      </c>
      <c r="W221" s="579" t="str">
        <f t="shared" si="685"/>
        <v/>
      </c>
      <c r="X221" s="583">
        <f>IF(X189=0,"",X189/COUNTIF(K110:K124,"X"))</f>
        <v>89.666666666666671</v>
      </c>
      <c r="Y221" s="578">
        <f t="shared" ref="Y221:AC221" si="686">IF(Y189=0,"",Y189/COUNTIF(L110:L124,"X"))</f>
        <v>74.166666666666671</v>
      </c>
      <c r="Z221" s="578">
        <f t="shared" si="686"/>
        <v>84</v>
      </c>
      <c r="AA221" s="578" t="str">
        <f t="shared" si="686"/>
        <v/>
      </c>
      <c r="AB221" s="578" t="str">
        <f t="shared" si="686"/>
        <v/>
      </c>
      <c r="AC221" s="579" t="str">
        <f t="shared" si="686"/>
        <v/>
      </c>
      <c r="AD221" s="571"/>
      <c r="AG221" s="712"/>
      <c r="AH221" s="696" t="s">
        <v>214</v>
      </c>
      <c r="AI221" s="715"/>
      <c r="AJ221" s="583">
        <f>IF(AJ189=0,"",AJ189/COUNTIF(K110:K124,"X"))</f>
        <v>56.25</v>
      </c>
      <c r="AK221" s="578">
        <f t="shared" ref="AK221:AO221" si="687">IF(AK189=0,"",AK189/COUNTIF(L110:L124,"X"))</f>
        <v>52.333333333333336</v>
      </c>
      <c r="AL221" s="578">
        <f t="shared" si="687"/>
        <v>59.625</v>
      </c>
      <c r="AM221" s="578" t="str">
        <f t="shared" si="687"/>
        <v/>
      </c>
      <c r="AN221" s="578" t="str">
        <f t="shared" si="687"/>
        <v/>
      </c>
      <c r="AO221" s="579" t="str">
        <f t="shared" si="687"/>
        <v/>
      </c>
      <c r="AP221" s="571"/>
      <c r="AS221" s="712"/>
      <c r="AT221" s="696" t="s">
        <v>214</v>
      </c>
      <c r="AU221" s="715"/>
      <c r="AV221" s="583">
        <f>IF(AV189=0,"",AV189/COUNTIF(K110:K124,"X"))</f>
        <v>64</v>
      </c>
      <c r="AW221" s="578">
        <f t="shared" ref="AW221:BA221" si="688">IF(AW189=0,"",AW189/COUNTIF(L110:L124,"X"))</f>
        <v>43.166666666666664</v>
      </c>
      <c r="AX221" s="578">
        <f t="shared" si="688"/>
        <v>49.875</v>
      </c>
      <c r="AY221" s="578" t="str">
        <f t="shared" si="688"/>
        <v/>
      </c>
      <c r="AZ221" s="578" t="str">
        <f t="shared" si="688"/>
        <v/>
      </c>
      <c r="BA221" s="579" t="str">
        <f t="shared" si="688"/>
        <v/>
      </c>
      <c r="BB221" s="571"/>
      <c r="BC221" s="4"/>
      <c r="BD221" s="4"/>
      <c r="BE221" s="712"/>
      <c r="BF221" s="696" t="s">
        <v>214</v>
      </c>
      <c r="BG221" s="715"/>
      <c r="BH221" s="583" t="str">
        <f>IF(BH189=0,"",BH189/COUNTIF(K110:K124,"X"))</f>
        <v/>
      </c>
      <c r="BI221" s="578">
        <f t="shared" ref="BI221:BM221" si="689">IF(BI189=0,"",BI189/COUNTIF(L110:L124,"X"))</f>
        <v>20</v>
      </c>
      <c r="BJ221" s="578">
        <f t="shared" si="689"/>
        <v>24.375</v>
      </c>
      <c r="BK221" s="578" t="str">
        <f t="shared" si="689"/>
        <v/>
      </c>
      <c r="BL221" s="578" t="str">
        <f t="shared" si="689"/>
        <v/>
      </c>
      <c r="BM221" s="579" t="str">
        <f t="shared" si="689"/>
        <v/>
      </c>
      <c r="BN221" s="492"/>
      <c r="BO221" s="492"/>
      <c r="BP221" s="492"/>
      <c r="BQ221" s="492"/>
      <c r="BR221" s="492"/>
      <c r="BS221" s="492"/>
      <c r="BT221" s="492"/>
    </row>
    <row r="222" spans="1:74">
      <c r="B222" s="492">
        <f>B167</f>
        <v>0</v>
      </c>
      <c r="N222" s="562"/>
      <c r="O222" s="1065"/>
      <c r="P222" s="555"/>
      <c r="Q222" s="584" t="s">
        <v>213</v>
      </c>
      <c r="R222" s="583">
        <f>IF(R190=0,"",R190/COUNTIF(K126:K133,"X"))</f>
        <v>21</v>
      </c>
      <c r="S222" s="578">
        <f t="shared" ref="S222:W222" si="690">IF(S190=0,"",S190/COUNTIF(L126:L133,"X"))</f>
        <v>27.666666666666668</v>
      </c>
      <c r="T222" s="578">
        <f t="shared" si="690"/>
        <v>23.333333333333332</v>
      </c>
      <c r="U222" s="578" t="str">
        <f t="shared" si="690"/>
        <v/>
      </c>
      <c r="V222" s="578" t="str">
        <f t="shared" si="690"/>
        <v/>
      </c>
      <c r="W222" s="579" t="str">
        <f t="shared" si="690"/>
        <v/>
      </c>
      <c r="X222" s="583">
        <f>IF(X190=0,"",X190/COUNTIF(K126:K133,"X"))</f>
        <v>8</v>
      </c>
      <c r="Y222" s="578">
        <f t="shared" ref="Y222:AC222" si="691">IF(Y190=0,"",Y190/COUNTIF(L126:L133,"X"))</f>
        <v>18.666666666666668</v>
      </c>
      <c r="Z222" s="578">
        <f t="shared" si="691"/>
        <v>14</v>
      </c>
      <c r="AA222" s="578" t="str">
        <f t="shared" si="691"/>
        <v/>
      </c>
      <c r="AB222" s="578" t="str">
        <f t="shared" si="691"/>
        <v/>
      </c>
      <c r="AC222" s="579" t="str">
        <f t="shared" si="691"/>
        <v/>
      </c>
      <c r="AD222" s="571"/>
      <c r="AG222" s="712"/>
      <c r="AH222" s="696" t="s">
        <v>213</v>
      </c>
      <c r="AI222" s="715"/>
      <c r="AJ222" s="583">
        <f>IF(AJ190=0,"",AJ190/COUNTIF(K126:K133,"X"))</f>
        <v>6.09</v>
      </c>
      <c r="AK222" s="578">
        <f t="shared" ref="AK222:AO222" si="692">IF(AK190=0,"",AK190/COUNTIF(L126:L133,"X"))</f>
        <v>7.666666666666667</v>
      </c>
      <c r="AL222" s="578">
        <f t="shared" si="692"/>
        <v>6.333333333333333</v>
      </c>
      <c r="AM222" s="578" t="str">
        <f t="shared" si="692"/>
        <v/>
      </c>
      <c r="AN222" s="578" t="str">
        <f t="shared" si="692"/>
        <v/>
      </c>
      <c r="AO222" s="579" t="str">
        <f t="shared" si="692"/>
        <v/>
      </c>
      <c r="AP222" s="571"/>
      <c r="AS222" s="712"/>
      <c r="AT222" s="696" t="s">
        <v>213</v>
      </c>
      <c r="AU222" s="715"/>
      <c r="AV222" s="583">
        <f>IF(AV190=0,"",AV190/COUNTIF(K126:K133,"X"))</f>
        <v>6.72</v>
      </c>
      <c r="AW222" s="578">
        <f t="shared" ref="AW222:BA222" si="693">IF(AW190=0,"",AW190/COUNTIF(L126:L133,"X"))</f>
        <v>7.666666666666667</v>
      </c>
      <c r="AX222" s="578">
        <f t="shared" si="693"/>
        <v>6.666666666666667</v>
      </c>
      <c r="AY222" s="578" t="str">
        <f t="shared" si="693"/>
        <v/>
      </c>
      <c r="AZ222" s="578" t="str">
        <f t="shared" si="693"/>
        <v/>
      </c>
      <c r="BA222" s="579" t="str">
        <f t="shared" si="693"/>
        <v/>
      </c>
      <c r="BB222" s="571"/>
      <c r="BC222" s="4"/>
      <c r="BD222" s="4"/>
      <c r="BE222" s="712"/>
      <c r="BF222" s="696" t="s">
        <v>213</v>
      </c>
      <c r="BG222" s="715"/>
      <c r="BH222" s="583" t="str">
        <f>IF(BH190=0,"",BH190/COUNTIF(K126:K133,"X"))</f>
        <v/>
      </c>
      <c r="BI222" s="578">
        <f t="shared" ref="BI222:BM222" si="694">IF(BI190=0,"",BI190/COUNTIF(L126:L133,"X"))</f>
        <v>4.333333333333333</v>
      </c>
      <c r="BJ222" s="578">
        <f t="shared" si="694"/>
        <v>2.3333333333333335</v>
      </c>
      <c r="BK222" s="578" t="str">
        <f t="shared" si="694"/>
        <v/>
      </c>
      <c r="BL222" s="578" t="str">
        <f t="shared" si="694"/>
        <v/>
      </c>
      <c r="BM222" s="579" t="str">
        <f t="shared" si="694"/>
        <v/>
      </c>
      <c r="BN222" s="492"/>
      <c r="BO222" s="492"/>
      <c r="BP222" s="492"/>
      <c r="BQ222" s="492"/>
      <c r="BR222" s="492"/>
      <c r="BS222" s="492"/>
      <c r="BT222" s="492"/>
    </row>
    <row r="223" spans="1:74" ht="15.75" thickBot="1">
      <c r="B223" s="492" t="str">
        <f>B180</f>
        <v>UP Cluses</v>
      </c>
      <c r="N223" s="562"/>
      <c r="O223" s="1065"/>
      <c r="P223" s="555"/>
      <c r="Q223" s="585" t="s">
        <v>3</v>
      </c>
      <c r="R223" s="586">
        <f>IF(R191=0,"",R191/COUNTIF(K135:K158,"X"))</f>
        <v>249.66666666666666</v>
      </c>
      <c r="S223" s="587">
        <f t="shared" ref="S223:W223" si="695">IF(S191=0,"",S191/COUNTIF(L135:L158,"X"))</f>
        <v>354</v>
      </c>
      <c r="T223" s="587">
        <f t="shared" si="695"/>
        <v>378.85714285714283</v>
      </c>
      <c r="U223" s="587">
        <f t="shared" si="695"/>
        <v>546.6</v>
      </c>
      <c r="V223" s="587" t="str">
        <f t="shared" si="695"/>
        <v/>
      </c>
      <c r="W223" s="588" t="str">
        <f t="shared" si="695"/>
        <v/>
      </c>
      <c r="X223" s="586">
        <f>IF(X191=0,"",X191/COUNTIF(K135:K158,"X"))</f>
        <v>249.66666666666666</v>
      </c>
      <c r="Y223" s="587">
        <f t="shared" ref="Y223:AC223" si="696">IF(Y191=0,"",Y191/COUNTIF(L135:L158,"X"))</f>
        <v>354</v>
      </c>
      <c r="Z223" s="587">
        <f t="shared" si="696"/>
        <v>378.85714285714283</v>
      </c>
      <c r="AA223" s="587">
        <f t="shared" si="696"/>
        <v>546.6</v>
      </c>
      <c r="AB223" s="587" t="str">
        <f t="shared" si="696"/>
        <v/>
      </c>
      <c r="AC223" s="588" t="str">
        <f t="shared" si="696"/>
        <v/>
      </c>
      <c r="AD223" s="571"/>
      <c r="AG223" s="711"/>
      <c r="AH223" s="697" t="s">
        <v>3</v>
      </c>
      <c r="AI223" s="716"/>
      <c r="AJ223" s="586">
        <f>IF(AJ191=0,"",AJ191/COUNTIF(K135:K158,"X"))</f>
        <v>31.666666666666668</v>
      </c>
      <c r="AK223" s="587">
        <f t="shared" ref="AK223:AO223" si="697">IF(AK191=0,"",AK191/COUNTIF(L135:L158,"X"))</f>
        <v>136.6</v>
      </c>
      <c r="AL223" s="587">
        <f t="shared" si="697"/>
        <v>164.42857142857142</v>
      </c>
      <c r="AM223" s="587">
        <f t="shared" si="697"/>
        <v>244.4</v>
      </c>
      <c r="AN223" s="587" t="str">
        <f t="shared" si="697"/>
        <v/>
      </c>
      <c r="AO223" s="588" t="str">
        <f t="shared" si="697"/>
        <v/>
      </c>
      <c r="AP223" s="571"/>
      <c r="AS223" s="711"/>
      <c r="AT223" s="697" t="s">
        <v>3</v>
      </c>
      <c r="AU223" s="716"/>
      <c r="AV223" s="586">
        <f>IF(AV191=0,"",AV191/COUNTIF(K135:K158,"X"))</f>
        <v>100.11111111111111</v>
      </c>
      <c r="AW223" s="587">
        <f t="shared" ref="AW223:BA223" si="698">IF(AW191=0,"",AW191/COUNTIF(L135:L158,"X"))</f>
        <v>145.19999999999999</v>
      </c>
      <c r="AX223" s="587">
        <f t="shared" si="698"/>
        <v>149</v>
      </c>
      <c r="AY223" s="587">
        <f t="shared" si="698"/>
        <v>215.6</v>
      </c>
      <c r="AZ223" s="587" t="str">
        <f t="shared" si="698"/>
        <v/>
      </c>
      <c r="BA223" s="588" t="str">
        <f t="shared" si="698"/>
        <v/>
      </c>
      <c r="BB223" s="571"/>
      <c r="BC223" s="4"/>
      <c r="BD223" s="4"/>
      <c r="BE223" s="711"/>
      <c r="BF223" s="697" t="s">
        <v>3</v>
      </c>
      <c r="BG223" s="716"/>
      <c r="BH223" s="586">
        <f>IF(BH191=0,"",BH191/COUNTIF(K135:K158,"X"))</f>
        <v>1.4444444444444444</v>
      </c>
      <c r="BI223" s="587">
        <f t="shared" ref="BI223:BM223" si="699">IF(BI191=0,"",BI191/COUNTIF(L135:L158,"X"))</f>
        <v>84</v>
      </c>
      <c r="BJ223" s="587">
        <f t="shared" si="699"/>
        <v>86.285714285714292</v>
      </c>
      <c r="BK223" s="587">
        <f t="shared" si="699"/>
        <v>116.4</v>
      </c>
      <c r="BL223" s="587" t="str">
        <f t="shared" si="699"/>
        <v/>
      </c>
      <c r="BM223" s="588" t="str">
        <f t="shared" si="699"/>
        <v/>
      </c>
      <c r="BN223" s="492"/>
      <c r="BO223" s="492"/>
      <c r="BP223" s="492"/>
      <c r="BQ223" s="492"/>
      <c r="BR223" s="492"/>
      <c r="BS223" s="492"/>
      <c r="BT223" s="492"/>
    </row>
    <row r="224" spans="1:74" s="568" customFormat="1" ht="15.75" thickBot="1">
      <c r="A224" s="20"/>
      <c r="B224" s="561"/>
      <c r="C224" s="569"/>
      <c r="D224" s="569"/>
      <c r="E224" s="569"/>
      <c r="F224" s="569"/>
      <c r="G224" s="569"/>
      <c r="H224" s="569"/>
      <c r="I224" s="569"/>
      <c r="K224" s="569"/>
      <c r="M224" s="569"/>
      <c r="N224" s="562"/>
      <c r="O224" s="1065"/>
      <c r="P224" s="562"/>
      <c r="Q224" s="589" t="s">
        <v>66</v>
      </c>
      <c r="R224" s="590">
        <f>IF(R192=0,"",R192/$K161)</f>
        <v>112.84782608695652</v>
      </c>
      <c r="S224" s="591">
        <f>IF(S192=0,"",S192/$L161)</f>
        <v>95.4375</v>
      </c>
      <c r="T224" s="591">
        <f>IF(T192=0,"",T192/$M161)</f>
        <v>101.81944444444444</v>
      </c>
      <c r="U224" s="591">
        <f t="shared" ref="U224:W224" si="700">IF(U192=0,"",U192/$M161)</f>
        <v>45.347222222222221</v>
      </c>
      <c r="V224" s="591" t="str">
        <f t="shared" si="700"/>
        <v/>
      </c>
      <c r="W224" s="592" t="str">
        <f t="shared" si="700"/>
        <v/>
      </c>
      <c r="X224" s="590">
        <f>IF(X192=0,"",X192/$K161)</f>
        <v>78.108695652173907</v>
      </c>
      <c r="Y224" s="591">
        <f>IF(Y192=0,"",Y192/$L161)</f>
        <v>73.458333333333329</v>
      </c>
      <c r="Z224" s="591">
        <f>IF(Z192=0,"",Z192/$M161)</f>
        <v>78.055555555555557</v>
      </c>
      <c r="AA224" s="591">
        <f t="shared" ref="AA224:AC224" si="701">IF(AA192=0,"",AA192/$M161)</f>
        <v>40.958333333333336</v>
      </c>
      <c r="AB224" s="591" t="str">
        <f t="shared" si="701"/>
        <v/>
      </c>
      <c r="AC224" s="592" t="str">
        <f t="shared" si="701"/>
        <v/>
      </c>
      <c r="AD224" s="572"/>
      <c r="AG224" s="520"/>
      <c r="AH224" s="698" t="s">
        <v>66</v>
      </c>
      <c r="AI224" s="717"/>
      <c r="AJ224" s="590">
        <f>IF(AJ192=0,"",AJ192/$K161)</f>
        <v>31.022173913043478</v>
      </c>
      <c r="AK224" s="591">
        <f>IF(AK192=0,"",AK192/$L161)</f>
        <v>37.145833333333336</v>
      </c>
      <c r="AL224" s="591">
        <f t="shared" ref="AL224:AN224" si="702">IF(AL192=0,"",AL192/$L161)</f>
        <v>63.479166666666664</v>
      </c>
      <c r="AM224" s="591">
        <f t="shared" si="702"/>
        <v>30.354166666666668</v>
      </c>
      <c r="AN224" s="591" t="str">
        <f t="shared" si="702"/>
        <v/>
      </c>
      <c r="AO224" s="592" t="str">
        <f>IF(AO192=0,"",AO192/$M161)</f>
        <v/>
      </c>
      <c r="AP224" s="572"/>
      <c r="AS224" s="520"/>
      <c r="AT224" s="698" t="s">
        <v>66</v>
      </c>
      <c r="AU224" s="717"/>
      <c r="AV224" s="590">
        <f>IF(AV192=0,"",AV192/$K161)</f>
        <v>43.615869565217395</v>
      </c>
      <c r="AW224" s="591">
        <f>IF(AW192=0,"",AW192/$L161)</f>
        <v>34.625</v>
      </c>
      <c r="AX224" s="591">
        <f t="shared" ref="AX224:AZ224" si="703">IF(AX192=0,"",AX192/$L161)</f>
        <v>55.083333333333336</v>
      </c>
      <c r="AY224" s="591">
        <f t="shared" si="703"/>
        <v>26.125</v>
      </c>
      <c r="AZ224" s="591" t="str">
        <f t="shared" si="703"/>
        <v/>
      </c>
      <c r="BA224" s="592"/>
      <c r="BB224" s="572"/>
      <c r="BE224" s="520"/>
      <c r="BF224" s="698" t="s">
        <v>66</v>
      </c>
      <c r="BG224" s="717"/>
      <c r="BH224" s="590">
        <f>IF(BH192=0,"",BH192/$K161)</f>
        <v>2.3665260869565219</v>
      </c>
      <c r="BI224" s="591">
        <f>IF(BI192=0,"",BI192/$L161)</f>
        <v>15</v>
      </c>
      <c r="BJ224" s="591">
        <f t="shared" ref="BJ224:BK224" si="704">IF(BJ192=0,"",BJ192/$L161)</f>
        <v>22.208333333333332</v>
      </c>
      <c r="BK224" s="591">
        <f t="shared" si="704"/>
        <v>14.145833333333334</v>
      </c>
      <c r="BL224" s="591" t="str">
        <f>IF(BL192=0,"",BL192/$L161)</f>
        <v/>
      </c>
      <c r="BM224" s="592" t="str">
        <f>IF(BM192=0,"",BM192/$M161)</f>
        <v/>
      </c>
      <c r="BN224" s="561"/>
      <c r="BO224" s="561"/>
      <c r="BP224" s="561"/>
      <c r="BQ224" s="561"/>
      <c r="BR224" s="561"/>
      <c r="BS224" s="561"/>
      <c r="BT224" s="561"/>
      <c r="BU224" s="570"/>
      <c r="BV224" s="561"/>
    </row>
    <row r="225" spans="1:74" ht="15" customHeight="1" thickBot="1">
      <c r="N225" s="562"/>
      <c r="R225" s="492"/>
      <c r="S225" s="492"/>
      <c r="T225" s="492"/>
      <c r="U225" s="492"/>
      <c r="V225" s="492"/>
      <c r="W225" s="492"/>
      <c r="X225" s="492"/>
      <c r="Y225" s="492"/>
      <c r="Z225" s="492"/>
      <c r="AA225" s="492"/>
      <c r="AB225" s="492"/>
      <c r="AC225" s="492"/>
      <c r="AD225" s="492"/>
      <c r="AG225" s="492"/>
      <c r="AH225" s="492"/>
      <c r="AI225" s="492"/>
      <c r="AJ225" s="492"/>
      <c r="AK225" s="492"/>
      <c r="AL225" s="492"/>
      <c r="AM225" s="492"/>
      <c r="AN225" s="492"/>
      <c r="AO225" s="492"/>
      <c r="AP225" s="492"/>
      <c r="AS225" s="492"/>
      <c r="AT225" s="492"/>
      <c r="AU225" s="492"/>
      <c r="AV225" s="492"/>
      <c r="AW225" s="492"/>
      <c r="AX225" s="492"/>
      <c r="AY225" s="492"/>
      <c r="AZ225" s="492"/>
      <c r="BA225" s="492"/>
      <c r="BB225" s="492"/>
      <c r="BC225" s="4"/>
      <c r="BD225" s="4"/>
      <c r="BE225" s="492"/>
      <c r="BF225" s="492"/>
      <c r="BG225" s="492"/>
      <c r="BH225" s="492"/>
      <c r="BI225" s="492"/>
      <c r="BJ225" s="492"/>
      <c r="BK225" s="492"/>
      <c r="BL225" s="492"/>
      <c r="BM225" s="492"/>
      <c r="BN225" s="492"/>
      <c r="BO225" s="492"/>
      <c r="BP225" s="492"/>
      <c r="BQ225" s="492"/>
      <c r="BR225" s="492"/>
      <c r="BS225" s="492"/>
      <c r="BT225" s="492"/>
    </row>
    <row r="226" spans="1:74">
      <c r="J226" s="520"/>
      <c r="K226" s="521"/>
      <c r="M226" s="521"/>
      <c r="N226" s="562"/>
      <c r="O226" s="1066" t="s">
        <v>219</v>
      </c>
      <c r="P226" s="562"/>
      <c r="Q226" s="555"/>
      <c r="R226" s="607" t="s">
        <v>159</v>
      </c>
      <c r="S226" s="608" t="s">
        <v>215</v>
      </c>
      <c r="T226" s="609"/>
      <c r="U226" s="608"/>
      <c r="V226" s="608"/>
      <c r="W226" s="608"/>
      <c r="X226" s="607" t="s">
        <v>44</v>
      </c>
      <c r="Y226" s="608" t="s">
        <v>215</v>
      </c>
      <c r="Z226" s="609"/>
      <c r="AA226" s="608"/>
      <c r="AB226" s="608"/>
      <c r="AC226" s="608"/>
      <c r="AD226" s="518"/>
      <c r="AG226" s="518"/>
      <c r="AH226" s="518"/>
      <c r="AI226" s="518"/>
      <c r="AJ226" s="607" t="s">
        <v>209</v>
      </c>
      <c r="AK226" s="608" t="s">
        <v>215</v>
      </c>
      <c r="AL226" s="609"/>
      <c r="AM226" s="718"/>
      <c r="AN226" s="718"/>
      <c r="AO226" s="719"/>
      <c r="AP226" s="518"/>
      <c r="AS226" s="518"/>
      <c r="AT226" s="518"/>
      <c r="AU226" s="518"/>
      <c r="AV226" s="607" t="s">
        <v>208</v>
      </c>
      <c r="AW226" s="608" t="s">
        <v>215</v>
      </c>
      <c r="AX226" s="609"/>
      <c r="AY226" s="718"/>
      <c r="AZ226" s="718"/>
      <c r="BA226" s="719"/>
      <c r="BC226" s="4"/>
      <c r="BD226" s="4"/>
      <c r="BE226" s="518"/>
      <c r="BF226" s="518"/>
      <c r="BG226" s="518"/>
      <c r="BH226" s="607" t="s">
        <v>207</v>
      </c>
      <c r="BI226" s="608" t="s">
        <v>215</v>
      </c>
      <c r="BJ226" s="609"/>
      <c r="BK226" s="718"/>
      <c r="BL226" s="718"/>
      <c r="BM226" s="719"/>
      <c r="BN226" s="560"/>
    </row>
    <row r="227" spans="1:74" ht="15.75" thickBot="1">
      <c r="J227" s="520"/>
      <c r="K227" s="521"/>
      <c r="M227" s="521"/>
      <c r="N227" s="562"/>
      <c r="O227" s="1065"/>
      <c r="P227" s="562"/>
      <c r="Q227" s="555"/>
      <c r="R227" s="573">
        <f>R$164</f>
        <v>2020</v>
      </c>
      <c r="S227" s="574">
        <f t="shared" ref="S227:AC227" si="705">S$164</f>
        <v>2021</v>
      </c>
      <c r="T227" s="574">
        <f t="shared" si="705"/>
        <v>2022</v>
      </c>
      <c r="U227" s="574">
        <f t="shared" si="705"/>
        <v>2023</v>
      </c>
      <c r="V227" s="574">
        <f t="shared" si="705"/>
        <v>2024</v>
      </c>
      <c r="W227" s="575">
        <f t="shared" si="705"/>
        <v>2025</v>
      </c>
      <c r="X227" s="573">
        <f t="shared" si="705"/>
        <v>2020</v>
      </c>
      <c r="Y227" s="574">
        <f t="shared" si="705"/>
        <v>2021</v>
      </c>
      <c r="Z227" s="574">
        <f t="shared" si="705"/>
        <v>2022</v>
      </c>
      <c r="AA227" s="574">
        <f t="shared" si="705"/>
        <v>2023</v>
      </c>
      <c r="AB227" s="574">
        <f t="shared" si="705"/>
        <v>2024</v>
      </c>
      <c r="AC227" s="575">
        <f t="shared" si="705"/>
        <v>2025</v>
      </c>
      <c r="AG227" s="710"/>
      <c r="AH227" s="691"/>
      <c r="AI227" s="541"/>
      <c r="AJ227" s="525">
        <f t="shared" ref="AJ227:AO227" si="706">AJ$164</f>
        <v>2020</v>
      </c>
      <c r="AK227" s="526">
        <f t="shared" si="706"/>
        <v>2021</v>
      </c>
      <c r="AL227" s="526">
        <f t="shared" si="706"/>
        <v>2022</v>
      </c>
      <c r="AM227" s="526">
        <f t="shared" si="706"/>
        <v>2023</v>
      </c>
      <c r="AN227" s="526">
        <f t="shared" si="706"/>
        <v>2024</v>
      </c>
      <c r="AO227" s="527">
        <f t="shared" si="706"/>
        <v>2025</v>
      </c>
      <c r="AS227" s="710"/>
      <c r="AT227" s="691"/>
      <c r="AU227" s="541"/>
      <c r="AV227" s="525">
        <f t="shared" ref="AV227:BA227" si="707">AV$164</f>
        <v>2020</v>
      </c>
      <c r="AW227" s="526">
        <f t="shared" si="707"/>
        <v>2021</v>
      </c>
      <c r="AX227" s="526">
        <f t="shared" si="707"/>
        <v>2022</v>
      </c>
      <c r="AY227" s="526">
        <f t="shared" si="707"/>
        <v>2023</v>
      </c>
      <c r="AZ227" s="526">
        <f t="shared" si="707"/>
        <v>2024</v>
      </c>
      <c r="BA227" s="527">
        <f t="shared" si="707"/>
        <v>2025</v>
      </c>
      <c r="BC227" s="4"/>
      <c r="BD227" s="4"/>
      <c r="BE227" s="710"/>
      <c r="BF227" s="691"/>
      <c r="BG227" s="541"/>
      <c r="BH227" s="525">
        <f t="shared" ref="BH227:BM227" si="708">BH$164</f>
        <v>2020</v>
      </c>
      <c r="BI227" s="526">
        <f t="shared" si="708"/>
        <v>2021</v>
      </c>
      <c r="BJ227" s="526">
        <f t="shared" si="708"/>
        <v>2022</v>
      </c>
      <c r="BK227" s="526">
        <f t="shared" si="708"/>
        <v>2023</v>
      </c>
      <c r="BL227" s="526">
        <f t="shared" si="708"/>
        <v>2024</v>
      </c>
      <c r="BM227" s="527">
        <f t="shared" si="708"/>
        <v>2025</v>
      </c>
      <c r="BN227" s="560"/>
    </row>
    <row r="228" spans="1:74">
      <c r="B228" s="492"/>
      <c r="N228" s="562"/>
      <c r="O228" s="1065"/>
      <c r="P228" s="555"/>
      <c r="Q228" s="580" t="s">
        <v>70</v>
      </c>
      <c r="R228" s="603" t="str">
        <f>IF(R212="","","100%")</f>
        <v>100%</v>
      </c>
      <c r="S228" s="595" t="str">
        <f>IF(R212="","",  IF(S212="","",  IF(S212&gt;R212,"+"&amp;ROUND((S212/R212-1)*100,0)&amp;"%",  IF(S212&lt;R212,ROUND((S212/R212-1)*100,0)&amp;"%",  ""))))</f>
        <v>+62%</v>
      </c>
      <c r="T228" s="595" t="str">
        <f>IF(S212="","",  IF(T212="","",  IF(T212&gt;S212,"+"&amp;ROUND((T212/S212-1)*100,0)&amp;"%",  IF(T212&lt;S212,ROUND((T212/S212-1)*100,0)&amp;"%",  ""))))</f>
        <v>-29%</v>
      </c>
      <c r="U228" s="595" t="str">
        <f t="shared" ref="U228:W240" si="709">IF(T212="","",  IF(U212="","",  IF(U212&gt;T212,"+"&amp;ROUND((U212/T212-1)*100,0)&amp;"%",  IF(U212&lt;T212,ROUND((U212/T212-1)*100,0)&amp;"%",  ""))))</f>
        <v>+144%</v>
      </c>
      <c r="V228" s="595" t="str">
        <f t="shared" si="709"/>
        <v/>
      </c>
      <c r="W228" s="596" t="str">
        <f t="shared" si="709"/>
        <v/>
      </c>
      <c r="X228" s="603" t="str">
        <f>IF(X212="","","100%")</f>
        <v>100%</v>
      </c>
      <c r="Y228" s="595" t="str">
        <f>IF(X212="","",  IF(Y212="","",  IF(Y212&gt;X212,"+"&amp;ROUND((Y212/X212-1)*100,0)&amp;"%",  IF(Y212&lt;X212,ROUND((Y212/X212-1)*100,0)&amp;"%",  ""))))</f>
        <v>+224%</v>
      </c>
      <c r="Z228" s="595" t="str">
        <f>IF(Y212="","",  IF(Z212="","",  IF(Z212&gt;Y212,"+"&amp;ROUND((Z212/Y212-1)*100,0)&amp;"%",  IF(Z212&lt;Y212,ROUND((Z212/Y212-1)*100,0)&amp;"%",  ""))))</f>
        <v>-23%</v>
      </c>
      <c r="AA228" s="595" t="str">
        <f t="shared" ref="AA228:AC240" si="710">IF(Z212="","",  IF(AA212="","",  IF(AA212&gt;Z212,"+"&amp;ROUND((AA212/Z212-1)*100,0)&amp;"%",  IF(AA212&lt;Z212,ROUND((AA212/Z212-1)*100,0)&amp;"%",  ""))))</f>
        <v/>
      </c>
      <c r="AB228" s="595" t="str">
        <f t="shared" si="710"/>
        <v/>
      </c>
      <c r="AC228" s="596" t="str">
        <f t="shared" si="710"/>
        <v/>
      </c>
      <c r="AD228" s="571"/>
      <c r="AG228" s="711"/>
      <c r="AH228" s="694" t="s">
        <v>70</v>
      </c>
      <c r="AI228" s="713"/>
      <c r="AJ228" s="603" t="str">
        <f>IF(AJ212="","","100%")</f>
        <v>100%</v>
      </c>
      <c r="AK228" s="595" t="str">
        <f>IF(AJ212="","",  IF(AK212="","",  IF(AK212&gt;AJ212,"+"&amp;ROUND((AK212/AJ212-1)*100,0)&amp;"%",  IF(AK212&lt;AJ212,ROUND((AK212/AJ212-1)*100,0)&amp;"%",  ""))))</f>
        <v/>
      </c>
      <c r="AL228" s="595" t="str">
        <f t="shared" ref="AL228:AN240" si="711">IF(AK212="","",  IF(AL212="","",  IF(AL212&gt;AK212,"+"&amp;ROUND((AL212/AK212-1)*100,0)&amp;"%",  IF(AL212&lt;AK212,ROUND((AL212/AK212-1)*100,0)&amp;"%",  ""))))</f>
        <v/>
      </c>
      <c r="AM228" s="595" t="str">
        <f t="shared" si="711"/>
        <v/>
      </c>
      <c r="AN228" s="595" t="str">
        <f t="shared" si="711"/>
        <v/>
      </c>
      <c r="AO228" s="596" t="str">
        <f>IF(AN212="","",  IF(AO212="","",  IF(AO212&gt;AN212,"+"&amp;ROUND((AO212/AN212-1)*100,0)&amp;"%",  IF(AO212&lt;AN212,ROUND((AO212/AN212-1)*100,0)&amp;"%",  ""))))</f>
        <v/>
      </c>
      <c r="AP228" s="571"/>
      <c r="AS228" s="711"/>
      <c r="AT228" s="694" t="s">
        <v>70</v>
      </c>
      <c r="AU228" s="713"/>
      <c r="AV228" s="603" t="str">
        <f>IF(AV212="","","100%")</f>
        <v>100%</v>
      </c>
      <c r="AW228" s="595" t="str">
        <f>IF(AV212="","",  IF(AW212="","",  IF(AW212&gt;AV212,"+"&amp;ROUND((AW212/AV212-1)*100,0)&amp;"%",  IF(AW212&lt;AV212,ROUND((AW212/AV212-1)*100,0)&amp;"%",  ""))))</f>
        <v>+6%</v>
      </c>
      <c r="AX228" s="595" t="str">
        <f t="shared" ref="AX228:AZ240" si="712">IF(AW212="","",  IF(AX212="","",  IF(AX212&gt;AW212,"+"&amp;ROUND((AX212/AW212-1)*100,0)&amp;"%",  IF(AX212&lt;AW212,ROUND((AX212/AW212-1)*100,0)&amp;"%",  ""))))</f>
        <v/>
      </c>
      <c r="AY228" s="595" t="str">
        <f t="shared" si="712"/>
        <v/>
      </c>
      <c r="AZ228" s="595" t="str">
        <f t="shared" si="712"/>
        <v/>
      </c>
      <c r="BA228" s="596" t="str">
        <f>IF(AZ212="","",  IF(BA212="","",  IF(BA212&gt;AZ212,"+"&amp;ROUND((BA212/AZ212-1)*100,0)&amp;"%",  IF(BA212&lt;AZ212,ROUND((BA212/AZ212-1)*100,0)&amp;"%",  ""))))</f>
        <v/>
      </c>
      <c r="BB228" s="571"/>
      <c r="BC228" s="4"/>
      <c r="BD228" s="4"/>
      <c r="BE228" s="711"/>
      <c r="BF228" s="694" t="s">
        <v>70</v>
      </c>
      <c r="BG228" s="713"/>
      <c r="BH228" s="603" t="str">
        <f>IF(BH212="","","100%")</f>
        <v>100%</v>
      </c>
      <c r="BI228" s="595" t="str">
        <f>IF(BH212="","",  IF(BI212="","",  IF(BI212&gt;BH212,"+"&amp;ROUND((BI212/BH212-1)*100,0)&amp;"%",  IF(BI212&lt;BH212,ROUND((BI212/BH212-1)*100,0)&amp;"%",  ""))))</f>
        <v/>
      </c>
      <c r="BJ228" s="595" t="str">
        <f t="shared" ref="BJ228:BL240" si="713">IF(BI212="","",  IF(BJ212="","",  IF(BJ212&gt;BI212,"+"&amp;ROUND((BJ212/BI212-1)*100,0)&amp;"%",  IF(BJ212&lt;BI212,ROUND((BJ212/BI212-1)*100,0)&amp;"%",  ""))))</f>
        <v/>
      </c>
      <c r="BK228" s="595" t="str">
        <f t="shared" si="713"/>
        <v/>
      </c>
      <c r="BL228" s="595" t="str">
        <f t="shared" si="713"/>
        <v/>
      </c>
      <c r="BM228" s="596" t="str">
        <f>IF(BL212="","",  IF(BM212="","",  IF(BM212&gt;BL212,"+"&amp;ROUND((BM212/BL212-1)*100,0)&amp;"%",  IF(BM212&lt;BL212,ROUND((BM212/BL212-1)*100,0)&amp;"%",  ""))))</f>
        <v/>
      </c>
      <c r="BN228" s="492"/>
      <c r="BO228" s="492"/>
      <c r="BP228" s="492"/>
      <c r="BQ228" s="492"/>
      <c r="BR228" s="492"/>
      <c r="BS228" s="492"/>
      <c r="BT228" s="492"/>
    </row>
    <row r="229" spans="1:74">
      <c r="B229" s="492"/>
      <c r="N229" s="562"/>
      <c r="O229" s="1065"/>
      <c r="P229" s="555"/>
      <c r="Q229" s="582" t="s">
        <v>210</v>
      </c>
      <c r="R229" s="604" t="str">
        <f>IF(R213="","","100%")</f>
        <v/>
      </c>
      <c r="S229" s="593" t="str">
        <f t="shared" ref="S229" si="714">IF(R213="","",  IF(S213="","",  IF(S213&gt;R213,"+"&amp;ROUND((S213/R213-1)*100,0)&amp;"%",  IF(S213&lt;R213,ROUND((S213/R213-1)*100,0)&amp;"%",  ""))))</f>
        <v/>
      </c>
      <c r="T229" s="593" t="str">
        <f t="shared" ref="T229:T240" si="715">IF(S213="","",  IF(T213="","",  IF(T213&gt;S213,"+"&amp;ROUND((T213/S213-1)*100,0)&amp;"%",  IF(T213&lt;S213,ROUND((T213/S213-1)*100,0)&amp;"%",  ""))))</f>
        <v/>
      </c>
      <c r="U229" s="593" t="str">
        <f t="shared" si="709"/>
        <v/>
      </c>
      <c r="V229" s="593" t="str">
        <f t="shared" si="709"/>
        <v/>
      </c>
      <c r="W229" s="594" t="str">
        <f t="shared" si="709"/>
        <v/>
      </c>
      <c r="X229" s="604" t="str">
        <f>IF(X213="","","100%")</f>
        <v/>
      </c>
      <c r="Y229" s="593" t="str">
        <f t="shared" ref="Y229:Z240" si="716">IF(X213="","",  IF(Y213="","",  IF(Y213&gt;X213,"+"&amp;ROUND((Y213/X213-1)*100,0)&amp;"%",  IF(Y213&lt;X213,ROUND((Y213/X213-1)*100,0)&amp;"%",  ""))))</f>
        <v/>
      </c>
      <c r="Z229" s="593" t="str">
        <f t="shared" si="716"/>
        <v/>
      </c>
      <c r="AA229" s="593" t="str">
        <f t="shared" si="710"/>
        <v/>
      </c>
      <c r="AB229" s="593" t="str">
        <f t="shared" si="710"/>
        <v/>
      </c>
      <c r="AC229" s="594" t="str">
        <f t="shared" si="710"/>
        <v/>
      </c>
      <c r="AD229" s="571"/>
      <c r="AG229" s="711"/>
      <c r="AH229" s="695" t="s">
        <v>210</v>
      </c>
      <c r="AI229" s="714"/>
      <c r="AJ229" s="604" t="str">
        <f>IF(AJ213="","","100%")</f>
        <v/>
      </c>
      <c r="AK229" s="593" t="str">
        <f t="shared" ref="AK229:AK240" si="717">IF(AJ213="","",  IF(AK213="","",  IF(AK213&gt;AJ213,"+"&amp;ROUND((AK213/AJ213-1)*100,0)&amp;"%",  IF(AK213&lt;AJ213,ROUND((AK213/AJ213-1)*100,0)&amp;"%",  ""))))</f>
        <v/>
      </c>
      <c r="AL229" s="593" t="str">
        <f t="shared" si="711"/>
        <v/>
      </c>
      <c r="AM229" s="593" t="str">
        <f t="shared" si="711"/>
        <v/>
      </c>
      <c r="AN229" s="593" t="str">
        <f t="shared" si="711"/>
        <v/>
      </c>
      <c r="AO229" s="594" t="str">
        <f t="shared" ref="AO229:AO240" si="718">IF(AN213="","",  IF(AO213="","",  IF(AO213&gt;AN213,"+"&amp;ROUND((AO213/AN213-1)*100,0)&amp;"%",  IF(AO213&lt;AN213,ROUND((AO213/AN213-1)*100,0)&amp;"%",  ""))))</f>
        <v/>
      </c>
      <c r="AP229" s="571"/>
      <c r="AS229" s="711"/>
      <c r="AT229" s="695" t="s">
        <v>210</v>
      </c>
      <c r="AU229" s="714"/>
      <c r="AV229" s="604" t="str">
        <f>IF(AV213="","","100%")</f>
        <v/>
      </c>
      <c r="AW229" s="593" t="str">
        <f t="shared" ref="AW229:AW240" si="719">IF(AV213="","",  IF(AW213="","",  IF(AW213&gt;AV213,"+"&amp;ROUND((AW213/AV213-1)*100,0)&amp;"%",  IF(AW213&lt;AV213,ROUND((AW213/AV213-1)*100,0)&amp;"%",  ""))))</f>
        <v/>
      </c>
      <c r="AX229" s="593" t="str">
        <f t="shared" si="712"/>
        <v/>
      </c>
      <c r="AY229" s="593" t="str">
        <f t="shared" si="712"/>
        <v/>
      </c>
      <c r="AZ229" s="593" t="str">
        <f t="shared" si="712"/>
        <v/>
      </c>
      <c r="BA229" s="594" t="str">
        <f t="shared" ref="BA229:BA240" si="720">IF(AZ213="","",  IF(BA213="","",  IF(BA213&gt;AZ213,"+"&amp;ROUND((BA213/AZ213-1)*100,0)&amp;"%",  IF(BA213&lt;AZ213,ROUND((BA213/AZ213-1)*100,0)&amp;"%",  ""))))</f>
        <v/>
      </c>
      <c r="BB229" s="571"/>
      <c r="BC229" s="4"/>
      <c r="BD229" s="4"/>
      <c r="BE229" s="711"/>
      <c r="BF229" s="695" t="s">
        <v>210</v>
      </c>
      <c r="BG229" s="714"/>
      <c r="BH229" s="604" t="str">
        <f>IF(BH213="","","100%")</f>
        <v/>
      </c>
      <c r="BI229" s="593" t="str">
        <f t="shared" ref="BI229:BI240" si="721">IF(BH213="","",  IF(BI213="","",  IF(BI213&gt;BH213,"+"&amp;ROUND((BI213/BH213-1)*100,0)&amp;"%",  IF(BI213&lt;BH213,ROUND((BI213/BH213-1)*100,0)&amp;"%",  ""))))</f>
        <v/>
      </c>
      <c r="BJ229" s="593" t="str">
        <f t="shared" si="713"/>
        <v/>
      </c>
      <c r="BK229" s="593" t="str">
        <f t="shared" si="713"/>
        <v/>
      </c>
      <c r="BL229" s="593" t="str">
        <f t="shared" si="713"/>
        <v/>
      </c>
      <c r="BM229" s="594" t="str">
        <f t="shared" ref="BM229:BM240" si="722">IF(BL213="","",  IF(BM213="","",  IF(BM213&gt;BL213,"+"&amp;ROUND((BM213/BL213-1)*100,0)&amp;"%",  IF(BM213&lt;BL213,ROUND((BM213/BL213-1)*100,0)&amp;"%",  ""))))</f>
        <v/>
      </c>
      <c r="BN229" s="492"/>
      <c r="BO229" s="492"/>
      <c r="BP229" s="492"/>
      <c r="BQ229" s="492"/>
      <c r="BR229" s="492"/>
      <c r="BS229" s="492"/>
      <c r="BT229" s="492"/>
    </row>
    <row r="230" spans="1:74">
      <c r="B230" s="492"/>
      <c r="N230" s="562"/>
      <c r="O230" s="1065"/>
      <c r="P230" s="555"/>
      <c r="Q230" s="582" t="s">
        <v>211</v>
      </c>
      <c r="R230" s="604" t="str">
        <f t="shared" ref="R230:R240" si="723">IF(R214="","","100%")</f>
        <v/>
      </c>
      <c r="S230" s="597" t="str">
        <f t="shared" ref="S230" si="724">IF(R214="","",  IF(S214="","",  IF(S214&gt;R214,"+"&amp;ROUND((S214/R214-1)*100,0)&amp;"%",  IF(S214&lt;R214,ROUND((S214/R214-1)*100,0)&amp;"%",  ""))))</f>
        <v/>
      </c>
      <c r="T230" s="597" t="str">
        <f t="shared" si="715"/>
        <v/>
      </c>
      <c r="U230" s="597" t="str">
        <f t="shared" si="709"/>
        <v/>
      </c>
      <c r="V230" s="597" t="str">
        <f t="shared" si="709"/>
        <v/>
      </c>
      <c r="W230" s="598" t="str">
        <f t="shared" si="709"/>
        <v/>
      </c>
      <c r="X230" s="604" t="str">
        <f t="shared" ref="X230:X240" si="725">IF(X214="","","100%")</f>
        <v/>
      </c>
      <c r="Y230" s="597" t="str">
        <f t="shared" si="716"/>
        <v/>
      </c>
      <c r="Z230" s="597" t="str">
        <f t="shared" si="716"/>
        <v/>
      </c>
      <c r="AA230" s="597" t="str">
        <f t="shared" si="710"/>
        <v/>
      </c>
      <c r="AB230" s="597" t="str">
        <f t="shared" si="710"/>
        <v/>
      </c>
      <c r="AC230" s="598" t="str">
        <f t="shared" si="710"/>
        <v/>
      </c>
      <c r="AD230" s="571"/>
      <c r="AG230" s="711"/>
      <c r="AH230" s="695" t="s">
        <v>211</v>
      </c>
      <c r="AI230" s="714"/>
      <c r="AJ230" s="604" t="str">
        <f t="shared" ref="AJ230:AJ240" si="726">IF(AJ214="","","100%")</f>
        <v/>
      </c>
      <c r="AK230" s="597" t="str">
        <f t="shared" si="717"/>
        <v/>
      </c>
      <c r="AL230" s="597" t="str">
        <f t="shared" si="711"/>
        <v/>
      </c>
      <c r="AM230" s="597" t="str">
        <f t="shared" si="711"/>
        <v/>
      </c>
      <c r="AN230" s="597" t="str">
        <f t="shared" si="711"/>
        <v/>
      </c>
      <c r="AO230" s="598" t="str">
        <f t="shared" si="718"/>
        <v/>
      </c>
      <c r="AP230" s="571"/>
      <c r="AS230" s="711"/>
      <c r="AT230" s="695" t="s">
        <v>211</v>
      </c>
      <c r="AU230" s="714"/>
      <c r="AV230" s="604" t="str">
        <f t="shared" ref="AV230:AV240" si="727">IF(AV214="","","100%")</f>
        <v/>
      </c>
      <c r="AW230" s="597" t="str">
        <f t="shared" si="719"/>
        <v/>
      </c>
      <c r="AX230" s="597" t="str">
        <f t="shared" si="712"/>
        <v/>
      </c>
      <c r="AY230" s="597" t="str">
        <f t="shared" si="712"/>
        <v/>
      </c>
      <c r="AZ230" s="597" t="str">
        <f t="shared" si="712"/>
        <v/>
      </c>
      <c r="BA230" s="598" t="str">
        <f t="shared" si="720"/>
        <v/>
      </c>
      <c r="BB230" s="571"/>
      <c r="BC230" s="4"/>
      <c r="BD230" s="4"/>
      <c r="BE230" s="711"/>
      <c r="BF230" s="695" t="s">
        <v>211</v>
      </c>
      <c r="BG230" s="714"/>
      <c r="BH230" s="604" t="str">
        <f t="shared" ref="BH230:BH240" si="728">IF(BH214="","","100%")</f>
        <v/>
      </c>
      <c r="BI230" s="597" t="str">
        <f t="shared" si="721"/>
        <v/>
      </c>
      <c r="BJ230" s="597" t="str">
        <f t="shared" si="713"/>
        <v/>
      </c>
      <c r="BK230" s="597" t="str">
        <f t="shared" si="713"/>
        <v/>
      </c>
      <c r="BL230" s="597" t="str">
        <f t="shared" si="713"/>
        <v/>
      </c>
      <c r="BM230" s="598" t="str">
        <f t="shared" si="722"/>
        <v/>
      </c>
      <c r="BN230" s="492"/>
      <c r="BO230" s="492"/>
      <c r="BP230" s="492"/>
      <c r="BQ230" s="492"/>
      <c r="BR230" s="492"/>
      <c r="BS230" s="492"/>
      <c r="BT230" s="492"/>
    </row>
    <row r="231" spans="1:74">
      <c r="B231" s="492"/>
      <c r="N231" s="562"/>
      <c r="O231" s="1065"/>
      <c r="P231" s="555"/>
      <c r="Q231" s="584" t="s">
        <v>212</v>
      </c>
      <c r="R231" s="604" t="str">
        <f t="shared" si="723"/>
        <v>100%</v>
      </c>
      <c r="S231" s="597" t="str">
        <f t="shared" ref="S231" si="729">IF(R215="","",  IF(S215="","",  IF(S215&gt;R215,"+"&amp;ROUND((S215/R215-1)*100,0)&amp;"%",  IF(S215&lt;R215,ROUND((S215/R215-1)*100,0)&amp;"%",  ""))))</f>
        <v>+72%</v>
      </c>
      <c r="T231" s="597" t="str">
        <f t="shared" si="715"/>
        <v>-23%</v>
      </c>
      <c r="U231" s="597" t="str">
        <f t="shared" si="709"/>
        <v/>
      </c>
      <c r="V231" s="597" t="str">
        <f t="shared" si="709"/>
        <v/>
      </c>
      <c r="W231" s="598" t="str">
        <f t="shared" si="709"/>
        <v/>
      </c>
      <c r="X231" s="604" t="str">
        <f t="shared" si="725"/>
        <v>100%</v>
      </c>
      <c r="Y231" s="597" t="str">
        <f t="shared" si="716"/>
        <v>+74%</v>
      </c>
      <c r="Z231" s="597" t="str">
        <f t="shared" si="716"/>
        <v>-56%</v>
      </c>
      <c r="AA231" s="597" t="str">
        <f t="shared" si="710"/>
        <v/>
      </c>
      <c r="AB231" s="597" t="str">
        <f t="shared" si="710"/>
        <v/>
      </c>
      <c r="AC231" s="598" t="str">
        <f t="shared" si="710"/>
        <v/>
      </c>
      <c r="AD231" s="571"/>
      <c r="AG231" s="712"/>
      <c r="AH231" s="696" t="s">
        <v>212</v>
      </c>
      <c r="AI231" s="715"/>
      <c r="AJ231" s="604" t="str">
        <f t="shared" si="726"/>
        <v>100%</v>
      </c>
      <c r="AK231" s="597" t="str">
        <f t="shared" si="717"/>
        <v>+76%</v>
      </c>
      <c r="AL231" s="597" t="str">
        <f t="shared" si="711"/>
        <v>-4%</v>
      </c>
      <c r="AM231" s="597" t="str">
        <f t="shared" si="711"/>
        <v/>
      </c>
      <c r="AN231" s="597" t="str">
        <f t="shared" si="711"/>
        <v/>
      </c>
      <c r="AO231" s="598" t="str">
        <f t="shared" si="718"/>
        <v/>
      </c>
      <c r="AP231" s="571"/>
      <c r="AS231" s="712"/>
      <c r="AT231" s="696" t="s">
        <v>212</v>
      </c>
      <c r="AU231" s="715"/>
      <c r="AV231" s="604" t="str">
        <f t="shared" si="727"/>
        <v>100%</v>
      </c>
      <c r="AW231" s="597" t="str">
        <f t="shared" si="719"/>
        <v>+64%</v>
      </c>
      <c r="AX231" s="597" t="str">
        <f t="shared" si="712"/>
        <v>-34%</v>
      </c>
      <c r="AY231" s="597" t="str">
        <f t="shared" si="712"/>
        <v/>
      </c>
      <c r="AZ231" s="597" t="str">
        <f t="shared" si="712"/>
        <v/>
      </c>
      <c r="BA231" s="598" t="str">
        <f t="shared" si="720"/>
        <v/>
      </c>
      <c r="BB231" s="571"/>
      <c r="BC231" s="4"/>
      <c r="BD231" s="4"/>
      <c r="BE231" s="712"/>
      <c r="BF231" s="696" t="s">
        <v>212</v>
      </c>
      <c r="BG231" s="715"/>
      <c r="BH231" s="604" t="str">
        <f t="shared" si="728"/>
        <v/>
      </c>
      <c r="BI231" s="597" t="str">
        <f t="shared" si="721"/>
        <v/>
      </c>
      <c r="BJ231" s="597" t="str">
        <f t="shared" si="713"/>
        <v/>
      </c>
      <c r="BK231" s="597" t="str">
        <f t="shared" si="713"/>
        <v/>
      </c>
      <c r="BL231" s="597" t="str">
        <f t="shared" si="713"/>
        <v/>
      </c>
      <c r="BM231" s="598" t="str">
        <f t="shared" si="722"/>
        <v/>
      </c>
      <c r="BN231" s="492"/>
      <c r="BO231" s="492"/>
      <c r="BP231" s="492"/>
      <c r="BQ231" s="492"/>
      <c r="BR231" s="492"/>
      <c r="BS231" s="492"/>
      <c r="BT231" s="492"/>
    </row>
    <row r="232" spans="1:74">
      <c r="B232" s="492"/>
      <c r="N232" s="562"/>
      <c r="O232" s="1065"/>
      <c r="P232" s="555"/>
      <c r="Q232" s="582" t="s">
        <v>0</v>
      </c>
      <c r="R232" s="604" t="str">
        <f t="shared" si="723"/>
        <v>100%</v>
      </c>
      <c r="S232" s="597" t="str">
        <f t="shared" ref="S232" si="730">IF(R216="","",  IF(S216="","",  IF(S216&gt;R216,"+"&amp;ROUND((S216/R216-1)*100,0)&amp;"%",  IF(S216&lt;R216,ROUND((S216/R216-1)*100,0)&amp;"%",  ""))))</f>
        <v>+25%</v>
      </c>
      <c r="T232" s="597" t="str">
        <f t="shared" si="715"/>
        <v>-15%</v>
      </c>
      <c r="U232" s="597" t="str">
        <f t="shared" si="709"/>
        <v>+110%</v>
      </c>
      <c r="V232" s="597" t="str">
        <f t="shared" si="709"/>
        <v/>
      </c>
      <c r="W232" s="598" t="str">
        <f t="shared" si="709"/>
        <v/>
      </c>
      <c r="X232" s="604" t="str">
        <f t="shared" si="725"/>
        <v>100%</v>
      </c>
      <c r="Y232" s="597" t="str">
        <f t="shared" si="716"/>
        <v>+35%</v>
      </c>
      <c r="Z232" s="597" t="str">
        <f t="shared" si="716"/>
        <v>-14%</v>
      </c>
      <c r="AA232" s="597" t="str">
        <f t="shared" si="710"/>
        <v>+97%</v>
      </c>
      <c r="AB232" s="597" t="str">
        <f t="shared" si="710"/>
        <v/>
      </c>
      <c r="AC232" s="598" t="str">
        <f t="shared" si="710"/>
        <v/>
      </c>
      <c r="AD232" s="571"/>
      <c r="AG232" s="711"/>
      <c r="AH232" s="695" t="s">
        <v>0</v>
      </c>
      <c r="AI232" s="714"/>
      <c r="AJ232" s="604" t="str">
        <f t="shared" si="726"/>
        <v>100%</v>
      </c>
      <c r="AK232" s="597" t="str">
        <f t="shared" si="717"/>
        <v>+109%</v>
      </c>
      <c r="AL232" s="597" t="str">
        <f t="shared" si="711"/>
        <v>-11%</v>
      </c>
      <c r="AM232" s="597" t="str">
        <f t="shared" si="711"/>
        <v>+128%</v>
      </c>
      <c r="AN232" s="597" t="str">
        <f t="shared" si="711"/>
        <v/>
      </c>
      <c r="AO232" s="598" t="str">
        <f t="shared" si="718"/>
        <v/>
      </c>
      <c r="AP232" s="571"/>
      <c r="AS232" s="711"/>
      <c r="AT232" s="695" t="s">
        <v>0</v>
      </c>
      <c r="AU232" s="714"/>
      <c r="AV232" s="604" t="str">
        <f t="shared" si="727"/>
        <v>100%</v>
      </c>
      <c r="AW232" s="597" t="str">
        <f t="shared" si="719"/>
        <v>+142%</v>
      </c>
      <c r="AX232" s="597" t="str">
        <f t="shared" si="712"/>
        <v>-18%</v>
      </c>
      <c r="AY232" s="597" t="str">
        <f t="shared" si="712"/>
        <v>+208%</v>
      </c>
      <c r="AZ232" s="597" t="str">
        <f t="shared" si="712"/>
        <v/>
      </c>
      <c r="BA232" s="598" t="str">
        <f t="shared" si="720"/>
        <v/>
      </c>
      <c r="BB232" s="571"/>
      <c r="BC232" s="4"/>
      <c r="BD232" s="4"/>
      <c r="BE232" s="711"/>
      <c r="BF232" s="695" t="s">
        <v>0</v>
      </c>
      <c r="BG232" s="714"/>
      <c r="BH232" s="604" t="str">
        <f t="shared" si="728"/>
        <v>100%</v>
      </c>
      <c r="BI232" s="597" t="str">
        <f t="shared" si="721"/>
        <v>+124%</v>
      </c>
      <c r="BJ232" s="597" t="str">
        <f t="shared" si="713"/>
        <v>-5%</v>
      </c>
      <c r="BK232" s="597" t="str">
        <f t="shared" si="713"/>
        <v>+195%</v>
      </c>
      <c r="BL232" s="597" t="str">
        <f t="shared" si="713"/>
        <v/>
      </c>
      <c r="BM232" s="598" t="str">
        <f t="shared" si="722"/>
        <v/>
      </c>
      <c r="BN232" s="492"/>
      <c r="BO232" s="492"/>
      <c r="BP232" s="492"/>
      <c r="BQ232" s="492"/>
      <c r="BR232" s="492"/>
      <c r="BS232" s="492"/>
      <c r="BT232" s="492"/>
    </row>
    <row r="233" spans="1:74">
      <c r="B233" s="492"/>
      <c r="N233" s="562"/>
      <c r="O233" s="1065"/>
      <c r="P233" s="555"/>
      <c r="Q233" s="582" t="s">
        <v>4</v>
      </c>
      <c r="R233" s="604" t="str">
        <f t="shared" si="723"/>
        <v>100%</v>
      </c>
      <c r="S233" s="597" t="str">
        <f t="shared" ref="S233" si="731">IF(R217="","",  IF(S217="","",  IF(S217&gt;R217,"+"&amp;ROUND((S217/R217-1)*100,0)&amp;"%",  IF(S217&lt;R217,ROUND((S217/R217-1)*100,0)&amp;"%",  ""))))</f>
        <v>-31%</v>
      </c>
      <c r="T233" s="597" t="str">
        <f t="shared" si="715"/>
        <v>+70%</v>
      </c>
      <c r="U233" s="597" t="str">
        <f t="shared" si="709"/>
        <v/>
      </c>
      <c r="V233" s="597" t="str">
        <f t="shared" si="709"/>
        <v/>
      </c>
      <c r="W233" s="598" t="str">
        <f t="shared" si="709"/>
        <v/>
      </c>
      <c r="X233" s="604" t="str">
        <f t="shared" si="725"/>
        <v>100%</v>
      </c>
      <c r="Y233" s="597" t="str">
        <f t="shared" si="716"/>
        <v>+22%</v>
      </c>
      <c r="Z233" s="597" t="str">
        <f t="shared" si="716"/>
        <v>+78%</v>
      </c>
      <c r="AA233" s="597" t="str">
        <f t="shared" si="710"/>
        <v/>
      </c>
      <c r="AB233" s="597" t="str">
        <f t="shared" si="710"/>
        <v/>
      </c>
      <c r="AC233" s="598" t="str">
        <f t="shared" si="710"/>
        <v/>
      </c>
      <c r="AD233" s="571"/>
      <c r="AG233" s="711"/>
      <c r="AH233" s="695" t="s">
        <v>4</v>
      </c>
      <c r="AI233" s="714"/>
      <c r="AJ233" s="604" t="str">
        <f t="shared" si="726"/>
        <v>100%</v>
      </c>
      <c r="AK233" s="597" t="str">
        <f t="shared" si="717"/>
        <v>-38%</v>
      </c>
      <c r="AL233" s="597" t="str">
        <f t="shared" si="711"/>
        <v>+98%</v>
      </c>
      <c r="AM233" s="597" t="str">
        <f t="shared" si="711"/>
        <v/>
      </c>
      <c r="AN233" s="597" t="str">
        <f t="shared" si="711"/>
        <v/>
      </c>
      <c r="AO233" s="598" t="str">
        <f t="shared" si="718"/>
        <v/>
      </c>
      <c r="AP233" s="571"/>
      <c r="AS233" s="711"/>
      <c r="AT233" s="695" t="s">
        <v>4</v>
      </c>
      <c r="AU233" s="714"/>
      <c r="AV233" s="604" t="str">
        <f t="shared" si="727"/>
        <v>100%</v>
      </c>
      <c r="AW233" s="597" t="str">
        <f t="shared" si="719"/>
        <v>-32%</v>
      </c>
      <c r="AX233" s="597" t="str">
        <f t="shared" si="712"/>
        <v>+57%</v>
      </c>
      <c r="AY233" s="597" t="str">
        <f t="shared" si="712"/>
        <v/>
      </c>
      <c r="AZ233" s="597" t="str">
        <f t="shared" si="712"/>
        <v/>
      </c>
      <c r="BA233" s="598" t="str">
        <f t="shared" si="720"/>
        <v/>
      </c>
      <c r="BB233" s="571"/>
      <c r="BC233" s="4"/>
      <c r="BD233" s="4"/>
      <c r="BE233" s="711"/>
      <c r="BF233" s="695" t="s">
        <v>4</v>
      </c>
      <c r="BG233" s="714"/>
      <c r="BH233" s="604" t="str">
        <f t="shared" si="728"/>
        <v/>
      </c>
      <c r="BI233" s="597" t="str">
        <f t="shared" si="721"/>
        <v/>
      </c>
      <c r="BJ233" s="597" t="str">
        <f t="shared" si="713"/>
        <v/>
      </c>
      <c r="BK233" s="597" t="str">
        <f t="shared" si="713"/>
        <v/>
      </c>
      <c r="BL233" s="597" t="str">
        <f t="shared" si="713"/>
        <v/>
      </c>
      <c r="BM233" s="598" t="str">
        <f t="shared" si="722"/>
        <v/>
      </c>
      <c r="BN233" s="492"/>
      <c r="BO233" s="492"/>
      <c r="BP233" s="492"/>
      <c r="BQ233" s="492"/>
      <c r="BR233" s="492"/>
      <c r="BS233" s="492"/>
      <c r="BT233" s="492"/>
    </row>
    <row r="234" spans="1:74">
      <c r="B234" s="492"/>
      <c r="N234" s="562"/>
      <c r="O234" s="1065"/>
      <c r="P234" s="555"/>
      <c r="Q234" s="582" t="s">
        <v>167</v>
      </c>
      <c r="R234" s="604" t="str">
        <f t="shared" si="723"/>
        <v/>
      </c>
      <c r="S234" s="597" t="str">
        <f t="shared" ref="S234" si="732">IF(R218="","",  IF(S218="","",  IF(S218&gt;R218,"+"&amp;ROUND((S218/R218-1)*100,0)&amp;"%",  IF(S218&lt;R218,ROUND((S218/R218-1)*100,0)&amp;"%",  ""))))</f>
        <v/>
      </c>
      <c r="T234" s="597" t="str">
        <f t="shared" si="715"/>
        <v>+210%</v>
      </c>
      <c r="U234" s="597" t="str">
        <f t="shared" si="709"/>
        <v/>
      </c>
      <c r="V234" s="597" t="str">
        <f t="shared" si="709"/>
        <v/>
      </c>
      <c r="W234" s="598" t="str">
        <f t="shared" si="709"/>
        <v/>
      </c>
      <c r="X234" s="604" t="str">
        <f t="shared" si="725"/>
        <v/>
      </c>
      <c r="Y234" s="597" t="str">
        <f t="shared" si="716"/>
        <v/>
      </c>
      <c r="Z234" s="597" t="str">
        <f t="shared" si="716"/>
        <v>+50%</v>
      </c>
      <c r="AA234" s="597" t="str">
        <f t="shared" si="710"/>
        <v/>
      </c>
      <c r="AB234" s="597" t="str">
        <f t="shared" si="710"/>
        <v/>
      </c>
      <c r="AC234" s="598" t="str">
        <f t="shared" si="710"/>
        <v/>
      </c>
      <c r="AD234" s="571"/>
      <c r="AG234" s="711"/>
      <c r="AH234" s="695" t="s">
        <v>167</v>
      </c>
      <c r="AI234" s="714"/>
      <c r="AJ234" s="604" t="str">
        <f t="shared" si="726"/>
        <v/>
      </c>
      <c r="AK234" s="597" t="str">
        <f t="shared" si="717"/>
        <v/>
      </c>
      <c r="AL234" s="597" t="str">
        <f t="shared" si="711"/>
        <v>+375%</v>
      </c>
      <c r="AM234" s="597" t="str">
        <f t="shared" si="711"/>
        <v/>
      </c>
      <c r="AN234" s="597" t="str">
        <f t="shared" si="711"/>
        <v/>
      </c>
      <c r="AO234" s="598" t="str">
        <f t="shared" si="718"/>
        <v/>
      </c>
      <c r="AP234" s="571"/>
      <c r="AS234" s="711"/>
      <c r="AT234" s="695" t="s">
        <v>167</v>
      </c>
      <c r="AU234" s="714"/>
      <c r="AV234" s="604" t="str">
        <f t="shared" si="727"/>
        <v/>
      </c>
      <c r="AW234" s="597" t="str">
        <f t="shared" si="719"/>
        <v/>
      </c>
      <c r="AX234" s="597" t="str">
        <f t="shared" si="712"/>
        <v>+250%</v>
      </c>
      <c r="AY234" s="597" t="str">
        <f t="shared" si="712"/>
        <v/>
      </c>
      <c r="AZ234" s="597" t="str">
        <f t="shared" si="712"/>
        <v/>
      </c>
      <c r="BA234" s="598" t="str">
        <f t="shared" si="720"/>
        <v/>
      </c>
      <c r="BB234" s="571"/>
      <c r="BC234" s="4"/>
      <c r="BD234" s="4"/>
      <c r="BE234" s="711"/>
      <c r="BF234" s="695" t="s">
        <v>167</v>
      </c>
      <c r="BG234" s="714"/>
      <c r="BH234" s="604" t="str">
        <f t="shared" si="728"/>
        <v/>
      </c>
      <c r="BI234" s="597" t="str">
        <f t="shared" si="721"/>
        <v/>
      </c>
      <c r="BJ234" s="597" t="str">
        <f t="shared" si="713"/>
        <v/>
      </c>
      <c r="BK234" s="597" t="str">
        <f t="shared" si="713"/>
        <v/>
      </c>
      <c r="BL234" s="597" t="str">
        <f t="shared" si="713"/>
        <v/>
      </c>
      <c r="BM234" s="598" t="str">
        <f t="shared" si="722"/>
        <v/>
      </c>
      <c r="BN234" s="492"/>
      <c r="BO234" s="492"/>
      <c r="BP234" s="492"/>
      <c r="BQ234" s="492"/>
      <c r="BR234" s="492"/>
      <c r="BS234" s="492"/>
      <c r="BT234" s="492"/>
    </row>
    <row r="235" spans="1:74">
      <c r="B235" s="492"/>
      <c r="N235" s="562"/>
      <c r="O235" s="1065"/>
      <c r="P235" s="555"/>
      <c r="Q235" s="582" t="s">
        <v>1</v>
      </c>
      <c r="R235" s="604" t="str">
        <f t="shared" si="723"/>
        <v>100%</v>
      </c>
      <c r="S235" s="597" t="str">
        <f t="shared" ref="S235" si="733">IF(R219="","",  IF(S219="","",  IF(S219&gt;R219,"+"&amp;ROUND((S219/R219-1)*100,0)&amp;"%",  IF(S219&lt;R219,ROUND((S219/R219-1)*100,0)&amp;"%",  ""))))</f>
        <v>+53%</v>
      </c>
      <c r="T235" s="597" t="str">
        <f t="shared" si="715"/>
        <v>-33%</v>
      </c>
      <c r="U235" s="597" t="str">
        <f t="shared" si="709"/>
        <v/>
      </c>
      <c r="V235" s="597" t="str">
        <f t="shared" si="709"/>
        <v/>
      </c>
      <c r="W235" s="598" t="str">
        <f t="shared" si="709"/>
        <v/>
      </c>
      <c r="X235" s="604" t="str">
        <f t="shared" si="725"/>
        <v>100%</v>
      </c>
      <c r="Y235" s="597" t="str">
        <f t="shared" si="716"/>
        <v>+12%</v>
      </c>
      <c r="Z235" s="597" t="str">
        <f t="shared" si="716"/>
        <v>-9%</v>
      </c>
      <c r="AA235" s="597" t="str">
        <f t="shared" si="710"/>
        <v/>
      </c>
      <c r="AB235" s="597" t="str">
        <f t="shared" si="710"/>
        <v/>
      </c>
      <c r="AC235" s="598" t="str">
        <f t="shared" si="710"/>
        <v/>
      </c>
      <c r="AD235" s="571"/>
      <c r="AG235" s="711"/>
      <c r="AH235" s="695" t="s">
        <v>1</v>
      </c>
      <c r="AI235" s="714"/>
      <c r="AJ235" s="604" t="str">
        <f t="shared" si="726"/>
        <v>100%</v>
      </c>
      <c r="AK235" s="597" t="str">
        <f t="shared" si="717"/>
        <v>+67%</v>
      </c>
      <c r="AL235" s="597" t="str">
        <f t="shared" si="711"/>
        <v>-26%</v>
      </c>
      <c r="AM235" s="597" t="str">
        <f t="shared" si="711"/>
        <v/>
      </c>
      <c r="AN235" s="597" t="str">
        <f t="shared" si="711"/>
        <v/>
      </c>
      <c r="AO235" s="598" t="str">
        <f t="shared" si="718"/>
        <v/>
      </c>
      <c r="AP235" s="571"/>
      <c r="AS235" s="711"/>
      <c r="AT235" s="695" t="s">
        <v>1</v>
      </c>
      <c r="AU235" s="714"/>
      <c r="AV235" s="604" t="str">
        <f t="shared" si="727"/>
        <v>100%</v>
      </c>
      <c r="AW235" s="597" t="str">
        <f t="shared" si="719"/>
        <v>+57%</v>
      </c>
      <c r="AX235" s="597" t="str">
        <f t="shared" si="712"/>
        <v>-31%</v>
      </c>
      <c r="AY235" s="597" t="str">
        <f t="shared" si="712"/>
        <v/>
      </c>
      <c r="AZ235" s="597" t="str">
        <f t="shared" si="712"/>
        <v/>
      </c>
      <c r="BA235" s="598" t="str">
        <f t="shared" si="720"/>
        <v/>
      </c>
      <c r="BB235" s="571"/>
      <c r="BC235" s="4"/>
      <c r="BD235" s="4"/>
      <c r="BE235" s="711"/>
      <c r="BF235" s="695" t="s">
        <v>1</v>
      </c>
      <c r="BG235" s="714"/>
      <c r="BH235" s="604" t="str">
        <f t="shared" si="728"/>
        <v>100%</v>
      </c>
      <c r="BI235" s="597" t="str">
        <f t="shared" si="721"/>
        <v>+50%</v>
      </c>
      <c r="BJ235" s="597" t="str">
        <f t="shared" si="713"/>
        <v>-22%</v>
      </c>
      <c r="BK235" s="597" t="str">
        <f t="shared" si="713"/>
        <v/>
      </c>
      <c r="BL235" s="597" t="str">
        <f t="shared" si="713"/>
        <v/>
      </c>
      <c r="BM235" s="598" t="str">
        <f t="shared" si="722"/>
        <v/>
      </c>
      <c r="BN235" s="492"/>
      <c r="BO235" s="492"/>
      <c r="BP235" s="492"/>
      <c r="BQ235" s="492"/>
      <c r="BR235" s="492"/>
      <c r="BS235" s="492"/>
      <c r="BT235" s="492"/>
    </row>
    <row r="236" spans="1:74">
      <c r="B236" s="492"/>
      <c r="N236" s="562"/>
      <c r="O236" s="1065"/>
      <c r="P236" s="555"/>
      <c r="Q236" s="582" t="s">
        <v>45</v>
      </c>
      <c r="R236" s="604" t="str">
        <f t="shared" si="723"/>
        <v>100%</v>
      </c>
      <c r="S236" s="597" t="str">
        <f t="shared" ref="S236" si="734">IF(R220="","",  IF(S220="","",  IF(S220&gt;R220,"+"&amp;ROUND((S220/R220-1)*100,0)&amp;"%",  IF(S220&lt;R220,ROUND((S220/R220-1)*100,0)&amp;"%",  ""))))</f>
        <v>+10%</v>
      </c>
      <c r="T236" s="597" t="str">
        <f t="shared" si="715"/>
        <v>+41%</v>
      </c>
      <c r="U236" s="597" t="str">
        <f t="shared" si="709"/>
        <v/>
      </c>
      <c r="V236" s="597" t="str">
        <f t="shared" si="709"/>
        <v/>
      </c>
      <c r="W236" s="598" t="str">
        <f t="shared" si="709"/>
        <v/>
      </c>
      <c r="X236" s="604" t="str">
        <f t="shared" si="725"/>
        <v>100%</v>
      </c>
      <c r="Y236" s="597" t="str">
        <f t="shared" si="716"/>
        <v>+10%</v>
      </c>
      <c r="Z236" s="597" t="str">
        <f t="shared" si="716"/>
        <v>+6%</v>
      </c>
      <c r="AA236" s="597" t="str">
        <f t="shared" si="710"/>
        <v/>
      </c>
      <c r="AB236" s="597" t="str">
        <f t="shared" si="710"/>
        <v/>
      </c>
      <c r="AC236" s="598" t="str">
        <f t="shared" si="710"/>
        <v/>
      </c>
      <c r="AD236" s="571"/>
      <c r="AG236" s="711"/>
      <c r="AH236" s="695" t="s">
        <v>45</v>
      </c>
      <c r="AI236" s="714"/>
      <c r="AJ236" s="604" t="str">
        <f t="shared" si="726"/>
        <v>100%</v>
      </c>
      <c r="AK236" s="597" t="str">
        <f t="shared" si="717"/>
        <v>+37%</v>
      </c>
      <c r="AL236" s="597" t="str">
        <f t="shared" si="711"/>
        <v>+43%</v>
      </c>
      <c r="AM236" s="597" t="str">
        <f t="shared" si="711"/>
        <v/>
      </c>
      <c r="AN236" s="597" t="str">
        <f t="shared" si="711"/>
        <v/>
      </c>
      <c r="AO236" s="598" t="str">
        <f t="shared" si="718"/>
        <v/>
      </c>
      <c r="AP236" s="571"/>
      <c r="AS236" s="711"/>
      <c r="AT236" s="695" t="s">
        <v>45</v>
      </c>
      <c r="AU236" s="714"/>
      <c r="AV236" s="604" t="str">
        <f t="shared" si="727"/>
        <v>100%</v>
      </c>
      <c r="AW236" s="597" t="str">
        <f t="shared" si="719"/>
        <v>+16%</v>
      </c>
      <c r="AX236" s="597" t="str">
        <f t="shared" si="712"/>
        <v>+21%</v>
      </c>
      <c r="AY236" s="597" t="str">
        <f t="shared" si="712"/>
        <v/>
      </c>
      <c r="AZ236" s="597" t="str">
        <f t="shared" si="712"/>
        <v/>
      </c>
      <c r="BA236" s="598" t="str">
        <f t="shared" si="720"/>
        <v/>
      </c>
      <c r="BB236" s="571"/>
      <c r="BC236" s="4"/>
      <c r="BD236" s="4"/>
      <c r="BE236" s="711"/>
      <c r="BF236" s="695" t="s">
        <v>45</v>
      </c>
      <c r="BG236" s="714"/>
      <c r="BH236" s="604" t="str">
        <f t="shared" si="728"/>
        <v>100%</v>
      </c>
      <c r="BI236" s="597" t="str">
        <f t="shared" si="721"/>
        <v>+44%</v>
      </c>
      <c r="BJ236" s="597" t="str">
        <f t="shared" si="713"/>
        <v>+18%</v>
      </c>
      <c r="BK236" s="597" t="str">
        <f t="shared" si="713"/>
        <v/>
      </c>
      <c r="BL236" s="597" t="str">
        <f t="shared" si="713"/>
        <v/>
      </c>
      <c r="BM236" s="598" t="str">
        <f t="shared" si="722"/>
        <v/>
      </c>
      <c r="BN236" s="492"/>
      <c r="BO236" s="492"/>
      <c r="BP236" s="492"/>
      <c r="BQ236" s="492"/>
      <c r="BR236" s="492"/>
      <c r="BS236" s="492"/>
      <c r="BT236" s="492"/>
    </row>
    <row r="237" spans="1:74">
      <c r="B237" s="492"/>
      <c r="N237" s="562"/>
      <c r="O237" s="1065"/>
      <c r="P237" s="555"/>
      <c r="Q237" s="584" t="s">
        <v>214</v>
      </c>
      <c r="R237" s="604" t="str">
        <f t="shared" si="723"/>
        <v>100%</v>
      </c>
      <c r="S237" s="597" t="str">
        <f t="shared" ref="S237" si="735">IF(R221="","",  IF(S221="","",  IF(S221&gt;R221,"+"&amp;ROUND((S221/R221-1)*100,0)&amp;"%",  IF(S221&lt;R221,ROUND((S221/R221-1)*100,0)&amp;"%",  ""))))</f>
        <v>-18%</v>
      </c>
      <c r="T237" s="597" t="str">
        <f t="shared" si="715"/>
        <v>+6%</v>
      </c>
      <c r="U237" s="597" t="str">
        <f t="shared" si="709"/>
        <v/>
      </c>
      <c r="V237" s="597" t="str">
        <f t="shared" si="709"/>
        <v/>
      </c>
      <c r="W237" s="598" t="str">
        <f t="shared" si="709"/>
        <v/>
      </c>
      <c r="X237" s="604" t="str">
        <f t="shared" si="725"/>
        <v>100%</v>
      </c>
      <c r="Y237" s="597" t="str">
        <f t="shared" si="716"/>
        <v>-17%</v>
      </c>
      <c r="Z237" s="597" t="str">
        <f t="shared" si="716"/>
        <v>+13%</v>
      </c>
      <c r="AA237" s="597" t="str">
        <f t="shared" si="710"/>
        <v/>
      </c>
      <c r="AB237" s="597" t="str">
        <f t="shared" si="710"/>
        <v/>
      </c>
      <c r="AC237" s="598" t="str">
        <f t="shared" si="710"/>
        <v/>
      </c>
      <c r="AD237" s="571"/>
      <c r="AG237" s="712"/>
      <c r="AH237" s="696" t="s">
        <v>214</v>
      </c>
      <c r="AI237" s="715"/>
      <c r="AJ237" s="604" t="str">
        <f t="shared" si="726"/>
        <v>100%</v>
      </c>
      <c r="AK237" s="597" t="str">
        <f t="shared" si="717"/>
        <v>-7%</v>
      </c>
      <c r="AL237" s="597" t="str">
        <f t="shared" si="711"/>
        <v>+14%</v>
      </c>
      <c r="AM237" s="597" t="str">
        <f t="shared" si="711"/>
        <v/>
      </c>
      <c r="AN237" s="597" t="str">
        <f t="shared" si="711"/>
        <v/>
      </c>
      <c r="AO237" s="598" t="str">
        <f t="shared" si="718"/>
        <v/>
      </c>
      <c r="AP237" s="571"/>
      <c r="AS237" s="712"/>
      <c r="AT237" s="696" t="s">
        <v>214</v>
      </c>
      <c r="AU237" s="715"/>
      <c r="AV237" s="604" t="str">
        <f t="shared" si="727"/>
        <v>100%</v>
      </c>
      <c r="AW237" s="597" t="str">
        <f t="shared" si="719"/>
        <v>-33%</v>
      </c>
      <c r="AX237" s="597" t="str">
        <f t="shared" si="712"/>
        <v>+16%</v>
      </c>
      <c r="AY237" s="597" t="str">
        <f t="shared" si="712"/>
        <v/>
      </c>
      <c r="AZ237" s="597" t="str">
        <f t="shared" si="712"/>
        <v/>
      </c>
      <c r="BA237" s="598" t="str">
        <f t="shared" si="720"/>
        <v/>
      </c>
      <c r="BB237" s="571"/>
      <c r="BC237" s="4"/>
      <c r="BD237" s="4"/>
      <c r="BE237" s="712"/>
      <c r="BF237" s="696" t="s">
        <v>214</v>
      </c>
      <c r="BG237" s="715"/>
      <c r="BH237" s="604" t="str">
        <f t="shared" si="728"/>
        <v/>
      </c>
      <c r="BI237" s="597" t="str">
        <f t="shared" si="721"/>
        <v/>
      </c>
      <c r="BJ237" s="597" t="str">
        <f t="shared" si="713"/>
        <v>+22%</v>
      </c>
      <c r="BK237" s="597" t="str">
        <f t="shared" si="713"/>
        <v/>
      </c>
      <c r="BL237" s="597" t="str">
        <f t="shared" si="713"/>
        <v/>
      </c>
      <c r="BM237" s="598" t="str">
        <f t="shared" si="722"/>
        <v/>
      </c>
      <c r="BN237" s="492"/>
      <c r="BO237" s="492"/>
      <c r="BP237" s="492"/>
      <c r="BQ237" s="492"/>
      <c r="BR237" s="492"/>
      <c r="BS237" s="492"/>
      <c r="BT237" s="492"/>
    </row>
    <row r="238" spans="1:74">
      <c r="B238" s="492"/>
      <c r="N238" s="562"/>
      <c r="O238" s="1065"/>
      <c r="P238" s="555"/>
      <c r="Q238" s="584" t="s">
        <v>213</v>
      </c>
      <c r="R238" s="604" t="str">
        <f t="shared" si="723"/>
        <v>100%</v>
      </c>
      <c r="S238" s="597" t="str">
        <f t="shared" ref="S238" si="736">IF(R222="","",  IF(S222="","",  IF(S222&gt;R222,"+"&amp;ROUND((S222/R222-1)*100,0)&amp;"%",  IF(S222&lt;R222,ROUND((S222/R222-1)*100,0)&amp;"%",  ""))))</f>
        <v>+32%</v>
      </c>
      <c r="T238" s="597" t="str">
        <f t="shared" si="715"/>
        <v>-16%</v>
      </c>
      <c r="U238" s="597" t="str">
        <f t="shared" si="709"/>
        <v/>
      </c>
      <c r="V238" s="597" t="str">
        <f t="shared" si="709"/>
        <v/>
      </c>
      <c r="W238" s="598" t="str">
        <f t="shared" si="709"/>
        <v/>
      </c>
      <c r="X238" s="604" t="str">
        <f t="shared" si="725"/>
        <v>100%</v>
      </c>
      <c r="Y238" s="597" t="str">
        <f t="shared" si="716"/>
        <v>+133%</v>
      </c>
      <c r="Z238" s="597" t="str">
        <f t="shared" si="716"/>
        <v>-25%</v>
      </c>
      <c r="AA238" s="597" t="str">
        <f t="shared" si="710"/>
        <v/>
      </c>
      <c r="AB238" s="597" t="str">
        <f t="shared" si="710"/>
        <v/>
      </c>
      <c r="AC238" s="598" t="str">
        <f t="shared" si="710"/>
        <v/>
      </c>
      <c r="AD238" s="571"/>
      <c r="AG238" s="712"/>
      <c r="AH238" s="696" t="s">
        <v>213</v>
      </c>
      <c r="AI238" s="715"/>
      <c r="AJ238" s="604" t="str">
        <f t="shared" si="726"/>
        <v>100%</v>
      </c>
      <c r="AK238" s="597" t="str">
        <f t="shared" si="717"/>
        <v>+26%</v>
      </c>
      <c r="AL238" s="597" t="str">
        <f t="shared" si="711"/>
        <v>-17%</v>
      </c>
      <c r="AM238" s="597" t="str">
        <f t="shared" si="711"/>
        <v/>
      </c>
      <c r="AN238" s="597" t="str">
        <f t="shared" si="711"/>
        <v/>
      </c>
      <c r="AO238" s="598" t="str">
        <f t="shared" si="718"/>
        <v/>
      </c>
      <c r="AP238" s="571"/>
      <c r="AS238" s="712"/>
      <c r="AT238" s="696" t="s">
        <v>213</v>
      </c>
      <c r="AU238" s="715"/>
      <c r="AV238" s="604" t="str">
        <f t="shared" si="727"/>
        <v>100%</v>
      </c>
      <c r="AW238" s="597" t="str">
        <f t="shared" si="719"/>
        <v>+14%</v>
      </c>
      <c r="AX238" s="597" t="str">
        <f t="shared" si="712"/>
        <v>-13%</v>
      </c>
      <c r="AY238" s="597" t="str">
        <f t="shared" si="712"/>
        <v/>
      </c>
      <c r="AZ238" s="597" t="str">
        <f t="shared" si="712"/>
        <v/>
      </c>
      <c r="BA238" s="598" t="str">
        <f t="shared" si="720"/>
        <v/>
      </c>
      <c r="BB238" s="571"/>
      <c r="BC238" s="4"/>
      <c r="BD238" s="4"/>
      <c r="BE238" s="712"/>
      <c r="BF238" s="696" t="s">
        <v>213</v>
      </c>
      <c r="BG238" s="715"/>
      <c r="BH238" s="604" t="str">
        <f t="shared" si="728"/>
        <v/>
      </c>
      <c r="BI238" s="597" t="str">
        <f t="shared" si="721"/>
        <v/>
      </c>
      <c r="BJ238" s="597" t="str">
        <f t="shared" si="713"/>
        <v>-46%</v>
      </c>
      <c r="BK238" s="597" t="str">
        <f t="shared" si="713"/>
        <v/>
      </c>
      <c r="BL238" s="597" t="str">
        <f t="shared" si="713"/>
        <v/>
      </c>
      <c r="BM238" s="598" t="str">
        <f t="shared" si="722"/>
        <v/>
      </c>
      <c r="BN238" s="492"/>
      <c r="BO238" s="492"/>
      <c r="BP238" s="492"/>
      <c r="BQ238" s="492"/>
      <c r="BR238" s="492"/>
      <c r="BS238" s="492"/>
      <c r="BT238" s="492"/>
    </row>
    <row r="239" spans="1:74" ht="15.75" thickBot="1">
      <c r="B239" s="492"/>
      <c r="N239" s="562"/>
      <c r="O239" s="1065"/>
      <c r="P239" s="555"/>
      <c r="Q239" s="585" t="s">
        <v>3</v>
      </c>
      <c r="R239" s="605" t="str">
        <f t="shared" si="723"/>
        <v>100%</v>
      </c>
      <c r="S239" s="599" t="str">
        <f t="shared" ref="S239" si="737">IF(R223="","",  IF(S223="","",  IF(S223&gt;R223,"+"&amp;ROUND((S223/R223-1)*100,0)&amp;"%",  IF(S223&lt;R223,ROUND((S223/R223-1)*100,0)&amp;"%",  ""))))</f>
        <v>+42%</v>
      </c>
      <c r="T239" s="599" t="str">
        <f t="shared" si="715"/>
        <v>+7%</v>
      </c>
      <c r="U239" s="599" t="str">
        <f t="shared" si="709"/>
        <v>+44%</v>
      </c>
      <c r="V239" s="599" t="str">
        <f t="shared" si="709"/>
        <v/>
      </c>
      <c r="W239" s="600" t="str">
        <f t="shared" si="709"/>
        <v/>
      </c>
      <c r="X239" s="605" t="str">
        <f t="shared" si="725"/>
        <v>100%</v>
      </c>
      <c r="Y239" s="599" t="str">
        <f t="shared" si="716"/>
        <v>+42%</v>
      </c>
      <c r="Z239" s="599" t="str">
        <f t="shared" si="716"/>
        <v>+7%</v>
      </c>
      <c r="AA239" s="599" t="str">
        <f t="shared" si="710"/>
        <v>+44%</v>
      </c>
      <c r="AB239" s="599" t="str">
        <f t="shared" si="710"/>
        <v/>
      </c>
      <c r="AC239" s="600" t="str">
        <f t="shared" si="710"/>
        <v/>
      </c>
      <c r="AD239" s="571"/>
      <c r="AG239" s="711"/>
      <c r="AH239" s="697" t="s">
        <v>3</v>
      </c>
      <c r="AI239" s="716"/>
      <c r="AJ239" s="605" t="str">
        <f t="shared" si="726"/>
        <v>100%</v>
      </c>
      <c r="AK239" s="599" t="str">
        <f t="shared" si="717"/>
        <v>+331%</v>
      </c>
      <c r="AL239" s="599" t="str">
        <f t="shared" si="711"/>
        <v>+20%</v>
      </c>
      <c r="AM239" s="599" t="str">
        <f t="shared" si="711"/>
        <v>+49%</v>
      </c>
      <c r="AN239" s="599" t="str">
        <f t="shared" si="711"/>
        <v/>
      </c>
      <c r="AO239" s="600" t="str">
        <f t="shared" si="718"/>
        <v/>
      </c>
      <c r="AP239" s="571"/>
      <c r="AS239" s="711"/>
      <c r="AT239" s="697" t="s">
        <v>3</v>
      </c>
      <c r="AU239" s="716"/>
      <c r="AV239" s="605" t="str">
        <f t="shared" si="727"/>
        <v>100%</v>
      </c>
      <c r="AW239" s="599" t="str">
        <f t="shared" si="719"/>
        <v>+45%</v>
      </c>
      <c r="AX239" s="599" t="str">
        <f t="shared" si="712"/>
        <v>+3%</v>
      </c>
      <c r="AY239" s="599" t="str">
        <f t="shared" si="712"/>
        <v>+45%</v>
      </c>
      <c r="AZ239" s="599" t="str">
        <f t="shared" si="712"/>
        <v/>
      </c>
      <c r="BA239" s="600" t="str">
        <f t="shared" si="720"/>
        <v/>
      </c>
      <c r="BB239" s="571"/>
      <c r="BC239" s="4"/>
      <c r="BD239" s="4"/>
      <c r="BE239" s="711"/>
      <c r="BF239" s="697" t="s">
        <v>3</v>
      </c>
      <c r="BG239" s="716"/>
      <c r="BH239" s="605" t="str">
        <f t="shared" si="728"/>
        <v>100%</v>
      </c>
      <c r="BI239" s="599" t="str">
        <f t="shared" si="721"/>
        <v>+5715%</v>
      </c>
      <c r="BJ239" s="599" t="str">
        <f t="shared" si="713"/>
        <v>+3%</v>
      </c>
      <c r="BK239" s="599" t="str">
        <f t="shared" si="713"/>
        <v>+35%</v>
      </c>
      <c r="BL239" s="599" t="str">
        <f t="shared" si="713"/>
        <v/>
      </c>
      <c r="BM239" s="600" t="str">
        <f t="shared" si="722"/>
        <v/>
      </c>
      <c r="BN239" s="492"/>
      <c r="BO239" s="492"/>
      <c r="BP239" s="492"/>
      <c r="BQ239" s="492"/>
      <c r="BR239" s="492"/>
      <c r="BS239" s="492"/>
      <c r="BT239" s="492"/>
    </row>
    <row r="240" spans="1:74" s="568" customFormat="1" ht="15.75" thickBot="1">
      <c r="A240" s="20"/>
      <c r="B240" s="561"/>
      <c r="C240" s="569"/>
      <c r="D240" s="569"/>
      <c r="E240" s="569"/>
      <c r="F240" s="569"/>
      <c r="G240" s="569"/>
      <c r="H240" s="569"/>
      <c r="I240" s="569"/>
      <c r="K240" s="569"/>
      <c r="M240" s="569"/>
      <c r="N240" s="562"/>
      <c r="O240" s="1065"/>
      <c r="P240" s="562"/>
      <c r="Q240" s="589" t="s">
        <v>66</v>
      </c>
      <c r="R240" s="606" t="str">
        <f t="shared" si="723"/>
        <v>100%</v>
      </c>
      <c r="S240" s="601" t="str">
        <f t="shared" ref="S240" si="738">IF(R224="","",  IF(S224="","",  IF(S224&gt;R224,"+"&amp;ROUND((S224/R224-1)*100,0)&amp;"%",  IF(S224&lt;R224,ROUND((S224/R224-1)*100,0)&amp;"%",  ""))))</f>
        <v>-15%</v>
      </c>
      <c r="T240" s="601" t="str">
        <f t="shared" si="715"/>
        <v>+7%</v>
      </c>
      <c r="U240" s="601" t="str">
        <f t="shared" si="709"/>
        <v>-55%</v>
      </c>
      <c r="V240" s="601" t="str">
        <f t="shared" si="709"/>
        <v/>
      </c>
      <c r="W240" s="602" t="str">
        <f t="shared" si="709"/>
        <v/>
      </c>
      <c r="X240" s="606" t="str">
        <f t="shared" si="725"/>
        <v>100%</v>
      </c>
      <c r="Y240" s="601" t="str">
        <f t="shared" si="716"/>
        <v>-6%</v>
      </c>
      <c r="Z240" s="601" t="str">
        <f t="shared" si="716"/>
        <v>+6%</v>
      </c>
      <c r="AA240" s="601" t="str">
        <f t="shared" si="710"/>
        <v>-48%</v>
      </c>
      <c r="AB240" s="601" t="str">
        <f t="shared" si="710"/>
        <v/>
      </c>
      <c r="AC240" s="602" t="str">
        <f t="shared" si="710"/>
        <v/>
      </c>
      <c r="AD240" s="572"/>
      <c r="AG240" s="520"/>
      <c r="AH240" s="698" t="s">
        <v>66</v>
      </c>
      <c r="AI240" s="717"/>
      <c r="AJ240" s="606" t="str">
        <f t="shared" si="726"/>
        <v>100%</v>
      </c>
      <c r="AK240" s="601" t="str">
        <f t="shared" si="717"/>
        <v>+20%</v>
      </c>
      <c r="AL240" s="601" t="str">
        <f t="shared" si="711"/>
        <v>+71%</v>
      </c>
      <c r="AM240" s="601" t="str">
        <f t="shared" si="711"/>
        <v>-52%</v>
      </c>
      <c r="AN240" s="601" t="str">
        <f t="shared" si="711"/>
        <v/>
      </c>
      <c r="AO240" s="602" t="str">
        <f t="shared" si="718"/>
        <v/>
      </c>
      <c r="AP240" s="572"/>
      <c r="AS240" s="520"/>
      <c r="AT240" s="698" t="s">
        <v>66</v>
      </c>
      <c r="AU240" s="717"/>
      <c r="AV240" s="606" t="str">
        <f t="shared" si="727"/>
        <v>100%</v>
      </c>
      <c r="AW240" s="601" t="str">
        <f t="shared" si="719"/>
        <v>-21%</v>
      </c>
      <c r="AX240" s="601" t="str">
        <f t="shared" si="712"/>
        <v>+59%</v>
      </c>
      <c r="AY240" s="601" t="str">
        <f t="shared" si="712"/>
        <v>-53%</v>
      </c>
      <c r="AZ240" s="601" t="str">
        <f t="shared" si="712"/>
        <v/>
      </c>
      <c r="BA240" s="602" t="str">
        <f t="shared" si="720"/>
        <v/>
      </c>
      <c r="BB240" s="572"/>
      <c r="BE240" s="520"/>
      <c r="BF240" s="698" t="s">
        <v>66</v>
      </c>
      <c r="BG240" s="717"/>
      <c r="BH240" s="606" t="str">
        <f t="shared" si="728"/>
        <v>100%</v>
      </c>
      <c r="BI240" s="601" t="str">
        <f t="shared" si="721"/>
        <v>+534%</v>
      </c>
      <c r="BJ240" s="601" t="str">
        <f t="shared" si="713"/>
        <v>+48%</v>
      </c>
      <c r="BK240" s="601" t="str">
        <f t="shared" si="713"/>
        <v>-36%</v>
      </c>
      <c r="BL240" s="601" t="str">
        <f t="shared" si="713"/>
        <v/>
      </c>
      <c r="BM240" s="602" t="str">
        <f t="shared" si="722"/>
        <v/>
      </c>
      <c r="BN240" s="561"/>
      <c r="BO240" s="561"/>
      <c r="BP240" s="561"/>
      <c r="BQ240" s="561"/>
      <c r="BR240" s="561"/>
      <c r="BS240" s="561"/>
      <c r="BT240" s="561"/>
      <c r="BU240" s="570"/>
      <c r="BV240" s="561"/>
    </row>
    <row r="241" spans="14:65" ht="15" customHeight="1">
      <c r="N241" s="562"/>
      <c r="AG241" s="710"/>
      <c r="AH241" s="710"/>
      <c r="AI241" s="710"/>
      <c r="AS241" s="710"/>
      <c r="AT241" s="710"/>
      <c r="AU241" s="710"/>
      <c r="BC241" s="4"/>
      <c r="BD241" s="4"/>
      <c r="BE241" s="710"/>
      <c r="BF241" s="710"/>
      <c r="BG241" s="710"/>
    </row>
    <row r="242" spans="14:65" ht="15" customHeight="1" thickBot="1">
      <c r="N242" s="562"/>
      <c r="AG242" s="710"/>
      <c r="AH242" s="710"/>
      <c r="AI242" s="710"/>
      <c r="AS242" s="710"/>
      <c r="AT242" s="710"/>
      <c r="AU242" s="710"/>
      <c r="BC242" s="4"/>
      <c r="BD242" s="4"/>
      <c r="BE242" s="710"/>
      <c r="BF242" s="710"/>
      <c r="BG242" s="710"/>
    </row>
    <row r="243" spans="14:65" ht="15.75" customHeight="1">
      <c r="N243" s="562"/>
      <c r="O243" s="1064" t="s">
        <v>223</v>
      </c>
      <c r="R243" s="607" t="s">
        <v>159</v>
      </c>
      <c r="S243" s="608"/>
      <c r="T243" s="609"/>
      <c r="U243" s="608"/>
      <c r="V243" s="608"/>
      <c r="W243" s="608"/>
      <c r="X243" s="607" t="s">
        <v>44</v>
      </c>
      <c r="Y243" s="608"/>
      <c r="Z243" s="609"/>
      <c r="AA243" s="718"/>
      <c r="AB243" s="718"/>
      <c r="AC243" s="719"/>
      <c r="AD243" s="518"/>
      <c r="AG243" s="518"/>
      <c r="AH243" s="518"/>
      <c r="AI243" s="518"/>
      <c r="AJ243" s="607" t="s">
        <v>209</v>
      </c>
      <c r="AK243" s="608"/>
      <c r="AL243" s="609"/>
      <c r="AM243" s="718"/>
      <c r="AN243" s="718"/>
      <c r="AO243" s="719"/>
      <c r="AP243" s="518"/>
      <c r="AS243" s="518"/>
      <c r="AT243" s="518"/>
      <c r="AU243" s="518"/>
      <c r="AV243" s="607" t="s">
        <v>208</v>
      </c>
      <c r="AW243" s="608"/>
      <c r="AX243" s="609"/>
      <c r="AY243" s="718"/>
      <c r="AZ243" s="718"/>
      <c r="BA243" s="719"/>
      <c r="BC243" s="4"/>
      <c r="BD243" s="4"/>
      <c r="BE243" s="518"/>
      <c r="BF243" s="518"/>
      <c r="BG243" s="518"/>
      <c r="BH243" s="607" t="s">
        <v>207</v>
      </c>
      <c r="BI243" s="608"/>
      <c r="BJ243" s="609"/>
      <c r="BK243" s="718"/>
      <c r="BL243" s="718"/>
      <c r="BM243" s="719"/>
    </row>
    <row r="244" spans="14:65" ht="15.75" customHeight="1" thickBot="1">
      <c r="N244" s="562"/>
      <c r="O244" s="1064"/>
      <c r="R244" s="573">
        <f>R$164</f>
        <v>2020</v>
      </c>
      <c r="S244" s="574">
        <f t="shared" ref="S244:AC244" si="739">S$164</f>
        <v>2021</v>
      </c>
      <c r="T244" s="574">
        <f t="shared" si="739"/>
        <v>2022</v>
      </c>
      <c r="U244" s="574">
        <f t="shared" si="739"/>
        <v>2023</v>
      </c>
      <c r="V244" s="574">
        <f t="shared" si="739"/>
        <v>2024</v>
      </c>
      <c r="W244" s="575">
        <f t="shared" si="739"/>
        <v>2025</v>
      </c>
      <c r="X244" s="573">
        <f t="shared" si="739"/>
        <v>2020</v>
      </c>
      <c r="Y244" s="574">
        <f t="shared" si="739"/>
        <v>2021</v>
      </c>
      <c r="Z244" s="574">
        <f t="shared" si="739"/>
        <v>2022</v>
      </c>
      <c r="AA244" s="574">
        <f t="shared" si="739"/>
        <v>2023</v>
      </c>
      <c r="AB244" s="574">
        <f t="shared" si="739"/>
        <v>2024</v>
      </c>
      <c r="AC244" s="575">
        <f t="shared" si="739"/>
        <v>2025</v>
      </c>
      <c r="AG244" s="710"/>
      <c r="AH244" s="691"/>
      <c r="AI244" s="541"/>
      <c r="AJ244" s="525">
        <f t="shared" ref="AJ244:AO244" si="740">AJ$164</f>
        <v>2020</v>
      </c>
      <c r="AK244" s="526">
        <f t="shared" si="740"/>
        <v>2021</v>
      </c>
      <c r="AL244" s="526">
        <f t="shared" si="740"/>
        <v>2022</v>
      </c>
      <c r="AM244" s="526">
        <f t="shared" si="740"/>
        <v>2023</v>
      </c>
      <c r="AN244" s="526">
        <f t="shared" si="740"/>
        <v>2024</v>
      </c>
      <c r="AO244" s="527">
        <f t="shared" si="740"/>
        <v>2025</v>
      </c>
      <c r="AS244" s="710"/>
      <c r="AT244" s="691"/>
      <c r="AU244" s="541"/>
      <c r="AV244" s="525">
        <f t="shared" ref="AV244:BA244" si="741">AV$164</f>
        <v>2020</v>
      </c>
      <c r="AW244" s="526">
        <f t="shared" si="741"/>
        <v>2021</v>
      </c>
      <c r="AX244" s="526">
        <f t="shared" si="741"/>
        <v>2022</v>
      </c>
      <c r="AY244" s="526">
        <f t="shared" si="741"/>
        <v>2023</v>
      </c>
      <c r="AZ244" s="526">
        <f t="shared" si="741"/>
        <v>2024</v>
      </c>
      <c r="BA244" s="527">
        <f t="shared" si="741"/>
        <v>2025</v>
      </c>
      <c r="BC244" s="4"/>
      <c r="BD244" s="4"/>
      <c r="BE244" s="710"/>
      <c r="BF244" s="691"/>
      <c r="BG244" s="541"/>
      <c r="BH244" s="525">
        <f t="shared" ref="BH244:BM244" si="742">BH$164</f>
        <v>2020</v>
      </c>
      <c r="BI244" s="526">
        <f t="shared" si="742"/>
        <v>2021</v>
      </c>
      <c r="BJ244" s="526">
        <f t="shared" si="742"/>
        <v>2022</v>
      </c>
      <c r="BK244" s="526">
        <f t="shared" si="742"/>
        <v>2023</v>
      </c>
      <c r="BL244" s="526">
        <f t="shared" si="742"/>
        <v>2024</v>
      </c>
      <c r="BM244" s="527">
        <f t="shared" si="742"/>
        <v>2025</v>
      </c>
    </row>
    <row r="245" spans="14:65" ht="15" customHeight="1" thickBot="1">
      <c r="N245" s="562"/>
      <c r="O245" s="1064"/>
      <c r="P245" s="620"/>
      <c r="Q245" s="617" t="s">
        <v>220</v>
      </c>
      <c r="R245" s="610">
        <f>R192</f>
        <v>5191</v>
      </c>
      <c r="S245" s="611">
        <f t="shared" ref="S245:T245" si="743">S192</f>
        <v>4581</v>
      </c>
      <c r="T245" s="611">
        <f t="shared" si="743"/>
        <v>7331</v>
      </c>
      <c r="U245" s="611">
        <f t="shared" ref="U245:W245" si="744">U192</f>
        <v>3265</v>
      </c>
      <c r="V245" s="611">
        <f t="shared" si="744"/>
        <v>0</v>
      </c>
      <c r="W245" s="612">
        <f t="shared" si="744"/>
        <v>0</v>
      </c>
      <c r="X245" s="610">
        <f>X192</f>
        <v>3593</v>
      </c>
      <c r="Y245" s="611">
        <f t="shared" ref="Y245:Z245" si="745">Y192</f>
        <v>3526</v>
      </c>
      <c r="Z245" s="611">
        <f t="shared" si="745"/>
        <v>5620</v>
      </c>
      <c r="AA245" s="611">
        <f t="shared" ref="AA245:AC245" si="746">AA192</f>
        <v>2949</v>
      </c>
      <c r="AB245" s="611">
        <f t="shared" si="746"/>
        <v>0</v>
      </c>
      <c r="AC245" s="612">
        <f t="shared" si="746"/>
        <v>0</v>
      </c>
      <c r="AG245" s="1043" t="s">
        <v>66</v>
      </c>
      <c r="AH245" s="699" t="s">
        <v>220</v>
      </c>
      <c r="AI245" s="617"/>
      <c r="AJ245" s="610">
        <f>AJ192</f>
        <v>1427.02</v>
      </c>
      <c r="AK245" s="611">
        <f t="shared" ref="AK245" si="747">AK192</f>
        <v>1783</v>
      </c>
      <c r="AL245" s="611">
        <f t="shared" ref="AL245:AN245" si="748">AL192</f>
        <v>3047</v>
      </c>
      <c r="AM245" s="611">
        <f t="shared" si="748"/>
        <v>1457</v>
      </c>
      <c r="AN245" s="611">
        <f t="shared" si="748"/>
        <v>0</v>
      </c>
      <c r="AO245" s="612">
        <f t="shared" ref="AO245" si="749">AO192</f>
        <v>0</v>
      </c>
      <c r="AS245" s="1043" t="s">
        <v>66</v>
      </c>
      <c r="AT245" s="699" t="s">
        <v>220</v>
      </c>
      <c r="AU245" s="617"/>
      <c r="AV245" s="610">
        <f>AV192</f>
        <v>2006.3300000000002</v>
      </c>
      <c r="AW245" s="611">
        <f t="shared" ref="AW245" si="750">AW192</f>
        <v>1662</v>
      </c>
      <c r="AX245" s="611">
        <f t="shared" ref="AX245:AZ245" si="751">AX192</f>
        <v>2644</v>
      </c>
      <c r="AY245" s="611">
        <f t="shared" si="751"/>
        <v>1254</v>
      </c>
      <c r="AZ245" s="611">
        <f t="shared" si="751"/>
        <v>0</v>
      </c>
      <c r="BA245" s="612">
        <f t="shared" ref="BA245" si="752">BA192</f>
        <v>0</v>
      </c>
      <c r="BC245" s="4"/>
      <c r="BD245" s="4"/>
      <c r="BE245" s="1043" t="s">
        <v>66</v>
      </c>
      <c r="BF245" s="699" t="s">
        <v>220</v>
      </c>
      <c r="BG245" s="617"/>
      <c r="BH245" s="610">
        <f>BH192</f>
        <v>108.86020000000001</v>
      </c>
      <c r="BI245" s="611">
        <f t="shared" ref="BI245" si="753">BI192</f>
        <v>720</v>
      </c>
      <c r="BJ245" s="611">
        <f t="shared" ref="BJ245:BL245" si="754">BJ192</f>
        <v>1066</v>
      </c>
      <c r="BK245" s="611">
        <f t="shared" si="754"/>
        <v>679</v>
      </c>
      <c r="BL245" s="611">
        <f t="shared" si="754"/>
        <v>0</v>
      </c>
      <c r="BM245" s="612">
        <f t="shared" ref="BM245" si="755">BM192</f>
        <v>0</v>
      </c>
    </row>
    <row r="246" spans="14:65" ht="15" customHeight="1" thickBot="1">
      <c r="N246" s="562"/>
      <c r="O246" s="1064"/>
      <c r="P246" s="620"/>
      <c r="Q246" s="616" t="s">
        <v>221</v>
      </c>
      <c r="R246" s="613" t="str">
        <f>R208</f>
        <v>100%</v>
      </c>
      <c r="S246" s="614" t="str">
        <f t="shared" ref="S246:T246" si="756">S208</f>
        <v>-12%</v>
      </c>
      <c r="T246" s="614" t="str">
        <f t="shared" si="756"/>
        <v>+60%</v>
      </c>
      <c r="U246" s="614" t="str">
        <f t="shared" ref="U246:W246" si="757">U208</f>
        <v>-55%</v>
      </c>
      <c r="V246" s="614" t="str">
        <f t="shared" si="757"/>
        <v/>
      </c>
      <c r="W246" s="615" t="str">
        <f t="shared" si="757"/>
        <v/>
      </c>
      <c r="X246" s="613">
        <f>X208</f>
        <v>1</v>
      </c>
      <c r="Y246" s="614" t="str">
        <f t="shared" ref="Y246:Z246" si="758">Y208</f>
        <v>-2%</v>
      </c>
      <c r="Z246" s="614" t="str">
        <f t="shared" si="758"/>
        <v>+59%</v>
      </c>
      <c r="AA246" s="614" t="str">
        <f t="shared" ref="AA246:AC246" si="759">AA208</f>
        <v>-48%</v>
      </c>
      <c r="AB246" s="614" t="str">
        <f t="shared" si="759"/>
        <v/>
      </c>
      <c r="AC246" s="615" t="str">
        <f t="shared" si="759"/>
        <v/>
      </c>
      <c r="AG246" s="1043"/>
      <c r="AH246" s="700" t="s">
        <v>221</v>
      </c>
      <c r="AI246" s="616"/>
      <c r="AJ246" s="613" t="str">
        <f>AJ208</f>
        <v>100%</v>
      </c>
      <c r="AK246" s="614" t="str">
        <f t="shared" ref="AK246" si="760">AK208</f>
        <v>+25%</v>
      </c>
      <c r="AL246" s="614" t="str">
        <f t="shared" ref="AL246:AN246" si="761">AL208</f>
        <v>+71%</v>
      </c>
      <c r="AM246" s="614" t="str">
        <f t="shared" si="761"/>
        <v>-52%</v>
      </c>
      <c r="AN246" s="614" t="str">
        <f t="shared" si="761"/>
        <v/>
      </c>
      <c r="AO246" s="615" t="str">
        <f t="shared" ref="AO246" si="762">AO208</f>
        <v/>
      </c>
      <c r="AS246" s="1043"/>
      <c r="AT246" s="700" t="s">
        <v>221</v>
      </c>
      <c r="AU246" s="616"/>
      <c r="AV246" s="613" t="str">
        <f>AV208</f>
        <v>100%</v>
      </c>
      <c r="AW246" s="614" t="str">
        <f t="shared" ref="AW246" si="763">AW208</f>
        <v>-17%</v>
      </c>
      <c r="AX246" s="614" t="str">
        <f t="shared" ref="AX246:AZ246" si="764">AX208</f>
        <v>+59%</v>
      </c>
      <c r="AY246" s="614" t="str">
        <f t="shared" si="764"/>
        <v>-53%</v>
      </c>
      <c r="AZ246" s="614" t="str">
        <f t="shared" si="764"/>
        <v/>
      </c>
      <c r="BA246" s="615" t="str">
        <f t="shared" ref="BA246" si="765">BA208</f>
        <v/>
      </c>
      <c r="BC246" s="4"/>
      <c r="BD246" s="4"/>
      <c r="BE246" s="1043"/>
      <c r="BF246" s="700" t="s">
        <v>221</v>
      </c>
      <c r="BG246" s="616"/>
      <c r="BH246" s="613" t="str">
        <f>BH208</f>
        <v>100%</v>
      </c>
      <c r="BI246" s="614" t="str">
        <f t="shared" ref="BI246" si="766">BI208</f>
        <v>+561%</v>
      </c>
      <c r="BJ246" s="614" t="str">
        <f t="shared" ref="BJ246:BL246" si="767">BJ208</f>
        <v>+48%</v>
      </c>
      <c r="BK246" s="614" t="str">
        <f t="shared" si="767"/>
        <v>-36%</v>
      </c>
      <c r="BL246" s="614" t="str">
        <f t="shared" si="767"/>
        <v/>
      </c>
      <c r="BM246" s="615" t="str">
        <f t="shared" ref="BM246" si="768">BM208</f>
        <v/>
      </c>
    </row>
    <row r="247" spans="14:65" ht="15" customHeight="1" thickBot="1">
      <c r="N247" s="562"/>
      <c r="O247" s="1064"/>
      <c r="P247" s="620"/>
      <c r="Q247" s="617" t="s">
        <v>220</v>
      </c>
      <c r="R247" s="610">
        <f>R224</f>
        <v>112.84782608695652</v>
      </c>
      <c r="S247" s="611">
        <f t="shared" ref="S247:T247" si="769">S224</f>
        <v>95.4375</v>
      </c>
      <c r="T247" s="611">
        <f t="shared" si="769"/>
        <v>101.81944444444444</v>
      </c>
      <c r="U247" s="611">
        <f t="shared" ref="U247:W247" si="770">U224</f>
        <v>45.347222222222221</v>
      </c>
      <c r="V247" s="611" t="str">
        <f t="shared" si="770"/>
        <v/>
      </c>
      <c r="W247" s="612" t="str">
        <f t="shared" si="770"/>
        <v/>
      </c>
      <c r="X247" s="610">
        <f>X224</f>
        <v>78.108695652173907</v>
      </c>
      <c r="Y247" s="611">
        <f t="shared" ref="Y247:Z247" si="771">Y224</f>
        <v>73.458333333333329</v>
      </c>
      <c r="Z247" s="611">
        <f t="shared" si="771"/>
        <v>78.055555555555557</v>
      </c>
      <c r="AA247" s="611">
        <f t="shared" ref="AA247:AC247" si="772">AA224</f>
        <v>40.958333333333336</v>
      </c>
      <c r="AB247" s="611" t="str">
        <f t="shared" si="772"/>
        <v/>
      </c>
      <c r="AC247" s="612" t="str">
        <f t="shared" si="772"/>
        <v/>
      </c>
      <c r="AG247" s="1043" t="s">
        <v>222</v>
      </c>
      <c r="AH247" s="699" t="s">
        <v>220</v>
      </c>
      <c r="AI247" s="617"/>
      <c r="AJ247" s="610">
        <f>AJ224</f>
        <v>31.022173913043478</v>
      </c>
      <c r="AK247" s="611">
        <f t="shared" ref="AK247" si="773">AK224</f>
        <v>37.145833333333336</v>
      </c>
      <c r="AL247" s="611">
        <f t="shared" ref="AL247:AN247" si="774">AL224</f>
        <v>63.479166666666664</v>
      </c>
      <c r="AM247" s="611">
        <f t="shared" si="774"/>
        <v>30.354166666666668</v>
      </c>
      <c r="AN247" s="611" t="str">
        <f t="shared" si="774"/>
        <v/>
      </c>
      <c r="AO247" s="612" t="str">
        <f t="shared" ref="AO247" si="775">AO224</f>
        <v/>
      </c>
      <c r="AS247" s="1043" t="s">
        <v>222</v>
      </c>
      <c r="AT247" s="699" t="s">
        <v>220</v>
      </c>
      <c r="AU247" s="617"/>
      <c r="AV247" s="610">
        <f>AV224</f>
        <v>43.615869565217395</v>
      </c>
      <c r="AW247" s="611">
        <f t="shared" ref="AW247" si="776">AW224</f>
        <v>34.625</v>
      </c>
      <c r="AX247" s="611">
        <f t="shared" ref="AX247:AZ247" si="777">AX224</f>
        <v>55.083333333333336</v>
      </c>
      <c r="AY247" s="611">
        <f t="shared" si="777"/>
        <v>26.125</v>
      </c>
      <c r="AZ247" s="611" t="str">
        <f t="shared" si="777"/>
        <v/>
      </c>
      <c r="BA247" s="612">
        <f t="shared" ref="BA247" si="778">BA224</f>
        <v>0</v>
      </c>
      <c r="BC247" s="4"/>
      <c r="BD247" s="4"/>
      <c r="BE247" s="1043" t="s">
        <v>222</v>
      </c>
      <c r="BF247" s="699" t="s">
        <v>220</v>
      </c>
      <c r="BG247" s="617"/>
      <c r="BH247" s="610">
        <f>BH224</f>
        <v>2.3665260869565219</v>
      </c>
      <c r="BI247" s="611">
        <f t="shared" ref="BI247" si="779">BI224</f>
        <v>15</v>
      </c>
      <c r="BJ247" s="611">
        <f t="shared" ref="BJ247:BL247" si="780">BJ224</f>
        <v>22.208333333333332</v>
      </c>
      <c r="BK247" s="611">
        <f t="shared" si="780"/>
        <v>14.145833333333334</v>
      </c>
      <c r="BL247" s="611" t="str">
        <f t="shared" si="780"/>
        <v/>
      </c>
      <c r="BM247" s="612" t="str">
        <f t="shared" ref="BM247" si="781">BM224</f>
        <v/>
      </c>
    </row>
    <row r="248" spans="14:65" ht="15" customHeight="1" thickBot="1">
      <c r="N248" s="562"/>
      <c r="O248" s="1064"/>
      <c r="P248" s="620"/>
      <c r="Q248" s="616" t="s">
        <v>221</v>
      </c>
      <c r="R248" s="613" t="str">
        <f>R240</f>
        <v>100%</v>
      </c>
      <c r="S248" s="614" t="str">
        <f t="shared" ref="S248:T248" si="782">S240</f>
        <v>-15%</v>
      </c>
      <c r="T248" s="614" t="str">
        <f t="shared" si="782"/>
        <v>+7%</v>
      </c>
      <c r="U248" s="614" t="str">
        <f t="shared" ref="U248:W248" si="783">U240</f>
        <v>-55%</v>
      </c>
      <c r="V248" s="614" t="str">
        <f t="shared" si="783"/>
        <v/>
      </c>
      <c r="W248" s="615" t="str">
        <f t="shared" si="783"/>
        <v/>
      </c>
      <c r="X248" s="613" t="str">
        <f>X240</f>
        <v>100%</v>
      </c>
      <c r="Y248" s="614" t="str">
        <f t="shared" ref="Y248:Z248" si="784">Y240</f>
        <v>-6%</v>
      </c>
      <c r="Z248" s="614" t="str">
        <f t="shared" si="784"/>
        <v>+6%</v>
      </c>
      <c r="AA248" s="614" t="str">
        <f t="shared" ref="AA248:AC248" si="785">AA240</f>
        <v>-48%</v>
      </c>
      <c r="AB248" s="614" t="str">
        <f t="shared" si="785"/>
        <v/>
      </c>
      <c r="AC248" s="615" t="str">
        <f t="shared" si="785"/>
        <v/>
      </c>
      <c r="AG248" s="1043"/>
      <c r="AH248" s="700" t="s">
        <v>221</v>
      </c>
      <c r="AI248" s="616"/>
      <c r="AJ248" s="613" t="str">
        <f>AJ240</f>
        <v>100%</v>
      </c>
      <c r="AK248" s="614" t="str">
        <f t="shared" ref="AK248" si="786">AK240</f>
        <v>+20%</v>
      </c>
      <c r="AL248" s="614" t="str">
        <f t="shared" ref="AL248:AN248" si="787">AL240</f>
        <v>+71%</v>
      </c>
      <c r="AM248" s="614" t="str">
        <f t="shared" si="787"/>
        <v>-52%</v>
      </c>
      <c r="AN248" s="614" t="str">
        <f t="shared" si="787"/>
        <v/>
      </c>
      <c r="AO248" s="615" t="str">
        <f t="shared" ref="AO248" si="788">AO240</f>
        <v/>
      </c>
      <c r="AS248" s="1043"/>
      <c r="AT248" s="700" t="s">
        <v>221</v>
      </c>
      <c r="AU248" s="616"/>
      <c r="AV248" s="613" t="str">
        <f>AV240</f>
        <v>100%</v>
      </c>
      <c r="AW248" s="614" t="str">
        <f t="shared" ref="AW248" si="789">AW240</f>
        <v>-21%</v>
      </c>
      <c r="AX248" s="614" t="str">
        <f t="shared" ref="AX248:AZ248" si="790">AX240</f>
        <v>+59%</v>
      </c>
      <c r="AY248" s="614" t="str">
        <f t="shared" si="790"/>
        <v>-53%</v>
      </c>
      <c r="AZ248" s="614" t="str">
        <f t="shared" si="790"/>
        <v/>
      </c>
      <c r="BA248" s="615" t="str">
        <f t="shared" ref="BA248" si="791">BA240</f>
        <v/>
      </c>
      <c r="BC248" s="4"/>
      <c r="BD248" s="4"/>
      <c r="BE248" s="1043"/>
      <c r="BF248" s="700" t="s">
        <v>221</v>
      </c>
      <c r="BG248" s="616"/>
      <c r="BH248" s="613" t="str">
        <f>BH240</f>
        <v>100%</v>
      </c>
      <c r="BI248" s="614" t="str">
        <f t="shared" ref="BI248" si="792">BI240</f>
        <v>+534%</v>
      </c>
      <c r="BJ248" s="614" t="str">
        <f t="shared" ref="BJ248:BL248" si="793">BJ240</f>
        <v>+48%</v>
      </c>
      <c r="BK248" s="614" t="str">
        <f t="shared" si="793"/>
        <v>-36%</v>
      </c>
      <c r="BL248" s="614" t="str">
        <f t="shared" si="793"/>
        <v/>
      </c>
      <c r="BM248" s="615" t="str">
        <f t="shared" ref="BM248" si="794">BM240</f>
        <v/>
      </c>
    </row>
    <row r="249" spans="14:65">
      <c r="N249" s="562"/>
      <c r="AG249" s="710"/>
      <c r="BC249" s="4"/>
      <c r="BD249" s="4"/>
      <c r="BE249" s="4"/>
      <c r="BF249" s="4"/>
      <c r="BG249" s="4"/>
    </row>
    <row r="250" spans="14:65">
      <c r="N250" s="562"/>
      <c r="AG250" s="710"/>
    </row>
    <row r="251" spans="14:65">
      <c r="N251" s="562"/>
      <c r="AG251" s="710"/>
    </row>
    <row r="252" spans="14:65">
      <c r="N252" s="562"/>
      <c r="AG252" s="710"/>
    </row>
    <row r="253" spans="14:65">
      <c r="N253" s="562"/>
    </row>
    <row r="254" spans="14:65">
      <c r="N254" s="562"/>
    </row>
    <row r="255" spans="14:65">
      <c r="N255" s="562"/>
    </row>
    <row r="256" spans="14:65">
      <c r="N256" s="562"/>
    </row>
    <row r="257" spans="14:14">
      <c r="N257" s="562"/>
    </row>
    <row r="258" spans="14:14">
      <c r="N258" s="562"/>
    </row>
    <row r="259" spans="14:14">
      <c r="N259" s="562"/>
    </row>
    <row r="260" spans="14:14">
      <c r="N260" s="562"/>
    </row>
    <row r="261" spans="14:14">
      <c r="N261" s="562"/>
    </row>
    <row r="262" spans="14:14">
      <c r="N262" s="562"/>
    </row>
    <row r="263" spans="14:14">
      <c r="N263" s="562"/>
    </row>
    <row r="264" spans="14:14">
      <c r="N264" s="562"/>
    </row>
    <row r="265" spans="14:14">
      <c r="N265" s="562"/>
    </row>
    <row r="266" spans="14:14">
      <c r="N266" s="562"/>
    </row>
    <row r="267" spans="14:14">
      <c r="N267" s="562"/>
    </row>
    <row r="268" spans="14:14">
      <c r="N268" s="562"/>
    </row>
    <row r="269" spans="14:14">
      <c r="N269" s="562"/>
    </row>
    <row r="270" spans="14:14">
      <c r="N270" s="562"/>
    </row>
    <row r="271" spans="14:14">
      <c r="N271" s="562"/>
    </row>
    <row r="272" spans="14:14">
      <c r="N272" s="562"/>
    </row>
    <row r="273" spans="14:14">
      <c r="N273" s="562"/>
    </row>
    <row r="274" spans="14:14">
      <c r="N274" s="562"/>
    </row>
    <row r="275" spans="14:14">
      <c r="N275" s="562"/>
    </row>
    <row r="276" spans="14:14">
      <c r="N276" s="562"/>
    </row>
    <row r="277" spans="14:14">
      <c r="N277" s="562"/>
    </row>
    <row r="278" spans="14:14">
      <c r="N278" s="562"/>
    </row>
    <row r="279" spans="14:14">
      <c r="N279" s="562"/>
    </row>
    <row r="280" spans="14:14">
      <c r="N280" s="562"/>
    </row>
    <row r="281" spans="14:14">
      <c r="N281" s="562"/>
    </row>
    <row r="282" spans="14:14">
      <c r="N282" s="562"/>
    </row>
    <row r="283" spans="14:14">
      <c r="N283" s="562"/>
    </row>
    <row r="284" spans="14:14">
      <c r="N284" s="562"/>
    </row>
    <row r="285" spans="14:14">
      <c r="N285" s="562"/>
    </row>
  </sheetData>
  <sheetProtection password="D0CE" sheet="1" objects="1" scenarios="1"/>
  <autoFilter ref="A1:BU169"/>
  <mergeCells count="119">
    <mergeCell ref="BT2:BU2"/>
    <mergeCell ref="B35:B49"/>
    <mergeCell ref="C35:C49"/>
    <mergeCell ref="B2:B4"/>
    <mergeCell ref="C2:C4"/>
    <mergeCell ref="J2:J4"/>
    <mergeCell ref="Q2:Q4"/>
    <mergeCell ref="B13:B34"/>
    <mergeCell ref="BN2:BO2"/>
    <mergeCell ref="BP2:BQ2"/>
    <mergeCell ref="BR2:BS2"/>
    <mergeCell ref="C13:C34"/>
    <mergeCell ref="D2:I3"/>
    <mergeCell ref="D13:D33"/>
    <mergeCell ref="E13:E33"/>
    <mergeCell ref="F13:F33"/>
    <mergeCell ref="G13:G33"/>
    <mergeCell ref="H13:H33"/>
    <mergeCell ref="I13:I33"/>
    <mergeCell ref="D9:D11"/>
    <mergeCell ref="E9:E11"/>
    <mergeCell ref="F9:F11"/>
    <mergeCell ref="G9:G11"/>
    <mergeCell ref="H9:H11"/>
    <mergeCell ref="B5:B8"/>
    <mergeCell ref="BB162:BH162"/>
    <mergeCell ref="B110:B125"/>
    <mergeCell ref="C110:C125"/>
    <mergeCell ref="B126:B134"/>
    <mergeCell ref="C126:C134"/>
    <mergeCell ref="C5:C8"/>
    <mergeCell ref="B9:B12"/>
    <mergeCell ref="C9:C12"/>
    <mergeCell ref="B50:B64"/>
    <mergeCell ref="C50:C64"/>
    <mergeCell ref="B66:B77"/>
    <mergeCell ref="B78:B85"/>
    <mergeCell ref="C78:C85"/>
    <mergeCell ref="D78:D84"/>
    <mergeCell ref="C66:C77"/>
    <mergeCell ref="D50:D63"/>
    <mergeCell ref="F50:F63"/>
    <mergeCell ref="E78:E84"/>
    <mergeCell ref="O243:O248"/>
    <mergeCell ref="AG245:AG246"/>
    <mergeCell ref="AG247:AG248"/>
    <mergeCell ref="AS245:AS246"/>
    <mergeCell ref="AS247:AS248"/>
    <mergeCell ref="O178:O192"/>
    <mergeCell ref="O194:O208"/>
    <mergeCell ref="O210:O224"/>
    <mergeCell ref="O226:O240"/>
    <mergeCell ref="E110:E124"/>
    <mergeCell ref="F110:F124"/>
    <mergeCell ref="G110:G124"/>
    <mergeCell ref="H110:H124"/>
    <mergeCell ref="E126:E133"/>
    <mergeCell ref="F126:F133"/>
    <mergeCell ref="G66:G76"/>
    <mergeCell ref="H66:H76"/>
    <mergeCell ref="I66:I76"/>
    <mergeCell ref="G96:G108"/>
    <mergeCell ref="I110:I124"/>
    <mergeCell ref="G126:G133"/>
    <mergeCell ref="H126:H133"/>
    <mergeCell ref="BE245:BE246"/>
    <mergeCell ref="BE247:BE248"/>
    <mergeCell ref="I9:I11"/>
    <mergeCell ref="D5:D7"/>
    <mergeCell ref="E5:E7"/>
    <mergeCell ref="F5:F7"/>
    <mergeCell ref="G5:G7"/>
    <mergeCell ref="H5:H7"/>
    <mergeCell ref="I5:I7"/>
    <mergeCell ref="G50:G63"/>
    <mergeCell ref="H50:H63"/>
    <mergeCell ref="I50:I63"/>
    <mergeCell ref="D35:D48"/>
    <mergeCell ref="E35:E48"/>
    <mergeCell ref="F35:F48"/>
    <mergeCell ref="G35:G48"/>
    <mergeCell ref="H35:H48"/>
    <mergeCell ref="I35:I48"/>
    <mergeCell ref="G78:G84"/>
    <mergeCell ref="H78:H84"/>
    <mergeCell ref="I78:I84"/>
    <mergeCell ref="D66:D76"/>
    <mergeCell ref="E66:E76"/>
    <mergeCell ref="E50:E63"/>
    <mergeCell ref="H172:H176"/>
    <mergeCell ref="B86:B95"/>
    <mergeCell ref="C86:C95"/>
    <mergeCell ref="D86:D94"/>
    <mergeCell ref="E86:E94"/>
    <mergeCell ref="F86:F94"/>
    <mergeCell ref="G86:G94"/>
    <mergeCell ref="H86:H94"/>
    <mergeCell ref="C135:C159"/>
    <mergeCell ref="B135:B159"/>
    <mergeCell ref="D110:D124"/>
    <mergeCell ref="D126:D133"/>
    <mergeCell ref="H96:H108"/>
    <mergeCell ref="B96:B109"/>
    <mergeCell ref="C96:C109"/>
    <mergeCell ref="D96:D108"/>
    <mergeCell ref="E96:E108"/>
    <mergeCell ref="F96:F108"/>
    <mergeCell ref="I86:I94"/>
    <mergeCell ref="D135:D158"/>
    <mergeCell ref="E135:E158"/>
    <mergeCell ref="F135:F158"/>
    <mergeCell ref="G135:G158"/>
    <mergeCell ref="H135:H158"/>
    <mergeCell ref="I135:I158"/>
    <mergeCell ref="F66:F76"/>
    <mergeCell ref="H164:H168"/>
    <mergeCell ref="F78:F84"/>
    <mergeCell ref="I126:I133"/>
    <mergeCell ref="I96:I108"/>
  </mergeCells>
  <conditionalFormatting sqref="AE45:AE48 AD86:AI94 AD150:AI150 AP86:AU94 AP150:AU150">
    <cfRule type="cellIs" dxfId="39" priority="159" operator="equal">
      <formula>0</formula>
    </cfRule>
  </conditionalFormatting>
  <conditionalFormatting sqref="AD5:AI7 AD50:AI57 AD66:AI76 AD96:AI108 AD110:AI124 AD126:AI133 AD135:AI141 AD35:AI48 AD148:AI149 AD60:AI63 AD151:AI158">
    <cfRule type="cellIs" dxfId="38" priority="158" operator="equal">
      <formula>0</formula>
    </cfRule>
  </conditionalFormatting>
  <conditionalFormatting sqref="AD5:AI7 AD35:AI58 AD161:AI161 AD66:AI77 AD60:AI64 AD86:AI141 AD148:AI159 AP86:AU141 AP150:AU150">
    <cfRule type="cellIs" dxfId="37" priority="157" operator="equal">
      <formula>0</formula>
    </cfRule>
  </conditionalFormatting>
  <conditionalFormatting sqref="AD9:AI11">
    <cfRule type="cellIs" dxfId="36" priority="156" operator="equal">
      <formula>0</formula>
    </cfRule>
  </conditionalFormatting>
  <conditionalFormatting sqref="AD9:AI11">
    <cfRule type="cellIs" dxfId="35" priority="155" operator="equal">
      <formula>0</formula>
    </cfRule>
  </conditionalFormatting>
  <conditionalFormatting sqref="AE28:AE33">
    <cfRule type="cellIs" dxfId="34" priority="154" operator="equal">
      <formula>0</formula>
    </cfRule>
  </conditionalFormatting>
  <conditionalFormatting sqref="AD13:AI33">
    <cfRule type="cellIs" dxfId="33" priority="153" operator="equal">
      <formula>0</formula>
    </cfRule>
  </conditionalFormatting>
  <conditionalFormatting sqref="AD13:AI34">
    <cfRule type="cellIs" dxfId="32" priority="152" operator="equal">
      <formula>0</formula>
    </cfRule>
  </conditionalFormatting>
  <conditionalFormatting sqref="AD78:AI84">
    <cfRule type="cellIs" dxfId="31" priority="151" operator="equal">
      <formula>0</formula>
    </cfRule>
  </conditionalFormatting>
  <conditionalFormatting sqref="AD78:AI85">
    <cfRule type="cellIs" dxfId="30" priority="150" operator="equal">
      <formula>0</formula>
    </cfRule>
  </conditionalFormatting>
  <conditionalFormatting sqref="AD142:AI147">
    <cfRule type="cellIs" dxfId="29" priority="147" operator="equal">
      <formula>0</formula>
    </cfRule>
  </conditionalFormatting>
  <conditionalFormatting sqref="AD142:AI147">
    <cfRule type="cellIs" dxfId="28" priority="146" operator="equal">
      <formula>0</formula>
    </cfRule>
  </conditionalFormatting>
  <conditionalFormatting sqref="AD58:AI58">
    <cfRule type="cellIs" dxfId="27" priority="145" operator="equal">
      <formula>0</formula>
    </cfRule>
  </conditionalFormatting>
  <conditionalFormatting sqref="AD58:AI58">
    <cfRule type="cellIs" dxfId="26" priority="144" operator="equal">
      <formula>0</formula>
    </cfRule>
  </conditionalFormatting>
  <conditionalFormatting sqref="AQ45:AQ48">
    <cfRule type="cellIs" dxfId="25" priority="143" operator="equal">
      <formula>0</formula>
    </cfRule>
  </conditionalFormatting>
  <conditionalFormatting sqref="AP5:AU8 AP66:AU76 AP96:AU108 AP110:AU124 AP126:AU133 AP135:AU141 AP35:AU48 AP148:AU149 AP60:AU63 AP50:AU57 AP151:AU158">
    <cfRule type="cellIs" dxfId="24" priority="142" operator="equal">
      <formula>0</formula>
    </cfRule>
  </conditionalFormatting>
  <conditionalFormatting sqref="AP148:AU149 AP35:AU58 AP161:AU161 AP66:AU77 AP60:AU64 AP5:AU8 AP151:AU159">
    <cfRule type="cellIs" dxfId="23" priority="141" operator="equal">
      <formula>0</formula>
    </cfRule>
  </conditionalFormatting>
  <conditionalFormatting sqref="AP9:AU11">
    <cfRule type="cellIs" dxfId="22" priority="140" operator="equal">
      <formula>0</formula>
    </cfRule>
  </conditionalFormatting>
  <conditionalFormatting sqref="AP9:AU11">
    <cfRule type="cellIs" dxfId="21" priority="139" operator="equal">
      <formula>0</formula>
    </cfRule>
  </conditionalFormatting>
  <conditionalFormatting sqref="AQ28:AQ33">
    <cfRule type="cellIs" dxfId="20" priority="138" operator="equal">
      <formula>0</formula>
    </cfRule>
  </conditionalFormatting>
  <conditionalFormatting sqref="AP13:AU33">
    <cfRule type="cellIs" dxfId="19" priority="137" operator="equal">
      <formula>0</formula>
    </cfRule>
  </conditionalFormatting>
  <conditionalFormatting sqref="AP13:AU34">
    <cfRule type="cellIs" dxfId="18" priority="136" operator="equal">
      <formula>0</formula>
    </cfRule>
  </conditionalFormatting>
  <conditionalFormatting sqref="AP78:AU84">
    <cfRule type="cellIs" dxfId="17" priority="135" operator="equal">
      <formula>0</formula>
    </cfRule>
  </conditionalFormatting>
  <conditionalFormatting sqref="AP78:AU85">
    <cfRule type="cellIs" dxfId="16" priority="134" operator="equal">
      <formula>0</formula>
    </cfRule>
  </conditionalFormatting>
  <conditionalFormatting sqref="AP142:AU147">
    <cfRule type="cellIs" dxfId="15" priority="133" operator="equal">
      <formula>0</formula>
    </cfRule>
  </conditionalFormatting>
  <conditionalFormatting sqref="AP142:AU147">
    <cfRule type="cellIs" dxfId="14" priority="132" operator="equal">
      <formula>0</formula>
    </cfRule>
  </conditionalFormatting>
  <conditionalFormatting sqref="AP58:AU58">
    <cfRule type="cellIs" dxfId="13" priority="131" operator="equal">
      <formula>0</formula>
    </cfRule>
  </conditionalFormatting>
  <conditionalFormatting sqref="AP58:AU58">
    <cfRule type="cellIs" dxfId="12" priority="130" operator="equal">
      <formula>0</formula>
    </cfRule>
  </conditionalFormatting>
  <conditionalFormatting sqref="AD160:AI160">
    <cfRule type="cellIs" dxfId="11" priority="129" operator="equal">
      <formula>0</formula>
    </cfRule>
  </conditionalFormatting>
  <conditionalFormatting sqref="AP160:AU160">
    <cfRule type="cellIs" dxfId="10" priority="128" operator="equal">
      <formula>0</formula>
    </cfRule>
  </conditionalFormatting>
  <conditionalFormatting sqref="AD65:AI65">
    <cfRule type="cellIs" dxfId="9" priority="127" operator="equal">
      <formula>0</formula>
    </cfRule>
  </conditionalFormatting>
  <conditionalFormatting sqref="AP65:AU65">
    <cfRule type="cellIs" dxfId="8" priority="126" operator="equal">
      <formula>0</formula>
    </cfRule>
  </conditionalFormatting>
  <conditionalFormatting sqref="AD59:AI59">
    <cfRule type="cellIs" dxfId="7" priority="125" operator="equal">
      <formula>0</formula>
    </cfRule>
  </conditionalFormatting>
  <conditionalFormatting sqref="AD59:AI59">
    <cfRule type="cellIs" dxfId="6" priority="124" operator="equal">
      <formula>0</formula>
    </cfRule>
  </conditionalFormatting>
  <conditionalFormatting sqref="AP59:AU59">
    <cfRule type="cellIs" dxfId="5" priority="123" operator="equal">
      <formula>0</formula>
    </cfRule>
  </conditionalFormatting>
  <conditionalFormatting sqref="AP59:AU59">
    <cfRule type="cellIs" dxfId="4" priority="122" operator="equal">
      <formula>0</formula>
    </cfRule>
  </conditionalFormatting>
  <conditionalFormatting sqref="R165:W165">
    <cfRule type="colorScale" priority="10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166:W166">
    <cfRule type="colorScale" priority="10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167:W167">
    <cfRule type="colorScale" priority="10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J165:AO165">
    <cfRule type="colorScale" priority="10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J166:AO166">
    <cfRule type="colorScale" priority="10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J167:AO167">
    <cfRule type="colorScale" priority="10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V165:AZ165">
    <cfRule type="colorScale" priority="9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V166:AZ166">
    <cfRule type="colorScale" priority="9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V167:AZ167">
    <cfRule type="colorScale" priority="9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H165:BL165">
    <cfRule type="colorScale" priority="8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H166:BL166">
    <cfRule type="colorScale" priority="8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H167:BL167">
    <cfRule type="colorScale" priority="8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168:W168">
    <cfRule type="colorScale" priority="7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J168:AO168">
    <cfRule type="colorScale" priority="6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V168:AZ168">
    <cfRule type="colorScale" priority="6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H168:BL168">
    <cfRule type="colorScale" priority="6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D12:AI12">
    <cfRule type="cellIs" dxfId="3" priority="59" operator="equal">
      <formula>0</formula>
    </cfRule>
  </conditionalFormatting>
  <conditionalFormatting sqref="AD8:AI8">
    <cfRule type="cellIs" dxfId="2" priority="58" operator="equal">
      <formula>0</formula>
    </cfRule>
  </conditionalFormatting>
  <conditionalFormatting sqref="AP12:AU12">
    <cfRule type="cellIs" dxfId="1" priority="57" operator="equal">
      <formula>0</formula>
    </cfRule>
  </conditionalFormatting>
  <conditionalFormatting sqref="X165:AC165">
    <cfRule type="colorScale" priority="5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166:AC166">
    <cfRule type="colorScale" priority="5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167:AC167">
    <cfRule type="colorScale" priority="5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168:AC168">
    <cfRule type="colorScale" priority="4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A165">
    <cfRule type="colorScale" priority="4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A166">
    <cfRule type="colorScale" priority="4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A167">
    <cfRule type="colorScale" priority="4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A168">
    <cfRule type="colorScale" priority="4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M165">
    <cfRule type="colorScale" priority="4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M166">
    <cfRule type="colorScale" priority="4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M167">
    <cfRule type="colorScale" priority="4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M168">
    <cfRule type="colorScale" priority="4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173:W173">
    <cfRule type="colorScale" priority="3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174:W174">
    <cfRule type="colorScale" priority="3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175:W175">
    <cfRule type="colorScale" priority="3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176:W176">
    <cfRule type="colorScale" priority="2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J176:AO176">
    <cfRule type="colorScale" priority="2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V176:AZ176">
    <cfRule type="colorScale" priority="2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H176:BL176">
    <cfRule type="colorScale" priority="2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173:AC173">
    <cfRule type="colorScale" priority="2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174:AC174">
    <cfRule type="colorScale" priority="2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175:AC175">
    <cfRule type="colorScale" priority="2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176:AC176">
    <cfRule type="colorScale" priority="1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A176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M176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J173:AO173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J174:AO174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J175:AO175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V173:BA173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V174:BA17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V175:BA17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H173:BM173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H174:BM17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H175:BM17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5:BU158">
    <cfRule type="expression" dxfId="0" priority="1">
      <formula>$J5="COMMUNE_Carrefour"</formula>
    </cfRule>
  </conditionalFormatting>
  <pageMargins left="0.23622047244094491" right="0.23622047244094491" top="0.35433070866141736" bottom="0.15748031496062992" header="0.31496062992125984" footer="0.31496062992125984"/>
  <pageSetup paperSize="8" scale="20" orientation="landscape" horizontalDpi="300" verticalDpi="300" r:id="rId1"/>
  <ignoredErrors>
    <ignoredError sqref="H65:I65" formulaRange="1"/>
    <ignoredError sqref="J12:P12 J8:M8 J13 K34:BW34 X227:Z240 K95:BW95 K85:BW85 X180:Z192 AD180:AD192 T196 T199 X195:Z208 AD195:AD208 K250:M258 K249:L249 M178:M243 K178:K248 P244:T248 P225:AD226 P241:AD243 P178:AD179 P193:AD194 P180:S180 P181:T192 P197:T198 P196:Q196 P209:AD210 P199:R199 P195:T195 P200:T208 O252:BW258 X224:Z224 P211:T211 X211:Z211 AD211:AD224 S224:T224 P227:T240 AD227:AD240 K164:AD170 AG164:AG170 O249:AD251 AG249:AG251 AG178:AG244 AJ164:AL164 AJ195:AK208 AJ249:BB249 AJ244:AK248 AJ225:AP226 AJ241:AP243 AJ178:AP178 AJ193:AP194 AJ209:AP210 AJ250:BW251 AJ224:AK224 AJ211:AK211 AJ227:AK240 X244:Z248 AD244:AD248 AJ170:AP170 AK165:AL165 AJ166:AL168 AP164:AP169 AJ179:AL192 AP179:AP192 AP195:AP208 AP211:AP224 P212:Q224 AP227:AP240 AP244:AP248 K163:AP163 AV163:BB163 AV225:BB226 AV241:BB243 AV178:BB178 AV193:BB194 AV209:BB210 AV170:BB170 AV164:AW164 AV166:AW169 AW165 AV179:AW192 AV195:AW208 AV224:AW224 AV211:AW211 AV227:AW240 AV244:AW248 BB164:BB169 BB179:BB192 BB195:BB208 BA224:BB224 BA211:BB211 BB212:BB223 BB227:BB240 BB244:BB248 BH249:BW249 BH163:BW163 BH225:BW226 BH241:BW243 BH178:BW178 BH193:BW194 BH209:BW210 BH169:BW170 BH179:BI192 BH195:BI208 BH224:BI224 BH211:BI211 BH227:BI240 BH244:BI248 BH164:BI168 BN164:BW168 BN179:BW192 BN195:BW208 BN211:BW224 BN227:BW240 BN244:BW248 J9 K49:BW49 Q35:BW48 K64:BW65 Q50:BW63 K77:BW77 Q66:BW76 Q78:BW84 Q86:BW91 K109:BW109 Q96:BW108 K125:BW125 Q110:BW124 K134:BW134 Q126:BW133 K159:BW159 Q151:BW158 AK169:AL169 Q135:BW149 Q92:BW94 K162:BW162 R160:BW160 K161:P161 R161:BW161" formula="1"/>
    <ignoredError sqref="N8:P8" formula="1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99CC"/>
    <pageSetUpPr fitToPage="1"/>
  </sheetPr>
  <dimension ref="A1:Y142"/>
  <sheetViews>
    <sheetView zoomScale="70" zoomScaleNormal="70" workbookViewId="0">
      <pane ySplit="4" topLeftCell="A44" activePane="bottomLeft" state="frozen"/>
      <selection activeCell="C3" sqref="C3:F3"/>
      <selection pane="bottomLeft" activeCell="B1" sqref="A1:B1048576"/>
    </sheetView>
  </sheetViews>
  <sheetFormatPr baseColWidth="10" defaultRowHeight="15"/>
  <cols>
    <col min="1" max="1" width="1.85546875" style="20" hidden="1" customWidth="1"/>
    <col min="2" max="2" width="38.85546875" style="1" customWidth="1"/>
    <col min="3" max="3" width="11.5703125" style="2" customWidth="1"/>
    <col min="4" max="4" width="15.28515625" style="2" customWidth="1"/>
    <col min="5" max="5" width="42.85546875" style="1" bestFit="1" customWidth="1"/>
    <col min="6" max="6" width="11.140625" style="2" hidden="1" customWidth="1"/>
    <col min="7" max="7" width="11.42578125" style="2"/>
    <col min="8" max="8" width="8.42578125" style="2" customWidth="1"/>
    <col min="9" max="9" width="11.42578125" style="2"/>
    <col min="10" max="10" width="8.42578125" style="2" customWidth="1"/>
    <col min="11" max="11" width="11.42578125" style="4" customWidth="1"/>
    <col min="12" max="12" width="8.42578125" style="4" customWidth="1"/>
    <col min="13" max="13" width="11.42578125" style="4" customWidth="1"/>
    <col min="14" max="14" width="8.42578125" style="3" customWidth="1"/>
    <col min="15" max="16" width="11.42578125" style="4" customWidth="1"/>
    <col min="17" max="24" width="7.5703125" style="2" customWidth="1"/>
    <col min="25" max="16384" width="11.42578125" style="1"/>
  </cols>
  <sheetData>
    <row r="1" spans="1:25" s="20" customFormat="1" ht="2.25" customHeight="1" thickBot="1">
      <c r="C1" s="23"/>
      <c r="D1" s="23"/>
      <c r="F1" s="23"/>
      <c r="G1" s="23"/>
      <c r="H1" s="23"/>
      <c r="I1" s="23"/>
      <c r="J1" s="23"/>
      <c r="K1" s="25"/>
      <c r="L1" s="25"/>
      <c r="M1" s="25"/>
      <c r="N1" s="24"/>
      <c r="O1" s="25"/>
      <c r="P1" s="25"/>
      <c r="Q1" s="23"/>
      <c r="R1" s="23"/>
      <c r="S1" s="23"/>
      <c r="T1" s="23"/>
      <c r="U1" s="23"/>
      <c r="V1" s="23"/>
      <c r="W1" s="23"/>
      <c r="X1" s="23"/>
    </row>
    <row r="2" spans="1:25" s="6" customFormat="1" ht="30" customHeight="1" thickBot="1">
      <c r="A2" s="21"/>
      <c r="B2" s="1003" t="s">
        <v>53</v>
      </c>
      <c r="C2" s="1006" t="s">
        <v>74</v>
      </c>
      <c r="D2" s="1006" t="s">
        <v>69</v>
      </c>
      <c r="E2" s="1123" t="s">
        <v>79</v>
      </c>
      <c r="F2" s="995" t="s">
        <v>59</v>
      </c>
      <c r="G2" s="1124" t="s">
        <v>135</v>
      </c>
      <c r="H2" s="1104"/>
      <c r="I2" s="1104"/>
      <c r="J2" s="1105"/>
      <c r="K2" s="1129" t="s">
        <v>136</v>
      </c>
      <c r="L2" s="1129"/>
      <c r="M2" s="1129" t="s">
        <v>137</v>
      </c>
      <c r="N2" s="1129"/>
      <c r="O2" s="1129" t="s">
        <v>139</v>
      </c>
      <c r="P2" s="1129"/>
      <c r="Q2" s="1122" t="s">
        <v>39</v>
      </c>
      <c r="R2" s="1122"/>
      <c r="S2" s="1122" t="s">
        <v>40</v>
      </c>
      <c r="T2" s="1122"/>
      <c r="U2" s="1122" t="s">
        <v>41</v>
      </c>
      <c r="V2" s="1122"/>
      <c r="W2" s="1122" t="s">
        <v>42</v>
      </c>
      <c r="X2" s="995"/>
      <c r="Y2" s="17"/>
    </row>
    <row r="3" spans="1:25" s="6" customFormat="1" ht="30" customHeight="1" thickBot="1">
      <c r="A3" s="21"/>
      <c r="B3" s="1003"/>
      <c r="C3" s="1006"/>
      <c r="D3" s="1006"/>
      <c r="E3" s="1123"/>
      <c r="F3" s="996"/>
      <c r="G3" s="1125" t="s">
        <v>66</v>
      </c>
      <c r="H3" s="1126"/>
      <c r="I3" s="1126" t="s">
        <v>44</v>
      </c>
      <c r="J3" s="1127"/>
      <c r="K3" s="1130"/>
      <c r="L3" s="1130"/>
      <c r="M3" s="1130"/>
      <c r="N3" s="1130"/>
      <c r="O3" s="1130"/>
      <c r="P3" s="1130"/>
      <c r="Q3" s="144"/>
      <c r="R3" s="111"/>
      <c r="S3" s="144"/>
      <c r="T3" s="111"/>
      <c r="U3" s="1106" t="s">
        <v>142</v>
      </c>
      <c r="V3" s="1108"/>
      <c r="W3" s="1106" t="s">
        <v>142</v>
      </c>
      <c r="X3" s="1128"/>
      <c r="Y3" s="17"/>
    </row>
    <row r="4" spans="1:25" s="6" customFormat="1" ht="30" customHeight="1" thickBot="1">
      <c r="A4" s="21"/>
      <c r="B4" s="1003"/>
      <c r="C4" s="1006"/>
      <c r="D4" s="1006"/>
      <c r="E4" s="1123"/>
      <c r="F4" s="997"/>
      <c r="G4" s="112" t="s">
        <v>133</v>
      </c>
      <c r="H4" s="113" t="s">
        <v>134</v>
      </c>
      <c r="I4" s="113" t="s">
        <v>133</v>
      </c>
      <c r="J4" s="114" t="s">
        <v>134</v>
      </c>
      <c r="K4" s="117" t="s">
        <v>133</v>
      </c>
      <c r="L4" s="118" t="s">
        <v>134</v>
      </c>
      <c r="M4" s="117" t="s">
        <v>133</v>
      </c>
      <c r="N4" s="118" t="s">
        <v>134</v>
      </c>
      <c r="O4" s="117" t="s">
        <v>133</v>
      </c>
      <c r="P4" s="118" t="s">
        <v>134</v>
      </c>
      <c r="Q4" s="119" t="s">
        <v>43</v>
      </c>
      <c r="R4" s="114" t="s">
        <v>44</v>
      </c>
      <c r="S4" s="119" t="s">
        <v>43</v>
      </c>
      <c r="T4" s="114" t="s">
        <v>44</v>
      </c>
      <c r="U4" s="119" t="s">
        <v>133</v>
      </c>
      <c r="V4" s="114" t="s">
        <v>134</v>
      </c>
      <c r="W4" s="119" t="s">
        <v>133</v>
      </c>
      <c r="X4" s="116" t="s">
        <v>134</v>
      </c>
      <c r="Y4" s="17"/>
    </row>
    <row r="5" spans="1:25" ht="15.75">
      <c r="A5" s="20">
        <v>1</v>
      </c>
      <c r="B5" s="60" t="s">
        <v>86</v>
      </c>
      <c r="C5" s="296" t="s">
        <v>75</v>
      </c>
      <c r="D5" s="299">
        <f>'2021'!D5-'2020'!D5</f>
        <v>0</v>
      </c>
      <c r="E5" s="145" t="s">
        <v>71</v>
      </c>
      <c r="F5" s="146" t="s">
        <v>60</v>
      </c>
      <c r="G5" s="147">
        <f>'2021'!G5-'2020'!G5</f>
        <v>39</v>
      </c>
      <c r="H5" s="187">
        <f>IF('2021'!G5=0,0,IF('2020'!G5=0,0,'2021'!G5/'2020'!G5-1))</f>
        <v>0.61904761904761907</v>
      </c>
      <c r="I5" s="178">
        <f>'2021'!H5-'2020'!H5</f>
        <v>65</v>
      </c>
      <c r="J5" s="194">
        <f>IF('2021'!H5=0,0,IF('2020'!H5=0,0,'2021'!H5/'2020'!H5-1))</f>
        <v>2.2413793103448274</v>
      </c>
      <c r="K5" s="128">
        <f>'2021'!J5-'2020'!J5</f>
        <v>0</v>
      </c>
      <c r="L5" s="194">
        <f>'2021'!I5-'2020'!I5</f>
        <v>-1.2138188608776843E-2</v>
      </c>
      <c r="M5" s="128">
        <f>'2021'!L5-'2020'!L5</f>
        <v>1</v>
      </c>
      <c r="N5" s="194">
        <f>'2021'!K5-'2020'!K5</f>
        <v>-9.3370681605975697E-2</v>
      </c>
      <c r="O5" s="128">
        <f>IF('2020'!N5="-",0,'2021'!N5-'2020'!N5)</f>
        <v>0</v>
      </c>
      <c r="P5" s="194">
        <f>'2021'!M5-'2020'!M5</f>
        <v>-6.5359477124183052E-3</v>
      </c>
      <c r="Q5" s="65"/>
      <c r="R5" s="66"/>
      <c r="S5" s="65"/>
      <c r="T5" s="66"/>
      <c r="U5" s="61" t="s">
        <v>21</v>
      </c>
      <c r="V5" s="62" t="s">
        <v>21</v>
      </c>
      <c r="W5" s="61" t="s">
        <v>21</v>
      </c>
      <c r="X5" s="63" t="s">
        <v>21</v>
      </c>
      <c r="Y5" s="18"/>
    </row>
    <row r="6" spans="1:25" ht="15.75">
      <c r="A6" s="20">
        <v>1</v>
      </c>
      <c r="B6" s="329" t="s">
        <v>163</v>
      </c>
      <c r="C6" s="295" t="s">
        <v>75</v>
      </c>
      <c r="D6" s="298">
        <f>'2021'!D35-'2020'!D35</f>
        <v>1</v>
      </c>
      <c r="E6" s="158" t="s">
        <v>164</v>
      </c>
      <c r="F6" s="159" t="s">
        <v>60</v>
      </c>
      <c r="G6" s="160">
        <f>'2021'!G35-'2020'!G35</f>
        <v>45</v>
      </c>
      <c r="H6" s="191">
        <f>IF('2021'!G35=0,0,IF('2020'!G35=0,0,'2021'!G35/'2020'!G35-1))</f>
        <v>1.4516129032258065</v>
      </c>
      <c r="I6" s="182">
        <f>'2021'!H35-'2020'!H35</f>
        <v>27</v>
      </c>
      <c r="J6" s="198">
        <f>IF('2021'!H35=0,0,IF('2020'!H35=0,0,'2021'!H35/'2020'!H35-1))</f>
        <v>1.1739130434782608</v>
      </c>
      <c r="K6" s="129">
        <f>'2021'!J35-'2020'!J35</f>
        <v>7</v>
      </c>
      <c r="L6" s="198">
        <f>'2021'!I35-'2020'!I35</f>
        <v>-9.8896434634974523E-2</v>
      </c>
      <c r="M6" s="129">
        <f>'2021'!L35-'2020'!L35</f>
        <v>18</v>
      </c>
      <c r="N6" s="198">
        <f>'2021'!K35-'2020'!K35</f>
        <v>4.5840407470288613E-2</v>
      </c>
      <c r="O6" s="129">
        <f>IF('2020'!N35="-",0,'2021'!N35-'2020'!N35)</f>
        <v>0</v>
      </c>
      <c r="P6" s="198" t="e">
        <f>'2021'!M35-'2020'!M35</f>
        <v>#VALUE!</v>
      </c>
      <c r="Q6" s="73"/>
      <c r="R6" s="74"/>
      <c r="S6" s="73"/>
      <c r="T6" s="74"/>
      <c r="U6" s="120" t="s">
        <v>21</v>
      </c>
      <c r="V6" s="121" t="s">
        <v>21</v>
      </c>
      <c r="W6" s="120" t="s">
        <v>21</v>
      </c>
      <c r="X6" s="122" t="s">
        <v>21</v>
      </c>
      <c r="Y6" s="18"/>
    </row>
    <row r="7" spans="1:25" ht="15" customHeight="1">
      <c r="A7" s="20">
        <v>2</v>
      </c>
      <c r="B7" s="1007" t="s">
        <v>165</v>
      </c>
      <c r="C7" s="1009" t="s">
        <v>75</v>
      </c>
      <c r="D7" s="1114">
        <v>9</v>
      </c>
      <c r="E7" s="148" t="s">
        <v>166</v>
      </c>
      <c r="F7" s="149" t="s">
        <v>60</v>
      </c>
      <c r="G7" s="150">
        <f>'2021'!G13-'2020'!G13</f>
        <v>0</v>
      </c>
      <c r="H7" s="188">
        <f>IF('2021'!G13=0,0,IF('2020'!G13=0,0,'2021'!G13/'2020'!G13-1))</f>
        <v>0</v>
      </c>
      <c r="I7" s="179">
        <f>'2021'!H13-'2020'!H13</f>
        <v>0</v>
      </c>
      <c r="J7" s="195">
        <f>IF('2021'!H13=0,0,IF('2020'!H13=0,0,'2021'!H13/'2020'!H13-1))</f>
        <v>0</v>
      </c>
      <c r="K7" s="124">
        <f>'2021'!J13-'2020'!J13</f>
        <v>0</v>
      </c>
      <c r="L7" s="195" t="e">
        <f>'2021'!I13-'2020'!I13</f>
        <v>#DIV/0!</v>
      </c>
      <c r="M7" s="124">
        <f>'2021'!L13-'2020'!L13</f>
        <v>0</v>
      </c>
      <c r="N7" s="195" t="e">
        <f>'2021'!K13-'2020'!K13</f>
        <v>#DIV/0!</v>
      </c>
      <c r="O7" s="124"/>
      <c r="P7" s="195"/>
      <c r="Q7" s="67"/>
      <c r="R7" s="68"/>
      <c r="S7" s="67"/>
      <c r="T7" s="68"/>
      <c r="U7" s="39" t="s">
        <v>21</v>
      </c>
      <c r="V7" s="38" t="s">
        <v>21</v>
      </c>
      <c r="W7" s="39" t="s">
        <v>21</v>
      </c>
      <c r="X7" s="56" t="s">
        <v>21</v>
      </c>
      <c r="Y7" s="18"/>
    </row>
    <row r="8" spans="1:25" ht="15" customHeight="1">
      <c r="A8" s="20">
        <v>3</v>
      </c>
      <c r="B8" s="1007"/>
      <c r="C8" s="1009"/>
      <c r="D8" s="1114"/>
      <c r="E8" s="151" t="s">
        <v>166</v>
      </c>
      <c r="F8" s="152" t="s">
        <v>60</v>
      </c>
      <c r="G8" s="153">
        <f>'2021'!G14-'2020'!G14</f>
        <v>0</v>
      </c>
      <c r="H8" s="189">
        <f>IF('2021'!G14=0,0,IF('2020'!G14=0,0,'2021'!G14/'2020'!G14-1))</f>
        <v>0</v>
      </c>
      <c r="I8" s="180">
        <f>'2021'!H14-'2020'!H14</f>
        <v>0</v>
      </c>
      <c r="J8" s="196">
        <f>IF(I8=0,0,'2021'!H14/'2020'!H14-1)</f>
        <v>0</v>
      </c>
      <c r="K8" s="125">
        <f>'2021'!J14-'2020'!J14</f>
        <v>0</v>
      </c>
      <c r="L8" s="196" t="e">
        <f>'2021'!I14-'2020'!I14</f>
        <v>#DIV/0!</v>
      </c>
      <c r="M8" s="125">
        <f>'2021'!L14-'2020'!L14</f>
        <v>0</v>
      </c>
      <c r="N8" s="196" t="e">
        <f>'2021'!K14-'2020'!K14</f>
        <v>#DIV/0!</v>
      </c>
      <c r="O8" s="125"/>
      <c r="P8" s="196"/>
      <c r="Q8" s="69"/>
      <c r="R8" s="70"/>
      <c r="S8" s="69"/>
      <c r="T8" s="70"/>
      <c r="U8" s="42" t="s">
        <v>21</v>
      </c>
      <c r="V8" s="41" t="s">
        <v>21</v>
      </c>
      <c r="W8" s="42" t="s">
        <v>21</v>
      </c>
      <c r="X8" s="46" t="s">
        <v>21</v>
      </c>
      <c r="Y8" s="18"/>
    </row>
    <row r="9" spans="1:25" ht="15" customHeight="1">
      <c r="A9" s="20">
        <v>4</v>
      </c>
      <c r="B9" s="1007"/>
      <c r="C9" s="1009"/>
      <c r="D9" s="1114"/>
      <c r="E9" s="151" t="s">
        <v>166</v>
      </c>
      <c r="F9" s="152" t="s">
        <v>60</v>
      </c>
      <c r="G9" s="153">
        <f>'2021'!G15-'2020'!G15</f>
        <v>0</v>
      </c>
      <c r="H9" s="189">
        <f>IF('2021'!G15=0,0,IF('2020'!G15=0,0,'2021'!G15/'2020'!G15-1))</f>
        <v>0</v>
      </c>
      <c r="I9" s="180">
        <f>'2021'!H15-'2020'!H15</f>
        <v>0</v>
      </c>
      <c r="J9" s="196">
        <f>IF(I9=0,0,'2021'!H15/'2020'!H15-1)</f>
        <v>0</v>
      </c>
      <c r="K9" s="125">
        <f>'2021'!J15-'2020'!J15</f>
        <v>0</v>
      </c>
      <c r="L9" s="196" t="e">
        <f>'2021'!I15-'2020'!I15</f>
        <v>#DIV/0!</v>
      </c>
      <c r="M9" s="125">
        <f>'2021'!L15-'2020'!L15</f>
        <v>0</v>
      </c>
      <c r="N9" s="196" t="e">
        <f>'2021'!K15-'2020'!K15</f>
        <v>#DIV/0!</v>
      </c>
      <c r="O9" s="125"/>
      <c r="P9" s="196"/>
      <c r="Q9" s="69"/>
      <c r="R9" s="70"/>
      <c r="S9" s="69"/>
      <c r="T9" s="70"/>
      <c r="U9" s="42" t="s">
        <v>21</v>
      </c>
      <c r="V9" s="41" t="s">
        <v>21</v>
      </c>
      <c r="W9" s="42" t="s">
        <v>21</v>
      </c>
      <c r="X9" s="46" t="s">
        <v>21</v>
      </c>
      <c r="Y9" s="18"/>
    </row>
    <row r="10" spans="1:25" ht="15" customHeight="1">
      <c r="A10" s="20">
        <v>5</v>
      </c>
      <c r="B10" s="1007"/>
      <c r="C10" s="1009"/>
      <c r="D10" s="1114"/>
      <c r="E10" s="151" t="s">
        <v>166</v>
      </c>
      <c r="F10" s="152"/>
      <c r="G10" s="153">
        <f>'2021'!G16-'2020'!G16</f>
        <v>0</v>
      </c>
      <c r="H10" s="189">
        <f>IF('2021'!G16=0,0,IF('2020'!G16=0,0,'2021'!G16/'2020'!G16-1))</f>
        <v>0</v>
      </c>
      <c r="I10" s="180">
        <f>'2021'!H16-'2020'!H16</f>
        <v>0</v>
      </c>
      <c r="J10" s="196">
        <f>IF(I10=0,0,'2021'!H16/'2020'!H16-1)</f>
        <v>0</v>
      </c>
      <c r="K10" s="125">
        <f>'2021'!J16-'2020'!J16</f>
        <v>0</v>
      </c>
      <c r="L10" s="196" t="e">
        <f>'2021'!I16-'2020'!I16</f>
        <v>#DIV/0!</v>
      </c>
      <c r="M10" s="125">
        <f>'2021'!L16-'2020'!L16</f>
        <v>0</v>
      </c>
      <c r="N10" s="196" t="e">
        <f>'2021'!K16-'2020'!K16</f>
        <v>#DIV/0!</v>
      </c>
      <c r="O10" s="125"/>
      <c r="P10" s="196"/>
      <c r="Q10" s="69"/>
      <c r="R10" s="70"/>
      <c r="S10" s="69"/>
      <c r="T10" s="70"/>
      <c r="U10" s="42"/>
      <c r="V10" s="41"/>
      <c r="W10" s="42"/>
      <c r="X10" s="46"/>
      <c r="Y10" s="18"/>
    </row>
    <row r="11" spans="1:25" ht="15" customHeight="1">
      <c r="A11" s="20">
        <v>6</v>
      </c>
      <c r="B11" s="1007"/>
      <c r="C11" s="1009"/>
      <c r="D11" s="1114"/>
      <c r="E11" s="151" t="s">
        <v>166</v>
      </c>
      <c r="F11" s="152" t="s">
        <v>60</v>
      </c>
      <c r="G11" s="153">
        <f>'2021'!G17-'2020'!G17</f>
        <v>0</v>
      </c>
      <c r="H11" s="189">
        <f>IF('2021'!G17=0,0,IF('2020'!G17=0,0,'2021'!G17/'2020'!G17-1))</f>
        <v>0</v>
      </c>
      <c r="I11" s="180">
        <f>'2021'!H17-'2020'!H17</f>
        <v>0</v>
      </c>
      <c r="J11" s="196">
        <f>IF(I11=0,0,'2021'!H17/'2020'!H17-1)</f>
        <v>0</v>
      </c>
      <c r="K11" s="125">
        <f>'2021'!J17-'2020'!J17</f>
        <v>0</v>
      </c>
      <c r="L11" s="196" t="e">
        <f>'2021'!I17-'2020'!I17</f>
        <v>#DIV/0!</v>
      </c>
      <c r="M11" s="125">
        <f>'2021'!L17-'2020'!L17</f>
        <v>0</v>
      </c>
      <c r="N11" s="196" t="e">
        <f>'2021'!K17-'2020'!K17</f>
        <v>#DIV/0!</v>
      </c>
      <c r="O11" s="125"/>
      <c r="P11" s="196"/>
      <c r="Q11" s="69"/>
      <c r="R11" s="70"/>
      <c r="S11" s="69"/>
      <c r="T11" s="70"/>
      <c r="U11" s="42" t="s">
        <v>21</v>
      </c>
      <c r="V11" s="41" t="s">
        <v>21</v>
      </c>
      <c r="W11" s="42" t="s">
        <v>21</v>
      </c>
      <c r="X11" s="46" t="s">
        <v>21</v>
      </c>
      <c r="Y11" s="18"/>
    </row>
    <row r="12" spans="1:25" ht="15" customHeight="1">
      <c r="A12" s="20">
        <v>7</v>
      </c>
      <c r="B12" s="1007"/>
      <c r="C12" s="1009"/>
      <c r="D12" s="1114"/>
      <c r="E12" s="151" t="s">
        <v>166</v>
      </c>
      <c r="F12" s="152" t="s">
        <v>60</v>
      </c>
      <c r="G12" s="153">
        <f>'2021'!G21-'2020'!G21</f>
        <v>0</v>
      </c>
      <c r="H12" s="189">
        <f>IF('2021'!G21=0,0,IF('2020'!G21=0,0,'2021'!G21/'2020'!G21-1))</f>
        <v>0</v>
      </c>
      <c r="I12" s="180">
        <f>'2021'!H21-'2020'!H21</f>
        <v>0</v>
      </c>
      <c r="J12" s="196">
        <f>IF(I12=0,0,'2021'!H21/'2020'!H21-1)</f>
        <v>0</v>
      </c>
      <c r="K12" s="125">
        <f>'2021'!J21-'2020'!J21</f>
        <v>0</v>
      </c>
      <c r="L12" s="196" t="e">
        <f>'2021'!I21-'2020'!I21</f>
        <v>#DIV/0!</v>
      </c>
      <c r="M12" s="125">
        <f>'2021'!L21-'2020'!L21</f>
        <v>0</v>
      </c>
      <c r="N12" s="196" t="e">
        <f>'2021'!K21-'2020'!K21</f>
        <v>#DIV/0!</v>
      </c>
      <c r="O12" s="125"/>
      <c r="P12" s="196"/>
      <c r="Q12" s="69"/>
      <c r="R12" s="70"/>
      <c r="S12" s="69"/>
      <c r="T12" s="70"/>
      <c r="U12" s="42" t="s">
        <v>21</v>
      </c>
      <c r="V12" s="41" t="s">
        <v>21</v>
      </c>
      <c r="W12" s="42" t="s">
        <v>21</v>
      </c>
      <c r="X12" s="46" t="s">
        <v>21</v>
      </c>
      <c r="Y12" s="18"/>
    </row>
    <row r="13" spans="1:25" ht="15" customHeight="1">
      <c r="A13" s="20">
        <v>8</v>
      </c>
      <c r="B13" s="1007"/>
      <c r="C13" s="1009"/>
      <c r="D13" s="1114"/>
      <c r="E13" s="151" t="s">
        <v>166</v>
      </c>
      <c r="F13" s="152" t="s">
        <v>60</v>
      </c>
      <c r="G13" s="153">
        <f>'2021'!G22-'2020'!G22</f>
        <v>0</v>
      </c>
      <c r="H13" s="189">
        <f>IF('2021'!G22=0,0,IF('2020'!G22=0,0,'2021'!G22/'2020'!G22-1))</f>
        <v>0</v>
      </c>
      <c r="I13" s="180">
        <f>'2021'!H22-'2020'!H22</f>
        <v>0</v>
      </c>
      <c r="J13" s="196">
        <f>IF(I13=0,0,'2021'!H22/'2020'!H22-1)</f>
        <v>0</v>
      </c>
      <c r="K13" s="125">
        <f>'2021'!J22-'2020'!J22</f>
        <v>0</v>
      </c>
      <c r="L13" s="196" t="e">
        <f>'2021'!I22-'2020'!I22</f>
        <v>#DIV/0!</v>
      </c>
      <c r="M13" s="125">
        <f>'2021'!L22-'2020'!L22</f>
        <v>0</v>
      </c>
      <c r="N13" s="196" t="e">
        <f>'2021'!K22-'2020'!K22</f>
        <v>#DIV/0!</v>
      </c>
      <c r="O13" s="125"/>
      <c r="P13" s="196"/>
      <c r="Q13" s="69"/>
      <c r="R13" s="70"/>
      <c r="S13" s="69"/>
      <c r="T13" s="70"/>
      <c r="U13" s="42" t="s">
        <v>21</v>
      </c>
      <c r="V13" s="41" t="s">
        <v>21</v>
      </c>
      <c r="W13" s="42" t="s">
        <v>21</v>
      </c>
      <c r="X13" s="46" t="s">
        <v>21</v>
      </c>
      <c r="Y13" s="18"/>
    </row>
    <row r="14" spans="1:25" ht="15" customHeight="1">
      <c r="A14" s="20">
        <v>9</v>
      </c>
      <c r="B14" s="1007"/>
      <c r="C14" s="1009"/>
      <c r="D14" s="1114"/>
      <c r="E14" s="151" t="s">
        <v>166</v>
      </c>
      <c r="F14" s="152" t="s">
        <v>60</v>
      </c>
      <c r="G14" s="153">
        <f>'2021'!G23-'2020'!G23</f>
        <v>0</v>
      </c>
      <c r="H14" s="189">
        <f>IF('2021'!G23=0,0,IF('2020'!G23=0,0,'2021'!G23/'2020'!G23-1))</f>
        <v>0</v>
      </c>
      <c r="I14" s="180">
        <f>'2021'!H23-'2020'!H23</f>
        <v>0</v>
      </c>
      <c r="J14" s="196">
        <f>IF(I14=0,0,'2021'!H23/'2020'!H23-1)</f>
        <v>0</v>
      </c>
      <c r="K14" s="125">
        <f>'2021'!J23-'2020'!J23</f>
        <v>0</v>
      </c>
      <c r="L14" s="196" t="e">
        <f>'2021'!I23-'2020'!I23</f>
        <v>#DIV/0!</v>
      </c>
      <c r="M14" s="125">
        <f>'2021'!L23-'2020'!L23</f>
        <v>0</v>
      </c>
      <c r="N14" s="196" t="e">
        <f>'2021'!K23-'2020'!K23</f>
        <v>#DIV/0!</v>
      </c>
      <c r="O14" s="125"/>
      <c r="P14" s="196"/>
      <c r="Q14" s="69"/>
      <c r="R14" s="70"/>
      <c r="S14" s="69"/>
      <c r="T14" s="70"/>
      <c r="U14" s="42" t="s">
        <v>21</v>
      </c>
      <c r="V14" s="41" t="s">
        <v>21</v>
      </c>
      <c r="W14" s="42" t="s">
        <v>21</v>
      </c>
      <c r="X14" s="46" t="s">
        <v>21</v>
      </c>
      <c r="Y14" s="18"/>
    </row>
    <row r="15" spans="1:25" ht="15" customHeight="1">
      <c r="B15" s="1007"/>
      <c r="C15" s="1009"/>
      <c r="D15" s="1114"/>
      <c r="E15" s="313" t="s">
        <v>166</v>
      </c>
      <c r="F15" s="314"/>
      <c r="G15" s="315">
        <f>'2021'!G24-'2020'!G24</f>
        <v>0</v>
      </c>
      <c r="H15" s="316">
        <f>IF('2021'!G24=0,0,IF('2020'!G24=0,0,'2021'!G24/'2020'!G24-1))</f>
        <v>0</v>
      </c>
      <c r="I15" s="317">
        <f>'2021'!H24-'2020'!H24</f>
        <v>0</v>
      </c>
      <c r="J15" s="318">
        <f>IF(I15=0,0,'2021'!H24/'2020'!H24-1)</f>
        <v>0</v>
      </c>
      <c r="K15" s="319">
        <f>'2021'!J24-'2020'!J24</f>
        <v>0</v>
      </c>
      <c r="L15" s="318" t="e">
        <f>'2021'!I24-'2020'!I24</f>
        <v>#DIV/0!</v>
      </c>
      <c r="M15" s="319">
        <f>'2021'!L24-'2020'!L24</f>
        <v>0</v>
      </c>
      <c r="N15" s="318" t="e">
        <f>'2021'!K24-'2020'!K24</f>
        <v>#DIV/0!</v>
      </c>
      <c r="O15" s="319"/>
      <c r="P15" s="318"/>
      <c r="Q15" s="320"/>
      <c r="R15" s="321"/>
      <c r="S15" s="320"/>
      <c r="T15" s="321"/>
      <c r="U15" s="322"/>
      <c r="V15" s="323"/>
      <c r="W15" s="322"/>
      <c r="X15" s="324"/>
      <c r="Y15" s="18"/>
    </row>
    <row r="16" spans="1:25" ht="15" customHeight="1">
      <c r="B16" s="1007"/>
      <c r="C16" s="1009"/>
      <c r="D16" s="1114"/>
      <c r="E16" s="313" t="s">
        <v>166</v>
      </c>
      <c r="F16" s="314"/>
      <c r="G16" s="315">
        <f>'2021'!G25-'2020'!G25</f>
        <v>0</v>
      </c>
      <c r="H16" s="316">
        <f>IF('2021'!G25=0,0,IF('2020'!G25=0,0,'2021'!G25/'2020'!G25-1))</f>
        <v>0</v>
      </c>
      <c r="I16" s="317">
        <f>'2021'!H25-'2020'!H25</f>
        <v>0</v>
      </c>
      <c r="J16" s="318">
        <f>IF(I16=0,0,'2021'!H25/'2020'!H25-1)</f>
        <v>0</v>
      </c>
      <c r="K16" s="319">
        <f>'2021'!J25-'2020'!J25</f>
        <v>0</v>
      </c>
      <c r="L16" s="318" t="e">
        <f>'2021'!I25-'2020'!I25</f>
        <v>#DIV/0!</v>
      </c>
      <c r="M16" s="319">
        <f>'2021'!L25-'2020'!L25</f>
        <v>0</v>
      </c>
      <c r="N16" s="318" t="e">
        <f>'2021'!K25-'2020'!K25</f>
        <v>#DIV/0!</v>
      </c>
      <c r="O16" s="319"/>
      <c r="P16" s="318"/>
      <c r="Q16" s="320"/>
      <c r="R16" s="321"/>
      <c r="S16" s="320"/>
      <c r="T16" s="321"/>
      <c r="U16" s="322"/>
      <c r="V16" s="323"/>
      <c r="W16" s="322"/>
      <c r="X16" s="324"/>
      <c r="Y16" s="18"/>
    </row>
    <row r="17" spans="1:25" ht="15" customHeight="1">
      <c r="B17" s="1007"/>
      <c r="C17" s="1009"/>
      <c r="D17" s="1114"/>
      <c r="E17" s="313"/>
      <c r="F17" s="314"/>
      <c r="G17" s="315"/>
      <c r="H17" s="316"/>
      <c r="I17" s="317"/>
      <c r="J17" s="318"/>
      <c r="K17" s="319"/>
      <c r="L17" s="318"/>
      <c r="M17" s="319"/>
      <c r="N17" s="318"/>
      <c r="O17" s="319"/>
      <c r="P17" s="318"/>
      <c r="Q17" s="320"/>
      <c r="R17" s="321"/>
      <c r="S17" s="320"/>
      <c r="T17" s="321"/>
      <c r="U17" s="322"/>
      <c r="V17" s="323"/>
      <c r="W17" s="322"/>
      <c r="X17" s="324"/>
      <c r="Y17" s="18"/>
    </row>
    <row r="18" spans="1:25" ht="15" customHeight="1">
      <c r="B18" s="1007"/>
      <c r="C18" s="1009"/>
      <c r="D18" s="1114"/>
      <c r="E18" s="313"/>
      <c r="F18" s="314"/>
      <c r="G18" s="315"/>
      <c r="H18" s="316"/>
      <c r="I18" s="317"/>
      <c r="J18" s="318"/>
      <c r="K18" s="319"/>
      <c r="L18" s="318"/>
      <c r="M18" s="319"/>
      <c r="N18" s="318"/>
      <c r="O18" s="319"/>
      <c r="P18" s="318"/>
      <c r="Q18" s="320"/>
      <c r="R18" s="321"/>
      <c r="S18" s="320"/>
      <c r="T18" s="321"/>
      <c r="U18" s="322"/>
      <c r="V18" s="323"/>
      <c r="W18" s="322"/>
      <c r="X18" s="324"/>
      <c r="Y18" s="18"/>
    </row>
    <row r="19" spans="1:25" ht="15" customHeight="1">
      <c r="A19" s="20">
        <v>10</v>
      </c>
      <c r="B19" s="1007"/>
      <c r="C19" s="1009"/>
      <c r="D19" s="1114"/>
      <c r="E19" s="154" t="s">
        <v>166</v>
      </c>
      <c r="F19" s="155" t="s">
        <v>60</v>
      </c>
      <c r="G19" s="156">
        <f>'2021'!G28-'2020'!G28</f>
        <v>0</v>
      </c>
      <c r="H19" s="190">
        <f>IF('2021'!G28=0,0,IF('2020'!G28=0,0,'2021'!G28/'2020'!G28-1))</f>
        <v>0</v>
      </c>
      <c r="I19" s="181">
        <f>'2021'!H28-'2020'!H28</f>
        <v>0</v>
      </c>
      <c r="J19" s="197">
        <f>IF(I19=0,0,'2021'!H28/'2020'!H28-1)</f>
        <v>0</v>
      </c>
      <c r="K19" s="126">
        <f>'2021'!J28-'2020'!J28</f>
        <v>0</v>
      </c>
      <c r="L19" s="197" t="e">
        <f>'2021'!I28-'2020'!I28</f>
        <v>#DIV/0!</v>
      </c>
      <c r="M19" s="126">
        <f>'2021'!L28-'2020'!L28</f>
        <v>0</v>
      </c>
      <c r="N19" s="197" t="e">
        <f>'2021'!K28-'2020'!K28</f>
        <v>#DIV/0!</v>
      </c>
      <c r="O19" s="126"/>
      <c r="P19" s="197"/>
      <c r="Q19" s="71"/>
      <c r="R19" s="72"/>
      <c r="S19" s="71"/>
      <c r="T19" s="72"/>
      <c r="U19" s="48"/>
      <c r="V19" s="47"/>
      <c r="W19" s="48"/>
      <c r="X19" s="64"/>
      <c r="Y19" s="18"/>
    </row>
    <row r="20" spans="1:25" ht="15.75">
      <c r="B20" s="1007"/>
      <c r="C20" s="1010"/>
      <c r="D20" s="297" t="s">
        <v>138</v>
      </c>
      <c r="E20" s="158"/>
      <c r="F20" s="159"/>
      <c r="G20" s="160">
        <f>SUM(G7:G19)</f>
        <v>0</v>
      </c>
      <c r="H20" s="191" t="e">
        <f>G20/SUM('2020'!G13:G15,'2020'!G17:G23)</f>
        <v>#DIV/0!</v>
      </c>
      <c r="I20" s="182">
        <f>SUM(I7:I19)</f>
        <v>0</v>
      </c>
      <c r="J20" s="198" t="e">
        <f>I20/SUM('2020'!H13:H15,'2020'!H17:H23)</f>
        <v>#DIV/0!</v>
      </c>
      <c r="K20" s="129">
        <f>SUM(K7:K19)</f>
        <v>0</v>
      </c>
      <c r="L20" s="198" t="e">
        <f>K20/SUM('2020'!J13:J15,'2020'!J17:J23)</f>
        <v>#DIV/0!</v>
      </c>
      <c r="M20" s="129">
        <f>SUM(M7:M19)</f>
        <v>0</v>
      </c>
      <c r="N20" s="198" t="e">
        <f>M20/SUM('2020'!L13:L15,'2020'!L17:L23)</f>
        <v>#DIV/0!</v>
      </c>
      <c r="O20" s="129"/>
      <c r="P20" s="198"/>
      <c r="Q20" s="73"/>
      <c r="R20" s="74"/>
      <c r="S20" s="73"/>
      <c r="T20" s="74"/>
      <c r="U20" s="120"/>
      <c r="V20" s="121"/>
      <c r="W20" s="120"/>
      <c r="X20" s="122"/>
      <c r="Y20" s="18"/>
    </row>
    <row r="21" spans="1:25" ht="15" customHeight="1">
      <c r="A21" s="20">
        <v>2</v>
      </c>
      <c r="B21" s="1007" t="s">
        <v>82</v>
      </c>
      <c r="C21" s="1009" t="s">
        <v>75</v>
      </c>
      <c r="D21" s="1114">
        <f>'2021'!D35-'2020'!D35</f>
        <v>1</v>
      </c>
      <c r="E21" s="148" t="s">
        <v>13</v>
      </c>
      <c r="F21" s="149" t="s">
        <v>60</v>
      </c>
      <c r="G21" s="150">
        <f>'2021'!G35-'2020'!G35</f>
        <v>45</v>
      </c>
      <c r="H21" s="188">
        <f>IF('2021'!G35=0,0,IF('2020'!G35=0,0,'2021'!G35/'2020'!G35-1))</f>
        <v>1.4516129032258065</v>
      </c>
      <c r="I21" s="179">
        <f>'2021'!H35-'2020'!H35</f>
        <v>27</v>
      </c>
      <c r="J21" s="195">
        <f>IF('2021'!H35=0,0,IF('2020'!H35=0,0,'2021'!H35/'2020'!H35-1))</f>
        <v>1.1739130434782608</v>
      </c>
      <c r="K21" s="124">
        <f>'2021'!J35-'2020'!J35</f>
        <v>7</v>
      </c>
      <c r="L21" s="195">
        <f>'2021'!I35-'2020'!I35</f>
        <v>-9.8896434634974523E-2</v>
      </c>
      <c r="M21" s="124">
        <f>'2021'!L35-'2020'!L35</f>
        <v>18</v>
      </c>
      <c r="N21" s="195">
        <f>'2021'!K35-'2020'!K35</f>
        <v>4.5840407470288613E-2</v>
      </c>
      <c r="O21" s="124"/>
      <c r="P21" s="195"/>
      <c r="Q21" s="67"/>
      <c r="R21" s="68"/>
      <c r="S21" s="67"/>
      <c r="T21" s="68"/>
      <c r="U21" s="39" t="s">
        <v>21</v>
      </c>
      <c r="V21" s="38" t="s">
        <v>21</v>
      </c>
      <c r="W21" s="39" t="s">
        <v>21</v>
      </c>
      <c r="X21" s="56" t="s">
        <v>21</v>
      </c>
      <c r="Y21" s="18"/>
    </row>
    <row r="22" spans="1:25" ht="15" customHeight="1">
      <c r="A22" s="20">
        <v>3</v>
      </c>
      <c r="B22" s="1007"/>
      <c r="C22" s="1009"/>
      <c r="D22" s="1114"/>
      <c r="E22" s="151" t="s">
        <v>14</v>
      </c>
      <c r="F22" s="152" t="s">
        <v>60</v>
      </c>
      <c r="G22" s="153">
        <f>'2021'!G36-'2020'!G36</f>
        <v>20</v>
      </c>
      <c r="H22" s="189">
        <f>IF('2021'!G36=0,0,IF('2020'!G36=0,0,'2021'!G36/'2020'!G36-1))</f>
        <v>0.8</v>
      </c>
      <c r="I22" s="180">
        <f>'2021'!H36-'2020'!H36</f>
        <v>14</v>
      </c>
      <c r="J22" s="196">
        <f>IF(I22=0,0,'2021'!H36/'2020'!H36-1)</f>
        <v>1.0769230769230771</v>
      </c>
      <c r="K22" s="125">
        <f>'2021'!J36-'2020'!J36</f>
        <v>9</v>
      </c>
      <c r="L22" s="196">
        <f>'2021'!I36-'2020'!I36</f>
        <v>-1.3333333333333308E-2</v>
      </c>
      <c r="M22" s="125">
        <f>'2021'!L36-'2020'!L36</f>
        <v>5</v>
      </c>
      <c r="N22" s="196">
        <f>'2021'!K36-'2020'!K36</f>
        <v>-4.8888888888888871E-2</v>
      </c>
      <c r="O22" s="125"/>
      <c r="P22" s="196"/>
      <c r="Q22" s="69"/>
      <c r="R22" s="70"/>
      <c r="S22" s="69"/>
      <c r="T22" s="70"/>
      <c r="U22" s="42" t="s">
        <v>21</v>
      </c>
      <c r="V22" s="41" t="s">
        <v>21</v>
      </c>
      <c r="W22" s="42" t="s">
        <v>21</v>
      </c>
      <c r="X22" s="46" t="s">
        <v>21</v>
      </c>
      <c r="Y22" s="18"/>
    </row>
    <row r="23" spans="1:25" ht="15" customHeight="1">
      <c r="A23" s="20">
        <v>4</v>
      </c>
      <c r="B23" s="1007"/>
      <c r="C23" s="1009"/>
      <c r="D23" s="1114"/>
      <c r="E23" s="151" t="s">
        <v>15</v>
      </c>
      <c r="F23" s="152" t="s">
        <v>60</v>
      </c>
      <c r="G23" s="153">
        <f>'2021'!G37-'2020'!G37</f>
        <v>-2</v>
      </c>
      <c r="H23" s="189">
        <f>IF('2021'!G37=0,0,IF('2020'!G37=0,0,'2021'!G37/'2020'!G37-1))</f>
        <v>-0.11111111111111116</v>
      </c>
      <c r="I23" s="180">
        <f>'2021'!H37-'2020'!H37</f>
        <v>0</v>
      </c>
      <c r="J23" s="196">
        <f>IF(I23=0,0,'2021'!H37/'2020'!H37-1)</f>
        <v>0</v>
      </c>
      <c r="K23" s="125">
        <f>'2021'!J37-'2020'!J37</f>
        <v>-4</v>
      </c>
      <c r="L23" s="196">
        <f>'2021'!I37-'2020'!I37</f>
        <v>-0.1875</v>
      </c>
      <c r="M23" s="125">
        <f>'2021'!L37-'2020'!L37</f>
        <v>0</v>
      </c>
      <c r="N23" s="196">
        <f>'2021'!K37-'2020'!K37</f>
        <v>2.0833333333333343E-2</v>
      </c>
      <c r="O23" s="125"/>
      <c r="P23" s="196"/>
      <c r="Q23" s="69"/>
      <c r="R23" s="70"/>
      <c r="S23" s="69"/>
      <c r="T23" s="70"/>
      <c r="U23" s="42" t="s">
        <v>21</v>
      </c>
      <c r="V23" s="41" t="s">
        <v>21</v>
      </c>
      <c r="W23" s="42" t="s">
        <v>21</v>
      </c>
      <c r="X23" s="46" t="s">
        <v>21</v>
      </c>
      <c r="Y23" s="18"/>
    </row>
    <row r="24" spans="1:25" ht="15" customHeight="1">
      <c r="A24" s="20">
        <v>5</v>
      </c>
      <c r="B24" s="1007"/>
      <c r="C24" s="1009"/>
      <c r="D24" s="1114"/>
      <c r="E24" s="151" t="s">
        <v>140</v>
      </c>
      <c r="F24" s="152"/>
      <c r="G24" s="153"/>
      <c r="H24" s="189"/>
      <c r="I24" s="180"/>
      <c r="J24" s="196"/>
      <c r="K24" s="125"/>
      <c r="L24" s="196">
        <f>'2021'!I38-'2020'!I38</f>
        <v>-0.2857142857142857</v>
      </c>
      <c r="M24" s="125"/>
      <c r="N24" s="196">
        <f>'2021'!K38-'2020'!K38</f>
        <v>1.1904761904761918E-2</v>
      </c>
      <c r="O24" s="125"/>
      <c r="P24" s="196"/>
      <c r="Q24" s="69"/>
      <c r="R24" s="70"/>
      <c r="S24" s="69"/>
      <c r="T24" s="70"/>
      <c r="U24" s="42"/>
      <c r="V24" s="41"/>
      <c r="W24" s="42"/>
      <c r="X24" s="46"/>
      <c r="Y24" s="18"/>
    </row>
    <row r="25" spans="1:25" ht="15" customHeight="1">
      <c r="A25" s="20">
        <v>6</v>
      </c>
      <c r="B25" s="1007"/>
      <c r="C25" s="1009"/>
      <c r="D25" s="1114"/>
      <c r="E25" s="151" t="s">
        <v>16</v>
      </c>
      <c r="F25" s="152" t="s">
        <v>60</v>
      </c>
      <c r="G25" s="153">
        <f>'2021'!G39-'2020'!G39</f>
        <v>-1</v>
      </c>
      <c r="H25" s="189">
        <f>IF('2021'!G39=0,0,IF('2020'!G39=0,0,'2021'!G39/'2020'!G39-1))</f>
        <v>-7.1428571428571397E-2</v>
      </c>
      <c r="I25" s="180">
        <f>'2021'!H39-'2020'!H39</f>
        <v>-1</v>
      </c>
      <c r="J25" s="196">
        <f>IF(I25=0,0,'2021'!H39/'2020'!H39-1)</f>
        <v>-0.11111111111111116</v>
      </c>
      <c r="K25" s="125">
        <f>'2021'!J39-'2020'!J39</f>
        <v>6</v>
      </c>
      <c r="L25" s="196">
        <f>'2021'!I39-'2020'!I39</f>
        <v>0.46703296703296704</v>
      </c>
      <c r="M25" s="125">
        <f>'2021'!L39-'2020'!L39</f>
        <v>5</v>
      </c>
      <c r="N25" s="196">
        <f>'2021'!K39-'2020'!K39</f>
        <v>0.39010989010989017</v>
      </c>
      <c r="O25" s="125"/>
      <c r="P25" s="196"/>
      <c r="Q25" s="69"/>
      <c r="R25" s="70"/>
      <c r="S25" s="69"/>
      <c r="T25" s="70"/>
      <c r="U25" s="42" t="s">
        <v>21</v>
      </c>
      <c r="V25" s="41" t="s">
        <v>21</v>
      </c>
      <c r="W25" s="42" t="s">
        <v>21</v>
      </c>
      <c r="X25" s="46" t="s">
        <v>21</v>
      </c>
      <c r="Y25" s="18"/>
    </row>
    <row r="26" spans="1:25" ht="15" customHeight="1">
      <c r="A26" s="20">
        <v>7</v>
      </c>
      <c r="B26" s="1007"/>
      <c r="C26" s="1009"/>
      <c r="D26" s="1114"/>
      <c r="E26" s="151" t="s">
        <v>17</v>
      </c>
      <c r="F26" s="152" t="s">
        <v>60</v>
      </c>
      <c r="G26" s="153">
        <f>'2021'!G40-'2020'!G40</f>
        <v>0</v>
      </c>
      <c r="H26" s="189">
        <f>IF('2021'!G40=0,0,IF('2020'!G40=0,0,'2021'!G40/'2020'!G40-1))</f>
        <v>0</v>
      </c>
      <c r="I26" s="180">
        <f>'2021'!H40-'2020'!H40</f>
        <v>4</v>
      </c>
      <c r="J26" s="196">
        <f>IF(I26=0,0,'2021'!H40/'2020'!H40-1)</f>
        <v>0.25</v>
      </c>
      <c r="K26" s="125">
        <f>'2021'!J40-'2020'!J40</f>
        <v>6</v>
      </c>
      <c r="L26" s="196">
        <f>'2021'!I40-'2020'!I40</f>
        <v>0.25</v>
      </c>
      <c r="M26" s="125">
        <f>'2021'!L40-'2020'!L40</f>
        <v>2</v>
      </c>
      <c r="N26" s="196">
        <f>'2021'!K40-'2020'!K40</f>
        <v>8.3333333333333343E-2</v>
      </c>
      <c r="O26" s="125"/>
      <c r="P26" s="196"/>
      <c r="Q26" s="69"/>
      <c r="R26" s="70"/>
      <c r="S26" s="69"/>
      <c r="T26" s="70"/>
      <c r="U26" s="42" t="s">
        <v>21</v>
      </c>
      <c r="V26" s="41" t="s">
        <v>21</v>
      </c>
      <c r="W26" s="42" t="s">
        <v>21</v>
      </c>
      <c r="X26" s="46" t="s">
        <v>21</v>
      </c>
      <c r="Y26" s="18"/>
    </row>
    <row r="27" spans="1:25" ht="15" customHeight="1">
      <c r="A27" s="20">
        <v>8</v>
      </c>
      <c r="B27" s="1007"/>
      <c r="C27" s="1009"/>
      <c r="D27" s="1114"/>
      <c r="E27" s="151" t="s">
        <v>18</v>
      </c>
      <c r="F27" s="152" t="s">
        <v>60</v>
      </c>
      <c r="G27" s="153">
        <f>'2021'!G41-'2020'!G41</f>
        <v>4</v>
      </c>
      <c r="H27" s="189">
        <f>IF('2021'!G41=0,0,IF('2020'!G41=0,0,'2021'!G41/'2020'!G41-1))</f>
        <v>0.13793103448275867</v>
      </c>
      <c r="I27" s="180">
        <f>'2021'!H41-'2020'!H41</f>
        <v>4</v>
      </c>
      <c r="J27" s="196">
        <f>IF(I27=0,0,'2021'!H41/'2020'!H41-1)</f>
        <v>0.19047619047619047</v>
      </c>
      <c r="K27" s="125">
        <f>'2021'!J41-'2020'!J41</f>
        <v>0</v>
      </c>
      <c r="L27" s="196">
        <f>'2021'!I41-'2020'!I41</f>
        <v>0</v>
      </c>
      <c r="M27" s="125">
        <f>'2021'!L41-'2020'!L41</f>
        <v>-5</v>
      </c>
      <c r="N27" s="196">
        <f>'2021'!K41-'2020'!K41</f>
        <v>-0.20167189132706373</v>
      </c>
      <c r="O27" s="125"/>
      <c r="P27" s="196"/>
      <c r="Q27" s="69"/>
      <c r="R27" s="70"/>
      <c r="S27" s="69"/>
      <c r="T27" s="70"/>
      <c r="U27" s="42" t="s">
        <v>21</v>
      </c>
      <c r="V27" s="41" t="s">
        <v>21</v>
      </c>
      <c r="W27" s="42" t="s">
        <v>21</v>
      </c>
      <c r="X27" s="46" t="s">
        <v>21</v>
      </c>
      <c r="Y27" s="18"/>
    </row>
    <row r="28" spans="1:25" ht="15" customHeight="1">
      <c r="A28" s="20">
        <v>9</v>
      </c>
      <c r="B28" s="1007"/>
      <c r="C28" s="1009"/>
      <c r="D28" s="1114"/>
      <c r="E28" s="151" t="s">
        <v>19</v>
      </c>
      <c r="F28" s="152" t="s">
        <v>60</v>
      </c>
      <c r="G28" s="153">
        <f>'2021'!G42-'2020'!G42</f>
        <v>5</v>
      </c>
      <c r="H28" s="189">
        <f>IF('2021'!G42=0,0,IF('2020'!G42=0,0,'2021'!G42/'2020'!G42-1))</f>
        <v>0.18518518518518512</v>
      </c>
      <c r="I28" s="180">
        <f>'2021'!H42-'2020'!H42</f>
        <v>0</v>
      </c>
      <c r="J28" s="196">
        <f>IF(I28=0,0,'2021'!H42/'2020'!H42-1)</f>
        <v>0</v>
      </c>
      <c r="K28" s="125">
        <f>'2021'!J42-'2020'!J42</f>
        <v>-2</v>
      </c>
      <c r="L28" s="196">
        <f>'2021'!I42-'2020'!I42</f>
        <v>-0.10300925925925924</v>
      </c>
      <c r="M28" s="125">
        <f>'2021'!L42-'2020'!L42</f>
        <v>-1</v>
      </c>
      <c r="N28" s="196">
        <f>'2021'!K42-'2020'!K42</f>
        <v>-0.10648148148148145</v>
      </c>
      <c r="O28" s="125"/>
      <c r="P28" s="196"/>
      <c r="Q28" s="69"/>
      <c r="R28" s="70"/>
      <c r="S28" s="69"/>
      <c r="T28" s="70"/>
      <c r="U28" s="42" t="s">
        <v>21</v>
      </c>
      <c r="V28" s="41" t="s">
        <v>21</v>
      </c>
      <c r="W28" s="42" t="s">
        <v>21</v>
      </c>
      <c r="X28" s="46" t="s">
        <v>21</v>
      </c>
      <c r="Y28" s="18"/>
    </row>
    <row r="29" spans="1:25" ht="15" customHeight="1">
      <c r="B29" s="1007"/>
      <c r="C29" s="1009"/>
      <c r="D29" s="1114"/>
      <c r="E29" s="313"/>
      <c r="F29" s="314"/>
      <c r="G29" s="315"/>
      <c r="H29" s="316"/>
      <c r="I29" s="317"/>
      <c r="J29" s="318"/>
      <c r="K29" s="319"/>
      <c r="L29" s="318"/>
      <c r="M29" s="319"/>
      <c r="N29" s="318"/>
      <c r="O29" s="319"/>
      <c r="P29" s="318"/>
      <c r="Q29" s="320"/>
      <c r="R29" s="321"/>
      <c r="S29" s="320"/>
      <c r="T29" s="321"/>
      <c r="U29" s="322"/>
      <c r="V29" s="323"/>
      <c r="W29" s="322"/>
      <c r="X29" s="324"/>
      <c r="Y29" s="18"/>
    </row>
    <row r="30" spans="1:25" ht="15" customHeight="1">
      <c r="B30" s="1007"/>
      <c r="C30" s="1009"/>
      <c r="D30" s="1114"/>
      <c r="E30" s="313"/>
      <c r="F30" s="314"/>
      <c r="G30" s="315"/>
      <c r="H30" s="316"/>
      <c r="I30" s="317"/>
      <c r="J30" s="318"/>
      <c r="K30" s="319"/>
      <c r="L30" s="318"/>
      <c r="M30" s="319"/>
      <c r="N30" s="318"/>
      <c r="O30" s="319"/>
      <c r="P30" s="318"/>
      <c r="Q30" s="320"/>
      <c r="R30" s="321"/>
      <c r="S30" s="320"/>
      <c r="T30" s="321"/>
      <c r="U30" s="322"/>
      <c r="V30" s="323"/>
      <c r="W30" s="322"/>
      <c r="X30" s="324"/>
      <c r="Y30" s="18"/>
    </row>
    <row r="31" spans="1:25" ht="15" customHeight="1">
      <c r="A31" s="20">
        <v>10</v>
      </c>
      <c r="B31" s="1007"/>
      <c r="C31" s="1009"/>
      <c r="D31" s="1114"/>
      <c r="E31" s="154" t="s">
        <v>5</v>
      </c>
      <c r="F31" s="155" t="s">
        <v>60</v>
      </c>
      <c r="G31" s="156"/>
      <c r="H31" s="190"/>
      <c r="I31" s="181"/>
      <c r="J31" s="197"/>
      <c r="K31" s="126"/>
      <c r="L31" s="197"/>
      <c r="M31" s="126"/>
      <c r="N31" s="197"/>
      <c r="O31" s="126"/>
      <c r="P31" s="197"/>
      <c r="Q31" s="71"/>
      <c r="R31" s="72"/>
      <c r="S31" s="71"/>
      <c r="T31" s="72"/>
      <c r="U31" s="48"/>
      <c r="V31" s="47"/>
      <c r="W31" s="48"/>
      <c r="X31" s="64"/>
      <c r="Y31" s="18"/>
    </row>
    <row r="32" spans="1:25" ht="15.75">
      <c r="B32" s="1007"/>
      <c r="C32" s="1010"/>
      <c r="D32" s="157" t="s">
        <v>138</v>
      </c>
      <c r="E32" s="158"/>
      <c r="F32" s="159"/>
      <c r="G32" s="160">
        <f>SUM(G21:G31)</f>
        <v>71</v>
      </c>
      <c r="H32" s="191">
        <f>G32/SUM('2020'!G35:G37,'2020'!G39:G42)</f>
        <v>0.42261904761904762</v>
      </c>
      <c r="I32" s="182">
        <f>SUM(I21:I31)</f>
        <v>48</v>
      </c>
      <c r="J32" s="198">
        <f>I32/SUM('2020'!H35:H37,'2020'!H39:H42)</f>
        <v>0.44036697247706424</v>
      </c>
      <c r="K32" s="129">
        <f>SUM(K21:K31)</f>
        <v>22</v>
      </c>
      <c r="L32" s="198">
        <f>K32/SUM('2020'!J35:J37,'2020'!J39:J42)</f>
        <v>0.55000000000000004</v>
      </c>
      <c r="M32" s="129">
        <f>SUM(M21:M31)</f>
        <v>24</v>
      </c>
      <c r="N32" s="198">
        <f>M32/SUM('2020'!L35:L37,'2020'!L39:L42)</f>
        <v>0.45283018867924529</v>
      </c>
      <c r="O32" s="129"/>
      <c r="P32" s="198"/>
      <c r="Q32" s="73"/>
      <c r="R32" s="74"/>
      <c r="S32" s="73"/>
      <c r="T32" s="74"/>
      <c r="U32" s="120"/>
      <c r="V32" s="121"/>
      <c r="W32" s="120"/>
      <c r="X32" s="122"/>
      <c r="Y32" s="18"/>
    </row>
    <row r="33" spans="1:25">
      <c r="A33" s="20">
        <v>11</v>
      </c>
      <c r="B33" s="1088" t="s">
        <v>83</v>
      </c>
      <c r="C33" s="1119" t="s">
        <v>75</v>
      </c>
      <c r="D33" s="1115">
        <f>'2021'!D50-'2020'!D50</f>
        <v>0</v>
      </c>
      <c r="E33" s="148" t="s">
        <v>10</v>
      </c>
      <c r="F33" s="149" t="s">
        <v>60</v>
      </c>
      <c r="G33" s="150">
        <f>'2021'!G50-'2020'!G50</f>
        <v>9</v>
      </c>
      <c r="H33" s="188">
        <f>IF('2021'!G50=0,0,IF('2020'!G50=0,0,'2021'!G50/'2020'!G50-1))</f>
        <v>0.2432432432432432</v>
      </c>
      <c r="I33" s="179">
        <f>'2021'!H50-'2020'!H50</f>
        <v>9</v>
      </c>
      <c r="J33" s="195">
        <f>IF('2021'!H50=0,0,IF('2020'!H50=0,0,'2021'!H50/'2020'!H50-1))</f>
        <v>0.39130434782608692</v>
      </c>
      <c r="K33" s="124">
        <f>'2021'!J50-'2020'!J50</f>
        <v>15.94</v>
      </c>
      <c r="L33" s="195">
        <f>'2021'!I50-'2020'!I50</f>
        <v>0.27217391304347827</v>
      </c>
      <c r="M33" s="124">
        <f>'2021'!L50-'2020'!L50</f>
        <v>3.08</v>
      </c>
      <c r="N33" s="195">
        <f>'2021'!K50-'2020'!K50</f>
        <v>3.5652173913043483E-2</v>
      </c>
      <c r="O33" s="124">
        <f>IF('2020'!N50="-",0,'2021'!N50-'2020'!N50)</f>
        <v>3.08</v>
      </c>
      <c r="P33" s="195">
        <f>'2021'!M50-'2020'!M50</f>
        <v>0</v>
      </c>
      <c r="Q33" s="67"/>
      <c r="R33" s="68"/>
      <c r="S33" s="67"/>
      <c r="T33" s="68"/>
      <c r="U33" s="39" t="s">
        <v>21</v>
      </c>
      <c r="V33" s="38" t="s">
        <v>21</v>
      </c>
      <c r="W33" s="39" t="s">
        <v>21</v>
      </c>
      <c r="X33" s="56" t="s">
        <v>21</v>
      </c>
      <c r="Y33" s="18"/>
    </row>
    <row r="34" spans="1:25">
      <c r="A34" s="20">
        <v>12</v>
      </c>
      <c r="B34" s="1117"/>
      <c r="C34" s="1120"/>
      <c r="D34" s="1115"/>
      <c r="E34" s="151" t="s">
        <v>11</v>
      </c>
      <c r="F34" s="152" t="s">
        <v>60</v>
      </c>
      <c r="G34" s="153">
        <f>'2021'!G51-'2020'!G51</f>
        <v>-5</v>
      </c>
      <c r="H34" s="189">
        <f>IF('2021'!G51=0,0,IF('2020'!G51=0,0,'2021'!G51/'2020'!G51-1))</f>
        <v>-0.15151515151515149</v>
      </c>
      <c r="I34" s="180">
        <f>'2021'!H51-'2020'!H51</f>
        <v>2</v>
      </c>
      <c r="J34" s="196">
        <f>IF(I34=0,0,'2021'!H51/'2020'!H51-1)</f>
        <v>0.1333333333333333</v>
      </c>
      <c r="K34" s="125">
        <f>'2021'!J51-'2020'!J51</f>
        <v>8.1</v>
      </c>
      <c r="L34" s="196">
        <f>'2021'!I51-'2020'!I51</f>
        <v>0.34285714285714292</v>
      </c>
      <c r="M34" s="125">
        <f>'2021'!L51-'2020'!L51</f>
        <v>6.03</v>
      </c>
      <c r="N34" s="196">
        <f>'2021'!K51-'2020'!K51</f>
        <v>0.23142857142857146</v>
      </c>
      <c r="O34" s="125">
        <f>IF('2020'!N51="-",0,'2021'!N51-'2020'!N51)</f>
        <v>4.03</v>
      </c>
      <c r="P34" s="196">
        <f>'2021'!M51-'2020'!M51</f>
        <v>-0.22222222222222221</v>
      </c>
      <c r="Q34" s="69"/>
      <c r="R34" s="70"/>
      <c r="S34" s="69"/>
      <c r="T34" s="70"/>
      <c r="U34" s="42" t="s">
        <v>21</v>
      </c>
      <c r="V34" s="41" t="s">
        <v>21</v>
      </c>
      <c r="W34" s="42" t="s">
        <v>21</v>
      </c>
      <c r="X34" s="46" t="s">
        <v>21</v>
      </c>
      <c r="Y34" s="18"/>
    </row>
    <row r="35" spans="1:25">
      <c r="A35" s="20">
        <v>13</v>
      </c>
      <c r="B35" s="1117"/>
      <c r="C35" s="1120"/>
      <c r="D35" s="1115"/>
      <c r="E35" s="151" t="s">
        <v>12</v>
      </c>
      <c r="F35" s="152" t="s">
        <v>60</v>
      </c>
      <c r="G35" s="153">
        <f>'2021'!G52-'2020'!G52</f>
        <v>-1</v>
      </c>
      <c r="H35" s="189">
        <f>IF('2021'!G52=0,0,IF('2020'!G52=0,0,'2021'!G52/'2020'!G52-1))</f>
        <v>-0.16666666666666663</v>
      </c>
      <c r="I35" s="180">
        <f>'2021'!H52-'2020'!H52</f>
        <v>0</v>
      </c>
      <c r="J35" s="196">
        <f>IF(I35=0,0,'2021'!H52/'2020'!H52-1)</f>
        <v>0</v>
      </c>
      <c r="K35" s="125">
        <f>'2021'!J52-'2020'!J52</f>
        <v>3</v>
      </c>
      <c r="L35" s="196">
        <f>'2021'!I52-'2020'!I52</f>
        <v>0.6</v>
      </c>
      <c r="M35" s="125">
        <f>'2021'!L52-'2020'!L52</f>
        <v>1</v>
      </c>
      <c r="N35" s="196">
        <f>'2021'!K52-'2020'!K52</f>
        <v>0.2</v>
      </c>
      <c r="O35" s="125">
        <f>IF('2020'!N52="-",0,'2021'!N52-'2020'!N52)</f>
        <v>1</v>
      </c>
      <c r="P35" s="196">
        <f>'2021'!M52-'2020'!M52</f>
        <v>1</v>
      </c>
      <c r="Q35" s="69"/>
      <c r="R35" s="70"/>
      <c r="S35" s="69"/>
      <c r="T35" s="70"/>
      <c r="U35" s="42" t="s">
        <v>21</v>
      </c>
      <c r="V35" s="41" t="s">
        <v>21</v>
      </c>
      <c r="W35" s="42" t="s">
        <v>21</v>
      </c>
      <c r="X35" s="46" t="s">
        <v>21</v>
      </c>
      <c r="Y35" s="18"/>
    </row>
    <row r="36" spans="1:25">
      <c r="A36" s="20">
        <v>14</v>
      </c>
      <c r="B36" s="1117"/>
      <c r="C36" s="1120"/>
      <c r="D36" s="1115"/>
      <c r="E36" s="151" t="s">
        <v>7</v>
      </c>
      <c r="F36" s="152" t="s">
        <v>60</v>
      </c>
      <c r="G36" s="153">
        <f>'2021'!G53-'2020'!G53</f>
        <v>20</v>
      </c>
      <c r="H36" s="189">
        <f>IF('2021'!G53=0,0,IF('2020'!G53=0,0,'2021'!G53/'2020'!G53-1))</f>
        <v>0.8</v>
      </c>
      <c r="I36" s="180">
        <f>'2021'!H53-'2020'!H53</f>
        <v>11</v>
      </c>
      <c r="J36" s="196">
        <f>IF(I36=0,0,'2021'!H53/'2020'!H53-1)</f>
        <v>0.73333333333333339</v>
      </c>
      <c r="K36" s="125">
        <f>'2021'!J53-'2020'!J53</f>
        <v>4.9999999999999991</v>
      </c>
      <c r="L36" s="196">
        <f>'2021'!I53-'2020'!I53</f>
        <v>-1.3333333333333364E-2</v>
      </c>
      <c r="M36" s="125">
        <f>'2021'!L53-'2020'!L53</f>
        <v>8</v>
      </c>
      <c r="N36" s="196">
        <f>'2021'!K53-'2020'!K53</f>
        <v>0.10666666666666666</v>
      </c>
      <c r="O36" s="125">
        <f>IF('2020'!N53="-",0,'2021'!N53-'2020'!N53)</f>
        <v>2</v>
      </c>
      <c r="P36" s="196">
        <f>'2021'!M53-'2020'!M53</f>
        <v>0</v>
      </c>
      <c r="Q36" s="69"/>
      <c r="R36" s="70"/>
      <c r="S36" s="69"/>
      <c r="T36" s="70"/>
      <c r="U36" s="42" t="s">
        <v>21</v>
      </c>
      <c r="V36" s="41" t="s">
        <v>21</v>
      </c>
      <c r="W36" s="42" t="s">
        <v>21</v>
      </c>
      <c r="X36" s="46" t="s">
        <v>21</v>
      </c>
      <c r="Y36" s="18"/>
    </row>
    <row r="37" spans="1:25">
      <c r="A37" s="20">
        <v>15</v>
      </c>
      <c r="B37" s="1117"/>
      <c r="C37" s="1120"/>
      <c r="D37" s="1115"/>
      <c r="E37" s="151" t="s">
        <v>132</v>
      </c>
      <c r="F37" s="152" t="s">
        <v>60</v>
      </c>
      <c r="G37" s="153">
        <f>'2021'!G54-'2020'!G54</f>
        <v>-1</v>
      </c>
      <c r="H37" s="189">
        <f>IF('2021'!G54=0,0,IF('2020'!G54=0,0,'2021'!G54/'2020'!G54-1))</f>
        <v>-6.6666666666666652E-2</v>
      </c>
      <c r="I37" s="180">
        <f>'2021'!H54-'2020'!H54</f>
        <v>0</v>
      </c>
      <c r="J37" s="196">
        <f>IF(I37=0,0,'2021'!H54/'2020'!H54-1)</f>
        <v>0</v>
      </c>
      <c r="K37" s="125">
        <f>'2021'!J54-'2020'!J54</f>
        <v>1.0499999999999998</v>
      </c>
      <c r="L37" s="196">
        <f>'2021'!I54-'2020'!I54</f>
        <v>8.4285714285714269E-2</v>
      </c>
      <c r="M37" s="125">
        <f>'2021'!L54-'2020'!L54</f>
        <v>0.95</v>
      </c>
      <c r="N37" s="196">
        <f>'2021'!K54-'2020'!K54</f>
        <v>7.2857142857142843E-2</v>
      </c>
      <c r="O37" s="125">
        <f>IF('2020'!N54="-",0,'2021'!N54-'2020'!N54)</f>
        <v>1</v>
      </c>
      <c r="P37" s="196">
        <f>'2021'!M54-'2020'!M54</f>
        <v>0.5</v>
      </c>
      <c r="Q37" s="69"/>
      <c r="R37" s="70"/>
      <c r="S37" s="69"/>
      <c r="T37" s="70"/>
      <c r="U37" s="42" t="s">
        <v>21</v>
      </c>
      <c r="V37" s="41" t="s">
        <v>21</v>
      </c>
      <c r="W37" s="42" t="s">
        <v>21</v>
      </c>
      <c r="X37" s="46" t="s">
        <v>21</v>
      </c>
      <c r="Y37" s="18"/>
    </row>
    <row r="38" spans="1:25">
      <c r="A38" s="20">
        <v>16</v>
      </c>
      <c r="B38" s="1117"/>
      <c r="C38" s="1120"/>
      <c r="D38" s="1115"/>
      <c r="E38" s="151" t="s">
        <v>8</v>
      </c>
      <c r="F38" s="152" t="s">
        <v>60</v>
      </c>
      <c r="G38" s="153">
        <f>'2021'!G55-'2020'!G55</f>
        <v>15</v>
      </c>
      <c r="H38" s="189">
        <f>IF('2021'!G55=0,0,IF('2020'!G55=0,0,'2021'!G55/'2020'!G55-1))</f>
        <v>0.9375</v>
      </c>
      <c r="I38" s="180">
        <f>'2021'!H55-'2020'!H55</f>
        <v>9</v>
      </c>
      <c r="J38" s="196">
        <f>IF(I38=0,0,'2021'!H55/'2020'!H55-1)</f>
        <v>0.64285714285714279</v>
      </c>
      <c r="K38" s="125">
        <f>'2021'!J55-'2020'!J55</f>
        <v>10.92</v>
      </c>
      <c r="L38" s="196">
        <f>'2021'!I55-'2020'!I55</f>
        <v>0.1683870967741935</v>
      </c>
      <c r="M38" s="125">
        <f>'2021'!L55-'2020'!L55</f>
        <v>2.92</v>
      </c>
      <c r="N38" s="196">
        <f>'2021'!K55-'2020'!K55</f>
        <v>3.1290322580645152E-2</v>
      </c>
      <c r="O38" s="125">
        <f>IF('2020'!N55="-",0,'2021'!N55-'2020'!N55)</f>
        <v>2.92</v>
      </c>
      <c r="P38" s="196">
        <f>'2021'!M55-'2020'!M55</f>
        <v>0</v>
      </c>
      <c r="Q38" s="69"/>
      <c r="R38" s="70"/>
      <c r="S38" s="69"/>
      <c r="T38" s="70"/>
      <c r="U38" s="42" t="s">
        <v>21</v>
      </c>
      <c r="V38" s="41" t="s">
        <v>21</v>
      </c>
      <c r="W38" s="42" t="s">
        <v>21</v>
      </c>
      <c r="X38" s="46" t="s">
        <v>21</v>
      </c>
      <c r="Y38" s="18"/>
    </row>
    <row r="39" spans="1:25">
      <c r="A39" s="20">
        <v>17</v>
      </c>
      <c r="B39" s="1117"/>
      <c r="C39" s="1120"/>
      <c r="D39" s="1115"/>
      <c r="E39" s="151" t="s">
        <v>6</v>
      </c>
      <c r="F39" s="152" t="s">
        <v>60</v>
      </c>
      <c r="G39" s="153">
        <f>'2021'!G56-'2020'!G56</f>
        <v>5</v>
      </c>
      <c r="H39" s="189">
        <f>IF('2021'!G56=0,0,IF('2020'!G56=0,0,'2021'!G56/'2020'!G56-1))</f>
        <v>0.71428571428571419</v>
      </c>
      <c r="I39" s="180">
        <f>'2021'!H56-'2020'!H56</f>
        <v>2</v>
      </c>
      <c r="J39" s="196">
        <f>IF(I39=0,0,'2021'!H56/'2020'!H56-1)</f>
        <v>0.39999999999999991</v>
      </c>
      <c r="K39" s="125">
        <f>'2021'!J56-'2020'!J56</f>
        <v>3.02</v>
      </c>
      <c r="L39" s="196">
        <f>'2021'!I56-'2020'!I56</f>
        <v>0.1933333333333333</v>
      </c>
      <c r="M39" s="125">
        <f>'2021'!L56-'2020'!L56</f>
        <v>4</v>
      </c>
      <c r="N39" s="196">
        <f>'2021'!K56-'2020'!K56</f>
        <v>0.33333333333333331</v>
      </c>
      <c r="O39" s="125">
        <f>IF('2020'!N56="-",0,'2021'!N56-'2020'!N56)</f>
        <v>2</v>
      </c>
      <c r="P39" s="196">
        <f>'2021'!M56-'2020'!M56</f>
        <v>0.5</v>
      </c>
      <c r="Q39" s="69"/>
      <c r="R39" s="70"/>
      <c r="S39" s="69"/>
      <c r="T39" s="70"/>
      <c r="U39" s="42" t="s">
        <v>21</v>
      </c>
      <c r="V39" s="41" t="s">
        <v>21</v>
      </c>
      <c r="W39" s="42" t="s">
        <v>21</v>
      </c>
      <c r="X39" s="46" t="s">
        <v>21</v>
      </c>
      <c r="Y39" s="18"/>
    </row>
    <row r="40" spans="1:25">
      <c r="B40" s="1117"/>
      <c r="C40" s="1120"/>
      <c r="D40" s="1115"/>
      <c r="E40" s="313"/>
      <c r="F40" s="314"/>
      <c r="G40" s="315"/>
      <c r="H40" s="316"/>
      <c r="I40" s="317"/>
      <c r="J40" s="318"/>
      <c r="K40" s="319"/>
      <c r="L40" s="318"/>
      <c r="M40" s="319"/>
      <c r="N40" s="318"/>
      <c r="O40" s="319"/>
      <c r="P40" s="318"/>
      <c r="Q40" s="320"/>
      <c r="R40" s="321"/>
      <c r="S40" s="320"/>
      <c r="T40" s="321"/>
      <c r="U40" s="322"/>
      <c r="V40" s="323"/>
      <c r="W40" s="322"/>
      <c r="X40" s="324"/>
      <c r="Y40" s="18"/>
    </row>
    <row r="41" spans="1:25">
      <c r="B41" s="1117"/>
      <c r="C41" s="1120"/>
      <c r="D41" s="1115"/>
      <c r="E41" s="313"/>
      <c r="F41" s="314"/>
      <c r="G41" s="315"/>
      <c r="H41" s="316"/>
      <c r="I41" s="317"/>
      <c r="J41" s="318"/>
      <c r="K41" s="319"/>
      <c r="L41" s="318"/>
      <c r="M41" s="319"/>
      <c r="N41" s="318"/>
      <c r="O41" s="319"/>
      <c r="P41" s="318"/>
      <c r="Q41" s="320"/>
      <c r="R41" s="321"/>
      <c r="S41" s="320"/>
      <c r="T41" s="321"/>
      <c r="U41" s="322"/>
      <c r="V41" s="323"/>
      <c r="W41" s="322"/>
      <c r="X41" s="324"/>
      <c r="Y41" s="18"/>
    </row>
    <row r="42" spans="1:25">
      <c r="A42" s="20">
        <v>18</v>
      </c>
      <c r="B42" s="1117"/>
      <c r="C42" s="1120"/>
      <c r="D42" s="1115"/>
      <c r="E42" s="154" t="s">
        <v>9</v>
      </c>
      <c r="F42" s="155" t="s">
        <v>60</v>
      </c>
      <c r="G42" s="156">
        <f>'2021'!G60-'2020'!G60</f>
        <v>-3</v>
      </c>
      <c r="H42" s="190">
        <f>IF('2021'!G60=0,0,IF('2020'!G60=0,0,'2021'!G60/'2020'!G60-1))</f>
        <v>-0.15000000000000002</v>
      </c>
      <c r="I42" s="181">
        <f>'2021'!H60-'2020'!H60</f>
        <v>0</v>
      </c>
      <c r="J42" s="197">
        <f>IF(I42=0,0,'2021'!H60/'2020'!H60-1)</f>
        <v>0</v>
      </c>
      <c r="K42" s="126">
        <f>'2021'!J60-'2020'!J60</f>
        <v>2</v>
      </c>
      <c r="L42" s="197">
        <f>'2021'!I60-'2020'!I60</f>
        <v>0.16176470588235292</v>
      </c>
      <c r="M42" s="126">
        <f>'2021'!L60-'2020'!L60</f>
        <v>1</v>
      </c>
      <c r="N42" s="197">
        <f>'2021'!K60-'2020'!K60</f>
        <v>8.5294117647058826E-2</v>
      </c>
      <c r="O42" s="126">
        <f>IF('2020'!N60="-",0,'2021'!N60-'2020'!N60)</f>
        <v>1.0000000000000009E-2</v>
      </c>
      <c r="P42" s="197">
        <f>'2021'!M60-'2020'!M60</f>
        <v>-8.0000000000000016E-2</v>
      </c>
      <c r="Q42" s="71"/>
      <c r="R42" s="72"/>
      <c r="S42" s="71"/>
      <c r="T42" s="72"/>
      <c r="U42" s="48" t="s">
        <v>21</v>
      </c>
      <c r="V42" s="47" t="s">
        <v>21</v>
      </c>
      <c r="W42" s="48" t="s">
        <v>21</v>
      </c>
      <c r="X42" s="64" t="s">
        <v>21</v>
      </c>
      <c r="Y42" s="18"/>
    </row>
    <row r="43" spans="1:25" ht="16.5" thickBot="1">
      <c r="B43" s="1118"/>
      <c r="C43" s="1121"/>
      <c r="D43" s="161" t="s">
        <v>138</v>
      </c>
      <c r="E43" s="162"/>
      <c r="F43" s="163"/>
      <c r="G43" s="160">
        <f>SUM(G33:G42)</f>
        <v>39</v>
      </c>
      <c r="H43" s="191">
        <f>G43/SUM('2020'!G50:G60)</f>
        <v>0.24528301886792453</v>
      </c>
      <c r="I43" s="182">
        <f>SUM(I33:I42)</f>
        <v>33</v>
      </c>
      <c r="J43" s="198">
        <f>I43/SUM('2020'!H50:H60)</f>
        <v>0.3473684210526316</v>
      </c>
      <c r="K43" s="129">
        <f>SUM(K33:K42)</f>
        <v>49.03</v>
      </c>
      <c r="L43" s="198">
        <f>K43/SUM('2020'!J50:J60)</f>
        <v>1.0902824104958861</v>
      </c>
      <c r="M43" s="129">
        <f>SUM(M33:M42)</f>
        <v>26.979999999999997</v>
      </c>
      <c r="N43" s="198">
        <f>M43/SUM('2020'!L50:L60)</f>
        <v>1.41850683491062</v>
      </c>
      <c r="O43" s="129">
        <f>SUM(O33:O42)</f>
        <v>16.040000000000003</v>
      </c>
      <c r="P43" s="198">
        <f>O43/SUM('2020'!N50:N60)</f>
        <v>1.2376543209876545</v>
      </c>
      <c r="Q43" s="123"/>
      <c r="R43" s="130"/>
      <c r="S43" s="123"/>
      <c r="T43" s="130"/>
      <c r="U43" s="131"/>
      <c r="V43" s="132"/>
      <c r="W43" s="131"/>
      <c r="X43" s="133"/>
      <c r="Y43" s="18"/>
    </row>
    <row r="44" spans="1:25" s="15" customFormat="1" ht="21" customHeight="1" thickBot="1">
      <c r="A44" s="22"/>
      <c r="B44" s="103" t="s">
        <v>78</v>
      </c>
      <c r="C44" s="104"/>
      <c r="D44" s="165">
        <f>SUM(D5:D42)</f>
        <v>11</v>
      </c>
      <c r="E44" s="166">
        <f>COUNT(A5:A43)</f>
        <v>28</v>
      </c>
      <c r="F44" s="167">
        <f>COUNT(K5:K42)</f>
        <v>30</v>
      </c>
      <c r="G44" s="168">
        <f>G5+G32+G43</f>
        <v>149</v>
      </c>
      <c r="H44" s="193">
        <f>G44/'2020'!G65</f>
        <v>0.37817258883248733</v>
      </c>
      <c r="I44" s="184">
        <f>I5+I32+I43</f>
        <v>146</v>
      </c>
      <c r="J44" s="200">
        <f>I44/'2020'!H65</f>
        <v>0.62127659574468086</v>
      </c>
      <c r="K44" s="134">
        <f>K5+K32+K43</f>
        <v>71.03</v>
      </c>
      <c r="L44" s="271">
        <f>K44/'2020'!J65</f>
        <v>0.79835899741485894</v>
      </c>
      <c r="M44" s="134">
        <f>M5+M32+M43</f>
        <v>51.98</v>
      </c>
      <c r="N44" s="271">
        <f>M44/'2020'!L65</f>
        <v>0.58391372725230273</v>
      </c>
      <c r="O44" s="134">
        <f>O5+O32+O43</f>
        <v>16.040000000000003</v>
      </c>
      <c r="P44" s="200">
        <f>O44/'2020'!N65</f>
        <v>1.072192513368984</v>
      </c>
      <c r="Q44" s="135"/>
      <c r="R44" s="136"/>
      <c r="S44" s="135"/>
      <c r="T44" s="136"/>
      <c r="U44" s="137"/>
      <c r="V44" s="138"/>
      <c r="W44" s="137"/>
      <c r="X44" s="139"/>
      <c r="Y44" s="19"/>
    </row>
    <row r="45" spans="1:25" ht="15" customHeight="1">
      <c r="A45" s="20">
        <v>19</v>
      </c>
      <c r="B45" s="1083" t="s">
        <v>84</v>
      </c>
      <c r="C45" s="1085" t="s">
        <v>76</v>
      </c>
      <c r="D45" s="1116">
        <f>'2021'!D66-'2020'!D66</f>
        <v>-25</v>
      </c>
      <c r="E45" s="148" t="s">
        <v>25</v>
      </c>
      <c r="F45" s="149" t="s">
        <v>60</v>
      </c>
      <c r="G45" s="150"/>
      <c r="H45" s="188"/>
      <c r="I45" s="179"/>
      <c r="J45" s="195"/>
      <c r="K45" s="124"/>
      <c r="L45" s="195"/>
      <c r="M45" s="124"/>
      <c r="N45" s="195"/>
      <c r="O45" s="124"/>
      <c r="P45" s="195"/>
      <c r="Q45" s="140"/>
      <c r="R45" s="141"/>
      <c r="S45" s="140"/>
      <c r="T45" s="141"/>
      <c r="U45" s="142"/>
      <c r="V45" s="115"/>
      <c r="W45" s="142"/>
      <c r="X45" s="143"/>
      <c r="Y45" s="18"/>
    </row>
    <row r="46" spans="1:25" ht="15" customHeight="1">
      <c r="A46" s="20">
        <v>20</v>
      </c>
      <c r="B46" s="981"/>
      <c r="C46" s="984"/>
      <c r="D46" s="1115"/>
      <c r="E46" s="151" t="s">
        <v>26</v>
      </c>
      <c r="F46" s="152" t="s">
        <v>60</v>
      </c>
      <c r="G46" s="153"/>
      <c r="H46" s="189"/>
      <c r="I46" s="180"/>
      <c r="J46" s="196"/>
      <c r="K46" s="125"/>
      <c r="L46" s="196"/>
      <c r="M46" s="125"/>
      <c r="N46" s="196"/>
      <c r="O46" s="125"/>
      <c r="P46" s="196"/>
      <c r="Q46" s="69"/>
      <c r="R46" s="70"/>
      <c r="S46" s="69"/>
      <c r="T46" s="70"/>
      <c r="U46" s="43"/>
      <c r="V46" s="44"/>
      <c r="W46" s="43"/>
      <c r="X46" s="45"/>
      <c r="Y46" s="18"/>
    </row>
    <row r="47" spans="1:25" ht="15" customHeight="1">
      <c r="A47" s="20">
        <v>21</v>
      </c>
      <c r="B47" s="981"/>
      <c r="C47" s="984"/>
      <c r="D47" s="1115"/>
      <c r="E47" s="151" t="s">
        <v>58</v>
      </c>
      <c r="F47" s="152" t="s">
        <v>60</v>
      </c>
      <c r="G47" s="153">
        <f>'2021'!G68-'2020'!G68</f>
        <v>6</v>
      </c>
      <c r="H47" s="189">
        <f>IF('2021'!G68=0,0,IF('2020'!G68=0,0,'2021'!G68/'2020'!G68-1))</f>
        <v>2.7027027027026973E-2</v>
      </c>
      <c r="I47" s="180">
        <f>'2021'!H68-'2020'!H68</f>
        <v>59</v>
      </c>
      <c r="J47" s="196">
        <f>IF(I47=0,0,'2021'!H68/'2020'!H68-1)</f>
        <v>0.89393939393939403</v>
      </c>
      <c r="K47" s="125">
        <f>'2021'!J68-'2020'!J68</f>
        <v>-47</v>
      </c>
      <c r="L47" s="196">
        <f>IF('2021'!J68=0,0,IF('2020'!J68=0,0,'2021'!J68/'2020'!J68-1))</f>
        <v>-0.34306569343065696</v>
      </c>
      <c r="M47" s="125">
        <f>'2021'!L68-'2020'!L68</f>
        <v>3</v>
      </c>
      <c r="N47" s="196">
        <f>IF('2021'!L68=0,0,IF('2020'!L68=0,0,'2021'!L68/'2020'!L68-1))</f>
        <v>3.4090909090909172E-2</v>
      </c>
      <c r="O47" s="125">
        <f>IF('2020'!N68="-",0,'2021'!N68-'2020'!N68)</f>
        <v>0</v>
      </c>
      <c r="P47" s="196">
        <f>IF('2021'!N68=0,0,IF('2020'!N68="-",0,'2021'!N68/'2020'!N68-1))</f>
        <v>0</v>
      </c>
      <c r="Q47" s="69"/>
      <c r="R47" s="70"/>
      <c r="S47" s="69"/>
      <c r="T47" s="70"/>
      <c r="U47" s="42" t="s">
        <v>21</v>
      </c>
      <c r="V47" s="41" t="s">
        <v>21</v>
      </c>
      <c r="W47" s="42" t="s">
        <v>21</v>
      </c>
      <c r="X47" s="46" t="s">
        <v>21</v>
      </c>
      <c r="Y47" s="18"/>
    </row>
    <row r="48" spans="1:25" ht="15" customHeight="1">
      <c r="A48" s="20">
        <v>22</v>
      </c>
      <c r="B48" s="981"/>
      <c r="C48" s="984"/>
      <c r="D48" s="1115"/>
      <c r="E48" s="169" t="s">
        <v>24</v>
      </c>
      <c r="F48" s="170" t="s">
        <v>62</v>
      </c>
      <c r="G48" s="153">
        <f>'2021'!G69-'2020'!G69</f>
        <v>35</v>
      </c>
      <c r="H48" s="189">
        <f>IF('2021'!G69=0,0,IF('2020'!G69=0,0,'2021'!G69/'2020'!G69-1))</f>
        <v>0.33018867924528306</v>
      </c>
      <c r="I48" s="180">
        <f>'2021'!H69-'2020'!H69</f>
        <v>45</v>
      </c>
      <c r="J48" s="196">
        <f>IF(I48=0,0,'2021'!H69/'2020'!H69-1)</f>
        <v>1.2857142857142856</v>
      </c>
      <c r="K48" s="125">
        <f>'2021'!J69-'2020'!J69</f>
        <v>26</v>
      </c>
      <c r="L48" s="196">
        <f>IF('2021'!J69=0,0,IF('2020'!J69=0,0,'2021'!J69/'2020'!J69-1))</f>
        <v>0.66666666666666674</v>
      </c>
      <c r="M48" s="125">
        <f>'2021'!L69-'2020'!L69</f>
        <v>14</v>
      </c>
      <c r="N48" s="196">
        <f>IF('2021'!L69=0,0,IF('2020'!L69=0,0,'2021'!L69/'2020'!L69-1))</f>
        <v>0.29166666666666674</v>
      </c>
      <c r="O48" s="125">
        <f>IF('2020'!N69="-",0,'2021'!N69-'2020'!N69)</f>
        <v>0</v>
      </c>
      <c r="P48" s="196">
        <f>IF('2021'!N69=0,0,IF('2020'!N69="-",0,'2021'!N69/'2020'!N69-1))</f>
        <v>0</v>
      </c>
      <c r="Q48" s="69"/>
      <c r="R48" s="70"/>
      <c r="S48" s="69"/>
      <c r="T48" s="70"/>
      <c r="U48" s="43"/>
      <c r="V48" s="44"/>
      <c r="W48" s="43"/>
      <c r="X48" s="45"/>
      <c r="Y48" s="18"/>
    </row>
    <row r="49" spans="1:25" ht="15" customHeight="1">
      <c r="A49" s="20">
        <v>23</v>
      </c>
      <c r="B49" s="981"/>
      <c r="C49" s="984"/>
      <c r="D49" s="1115"/>
      <c r="E49" s="151" t="s">
        <v>23</v>
      </c>
      <c r="F49" s="152" t="s">
        <v>60</v>
      </c>
      <c r="G49" s="153">
        <f>'2021'!G70-'2020'!G70</f>
        <v>28</v>
      </c>
      <c r="H49" s="189">
        <f>IF('2021'!G70=0,0,IF('2020'!G70=0,0,'2021'!G70/'2020'!G70-1))</f>
        <v>0.13592233009708732</v>
      </c>
      <c r="I49" s="180">
        <f>'2021'!H70-'2020'!H70</f>
        <v>57</v>
      </c>
      <c r="J49" s="196">
        <f>IF(I49=0,0,'2021'!H70/'2020'!H70-1)</f>
        <v>0.81428571428571428</v>
      </c>
      <c r="K49" s="125">
        <f>'2021'!J70-'2020'!J70</f>
        <v>12</v>
      </c>
      <c r="L49" s="196">
        <f>IF('2021'!J70=0,0,IF('2020'!J70=0,0,'2021'!J70/'2020'!J70-1))</f>
        <v>0.13793103448275867</v>
      </c>
      <c r="M49" s="125">
        <f>'2021'!L70-'2020'!L70</f>
        <v>29</v>
      </c>
      <c r="N49" s="196">
        <f>IF('2021'!L70=0,0,IF('2020'!L70=0,0,'2021'!L70/'2020'!L70-1))</f>
        <v>0.34939759036144569</v>
      </c>
      <c r="O49" s="125">
        <f>IF('2020'!N70="-",0,'2021'!N70-'2020'!N70)</f>
        <v>0</v>
      </c>
      <c r="P49" s="196">
        <f>IF('2021'!N70=0,0,IF('2020'!N70="-",0,'2021'!N70/'2020'!N70-1))</f>
        <v>0</v>
      </c>
      <c r="Q49" s="69"/>
      <c r="R49" s="70"/>
      <c r="S49" s="69"/>
      <c r="T49" s="70"/>
      <c r="U49" s="42" t="s">
        <v>21</v>
      </c>
      <c r="V49" s="41" t="s">
        <v>21</v>
      </c>
      <c r="W49" s="42" t="s">
        <v>21</v>
      </c>
      <c r="X49" s="46" t="s">
        <v>21</v>
      </c>
      <c r="Y49" s="18"/>
    </row>
    <row r="50" spans="1:25" ht="15" customHeight="1">
      <c r="B50" s="981"/>
      <c r="C50" s="984"/>
      <c r="D50" s="1115"/>
      <c r="E50" s="313"/>
      <c r="F50" s="314"/>
      <c r="G50" s="315"/>
      <c r="H50" s="316"/>
      <c r="I50" s="317"/>
      <c r="J50" s="318"/>
      <c r="K50" s="319"/>
      <c r="L50" s="318"/>
      <c r="M50" s="319"/>
      <c r="N50" s="318"/>
      <c r="O50" s="319"/>
      <c r="P50" s="318"/>
      <c r="Q50" s="320"/>
      <c r="R50" s="321"/>
      <c r="S50" s="320"/>
      <c r="T50" s="321"/>
      <c r="U50" s="322"/>
      <c r="V50" s="323"/>
      <c r="W50" s="322"/>
      <c r="X50" s="324"/>
      <c r="Y50" s="18"/>
    </row>
    <row r="51" spans="1:25" ht="15" customHeight="1">
      <c r="B51" s="981"/>
      <c r="C51" s="984"/>
      <c r="D51" s="1115"/>
      <c r="E51" s="313"/>
      <c r="F51" s="314"/>
      <c r="G51" s="315"/>
      <c r="H51" s="316"/>
      <c r="I51" s="317"/>
      <c r="J51" s="318"/>
      <c r="K51" s="319"/>
      <c r="L51" s="318"/>
      <c r="M51" s="319"/>
      <c r="N51" s="318"/>
      <c r="O51" s="319"/>
      <c r="P51" s="318"/>
      <c r="Q51" s="320"/>
      <c r="R51" s="321"/>
      <c r="S51" s="320"/>
      <c r="T51" s="321"/>
      <c r="U51" s="322"/>
      <c r="V51" s="323"/>
      <c r="W51" s="322"/>
      <c r="X51" s="324"/>
      <c r="Y51" s="18"/>
    </row>
    <row r="52" spans="1:25" ht="15" customHeight="1">
      <c r="A52" s="20">
        <v>24</v>
      </c>
      <c r="B52" s="981"/>
      <c r="C52" s="984"/>
      <c r="D52" s="1115"/>
      <c r="E52" s="154" t="s">
        <v>22</v>
      </c>
      <c r="F52" s="155" t="s">
        <v>62</v>
      </c>
      <c r="G52" s="156">
        <f>'2021'!G73-'2020'!G73</f>
        <v>-16</v>
      </c>
      <c r="H52" s="190">
        <f>IF('2021'!G73=0,0,IF('2020'!G73=0,0,'2021'!G73/'2020'!G73-1))</f>
        <v>-9.2485549132947931E-2</v>
      </c>
      <c r="I52" s="181">
        <f>'2021'!H73-'2020'!H73</f>
        <v>20</v>
      </c>
      <c r="J52" s="197">
        <f>IF(I52=0,0,'2021'!H73/'2020'!H73-1)</f>
        <v>0.32258064516129026</v>
      </c>
      <c r="K52" s="126">
        <f>'2021'!J73-'2020'!J73</f>
        <v>-3</v>
      </c>
      <c r="L52" s="197">
        <f>IF('2021'!J73=0,0,IF('2020'!J73=0,0,'2021'!J73/'2020'!J73-1))</f>
        <v>-7.6923076923076872E-2</v>
      </c>
      <c r="M52" s="126">
        <f>'2021'!L73-'2020'!L73</f>
        <v>-26</v>
      </c>
      <c r="N52" s="197">
        <f>IF('2021'!L73=0,0,IF('2020'!L73=0,0,'2021'!L73/'2020'!L73-1))</f>
        <v>-0.34666666666666668</v>
      </c>
      <c r="O52" s="126">
        <f>IF('2020'!N73="-",0,'2021'!N73-'2020'!N73)</f>
        <v>0</v>
      </c>
      <c r="P52" s="197">
        <f>IF('2021'!N73=0,0,IF('2020'!N73="-",0,'2021'!N73/'2020'!N73-1))</f>
        <v>0</v>
      </c>
      <c r="Q52" s="71"/>
      <c r="R52" s="72"/>
      <c r="S52" s="71"/>
      <c r="T52" s="72"/>
      <c r="U52" s="49"/>
      <c r="V52" s="50"/>
      <c r="W52" s="49"/>
      <c r="X52" s="51"/>
      <c r="Y52" s="18"/>
    </row>
    <row r="53" spans="1:25" ht="15.75">
      <c r="B53" s="1109"/>
      <c r="C53" s="986"/>
      <c r="D53" s="176" t="s">
        <v>138</v>
      </c>
      <c r="E53" s="158"/>
      <c r="F53" s="159"/>
      <c r="G53" s="160">
        <f>SUM(G45:G52)</f>
        <v>53</v>
      </c>
      <c r="H53" s="191">
        <f>G53/SUM('2020'!G68:G73)</f>
        <v>7.4964639321074958E-2</v>
      </c>
      <c r="I53" s="182">
        <f>SUM(I45:I52)</f>
        <v>181</v>
      </c>
      <c r="J53" s="198">
        <f>I53/SUM('2020'!H68:H73)</f>
        <v>0.77682403433476399</v>
      </c>
      <c r="K53" s="129">
        <f>SUM(K45:K52)</f>
        <v>-12</v>
      </c>
      <c r="L53" s="198">
        <f>K53/SUM('2020'!J68:J73)</f>
        <v>-3.9735099337748346E-2</v>
      </c>
      <c r="M53" s="129">
        <f>SUM(M45:M52)</f>
        <v>20</v>
      </c>
      <c r="N53" s="198">
        <f>M53/SUM('2020'!L68:L73)</f>
        <v>6.8027210884353748E-2</v>
      </c>
      <c r="O53" s="129">
        <f>SUM(O45:O52)</f>
        <v>0</v>
      </c>
      <c r="P53" s="198" t="e">
        <f>O53/SUM('2020'!N68:N73)</f>
        <v>#DIV/0!</v>
      </c>
      <c r="Q53" s="73"/>
      <c r="R53" s="74"/>
      <c r="S53" s="73"/>
      <c r="T53" s="74"/>
      <c r="U53" s="53"/>
      <c r="V53" s="54"/>
      <c r="W53" s="53"/>
      <c r="X53" s="55"/>
      <c r="Y53" s="18"/>
    </row>
    <row r="54" spans="1:25">
      <c r="A54" s="20">
        <v>25</v>
      </c>
      <c r="B54" s="981" t="s">
        <v>167</v>
      </c>
      <c r="C54" s="984" t="s">
        <v>76</v>
      </c>
      <c r="D54" s="1110">
        <f>'2021'!D67-'2020'!D78</f>
        <v>0</v>
      </c>
      <c r="E54" s="148" t="s">
        <v>166</v>
      </c>
      <c r="F54" s="149" t="s">
        <v>62</v>
      </c>
      <c r="G54" s="150">
        <f>'2021'!G67-'2020'!G78</f>
        <v>0</v>
      </c>
      <c r="H54" s="188">
        <f>IF('2021'!G67=0,0,IF('2020'!G78=0,0,'2021'!G67/'2020'!G78-1))</f>
        <v>0</v>
      </c>
      <c r="I54" s="179">
        <f>'2021'!H67-'2020'!H78</f>
        <v>0</v>
      </c>
      <c r="J54" s="195">
        <f>IF(I54=0,0,'2021'!H67/'2020'!H78-1)</f>
        <v>0</v>
      </c>
      <c r="K54" s="124">
        <f>'2021'!J67-'2020'!J78</f>
        <v>0</v>
      </c>
      <c r="L54" s="195">
        <f>IF('2021'!J67=0,0,IF('2020'!J78=0,0,'2021'!J67/'2020'!J78-1))</f>
        <v>0</v>
      </c>
      <c r="M54" s="124">
        <f>'2021'!L67-'2020'!L78</f>
        <v>0</v>
      </c>
      <c r="N54" s="195">
        <f>IF('2021'!L67=0,0,IF('2020'!L78=0,0,'2021'!L67/'2020'!L78-1))</f>
        <v>0</v>
      </c>
      <c r="O54" s="124" t="e">
        <f>IF('2020'!N78="-",0,'2021'!N67-'2020'!N78)</f>
        <v>#VALUE!</v>
      </c>
      <c r="P54" s="195" t="e">
        <f>IF('2021'!N67=0,0,IF('2020'!N78="-",0,'2021'!N67/'2020'!N78-1))</f>
        <v>#VALUE!</v>
      </c>
      <c r="Q54" s="67"/>
      <c r="R54" s="68"/>
      <c r="S54" s="67"/>
      <c r="T54" s="68"/>
      <c r="U54" s="40">
        <f>'2021'!S67-'2020'!S78</f>
        <v>0</v>
      </c>
      <c r="V54" s="218">
        <f>IF('2021'!S67=0,0,IF('2020'!S78=0,0,'2021'!S67/'2020'!S78-1))</f>
        <v>0</v>
      </c>
      <c r="W54" s="40">
        <f>'2021'!U67-'2020'!U78</f>
        <v>0</v>
      </c>
      <c r="X54" s="219">
        <f>IF('2021'!U67=0,0,IF('2020'!U78=0,0,'2021'!U67/'2020'!U78-1))</f>
        <v>0</v>
      </c>
      <c r="Y54" s="18"/>
    </row>
    <row r="55" spans="1:25">
      <c r="A55" s="20">
        <v>26</v>
      </c>
      <c r="B55" s="981"/>
      <c r="C55" s="984"/>
      <c r="D55" s="1111"/>
      <c r="E55" s="151" t="s">
        <v>166</v>
      </c>
      <c r="F55" s="152" t="s">
        <v>62</v>
      </c>
      <c r="G55" s="153">
        <f>'2021'!G68-'2020'!G79</f>
        <v>228</v>
      </c>
      <c r="H55" s="189">
        <f>IF('2021'!G68=0,0,IF('2020'!G79=0,0,'2021'!G68/'2020'!G79-1))</f>
        <v>0</v>
      </c>
      <c r="I55" s="180">
        <f>'2021'!H68-'2020'!H79</f>
        <v>125</v>
      </c>
      <c r="J55" s="196" t="e">
        <f>IF(I55=0,0,'2021'!H68/'2020'!H79-1)</f>
        <v>#DIV/0!</v>
      </c>
      <c r="K55" s="125">
        <f>'2021'!J68-'2020'!J79</f>
        <v>90</v>
      </c>
      <c r="L55" s="196">
        <f>IF('2021'!J68=0,0,IF('2020'!J79=0,0,'2021'!J68/'2020'!J79-1))</f>
        <v>0</v>
      </c>
      <c r="M55" s="125">
        <f>'2021'!L68-'2020'!L79</f>
        <v>91</v>
      </c>
      <c r="N55" s="196">
        <f>IF('2021'!L68=0,0,IF('2020'!L79=0,0,'2021'!L68/'2020'!L79-1))</f>
        <v>0</v>
      </c>
      <c r="O55" s="125" t="e">
        <f>IF('2020'!N79="-",0,'2021'!N68-'2020'!N79)</f>
        <v>#VALUE!</v>
      </c>
      <c r="P55" s="196" t="e">
        <f>IF('2021'!N68=0,0,IF('2020'!N79="-",0,'2021'!N68/'2020'!N79-1))</f>
        <v>#VALUE!</v>
      </c>
      <c r="Q55" s="69"/>
      <c r="R55" s="70"/>
      <c r="S55" s="69"/>
      <c r="T55" s="70"/>
      <c r="U55" s="43" t="e">
        <f>'2021'!S68-'2020'!S79</f>
        <v>#VALUE!</v>
      </c>
      <c r="V55" s="220">
        <f>IF('2021'!S68=0,0,IF('2020'!S79=0,0,'2021'!S68/'2020'!S79-1))</f>
        <v>0</v>
      </c>
      <c r="W55" s="43" t="e">
        <f>'2021'!U68-'2020'!U79</f>
        <v>#VALUE!</v>
      </c>
      <c r="X55" s="222">
        <f>IF('2021'!U68=0,0,IF('2020'!U79=0,0,'2021'!U68/'2020'!U79-1))</f>
        <v>0</v>
      </c>
      <c r="Y55" s="18"/>
    </row>
    <row r="56" spans="1:25">
      <c r="A56" s="20">
        <v>27</v>
      </c>
      <c r="B56" s="981"/>
      <c r="C56" s="984"/>
      <c r="D56" s="1111"/>
      <c r="E56" s="151" t="s">
        <v>166</v>
      </c>
      <c r="F56" s="152" t="s">
        <v>62</v>
      </c>
      <c r="G56" s="153">
        <f>'2021'!G69-'2020'!G80</f>
        <v>141</v>
      </c>
      <c r="H56" s="189">
        <f>IF('2021'!G69=0,0,IF('2020'!G80=0,0,'2021'!G69/'2020'!G80-1))</f>
        <v>0</v>
      </c>
      <c r="I56" s="180">
        <f>'2021'!H69-'2020'!H80</f>
        <v>80</v>
      </c>
      <c r="J56" s="196" t="e">
        <f>IF(I56=0,0,'2021'!H69/'2020'!H80-1)</f>
        <v>#DIV/0!</v>
      </c>
      <c r="K56" s="125">
        <f>'2021'!J69-'2020'!J80</f>
        <v>65</v>
      </c>
      <c r="L56" s="196">
        <f>IF('2021'!J69=0,0,IF('2020'!J80=0,0,'2021'!J69/'2020'!J80-1))</f>
        <v>0</v>
      </c>
      <c r="M56" s="125">
        <f>'2021'!L69-'2020'!L80</f>
        <v>62</v>
      </c>
      <c r="N56" s="196">
        <f>IF('2021'!L69=0,0,IF('2020'!L80=0,0,'2021'!L69/'2020'!L80-1))</f>
        <v>0</v>
      </c>
      <c r="O56" s="125" t="e">
        <f>IF('2020'!N80="-",0,'2021'!N69-'2020'!N80)</f>
        <v>#VALUE!</v>
      </c>
      <c r="P56" s="196" t="e">
        <f>IF('2021'!N69=0,0,IF('2020'!N80="-",0,'2021'!N69/'2020'!N80-1))</f>
        <v>#VALUE!</v>
      </c>
      <c r="Q56" s="69"/>
      <c r="R56" s="70"/>
      <c r="S56" s="69"/>
      <c r="T56" s="70"/>
      <c r="U56" s="43">
        <f>'2021'!S69-'2020'!S80</f>
        <v>0</v>
      </c>
      <c r="V56" s="220">
        <f>IF('2021'!S69=0,0,IF('2020'!S80=0,0,'2021'!S69/'2020'!S80-1))</f>
        <v>0</v>
      </c>
      <c r="W56" s="43">
        <f>'2021'!U69-'2020'!U80</f>
        <v>0</v>
      </c>
      <c r="X56" s="222">
        <f>IF('2021'!U69=0,0,IF('2020'!U80=0,0,'2021'!U69/'2020'!U80-1))</f>
        <v>0</v>
      </c>
      <c r="Y56" s="18"/>
    </row>
    <row r="57" spans="1:25">
      <c r="A57" s="20">
        <v>28</v>
      </c>
      <c r="B57" s="981"/>
      <c r="C57" s="984"/>
      <c r="D57" s="1111"/>
      <c r="E57" s="151" t="s">
        <v>166</v>
      </c>
      <c r="F57" s="152" t="s">
        <v>62</v>
      </c>
      <c r="G57" s="153">
        <f>'2021'!G70-'2020'!G81</f>
        <v>234</v>
      </c>
      <c r="H57" s="189">
        <f>IF('2021'!G70=0,0,IF('2020'!G81=0,0,'2021'!G70/'2020'!G81-1))</f>
        <v>0</v>
      </c>
      <c r="I57" s="180">
        <f>'2021'!H70-'2020'!H81</f>
        <v>127</v>
      </c>
      <c r="J57" s="196" t="e">
        <f>IF(I57=0,0,'2021'!H70/'2020'!H81-1)</f>
        <v>#DIV/0!</v>
      </c>
      <c r="K57" s="125">
        <f>'2021'!J70-'2020'!J81</f>
        <v>99</v>
      </c>
      <c r="L57" s="196">
        <f>IF('2021'!J70=0,0,IF('2020'!J81=0,0,'2021'!J70/'2020'!J81-1))</f>
        <v>0</v>
      </c>
      <c r="M57" s="125">
        <f>'2021'!L70-'2020'!L81</f>
        <v>112</v>
      </c>
      <c r="N57" s="196">
        <f>IF('2021'!L70=0,0,IF('2020'!L81=0,0,'2021'!L70/'2020'!L81-1))</f>
        <v>0</v>
      </c>
      <c r="O57" s="125" t="e">
        <f>IF('2020'!N81="-",0,'2021'!N70-'2020'!N81)</f>
        <v>#VALUE!</v>
      </c>
      <c r="P57" s="196" t="e">
        <f>IF('2021'!N70=0,0,IF('2020'!N81="-",0,'2021'!N70/'2020'!N81-1))</f>
        <v>#VALUE!</v>
      </c>
      <c r="Q57" s="69"/>
      <c r="R57" s="70"/>
      <c r="S57" s="69"/>
      <c r="T57" s="70"/>
      <c r="U57" s="43" t="e">
        <f>'2021'!S70-'2020'!S81</f>
        <v>#VALUE!</v>
      </c>
      <c r="V57" s="220">
        <f>IF('2021'!S70=0,0,IF('2020'!S81=0,0,'2021'!S70/'2020'!S81-1))</f>
        <v>0</v>
      </c>
      <c r="W57" s="43" t="e">
        <f>'2021'!U70-'2020'!U81</f>
        <v>#VALUE!</v>
      </c>
      <c r="X57" s="222">
        <f>IF('2021'!U70=0,0,IF('2020'!U81=0,0,'2021'!U70/'2020'!U81-1))</f>
        <v>0</v>
      </c>
      <c r="Y57" s="18"/>
    </row>
    <row r="58" spans="1:25">
      <c r="B58" s="981"/>
      <c r="C58" s="984"/>
      <c r="D58" s="1112"/>
      <c r="E58" s="313" t="s">
        <v>166</v>
      </c>
      <c r="F58" s="314"/>
      <c r="G58" s="153">
        <f>'2021'!G71-'2020'!G82</f>
        <v>0</v>
      </c>
      <c r="H58" s="189">
        <f>IF('2021'!G71=0,0,IF('2020'!G82=0,0,'2021'!G71/'2020'!G82-1))</f>
        <v>0</v>
      </c>
      <c r="I58" s="180">
        <f>'2021'!H71-'2020'!H82</f>
        <v>0</v>
      </c>
      <c r="J58" s="196">
        <f>IF(I58=0,0,'2021'!H71/'2020'!H82-1)</f>
        <v>0</v>
      </c>
      <c r="K58" s="125">
        <f>'2021'!J71-'2020'!J82</f>
        <v>0</v>
      </c>
      <c r="L58" s="196">
        <f>IF('2021'!J71=0,0,IF('2020'!J82=0,0,'2021'!J71/'2020'!J82-1))</f>
        <v>0</v>
      </c>
      <c r="M58" s="125">
        <f>'2021'!L71-'2020'!L82</f>
        <v>0</v>
      </c>
      <c r="N58" s="196">
        <f>IF('2021'!L71=0,0,IF('2020'!L82=0,0,'2021'!L71/'2020'!L82-1))</f>
        <v>0</v>
      </c>
      <c r="O58" s="125">
        <f>IF('2020'!N82="-",0,'2021'!N71-'2020'!N82)</f>
        <v>0</v>
      </c>
      <c r="P58" s="196">
        <f>IF('2021'!N71=0,0,IF('2020'!N82="-",0,'2021'!N71/'2020'!N82-1))</f>
        <v>0</v>
      </c>
      <c r="Q58" s="69"/>
      <c r="R58" s="70"/>
      <c r="S58" s="69"/>
      <c r="T58" s="70"/>
      <c r="U58" s="43">
        <f>'2021'!S71-'2020'!S82</f>
        <v>0</v>
      </c>
      <c r="V58" s="220">
        <f>IF('2021'!S71=0,0,IF('2020'!S82=0,0,'2021'!S71/'2020'!S82-1))</f>
        <v>0</v>
      </c>
      <c r="W58" s="43">
        <f>'2021'!U71-'2020'!U82</f>
        <v>0</v>
      </c>
      <c r="X58" s="222">
        <f>IF('2021'!U71=0,0,IF('2020'!U82=0,0,'2021'!U71/'2020'!U82-1))</f>
        <v>0</v>
      </c>
      <c r="Y58" s="211"/>
    </row>
    <row r="59" spans="1:25">
      <c r="B59" s="981"/>
      <c r="C59" s="984"/>
      <c r="D59" s="1112"/>
      <c r="E59" s="313" t="s">
        <v>166</v>
      </c>
      <c r="F59" s="314"/>
      <c r="G59" s="153">
        <f>'2021'!G72-'2020'!G83</f>
        <v>0</v>
      </c>
      <c r="H59" s="189">
        <f>IF('2021'!G72=0,0,IF('2020'!G83=0,0,'2021'!G72/'2020'!G83-1))</f>
        <v>0</v>
      </c>
      <c r="I59" s="180">
        <f>'2021'!H72-'2020'!H83</f>
        <v>0</v>
      </c>
      <c r="J59" s="196">
        <f>IF(I59=0,0,'2021'!H72/'2020'!H83-1)</f>
        <v>0</v>
      </c>
      <c r="K59" s="125">
        <f>'2021'!J72-'2020'!J83</f>
        <v>0</v>
      </c>
      <c r="L59" s="196">
        <f>IF('2021'!J72=0,0,IF('2020'!J83=0,0,'2021'!J72/'2020'!J83-1))</f>
        <v>0</v>
      </c>
      <c r="M59" s="125">
        <f>'2021'!L72-'2020'!L83</f>
        <v>0</v>
      </c>
      <c r="N59" s="196">
        <f>IF('2021'!L72=0,0,IF('2020'!L83=0,0,'2021'!L72/'2020'!L83-1))</f>
        <v>0</v>
      </c>
      <c r="O59" s="125">
        <f>IF('2020'!N83="-",0,'2021'!N72-'2020'!N83)</f>
        <v>0</v>
      </c>
      <c r="P59" s="196">
        <f>IF('2021'!N72=0,0,IF('2020'!N83="-",0,'2021'!N72/'2020'!N83-1))</f>
        <v>0</v>
      </c>
      <c r="Q59" s="69"/>
      <c r="R59" s="70"/>
      <c r="S59" s="69"/>
      <c r="T59" s="70"/>
      <c r="U59" s="43">
        <f>'2021'!S72-'2020'!S83</f>
        <v>0</v>
      </c>
      <c r="V59" s="220">
        <f>IF('2021'!S72=0,0,IF('2020'!S83=0,0,'2021'!S72/'2020'!S83-1))</f>
        <v>0</v>
      </c>
      <c r="W59" s="43">
        <f>'2021'!U72-'2020'!U83</f>
        <v>0</v>
      </c>
      <c r="X59" s="222">
        <f>IF('2021'!U72=0,0,IF('2020'!U83=0,0,'2021'!U72/'2020'!U83-1))</f>
        <v>0</v>
      </c>
      <c r="Y59" s="211"/>
    </row>
    <row r="60" spans="1:25">
      <c r="A60" s="20">
        <v>29</v>
      </c>
      <c r="B60" s="981"/>
      <c r="C60" s="984"/>
      <c r="D60" s="1113"/>
      <c r="E60" s="272" t="s">
        <v>166</v>
      </c>
      <c r="F60" s="171" t="s">
        <v>62</v>
      </c>
      <c r="G60" s="156">
        <f>'2021'!G73-'2020'!G84</f>
        <v>157</v>
      </c>
      <c r="H60" s="190">
        <f>IF('2021'!G73=0,0,IF('2020'!G84=0,0,'2021'!G73/'2020'!G84-1))</f>
        <v>0</v>
      </c>
      <c r="I60" s="181">
        <f>'2021'!H73-'2020'!H84</f>
        <v>82</v>
      </c>
      <c r="J60" s="197" t="e">
        <f>IF(I60=0,0,'2021'!H73/'2020'!H84-1)</f>
        <v>#DIV/0!</v>
      </c>
      <c r="K60" s="126">
        <f>'2021'!J73-'2020'!J84</f>
        <v>36</v>
      </c>
      <c r="L60" s="197">
        <f>IF('2021'!J73=0,0,IF('2020'!J84=0,0,'2021'!J73/'2020'!J84-1))</f>
        <v>0</v>
      </c>
      <c r="M60" s="126">
        <f>'2021'!L73-'2020'!L84</f>
        <v>49</v>
      </c>
      <c r="N60" s="197">
        <f>IF('2021'!L73=0,0,IF('2020'!L84=0,0,'2021'!L73/'2020'!L84-1))</f>
        <v>0</v>
      </c>
      <c r="O60" s="126" t="e">
        <f>IF('2020'!N84="-",0,'2021'!N73-'2020'!N84)</f>
        <v>#VALUE!</v>
      </c>
      <c r="P60" s="197" t="e">
        <f>IF('2021'!N73=0,0,IF('2020'!N84="-",0,'2021'!N73/'2020'!N84-1))</f>
        <v>#VALUE!</v>
      </c>
      <c r="Q60" s="71"/>
      <c r="R60" s="72"/>
      <c r="S60" s="71"/>
      <c r="T60" s="72"/>
      <c r="U60" s="49">
        <f>'2021'!S73-'2020'!S84</f>
        <v>0</v>
      </c>
      <c r="V60" s="221">
        <f>IF('2021'!S73=0,0,IF('2020'!S84=0,0,'2021'!S73/'2020'!S84-1))</f>
        <v>0</v>
      </c>
      <c r="W60" s="49">
        <f>'2021'!U73-'2020'!U84</f>
        <v>0</v>
      </c>
      <c r="X60" s="223">
        <f>IF('2021'!U73=0,0,IF('2020'!U84=0,0,'2021'!U73/'2020'!U84-1))</f>
        <v>0</v>
      </c>
      <c r="Y60" s="211" t="s">
        <v>145</v>
      </c>
    </row>
    <row r="61" spans="1:25" ht="15.75">
      <c r="B61" s="1109"/>
      <c r="C61" s="986"/>
      <c r="D61" s="330" t="s">
        <v>138</v>
      </c>
      <c r="E61" s="207"/>
      <c r="F61" s="208"/>
      <c r="G61" s="160">
        <f>SUM(G54:G60)</f>
        <v>760</v>
      </c>
      <c r="H61" s="191" t="e">
        <f>G61/SUM('2020'!G78:G84)</f>
        <v>#DIV/0!</v>
      </c>
      <c r="I61" s="182">
        <f>SUM(I54:I60)</f>
        <v>414</v>
      </c>
      <c r="J61" s="198" t="e">
        <f>I61/SUM('2020'!H78:H84)</f>
        <v>#DIV/0!</v>
      </c>
      <c r="K61" s="129">
        <f>SUM(K54:K60)</f>
        <v>290</v>
      </c>
      <c r="L61" s="198" t="e">
        <f>K61/SUM('2020'!J78:J84)</f>
        <v>#DIV/0!</v>
      </c>
      <c r="M61" s="129">
        <f>SUM(M54:M60)</f>
        <v>314</v>
      </c>
      <c r="N61" s="198" t="e">
        <f>M61/SUM('2020'!L78:L84)</f>
        <v>#DIV/0!</v>
      </c>
      <c r="O61" s="129" t="e">
        <f>SUM(O54:O60)</f>
        <v>#VALUE!</v>
      </c>
      <c r="P61" s="198" t="e">
        <f>O61/SUM('2020'!N78:N84)</f>
        <v>#VALUE!</v>
      </c>
      <c r="Q61" s="73"/>
      <c r="R61" s="74"/>
      <c r="S61" s="73"/>
      <c r="T61" s="74"/>
      <c r="U61" s="53" t="e">
        <f>SUM(U54:U60)</f>
        <v>#VALUE!</v>
      </c>
      <c r="V61" s="224">
        <f>IF('2021'!S77=0,0,IF('2020'!S85=0,0,'2021'!S77/'2020'!S85-1))</f>
        <v>0</v>
      </c>
      <c r="W61" s="53" t="e">
        <f>SUM(W54:W60)</f>
        <v>#VALUE!</v>
      </c>
      <c r="X61" s="225">
        <f>IF('2021'!U77=0,0,IF('2020'!U85=0,0,'2021'!U77/'2020'!U85-1))</f>
        <v>0</v>
      </c>
      <c r="Y61" s="18"/>
    </row>
    <row r="62" spans="1:25">
      <c r="A62" s="20">
        <v>25</v>
      </c>
      <c r="B62" s="981" t="s">
        <v>1</v>
      </c>
      <c r="C62" s="984" t="s">
        <v>76</v>
      </c>
      <c r="D62" s="1110">
        <f>'2021'!D86-'2020'!D86</f>
        <v>-1</v>
      </c>
      <c r="E62" s="148" t="s">
        <v>27</v>
      </c>
      <c r="F62" s="149" t="s">
        <v>62</v>
      </c>
      <c r="G62" s="150">
        <f>'2021'!G86-'2020'!G86</f>
        <v>20</v>
      </c>
      <c r="H62" s="188">
        <f>IF('2021'!G86=0,0,IF('2020'!G86=0,0,'2021'!G86/'2020'!G86-1))</f>
        <v>0.60606060606060597</v>
      </c>
      <c r="I62" s="179">
        <f>'2021'!H86-'2020'!H86</f>
        <v>5</v>
      </c>
      <c r="J62" s="195">
        <f>IF(I62=0,0,'2021'!H86/'2020'!H86-1)</f>
        <v>0.1515151515151516</v>
      </c>
      <c r="K62" s="124">
        <f>'2021'!J86-'2020'!J86</f>
        <v>11</v>
      </c>
      <c r="L62" s="195">
        <f>IF('2021'!J86=0,0,IF('2020'!J86=0,0,'2021'!J86/'2020'!J86-1))</f>
        <v>0.52380952380952372</v>
      </c>
      <c r="M62" s="124">
        <f>'2021'!L86-'2020'!L86</f>
        <v>4</v>
      </c>
      <c r="N62" s="195">
        <f>IF('2021'!L86=0,0,IF('2020'!L86=0,0,'2021'!L86/'2020'!L86-1))</f>
        <v>0.5</v>
      </c>
      <c r="O62" s="124">
        <f>IF('2020'!N86="-",0,'2021'!N86-'2020'!N86)</f>
        <v>3</v>
      </c>
      <c r="P62" s="195">
        <f>IF('2021'!N86=0,0,IF('2020'!N86="-",0,'2021'!N86/'2020'!N86-1))</f>
        <v>0.4285714285714286</v>
      </c>
      <c r="Q62" s="67"/>
      <c r="R62" s="68"/>
      <c r="S62" s="67"/>
      <c r="T62" s="68"/>
      <c r="U62" s="40">
        <f>'2021'!S86-'2020'!S86</f>
        <v>18</v>
      </c>
      <c r="V62" s="218">
        <f>IF('2021'!S86=0,0,IF('2020'!S86=0,0,'2021'!S86/'2020'!S86-1))</f>
        <v>0.54545454545454541</v>
      </c>
      <c r="W62" s="40">
        <f>'2021'!U86-'2020'!U86</f>
        <v>2</v>
      </c>
      <c r="X62" s="219">
        <f>IF('2021'!U86=0,0,IF('2020'!U86=0,0,'2021'!U86/'2020'!U86-1))</f>
        <v>0</v>
      </c>
      <c r="Y62" s="18"/>
    </row>
    <row r="63" spans="1:25">
      <c r="A63" s="20">
        <v>26</v>
      </c>
      <c r="B63" s="981"/>
      <c r="C63" s="984"/>
      <c r="D63" s="1111"/>
      <c r="E63" s="151" t="s">
        <v>28</v>
      </c>
      <c r="F63" s="152" t="s">
        <v>62</v>
      </c>
      <c r="G63" s="153">
        <f>'2021'!G87-'2020'!G87</f>
        <v>29</v>
      </c>
      <c r="H63" s="189">
        <f>IF('2021'!G87=0,0,IF('2020'!G87=0,0,'2021'!G87/'2020'!G87-1))</f>
        <v>0.32954545454545459</v>
      </c>
      <c r="I63" s="180">
        <f>'2021'!H87-'2020'!H87</f>
        <v>-2</v>
      </c>
      <c r="J63" s="196">
        <f>IF(I63=0,0,'2021'!H87/'2020'!H87-1)</f>
        <v>-2.2727272727272707E-2</v>
      </c>
      <c r="K63" s="125">
        <f>'2021'!J87-'2020'!J87</f>
        <v>28</v>
      </c>
      <c r="L63" s="196">
        <f>IF('2021'!J87=0,0,IF('2020'!J87=0,0,'2021'!J87/'2020'!J87-1))</f>
        <v>0.52830188679245293</v>
      </c>
      <c r="M63" s="125">
        <f>'2021'!L87-'2020'!L87</f>
        <v>15</v>
      </c>
      <c r="N63" s="196">
        <f>IF('2021'!L87=0,0,IF('2020'!L87=0,0,'2021'!L87/'2020'!L87-1))</f>
        <v>0.46875</v>
      </c>
      <c r="O63" s="125">
        <f>IF('2020'!N87="-",0,'2021'!N87-'2020'!N87)</f>
        <v>6</v>
      </c>
      <c r="P63" s="196">
        <f>IF('2021'!N87=0,0,IF('2020'!N87="-",0,'2021'!N87/'2020'!N87-1))</f>
        <v>0.22222222222222232</v>
      </c>
      <c r="Q63" s="69"/>
      <c r="R63" s="70"/>
      <c r="S63" s="69"/>
      <c r="T63" s="70"/>
      <c r="U63" s="43">
        <f>'2021'!S87-'2020'!S87</f>
        <v>34</v>
      </c>
      <c r="V63" s="220">
        <f>IF('2021'!S87=0,0,IF('2020'!S87=0,0,'2021'!S87/'2020'!S87-1))</f>
        <v>0.4358974358974359</v>
      </c>
      <c r="W63" s="43">
        <f>'2021'!U87-'2020'!U87</f>
        <v>-5</v>
      </c>
      <c r="X63" s="222">
        <f>IF('2021'!U87=0,0,IF('2020'!U87=0,0,'2021'!U87/'2020'!U87-1))</f>
        <v>-0.5</v>
      </c>
      <c r="Y63" s="18"/>
    </row>
    <row r="64" spans="1:25">
      <c r="A64" s="20">
        <v>27</v>
      </c>
      <c r="B64" s="981"/>
      <c r="C64" s="984"/>
      <c r="D64" s="1111"/>
      <c r="E64" s="151" t="s">
        <v>29</v>
      </c>
      <c r="F64" s="152" t="s">
        <v>62</v>
      </c>
      <c r="G64" s="153">
        <f>'2021'!G88-'2020'!G88</f>
        <v>8</v>
      </c>
      <c r="H64" s="189">
        <f>IF('2021'!G88=0,0,IF('2020'!G88=0,0,'2021'!G88/'2020'!G88-1))</f>
        <v>0.5714285714285714</v>
      </c>
      <c r="I64" s="180">
        <f>'2021'!H88-'2020'!H88</f>
        <v>6</v>
      </c>
      <c r="J64" s="196">
        <f>IF(I64=0,0,'2021'!H88/'2020'!H88-1)</f>
        <v>0.4285714285714286</v>
      </c>
      <c r="K64" s="125">
        <f>'2021'!J88-'2020'!J88</f>
        <v>7</v>
      </c>
      <c r="L64" s="196">
        <f>IF('2021'!J88=0,0,IF('2020'!J88=0,0,'2021'!J88/'2020'!J88-1))</f>
        <v>0.77777777777777768</v>
      </c>
      <c r="M64" s="125">
        <f>'2021'!L88-'2020'!L88</f>
        <v>5</v>
      </c>
      <c r="N64" s="196">
        <f>IF('2021'!L88=0,0,IF('2020'!L88=0,0,'2021'!L88/'2020'!L88-1))</f>
        <v>0.71428571428571419</v>
      </c>
      <c r="O64" s="125">
        <f>IF('2020'!N88="-",0,'2021'!N88-'2020'!N88)</f>
        <v>5</v>
      </c>
      <c r="P64" s="196">
        <f>IF('2021'!N88=0,0,IF('2020'!N88="-",0,'2021'!N88/'2020'!N88-1))</f>
        <v>1.25</v>
      </c>
      <c r="Q64" s="69"/>
      <c r="R64" s="70"/>
      <c r="S64" s="69"/>
      <c r="T64" s="70"/>
      <c r="U64" s="43">
        <f>'2021'!S88-'2020'!S88</f>
        <v>8</v>
      </c>
      <c r="V64" s="220">
        <f>IF('2021'!S88=0,0,IF('2020'!S88=0,0,'2021'!S88/'2020'!S88-1))</f>
        <v>0.5714285714285714</v>
      </c>
      <c r="W64" s="43">
        <f>'2021'!U88-'2020'!U88</f>
        <v>0</v>
      </c>
      <c r="X64" s="222">
        <f>IF('2021'!U88=0,0,IF('2020'!U88=0,0,'2021'!U88/'2020'!U88-1))</f>
        <v>0</v>
      </c>
      <c r="Y64" s="18"/>
    </row>
    <row r="65" spans="1:25">
      <c r="A65" s="20">
        <v>28</v>
      </c>
      <c r="B65" s="981"/>
      <c r="C65" s="984"/>
      <c r="D65" s="1111"/>
      <c r="E65" s="151" t="s">
        <v>30</v>
      </c>
      <c r="F65" s="152" t="s">
        <v>62</v>
      </c>
      <c r="G65" s="153">
        <f>'2021'!G89-'2020'!G89</f>
        <v>26</v>
      </c>
      <c r="H65" s="189">
        <f>IF('2021'!G89=0,0,IF('2020'!G89=0,0,'2021'!G89/'2020'!G89-1))</f>
        <v>1.1304347826086958</v>
      </c>
      <c r="I65" s="180">
        <f>'2021'!H89-'2020'!H89</f>
        <v>10</v>
      </c>
      <c r="J65" s="196">
        <f>IF(I65=0,0,'2021'!H89/'2020'!H89-1)</f>
        <v>0.43478260869565211</v>
      </c>
      <c r="K65" s="125">
        <f>'2021'!J89-'2020'!J89</f>
        <v>20</v>
      </c>
      <c r="L65" s="196">
        <f>IF('2021'!J89=0,0,IF('2020'!J89=0,0,'2021'!J89/'2020'!J89-1))</f>
        <v>1.3333333333333335</v>
      </c>
      <c r="M65" s="125">
        <f>'2021'!L89-'2020'!L89</f>
        <v>9</v>
      </c>
      <c r="N65" s="196">
        <f>IF('2021'!L89=0,0,IF('2020'!L89=0,0,'2021'!L89/'2020'!L89-1))</f>
        <v>0.81818181818181812</v>
      </c>
      <c r="O65" s="125">
        <f>IF('2020'!N89="-",0,'2021'!N89-'2020'!N89)</f>
        <v>9</v>
      </c>
      <c r="P65" s="196">
        <f>IF('2021'!N89=0,0,IF('2020'!N89="-",0,'2021'!N89/'2020'!N89-1))</f>
        <v>1.125</v>
      </c>
      <c r="Q65" s="69"/>
      <c r="R65" s="70"/>
      <c r="S65" s="69"/>
      <c r="T65" s="70"/>
      <c r="U65" s="43">
        <f>'2021'!S89-'2020'!S89</f>
        <v>26</v>
      </c>
      <c r="V65" s="220">
        <f>IF('2021'!S89=0,0,IF('2020'!S89=0,0,'2021'!S89/'2020'!S89-1))</f>
        <v>1.2999999999999998</v>
      </c>
      <c r="W65" s="43">
        <f>'2021'!U89-'2020'!U89</f>
        <v>0</v>
      </c>
      <c r="X65" s="222">
        <f>IF('2021'!U89=0,0,IF('2020'!U89=0,0,'2021'!U89/'2020'!U89-1))</f>
        <v>0</v>
      </c>
      <c r="Y65" s="18"/>
    </row>
    <row r="66" spans="1:25">
      <c r="B66" s="981"/>
      <c r="C66" s="984"/>
      <c r="D66" s="1112"/>
      <c r="E66" s="313"/>
      <c r="F66" s="314"/>
      <c r="G66" s="315"/>
      <c r="H66" s="316"/>
      <c r="I66" s="317"/>
      <c r="J66" s="318"/>
      <c r="K66" s="319"/>
      <c r="L66" s="318"/>
      <c r="M66" s="319"/>
      <c r="N66" s="318"/>
      <c r="O66" s="319"/>
      <c r="P66" s="318"/>
      <c r="Q66" s="320"/>
      <c r="R66" s="321"/>
      <c r="S66" s="320"/>
      <c r="T66" s="321"/>
      <c r="U66" s="268"/>
      <c r="V66" s="325"/>
      <c r="W66" s="268"/>
      <c r="X66" s="269"/>
      <c r="Y66" s="211"/>
    </row>
    <row r="67" spans="1:25">
      <c r="B67" s="981"/>
      <c r="C67" s="984"/>
      <c r="D67" s="1112"/>
      <c r="E67" s="313"/>
      <c r="F67" s="314"/>
      <c r="G67" s="315"/>
      <c r="H67" s="316"/>
      <c r="I67" s="317"/>
      <c r="J67" s="318"/>
      <c r="K67" s="319"/>
      <c r="L67" s="318"/>
      <c r="M67" s="319"/>
      <c r="N67" s="318"/>
      <c r="O67" s="319"/>
      <c r="P67" s="318"/>
      <c r="Q67" s="320"/>
      <c r="R67" s="321"/>
      <c r="S67" s="320"/>
      <c r="T67" s="321"/>
      <c r="U67" s="268"/>
      <c r="V67" s="325"/>
      <c r="W67" s="268"/>
      <c r="X67" s="269"/>
      <c r="Y67" s="211"/>
    </row>
    <row r="68" spans="1:25">
      <c r="A68" s="20">
        <v>29</v>
      </c>
      <c r="B68" s="981"/>
      <c r="C68" s="984"/>
      <c r="D68" s="1113"/>
      <c r="E68" s="272" t="s">
        <v>31</v>
      </c>
      <c r="F68" s="171" t="s">
        <v>62</v>
      </c>
      <c r="G68" s="156">
        <f>'2021'!G150-'2020'!G150</f>
        <v>8</v>
      </c>
      <c r="H68" s="190">
        <f>IF('2021'!G150=0,0,IF('2020'!G150=0,0,'2021'!G150/'2020'!G150-1))</f>
        <v>0.22222222222222232</v>
      </c>
      <c r="I68" s="181">
        <f>'2021'!H150-'2020'!H150</f>
        <v>8</v>
      </c>
      <c r="J68" s="197">
        <f>IF(I68=0,0,'2021'!H150/'2020'!H150-1)</f>
        <v>0.22222222222222232</v>
      </c>
      <c r="K68" s="126">
        <f>'2021'!J150-'2020'!J150</f>
        <v>10</v>
      </c>
      <c r="L68" s="197">
        <f>IF('2021'!J150=0,0,IF('2020'!J150=0,0,'2021'!J150/'2020'!J150-1))</f>
        <v>0.55555555555555558</v>
      </c>
      <c r="M68" s="126">
        <f>'2021'!L150-'2020'!L150</f>
        <v>-1</v>
      </c>
      <c r="N68" s="197">
        <f>IF('2021'!L150=0,0,IF('2020'!L150=0,0,'2021'!L150/'2020'!L150-1))</f>
        <v>-5.8823529411764719E-2</v>
      </c>
      <c r="O68" s="126">
        <f>IF('2020'!N150="-",0,'2021'!N150-'2020'!N150)</f>
        <v>2</v>
      </c>
      <c r="P68" s="197">
        <f>IF('2021'!N150=0,0,IF('2020'!N150="-",0,'2021'!N150/'2020'!N150-1))</f>
        <v>0.15384615384615374</v>
      </c>
      <c r="Q68" s="71"/>
      <c r="R68" s="72"/>
      <c r="S68" s="71"/>
      <c r="T68" s="72"/>
      <c r="U68" s="49">
        <f>'2021'!S150-'2020'!S150</f>
        <v>4</v>
      </c>
      <c r="V68" s="221">
        <f>IF('2021'!S150=0,0,IF('2020'!S150=0,0,'2021'!S150/'2020'!S150-1))</f>
        <v>0.11111111111111116</v>
      </c>
      <c r="W68" s="49">
        <f>'2021'!U150-'2020'!U150</f>
        <v>4</v>
      </c>
      <c r="X68" s="223">
        <f>IF('2021'!U150=0,0,IF('2020'!U150=0,0,'2021'!U150/'2020'!U150-1))</f>
        <v>0</v>
      </c>
      <c r="Y68" s="211" t="s">
        <v>145</v>
      </c>
    </row>
    <row r="69" spans="1:25" ht="15.75">
      <c r="B69" s="1109"/>
      <c r="C69" s="986"/>
      <c r="D69" s="236" t="s">
        <v>138</v>
      </c>
      <c r="E69" s="207"/>
      <c r="F69" s="208"/>
      <c r="G69" s="160">
        <f>SUM(G62:G68)</f>
        <v>91</v>
      </c>
      <c r="H69" s="191">
        <f>G69/SUM('2020'!G86:G150)</f>
        <v>2.4574669187145556E-2</v>
      </c>
      <c r="I69" s="182">
        <f>SUM(I62:I68)</f>
        <v>27</v>
      </c>
      <c r="J69" s="198">
        <f>I69/SUM('2020'!H86:H150)</f>
        <v>8.6124401913875593E-3</v>
      </c>
      <c r="K69" s="129">
        <f>SUM(K62:K68)</f>
        <v>76</v>
      </c>
      <c r="L69" s="198">
        <f>K69/SUM('2020'!J86:J150)</f>
        <v>8.5287846481876331E-2</v>
      </c>
      <c r="M69" s="129">
        <f>SUM(M62:M68)</f>
        <v>32</v>
      </c>
      <c r="N69" s="198">
        <f>M69/SUM('2020'!L86:L150)</f>
        <v>2.2604936352976078E-2</v>
      </c>
      <c r="O69" s="129">
        <f>SUM(O62:O68)</f>
        <v>25</v>
      </c>
      <c r="P69" s="198">
        <f>O69/SUM('2020'!N86:N150)</f>
        <v>0.14302026768817463</v>
      </c>
      <c r="Q69" s="73"/>
      <c r="R69" s="74"/>
      <c r="S69" s="73"/>
      <c r="T69" s="74"/>
      <c r="U69" s="53">
        <f>SUM(U62:U68)</f>
        <v>90</v>
      </c>
      <c r="V69" s="224">
        <f>IF('2021'!S95=0,0,IF('2020'!S95=0,0,'2021'!S95/'2020'!S95-1))</f>
        <v>0.59310344827586214</v>
      </c>
      <c r="W69" s="53">
        <f>SUM(W62:W68)</f>
        <v>1</v>
      </c>
      <c r="X69" s="225">
        <f>IF('2021'!U95=0,0,IF('2020'!U95=0,0,'2021'!U95/'2020'!U95-1))</f>
        <v>-0.23076923076923073</v>
      </c>
      <c r="Y69" s="18"/>
    </row>
    <row r="70" spans="1:25" ht="15" customHeight="1">
      <c r="A70" s="20">
        <v>30</v>
      </c>
      <c r="B70" s="980" t="s">
        <v>45</v>
      </c>
      <c r="C70" s="1119" t="s">
        <v>76</v>
      </c>
      <c r="D70" s="1132">
        <f>'2021'!D96-'2020'!D96</f>
        <v>7</v>
      </c>
      <c r="E70" s="172" t="s">
        <v>32</v>
      </c>
      <c r="F70" s="173" t="s">
        <v>62</v>
      </c>
      <c r="G70" s="150">
        <f>'2021'!G96-'2020'!G96</f>
        <v>17</v>
      </c>
      <c r="H70" s="188">
        <f>IF('2021'!G96=0,0,IF('2020'!G96=0,0,'2021'!G96/'2020'!G96-1))</f>
        <v>0.28813559322033888</v>
      </c>
      <c r="I70" s="179">
        <f>'2021'!H96-'2020'!H96</f>
        <v>17</v>
      </c>
      <c r="J70" s="195">
        <f>IF(I70=0,0,'2021'!H96/'2020'!H96-1)</f>
        <v>0.28813559322033888</v>
      </c>
      <c r="K70" s="124">
        <f>'2021'!J96-'2020'!J96</f>
        <v>7.91</v>
      </c>
      <c r="L70" s="195">
        <f>IF('2021'!J96=0,0,IF('2020'!J96=0,0,'2021'!J96/'2020'!J96-1))</f>
        <v>0.2628780325689597</v>
      </c>
      <c r="M70" s="124">
        <f>'2021'!L96-'2020'!L96</f>
        <v>3.0399999999999991</v>
      </c>
      <c r="N70" s="195">
        <f>IF('2021'!L96=0,0,IF('2020'!L96=0,0,'2021'!L96/'2020'!L96-1))</f>
        <v>0.11710323574730341</v>
      </c>
      <c r="O70" s="124">
        <f>IF('2020'!N96="-",0,'2021'!N96-'2020'!N96)</f>
        <v>4.9047999999999981</v>
      </c>
      <c r="P70" s="195">
        <f>IF('2021'!N96=0,0,IF('2020'!N96="-",0,'2021'!N96/'2020'!N96-1))</f>
        <v>0.30473681594512625</v>
      </c>
      <c r="Q70" s="67"/>
      <c r="R70" s="68"/>
      <c r="S70" s="67"/>
      <c r="T70" s="68"/>
      <c r="U70" s="40">
        <f>'2021'!S96-'2020'!S96</f>
        <v>75</v>
      </c>
      <c r="V70" s="218">
        <f>IF('2021'!S96=0,0,IF('2020'!S96=0,0,'2021'!S96/'2020'!S96-1))</f>
        <v>0</v>
      </c>
      <c r="W70" s="40">
        <f>'2021'!U96-'2020'!U96</f>
        <v>1</v>
      </c>
      <c r="X70" s="219">
        <f>IF('2021'!U96=0,0,IF('2020'!U96=0,0,'2021'!U96/'2020'!U96-1))</f>
        <v>0</v>
      </c>
      <c r="Y70" s="18"/>
    </row>
    <row r="71" spans="1:25" ht="15" customHeight="1">
      <c r="A71" s="20">
        <v>31</v>
      </c>
      <c r="B71" s="981"/>
      <c r="C71" s="1120"/>
      <c r="D71" s="1133"/>
      <c r="E71" s="174" t="s">
        <v>33</v>
      </c>
      <c r="F71" s="170" t="s">
        <v>62</v>
      </c>
      <c r="G71" s="153">
        <f>'2021'!G97-'2020'!G97</f>
        <v>35</v>
      </c>
      <c r="H71" s="189">
        <f>IF('2021'!G97=0,0,IF('2020'!G97=0,0,'2021'!G97/'2020'!G97-1))</f>
        <v>0.77777777777777768</v>
      </c>
      <c r="I71" s="180">
        <f>'2021'!H97-'2020'!H97</f>
        <v>35</v>
      </c>
      <c r="J71" s="196">
        <f>IF(I71=0,0,'2021'!H97/'2020'!H97-1)</f>
        <v>0.77777777777777768</v>
      </c>
      <c r="K71" s="125">
        <f>'2021'!J97-'2020'!J97</f>
        <v>24.900000000000002</v>
      </c>
      <c r="L71" s="196">
        <f>IF('2021'!J97=0,0,IF('2020'!J97=0,0,'2021'!J97/'2020'!J97-1))</f>
        <v>0.95402298850574718</v>
      </c>
      <c r="M71" s="125">
        <f>'2021'!L97-'2020'!L97</f>
        <v>20.2</v>
      </c>
      <c r="N71" s="196">
        <f>IF('2021'!L97=0,0,IF('2020'!L97=0,0,'2021'!L97/'2020'!L97-1))</f>
        <v>1.0202020202020203</v>
      </c>
      <c r="O71" s="125">
        <f>IF('2020'!N97="-",0,'2021'!N97-'2020'!N97)</f>
        <v>13.129999999999999</v>
      </c>
      <c r="P71" s="196">
        <f>IF('2021'!N97=0,0,IF('2020'!N97="-",0,'2021'!N97/'2020'!N97-1))</f>
        <v>1.0202020202020199</v>
      </c>
      <c r="Q71" s="69"/>
      <c r="R71" s="70"/>
      <c r="S71" s="69"/>
      <c r="T71" s="70"/>
      <c r="U71" s="43">
        <f>'2021'!S97-'2020'!S97</f>
        <v>74</v>
      </c>
      <c r="V71" s="220">
        <f>IF('2021'!S97=0,0,IF('2020'!S97=0,0,'2021'!S97/'2020'!S97-1))</f>
        <v>0</v>
      </c>
      <c r="W71" s="43">
        <f>'2021'!U97-'2020'!U97</f>
        <v>6</v>
      </c>
      <c r="X71" s="222">
        <f>IF('2021'!U97=0,0,IF('2020'!U97=0,0,'2021'!U97/'2020'!U97-1))</f>
        <v>0</v>
      </c>
      <c r="Y71" s="18"/>
    </row>
    <row r="72" spans="1:25" ht="15" customHeight="1">
      <c r="A72" s="20">
        <v>32</v>
      </c>
      <c r="B72" s="981"/>
      <c r="C72" s="1120"/>
      <c r="D72" s="1133"/>
      <c r="E72" s="174" t="s">
        <v>47</v>
      </c>
      <c r="F72" s="170" t="s">
        <v>62</v>
      </c>
      <c r="G72" s="153">
        <f>'2021'!G98-'2020'!G98</f>
        <v>15</v>
      </c>
      <c r="H72" s="189">
        <f>IF('2021'!G98=0,0,IF('2020'!G98=0,0,'2021'!G98/'2020'!G98-1))</f>
        <v>0.9375</v>
      </c>
      <c r="I72" s="180">
        <f>'2021'!H98-'2020'!H98</f>
        <v>15</v>
      </c>
      <c r="J72" s="196">
        <f>IF(I72=0,0,'2021'!H98/'2020'!H98-1)</f>
        <v>0.9375</v>
      </c>
      <c r="K72" s="125">
        <f>'2021'!J98-'2020'!J98</f>
        <v>2.96</v>
      </c>
      <c r="L72" s="196">
        <f>IF('2021'!J98=0,0,IF('2020'!J98=0,0,'2021'!J98/'2020'!J98-1))</f>
        <v>0.42045454545454541</v>
      </c>
      <c r="M72" s="125">
        <f>'2021'!L98-'2020'!L98</f>
        <v>6.04</v>
      </c>
      <c r="N72" s="196">
        <f>IF('2021'!L98=0,0,IF('2020'!L98=0,0,'2021'!L98/'2020'!L98-1))</f>
        <v>1.217741935483871</v>
      </c>
      <c r="O72" s="125">
        <f>IF('2020'!N98="-",0,'2021'!N98-'2020'!N98)</f>
        <v>3.016</v>
      </c>
      <c r="P72" s="196">
        <f>IF('2021'!N98=0,0,IF('2020'!N98="-",0,'2021'!N98/'2020'!N98-1))</f>
        <v>1.5201612903225805</v>
      </c>
      <c r="Q72" s="69"/>
      <c r="R72" s="70"/>
      <c r="S72" s="69"/>
      <c r="T72" s="70"/>
      <c r="U72" s="43">
        <f>'2021'!S98-'2020'!S98</f>
        <v>31</v>
      </c>
      <c r="V72" s="220">
        <f>IF('2021'!S98=0,0,IF('2020'!S98=0,0,'2021'!S98/'2020'!S98-1))</f>
        <v>0</v>
      </c>
      <c r="W72" s="43">
        <f>'2021'!U98-'2020'!U98</f>
        <v>0</v>
      </c>
      <c r="X72" s="222">
        <f>IF('2021'!U98=0,0,IF('2020'!U98=0,0,'2021'!U98/'2020'!U98-1))</f>
        <v>0</v>
      </c>
      <c r="Y72" s="18"/>
    </row>
    <row r="73" spans="1:25" ht="15" customHeight="1">
      <c r="A73" s="20">
        <v>33</v>
      </c>
      <c r="B73" s="981"/>
      <c r="C73" s="1120"/>
      <c r="D73" s="1133"/>
      <c r="E73" s="174" t="s">
        <v>46</v>
      </c>
      <c r="F73" s="170" t="s">
        <v>62</v>
      </c>
      <c r="G73" s="153">
        <f>'2021'!G99-'2020'!G99</f>
        <v>-16</v>
      </c>
      <c r="H73" s="189">
        <f>IF('2021'!G99=0,0,IF('2020'!G99=0,0,'2021'!G99/'2020'!G99-1))</f>
        <v>-0.5161290322580645</v>
      </c>
      <c r="I73" s="180">
        <f>'2021'!H99-'2020'!H99</f>
        <v>-16</v>
      </c>
      <c r="J73" s="196">
        <f>IF(I73=0,0,'2021'!H99/'2020'!H99-1)</f>
        <v>-0.5161290322580645</v>
      </c>
      <c r="K73" s="125">
        <f>'2021'!J99-'2020'!J99</f>
        <v>-3.99</v>
      </c>
      <c r="L73" s="196">
        <f>IF('2021'!J99=0,0,IF('2020'!J99=0,0,'2021'!J99/'2020'!J99-1))</f>
        <v>-0.44382647385984431</v>
      </c>
      <c r="M73" s="125">
        <f>'2021'!L99-'2020'!L99</f>
        <v>-9.92</v>
      </c>
      <c r="N73" s="196">
        <f>IF('2021'!L99=0,0,IF('2020'!L99=0,0,'2021'!L99/'2020'!L99-1))</f>
        <v>0</v>
      </c>
      <c r="O73" s="125">
        <f>IF('2020'!N99="-",0,'2021'!N99-'2020'!N99)</f>
        <v>-2.976</v>
      </c>
      <c r="P73" s="196">
        <f>IF('2021'!N99=0,0,IF('2020'!N99="-",0,'2021'!N99/'2020'!N99-1))</f>
        <v>0</v>
      </c>
      <c r="Q73" s="69"/>
      <c r="R73" s="70"/>
      <c r="S73" s="69"/>
      <c r="T73" s="70"/>
      <c r="U73" s="43">
        <f>'2021'!S99-'2020'!S99</f>
        <v>15</v>
      </c>
      <c r="V73" s="220">
        <f>IF('2021'!S99=0,0,IF('2020'!S99=0,0,'2021'!S99/'2020'!S99-1))</f>
        <v>0</v>
      </c>
      <c r="W73" s="43">
        <f>'2021'!U99-'2020'!U99</f>
        <v>0</v>
      </c>
      <c r="X73" s="222">
        <f>IF('2021'!U99=0,0,IF('2020'!U99=0,0,'2021'!U99/'2020'!U99-1))</f>
        <v>0</v>
      </c>
      <c r="Y73" s="18"/>
    </row>
    <row r="74" spans="1:25" ht="15" customHeight="1">
      <c r="A74" s="20">
        <v>34</v>
      </c>
      <c r="B74" s="981"/>
      <c r="C74" s="1120"/>
      <c r="D74" s="1133"/>
      <c r="E74" s="174" t="s">
        <v>35</v>
      </c>
      <c r="F74" s="170" t="s">
        <v>62</v>
      </c>
      <c r="G74" s="153">
        <f>'2021'!G100-'2020'!G100</f>
        <v>-1</v>
      </c>
      <c r="H74" s="189">
        <f>IF('2021'!G100=0,0,IF('2020'!G100=0,0,'2021'!G100/'2020'!G100-1))</f>
        <v>-0.33333333333333337</v>
      </c>
      <c r="I74" s="180">
        <f>'2021'!H100-'2020'!H100</f>
        <v>-1</v>
      </c>
      <c r="J74" s="196">
        <f>IF(I74=0,0,'2021'!H100/'2020'!H100-1)</f>
        <v>-0.33333333333333337</v>
      </c>
      <c r="K74" s="125">
        <f>'2021'!J100-'2020'!J100</f>
        <v>1</v>
      </c>
      <c r="L74" s="196">
        <f>IF('2021'!J100=0,0,IF('2020'!J100=0,0,'2021'!J100/'2020'!J100-1))</f>
        <v>0</v>
      </c>
      <c r="M74" s="125">
        <f>'2021'!L100-'2020'!L100</f>
        <v>1</v>
      </c>
      <c r="N74" s="196">
        <f>IF('2021'!L100=0,0,IF('2020'!L100=0,0,'2021'!L100/'2020'!L100-1))</f>
        <v>0</v>
      </c>
      <c r="O74" s="125">
        <f>IF('2020'!N100="-",0,'2021'!N100-'2020'!N100)</f>
        <v>0</v>
      </c>
      <c r="P74" s="196">
        <f>IF('2021'!N100=0,0,IF('2020'!N100="-",0,'2021'!N100/'2020'!N100-1))</f>
        <v>0</v>
      </c>
      <c r="Q74" s="69"/>
      <c r="R74" s="70"/>
      <c r="S74" s="69"/>
      <c r="T74" s="70"/>
      <c r="U74" s="43">
        <f>'2021'!S100-'2020'!S100</f>
        <v>1</v>
      </c>
      <c r="V74" s="220">
        <f>IF('2021'!S100=0,0,IF('2020'!S100=0,0,'2021'!S100/'2020'!S100-1))</f>
        <v>0</v>
      </c>
      <c r="W74" s="43">
        <f>'2021'!U100-'2020'!U100</f>
        <v>1</v>
      </c>
      <c r="X74" s="222">
        <f>IF('2021'!U100=0,0,IF('2020'!U100=0,0,'2021'!U100/'2020'!U100-1))</f>
        <v>0</v>
      </c>
      <c r="Y74" s="18"/>
    </row>
    <row r="75" spans="1:25" ht="15" customHeight="1">
      <c r="A75" s="20">
        <v>35</v>
      </c>
      <c r="B75" s="981"/>
      <c r="C75" s="1120"/>
      <c r="D75" s="1133"/>
      <c r="E75" s="174" t="s">
        <v>34</v>
      </c>
      <c r="F75" s="170" t="s">
        <v>62</v>
      </c>
      <c r="G75" s="153">
        <f>'2021'!G101-'2020'!G101</f>
        <v>2</v>
      </c>
      <c r="H75" s="189">
        <f>IF('2021'!G101=0,0,IF('2020'!G101=0,0,'2021'!G101/'2020'!G101-1))</f>
        <v>0.15384615384615374</v>
      </c>
      <c r="I75" s="180">
        <f>'2021'!H101-'2020'!H101</f>
        <v>2</v>
      </c>
      <c r="J75" s="196">
        <f>IF(I75=0,0,'2021'!H101/'2020'!H101-1)</f>
        <v>0.15384615384615374</v>
      </c>
      <c r="K75" s="125">
        <f>'2021'!J101-'2020'!J101</f>
        <v>5.01</v>
      </c>
      <c r="L75" s="196">
        <f>IF('2021'!J101=0,0,IF('2020'!J101=0,0,'2021'!J101/'2020'!J101-1))</f>
        <v>1.6755852842809364</v>
      </c>
      <c r="M75" s="125">
        <f>'2021'!L101-'2020'!L101</f>
        <v>2.0499999999999998</v>
      </c>
      <c r="N75" s="196">
        <f>IF('2021'!L101=0,0,IF('2020'!L101=0,0,'2021'!L101/'2020'!L101-1))</f>
        <v>1.0512820512820515</v>
      </c>
      <c r="O75" s="125">
        <f>IF('2020'!N101="-",0,'2021'!N101-'2020'!N101)</f>
        <v>1.0249999999999999</v>
      </c>
      <c r="P75" s="196">
        <f>IF('2021'!N101=0,0,IF('2020'!N101="-",0,'2021'!N101/'2020'!N101-1))</f>
        <v>1.0512820512820515</v>
      </c>
      <c r="Q75" s="69"/>
      <c r="R75" s="70"/>
      <c r="S75" s="69"/>
      <c r="T75" s="70"/>
      <c r="U75" s="43">
        <f>'2021'!S101-'2020'!S101</f>
        <v>13</v>
      </c>
      <c r="V75" s="220">
        <f>IF('2021'!S101=0,0,IF('2020'!S101=0,0,'2021'!S101/'2020'!S101-1))</f>
        <v>0</v>
      </c>
      <c r="W75" s="43">
        <f>'2021'!U101-'2020'!U101</f>
        <v>2</v>
      </c>
      <c r="X75" s="222">
        <f>IF('2021'!U101=0,0,IF('2020'!U101=0,0,'2021'!U101/'2020'!U101-1))</f>
        <v>0</v>
      </c>
      <c r="Y75" s="18"/>
    </row>
    <row r="76" spans="1:25" ht="15.75" customHeight="1">
      <c r="A76" s="20">
        <v>36</v>
      </c>
      <c r="B76" s="981"/>
      <c r="C76" s="1120"/>
      <c r="D76" s="1133"/>
      <c r="E76" s="174" t="s">
        <v>147</v>
      </c>
      <c r="F76" s="170"/>
      <c r="G76" s="153"/>
      <c r="H76" s="189"/>
      <c r="I76" s="180"/>
      <c r="J76" s="196"/>
      <c r="K76" s="125"/>
      <c r="L76" s="196"/>
      <c r="M76" s="125"/>
      <c r="N76" s="196"/>
      <c r="O76" s="125"/>
      <c r="P76" s="196"/>
      <c r="Q76" s="69"/>
      <c r="R76" s="70"/>
      <c r="S76" s="69"/>
      <c r="T76" s="70"/>
      <c r="U76" s="43"/>
      <c r="V76" s="220"/>
      <c r="W76" s="43"/>
      <c r="X76" s="222"/>
      <c r="Y76" s="18"/>
    </row>
    <row r="77" spans="1:25" ht="15.75" customHeight="1">
      <c r="B77" s="981"/>
      <c r="C77" s="1120"/>
      <c r="D77" s="1134"/>
      <c r="E77" s="326"/>
      <c r="F77" s="327"/>
      <c r="G77" s="315"/>
      <c r="H77" s="316"/>
      <c r="I77" s="317"/>
      <c r="J77" s="318"/>
      <c r="K77" s="319"/>
      <c r="L77" s="318"/>
      <c r="M77" s="319"/>
      <c r="N77" s="318"/>
      <c r="O77" s="319"/>
      <c r="P77" s="318"/>
      <c r="Q77" s="320"/>
      <c r="R77" s="321"/>
      <c r="S77" s="320"/>
      <c r="T77" s="321"/>
      <c r="U77" s="268"/>
      <c r="V77" s="325"/>
      <c r="W77" s="268"/>
      <c r="X77" s="269"/>
      <c r="Y77" s="18"/>
    </row>
    <row r="78" spans="1:25" ht="15.75" customHeight="1">
      <c r="B78" s="981"/>
      <c r="C78" s="1120"/>
      <c r="D78" s="1134"/>
      <c r="E78" s="326"/>
      <c r="F78" s="327"/>
      <c r="G78" s="315"/>
      <c r="H78" s="316"/>
      <c r="I78" s="317"/>
      <c r="J78" s="318"/>
      <c r="K78" s="319"/>
      <c r="L78" s="318"/>
      <c r="M78" s="319"/>
      <c r="N78" s="318"/>
      <c r="O78" s="319"/>
      <c r="P78" s="318"/>
      <c r="Q78" s="320"/>
      <c r="R78" s="321"/>
      <c r="S78" s="320"/>
      <c r="T78" s="321"/>
      <c r="U78" s="268"/>
      <c r="V78" s="325"/>
      <c r="W78" s="268"/>
      <c r="X78" s="269"/>
      <c r="Y78" s="18"/>
    </row>
    <row r="79" spans="1:25" ht="15.75" customHeight="1">
      <c r="A79" s="20">
        <v>37</v>
      </c>
      <c r="B79" s="981"/>
      <c r="C79" s="1120"/>
      <c r="D79" s="1135"/>
      <c r="E79" s="175" t="s">
        <v>146</v>
      </c>
      <c r="F79" s="171"/>
      <c r="G79" s="156"/>
      <c r="H79" s="190"/>
      <c r="I79" s="181"/>
      <c r="J79" s="197"/>
      <c r="K79" s="126"/>
      <c r="L79" s="197"/>
      <c r="M79" s="126"/>
      <c r="N79" s="197"/>
      <c r="O79" s="126"/>
      <c r="P79" s="197"/>
      <c r="Q79" s="71"/>
      <c r="R79" s="72"/>
      <c r="S79" s="71"/>
      <c r="T79" s="72"/>
      <c r="U79" s="49"/>
      <c r="V79" s="221"/>
      <c r="W79" s="49"/>
      <c r="X79" s="223"/>
      <c r="Y79" s="18"/>
    </row>
    <row r="80" spans="1:25" ht="15.75">
      <c r="B80" s="1109"/>
      <c r="C80" s="1131"/>
      <c r="D80" s="237" t="s">
        <v>138</v>
      </c>
      <c r="E80" s="209"/>
      <c r="F80" s="208"/>
      <c r="G80" s="160">
        <f>SUM(G70:G79)</f>
        <v>52</v>
      </c>
      <c r="H80" s="191">
        <f>G80/SUM('2020'!G96:G101)</f>
        <v>0.31137724550898205</v>
      </c>
      <c r="I80" s="182">
        <f>SUM(I70:I79)</f>
        <v>52</v>
      </c>
      <c r="J80" s="198">
        <f>I80/SUM('2020'!H96:H101)</f>
        <v>0.31137724550898205</v>
      </c>
      <c r="K80" s="129">
        <f>SUM(K70:K79)</f>
        <v>37.79</v>
      </c>
      <c r="L80" s="198">
        <f>K80/SUM('2020'!J96:J101)</f>
        <v>0.50245977928466967</v>
      </c>
      <c r="M80" s="129">
        <f>SUM(M70:M79)</f>
        <v>22.41</v>
      </c>
      <c r="N80" s="198">
        <f>M80/SUM('2020'!L96:L101)</f>
        <v>0.35804441604090104</v>
      </c>
      <c r="O80" s="129">
        <f>SUM(O70:O79)</f>
        <v>19.099799999999995</v>
      </c>
      <c r="P80" s="198">
        <f>O80/SUM('2020'!N96:N101)</f>
        <v>0.54726907009128867</v>
      </c>
      <c r="Q80" s="73"/>
      <c r="R80" s="74"/>
      <c r="S80" s="73"/>
      <c r="T80" s="74"/>
      <c r="U80" s="53">
        <f>SUM(U70:U79)</f>
        <v>209</v>
      </c>
      <c r="V80" s="224">
        <f>IF('2021'!S109=0,0,IF('2020'!S109=0,0,'2021'!S109/'2020'!S109-1))</f>
        <v>0</v>
      </c>
      <c r="W80" s="53">
        <f>SUM(W70:W79)</f>
        <v>10</v>
      </c>
      <c r="X80" s="225">
        <f>IF('2021'!U109=0,0,IF('2020'!U109=0,0,'2021'!U109/'2020'!U109-1))</f>
        <v>0</v>
      </c>
      <c r="Y80" s="18"/>
    </row>
    <row r="81" spans="1:25">
      <c r="B81" s="1088" t="s">
        <v>85</v>
      </c>
      <c r="C81" s="1139" t="s">
        <v>76</v>
      </c>
      <c r="D81" s="1142">
        <f>'2021'!D110-'2020'!D110</f>
        <v>3</v>
      </c>
      <c r="E81" s="172" t="s">
        <v>154</v>
      </c>
      <c r="F81" s="173"/>
      <c r="G81" s="150"/>
      <c r="H81" s="188"/>
      <c r="I81" s="179"/>
      <c r="J81" s="195"/>
      <c r="K81" s="124"/>
      <c r="L81" s="195"/>
      <c r="M81" s="124"/>
      <c r="N81" s="195"/>
      <c r="O81" s="124"/>
      <c r="P81" s="195"/>
      <c r="Q81" s="67"/>
      <c r="R81" s="68"/>
      <c r="S81" s="67"/>
      <c r="T81" s="68"/>
      <c r="U81" s="40"/>
      <c r="V81" s="218"/>
      <c r="W81" s="40"/>
      <c r="X81" s="219"/>
      <c r="Y81" s="18"/>
    </row>
    <row r="82" spans="1:25" ht="15.75" customHeight="1">
      <c r="B82" s="1117"/>
      <c r="C82" s="1140"/>
      <c r="D82" s="1143"/>
      <c r="E82" s="174" t="s">
        <v>155</v>
      </c>
      <c r="F82" s="170"/>
      <c r="G82" s="153"/>
      <c r="H82" s="189"/>
      <c r="I82" s="180"/>
      <c r="J82" s="196"/>
      <c r="K82" s="125"/>
      <c r="L82" s="196"/>
      <c r="M82" s="125"/>
      <c r="N82" s="196"/>
      <c r="O82" s="125"/>
      <c r="P82" s="196"/>
      <c r="Q82" s="69"/>
      <c r="R82" s="70"/>
      <c r="S82" s="69"/>
      <c r="T82" s="70"/>
      <c r="U82" s="43"/>
      <c r="V82" s="220"/>
      <c r="W82" s="43"/>
      <c r="X82" s="222"/>
      <c r="Y82" s="18"/>
    </row>
    <row r="83" spans="1:25" ht="15.75" customHeight="1">
      <c r="B83" s="1117"/>
      <c r="C83" s="1140"/>
      <c r="D83" s="1143"/>
      <c r="E83" s="174" t="s">
        <v>156</v>
      </c>
      <c r="F83" s="170"/>
      <c r="G83" s="153"/>
      <c r="H83" s="189"/>
      <c r="I83" s="180"/>
      <c r="J83" s="196"/>
      <c r="K83" s="125"/>
      <c r="L83" s="196"/>
      <c r="M83" s="125"/>
      <c r="N83" s="196"/>
      <c r="O83" s="125"/>
      <c r="P83" s="196"/>
      <c r="Q83" s="69"/>
      <c r="R83" s="70"/>
      <c r="S83" s="69"/>
      <c r="T83" s="70"/>
      <c r="U83" s="43"/>
      <c r="V83" s="220"/>
      <c r="W83" s="43"/>
      <c r="X83" s="222"/>
      <c r="Y83" s="18"/>
    </row>
    <row r="84" spans="1:25" ht="15" customHeight="1">
      <c r="A84" s="20">
        <v>38</v>
      </c>
      <c r="B84" s="1117"/>
      <c r="C84" s="1140"/>
      <c r="D84" s="1143"/>
      <c r="E84" s="174" t="s">
        <v>37</v>
      </c>
      <c r="F84" s="266" t="s">
        <v>60</v>
      </c>
      <c r="G84" s="153">
        <f>'2021'!G113-'2020'!G113</f>
        <v>129</v>
      </c>
      <c r="H84" s="189">
        <f>IF('2021'!G113=0,0,IF('2020'!G113=0,0,'2021'!G113/'2020'!G113-1))</f>
        <v>0.59447004608294929</v>
      </c>
      <c r="I84" s="180">
        <f>'2021'!H113-'2020'!H113</f>
        <v>72</v>
      </c>
      <c r="J84" s="196">
        <f>IF(I84=0,0,'2021'!H113/'2020'!H113-1)</f>
        <v>0.70588235294117641</v>
      </c>
      <c r="K84" s="125">
        <f>'2021'!J113-'2020'!J113</f>
        <v>46.070000000000007</v>
      </c>
      <c r="L84" s="196">
        <f>IF('2021'!J113=0,0,IF('2020'!J113=0,0,'2021'!J113/'2020'!J113-1))</f>
        <v>0.73208326712219951</v>
      </c>
      <c r="M84" s="125">
        <f>'2021'!L113-'2020'!L113</f>
        <v>13</v>
      </c>
      <c r="N84" s="196">
        <f>IF('2021'!L113=0,0,IF('2020'!L113=0,0,'2021'!L113/'2020'!L113-1))</f>
        <v>0.18840579710144922</v>
      </c>
      <c r="O84" s="125">
        <f>IF('2020'!N113="-",0,'2021'!N113-'2020'!N113)</f>
        <v>0</v>
      </c>
      <c r="P84" s="196">
        <f>IF('2021'!N113=0,0,IF('2020'!N113="-",0,'2021'!N113/'2020'!N113-1))</f>
        <v>0</v>
      </c>
      <c r="Q84" s="69">
        <v>27</v>
      </c>
      <c r="R84" s="70">
        <v>8</v>
      </c>
      <c r="S84" s="69">
        <v>33</v>
      </c>
      <c r="T84" s="70">
        <v>14</v>
      </c>
      <c r="U84" s="43">
        <f>'2021'!S113-'2020'!S113</f>
        <v>133</v>
      </c>
      <c r="V84" s="220">
        <f>IF('2021'!S113=0,0,IF('2020'!S113=0,0,'2021'!S113/'2020'!S113-1))</f>
        <v>0.55186721991701249</v>
      </c>
      <c r="W84" s="43">
        <f>'2021'!U113-'2020'!U113</f>
        <v>13</v>
      </c>
      <c r="X84" s="222">
        <f>IF('2021'!U113=0,0,IF('2020'!U113=0,0,'2021'!U113/'2020'!U113-1))</f>
        <v>1.4444444444444446</v>
      </c>
      <c r="Y84" s="18"/>
    </row>
    <row r="85" spans="1:25" ht="15" customHeight="1">
      <c r="A85" s="20">
        <v>39</v>
      </c>
      <c r="B85" s="1117"/>
      <c r="C85" s="1140"/>
      <c r="D85" s="1143"/>
      <c r="E85" s="174" t="s">
        <v>157</v>
      </c>
      <c r="F85" s="266" t="s">
        <v>62</v>
      </c>
      <c r="G85" s="153">
        <f>'2021'!G114-'2020'!G114</f>
        <v>74</v>
      </c>
      <c r="H85" s="189">
        <f>IF('2021'!G114=0,0,IF('2020'!G114=0,0,'2021'!G114/'2020'!G114-1))</f>
        <v>0.47435897435897445</v>
      </c>
      <c r="I85" s="180">
        <f>'2021'!H114-'2020'!H114</f>
        <v>29</v>
      </c>
      <c r="J85" s="196">
        <f>IF(I85=0,0,'2021'!H114/'2020'!H114-1)</f>
        <v>0.33333333333333326</v>
      </c>
      <c r="K85" s="125">
        <f>'2021'!J114-'2020'!J114</f>
        <v>29.599999999999994</v>
      </c>
      <c r="L85" s="196">
        <f>IF('2021'!J114=0,0,IF('2020'!J114=0,0,'2021'!J114/'2020'!J114-1))</f>
        <v>0.47435897435897423</v>
      </c>
      <c r="M85" s="125">
        <f>'2021'!L114-'2020'!L114</f>
        <v>16</v>
      </c>
      <c r="N85" s="196">
        <f>IF('2021'!L114=0,0,IF('2020'!L114=0,0,'2021'!L114/'2020'!L114-1))</f>
        <v>0.26229508196721318</v>
      </c>
      <c r="O85" s="125">
        <f>IF('2020'!N114="-",0,'2021'!N114-'2020'!N114)</f>
        <v>0</v>
      </c>
      <c r="P85" s="196">
        <f>IF('2021'!N114=0,0,IF('2020'!N114="-",0,'2021'!N114/'2020'!N114-1))</f>
        <v>0</v>
      </c>
      <c r="Q85" s="69">
        <v>7</v>
      </c>
      <c r="R85" s="70">
        <v>5</v>
      </c>
      <c r="S85" s="69">
        <v>4</v>
      </c>
      <c r="T85" s="70">
        <v>1</v>
      </c>
      <c r="U85" s="43">
        <f>'2021'!S114-'2020'!S114</f>
        <v>70</v>
      </c>
      <c r="V85" s="220">
        <f>IF('2021'!S114=0,0,IF('2020'!S114=0,0,'2021'!S114/'2020'!S114-1))</f>
        <v>0.47945205479452047</v>
      </c>
      <c r="W85" s="43">
        <f>'2021'!U114-'2020'!U114</f>
        <v>4</v>
      </c>
      <c r="X85" s="222">
        <f>IF('2021'!U114=0,0,IF('2020'!U114=0,0,'2021'!U114/'2020'!U114-1))</f>
        <v>0.28571428571428581</v>
      </c>
      <c r="Y85" s="18"/>
    </row>
    <row r="86" spans="1:25" ht="15" customHeight="1">
      <c r="A86" s="20">
        <v>40</v>
      </c>
      <c r="B86" s="1117"/>
      <c r="C86" s="1140"/>
      <c r="D86" s="1143"/>
      <c r="E86" s="174" t="s">
        <v>38</v>
      </c>
      <c r="F86" s="266" t="s">
        <v>62</v>
      </c>
      <c r="G86" s="153">
        <f>'2021'!G115-'2020'!G115</f>
        <v>72</v>
      </c>
      <c r="H86" s="189">
        <f>IF('2021'!G115=0,0,IF('2020'!G115=0,0,'2021'!G115/'2020'!G115-1))</f>
        <v>0.43113772455089827</v>
      </c>
      <c r="I86" s="180">
        <f>'2021'!H115-'2020'!H115</f>
        <v>34</v>
      </c>
      <c r="J86" s="196">
        <f>IF(I86=0,0,'2021'!H115/'2020'!H115-1)</f>
        <v>0.42500000000000004</v>
      </c>
      <c r="K86" s="125">
        <f>'2021'!J115-'2020'!J115</f>
        <v>41.58</v>
      </c>
      <c r="L86" s="196">
        <f>IF('2021'!J115=0,0,IF('2020'!J115=0,0,'2021'!J115/'2020'!J115-1))</f>
        <v>0.95762321510824489</v>
      </c>
      <c r="M86" s="125">
        <f>'2021'!L115-'2020'!L115</f>
        <v>15</v>
      </c>
      <c r="N86" s="196">
        <f>IF('2021'!L115=0,0,IF('2020'!L115=0,0,'2021'!L115/'2020'!L115-1))</f>
        <v>0.24193548387096775</v>
      </c>
      <c r="O86" s="125">
        <f>IF('2020'!N115="-",0,'2021'!N115-'2020'!N115)</f>
        <v>0</v>
      </c>
      <c r="P86" s="196">
        <f>IF('2021'!N115=0,0,IF('2020'!N115="-",0,'2021'!N115/'2020'!N115-1))</f>
        <v>0</v>
      </c>
      <c r="Q86" s="69">
        <v>7</v>
      </c>
      <c r="R86" s="70">
        <v>3</v>
      </c>
      <c r="S86" s="69">
        <v>33</v>
      </c>
      <c r="T86" s="70">
        <v>14</v>
      </c>
      <c r="U86" s="43">
        <f>'2021'!S115-'2020'!S115</f>
        <v>75</v>
      </c>
      <c r="V86" s="220">
        <f>IF('2021'!S115=0,0,IF('2020'!S115=0,0,'2021'!S115/'2020'!S115-1))</f>
        <v>0.49019607843137258</v>
      </c>
      <c r="W86" s="43">
        <f>'2021'!U115-'2020'!U115</f>
        <v>0</v>
      </c>
      <c r="X86" s="222">
        <f>IF('2021'!U115=0,0,IF('2020'!U115=0,0,'2021'!U115/'2020'!U115-1))</f>
        <v>0</v>
      </c>
      <c r="Y86" s="18"/>
    </row>
    <row r="87" spans="1:25" ht="15" customHeight="1">
      <c r="B87" s="1117"/>
      <c r="C87" s="1140"/>
      <c r="D87" s="1143"/>
      <c r="E87" s="174" t="s">
        <v>158</v>
      </c>
      <c r="F87" s="266"/>
      <c r="G87" s="153"/>
      <c r="H87" s="189"/>
      <c r="I87" s="180"/>
      <c r="J87" s="196"/>
      <c r="K87" s="125"/>
      <c r="L87" s="196"/>
      <c r="M87" s="125"/>
      <c r="N87" s="196"/>
      <c r="O87" s="125"/>
      <c r="P87" s="196"/>
      <c r="Q87" s="69"/>
      <c r="R87" s="70"/>
      <c r="S87" s="69"/>
      <c r="T87" s="70"/>
      <c r="U87" s="43"/>
      <c r="V87" s="220"/>
      <c r="W87" s="43"/>
      <c r="X87" s="222"/>
      <c r="Y87" s="18"/>
    </row>
    <row r="88" spans="1:25" ht="15" customHeight="1">
      <c r="A88" s="20">
        <v>41</v>
      </c>
      <c r="B88" s="1117"/>
      <c r="C88" s="1140"/>
      <c r="D88" s="1143"/>
      <c r="E88" s="174" t="s">
        <v>148</v>
      </c>
      <c r="F88" s="266"/>
      <c r="G88" s="153"/>
      <c r="H88" s="189"/>
      <c r="I88" s="180"/>
      <c r="J88" s="196"/>
      <c r="K88" s="125"/>
      <c r="L88" s="196"/>
      <c r="M88" s="125"/>
      <c r="N88" s="196"/>
      <c r="O88" s="125"/>
      <c r="P88" s="196"/>
      <c r="Q88" s="69"/>
      <c r="R88" s="70"/>
      <c r="S88" s="69"/>
      <c r="T88" s="70"/>
      <c r="U88" s="43"/>
      <c r="V88" s="220"/>
      <c r="W88" s="43"/>
      <c r="X88" s="222"/>
      <c r="Y88" s="18"/>
    </row>
    <row r="89" spans="1:25" ht="15" customHeight="1">
      <c r="A89" s="20">
        <v>42</v>
      </c>
      <c r="B89" s="1117"/>
      <c r="C89" s="1140"/>
      <c r="D89" s="1143"/>
      <c r="E89" s="174" t="s">
        <v>149</v>
      </c>
      <c r="F89" s="266"/>
      <c r="G89" s="153"/>
      <c r="H89" s="189"/>
      <c r="I89" s="180"/>
      <c r="J89" s="196"/>
      <c r="K89" s="125"/>
      <c r="L89" s="196"/>
      <c r="M89" s="125"/>
      <c r="N89" s="196"/>
      <c r="O89" s="125"/>
      <c r="P89" s="196"/>
      <c r="Q89" s="69"/>
      <c r="R89" s="70"/>
      <c r="S89" s="69"/>
      <c r="T89" s="70"/>
      <c r="U89" s="43"/>
      <c r="V89" s="220"/>
      <c r="W89" s="43"/>
      <c r="X89" s="222"/>
      <c r="Y89" s="18"/>
    </row>
    <row r="90" spans="1:25" ht="15" customHeight="1">
      <c r="B90" s="1117"/>
      <c r="C90" s="1140"/>
      <c r="D90" s="1143"/>
      <c r="E90" s="174"/>
      <c r="F90" s="266"/>
      <c r="G90" s="153"/>
      <c r="H90" s="189"/>
      <c r="I90" s="180"/>
      <c r="J90" s="196"/>
      <c r="K90" s="125"/>
      <c r="L90" s="196"/>
      <c r="M90" s="125"/>
      <c r="N90" s="196"/>
      <c r="O90" s="125"/>
      <c r="P90" s="196"/>
      <c r="Q90" s="69"/>
      <c r="R90" s="70"/>
      <c r="S90" s="69"/>
      <c r="T90" s="70"/>
      <c r="U90" s="43"/>
      <c r="V90" s="220"/>
      <c r="W90" s="43"/>
      <c r="X90" s="222"/>
      <c r="Y90" s="18"/>
    </row>
    <row r="91" spans="1:25" ht="15" customHeight="1">
      <c r="B91" s="1117"/>
      <c r="C91" s="1140"/>
      <c r="D91" s="1143"/>
      <c r="E91" s="174"/>
      <c r="F91" s="266"/>
      <c r="G91" s="153"/>
      <c r="H91" s="189"/>
      <c r="I91" s="180"/>
      <c r="J91" s="196"/>
      <c r="K91" s="125"/>
      <c r="L91" s="196"/>
      <c r="M91" s="125"/>
      <c r="N91" s="196"/>
      <c r="O91" s="125"/>
      <c r="P91" s="196"/>
      <c r="Q91" s="69"/>
      <c r="R91" s="70"/>
      <c r="S91" s="69"/>
      <c r="T91" s="70"/>
      <c r="U91" s="43"/>
      <c r="V91" s="220"/>
      <c r="W91" s="43"/>
      <c r="X91" s="222"/>
      <c r="Y91" s="18"/>
    </row>
    <row r="92" spans="1:25" ht="15" customHeight="1">
      <c r="A92" s="20">
        <v>43</v>
      </c>
      <c r="B92" s="1117"/>
      <c r="C92" s="1140"/>
      <c r="D92" s="1144"/>
      <c r="E92" s="174" t="s">
        <v>152</v>
      </c>
      <c r="F92" s="266"/>
      <c r="G92" s="153"/>
      <c r="H92" s="189"/>
      <c r="I92" s="180"/>
      <c r="J92" s="196"/>
      <c r="K92" s="125"/>
      <c r="L92" s="196"/>
      <c r="M92" s="125"/>
      <c r="N92" s="196"/>
      <c r="O92" s="125"/>
      <c r="P92" s="196"/>
      <c r="Q92" s="69"/>
      <c r="R92" s="70"/>
      <c r="S92" s="69"/>
      <c r="T92" s="70"/>
      <c r="U92" s="43"/>
      <c r="V92" s="220"/>
      <c r="W92" s="43"/>
      <c r="X92" s="222"/>
      <c r="Y92" s="18"/>
    </row>
    <row r="93" spans="1:25" ht="15.75">
      <c r="B93" s="1138"/>
      <c r="C93" s="1141"/>
      <c r="D93" s="276" t="s">
        <v>138</v>
      </c>
      <c r="E93" s="175"/>
      <c r="F93" s="267"/>
      <c r="G93" s="156">
        <f>SUM(G84:G92)</f>
        <v>275</v>
      </c>
      <c r="H93" s="190">
        <f>G93/SUM('2020'!G113:G115)</f>
        <v>0.5092592592592593</v>
      </c>
      <c r="I93" s="181">
        <f>SUM(I84:I92)</f>
        <v>135</v>
      </c>
      <c r="J93" s="197">
        <f>I93/SUM('2020'!H113:H115)</f>
        <v>0.5018587360594795</v>
      </c>
      <c r="K93" s="126">
        <f>SUM(K84:K92)</f>
        <v>117.25</v>
      </c>
      <c r="L93" s="197">
        <f>K93/SUM('2020'!J113:J115)</f>
        <v>0.69481481481481477</v>
      </c>
      <c r="M93" s="126">
        <f>SUM(M84:M92)</f>
        <v>44</v>
      </c>
      <c r="N93" s="197">
        <f>M93/SUM('2020'!L113:L115)</f>
        <v>0.22916666666666666</v>
      </c>
      <c r="O93" s="126">
        <f>SUM(O84:O92)</f>
        <v>0</v>
      </c>
      <c r="P93" s="197" t="e">
        <f>O93/SUM('2020'!N113:N115)</f>
        <v>#DIV/0!</v>
      </c>
      <c r="Q93" s="71">
        <f>SUM(Q84:Q92)</f>
        <v>41</v>
      </c>
      <c r="R93" s="72">
        <f t="shared" ref="R93:T93" si="0">SUM(R84:R92)</f>
        <v>16</v>
      </c>
      <c r="S93" s="71">
        <f t="shared" si="0"/>
        <v>70</v>
      </c>
      <c r="T93" s="72">
        <f t="shared" si="0"/>
        <v>29</v>
      </c>
      <c r="U93" s="49">
        <f>SUM(U79:U92)</f>
        <v>487</v>
      </c>
      <c r="V93" s="221">
        <f>IF('2021'!S125=0,0,IF('2020'!S125=0,0,'2021'!S125/'2020'!S125-1))</f>
        <v>0.63148148148148153</v>
      </c>
      <c r="W93" s="49">
        <f>SUM(W79:W92)</f>
        <v>27</v>
      </c>
      <c r="X93" s="223">
        <f>IF('2021'!U125=0,0,IF('2020'!U125=0,0,'2021'!U125/'2020'!U125-1))</f>
        <v>0.44285714285714284</v>
      </c>
      <c r="Y93" s="18"/>
    </row>
    <row r="94" spans="1:25" ht="15.75" customHeight="1">
      <c r="A94" s="20">
        <v>44</v>
      </c>
      <c r="B94" s="980" t="s">
        <v>72</v>
      </c>
      <c r="C94" s="983" t="s">
        <v>76</v>
      </c>
      <c r="D94" s="1115">
        <f>'2021'!D126-'2020'!D126</f>
        <v>3</v>
      </c>
      <c r="E94" s="148" t="s">
        <v>150</v>
      </c>
      <c r="F94" s="159" t="s">
        <v>62</v>
      </c>
      <c r="G94" s="150">
        <f>'2021'!G126-'2020'!G126</f>
        <v>26</v>
      </c>
      <c r="H94" s="188">
        <f>IF('2021'!G126=0,0,IF('2020'!G126=0,0,'2021'!G126/'2020'!G126-1))</f>
        <v>1.2380952380952381</v>
      </c>
      <c r="I94" s="179">
        <f>'2021'!H126-'2020'!H126</f>
        <v>30</v>
      </c>
      <c r="J94" s="195">
        <f>IF(I94=0,0,'2021'!H126/'2020'!H126-1)</f>
        <v>3.75</v>
      </c>
      <c r="K94" s="124">
        <f>'2021'!J126-'2020'!J126</f>
        <v>2.91</v>
      </c>
      <c r="L94" s="195">
        <f>IF('2021'!J126=0,0,IF('2020'!J126=0,0,'2021'!J126/'2020'!J126-1))</f>
        <v>0.47783251231527091</v>
      </c>
      <c r="M94" s="124">
        <f>'2021'!L126-'2020'!L126</f>
        <v>4.28</v>
      </c>
      <c r="N94" s="195">
        <f>IF('2021'!L126=0,0,IF('2020'!L126=0,0,'2021'!L126/'2020'!L126-1))</f>
        <v>0.63690476190476186</v>
      </c>
      <c r="O94" s="124">
        <f>IF('2020'!N126="-",0,'2021'!N126-'2020'!N126)</f>
        <v>6</v>
      </c>
      <c r="P94" s="195" t="e">
        <f>IF('2021'!N126=0,0,IF('2020'!N126="-",0,'2021'!N126/'2020'!N126-1))</f>
        <v>#DIV/0!</v>
      </c>
      <c r="Q94" s="67">
        <v>1</v>
      </c>
      <c r="R94" s="68">
        <v>0</v>
      </c>
      <c r="S94" s="67">
        <v>7</v>
      </c>
      <c r="T94" s="68">
        <v>5</v>
      </c>
      <c r="U94" s="40">
        <f>'2021'!S126-'2020'!S126</f>
        <v>26</v>
      </c>
      <c r="V94" s="218">
        <f>IF('2021'!S126=0,0,IF('2020'!S126=0,0,'2021'!S126/'2020'!S126-1))</f>
        <v>1.3684210526315788</v>
      </c>
      <c r="W94" s="40">
        <f>'2021'!U126-'2020'!U126</f>
        <v>-6</v>
      </c>
      <c r="X94" s="219">
        <f>IF('2021'!U126=0,0,IF('2020'!U126=0,0,'2021'!U126/'2020'!U126-1))</f>
        <v>-0.66666666666666674</v>
      </c>
      <c r="Y94" s="18"/>
    </row>
    <row r="95" spans="1:25" ht="15.75" customHeight="1">
      <c r="A95" s="20">
        <v>45</v>
      </c>
      <c r="B95" s="981"/>
      <c r="C95" s="984"/>
      <c r="D95" s="1115"/>
      <c r="E95" s="232" t="s">
        <v>153</v>
      </c>
      <c r="F95" s="163"/>
      <c r="G95" s="153"/>
      <c r="H95" s="189"/>
      <c r="I95" s="180"/>
      <c r="J95" s="196"/>
      <c r="K95" s="125"/>
      <c r="L95" s="196"/>
      <c r="M95" s="125"/>
      <c r="N95" s="196"/>
      <c r="O95" s="125"/>
      <c r="P95" s="196"/>
      <c r="Q95" s="69"/>
      <c r="R95" s="70"/>
      <c r="S95" s="69"/>
      <c r="T95" s="70"/>
      <c r="U95" s="43"/>
      <c r="V95" s="220"/>
      <c r="W95" s="43"/>
      <c r="X95" s="222"/>
      <c r="Y95" s="18"/>
    </row>
    <row r="96" spans="1:25" ht="15.75" customHeight="1">
      <c r="B96" s="981"/>
      <c r="C96" s="984"/>
      <c r="D96" s="1115"/>
      <c r="E96" s="328"/>
      <c r="F96" s="163"/>
      <c r="G96" s="315"/>
      <c r="H96" s="316"/>
      <c r="I96" s="317"/>
      <c r="J96" s="318"/>
      <c r="K96" s="319"/>
      <c r="L96" s="318"/>
      <c r="M96" s="319"/>
      <c r="N96" s="318"/>
      <c r="O96" s="319"/>
      <c r="P96" s="318"/>
      <c r="Q96" s="320"/>
      <c r="R96" s="321"/>
      <c r="S96" s="320"/>
      <c r="T96" s="321"/>
      <c r="U96" s="268"/>
      <c r="V96" s="325"/>
      <c r="W96" s="268"/>
      <c r="X96" s="269"/>
      <c r="Y96" s="18"/>
    </row>
    <row r="97" spans="1:25" ht="15.75" customHeight="1">
      <c r="B97" s="981"/>
      <c r="C97" s="984"/>
      <c r="D97" s="1115"/>
      <c r="E97" s="328"/>
      <c r="F97" s="163"/>
      <c r="G97" s="315"/>
      <c r="H97" s="316"/>
      <c r="I97" s="317"/>
      <c r="J97" s="318"/>
      <c r="K97" s="319"/>
      <c r="L97" s="318"/>
      <c r="M97" s="319"/>
      <c r="N97" s="318"/>
      <c r="O97" s="319"/>
      <c r="P97" s="318"/>
      <c r="Q97" s="320"/>
      <c r="R97" s="321"/>
      <c r="S97" s="320"/>
      <c r="T97" s="321"/>
      <c r="U97" s="268"/>
      <c r="V97" s="325"/>
      <c r="W97" s="268"/>
      <c r="X97" s="269"/>
      <c r="Y97" s="18"/>
    </row>
    <row r="98" spans="1:25" ht="15.75" customHeight="1">
      <c r="A98" s="20">
        <v>46</v>
      </c>
      <c r="B98" s="981"/>
      <c r="C98" s="984"/>
      <c r="D98" s="1115"/>
      <c r="E98" s="262" t="s">
        <v>36</v>
      </c>
      <c r="F98" s="159"/>
      <c r="G98" s="156"/>
      <c r="H98" s="190"/>
      <c r="I98" s="181"/>
      <c r="J98" s="197"/>
      <c r="K98" s="126"/>
      <c r="L98" s="197"/>
      <c r="M98" s="126"/>
      <c r="N98" s="197"/>
      <c r="O98" s="126"/>
      <c r="P98" s="197"/>
      <c r="Q98" s="71"/>
      <c r="R98" s="72"/>
      <c r="S98" s="71"/>
      <c r="T98" s="72"/>
      <c r="U98" s="49"/>
      <c r="V98" s="221"/>
      <c r="W98" s="268"/>
      <c r="X98" s="269"/>
      <c r="Y98" s="18"/>
    </row>
    <row r="99" spans="1:25" ht="15.75" customHeight="1">
      <c r="B99" s="987"/>
      <c r="C99" s="986"/>
      <c r="D99" s="270" t="s">
        <v>138</v>
      </c>
      <c r="E99" s="158"/>
      <c r="F99" s="159"/>
      <c r="G99" s="160">
        <f>SUM(G94:G98)</f>
        <v>26</v>
      </c>
      <c r="H99" s="191">
        <f>G99/'2020'!G126</f>
        <v>1.2380952380952381</v>
      </c>
      <c r="I99" s="182">
        <f>SUM(I94:I98)</f>
        <v>30</v>
      </c>
      <c r="J99" s="198">
        <f>I99/'2020'!H126</f>
        <v>3.75</v>
      </c>
      <c r="K99" s="182">
        <f>SUM(K94:K98)</f>
        <v>2.91</v>
      </c>
      <c r="L99" s="198">
        <f>K99/'2020'!J126</f>
        <v>0.47783251231527096</v>
      </c>
      <c r="M99" s="182">
        <f>SUM(M94:M98)</f>
        <v>4.28</v>
      </c>
      <c r="N99" s="198">
        <f>M99/'2020'!L126</f>
        <v>0.63690476190476197</v>
      </c>
      <c r="O99" s="182">
        <f>SUM(O94:O98)</f>
        <v>6</v>
      </c>
      <c r="P99" s="198" t="e">
        <f>O99/'2020'!N126</f>
        <v>#DIV/0!</v>
      </c>
      <c r="Q99" s="73">
        <f>SUM(Q94:Q98)</f>
        <v>1</v>
      </c>
      <c r="R99" s="74">
        <f t="shared" ref="R99:T99" si="1">SUM(R94:R98)</f>
        <v>0</v>
      </c>
      <c r="S99" s="73">
        <f t="shared" si="1"/>
        <v>7</v>
      </c>
      <c r="T99" s="74">
        <f t="shared" si="1"/>
        <v>5</v>
      </c>
      <c r="U99" s="53">
        <f>SUM(U86:U98)</f>
        <v>588</v>
      </c>
      <c r="V99" s="224">
        <f>IF('2021'!S134=0,0,IF('2020'!S134=0,0,'2021'!S134/'2020'!S134-1))</f>
        <v>3.1052631578947372</v>
      </c>
      <c r="W99" s="53">
        <f>SUM(W86:W98)</f>
        <v>21</v>
      </c>
      <c r="X99" s="225">
        <f>IF('2021'!U134=0,0,IF('2020'!U134=0,0,'2021'!U134/'2020'!U134-1))</f>
        <v>0.77777777777777768</v>
      </c>
      <c r="Y99" s="18"/>
    </row>
    <row r="100" spans="1:25" ht="15.75" customHeight="1" thickBot="1">
      <c r="A100" s="20">
        <v>47</v>
      </c>
      <c r="B100" s="980" t="s">
        <v>3</v>
      </c>
      <c r="C100" s="1136" t="s">
        <v>76</v>
      </c>
      <c r="D100" s="1115">
        <f>'2021'!D135-'2020'!D135</f>
        <v>-3</v>
      </c>
      <c r="E100" s="148" t="s">
        <v>48</v>
      </c>
      <c r="F100" s="149" t="s">
        <v>61</v>
      </c>
      <c r="G100" s="150"/>
      <c r="H100" s="188"/>
      <c r="I100" s="179"/>
      <c r="J100" s="195"/>
      <c r="K100" s="124"/>
      <c r="L100" s="195"/>
      <c r="M100" s="124"/>
      <c r="N100" s="195"/>
      <c r="O100" s="124"/>
      <c r="P100" s="195"/>
      <c r="Q100" s="67"/>
      <c r="R100" s="68"/>
      <c r="S100" s="67"/>
      <c r="T100" s="68"/>
      <c r="U100" s="39"/>
      <c r="V100" s="38"/>
      <c r="W100" s="39"/>
      <c r="X100" s="56"/>
      <c r="Y100" s="18"/>
    </row>
    <row r="101" spans="1:25" ht="15.75" customHeight="1" thickBot="1">
      <c r="A101" s="20">
        <v>48</v>
      </c>
      <c r="B101" s="981"/>
      <c r="C101" s="1137"/>
      <c r="D101" s="1115"/>
      <c r="E101" s="151" t="s">
        <v>49</v>
      </c>
      <c r="F101" s="152" t="s">
        <v>61</v>
      </c>
      <c r="G101" s="153"/>
      <c r="H101" s="189"/>
      <c r="I101" s="180"/>
      <c r="J101" s="196"/>
      <c r="K101" s="125"/>
      <c r="L101" s="196"/>
      <c r="M101" s="125"/>
      <c r="N101" s="196"/>
      <c r="O101" s="125"/>
      <c r="P101" s="196"/>
      <c r="Q101" s="69"/>
      <c r="R101" s="70"/>
      <c r="S101" s="69"/>
      <c r="T101" s="70"/>
      <c r="U101" s="42"/>
      <c r="V101" s="41"/>
      <c r="W101" s="42"/>
      <c r="X101" s="46"/>
      <c r="Y101" s="18"/>
    </row>
    <row r="102" spans="1:25" ht="15.75" customHeight="1" thickBot="1">
      <c r="A102" s="20">
        <v>49</v>
      </c>
      <c r="B102" s="981"/>
      <c r="C102" s="1137"/>
      <c r="D102" s="1115"/>
      <c r="E102" s="151" t="s">
        <v>81</v>
      </c>
      <c r="F102" s="152" t="s">
        <v>61</v>
      </c>
      <c r="G102" s="153"/>
      <c r="H102" s="189"/>
      <c r="I102" s="180"/>
      <c r="J102" s="196"/>
      <c r="K102" s="125"/>
      <c r="L102" s="196"/>
      <c r="M102" s="125"/>
      <c r="N102" s="196"/>
      <c r="O102" s="125"/>
      <c r="P102" s="196"/>
      <c r="Q102" s="69"/>
      <c r="R102" s="70"/>
      <c r="S102" s="69"/>
      <c r="T102" s="70"/>
      <c r="U102" s="42"/>
      <c r="V102" s="41"/>
      <c r="W102" s="42"/>
      <c r="X102" s="46"/>
      <c r="Y102" s="18"/>
    </row>
    <row r="103" spans="1:25" ht="15.75" customHeight="1" thickBot="1">
      <c r="A103" s="20">
        <v>50</v>
      </c>
      <c r="B103" s="981"/>
      <c r="C103" s="1137"/>
      <c r="D103" s="1115"/>
      <c r="E103" s="151" t="s">
        <v>73</v>
      </c>
      <c r="F103" s="152" t="s">
        <v>61</v>
      </c>
      <c r="G103" s="153"/>
      <c r="H103" s="189"/>
      <c r="I103" s="180"/>
      <c r="J103" s="196"/>
      <c r="K103" s="125"/>
      <c r="L103" s="196"/>
      <c r="M103" s="125"/>
      <c r="N103" s="196"/>
      <c r="O103" s="125"/>
      <c r="P103" s="196"/>
      <c r="Q103" s="69"/>
      <c r="R103" s="70"/>
      <c r="S103" s="69"/>
      <c r="T103" s="70"/>
      <c r="U103" s="42"/>
      <c r="V103" s="41"/>
      <c r="W103" s="42"/>
      <c r="X103" s="46"/>
      <c r="Y103" s="18"/>
    </row>
    <row r="104" spans="1:25" ht="15.75" customHeight="1" thickBot="1">
      <c r="A104" s="20">
        <v>51</v>
      </c>
      <c r="B104" s="981"/>
      <c r="C104" s="1137"/>
      <c r="D104" s="1115"/>
      <c r="E104" s="151" t="s">
        <v>50</v>
      </c>
      <c r="F104" s="152" t="s">
        <v>61</v>
      </c>
      <c r="G104" s="153"/>
      <c r="H104" s="189"/>
      <c r="I104" s="180"/>
      <c r="J104" s="196"/>
      <c r="K104" s="125"/>
      <c r="L104" s="196"/>
      <c r="M104" s="125"/>
      <c r="N104" s="196"/>
      <c r="O104" s="125"/>
      <c r="P104" s="196"/>
      <c r="Q104" s="69"/>
      <c r="R104" s="70"/>
      <c r="S104" s="69"/>
      <c r="T104" s="70"/>
      <c r="U104" s="42"/>
      <c r="V104" s="41"/>
      <c r="W104" s="42"/>
      <c r="X104" s="46"/>
      <c r="Y104" s="18"/>
    </row>
    <row r="105" spans="1:25" ht="15.75" customHeight="1" thickBot="1">
      <c r="A105" s="20">
        <v>52</v>
      </c>
      <c r="B105" s="981"/>
      <c r="C105" s="1137"/>
      <c r="D105" s="1115"/>
      <c r="E105" s="151" t="s">
        <v>144</v>
      </c>
      <c r="F105" s="152"/>
      <c r="G105" s="153"/>
      <c r="H105" s="189"/>
      <c r="I105" s="180"/>
      <c r="J105" s="189"/>
      <c r="K105" s="125"/>
      <c r="L105" s="196"/>
      <c r="M105" s="125"/>
      <c r="N105" s="196"/>
      <c r="O105" s="125"/>
      <c r="P105" s="196"/>
      <c r="Q105" s="69"/>
      <c r="R105" s="70"/>
      <c r="S105" s="69"/>
      <c r="T105" s="70"/>
      <c r="U105" s="42"/>
      <c r="V105" s="41"/>
      <c r="W105" s="42"/>
      <c r="X105" s="46"/>
      <c r="Y105" s="18"/>
    </row>
    <row r="106" spans="1:25" ht="15.75" customHeight="1" thickBot="1">
      <c r="A106" s="20">
        <v>53</v>
      </c>
      <c r="B106" s="981"/>
      <c r="C106" s="1137"/>
      <c r="D106" s="1115"/>
      <c r="E106" s="151" t="s">
        <v>143</v>
      </c>
      <c r="F106" s="152"/>
      <c r="G106" s="153"/>
      <c r="H106" s="189"/>
      <c r="I106" s="180"/>
      <c r="J106" s="189"/>
      <c r="K106" s="125"/>
      <c r="L106" s="196"/>
      <c r="M106" s="125"/>
      <c r="N106" s="196"/>
      <c r="O106" s="125"/>
      <c r="P106" s="196"/>
      <c r="Q106" s="69"/>
      <c r="R106" s="70"/>
      <c r="S106" s="69"/>
      <c r="T106" s="70"/>
      <c r="U106" s="42"/>
      <c r="V106" s="41"/>
      <c r="W106" s="42"/>
      <c r="X106" s="46"/>
      <c r="Y106" s="18"/>
    </row>
    <row r="107" spans="1:25" ht="15.75" customHeight="1" thickBot="1">
      <c r="A107" s="20">
        <v>54</v>
      </c>
      <c r="B107" s="981"/>
      <c r="C107" s="1137"/>
      <c r="D107" s="1115"/>
      <c r="E107" s="151" t="s">
        <v>80</v>
      </c>
      <c r="F107" s="152" t="s">
        <v>61</v>
      </c>
      <c r="G107" s="153">
        <f>'2021'!G148-'2020'!G148</f>
        <v>122</v>
      </c>
      <c r="H107" s="189">
        <f>IF('2021'!G148=0,0,IF('2020'!G148=0,0,'2021'!G148/'2020'!G148-1))</f>
        <v>0.18740399385560669</v>
      </c>
      <c r="I107" s="180">
        <f>'2021'!H148-'2020'!H148</f>
        <v>122</v>
      </c>
      <c r="J107" s="196">
        <f>IF(I107=0,0,'2021'!H148/'2020'!H148-1)</f>
        <v>0.18740399385560669</v>
      </c>
      <c r="K107" s="125">
        <f>'2021'!J148-'2020'!J148</f>
        <v>304</v>
      </c>
      <c r="L107" s="196">
        <f>IF('2021'!J148=0,0,IF('2020'!J148=0,0,'2021'!J148/'2020'!J148-1))</f>
        <v>0</v>
      </c>
      <c r="M107" s="125">
        <f>'2021'!L148-'2020'!L148</f>
        <v>83</v>
      </c>
      <c r="N107" s="196">
        <f>IF('2021'!L148=0,0,IF('2020'!L148=0,0,'2021'!L148/'2020'!L148-1))</f>
        <v>0.33200000000000007</v>
      </c>
      <c r="O107" s="125">
        <f>IF('2020'!N148="-",0,'2021'!N148-'2020'!N148)</f>
        <v>192</v>
      </c>
      <c r="P107" s="196">
        <f>IF('2021'!N148=0,0,IF('2020'!N148="",0,'2021'!N148/'2020'!N148-1))</f>
        <v>0</v>
      </c>
      <c r="Q107" s="69"/>
      <c r="R107" s="70"/>
      <c r="S107" s="69"/>
      <c r="T107" s="70"/>
      <c r="U107" s="42"/>
      <c r="V107" s="41"/>
      <c r="W107" s="42"/>
      <c r="X107" s="46"/>
      <c r="Y107" s="18"/>
    </row>
    <row r="108" spans="1:25" ht="15.75" customHeight="1" thickBot="1">
      <c r="A108" s="20">
        <v>55</v>
      </c>
      <c r="B108" s="981"/>
      <c r="C108" s="1137"/>
      <c r="D108" s="1115"/>
      <c r="E108" s="151" t="s">
        <v>51</v>
      </c>
      <c r="F108" s="152" t="s">
        <v>61</v>
      </c>
      <c r="G108" s="153">
        <f>'2021'!G149-'2020'!G149</f>
        <v>14</v>
      </c>
      <c r="H108" s="189">
        <f>IF('2021'!G149=0,0,IF('2020'!G149=0,0,'2021'!G149/'2020'!G149-1))</f>
        <v>2.2764227642276369E-2</v>
      </c>
      <c r="I108" s="180">
        <f>'2021'!H149-'2020'!H149</f>
        <v>14</v>
      </c>
      <c r="J108" s="196">
        <f>IF(I108=0,0,'2021'!H149/'2020'!H149-1)</f>
        <v>2.2764227642276369E-2</v>
      </c>
      <c r="K108" s="125">
        <f>'2021'!J149-'2020'!J149</f>
        <v>296</v>
      </c>
      <c r="L108" s="196">
        <f>IF('2021'!J149=0,0,IF('2020'!J149=0,0,'2021'!J149/'2020'!J149-1))</f>
        <v>0</v>
      </c>
      <c r="M108" s="125">
        <f>'2021'!L149-'2020'!L149</f>
        <v>70</v>
      </c>
      <c r="N108" s="196">
        <f>IF('2021'!L149=0,0,IF('2020'!L149=0,0,'2021'!L149/'2020'!L149-1))</f>
        <v>0.29045643153526979</v>
      </c>
      <c r="O108" s="125">
        <f>IF('2020'!N149="-",0,'2021'!N149-'2020'!N149)</f>
        <v>182</v>
      </c>
      <c r="P108" s="196">
        <f>IF('2021'!N149=0,0,IF('2020'!N149="",0,'2021'!N149/'2020'!N149-1))</f>
        <v>0</v>
      </c>
      <c r="Q108" s="69"/>
      <c r="R108" s="70"/>
      <c r="S108" s="69"/>
      <c r="T108" s="70"/>
      <c r="U108" s="42"/>
      <c r="V108" s="41"/>
      <c r="W108" s="42"/>
      <c r="X108" s="46"/>
      <c r="Y108" s="18"/>
    </row>
    <row r="109" spans="1:25" ht="15.75" customHeight="1" thickBot="1">
      <c r="B109" s="981"/>
      <c r="C109" s="1137"/>
      <c r="D109" s="1115"/>
      <c r="E109" s="313"/>
      <c r="F109" s="314"/>
      <c r="G109" s="315"/>
      <c r="H109" s="316"/>
      <c r="I109" s="317"/>
      <c r="J109" s="318"/>
      <c r="K109" s="319"/>
      <c r="L109" s="318"/>
      <c r="M109" s="319"/>
      <c r="N109" s="318"/>
      <c r="O109" s="319"/>
      <c r="P109" s="318"/>
      <c r="Q109" s="320"/>
      <c r="R109" s="321"/>
      <c r="S109" s="320"/>
      <c r="T109" s="321"/>
      <c r="U109" s="322"/>
      <c r="V109" s="323"/>
      <c r="W109" s="322"/>
      <c r="X109" s="324"/>
      <c r="Y109" s="18"/>
    </row>
    <row r="110" spans="1:25" ht="15.75" customHeight="1" thickBot="1">
      <c r="B110" s="981"/>
      <c r="C110" s="1137"/>
      <c r="D110" s="1115"/>
      <c r="E110" s="313"/>
      <c r="F110" s="314"/>
      <c r="G110" s="315"/>
      <c r="H110" s="316"/>
      <c r="I110" s="317"/>
      <c r="J110" s="318"/>
      <c r="K110" s="319"/>
      <c r="L110" s="318"/>
      <c r="M110" s="319"/>
      <c r="N110" s="318"/>
      <c r="O110" s="319"/>
      <c r="P110" s="318"/>
      <c r="Q110" s="320"/>
      <c r="R110" s="321"/>
      <c r="S110" s="320"/>
      <c r="T110" s="321"/>
      <c r="U110" s="322"/>
      <c r="V110" s="323"/>
      <c r="W110" s="322"/>
      <c r="X110" s="324"/>
      <c r="Y110" s="18"/>
    </row>
    <row r="111" spans="1:25" ht="15.75" customHeight="1" thickBot="1">
      <c r="A111" s="20">
        <v>56</v>
      </c>
      <c r="B111" s="981"/>
      <c r="C111" s="1137"/>
      <c r="D111" s="1115"/>
      <c r="E111" s="154" t="s">
        <v>52</v>
      </c>
      <c r="F111" s="155" t="s">
        <v>61</v>
      </c>
      <c r="G111" s="156"/>
      <c r="H111" s="190"/>
      <c r="I111" s="181"/>
      <c r="J111" s="197"/>
      <c r="K111" s="126"/>
      <c r="L111" s="197"/>
      <c r="M111" s="126"/>
      <c r="N111" s="197"/>
      <c r="O111" s="126"/>
      <c r="P111" s="197"/>
      <c r="Q111" s="71"/>
      <c r="R111" s="72"/>
      <c r="S111" s="71"/>
      <c r="T111" s="72"/>
      <c r="U111" s="48"/>
      <c r="V111" s="47"/>
      <c r="W111" s="48"/>
      <c r="X111" s="64"/>
      <c r="Y111" s="18"/>
    </row>
    <row r="112" spans="1:25" ht="16.5" thickBot="1">
      <c r="B112" s="982"/>
      <c r="C112" s="1137"/>
      <c r="D112" s="201" t="s">
        <v>138</v>
      </c>
      <c r="E112" s="202"/>
      <c r="F112" s="203"/>
      <c r="G112" s="164">
        <f>SUM(G100:G111)</f>
        <v>136</v>
      </c>
      <c r="H112" s="192">
        <f>G112/SUM('2020'!G148:G149)</f>
        <v>0.10742496050552923</v>
      </c>
      <c r="I112" s="183">
        <f>SUM(I100:I111)</f>
        <v>136</v>
      </c>
      <c r="J112" s="199">
        <f>I112/SUM('2020'!H148:H149)</f>
        <v>0.10742496050552923</v>
      </c>
      <c r="K112" s="127">
        <f>SUM(K100:K111)</f>
        <v>600</v>
      </c>
      <c r="L112" s="199" t="e">
        <f>K112/SUM('2020'!J148:J149)</f>
        <v>#DIV/0!</v>
      </c>
      <c r="M112" s="127">
        <f>SUM(M100:M111)</f>
        <v>153</v>
      </c>
      <c r="N112" s="199">
        <f>M112/SUM('2020'!L148:L149)</f>
        <v>0.31160896130346233</v>
      </c>
      <c r="O112" s="127">
        <f>SUM(O100:O111)</f>
        <v>374</v>
      </c>
      <c r="P112" s="199" t="e">
        <f>O112/SUM('2020'!N148:N149)</f>
        <v>#DIV/0!</v>
      </c>
      <c r="Q112" s="123"/>
      <c r="R112" s="130"/>
      <c r="S112" s="123"/>
      <c r="T112" s="130"/>
      <c r="U112" s="131"/>
      <c r="V112" s="132"/>
      <c r="W112" s="131"/>
      <c r="X112" s="133"/>
      <c r="Y112" s="18"/>
    </row>
    <row r="113" spans="1:25" s="15" customFormat="1" ht="21" customHeight="1" thickBot="1">
      <c r="A113" s="20"/>
      <c r="B113" s="103" t="s">
        <v>77</v>
      </c>
      <c r="C113" s="105"/>
      <c r="D113" s="165">
        <f>SUM(D45:D111)</f>
        <v>-16</v>
      </c>
      <c r="E113" s="166">
        <f>COUNT(A45:A112)</f>
        <v>43</v>
      </c>
      <c r="F113" s="167">
        <f>COUNT(K45:K111)</f>
        <v>34</v>
      </c>
      <c r="G113" s="177">
        <f>G53+G69+G80+G93+G94+G112</f>
        <v>633</v>
      </c>
      <c r="H113" s="227">
        <f>G113/'2020'!G160</f>
        <v>0.13195747342088807</v>
      </c>
      <c r="I113" s="185">
        <f>I53+I69+I80+I93+I94+I112</f>
        <v>561</v>
      </c>
      <c r="J113" s="226">
        <f>I113/'2020'!H160</f>
        <v>0.16706372840976771</v>
      </c>
      <c r="K113" s="186">
        <f>K53+K69+K80+K93+K94+K112</f>
        <v>821.95</v>
      </c>
      <c r="L113" s="226">
        <f>K113/'2020'!J160</f>
        <v>0.61428945106685107</v>
      </c>
      <c r="M113" s="186">
        <f>M53+M69+M80+M93+M94+M112</f>
        <v>275.69</v>
      </c>
      <c r="N113" s="226">
        <f>M113/'2020'!L160</f>
        <v>0.14378999744433607</v>
      </c>
      <c r="O113" s="228">
        <f>O53+O69+O80+O93+O99+O112</f>
        <v>424.09980000000002</v>
      </c>
      <c r="P113" s="229">
        <f>IF('2021'!N160=0,0,IF('2020'!N160="-",0,'2021'!N160/'2020'!N160-1))</f>
        <v>6.3375775557453542</v>
      </c>
      <c r="Q113" s="35"/>
      <c r="R113" s="36"/>
      <c r="S113" s="35"/>
      <c r="T113" s="36"/>
      <c r="U113" s="35"/>
      <c r="V113" s="36"/>
      <c r="W113" s="35"/>
      <c r="X113" s="37"/>
      <c r="Y113" s="19"/>
    </row>
    <row r="114" spans="1:25" s="15" customFormat="1" ht="21" customHeight="1" thickBot="1">
      <c r="A114" s="20"/>
      <c r="B114" s="103" t="s">
        <v>66</v>
      </c>
      <c r="C114" s="104"/>
      <c r="D114" s="165">
        <f>D113+D44</f>
        <v>-5</v>
      </c>
      <c r="E114" s="166">
        <f>E44+E113</f>
        <v>71</v>
      </c>
      <c r="F114" s="167">
        <f>F113+F44</f>
        <v>64</v>
      </c>
      <c r="G114" s="177">
        <f>G44+G113</f>
        <v>782</v>
      </c>
      <c r="H114" s="227">
        <f>G114/'2020'!G161</f>
        <v>0.15064534771720284</v>
      </c>
      <c r="I114" s="185">
        <f>I44+I113</f>
        <v>707</v>
      </c>
      <c r="J114" s="226">
        <f>I114/'2020'!H161</f>
        <v>0.19677150013915948</v>
      </c>
      <c r="K114" s="186">
        <f>K44+K113</f>
        <v>892.98</v>
      </c>
      <c r="L114" s="226">
        <f>K114/'2020'!J161</f>
        <v>0.62576558142142369</v>
      </c>
      <c r="M114" s="186">
        <f>M44+M113</f>
        <v>327.67</v>
      </c>
      <c r="N114" s="226">
        <f>M114/'2020'!L161</f>
        <v>0.16331809821913645</v>
      </c>
      <c r="O114" s="228">
        <f>O44+O113</f>
        <v>440.13980000000004</v>
      </c>
      <c r="P114" s="229">
        <f>IF('2021'!N161=0,0,IF('2020'!N161="-",0,'2021'!N161/'2020'!N161-1))</f>
        <v>5.6139874811914723</v>
      </c>
      <c r="Q114" s="35"/>
      <c r="R114" s="36"/>
      <c r="S114" s="35"/>
      <c r="T114" s="36"/>
      <c r="U114" s="35"/>
      <c r="V114" s="36"/>
      <c r="W114" s="35"/>
      <c r="X114" s="37"/>
      <c r="Y114" s="19"/>
    </row>
    <row r="115" spans="1:25">
      <c r="B115" s="5"/>
      <c r="C115" s="14"/>
      <c r="D115" s="14"/>
      <c r="E115" s="5"/>
      <c r="F115" s="14"/>
      <c r="G115" s="58"/>
      <c r="H115" s="58"/>
      <c r="I115" s="58"/>
      <c r="J115" s="58"/>
      <c r="K115" s="59"/>
      <c r="L115" s="59"/>
      <c r="M115" s="59"/>
      <c r="O115" s="992" t="s">
        <v>68</v>
      </c>
      <c r="P115" s="992"/>
      <c r="Q115" s="58"/>
      <c r="R115" s="58"/>
      <c r="S115" s="58"/>
      <c r="T115" s="58"/>
      <c r="U115" s="58"/>
      <c r="V115" s="58"/>
      <c r="W115" s="58"/>
      <c r="X115" s="58"/>
    </row>
    <row r="116" spans="1:25">
      <c r="E116" s="26" t="s">
        <v>67</v>
      </c>
      <c r="F116" s="27"/>
      <c r="G116" s="2">
        <f>SUM('2021'!G148:G149)-SUM('2020'!G148:G149)</f>
        <v>136</v>
      </c>
    </row>
    <row r="117" spans="1:25">
      <c r="E117" s="1" t="s">
        <v>60</v>
      </c>
      <c r="F117" s="2">
        <f>COUNTIF(F$5:F$111,E117)</f>
        <v>31</v>
      </c>
    </row>
    <row r="118" spans="1:25" ht="15.75">
      <c r="A118" s="22"/>
      <c r="E118" s="1" t="s">
        <v>61</v>
      </c>
      <c r="F118" s="2">
        <f>COUNTIF(F$5:F$111,E118)</f>
        <v>8</v>
      </c>
    </row>
    <row r="119" spans="1:25" ht="15.75">
      <c r="A119" s="22"/>
      <c r="E119" s="1" t="s">
        <v>62</v>
      </c>
      <c r="F119" s="2">
        <f>COUNTIF(F$5:F$111,E119)</f>
        <v>21</v>
      </c>
      <c r="I119" s="273"/>
    </row>
    <row r="120" spans="1:25">
      <c r="I120" s="273"/>
    </row>
    <row r="128" spans="1:25" ht="15" customHeight="1"/>
    <row r="129" spans="9:9" ht="15" customHeight="1"/>
    <row r="130" spans="9:9" ht="15" customHeight="1"/>
    <row r="131" spans="9:9" ht="15" customHeight="1"/>
    <row r="132" spans="9:9" ht="15" customHeight="1"/>
    <row r="133" spans="9:9" ht="15" customHeight="1"/>
    <row r="134" spans="9:9" ht="15" customHeight="1"/>
    <row r="135" spans="9:9" ht="15" customHeight="1"/>
    <row r="136" spans="9:9" ht="15" customHeight="1"/>
    <row r="137" spans="9:9" ht="15.75" customHeight="1"/>
    <row r="138" spans="9:9" ht="15.75" customHeight="1">
      <c r="I138" s="273"/>
    </row>
    <row r="139" spans="9:9" ht="15" customHeight="1">
      <c r="I139" s="273"/>
    </row>
    <row r="140" spans="9:9" ht="15" customHeight="1">
      <c r="I140" s="273"/>
    </row>
    <row r="141" spans="9:9" ht="15" customHeight="1">
      <c r="I141" s="273"/>
    </row>
    <row r="142" spans="9:9" ht="15" customHeight="1">
      <c r="I142" s="273"/>
    </row>
  </sheetData>
  <autoFilter ref="G4:X4"/>
  <mergeCells count="48">
    <mergeCell ref="D94:D98"/>
    <mergeCell ref="O115:P115"/>
    <mergeCell ref="D62:D68"/>
    <mergeCell ref="B70:B80"/>
    <mergeCell ref="B62:B69"/>
    <mergeCell ref="C62:C69"/>
    <mergeCell ref="C70:C80"/>
    <mergeCell ref="D70:D79"/>
    <mergeCell ref="D100:D111"/>
    <mergeCell ref="B100:B112"/>
    <mergeCell ref="C100:C112"/>
    <mergeCell ref="B94:B99"/>
    <mergeCell ref="C94:C99"/>
    <mergeCell ref="B81:B93"/>
    <mergeCell ref="C81:C93"/>
    <mergeCell ref="D81:D92"/>
    <mergeCell ref="W2:X2"/>
    <mergeCell ref="D21:D31"/>
    <mergeCell ref="D2:D4"/>
    <mergeCell ref="U3:V3"/>
    <mergeCell ref="W3:X3"/>
    <mergeCell ref="O2:P3"/>
    <mergeCell ref="K2:L3"/>
    <mergeCell ref="M2:N3"/>
    <mergeCell ref="B2:B4"/>
    <mergeCell ref="C2:C4"/>
    <mergeCell ref="Q2:R2"/>
    <mergeCell ref="S2:T2"/>
    <mergeCell ref="U2:V2"/>
    <mergeCell ref="E2:E4"/>
    <mergeCell ref="F2:F4"/>
    <mergeCell ref="G2:J2"/>
    <mergeCell ref="G3:H3"/>
    <mergeCell ref="I3:J3"/>
    <mergeCell ref="B54:B61"/>
    <mergeCell ref="C54:C61"/>
    <mergeCell ref="D54:D60"/>
    <mergeCell ref="B7:B20"/>
    <mergeCell ref="C7:C20"/>
    <mergeCell ref="D7:D19"/>
    <mergeCell ref="B21:B32"/>
    <mergeCell ref="C21:C32"/>
    <mergeCell ref="D33:D42"/>
    <mergeCell ref="D45:D52"/>
    <mergeCell ref="B33:B43"/>
    <mergeCell ref="C33:C43"/>
    <mergeCell ref="B45:B53"/>
    <mergeCell ref="C45:C53"/>
  </mergeCells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  <ignoredErrors>
    <ignoredError sqref="V69 G113 V80 V94 H80:N80 H69:O69 G32 K114 H113:H114 H112 I114 H111:L111 J114 J113 I112:L112 L113 N111:N113 L114:N114 K44 M44:N44 I44 H43:N43 H44 J44 L44 K32:L32 E114" formula="1"/>
    <ignoredError sqref="P113 G92:P94 G88:P89" evalError="1"/>
    <ignoredError sqref="M113 K113 I113" evalError="1" formula="1"/>
    <ignoredError sqref="H32:J32" formula="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6</vt:i4>
      </vt:variant>
    </vt:vector>
  </HeadingPairs>
  <TitlesOfParts>
    <vt:vector size="15" baseType="lpstr">
      <vt:lpstr>Index</vt:lpstr>
      <vt:lpstr>2020</vt:lpstr>
      <vt:lpstr>2021</vt:lpstr>
      <vt:lpstr>2022</vt:lpstr>
      <vt:lpstr>2023</vt:lpstr>
      <vt:lpstr>2024</vt:lpstr>
      <vt:lpstr>2025</vt:lpstr>
      <vt:lpstr>SYNTHESE</vt:lpstr>
      <vt:lpstr>2021-2020</vt:lpstr>
      <vt:lpstr>'2021'!Zone_d_impression</vt:lpstr>
      <vt:lpstr>'2022'!Zone_d_impression</vt:lpstr>
      <vt:lpstr>'2023'!Zone_d_impression</vt:lpstr>
      <vt:lpstr>'2024'!Zone_d_impression</vt:lpstr>
      <vt:lpstr>'2025'!Zone_d_impression</vt:lpstr>
      <vt:lpstr>SYNTHESE!Zone_d_impression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ROGUET</dc:creator>
  <cp:lastModifiedBy>HP</cp:lastModifiedBy>
  <cp:lastPrinted>2022-06-22T15:52:59Z</cp:lastPrinted>
  <dcterms:created xsi:type="dcterms:W3CDTF">2020-06-23T06:39:08Z</dcterms:created>
  <dcterms:modified xsi:type="dcterms:W3CDTF">2023-06-09T10:27:36Z</dcterms:modified>
</cp:coreProperties>
</file>