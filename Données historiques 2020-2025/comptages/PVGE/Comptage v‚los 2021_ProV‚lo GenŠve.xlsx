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45" yWindow="60" windowWidth="14940" windowHeight="9960" activeTab="2"/>
  </bookViews>
  <sheets>
    <sheet name="Index" sheetId="5" r:id="rId1"/>
    <sheet name="2020" sheetId="1" r:id="rId2"/>
    <sheet name="2021" sheetId="3" r:id="rId3"/>
    <sheet name="PRO VELO GE 2021" sheetId="6" r:id="rId4"/>
  </sheets>
  <definedNames>
    <definedName name="_xlnm._FilterDatabase" localSheetId="1" hidden="1">'2020'!$B$2:$V$58</definedName>
    <definedName name="_xlnm._FilterDatabase" localSheetId="2" hidden="1">'2021'!$B$2:$V$58</definedName>
  </definedNames>
  <calcPr calcId="124519"/>
</workbook>
</file>

<file path=xl/calcChain.xml><?xml version="1.0" encoding="utf-8"?>
<calcChain xmlns="http://schemas.openxmlformats.org/spreadsheetml/2006/main">
  <c r="G52" i="3"/>
  <c r="H52"/>
  <c r="J52"/>
  <c r="J53" s="1"/>
  <c r="I53" s="1"/>
  <c r="L52"/>
  <c r="L53" s="1"/>
  <c r="K53" s="1"/>
  <c r="N52"/>
  <c r="M52" s="1"/>
  <c r="G53"/>
  <c r="H53"/>
  <c r="M53"/>
  <c r="N53"/>
  <c r="F56"/>
  <c r="F57"/>
  <c r="F58"/>
  <c r="G21" i="6"/>
  <c r="E21"/>
  <c r="F21"/>
  <c r="E7"/>
  <c r="D7"/>
  <c r="F36"/>
  <c r="F35"/>
  <c r="F34"/>
  <c r="F28"/>
  <c r="F27"/>
  <c r="F26"/>
  <c r="G36"/>
  <c r="G35"/>
  <c r="G34"/>
  <c r="G28"/>
  <c r="G27"/>
  <c r="G26"/>
  <c r="H14"/>
  <c r="H15"/>
  <c r="H16"/>
  <c r="H17"/>
  <c r="H18"/>
  <c r="H19"/>
  <c r="H20"/>
  <c r="H13"/>
  <c r="H12"/>
  <c r="H6"/>
  <c r="H5"/>
  <c r="H4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5"/>
  <c r="U4"/>
  <c r="I36"/>
  <c r="I35"/>
  <c r="I34"/>
  <c r="I28"/>
  <c r="I27"/>
  <c r="I26"/>
  <c r="J15"/>
  <c r="K34"/>
  <c r="K26"/>
  <c r="K18"/>
  <c r="K15"/>
  <c r="K12"/>
  <c r="K4"/>
  <c r="I14"/>
  <c r="I15"/>
  <c r="I16"/>
  <c r="I17"/>
  <c r="I18"/>
  <c r="I19"/>
  <c r="I20"/>
  <c r="I13"/>
  <c r="I12"/>
  <c r="I6"/>
  <c r="I5"/>
  <c r="I4"/>
  <c r="E28"/>
  <c r="E27"/>
  <c r="E26"/>
  <c r="E29"/>
  <c r="D29"/>
  <c r="E36"/>
  <c r="E35"/>
  <c r="E34"/>
  <c r="D34"/>
  <c r="D35"/>
  <c r="D36"/>
  <c r="D28"/>
  <c r="D27"/>
  <c r="D26"/>
  <c r="F6"/>
  <c r="F12"/>
  <c r="F14"/>
  <c r="F5"/>
  <c r="F4"/>
  <c r="G19"/>
  <c r="G16"/>
  <c r="G12"/>
  <c r="G6"/>
  <c r="G13"/>
  <c r="F13" s="1"/>
  <c r="G14"/>
  <c r="G15"/>
  <c r="G17"/>
  <c r="F17" s="1"/>
  <c r="G18"/>
  <c r="F18" s="1"/>
  <c r="G20"/>
  <c r="G5"/>
  <c r="G4"/>
  <c r="E6"/>
  <c r="E5"/>
  <c r="E4"/>
  <c r="D12"/>
  <c r="D6"/>
  <c r="D4"/>
  <c r="D5"/>
  <c r="E14"/>
  <c r="E17"/>
  <c r="E18"/>
  <c r="E13"/>
  <c r="D17"/>
  <c r="D15"/>
  <c r="E15" s="1"/>
  <c r="F15" s="1"/>
  <c r="D16"/>
  <c r="E16" s="1"/>
  <c r="F16" s="1"/>
  <c r="D18"/>
  <c r="D19"/>
  <c r="E19" s="1"/>
  <c r="F19" s="1"/>
  <c r="D20"/>
  <c r="E20" s="1"/>
  <c r="F20" s="1"/>
  <c r="D14"/>
  <c r="D13"/>
  <c r="N34"/>
  <c r="O34"/>
  <c r="P34"/>
  <c r="Q34"/>
  <c r="M34"/>
  <c r="L34"/>
  <c r="N18"/>
  <c r="O18"/>
  <c r="P18"/>
  <c r="Q18"/>
  <c r="M18"/>
  <c r="L18"/>
  <c r="N15"/>
  <c r="O15"/>
  <c r="P15"/>
  <c r="Q15"/>
  <c r="M15"/>
  <c r="L15"/>
  <c r="N26"/>
  <c r="O26"/>
  <c r="P26"/>
  <c r="Q26"/>
  <c r="M26"/>
  <c r="L26"/>
  <c r="O4"/>
  <c r="P4"/>
  <c r="Q4"/>
  <c r="N4"/>
  <c r="M4"/>
  <c r="L4"/>
  <c r="K52" i="3" l="1"/>
  <c r="I52"/>
  <c r="O12" i="6"/>
  <c r="P12"/>
  <c r="Q12"/>
  <c r="N12"/>
  <c r="M12"/>
  <c r="L12"/>
  <c r="J40"/>
  <c r="J37"/>
  <c r="J34"/>
  <c r="J29"/>
  <c r="J26"/>
  <c r="J18"/>
  <c r="J12"/>
  <c r="J7"/>
  <c r="J4"/>
  <c r="M47" i="3"/>
  <c r="M49"/>
  <c r="M50"/>
  <c r="M51"/>
  <c r="I47"/>
  <c r="I49"/>
  <c r="I50"/>
  <c r="I51"/>
  <c r="D52"/>
  <c r="D53" s="1"/>
  <c r="H51"/>
  <c r="H50"/>
  <c r="H21"/>
  <c r="D21"/>
  <c r="E21"/>
  <c r="E12" i="6" l="1"/>
  <c r="G21" i="3"/>
  <c r="L21"/>
  <c r="F52"/>
  <c r="H49"/>
  <c r="G4" i="1"/>
  <c r="I4"/>
  <c r="J4"/>
  <c r="K4"/>
  <c r="L4"/>
  <c r="N4" s="1"/>
  <c r="M4"/>
  <c r="J5"/>
  <c r="L5"/>
  <c r="N5"/>
  <c r="J6"/>
  <c r="L6"/>
  <c r="N6"/>
  <c r="J7"/>
  <c r="L7"/>
  <c r="N7"/>
  <c r="J8"/>
  <c r="L8"/>
  <c r="N8"/>
  <c r="J9"/>
  <c r="L9"/>
  <c r="N9"/>
  <c r="J10"/>
  <c r="L10"/>
  <c r="N10"/>
  <c r="J11"/>
  <c r="L11"/>
  <c r="N11"/>
  <c r="J12"/>
  <c r="L12"/>
  <c r="N12"/>
  <c r="J13"/>
  <c r="L13"/>
  <c r="N13"/>
  <c r="J14"/>
  <c r="L14"/>
  <c r="N14"/>
  <c r="J15"/>
  <c r="L15"/>
  <c r="N15"/>
  <c r="J16"/>
  <c r="L16"/>
  <c r="N16"/>
  <c r="J17"/>
  <c r="L17"/>
  <c r="N17"/>
  <c r="J18"/>
  <c r="L18"/>
  <c r="N18"/>
  <c r="J19"/>
  <c r="L19"/>
  <c r="N19"/>
  <c r="J20"/>
  <c r="L20"/>
  <c r="N20"/>
  <c r="K21" i="3" l="1"/>
  <c r="K49" i="1"/>
  <c r="I49"/>
  <c r="G49"/>
  <c r="H49"/>
  <c r="G46"/>
  <c r="H46" s="1"/>
  <c r="K46"/>
  <c r="I46"/>
  <c r="N46" l="1"/>
  <c r="L46"/>
  <c r="J46"/>
  <c r="N49"/>
  <c r="L49"/>
  <c r="J49"/>
  <c r="E21" l="1"/>
  <c r="N52" l="1"/>
  <c r="M52" s="1"/>
  <c r="L52"/>
  <c r="J52"/>
  <c r="H52"/>
  <c r="G52"/>
  <c r="F21"/>
  <c r="F52"/>
  <c r="L21"/>
  <c r="J21"/>
  <c r="H21"/>
  <c r="G21"/>
  <c r="D21"/>
  <c r="D52"/>
  <c r="D53" s="1"/>
  <c r="G47"/>
  <c r="K47" s="1"/>
  <c r="G53" l="1"/>
  <c r="I52"/>
  <c r="H53"/>
  <c r="J53"/>
  <c r="L53"/>
  <c r="F53"/>
  <c r="I21"/>
  <c r="K21"/>
  <c r="I47"/>
  <c r="H39" l="1"/>
  <c r="H36"/>
  <c r="H37"/>
  <c r="H38"/>
  <c r="H35"/>
  <c r="H34"/>
  <c r="N22" l="1"/>
  <c r="N23"/>
  <c r="N24"/>
  <c r="N25"/>
  <c r="N26"/>
  <c r="N27"/>
  <c r="N30"/>
  <c r="N31"/>
  <c r="N38"/>
  <c r="N40"/>
  <c r="N41"/>
  <c r="N42"/>
  <c r="N43"/>
  <c r="N44"/>
  <c r="N45"/>
  <c r="N47"/>
  <c r="N48"/>
  <c r="N50"/>
  <c r="N51"/>
  <c r="L22"/>
  <c r="L23"/>
  <c r="L24"/>
  <c r="L25"/>
  <c r="L26"/>
  <c r="L27"/>
  <c r="L28"/>
  <c r="N28" s="1"/>
  <c r="L29"/>
  <c r="N29" s="1"/>
  <c r="L30"/>
  <c r="L31"/>
  <c r="L32"/>
  <c r="N32" s="1"/>
  <c r="L33"/>
  <c r="N33" s="1"/>
  <c r="L34"/>
  <c r="N34" s="1"/>
  <c r="L35"/>
  <c r="N35" s="1"/>
  <c r="L36"/>
  <c r="N36" s="1"/>
  <c r="L37"/>
  <c r="N37" s="1"/>
  <c r="L38"/>
  <c r="L39"/>
  <c r="N39" s="1"/>
  <c r="L40"/>
  <c r="L41"/>
  <c r="L42"/>
  <c r="L43"/>
  <c r="L47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7"/>
  <c r="F57"/>
  <c r="F58"/>
  <c r="F56"/>
  <c r="G48" l="1"/>
  <c r="I48" s="1"/>
  <c r="J48" s="1"/>
  <c r="G45"/>
  <c r="H45" s="1"/>
  <c r="G51"/>
  <c r="K51" s="1"/>
  <c r="L51" s="1"/>
  <c r="G50"/>
  <c r="K50" s="1"/>
  <c r="L50" s="1"/>
  <c r="H50"/>
  <c r="H47"/>
  <c r="G44"/>
  <c r="K44" s="1"/>
  <c r="L44" s="1"/>
  <c r="K48" l="1"/>
  <c r="L48" s="1"/>
  <c r="H48"/>
  <c r="H51"/>
  <c r="I51"/>
  <c r="J51" s="1"/>
  <c r="I45"/>
  <c r="J45" s="1"/>
  <c r="K45"/>
  <c r="L45" s="1"/>
  <c r="I50"/>
  <c r="J50" s="1"/>
  <c r="I44"/>
  <c r="J44" s="1"/>
  <c r="H44"/>
  <c r="N53" l="1"/>
  <c r="M53" s="1"/>
  <c r="N21"/>
  <c r="M21" s="1"/>
  <c r="K53"/>
  <c r="K52"/>
  <c r="I53"/>
  <c r="F53" i="3"/>
  <c r="F21"/>
  <c r="J21"/>
  <c r="I21" l="1"/>
  <c r="N21"/>
  <c r="M21" s="1"/>
</calcChain>
</file>

<file path=xl/sharedStrings.xml><?xml version="1.0" encoding="utf-8"?>
<sst xmlns="http://schemas.openxmlformats.org/spreadsheetml/2006/main" count="576" uniqueCount="164">
  <si>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</si>
  <si>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</si>
  <si>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</si>
  <si>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</si>
  <si>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</si>
  <si>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</si>
  <si>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</si>
  <si>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</si>
  <si>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Foron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</si>
  <si>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</si>
  <si>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</si>
  <si>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</si>
  <si>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</si>
  <si>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</si>
  <si>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</si>
  <si>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</si>
  <si>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</si>
  <si>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</si>
  <si>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</si>
  <si>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</si>
  <si>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</si>
  <si>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</si>
  <si>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</si>
  <si>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</si>
  <si>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</si>
  <si>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</si>
  <si>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</si>
  <si>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</si>
  <si>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</si>
  <si>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</si>
  <si>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</si>
  <si>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</si>
  <si>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</si>
  <si>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Charrot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</si>
  <si>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</si>
  <si>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</si>
  <si>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</si>
  <si>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</si>
  <si>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</si>
  <si>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</si>
  <si>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</si>
  <si>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</si>
  <si>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</si>
  <si>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</si>
  <si>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</si>
  <si>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</si>
  <si>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</si>
  <si>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</si>
  <si>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</si>
  <si>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</si>
  <si>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</si>
  <si>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</si>
  <si>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</si>
  <si>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</si>
  <si>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</si>
  <si>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</si>
  <si>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</si>
  <si>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</si>
  <si>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</si>
  <si>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</si>
  <si>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</si>
  <si>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</si>
  <si>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</si>
  <si>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</si>
  <si>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</si>
  <si>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</si>
  <si>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</si>
  <si>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</si>
  <si>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</si>
  <si>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</si>
  <si>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</si>
  <si>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</si>
  <si>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</si>
  <si>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</si>
  <si>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</si>
  <si>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</si>
  <si>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</si>
  <si>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</si>
  <si>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</si>
  <si>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</si>
  <si>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</si>
  <si>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</si>
  <si>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</si>
  <si>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</si>
  <si>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</si>
  <si>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</si>
  <si>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</si>
  <si>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</si>
  <si>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</si>
  <si>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</si>
  <si>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</si>
  <si>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</si>
  <si>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</si>
  <si>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</si>
  <si>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</si>
  <si>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</si>
  <si>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</si>
  <si>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</si>
  <si>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</si>
  <si>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</si>
  <si>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</si>
  <si>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</si>
  <si>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</si>
  <si>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</si>
  <si>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</si>
  <si>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</si>
  <si>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</si>
  <si>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Eléments à renseigner par chaque association dans l'onglet "2021"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</si>
  <si>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</si>
  <si>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</si>
  <si>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</si>
  <si>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</si>
  <si>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</si>
  <si>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</si>
  <si>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</si>
  <si>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</si>
  <si>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</si>
  <si>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</si>
  <si>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</si>
  <si>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</si>
  <si>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</si>
  <si>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Eléments obligatoires &gt;&gt; cellules en vert dans l'onglet "2021"</t>
  </si>
  <si>
    <t>&gt;&gt; cellules en vert dans l'onglet "2021"</t>
  </si>
  <si>
    <t>Eléments facultatifs &gt;&gt; cellules en rose dans l'onglet "2021"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</si>
  <si>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</si>
  <si>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</si>
  <si>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</si>
  <si>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</si>
  <si>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</si>
  <si>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</si>
  <si>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</si>
  <si>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</si>
  <si>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</si>
  <si>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</si>
  <si>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</si>
  <si>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</si>
  <si>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</si>
  <si>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</si>
  <si>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</si>
  <si>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THONEX_Chemin de la mousse/rte de Jussy</t>
  </si>
  <si>
    <t>CHENE-BOURG_école de Haller</t>
  </si>
  <si>
    <t>vers Nord</t>
  </si>
  <si>
    <t>vers Sud</t>
  </si>
  <si>
    <t>vers Annemasse</t>
  </si>
  <si>
    <t>vers Genève</t>
  </si>
  <si>
    <t>vers Suisse</t>
  </si>
  <si>
    <t>vers France</t>
  </si>
  <si>
    <t>Postes de comptage soir 17 -18</t>
  </si>
  <si>
    <t>Postes de comptage matin 7:30 - 8:30</t>
  </si>
  <si>
    <t>enfants VAE</t>
  </si>
  <si>
    <t>enfants classique</t>
  </si>
  <si>
    <t>hommes VAE</t>
  </si>
  <si>
    <t>hommes classique</t>
  </si>
  <si>
    <t>Femmes VAE</t>
  </si>
  <si>
    <t>femmes classique</t>
  </si>
  <si>
    <t>trotiette femme</t>
  </si>
  <si>
    <t>trotinette homme</t>
  </si>
  <si>
    <t>vers tronchet sur route</t>
  </si>
  <si>
    <t>vers tronchet sur piste</t>
  </si>
  <si>
    <t>tourne à droite sur route</t>
  </si>
  <si>
    <t>tourne à droite sur piste</t>
  </si>
  <si>
    <t>sous-total femmes et hommes sans enfants</t>
  </si>
  <si>
    <t>route</t>
  </si>
  <si>
    <t>carrefour</t>
  </si>
</sst>
</file>

<file path=xl/styles.xml><?xml version="1.0" encoding="utf-8"?>
<styleSheet xmlns="http://schemas.openxmlformats.org/spreadsheetml/2006/main">
  <numFmts count="1">
    <numFmt numFmtId="164" formatCode="0&quot; postes de comptages&quot;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26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9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theme="1" tint="0.49998474074526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3" borderId="2" xfId="0" applyFont="1" applyFill="1" applyBorder="1" applyAlignment="1">
      <alignment vertical="center"/>
    </xf>
    <xf numFmtId="0" fontId="0" fillId="3" borderId="3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9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30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9" fontId="0" fillId="3" borderId="17" xfId="1" applyFont="1" applyFill="1" applyBorder="1" applyAlignment="1">
      <alignment horizontal="center" vertical="center"/>
    </xf>
    <xf numFmtId="9" fontId="0" fillId="3" borderId="31" xfId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9" fontId="0" fillId="3" borderId="19" xfId="1" applyFont="1" applyFill="1" applyBorder="1" applyAlignment="1">
      <alignment horizontal="center" vertical="center"/>
    </xf>
    <xf numFmtId="9" fontId="0" fillId="3" borderId="32" xfId="1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9" fontId="0" fillId="3" borderId="21" xfId="1" applyFont="1" applyFill="1" applyBorder="1" applyAlignment="1">
      <alignment horizontal="center" vertical="center"/>
    </xf>
    <xf numFmtId="9" fontId="0" fillId="3" borderId="33" xfId="1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2" fillId="3" borderId="26" xfId="1" applyNumberFormat="1" applyFont="1" applyFill="1" applyBorder="1" applyAlignment="1">
      <alignment horizontal="center" vertical="center"/>
    </xf>
    <xf numFmtId="3" fontId="2" fillId="3" borderId="27" xfId="1" applyNumberFormat="1" applyFont="1" applyFill="1" applyBorder="1" applyAlignment="1">
      <alignment horizontal="center" vertical="center"/>
    </xf>
    <xf numFmtId="3" fontId="2" fillId="3" borderId="28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9" xfId="1" applyNumberFormat="1" applyFont="1" applyFill="1" applyBorder="1" applyAlignment="1">
      <alignment horizontal="center" vertical="center"/>
    </xf>
    <xf numFmtId="3" fontId="2" fillId="3" borderId="30" xfId="1" applyNumberFormat="1" applyFont="1" applyFill="1" applyBorder="1" applyAlignment="1">
      <alignment horizontal="center" vertical="center"/>
    </xf>
    <xf numFmtId="3" fontId="2" fillId="3" borderId="31" xfId="1" applyNumberFormat="1" applyFont="1" applyFill="1" applyBorder="1" applyAlignment="1">
      <alignment horizontal="center" vertical="center"/>
    </xf>
    <xf numFmtId="3" fontId="2" fillId="3" borderId="32" xfId="1" applyNumberFormat="1" applyFont="1" applyFill="1" applyBorder="1" applyAlignment="1">
      <alignment horizontal="center" vertical="center"/>
    </xf>
    <xf numFmtId="3" fontId="2" fillId="3" borderId="33" xfId="1" applyNumberFormat="1" applyFont="1" applyFill="1" applyBorder="1" applyAlignment="1">
      <alignment horizontal="center" vertical="center"/>
    </xf>
    <xf numFmtId="3" fontId="4" fillId="3" borderId="55" xfId="0" applyNumberFormat="1" applyFont="1" applyFill="1" applyBorder="1" applyAlignment="1">
      <alignment horizontal="center" vertical="center"/>
    </xf>
    <xf numFmtId="3" fontId="4" fillId="3" borderId="48" xfId="0" applyNumberFormat="1" applyFont="1" applyFill="1" applyBorder="1" applyAlignment="1">
      <alignment horizontal="center" vertical="center"/>
    </xf>
    <xf numFmtId="9" fontId="4" fillId="3" borderId="46" xfId="1" applyNumberFormat="1" applyFont="1" applyFill="1" applyBorder="1" applyAlignment="1">
      <alignment horizontal="center" vertical="center"/>
    </xf>
    <xf numFmtId="3" fontId="5" fillId="3" borderId="47" xfId="1" applyNumberFormat="1" applyFont="1" applyFill="1" applyBorder="1" applyAlignment="1">
      <alignment horizontal="center" vertical="center"/>
    </xf>
    <xf numFmtId="9" fontId="4" fillId="3" borderId="47" xfId="1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3" fontId="4" fillId="3" borderId="5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61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62" xfId="0" applyFill="1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63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62" xfId="0" applyFont="1" applyFill="1" applyBorder="1" applyAlignment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63" xfId="0" applyFont="1" applyFill="1" applyBorder="1" applyAlignment="1">
      <alignment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64" xfId="0" applyFill="1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65" xfId="0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4" fillId="3" borderId="57" xfId="0" applyFont="1" applyFill="1" applyBorder="1" applyAlignment="1">
      <alignment vertical="center"/>
    </xf>
    <xf numFmtId="0" fontId="4" fillId="3" borderId="66" xfId="0" applyFont="1" applyFill="1" applyBorder="1" applyAlignment="1">
      <alignment horizontal="center" vertical="center"/>
    </xf>
    <xf numFmtId="9" fontId="4" fillId="4" borderId="47" xfId="1" applyFont="1" applyFill="1" applyBorder="1" applyAlignment="1">
      <alignment horizontal="center" vertical="center"/>
    </xf>
    <xf numFmtId="3" fontId="5" fillId="4" borderId="48" xfId="1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vertical="center"/>
    </xf>
    <xf numFmtId="0" fontId="6" fillId="3" borderId="61" xfId="0" applyFont="1" applyFill="1" applyBorder="1" applyAlignment="1">
      <alignment vertical="center"/>
    </xf>
    <xf numFmtId="0" fontId="6" fillId="3" borderId="62" xfId="0" applyFont="1" applyFill="1" applyBorder="1" applyAlignment="1">
      <alignment vertical="center"/>
    </xf>
    <xf numFmtId="0" fontId="6" fillId="3" borderId="63" xfId="0" applyFont="1" applyFill="1" applyBorder="1" applyAlignment="1">
      <alignment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vertical="center"/>
    </xf>
    <xf numFmtId="0" fontId="4" fillId="3" borderId="67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vertical="center"/>
    </xf>
    <xf numFmtId="0" fontId="4" fillId="5" borderId="68" xfId="0" applyFont="1" applyFill="1" applyBorder="1" applyAlignment="1">
      <alignment horizontal="center" vertical="center"/>
    </xf>
    <xf numFmtId="0" fontId="0" fillId="5" borderId="59" xfId="0" applyFill="1" applyBorder="1" applyAlignment="1">
      <alignment vertical="center"/>
    </xf>
    <xf numFmtId="0" fontId="0" fillId="5" borderId="6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9" fontId="0" fillId="5" borderId="49" xfId="1" applyFont="1" applyFill="1" applyBorder="1" applyAlignment="1">
      <alignment horizontal="center" vertical="center"/>
    </xf>
    <xf numFmtId="3" fontId="2" fillId="5" borderId="50" xfId="1" applyNumberFormat="1" applyFont="1" applyFill="1" applyBorder="1" applyAlignment="1">
      <alignment horizontal="center" vertical="center"/>
    </xf>
    <xf numFmtId="9" fontId="0" fillId="5" borderId="50" xfId="1" applyFont="1" applyFill="1" applyBorder="1" applyAlignment="1">
      <alignment horizontal="center" vertical="center"/>
    </xf>
    <xf numFmtId="3" fontId="2" fillId="5" borderId="45" xfId="1" applyNumberFormat="1" applyFont="1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61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9" xfId="1" applyNumberFormat="1" applyFont="1" applyFill="1" applyBorder="1" applyAlignment="1">
      <alignment horizontal="center" vertical="center"/>
    </xf>
    <xf numFmtId="9" fontId="0" fillId="5" borderId="29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62" xfId="0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30" xfId="1" applyNumberFormat="1" applyFont="1" applyFill="1" applyBorder="1" applyAlignment="1">
      <alignment horizontal="center" vertical="center"/>
    </xf>
    <xf numFmtId="9" fontId="0" fillId="5" borderId="30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63" xfId="0" applyFill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9" fontId="0" fillId="5" borderId="17" xfId="1" applyFont="1" applyFill="1" applyBorder="1" applyAlignment="1">
      <alignment horizontal="center" vertical="center"/>
    </xf>
    <xf numFmtId="3" fontId="2" fillId="5" borderId="31" xfId="1" applyNumberFormat="1" applyFont="1" applyFill="1" applyBorder="1" applyAlignment="1">
      <alignment horizontal="center" vertical="center"/>
    </xf>
    <xf numFmtId="9" fontId="0" fillId="5" borderId="31" xfId="1" applyFont="1" applyFill="1" applyBorder="1" applyAlignment="1">
      <alignment horizontal="center" vertical="center"/>
    </xf>
    <xf numFmtId="3" fontId="2" fillId="5" borderId="26" xfId="1" applyNumberFormat="1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4" fillId="0" borderId="75" xfId="0" applyFont="1" applyBorder="1" applyAlignment="1">
      <alignment vertical="center" wrapText="1"/>
    </xf>
    <xf numFmtId="0" fontId="0" fillId="0" borderId="75" xfId="0" applyBorder="1" applyAlignment="1">
      <alignment vertical="center"/>
    </xf>
    <xf numFmtId="0" fontId="4" fillId="0" borderId="75" xfId="0" applyFont="1" applyBorder="1" applyAlignment="1">
      <alignment vertical="center"/>
    </xf>
    <xf numFmtId="0" fontId="4" fillId="3" borderId="40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4" fillId="3" borderId="40" xfId="0" applyFont="1" applyFill="1" applyBorder="1" applyAlignment="1">
      <alignment vertical="center"/>
    </xf>
    <xf numFmtId="0" fontId="4" fillId="3" borderId="67" xfId="0" applyFont="1" applyFill="1" applyBorder="1" applyAlignment="1">
      <alignment horizontal="center" vertical="center"/>
    </xf>
    <xf numFmtId="0" fontId="7" fillId="0" borderId="76" xfId="0" applyFont="1" applyBorder="1" applyAlignment="1">
      <alignment vertical="center"/>
    </xf>
    <xf numFmtId="0" fontId="0" fillId="0" borderId="76" xfId="0" applyBorder="1" applyAlignment="1">
      <alignment horizontal="center" vertical="center"/>
    </xf>
    <xf numFmtId="164" fontId="4" fillId="3" borderId="5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3" fillId="3" borderId="40" xfId="0" applyFont="1" applyFill="1" applyBorder="1" applyAlignment="1">
      <alignment horizontal="center" vertical="center"/>
    </xf>
    <xf numFmtId="0" fontId="13" fillId="3" borderId="67" xfId="0" applyFont="1" applyFill="1" applyBorder="1" applyAlignment="1">
      <alignment horizontal="center" vertical="center"/>
    </xf>
    <xf numFmtId="9" fontId="13" fillId="3" borderId="46" xfId="1" applyNumberFormat="1" applyFont="1" applyFill="1" applyBorder="1" applyAlignment="1">
      <alignment horizontal="center" vertical="center"/>
    </xf>
    <xf numFmtId="3" fontId="13" fillId="3" borderId="47" xfId="1" applyNumberFormat="1" applyFont="1" applyFill="1" applyBorder="1" applyAlignment="1">
      <alignment horizontal="center" vertical="center"/>
    </xf>
    <xf numFmtId="9" fontId="13" fillId="3" borderId="47" xfId="1" applyNumberFormat="1" applyFont="1" applyFill="1" applyBorder="1" applyAlignment="1">
      <alignment horizontal="center" vertical="center"/>
    </xf>
    <xf numFmtId="9" fontId="13" fillId="3" borderId="47" xfId="1" applyFont="1" applyFill="1" applyBorder="1" applyAlignment="1">
      <alignment horizontal="center" vertical="center"/>
    </xf>
    <xf numFmtId="3" fontId="13" fillId="3" borderId="48" xfId="1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3" fontId="13" fillId="3" borderId="48" xfId="0" applyNumberFormat="1" applyFont="1" applyFill="1" applyBorder="1" applyAlignment="1">
      <alignment horizontal="center" vertical="center"/>
    </xf>
    <xf numFmtId="3" fontId="13" fillId="3" borderId="56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9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9" fontId="6" fillId="3" borderId="30" xfId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9" fontId="6" fillId="3" borderId="17" xfId="1" applyFont="1" applyFill="1" applyBorder="1" applyAlignment="1">
      <alignment horizontal="center" vertical="center"/>
    </xf>
    <xf numFmtId="9" fontId="6" fillId="3" borderId="31" xfId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9" fontId="6" fillId="3" borderId="19" xfId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9" fontId="6" fillId="3" borderId="21" xfId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3" fontId="13" fillId="3" borderId="5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68" xfId="0" applyFont="1" applyFill="1" applyBorder="1" applyAlignment="1">
      <alignment horizontal="center" vertical="center"/>
    </xf>
    <xf numFmtId="0" fontId="0" fillId="6" borderId="59" xfId="0" applyFill="1" applyBorder="1" applyAlignment="1">
      <alignment vertical="center"/>
    </xf>
    <xf numFmtId="0" fontId="0" fillId="6" borderId="60" xfId="0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0" fillId="6" borderId="61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0" fillId="6" borderId="62" xfId="0" applyFill="1" applyBorder="1" applyAlignment="1">
      <alignment vertical="center"/>
    </xf>
    <xf numFmtId="0" fontId="0" fillId="6" borderId="8" xfId="0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63" xfId="0" applyFill="1" applyBorder="1" applyAlignment="1">
      <alignment vertical="center"/>
    </xf>
    <xf numFmtId="0" fontId="0" fillId="6" borderId="9" xfId="0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3" fontId="6" fillId="6" borderId="50" xfId="1" applyNumberFormat="1" applyFont="1" applyFill="1" applyBorder="1" applyAlignment="1">
      <alignment horizontal="center" vertical="center"/>
    </xf>
    <xf numFmtId="3" fontId="6" fillId="6" borderId="29" xfId="1" applyNumberFormat="1" applyFont="1" applyFill="1" applyBorder="1" applyAlignment="1">
      <alignment horizontal="center" vertical="center"/>
    </xf>
    <xf numFmtId="3" fontId="6" fillId="6" borderId="30" xfId="1" applyNumberFormat="1" applyFont="1" applyFill="1" applyBorder="1" applyAlignment="1">
      <alignment horizontal="center" vertical="center"/>
    </xf>
    <xf numFmtId="3" fontId="6" fillId="6" borderId="31" xfId="1" applyNumberFormat="1" applyFont="1" applyFill="1" applyBorder="1" applyAlignment="1">
      <alignment horizontal="center" vertical="center"/>
    </xf>
    <xf numFmtId="0" fontId="0" fillId="6" borderId="62" xfId="0" applyFont="1" applyFill="1" applyBorder="1" applyAlignment="1">
      <alignment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63" xfId="0" applyFont="1" applyFill="1" applyBorder="1" applyAlignment="1">
      <alignment vertical="center"/>
    </xf>
    <xf numFmtId="0" fontId="0" fillId="6" borderId="9" xfId="0" applyFont="1" applyFill="1" applyBorder="1" applyAlignment="1">
      <alignment horizontal="center" vertical="center"/>
    </xf>
    <xf numFmtId="0" fontId="6" fillId="6" borderId="61" xfId="0" applyFont="1" applyFill="1" applyBorder="1" applyAlignment="1">
      <alignment vertical="center"/>
    </xf>
    <xf numFmtId="0" fontId="0" fillId="6" borderId="7" xfId="0" applyFont="1" applyFill="1" applyBorder="1" applyAlignment="1">
      <alignment horizontal="center" vertical="center"/>
    </xf>
    <xf numFmtId="0" fontId="6" fillId="6" borderId="62" xfId="0" applyFont="1" applyFill="1" applyBorder="1" applyAlignment="1">
      <alignment vertical="center"/>
    </xf>
    <xf numFmtId="0" fontId="6" fillId="6" borderId="63" xfId="0" applyFont="1" applyFill="1" applyBorder="1" applyAlignment="1">
      <alignment vertical="center"/>
    </xf>
    <xf numFmtId="0" fontId="4" fillId="6" borderId="72" xfId="0" applyFont="1" applyFill="1" applyBorder="1" applyAlignment="1">
      <alignment horizontal="center" vertical="center"/>
    </xf>
    <xf numFmtId="0" fontId="0" fillId="6" borderId="64" xfId="0" applyFill="1" applyBorder="1" applyAlignment="1">
      <alignment vertical="center"/>
    </xf>
    <xf numFmtId="0" fontId="0" fillId="6" borderId="10" xfId="0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3" fontId="6" fillId="6" borderId="32" xfId="1" applyNumberFormat="1" applyFont="1" applyFill="1" applyBorder="1" applyAlignment="1">
      <alignment horizontal="center" vertical="center"/>
    </xf>
    <xf numFmtId="3" fontId="6" fillId="6" borderId="33" xfId="1" applyNumberFormat="1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vertical="center"/>
    </xf>
    <xf numFmtId="0" fontId="4" fillId="3" borderId="68" xfId="0" applyFont="1" applyFill="1" applyBorder="1" applyAlignment="1">
      <alignment horizontal="center" vertical="center"/>
    </xf>
    <xf numFmtId="9" fontId="6" fillId="3" borderId="50" xfId="1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3" fontId="6" fillId="8" borderId="45" xfId="1" applyNumberFormat="1" applyFont="1" applyFill="1" applyBorder="1" applyAlignment="1">
      <alignment horizontal="center" vertical="center"/>
    </xf>
    <xf numFmtId="3" fontId="6" fillId="8" borderId="24" xfId="1" applyNumberFormat="1" applyFont="1" applyFill="1" applyBorder="1" applyAlignment="1">
      <alignment horizontal="center" vertical="center"/>
    </xf>
    <xf numFmtId="3" fontId="6" fillId="8" borderId="25" xfId="1" applyNumberFormat="1" applyFont="1" applyFill="1" applyBorder="1" applyAlignment="1">
      <alignment horizontal="center" vertical="center"/>
    </xf>
    <xf numFmtId="3" fontId="6" fillId="8" borderId="26" xfId="1" applyNumberFormat="1" applyFont="1" applyFill="1" applyBorder="1" applyAlignment="1">
      <alignment horizontal="center" vertical="center"/>
    </xf>
    <xf numFmtId="3" fontId="6" fillId="8" borderId="27" xfId="1" applyNumberFormat="1" applyFont="1" applyFill="1" applyBorder="1" applyAlignment="1">
      <alignment horizontal="center" vertical="center"/>
    </xf>
    <xf numFmtId="3" fontId="6" fillId="8" borderId="28" xfId="1" applyNumberFormat="1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0" fontId="6" fillId="8" borderId="45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80" xfId="0" applyFill="1" applyBorder="1" applyAlignment="1">
      <alignment vertical="center"/>
    </xf>
    <xf numFmtId="0" fontId="0" fillId="10" borderId="80" xfId="0" applyFill="1" applyBorder="1" applyAlignment="1">
      <alignment horizontal="center" vertical="center"/>
    </xf>
    <xf numFmtId="0" fontId="0" fillId="10" borderId="81" xfId="0" applyFill="1" applyBorder="1" applyAlignment="1">
      <alignment vertical="center"/>
    </xf>
    <xf numFmtId="0" fontId="0" fillId="10" borderId="81" xfId="0" applyFill="1" applyBorder="1" applyAlignment="1">
      <alignment horizontal="center" vertical="center"/>
    </xf>
    <xf numFmtId="0" fontId="0" fillId="10" borderId="82" xfId="0" applyFill="1" applyBorder="1" applyAlignment="1">
      <alignment vertical="center"/>
    </xf>
    <xf numFmtId="0" fontId="0" fillId="10" borderId="83" xfId="0" applyFill="1" applyBorder="1" applyAlignment="1">
      <alignment vertical="center"/>
    </xf>
    <xf numFmtId="0" fontId="0" fillId="10" borderId="84" xfId="0" applyFill="1" applyBorder="1" applyAlignment="1">
      <alignment vertical="center"/>
    </xf>
    <xf numFmtId="0" fontId="7" fillId="10" borderId="84" xfId="0" applyFont="1" applyFill="1" applyBorder="1" applyAlignment="1">
      <alignment vertical="center"/>
    </xf>
    <xf numFmtId="0" fontId="7" fillId="10" borderId="83" xfId="0" applyFont="1" applyFill="1" applyBorder="1" applyAlignment="1">
      <alignment vertical="center"/>
    </xf>
    <xf numFmtId="0" fontId="14" fillId="10" borderId="84" xfId="0" applyFont="1" applyFill="1" applyBorder="1" applyAlignment="1">
      <alignment vertical="center"/>
    </xf>
    <xf numFmtId="0" fontId="14" fillId="10" borderId="83" xfId="0" applyFont="1" applyFill="1" applyBorder="1" applyAlignment="1">
      <alignment vertical="center"/>
    </xf>
    <xf numFmtId="0" fontId="0" fillId="10" borderId="85" xfId="0" applyFill="1" applyBorder="1" applyAlignment="1">
      <alignment vertical="center"/>
    </xf>
    <xf numFmtId="0" fontId="0" fillId="10" borderId="86" xfId="0" applyFill="1" applyBorder="1" applyAlignment="1">
      <alignment vertical="center"/>
    </xf>
    <xf numFmtId="0" fontId="0" fillId="10" borderId="87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9" fontId="6" fillId="3" borderId="91" xfId="1" applyFont="1" applyFill="1" applyBorder="1" applyAlignment="1">
      <alignment horizontal="center" vertical="center"/>
    </xf>
    <xf numFmtId="9" fontId="6" fillId="3" borderId="0" xfId="1" applyFont="1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7" fillId="6" borderId="62" xfId="0" applyFont="1" applyFill="1" applyBorder="1" applyAlignment="1">
      <alignment vertical="center"/>
    </xf>
    <xf numFmtId="0" fontId="16" fillId="6" borderId="62" xfId="0" applyFont="1" applyFill="1" applyBorder="1" applyAlignment="1">
      <alignment vertical="center"/>
    </xf>
    <xf numFmtId="0" fontId="17" fillId="6" borderId="62" xfId="0" applyFont="1" applyFill="1" applyBorder="1" applyAlignment="1">
      <alignment vertical="center"/>
    </xf>
    <xf numFmtId="0" fontId="17" fillId="6" borderId="0" xfId="0" applyFont="1" applyFill="1" applyBorder="1" applyAlignment="1">
      <alignment vertical="center"/>
    </xf>
    <xf numFmtId="0" fontId="7" fillId="6" borderId="8" xfId="0" applyFont="1" applyFill="1" applyBorder="1" applyAlignment="1">
      <alignment horizontal="center" vertical="center"/>
    </xf>
    <xf numFmtId="0" fontId="18" fillId="6" borderId="36" xfId="0" applyFont="1" applyFill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9" fontId="18" fillId="3" borderId="15" xfId="1" applyFont="1" applyFill="1" applyBorder="1" applyAlignment="1">
      <alignment horizontal="center" vertical="center"/>
    </xf>
    <xf numFmtId="3" fontId="18" fillId="6" borderId="30" xfId="1" applyNumberFormat="1" applyFont="1" applyFill="1" applyBorder="1" applyAlignment="1">
      <alignment horizontal="center" vertical="center"/>
    </xf>
    <xf numFmtId="0" fontId="7" fillId="0" borderId="0" xfId="0" applyFont="1"/>
    <xf numFmtId="0" fontId="7" fillId="6" borderId="11" xfId="0" applyFont="1" applyFill="1" applyBorder="1" applyAlignment="1">
      <alignment horizontal="center" vertical="center"/>
    </xf>
    <xf numFmtId="9" fontId="18" fillId="3" borderId="21" xfId="1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5" borderId="69" xfId="0" applyFont="1" applyFill="1" applyBorder="1" applyAlignment="1">
      <alignment horizontal="center" vertical="center"/>
    </xf>
    <xf numFmtId="0" fontId="4" fillId="5" borderId="70" xfId="0" applyFont="1" applyFill="1" applyBorder="1" applyAlignment="1">
      <alignment horizontal="center" vertical="center"/>
    </xf>
    <xf numFmtId="0" fontId="4" fillId="5" borderId="71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0" fontId="4" fillId="3" borderId="71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 wrapText="1"/>
    </xf>
    <xf numFmtId="0" fontId="4" fillId="3" borderId="70" xfId="0" applyFont="1" applyFill="1" applyBorder="1" applyAlignment="1">
      <alignment horizontal="center" vertical="center" wrapText="1"/>
    </xf>
    <xf numFmtId="0" fontId="4" fillId="3" borderId="71" xfId="0" applyFont="1" applyFill="1" applyBorder="1" applyAlignment="1">
      <alignment horizontal="center" vertical="center" wrapText="1"/>
    </xf>
    <xf numFmtId="9" fontId="0" fillId="4" borderId="1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4" xfId="0" applyFont="1" applyFill="1" applyBorder="1" applyAlignment="1">
      <alignment vertical="center"/>
    </xf>
    <xf numFmtId="0" fontId="4" fillId="3" borderId="40" xfId="0" applyFont="1" applyFill="1" applyBorder="1" applyAlignment="1">
      <alignment vertical="center"/>
    </xf>
    <xf numFmtId="0" fontId="4" fillId="3" borderId="73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 wrapText="1"/>
    </xf>
    <xf numFmtId="0" fontId="4" fillId="5" borderId="7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9" fontId="5" fillId="2" borderId="47" xfId="1" applyFont="1" applyFill="1" applyBorder="1" applyAlignment="1">
      <alignment horizontal="center" vertical="center" wrapText="1"/>
    </xf>
    <xf numFmtId="9" fontId="5" fillId="2" borderId="48" xfId="1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9" fontId="3" fillId="2" borderId="46" xfId="1" applyFont="1" applyFill="1" applyBorder="1" applyAlignment="1">
      <alignment horizontal="center" vertical="center" wrapText="1"/>
    </xf>
    <xf numFmtId="9" fontId="3" fillId="2" borderId="47" xfId="1" applyFont="1" applyFill="1" applyBorder="1" applyAlignment="1">
      <alignment horizontal="center" vertical="center" wrapText="1"/>
    </xf>
    <xf numFmtId="9" fontId="3" fillId="2" borderId="48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4" fillId="6" borderId="72" xfId="0" applyFont="1" applyFill="1" applyBorder="1" applyAlignment="1">
      <alignment horizontal="center" vertical="center" wrapText="1"/>
    </xf>
    <xf numFmtId="0" fontId="4" fillId="3" borderId="77" xfId="0" applyFont="1" applyFill="1" applyBorder="1" applyAlignment="1">
      <alignment vertical="center" wrapText="1"/>
    </xf>
    <xf numFmtId="0" fontId="4" fillId="3" borderId="75" xfId="0" applyFont="1" applyFill="1" applyBorder="1" applyAlignment="1">
      <alignment vertical="center" wrapText="1"/>
    </xf>
    <xf numFmtId="0" fontId="4" fillId="3" borderId="78" xfId="0" applyFont="1" applyFill="1" applyBorder="1" applyAlignment="1">
      <alignment vertical="center" wrapText="1"/>
    </xf>
    <xf numFmtId="0" fontId="4" fillId="6" borderId="69" xfId="0" applyFont="1" applyFill="1" applyBorder="1" applyAlignment="1">
      <alignment horizontal="center" vertical="center"/>
    </xf>
    <xf numFmtId="0" fontId="4" fillId="6" borderId="70" xfId="0" applyFont="1" applyFill="1" applyBorder="1" applyAlignment="1">
      <alignment horizontal="center" vertical="center"/>
    </xf>
    <xf numFmtId="0" fontId="4" fillId="6" borderId="71" xfId="0" applyFont="1" applyFill="1" applyBorder="1" applyAlignment="1">
      <alignment horizontal="center" vertical="center"/>
    </xf>
    <xf numFmtId="0" fontId="4" fillId="6" borderId="69" xfId="0" applyFont="1" applyFill="1" applyBorder="1" applyAlignment="1">
      <alignment horizontal="center" vertical="center" wrapText="1"/>
    </xf>
    <xf numFmtId="0" fontId="4" fillId="6" borderId="70" xfId="0" applyFont="1" applyFill="1" applyBorder="1" applyAlignment="1">
      <alignment horizontal="center" vertical="center" wrapText="1"/>
    </xf>
    <xf numFmtId="0" fontId="4" fillId="6" borderId="71" xfId="0" applyFont="1" applyFill="1" applyBorder="1" applyAlignment="1">
      <alignment horizontal="center" vertical="center" wrapText="1"/>
    </xf>
    <xf numFmtId="9" fontId="6" fillId="4" borderId="1" xfId="1" applyFont="1" applyFill="1" applyBorder="1" applyAlignment="1">
      <alignment horizontal="center" vertical="center"/>
    </xf>
    <xf numFmtId="0" fontId="4" fillId="3" borderId="79" xfId="0" applyFont="1" applyFill="1" applyBorder="1" applyAlignment="1">
      <alignment vertical="center" wrapText="1"/>
    </xf>
    <xf numFmtId="0" fontId="4" fillId="6" borderId="73" xfId="0" applyFont="1" applyFill="1" applyBorder="1" applyAlignment="1">
      <alignment horizontal="center" vertical="center"/>
    </xf>
    <xf numFmtId="0" fontId="4" fillId="6" borderId="67" xfId="0" applyFont="1" applyFill="1" applyBorder="1" applyAlignment="1">
      <alignment horizontal="center" vertical="center"/>
    </xf>
    <xf numFmtId="0" fontId="7" fillId="5" borderId="0" xfId="0" applyFont="1" applyFill="1"/>
    <xf numFmtId="0" fontId="0" fillId="0" borderId="0" xfId="0" applyFont="1"/>
    <xf numFmtId="9" fontId="19" fillId="2" borderId="47" xfId="1" applyFont="1" applyFill="1" applyBorder="1" applyAlignment="1">
      <alignment horizontal="center" vertical="center" wrapText="1"/>
    </xf>
    <xf numFmtId="9" fontId="19" fillId="2" borderId="46" xfId="1" applyFont="1" applyFill="1" applyBorder="1" applyAlignment="1">
      <alignment horizontal="center" vertical="center" wrapText="1"/>
    </xf>
    <xf numFmtId="3" fontId="6" fillId="5" borderId="30" xfId="1" applyNumberFormat="1" applyFont="1" applyFill="1" applyBorder="1" applyAlignment="1">
      <alignment horizontal="center" vertical="center"/>
    </xf>
    <xf numFmtId="9" fontId="18" fillId="5" borderId="15" xfId="1" applyFont="1" applyFill="1" applyBorder="1" applyAlignment="1">
      <alignment horizontal="center" vertical="center"/>
    </xf>
    <xf numFmtId="3" fontId="18" fillId="5" borderId="30" xfId="1" applyNumberFormat="1" applyFont="1" applyFill="1" applyBorder="1" applyAlignment="1">
      <alignment horizontal="center" vertical="center"/>
    </xf>
    <xf numFmtId="9" fontId="6" fillId="5" borderId="15" xfId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7" fillId="8" borderId="0" xfId="0" applyFont="1" applyFill="1"/>
    <xf numFmtId="0" fontId="7" fillId="6" borderId="70" xfId="0" applyFont="1" applyFill="1" applyBorder="1" applyAlignment="1">
      <alignment vertical="center"/>
    </xf>
    <xf numFmtId="0" fontId="7" fillId="6" borderId="94" xfId="0" applyFont="1" applyFill="1" applyBorder="1" applyAlignment="1">
      <alignment vertical="center"/>
    </xf>
    <xf numFmtId="0" fontId="17" fillId="6" borderId="94" xfId="0" applyFont="1" applyFill="1" applyBorder="1" applyAlignment="1">
      <alignment vertical="center"/>
    </xf>
    <xf numFmtId="0" fontId="0" fillId="6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ont="1"/>
    <xf numFmtId="0" fontId="0" fillId="0" borderId="0" xfId="0" applyFill="1"/>
    <xf numFmtId="9" fontId="20" fillId="0" borderId="96" xfId="1" applyFont="1" applyFill="1" applyBorder="1" applyAlignment="1">
      <alignment horizontal="center" vertical="center"/>
    </xf>
    <xf numFmtId="10" fontId="21" fillId="0" borderId="0" xfId="0" applyNumberFormat="1" applyFont="1"/>
    <xf numFmtId="0" fontId="6" fillId="5" borderId="36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89" xfId="0" applyFont="1" applyFill="1" applyBorder="1" applyAlignment="1">
      <alignment horizontal="center" vertical="center"/>
    </xf>
    <xf numFmtId="0" fontId="6" fillId="5" borderId="90" xfId="0" applyFont="1" applyFill="1" applyBorder="1" applyAlignment="1">
      <alignment horizontal="center" vertical="center"/>
    </xf>
    <xf numFmtId="9" fontId="6" fillId="5" borderId="91" xfId="1" applyFont="1" applyFill="1" applyBorder="1" applyAlignment="1">
      <alignment horizontal="center" vertical="center"/>
    </xf>
    <xf numFmtId="3" fontId="6" fillId="5" borderId="92" xfId="1" applyNumberFormat="1" applyFont="1" applyFill="1" applyBorder="1" applyAlignment="1">
      <alignment horizontal="center" vertical="center"/>
    </xf>
    <xf numFmtId="3" fontId="6" fillId="5" borderId="90" xfId="1" applyNumberFormat="1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9" fontId="6" fillId="5" borderId="21" xfId="1" applyFont="1" applyFill="1" applyBorder="1" applyAlignment="1">
      <alignment horizontal="center" vertical="center"/>
    </xf>
    <xf numFmtId="3" fontId="6" fillId="5" borderId="33" xfId="1" applyNumberFormat="1" applyFont="1" applyFill="1" applyBorder="1" applyAlignment="1">
      <alignment horizontal="center" vertical="center"/>
    </xf>
    <xf numFmtId="3" fontId="6" fillId="5" borderId="28" xfId="1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9" fontId="6" fillId="5" borderId="0" xfId="1" applyFont="1" applyFill="1" applyBorder="1" applyAlignment="1">
      <alignment horizontal="center" vertical="center"/>
    </xf>
    <xf numFmtId="3" fontId="6" fillId="5" borderId="0" xfId="1" applyNumberFormat="1" applyFont="1" applyFill="1" applyBorder="1" applyAlignment="1">
      <alignment horizontal="center" vertical="center"/>
    </xf>
    <xf numFmtId="0" fontId="22" fillId="0" borderId="95" xfId="0" applyFont="1" applyFill="1" applyBorder="1" applyAlignment="1">
      <alignment horizontal="center" vertical="center"/>
    </xf>
    <xf numFmtId="3" fontId="22" fillId="0" borderId="0" xfId="0" applyNumberFormat="1" applyFont="1" applyFill="1"/>
    <xf numFmtId="0" fontId="17" fillId="6" borderId="70" xfId="0" applyFont="1" applyFill="1" applyBorder="1" applyAlignment="1">
      <alignment vertical="center"/>
    </xf>
    <xf numFmtId="0" fontId="0" fillId="6" borderId="70" xfId="0" applyFont="1" applyFill="1" applyBorder="1" applyAlignment="1">
      <alignment vertical="center"/>
    </xf>
    <xf numFmtId="0" fontId="0" fillId="8" borderId="0" xfId="0" applyFont="1" applyFill="1"/>
    <xf numFmtId="0" fontId="19" fillId="2" borderId="1" xfId="0" applyFont="1" applyFill="1" applyBorder="1" applyAlignment="1">
      <alignment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9" fontId="19" fillId="2" borderId="48" xfId="1" applyFont="1" applyFill="1" applyBorder="1" applyAlignment="1">
      <alignment horizontal="center" vertical="center" wrapText="1"/>
    </xf>
    <xf numFmtId="0" fontId="19" fillId="2" borderId="93" xfId="0" applyFont="1" applyFill="1" applyBorder="1" applyAlignment="1">
      <alignment vertical="center" wrapText="1"/>
    </xf>
    <xf numFmtId="0" fontId="19" fillId="2" borderId="58" xfId="0" applyFont="1" applyFill="1" applyBorder="1" applyAlignment="1">
      <alignment horizontal="center" vertical="center" wrapText="1"/>
    </xf>
    <xf numFmtId="0" fontId="19" fillId="2" borderId="42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 wrapText="1"/>
    </xf>
    <xf numFmtId="0" fontId="0" fillId="6" borderId="69" xfId="0" applyFont="1" applyFill="1" applyBorder="1" applyAlignment="1">
      <alignment vertical="center"/>
    </xf>
    <xf numFmtId="0" fontId="0" fillId="5" borderId="0" xfId="0" applyFont="1" applyFill="1"/>
    <xf numFmtId="0" fontId="0" fillId="6" borderId="94" xfId="0" applyFont="1" applyFill="1" applyBorder="1" applyAlignment="1">
      <alignment vertical="center"/>
    </xf>
    <xf numFmtId="0" fontId="0" fillId="6" borderId="88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0" fontId="0" fillId="0" borderId="0" xfId="0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99CC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489857</xdr:colOff>
      <xdr:row>52</xdr:row>
      <xdr:rowOff>258535</xdr:rowOff>
    </xdr:to>
    <xdr:cxnSp macro="">
      <xdr:nvCxnSpPr>
        <xdr:cNvPr id="3" name="Connecteur droit 2"/>
        <xdr:cNvCxnSpPr/>
      </xdr:nvCxnSpPr>
      <xdr:spPr>
        <a:xfrm>
          <a:off x="0" y="0"/>
          <a:ext cx="18124714" cy="10695214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21</xdr:col>
      <xdr:colOff>489857</xdr:colOff>
      <xdr:row>52</xdr:row>
      <xdr:rowOff>247649</xdr:rowOff>
    </xdr:to>
    <xdr:cxnSp macro="">
      <xdr:nvCxnSpPr>
        <xdr:cNvPr id="6" name="Connecteur droit 5"/>
        <xdr:cNvCxnSpPr/>
      </xdr:nvCxnSpPr>
      <xdr:spPr>
        <a:xfrm flipV="1">
          <a:off x="0" y="27214"/>
          <a:ext cx="18124714" cy="10657114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2217964</xdr:colOff>
      <xdr:row>14</xdr:row>
      <xdr:rowOff>176893</xdr:rowOff>
    </xdr:from>
    <xdr:to>
      <xdr:col>10</xdr:col>
      <xdr:colOff>381001</xdr:colOff>
      <xdr:row>18</xdr:row>
      <xdr:rowOff>176893</xdr:rowOff>
    </xdr:to>
    <xdr:sp macro="" textlink="">
      <xdr:nvSpPr>
        <xdr:cNvPr id="9" name="ZoneTexte 8"/>
        <xdr:cNvSpPr txBox="1"/>
      </xdr:nvSpPr>
      <xdr:spPr>
        <a:xfrm>
          <a:off x="6626678" y="3075214"/>
          <a:ext cx="4816930" cy="762000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4400">
              <a:solidFill>
                <a:srgbClr val="FF0000"/>
              </a:solidFill>
            </a:rPr>
            <a:t>COMPTAGES 2020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30A0"/>
  </sheetPr>
  <dimension ref="A1:H35"/>
  <sheetViews>
    <sheetView workbookViewId="0">
      <selection activeCell="K29" sqref="K29"/>
    </sheetView>
  </sheetViews>
  <sheetFormatPr baseColWidth="10" defaultRowHeight="15"/>
  <cols>
    <col min="1" max="2" width="1.140625" style="1" customWidth="1"/>
    <col min="3" max="4" width="2.140625" style="1" customWidth="1"/>
    <col min="5" max="5" width="6.5703125" style="2" customWidth="1"/>
    <col min="6" max="6" width="91.7109375" style="1" customWidth="1"/>
    <col min="7" max="8" width="1.140625" style="1" customWidth="1"/>
    <col min="9" max="16384" width="11.42578125" style="1"/>
  </cols>
  <sheetData>
    <row r="1" spans="1:8" ht="7.5" customHeight="1" thickBot="1">
      <c r="A1" s="264"/>
      <c r="B1" s="270"/>
      <c r="C1" s="270"/>
      <c r="D1" s="270"/>
      <c r="E1" s="271"/>
      <c r="F1" s="270"/>
      <c r="G1" s="270"/>
      <c r="H1" s="264"/>
    </row>
    <row r="2" spans="1:8" ht="7.5" customHeight="1" thickTop="1">
      <c r="A2" s="276"/>
      <c r="B2" s="282"/>
      <c r="C2" s="272"/>
      <c r="D2" s="272"/>
      <c r="E2" s="273"/>
      <c r="F2" s="272"/>
      <c r="G2" s="274"/>
      <c r="H2" s="275"/>
    </row>
    <row r="3" spans="1:8" ht="24.75" customHeight="1">
      <c r="A3" s="276"/>
      <c r="B3" s="275"/>
      <c r="C3" s="300" t="s">
        <v>107</v>
      </c>
      <c r="D3" s="300"/>
      <c r="E3" s="300"/>
      <c r="F3" s="300"/>
      <c r="G3" s="276"/>
      <c r="H3" s="275"/>
    </row>
    <row r="4" spans="1:8" s="147" customFormat="1" ht="6.75" customHeight="1">
      <c r="A4" s="276"/>
      <c r="B4" s="275"/>
      <c r="C4" s="261"/>
      <c r="D4" s="261"/>
      <c r="E4" s="261"/>
      <c r="F4" s="261"/>
      <c r="G4" s="276"/>
      <c r="H4" s="275"/>
    </row>
    <row r="5" spans="1:8" s="151" customFormat="1" ht="17.25" customHeight="1">
      <c r="A5" s="277"/>
      <c r="B5" s="278"/>
      <c r="C5" s="262"/>
      <c r="D5" s="302" t="s">
        <v>91</v>
      </c>
      <c r="E5" s="302"/>
      <c r="F5" s="284" t="s">
        <v>120</v>
      </c>
      <c r="G5" s="277"/>
      <c r="H5" s="278"/>
    </row>
    <row r="6" spans="1:8" s="147" customFormat="1" ht="6.75" customHeight="1">
      <c r="A6" s="276"/>
      <c r="B6" s="275"/>
      <c r="C6" s="261"/>
      <c r="D6" s="261"/>
      <c r="E6" s="261"/>
      <c r="F6" s="261"/>
      <c r="G6" s="276"/>
      <c r="H6" s="275"/>
    </row>
    <row r="7" spans="1:8" ht="18.75">
      <c r="A7" s="276"/>
      <c r="B7" s="275"/>
      <c r="C7" s="263"/>
      <c r="D7" s="138" t="s">
        <v>138</v>
      </c>
      <c r="E7" s="139"/>
      <c r="F7" s="136"/>
      <c r="G7" s="276"/>
      <c r="H7" s="275"/>
    </row>
    <row r="8" spans="1:8" s="147" customFormat="1" ht="6.75" customHeight="1">
      <c r="A8" s="276"/>
      <c r="B8" s="275"/>
      <c r="C8" s="261"/>
      <c r="D8" s="261"/>
      <c r="E8" s="261"/>
      <c r="F8" s="261"/>
      <c r="G8" s="276"/>
      <c r="H8" s="275"/>
    </row>
    <row r="9" spans="1:8" ht="18.75">
      <c r="A9" s="276"/>
      <c r="B9" s="275"/>
      <c r="C9" s="263"/>
      <c r="D9" s="148" t="s">
        <v>121</v>
      </c>
      <c r="E9" s="149"/>
      <c r="F9" s="150"/>
      <c r="G9" s="276"/>
      <c r="H9" s="275"/>
    </row>
    <row r="10" spans="1:8">
      <c r="A10" s="276"/>
      <c r="B10" s="275"/>
      <c r="C10" s="264"/>
      <c r="D10" s="301" t="s">
        <v>132</v>
      </c>
      <c r="E10" s="268" t="s">
        <v>92</v>
      </c>
      <c r="F10" s="264" t="s">
        <v>95</v>
      </c>
      <c r="G10" s="276"/>
      <c r="H10" s="275"/>
    </row>
    <row r="11" spans="1:8">
      <c r="A11" s="276"/>
      <c r="B11" s="275"/>
      <c r="C11" s="264"/>
      <c r="D11" s="301"/>
      <c r="E11" s="268" t="s">
        <v>96</v>
      </c>
      <c r="F11" s="264" t="s">
        <v>97</v>
      </c>
      <c r="G11" s="276"/>
      <c r="H11" s="275"/>
    </row>
    <row r="12" spans="1:8">
      <c r="A12" s="276"/>
      <c r="B12" s="275"/>
      <c r="C12" s="264"/>
      <c r="D12" s="301"/>
      <c r="E12" s="268" t="s">
        <v>98</v>
      </c>
      <c r="F12" s="264" t="s">
        <v>99</v>
      </c>
      <c r="G12" s="276"/>
      <c r="H12" s="275"/>
    </row>
    <row r="13" spans="1:8">
      <c r="A13" s="276"/>
      <c r="B13" s="275"/>
      <c r="C13" s="264"/>
      <c r="D13" s="301"/>
      <c r="E13" s="268" t="s">
        <v>93</v>
      </c>
      <c r="F13" s="264" t="s">
        <v>90</v>
      </c>
      <c r="G13" s="276"/>
      <c r="H13" s="275"/>
    </row>
    <row r="14" spans="1:8">
      <c r="A14" s="276"/>
      <c r="B14" s="275"/>
      <c r="C14" s="264"/>
      <c r="D14" s="301"/>
      <c r="E14" s="268" t="s">
        <v>94</v>
      </c>
      <c r="F14" s="264" t="s">
        <v>109</v>
      </c>
      <c r="G14" s="276"/>
      <c r="H14" s="275"/>
    </row>
    <row r="15" spans="1:8" s="260" customFormat="1">
      <c r="A15" s="279"/>
      <c r="B15" s="280"/>
      <c r="C15" s="265"/>
      <c r="D15" s="301"/>
      <c r="E15" s="266" t="s">
        <v>100</v>
      </c>
      <c r="F15" s="267" t="s">
        <v>129</v>
      </c>
      <c r="G15" s="279"/>
      <c r="H15" s="280"/>
    </row>
    <row r="16" spans="1:8">
      <c r="A16" s="276"/>
      <c r="B16" s="275"/>
      <c r="C16" s="264"/>
      <c r="D16" s="301"/>
      <c r="E16" s="268" t="s">
        <v>101</v>
      </c>
      <c r="F16" s="264" t="s">
        <v>106</v>
      </c>
      <c r="G16" s="276"/>
      <c r="H16" s="275"/>
    </row>
    <row r="17" spans="1:8" s="260" customFormat="1">
      <c r="A17" s="279"/>
      <c r="B17" s="280"/>
      <c r="C17" s="265"/>
      <c r="D17" s="301"/>
      <c r="E17" s="266" t="s">
        <v>102</v>
      </c>
      <c r="F17" s="267" t="s">
        <v>128</v>
      </c>
      <c r="G17" s="279"/>
      <c r="H17" s="280"/>
    </row>
    <row r="18" spans="1:8">
      <c r="A18" s="276"/>
      <c r="B18" s="275"/>
      <c r="C18" s="264"/>
      <c r="D18" s="301"/>
      <c r="E18" s="268" t="s">
        <v>103</v>
      </c>
      <c r="F18" s="264" t="s">
        <v>108</v>
      </c>
      <c r="G18" s="276"/>
      <c r="H18" s="275"/>
    </row>
    <row r="19" spans="1:8" ht="6.75" customHeight="1">
      <c r="A19" s="276"/>
      <c r="B19" s="275"/>
      <c r="C19" s="264"/>
      <c r="D19" s="264"/>
      <c r="E19" s="268"/>
      <c r="F19" s="264"/>
      <c r="G19" s="276"/>
      <c r="H19" s="275"/>
    </row>
    <row r="20" spans="1:8" ht="15.75" customHeight="1">
      <c r="A20" s="276"/>
      <c r="B20" s="275"/>
      <c r="C20" s="264"/>
      <c r="D20" s="148" t="s">
        <v>115</v>
      </c>
      <c r="E20" s="148"/>
      <c r="F20" s="148"/>
      <c r="G20" s="276"/>
      <c r="H20" s="275"/>
    </row>
    <row r="21" spans="1:8" ht="15.75">
      <c r="A21" s="276"/>
      <c r="B21" s="275"/>
      <c r="C21" s="264"/>
      <c r="D21" s="152" t="s">
        <v>122</v>
      </c>
      <c r="E21" s="149"/>
      <c r="F21" s="150"/>
      <c r="G21" s="276"/>
      <c r="H21" s="275"/>
    </row>
    <row r="22" spans="1:8">
      <c r="A22" s="276"/>
      <c r="B22" s="275"/>
      <c r="C22" s="264"/>
      <c r="D22" s="301" t="s">
        <v>114</v>
      </c>
      <c r="E22" s="268" t="s">
        <v>110</v>
      </c>
      <c r="F22" s="269" t="s">
        <v>116</v>
      </c>
      <c r="G22" s="276"/>
      <c r="H22" s="275"/>
    </row>
    <row r="23" spans="1:8">
      <c r="A23" s="276"/>
      <c r="B23" s="275"/>
      <c r="C23" s="264"/>
      <c r="D23" s="301"/>
      <c r="E23" s="268" t="s">
        <v>111</v>
      </c>
      <c r="F23" s="264" t="s">
        <v>117</v>
      </c>
      <c r="G23" s="276"/>
      <c r="H23" s="275"/>
    </row>
    <row r="24" spans="1:8">
      <c r="A24" s="276"/>
      <c r="B24" s="275"/>
      <c r="C24" s="264"/>
      <c r="D24" s="301"/>
      <c r="E24" s="268" t="s">
        <v>112</v>
      </c>
      <c r="F24" s="269" t="s">
        <v>118</v>
      </c>
      <c r="G24" s="276"/>
      <c r="H24" s="275"/>
    </row>
    <row r="25" spans="1:8">
      <c r="A25" s="276"/>
      <c r="B25" s="275"/>
      <c r="C25" s="264"/>
      <c r="D25" s="301"/>
      <c r="E25" s="268" t="s">
        <v>113</v>
      </c>
      <c r="F25" s="264" t="s">
        <v>119</v>
      </c>
      <c r="G25" s="276"/>
      <c r="H25" s="275"/>
    </row>
    <row r="26" spans="1:8" s="147" customFormat="1" ht="6.75" customHeight="1">
      <c r="A26" s="276"/>
      <c r="B26" s="275"/>
      <c r="C26" s="261"/>
      <c r="D26" s="261"/>
      <c r="E26" s="261"/>
      <c r="F26" s="261"/>
      <c r="G26" s="276"/>
      <c r="H26" s="275"/>
    </row>
    <row r="27" spans="1:8" ht="18.75">
      <c r="A27" s="276"/>
      <c r="B27" s="275"/>
      <c r="C27" s="263"/>
      <c r="D27" s="257" t="s">
        <v>123</v>
      </c>
      <c r="E27" s="258"/>
      <c r="F27" s="259"/>
      <c r="G27" s="276"/>
      <c r="H27" s="275"/>
    </row>
    <row r="28" spans="1:8" s="260" customFormat="1" ht="15" customHeight="1">
      <c r="A28" s="279"/>
      <c r="B28" s="280"/>
      <c r="C28" s="265"/>
      <c r="D28" s="301" t="s">
        <v>133</v>
      </c>
      <c r="E28" s="266" t="s">
        <v>104</v>
      </c>
      <c r="F28" s="267" t="s">
        <v>131</v>
      </c>
      <c r="G28" s="279"/>
      <c r="H28" s="280"/>
    </row>
    <row r="29" spans="1:8">
      <c r="A29" s="276"/>
      <c r="B29" s="275"/>
      <c r="C29" s="264"/>
      <c r="D29" s="301"/>
      <c r="E29" s="268" t="s">
        <v>105</v>
      </c>
      <c r="F29" s="264" t="s">
        <v>130</v>
      </c>
      <c r="G29" s="276"/>
      <c r="H29" s="275"/>
    </row>
    <row r="30" spans="1:8">
      <c r="A30" s="276"/>
      <c r="B30" s="275"/>
      <c r="C30" s="264"/>
      <c r="D30" s="301"/>
      <c r="E30" s="268" t="s">
        <v>124</v>
      </c>
      <c r="F30" s="264" t="s">
        <v>134</v>
      </c>
      <c r="G30" s="276"/>
      <c r="H30" s="275"/>
    </row>
    <row r="31" spans="1:8">
      <c r="A31" s="276"/>
      <c r="B31" s="275"/>
      <c r="C31" s="264"/>
      <c r="D31" s="301"/>
      <c r="E31" s="268" t="s">
        <v>125</v>
      </c>
      <c r="F31" s="264" t="s">
        <v>137</v>
      </c>
      <c r="G31" s="276"/>
      <c r="H31" s="275"/>
    </row>
    <row r="32" spans="1:8">
      <c r="A32" s="276"/>
      <c r="B32" s="275"/>
      <c r="C32" s="264"/>
      <c r="D32" s="301"/>
      <c r="E32" s="268" t="s">
        <v>126</v>
      </c>
      <c r="F32" s="264" t="s">
        <v>135</v>
      </c>
      <c r="G32" s="276"/>
      <c r="H32" s="275"/>
    </row>
    <row r="33" spans="1:8">
      <c r="A33" s="276"/>
      <c r="B33" s="275"/>
      <c r="C33" s="264"/>
      <c r="D33" s="301"/>
      <c r="E33" s="268" t="s">
        <v>127</v>
      </c>
      <c r="F33" s="264" t="s">
        <v>136</v>
      </c>
      <c r="G33" s="276"/>
      <c r="H33" s="275"/>
    </row>
    <row r="34" spans="1:8" ht="7.5" customHeight="1" thickBot="1">
      <c r="A34" s="276"/>
      <c r="B34" s="283"/>
      <c r="C34" s="270"/>
      <c r="D34" s="270"/>
      <c r="E34" s="271"/>
      <c r="F34" s="270"/>
      <c r="G34" s="281"/>
      <c r="H34" s="275"/>
    </row>
    <row r="35" spans="1:8" ht="7.5" customHeight="1" thickTop="1">
      <c r="A35" s="264"/>
      <c r="B35" s="272"/>
      <c r="C35" s="272"/>
      <c r="D35" s="272"/>
      <c r="E35" s="273"/>
      <c r="F35" s="272"/>
      <c r="G35" s="272"/>
      <c r="H35" s="264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W58"/>
  <sheetViews>
    <sheetView zoomScale="70" zoomScaleNormal="70" workbookViewId="0">
      <pane ySplit="3" topLeftCell="A4" activePane="bottomLeft" state="frozen"/>
      <selection activeCell="J4" sqref="J4"/>
      <selection pane="bottomLeft" activeCell="G13" sqref="G13"/>
    </sheetView>
  </sheetViews>
  <sheetFormatPr baseColWidth="10" defaultRowHeight="15"/>
  <cols>
    <col min="1" max="1" width="0.42578125" style="136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customWidth="1"/>
    <col min="7" max="8" width="11.42578125" style="2"/>
    <col min="9" max="9" width="11.42578125" style="3" customWidth="1"/>
    <col min="10" max="10" width="11.42578125" style="4" customWidth="1"/>
    <col min="11" max="11" width="11.42578125" style="3"/>
    <col min="12" max="12" width="11.42578125" style="4" customWidth="1"/>
    <col min="13" max="13" width="11.42578125" style="3"/>
    <col min="14" max="14" width="11.42578125" style="4" customWidth="1"/>
    <col min="15" max="22" width="7.5703125" style="2" customWidth="1"/>
    <col min="23" max="16384" width="11.42578125" style="1"/>
  </cols>
  <sheetData>
    <row r="1" spans="1:23" s="136" customFormat="1" ht="2.25" customHeight="1" thickBot="1">
      <c r="C1" s="139"/>
      <c r="D1" s="139"/>
      <c r="F1" s="139"/>
      <c r="G1" s="139"/>
      <c r="H1" s="139"/>
      <c r="I1" s="140"/>
      <c r="J1" s="141"/>
      <c r="K1" s="140"/>
      <c r="L1" s="141"/>
      <c r="M1" s="140"/>
      <c r="N1" s="141"/>
      <c r="O1" s="139"/>
      <c r="P1" s="139"/>
      <c r="Q1" s="139"/>
      <c r="R1" s="139"/>
      <c r="S1" s="139"/>
      <c r="T1" s="139"/>
      <c r="U1" s="139"/>
      <c r="V1" s="139"/>
    </row>
    <row r="2" spans="1:23" s="6" customFormat="1" ht="30" customHeight="1" thickBot="1">
      <c r="A2" s="137"/>
      <c r="B2" s="323" t="s">
        <v>56</v>
      </c>
      <c r="C2" s="330" t="s">
        <v>77</v>
      </c>
      <c r="D2" s="330" t="s">
        <v>72</v>
      </c>
      <c r="E2" s="336" t="s">
        <v>82</v>
      </c>
      <c r="F2" s="332" t="s">
        <v>62</v>
      </c>
      <c r="G2" s="338" t="s">
        <v>57</v>
      </c>
      <c r="H2" s="329"/>
      <c r="I2" s="339" t="s">
        <v>58</v>
      </c>
      <c r="J2" s="334" t="s">
        <v>66</v>
      </c>
      <c r="K2" s="340" t="s">
        <v>59</v>
      </c>
      <c r="L2" s="334" t="s">
        <v>68</v>
      </c>
      <c r="M2" s="340" t="s">
        <v>60</v>
      </c>
      <c r="N2" s="335" t="s">
        <v>67</v>
      </c>
      <c r="O2" s="328" t="s">
        <v>42</v>
      </c>
      <c r="P2" s="329"/>
      <c r="Q2" s="328" t="s">
        <v>43</v>
      </c>
      <c r="R2" s="329"/>
      <c r="S2" s="328" t="s">
        <v>44</v>
      </c>
      <c r="T2" s="329"/>
      <c r="U2" s="332" t="s">
        <v>45</v>
      </c>
      <c r="V2" s="337"/>
      <c r="W2" s="132"/>
    </row>
    <row r="3" spans="1:23" s="6" customFormat="1" ht="30" customHeight="1" thickBot="1">
      <c r="A3" s="137"/>
      <c r="B3" s="323"/>
      <c r="C3" s="330"/>
      <c r="D3" s="330"/>
      <c r="E3" s="336"/>
      <c r="F3" s="333"/>
      <c r="G3" s="38" t="s">
        <v>46</v>
      </c>
      <c r="H3" s="39" t="s">
        <v>47</v>
      </c>
      <c r="I3" s="339"/>
      <c r="J3" s="334"/>
      <c r="K3" s="340"/>
      <c r="L3" s="334"/>
      <c r="M3" s="340"/>
      <c r="N3" s="335"/>
      <c r="O3" s="40" t="s">
        <v>46</v>
      </c>
      <c r="P3" s="39" t="s">
        <v>47</v>
      </c>
      <c r="Q3" s="40" t="s">
        <v>46</v>
      </c>
      <c r="R3" s="39" t="s">
        <v>47</v>
      </c>
      <c r="S3" s="40" t="s">
        <v>46</v>
      </c>
      <c r="T3" s="39" t="s">
        <v>47</v>
      </c>
      <c r="U3" s="40" t="s">
        <v>46</v>
      </c>
      <c r="V3" s="41" t="s">
        <v>47</v>
      </c>
      <c r="W3" s="132"/>
    </row>
    <row r="4" spans="1:23" ht="15.75">
      <c r="B4" s="90" t="s">
        <v>73</v>
      </c>
      <c r="C4" s="91" t="s">
        <v>78</v>
      </c>
      <c r="D4" s="91">
        <v>2</v>
      </c>
      <c r="E4" s="92" t="s">
        <v>74</v>
      </c>
      <c r="F4" s="93" t="s">
        <v>63</v>
      </c>
      <c r="G4" s="94">
        <f>27+11+2+15+8</f>
        <v>63</v>
      </c>
      <c r="H4" s="95">
        <v>29</v>
      </c>
      <c r="I4" s="96">
        <f>2/G4</f>
        <v>3.1746031746031744E-2</v>
      </c>
      <c r="J4" s="97">
        <f>I4*G4</f>
        <v>2</v>
      </c>
      <c r="K4" s="98">
        <f>(2+15)/G4</f>
        <v>0.26984126984126983</v>
      </c>
      <c r="L4" s="97">
        <f>K4*G4</f>
        <v>17</v>
      </c>
      <c r="M4" s="98">
        <f>2/17</f>
        <v>0.11764705882352941</v>
      </c>
      <c r="N4" s="99">
        <f>IF(M4="-","-",M4*L4)</f>
        <v>2</v>
      </c>
      <c r="O4" s="100"/>
      <c r="P4" s="95"/>
      <c r="Q4" s="100"/>
      <c r="R4" s="95"/>
      <c r="S4" s="100"/>
      <c r="T4" s="95"/>
      <c r="U4" s="100"/>
      <c r="V4" s="101"/>
      <c r="W4" s="133"/>
    </row>
    <row r="5" spans="1:23">
      <c r="B5" s="324" t="s">
        <v>21</v>
      </c>
      <c r="C5" s="331" t="s">
        <v>78</v>
      </c>
      <c r="D5" s="331">
        <v>8</v>
      </c>
      <c r="E5" s="102" t="s">
        <v>14</v>
      </c>
      <c r="F5" s="103" t="s">
        <v>63</v>
      </c>
      <c r="G5" s="104">
        <v>31</v>
      </c>
      <c r="H5" s="105">
        <v>23</v>
      </c>
      <c r="I5" s="106">
        <v>0.32258064516129031</v>
      </c>
      <c r="J5" s="107">
        <f t="shared" ref="J5:J51" si="0">I5*G5</f>
        <v>10</v>
      </c>
      <c r="K5" s="108">
        <v>0.32258064516129031</v>
      </c>
      <c r="L5" s="107">
        <f t="shared" ref="L5:L51" si="1">K5*G5</f>
        <v>10</v>
      </c>
      <c r="M5" s="108" t="s">
        <v>22</v>
      </c>
      <c r="N5" s="109" t="str">
        <f t="shared" ref="N5:N51" si="2">IF(M5="-","-",M5*L5)</f>
        <v>-</v>
      </c>
      <c r="O5" s="110"/>
      <c r="P5" s="105"/>
      <c r="Q5" s="110"/>
      <c r="R5" s="105"/>
      <c r="S5" s="110"/>
      <c r="T5" s="105"/>
      <c r="U5" s="110"/>
      <c r="V5" s="111"/>
      <c r="W5" s="133"/>
    </row>
    <row r="6" spans="1:23">
      <c r="B6" s="324"/>
      <c r="C6" s="331"/>
      <c r="D6" s="331"/>
      <c r="E6" s="112" t="s">
        <v>15</v>
      </c>
      <c r="F6" s="113" t="s">
        <v>63</v>
      </c>
      <c r="G6" s="114">
        <v>25</v>
      </c>
      <c r="H6" s="115">
        <v>13</v>
      </c>
      <c r="I6" s="116">
        <v>0.48</v>
      </c>
      <c r="J6" s="117">
        <f t="shared" si="0"/>
        <v>12</v>
      </c>
      <c r="K6" s="118">
        <v>0.36</v>
      </c>
      <c r="L6" s="117">
        <f t="shared" si="1"/>
        <v>9</v>
      </c>
      <c r="M6" s="118" t="s">
        <v>22</v>
      </c>
      <c r="N6" s="119" t="str">
        <f t="shared" si="2"/>
        <v>-</v>
      </c>
      <c r="O6" s="120"/>
      <c r="P6" s="115"/>
      <c r="Q6" s="120"/>
      <c r="R6" s="115"/>
      <c r="S6" s="120"/>
      <c r="T6" s="115"/>
      <c r="U6" s="120"/>
      <c r="V6" s="121"/>
      <c r="W6" s="133"/>
    </row>
    <row r="7" spans="1:23">
      <c r="B7" s="324"/>
      <c r="C7" s="331"/>
      <c r="D7" s="331"/>
      <c r="E7" s="112" t="s">
        <v>16</v>
      </c>
      <c r="F7" s="113" t="s">
        <v>63</v>
      </c>
      <c r="G7" s="114">
        <v>18</v>
      </c>
      <c r="H7" s="115">
        <v>10</v>
      </c>
      <c r="I7" s="116">
        <v>0.5</v>
      </c>
      <c r="J7" s="117">
        <f t="shared" si="0"/>
        <v>9</v>
      </c>
      <c r="K7" s="118">
        <v>0.16666666666666666</v>
      </c>
      <c r="L7" s="117">
        <f t="shared" si="1"/>
        <v>3</v>
      </c>
      <c r="M7" s="118" t="s">
        <v>22</v>
      </c>
      <c r="N7" s="119" t="str">
        <f t="shared" si="2"/>
        <v>-</v>
      </c>
      <c r="O7" s="120"/>
      <c r="P7" s="115"/>
      <c r="Q7" s="120"/>
      <c r="R7" s="115"/>
      <c r="S7" s="120"/>
      <c r="T7" s="115"/>
      <c r="U7" s="120"/>
      <c r="V7" s="121"/>
      <c r="W7" s="133"/>
    </row>
    <row r="8" spans="1:23">
      <c r="B8" s="324"/>
      <c r="C8" s="331"/>
      <c r="D8" s="331"/>
      <c r="E8" s="112" t="s">
        <v>17</v>
      </c>
      <c r="F8" s="113" t="s">
        <v>63</v>
      </c>
      <c r="G8" s="114">
        <v>14</v>
      </c>
      <c r="H8" s="115">
        <v>9</v>
      </c>
      <c r="I8" s="116">
        <v>7.1428571428571425E-2</v>
      </c>
      <c r="J8" s="117">
        <f t="shared" si="0"/>
        <v>1</v>
      </c>
      <c r="K8" s="118">
        <v>7.1428571428571425E-2</v>
      </c>
      <c r="L8" s="117">
        <f t="shared" si="1"/>
        <v>1</v>
      </c>
      <c r="M8" s="118" t="s">
        <v>22</v>
      </c>
      <c r="N8" s="119" t="str">
        <f t="shared" si="2"/>
        <v>-</v>
      </c>
      <c r="O8" s="120"/>
      <c r="P8" s="115"/>
      <c r="Q8" s="120"/>
      <c r="R8" s="115"/>
      <c r="S8" s="120"/>
      <c r="T8" s="115"/>
      <c r="U8" s="120"/>
      <c r="V8" s="121"/>
      <c r="W8" s="133"/>
    </row>
    <row r="9" spans="1:23">
      <c r="B9" s="324"/>
      <c r="C9" s="331"/>
      <c r="D9" s="331"/>
      <c r="E9" s="112" t="s">
        <v>13</v>
      </c>
      <c r="F9" s="113" t="s">
        <v>63</v>
      </c>
      <c r="G9" s="114">
        <v>6</v>
      </c>
      <c r="H9" s="115">
        <v>5</v>
      </c>
      <c r="I9" s="116">
        <v>0</v>
      </c>
      <c r="J9" s="117">
        <f t="shared" si="0"/>
        <v>0</v>
      </c>
      <c r="K9" s="118">
        <v>0</v>
      </c>
      <c r="L9" s="117">
        <f t="shared" si="1"/>
        <v>0</v>
      </c>
      <c r="M9" s="118" t="s">
        <v>22</v>
      </c>
      <c r="N9" s="119" t="str">
        <f t="shared" si="2"/>
        <v>-</v>
      </c>
      <c r="O9" s="120"/>
      <c r="P9" s="115"/>
      <c r="Q9" s="120"/>
      <c r="R9" s="115"/>
      <c r="S9" s="120"/>
      <c r="T9" s="115"/>
      <c r="U9" s="120"/>
      <c r="V9" s="121"/>
      <c r="W9" s="133"/>
    </row>
    <row r="10" spans="1:23">
      <c r="B10" s="324"/>
      <c r="C10" s="331"/>
      <c r="D10" s="331"/>
      <c r="E10" s="112" t="s">
        <v>18</v>
      </c>
      <c r="F10" s="113" t="s">
        <v>63</v>
      </c>
      <c r="G10" s="114">
        <v>24</v>
      </c>
      <c r="H10" s="115">
        <v>16</v>
      </c>
      <c r="I10" s="116">
        <v>4.1666666666666664E-2</v>
      </c>
      <c r="J10" s="117">
        <f t="shared" si="0"/>
        <v>1</v>
      </c>
      <c r="K10" s="118">
        <v>0.20833333333333334</v>
      </c>
      <c r="L10" s="117">
        <f t="shared" si="1"/>
        <v>5</v>
      </c>
      <c r="M10" s="118" t="s">
        <v>22</v>
      </c>
      <c r="N10" s="119" t="str">
        <f t="shared" si="2"/>
        <v>-</v>
      </c>
      <c r="O10" s="120"/>
      <c r="P10" s="115"/>
      <c r="Q10" s="120"/>
      <c r="R10" s="115"/>
      <c r="S10" s="120"/>
      <c r="T10" s="115"/>
      <c r="U10" s="120"/>
      <c r="V10" s="121"/>
      <c r="W10" s="133"/>
    </row>
    <row r="11" spans="1:23">
      <c r="B11" s="324"/>
      <c r="C11" s="331"/>
      <c r="D11" s="331"/>
      <c r="E11" s="112" t="s">
        <v>19</v>
      </c>
      <c r="F11" s="113" t="s">
        <v>63</v>
      </c>
      <c r="G11" s="114">
        <v>29</v>
      </c>
      <c r="H11" s="115">
        <v>21</v>
      </c>
      <c r="I11" s="116">
        <v>0</v>
      </c>
      <c r="J11" s="117">
        <f t="shared" si="0"/>
        <v>0</v>
      </c>
      <c r="K11" s="118">
        <v>0.41379310344827586</v>
      </c>
      <c r="L11" s="117">
        <f t="shared" si="1"/>
        <v>12</v>
      </c>
      <c r="M11" s="118" t="s">
        <v>22</v>
      </c>
      <c r="N11" s="119" t="str">
        <f t="shared" si="2"/>
        <v>-</v>
      </c>
      <c r="O11" s="120"/>
      <c r="P11" s="115"/>
      <c r="Q11" s="120"/>
      <c r="R11" s="115"/>
      <c r="S11" s="120"/>
      <c r="T11" s="115"/>
      <c r="U11" s="120"/>
      <c r="V11" s="121"/>
      <c r="W11" s="133"/>
    </row>
    <row r="12" spans="1:23">
      <c r="B12" s="324"/>
      <c r="C12" s="331"/>
      <c r="D12" s="331"/>
      <c r="E12" s="112" t="s">
        <v>20</v>
      </c>
      <c r="F12" s="113" t="s">
        <v>63</v>
      </c>
      <c r="G12" s="114">
        <v>27</v>
      </c>
      <c r="H12" s="115">
        <v>17</v>
      </c>
      <c r="I12" s="116">
        <v>0.25925925925925924</v>
      </c>
      <c r="J12" s="117">
        <f t="shared" si="0"/>
        <v>7</v>
      </c>
      <c r="K12" s="118">
        <v>0.48148148148148145</v>
      </c>
      <c r="L12" s="117">
        <f t="shared" si="1"/>
        <v>13</v>
      </c>
      <c r="M12" s="118" t="s">
        <v>22</v>
      </c>
      <c r="N12" s="119" t="str">
        <f t="shared" si="2"/>
        <v>-</v>
      </c>
      <c r="O12" s="120"/>
      <c r="P12" s="115"/>
      <c r="Q12" s="120"/>
      <c r="R12" s="115"/>
      <c r="S12" s="120"/>
      <c r="T12" s="115"/>
      <c r="U12" s="120"/>
      <c r="V12" s="121"/>
      <c r="W12" s="133"/>
    </row>
    <row r="13" spans="1:23">
      <c r="B13" s="324"/>
      <c r="C13" s="331"/>
      <c r="D13" s="331"/>
      <c r="E13" s="122" t="s">
        <v>5</v>
      </c>
      <c r="F13" s="123" t="s">
        <v>63</v>
      </c>
      <c r="G13" s="124">
        <v>4</v>
      </c>
      <c r="H13" s="125">
        <v>2</v>
      </c>
      <c r="I13" s="126">
        <v>0.5</v>
      </c>
      <c r="J13" s="127">
        <f t="shared" si="0"/>
        <v>2</v>
      </c>
      <c r="K13" s="128">
        <v>0</v>
      </c>
      <c r="L13" s="127">
        <f t="shared" si="1"/>
        <v>0</v>
      </c>
      <c r="M13" s="128" t="s">
        <v>22</v>
      </c>
      <c r="N13" s="129" t="str">
        <f t="shared" si="2"/>
        <v>-</v>
      </c>
      <c r="O13" s="130"/>
      <c r="P13" s="125"/>
      <c r="Q13" s="130"/>
      <c r="R13" s="125"/>
      <c r="S13" s="130"/>
      <c r="T13" s="125"/>
      <c r="U13" s="130"/>
      <c r="V13" s="131"/>
      <c r="W13" s="133"/>
    </row>
    <row r="14" spans="1:23">
      <c r="B14" s="325" t="s">
        <v>0</v>
      </c>
      <c r="C14" s="303" t="s">
        <v>78</v>
      </c>
      <c r="D14" s="303">
        <v>9</v>
      </c>
      <c r="E14" s="102" t="s">
        <v>11</v>
      </c>
      <c r="F14" s="103" t="s">
        <v>63</v>
      </c>
      <c r="G14" s="104">
        <v>37</v>
      </c>
      <c r="H14" s="105">
        <v>23</v>
      </c>
      <c r="I14" s="106">
        <v>0.38</v>
      </c>
      <c r="J14" s="107">
        <f t="shared" si="0"/>
        <v>14.06</v>
      </c>
      <c r="K14" s="108">
        <v>0.16</v>
      </c>
      <c r="L14" s="107">
        <f t="shared" si="1"/>
        <v>5.92</v>
      </c>
      <c r="M14" s="108">
        <v>1</v>
      </c>
      <c r="N14" s="109">
        <f t="shared" si="2"/>
        <v>5.92</v>
      </c>
      <c r="O14" s="110"/>
      <c r="P14" s="105"/>
      <c r="Q14" s="110"/>
      <c r="R14" s="105"/>
      <c r="S14" s="110"/>
      <c r="T14" s="105"/>
      <c r="U14" s="110"/>
      <c r="V14" s="111"/>
      <c r="W14" s="133"/>
    </row>
    <row r="15" spans="1:23">
      <c r="B15" s="326"/>
      <c r="C15" s="304"/>
      <c r="D15" s="304"/>
      <c r="E15" s="112" t="s">
        <v>12</v>
      </c>
      <c r="F15" s="113" t="s">
        <v>63</v>
      </c>
      <c r="G15" s="114">
        <v>33</v>
      </c>
      <c r="H15" s="115">
        <v>15</v>
      </c>
      <c r="I15" s="116">
        <v>0.3</v>
      </c>
      <c r="J15" s="117">
        <f t="shared" si="0"/>
        <v>9.9</v>
      </c>
      <c r="K15" s="118">
        <v>0.09</v>
      </c>
      <c r="L15" s="117">
        <f t="shared" si="1"/>
        <v>2.9699999999999998</v>
      </c>
      <c r="M15" s="118">
        <v>1</v>
      </c>
      <c r="N15" s="119">
        <f t="shared" si="2"/>
        <v>2.9699999999999998</v>
      </c>
      <c r="O15" s="120"/>
      <c r="P15" s="115"/>
      <c r="Q15" s="120"/>
      <c r="R15" s="115"/>
      <c r="S15" s="120"/>
      <c r="T15" s="115"/>
      <c r="U15" s="120"/>
      <c r="V15" s="121"/>
      <c r="W15" s="133"/>
    </row>
    <row r="16" spans="1:23">
      <c r="B16" s="326"/>
      <c r="C16" s="304"/>
      <c r="D16" s="304"/>
      <c r="E16" s="112" t="s">
        <v>7</v>
      </c>
      <c r="F16" s="113" t="s">
        <v>63</v>
      </c>
      <c r="G16" s="114">
        <v>25</v>
      </c>
      <c r="H16" s="115">
        <v>15</v>
      </c>
      <c r="I16" s="116">
        <v>0.28000000000000003</v>
      </c>
      <c r="J16" s="117">
        <f t="shared" si="0"/>
        <v>7.0000000000000009</v>
      </c>
      <c r="K16" s="118">
        <v>0.16</v>
      </c>
      <c r="L16" s="117">
        <f t="shared" si="1"/>
        <v>4</v>
      </c>
      <c r="M16" s="118">
        <v>0.25</v>
      </c>
      <c r="N16" s="119">
        <f t="shared" si="2"/>
        <v>1</v>
      </c>
      <c r="O16" s="120"/>
      <c r="P16" s="115"/>
      <c r="Q16" s="120"/>
      <c r="R16" s="115"/>
      <c r="S16" s="120"/>
      <c r="T16" s="115"/>
      <c r="U16" s="120"/>
      <c r="V16" s="121"/>
      <c r="W16" s="133"/>
    </row>
    <row r="17" spans="1:23">
      <c r="B17" s="326"/>
      <c r="C17" s="304"/>
      <c r="D17" s="304"/>
      <c r="E17" s="112" t="s">
        <v>8</v>
      </c>
      <c r="F17" s="113" t="s">
        <v>63</v>
      </c>
      <c r="G17" s="114">
        <v>15</v>
      </c>
      <c r="H17" s="115">
        <v>9</v>
      </c>
      <c r="I17" s="116">
        <v>0.13</v>
      </c>
      <c r="J17" s="117">
        <f t="shared" si="0"/>
        <v>1.9500000000000002</v>
      </c>
      <c r="K17" s="118">
        <v>7.0000000000000007E-2</v>
      </c>
      <c r="L17" s="117">
        <f t="shared" si="1"/>
        <v>1.05</v>
      </c>
      <c r="M17" s="118" t="s">
        <v>22</v>
      </c>
      <c r="N17" s="119" t="str">
        <f t="shared" si="2"/>
        <v>-</v>
      </c>
      <c r="O17" s="120"/>
      <c r="P17" s="115"/>
      <c r="Q17" s="120"/>
      <c r="R17" s="115"/>
      <c r="S17" s="120"/>
      <c r="T17" s="115"/>
      <c r="U17" s="120"/>
      <c r="V17" s="121"/>
      <c r="W17" s="133"/>
    </row>
    <row r="18" spans="1:23">
      <c r="B18" s="326"/>
      <c r="C18" s="304"/>
      <c r="D18" s="304"/>
      <c r="E18" s="112" t="s">
        <v>9</v>
      </c>
      <c r="F18" s="113" t="s">
        <v>63</v>
      </c>
      <c r="G18" s="114">
        <v>16</v>
      </c>
      <c r="H18" s="115">
        <v>14</v>
      </c>
      <c r="I18" s="116">
        <v>0.38</v>
      </c>
      <c r="J18" s="117">
        <f t="shared" si="0"/>
        <v>6.08</v>
      </c>
      <c r="K18" s="118">
        <v>0.13</v>
      </c>
      <c r="L18" s="117">
        <f t="shared" si="1"/>
        <v>2.08</v>
      </c>
      <c r="M18" s="118">
        <v>1</v>
      </c>
      <c r="N18" s="119">
        <f t="shared" si="2"/>
        <v>2.08</v>
      </c>
      <c r="O18" s="120"/>
      <c r="P18" s="115"/>
      <c r="Q18" s="120"/>
      <c r="R18" s="115"/>
      <c r="S18" s="120"/>
      <c r="T18" s="115"/>
      <c r="U18" s="120"/>
      <c r="V18" s="121"/>
      <c r="W18" s="133"/>
    </row>
    <row r="19" spans="1:23">
      <c r="B19" s="326"/>
      <c r="C19" s="304"/>
      <c r="D19" s="304"/>
      <c r="E19" s="112" t="s">
        <v>6</v>
      </c>
      <c r="F19" s="113" t="s">
        <v>63</v>
      </c>
      <c r="G19" s="114">
        <v>7</v>
      </c>
      <c r="H19" s="115">
        <v>5</v>
      </c>
      <c r="I19" s="116">
        <v>0.14000000000000001</v>
      </c>
      <c r="J19" s="117">
        <f t="shared" si="0"/>
        <v>0.98000000000000009</v>
      </c>
      <c r="K19" s="118">
        <v>0</v>
      </c>
      <c r="L19" s="117">
        <f t="shared" si="1"/>
        <v>0</v>
      </c>
      <c r="M19" s="118" t="s">
        <v>22</v>
      </c>
      <c r="N19" s="119" t="str">
        <f t="shared" si="2"/>
        <v>-</v>
      </c>
      <c r="O19" s="120"/>
      <c r="P19" s="115"/>
      <c r="Q19" s="120"/>
      <c r="R19" s="115"/>
      <c r="S19" s="120"/>
      <c r="T19" s="115"/>
      <c r="U19" s="120"/>
      <c r="V19" s="121"/>
      <c r="W19" s="133"/>
    </row>
    <row r="20" spans="1:23" ht="15.75" thickBot="1">
      <c r="B20" s="327"/>
      <c r="C20" s="305"/>
      <c r="D20" s="305"/>
      <c r="E20" s="122" t="s">
        <v>10</v>
      </c>
      <c r="F20" s="123" t="s">
        <v>63</v>
      </c>
      <c r="G20" s="124">
        <v>20</v>
      </c>
      <c r="H20" s="125">
        <v>9</v>
      </c>
      <c r="I20" s="126">
        <v>0.25</v>
      </c>
      <c r="J20" s="127">
        <f t="shared" si="0"/>
        <v>5</v>
      </c>
      <c r="K20" s="128">
        <v>0.15</v>
      </c>
      <c r="L20" s="127">
        <f t="shared" si="1"/>
        <v>3</v>
      </c>
      <c r="M20" s="128">
        <v>0.33</v>
      </c>
      <c r="N20" s="129">
        <f t="shared" si="2"/>
        <v>0.99</v>
      </c>
      <c r="O20" s="130"/>
      <c r="P20" s="125"/>
      <c r="Q20" s="130"/>
      <c r="R20" s="125"/>
      <c r="S20" s="130"/>
      <c r="T20" s="125"/>
      <c r="U20" s="130"/>
      <c r="V20" s="131"/>
      <c r="W20" s="133"/>
    </row>
    <row r="21" spans="1:23" s="62" customFormat="1" ht="21" customHeight="1" thickBot="1">
      <c r="A21" s="138"/>
      <c r="B21" s="88" t="s">
        <v>81</v>
      </c>
      <c r="C21" s="89"/>
      <c r="D21" s="89">
        <f>SUM(D4:D20)</f>
        <v>19</v>
      </c>
      <c r="E21" s="146">
        <f>COUNT(G4:G20)</f>
        <v>17</v>
      </c>
      <c r="F21" s="79">
        <f>COUNT(J4:J20)</f>
        <v>17</v>
      </c>
      <c r="G21" s="135">
        <f>SUM(G4:G20)</f>
        <v>394</v>
      </c>
      <c r="H21" s="89">
        <f>SUM(H4:H20)</f>
        <v>235</v>
      </c>
      <c r="I21" s="57">
        <f>J21/G21</f>
        <v>0.22581218274111678</v>
      </c>
      <c r="J21" s="58">
        <f>SUM(J4:J20)</f>
        <v>88.970000000000013</v>
      </c>
      <c r="K21" s="59">
        <f>L21/G21</f>
        <v>0.22593908629441622</v>
      </c>
      <c r="L21" s="58">
        <f>SUM(L4:L20)</f>
        <v>89.02</v>
      </c>
      <c r="M21" s="80">
        <f>N21/(L4+L14+L15+L16+L18+L20)</f>
        <v>0.42779525307406352</v>
      </c>
      <c r="N21" s="81">
        <f>SUM(N4:N20)</f>
        <v>14.96</v>
      </c>
      <c r="O21" s="60"/>
      <c r="P21" s="56"/>
      <c r="Q21" s="60"/>
      <c r="R21" s="56"/>
      <c r="S21" s="60"/>
      <c r="T21" s="56"/>
      <c r="U21" s="60"/>
      <c r="V21" s="61"/>
      <c r="W21" s="134"/>
    </row>
    <row r="22" spans="1:23">
      <c r="B22" s="313" t="s">
        <v>4</v>
      </c>
      <c r="C22" s="306" t="s">
        <v>79</v>
      </c>
      <c r="D22" s="306">
        <v>31</v>
      </c>
      <c r="E22" s="63" t="s">
        <v>26</v>
      </c>
      <c r="F22" s="64" t="s">
        <v>63</v>
      </c>
      <c r="G22" s="8">
        <v>716</v>
      </c>
      <c r="H22" s="9">
        <v>173</v>
      </c>
      <c r="I22" s="10">
        <v>0.43</v>
      </c>
      <c r="J22" s="50">
        <f t="shared" si="0"/>
        <v>307.88</v>
      </c>
      <c r="K22" s="11">
        <v>0.38</v>
      </c>
      <c r="L22" s="50">
        <f t="shared" si="1"/>
        <v>272.08</v>
      </c>
      <c r="M22" s="11" t="s">
        <v>22</v>
      </c>
      <c r="N22" s="44" t="str">
        <f t="shared" si="2"/>
        <v>-</v>
      </c>
      <c r="O22" s="12"/>
      <c r="P22" s="9"/>
      <c r="Q22" s="12"/>
      <c r="R22" s="9"/>
      <c r="S22" s="12"/>
      <c r="T22" s="9"/>
      <c r="U22" s="12"/>
      <c r="V22" s="13"/>
      <c r="W22" s="133"/>
    </row>
    <row r="23" spans="1:23">
      <c r="B23" s="314"/>
      <c r="C23" s="307"/>
      <c r="D23" s="307"/>
      <c r="E23" s="65" t="s">
        <v>27</v>
      </c>
      <c r="F23" s="66" t="s">
        <v>63</v>
      </c>
      <c r="G23" s="14">
        <v>427</v>
      </c>
      <c r="H23" s="15">
        <v>103</v>
      </c>
      <c r="I23" s="16">
        <v>0.4</v>
      </c>
      <c r="J23" s="51">
        <f t="shared" si="0"/>
        <v>170.8</v>
      </c>
      <c r="K23" s="17">
        <v>0.42</v>
      </c>
      <c r="L23" s="51">
        <f t="shared" si="1"/>
        <v>179.34</v>
      </c>
      <c r="M23" s="17" t="s">
        <v>22</v>
      </c>
      <c r="N23" s="45" t="str">
        <f t="shared" si="2"/>
        <v>-</v>
      </c>
      <c r="O23" s="18"/>
      <c r="P23" s="15"/>
      <c r="Q23" s="18"/>
      <c r="R23" s="15"/>
      <c r="S23" s="18"/>
      <c r="T23" s="15"/>
      <c r="U23" s="18"/>
      <c r="V23" s="19"/>
      <c r="W23" s="133"/>
    </row>
    <row r="24" spans="1:23">
      <c r="B24" s="314"/>
      <c r="C24" s="307"/>
      <c r="D24" s="307"/>
      <c r="E24" s="65" t="s">
        <v>61</v>
      </c>
      <c r="F24" s="66" t="s">
        <v>63</v>
      </c>
      <c r="G24" s="14">
        <v>270</v>
      </c>
      <c r="H24" s="15">
        <v>66</v>
      </c>
      <c r="I24" s="16">
        <v>0.36</v>
      </c>
      <c r="J24" s="51">
        <f t="shared" si="0"/>
        <v>97.2</v>
      </c>
      <c r="K24" s="17">
        <v>0.38</v>
      </c>
      <c r="L24" s="51">
        <f t="shared" si="1"/>
        <v>102.6</v>
      </c>
      <c r="M24" s="17" t="s">
        <v>22</v>
      </c>
      <c r="N24" s="45" t="str">
        <f t="shared" si="2"/>
        <v>-</v>
      </c>
      <c r="O24" s="18"/>
      <c r="P24" s="15"/>
      <c r="Q24" s="18"/>
      <c r="R24" s="15"/>
      <c r="S24" s="18"/>
      <c r="T24" s="15"/>
      <c r="U24" s="18"/>
      <c r="V24" s="19"/>
      <c r="W24" s="133"/>
    </row>
    <row r="25" spans="1:23">
      <c r="B25" s="314"/>
      <c r="C25" s="307"/>
      <c r="D25" s="307"/>
      <c r="E25" s="69" t="s">
        <v>25</v>
      </c>
      <c r="F25" s="70" t="s">
        <v>65</v>
      </c>
      <c r="G25" s="14">
        <v>120</v>
      </c>
      <c r="H25" s="15">
        <v>35</v>
      </c>
      <c r="I25" s="16">
        <v>0.38</v>
      </c>
      <c r="J25" s="51">
        <f t="shared" si="0"/>
        <v>45.6</v>
      </c>
      <c r="K25" s="17">
        <v>0.44</v>
      </c>
      <c r="L25" s="51">
        <f t="shared" si="1"/>
        <v>52.8</v>
      </c>
      <c r="M25" s="17" t="s">
        <v>22</v>
      </c>
      <c r="N25" s="45" t="str">
        <f t="shared" si="2"/>
        <v>-</v>
      </c>
      <c r="O25" s="18"/>
      <c r="P25" s="15"/>
      <c r="Q25" s="18"/>
      <c r="R25" s="15"/>
      <c r="S25" s="18"/>
      <c r="T25" s="15"/>
      <c r="U25" s="18"/>
      <c r="V25" s="19"/>
      <c r="W25" s="133"/>
    </row>
    <row r="26" spans="1:23">
      <c r="B26" s="314"/>
      <c r="C26" s="307"/>
      <c r="D26" s="307"/>
      <c r="E26" s="65" t="s">
        <v>24</v>
      </c>
      <c r="F26" s="66" t="s">
        <v>63</v>
      </c>
      <c r="G26" s="14">
        <v>249</v>
      </c>
      <c r="H26" s="15">
        <v>70</v>
      </c>
      <c r="I26" s="16">
        <v>0.43</v>
      </c>
      <c r="J26" s="51">
        <f t="shared" si="0"/>
        <v>107.07</v>
      </c>
      <c r="K26" s="17">
        <v>0.39</v>
      </c>
      <c r="L26" s="51">
        <f t="shared" si="1"/>
        <v>97.11</v>
      </c>
      <c r="M26" s="17" t="s">
        <v>22</v>
      </c>
      <c r="N26" s="45" t="str">
        <f t="shared" si="2"/>
        <v>-</v>
      </c>
      <c r="O26" s="18"/>
      <c r="P26" s="15"/>
      <c r="Q26" s="18"/>
      <c r="R26" s="15"/>
      <c r="S26" s="18"/>
      <c r="T26" s="15"/>
      <c r="U26" s="18"/>
      <c r="V26" s="19"/>
      <c r="W26" s="133"/>
    </row>
    <row r="27" spans="1:23">
      <c r="B27" s="315"/>
      <c r="C27" s="308"/>
      <c r="D27" s="308"/>
      <c r="E27" s="67" t="s">
        <v>23</v>
      </c>
      <c r="F27" s="68" t="s">
        <v>65</v>
      </c>
      <c r="G27" s="20">
        <v>208</v>
      </c>
      <c r="H27" s="21">
        <v>62</v>
      </c>
      <c r="I27" s="22">
        <v>0.23</v>
      </c>
      <c r="J27" s="52">
        <f t="shared" si="0"/>
        <v>47.84</v>
      </c>
      <c r="K27" s="23">
        <v>0.39</v>
      </c>
      <c r="L27" s="52">
        <f t="shared" si="1"/>
        <v>81.12</v>
      </c>
      <c r="M27" s="23" t="s">
        <v>22</v>
      </c>
      <c r="N27" s="46" t="str">
        <f t="shared" si="2"/>
        <v>-</v>
      </c>
      <c r="O27" s="24"/>
      <c r="P27" s="21"/>
      <c r="Q27" s="24"/>
      <c r="R27" s="21"/>
      <c r="S27" s="24"/>
      <c r="T27" s="21"/>
      <c r="U27" s="24"/>
      <c r="V27" s="25"/>
      <c r="W27" s="133"/>
    </row>
    <row r="28" spans="1:23">
      <c r="B28" s="313" t="s">
        <v>1</v>
      </c>
      <c r="C28" s="306" t="s">
        <v>79</v>
      </c>
      <c r="D28" s="306">
        <v>12</v>
      </c>
      <c r="E28" s="63" t="s">
        <v>29</v>
      </c>
      <c r="F28" s="64" t="s">
        <v>65</v>
      </c>
      <c r="G28" s="8">
        <v>88</v>
      </c>
      <c r="H28" s="9">
        <v>88</v>
      </c>
      <c r="I28" s="10">
        <v>0.60227272727272729</v>
      </c>
      <c r="J28" s="50">
        <f t="shared" si="0"/>
        <v>53</v>
      </c>
      <c r="K28" s="11">
        <v>0.36363636363636365</v>
      </c>
      <c r="L28" s="50">
        <f t="shared" si="1"/>
        <v>32</v>
      </c>
      <c r="M28" s="11">
        <v>0.84375</v>
      </c>
      <c r="N28" s="44">
        <f t="shared" si="2"/>
        <v>27</v>
      </c>
      <c r="O28" s="12"/>
      <c r="P28" s="9"/>
      <c r="Q28" s="12"/>
      <c r="R28" s="9"/>
      <c r="S28" s="12"/>
      <c r="T28" s="9"/>
      <c r="U28" s="12"/>
      <c r="V28" s="13"/>
      <c r="W28" s="133"/>
    </row>
    <row r="29" spans="1:23">
      <c r="B29" s="314"/>
      <c r="C29" s="307"/>
      <c r="D29" s="307"/>
      <c r="E29" s="65" t="s">
        <v>28</v>
      </c>
      <c r="F29" s="66" t="s">
        <v>65</v>
      </c>
      <c r="G29" s="14">
        <v>33</v>
      </c>
      <c r="H29" s="15">
        <v>33</v>
      </c>
      <c r="I29" s="16">
        <v>0.63636363636363635</v>
      </c>
      <c r="J29" s="51">
        <f t="shared" si="0"/>
        <v>21</v>
      </c>
      <c r="K29" s="17">
        <v>0.24242424242424243</v>
      </c>
      <c r="L29" s="51">
        <f t="shared" si="1"/>
        <v>8</v>
      </c>
      <c r="M29" s="17">
        <v>0.875</v>
      </c>
      <c r="N29" s="45">
        <f t="shared" si="2"/>
        <v>7</v>
      </c>
      <c r="O29" s="18"/>
      <c r="P29" s="15"/>
      <c r="Q29" s="18"/>
      <c r="R29" s="15"/>
      <c r="S29" s="18"/>
      <c r="T29" s="15"/>
      <c r="U29" s="18"/>
      <c r="V29" s="19"/>
      <c r="W29" s="133"/>
    </row>
    <row r="30" spans="1:23">
      <c r="B30" s="314"/>
      <c r="C30" s="307"/>
      <c r="D30" s="307"/>
      <c r="E30" s="65" t="s">
        <v>30</v>
      </c>
      <c r="F30" s="66" t="s">
        <v>65</v>
      </c>
      <c r="G30" s="14">
        <v>14</v>
      </c>
      <c r="H30" s="15">
        <v>14</v>
      </c>
      <c r="I30" s="16">
        <v>0.6428571428571429</v>
      </c>
      <c r="J30" s="51">
        <f t="shared" si="0"/>
        <v>9</v>
      </c>
      <c r="K30" s="17">
        <v>0.5</v>
      </c>
      <c r="L30" s="51">
        <f t="shared" si="1"/>
        <v>7</v>
      </c>
      <c r="M30" s="17">
        <v>0.5714285714285714</v>
      </c>
      <c r="N30" s="45">
        <f t="shared" si="2"/>
        <v>4</v>
      </c>
      <c r="O30" s="18"/>
      <c r="P30" s="15"/>
      <c r="Q30" s="18"/>
      <c r="R30" s="15"/>
      <c r="S30" s="18"/>
      <c r="T30" s="15"/>
      <c r="U30" s="18"/>
      <c r="V30" s="19"/>
      <c r="W30" s="133"/>
    </row>
    <row r="31" spans="1:23">
      <c r="B31" s="314"/>
      <c r="C31" s="307"/>
      <c r="D31" s="307"/>
      <c r="E31" s="65" t="s">
        <v>31</v>
      </c>
      <c r="F31" s="66" t="s">
        <v>65</v>
      </c>
      <c r="G31" s="14">
        <v>23</v>
      </c>
      <c r="H31" s="15">
        <v>23</v>
      </c>
      <c r="I31" s="16">
        <v>0.65217391304347827</v>
      </c>
      <c r="J31" s="51">
        <f t="shared" si="0"/>
        <v>15</v>
      </c>
      <c r="K31" s="17">
        <v>0.47826086956521741</v>
      </c>
      <c r="L31" s="51">
        <f t="shared" si="1"/>
        <v>11</v>
      </c>
      <c r="M31" s="17">
        <v>0.72727272727272729</v>
      </c>
      <c r="N31" s="45">
        <f t="shared" si="2"/>
        <v>8</v>
      </c>
      <c r="O31" s="18"/>
      <c r="P31" s="15"/>
      <c r="Q31" s="18"/>
      <c r="R31" s="15"/>
      <c r="S31" s="18"/>
      <c r="T31" s="15"/>
      <c r="U31" s="18"/>
      <c r="V31" s="19"/>
      <c r="W31" s="133"/>
    </row>
    <row r="32" spans="1:23">
      <c r="B32" s="314"/>
      <c r="C32" s="307"/>
      <c r="D32" s="307"/>
      <c r="E32" s="69" t="s">
        <v>32</v>
      </c>
      <c r="F32" s="70" t="s">
        <v>65</v>
      </c>
      <c r="G32" s="14">
        <v>36</v>
      </c>
      <c r="H32" s="15">
        <v>36</v>
      </c>
      <c r="I32" s="16">
        <v>0.5</v>
      </c>
      <c r="J32" s="51">
        <f t="shared" si="0"/>
        <v>18</v>
      </c>
      <c r="K32" s="17">
        <v>0.47222222222222221</v>
      </c>
      <c r="L32" s="51">
        <f t="shared" si="1"/>
        <v>17</v>
      </c>
      <c r="M32" s="17">
        <v>0.76470588235294112</v>
      </c>
      <c r="N32" s="45">
        <f t="shared" si="2"/>
        <v>13</v>
      </c>
      <c r="O32" s="18"/>
      <c r="P32" s="15"/>
      <c r="Q32" s="18"/>
      <c r="R32" s="15"/>
      <c r="S32" s="18"/>
      <c r="T32" s="15"/>
      <c r="U32" s="18"/>
      <c r="V32" s="19"/>
      <c r="W32" s="133"/>
    </row>
    <row r="33" spans="2:23">
      <c r="B33" s="315"/>
      <c r="C33" s="308"/>
      <c r="D33" s="308"/>
      <c r="E33" s="71" t="s">
        <v>33</v>
      </c>
      <c r="F33" s="72" t="s">
        <v>65</v>
      </c>
      <c r="G33" s="20">
        <v>45</v>
      </c>
      <c r="H33" s="21">
        <v>45</v>
      </c>
      <c r="I33" s="22">
        <v>0.57777777777777772</v>
      </c>
      <c r="J33" s="52">
        <f t="shared" si="0"/>
        <v>25.999999999999996</v>
      </c>
      <c r="K33" s="23">
        <v>0.42222222222222222</v>
      </c>
      <c r="L33" s="52">
        <f t="shared" si="1"/>
        <v>19</v>
      </c>
      <c r="M33" s="23">
        <v>0.73684210526315785</v>
      </c>
      <c r="N33" s="46">
        <f t="shared" si="2"/>
        <v>14</v>
      </c>
      <c r="O33" s="24"/>
      <c r="P33" s="21"/>
      <c r="Q33" s="24"/>
      <c r="R33" s="21"/>
      <c r="S33" s="24"/>
      <c r="T33" s="21"/>
      <c r="U33" s="24"/>
      <c r="V33" s="25"/>
      <c r="W33" s="133"/>
    </row>
    <row r="34" spans="2:23">
      <c r="B34" s="316" t="s">
        <v>48</v>
      </c>
      <c r="C34" s="309" t="s">
        <v>79</v>
      </c>
      <c r="D34" s="309">
        <v>10</v>
      </c>
      <c r="E34" s="83" t="s">
        <v>34</v>
      </c>
      <c r="F34" s="73" t="s">
        <v>65</v>
      </c>
      <c r="G34" s="8">
        <v>59</v>
      </c>
      <c r="H34" s="9">
        <f>G34</f>
        <v>59</v>
      </c>
      <c r="I34" s="10">
        <v>0.51</v>
      </c>
      <c r="J34" s="50">
        <f t="shared" si="0"/>
        <v>30.09</v>
      </c>
      <c r="K34" s="11">
        <v>0.44</v>
      </c>
      <c r="L34" s="50">
        <f t="shared" si="1"/>
        <v>25.96</v>
      </c>
      <c r="M34" s="11">
        <v>0.62</v>
      </c>
      <c r="N34" s="44">
        <f t="shared" si="2"/>
        <v>16.095200000000002</v>
      </c>
      <c r="O34" s="12"/>
      <c r="P34" s="9"/>
      <c r="Q34" s="12"/>
      <c r="R34" s="9"/>
      <c r="S34" s="12"/>
      <c r="T34" s="9"/>
      <c r="U34" s="12"/>
      <c r="V34" s="13"/>
      <c r="W34" s="133"/>
    </row>
    <row r="35" spans="2:23">
      <c r="B35" s="317"/>
      <c r="C35" s="310"/>
      <c r="D35" s="310"/>
      <c r="E35" s="84" t="s">
        <v>35</v>
      </c>
      <c r="F35" s="70" t="s">
        <v>65</v>
      </c>
      <c r="G35" s="14">
        <v>45</v>
      </c>
      <c r="H35" s="15">
        <f>G35</f>
        <v>45</v>
      </c>
      <c r="I35" s="16">
        <v>0.57999999999999996</v>
      </c>
      <c r="J35" s="51">
        <f t="shared" si="0"/>
        <v>26.099999999999998</v>
      </c>
      <c r="K35" s="17">
        <v>0.44</v>
      </c>
      <c r="L35" s="51">
        <f t="shared" si="1"/>
        <v>19.8</v>
      </c>
      <c r="M35" s="17">
        <v>0.65</v>
      </c>
      <c r="N35" s="45">
        <f t="shared" si="2"/>
        <v>12.870000000000001</v>
      </c>
      <c r="O35" s="18"/>
      <c r="P35" s="15"/>
      <c r="Q35" s="18"/>
      <c r="R35" s="15"/>
      <c r="S35" s="18"/>
      <c r="T35" s="15"/>
      <c r="U35" s="18"/>
      <c r="V35" s="19"/>
      <c r="W35" s="133"/>
    </row>
    <row r="36" spans="2:23">
      <c r="B36" s="317"/>
      <c r="C36" s="310"/>
      <c r="D36" s="310"/>
      <c r="E36" s="84" t="s">
        <v>50</v>
      </c>
      <c r="F36" s="70" t="s">
        <v>65</v>
      </c>
      <c r="G36" s="14">
        <v>16</v>
      </c>
      <c r="H36" s="15">
        <f t="shared" ref="H36:H38" si="3">G36</f>
        <v>16</v>
      </c>
      <c r="I36" s="16">
        <v>0.44</v>
      </c>
      <c r="J36" s="51">
        <f t="shared" si="0"/>
        <v>7.04</v>
      </c>
      <c r="K36" s="17">
        <v>0.31</v>
      </c>
      <c r="L36" s="51">
        <f t="shared" si="1"/>
        <v>4.96</v>
      </c>
      <c r="M36" s="17">
        <v>0.4</v>
      </c>
      <c r="N36" s="45">
        <f t="shared" si="2"/>
        <v>1.984</v>
      </c>
      <c r="O36" s="18"/>
      <c r="P36" s="15"/>
      <c r="Q36" s="18"/>
      <c r="R36" s="15"/>
      <c r="S36" s="18"/>
      <c r="T36" s="15"/>
      <c r="U36" s="18"/>
      <c r="V36" s="19"/>
      <c r="W36" s="133"/>
    </row>
    <row r="37" spans="2:23">
      <c r="B37" s="317"/>
      <c r="C37" s="310"/>
      <c r="D37" s="310"/>
      <c r="E37" s="84" t="s">
        <v>49</v>
      </c>
      <c r="F37" s="70" t="s">
        <v>65</v>
      </c>
      <c r="G37" s="14">
        <v>31</v>
      </c>
      <c r="H37" s="15">
        <f t="shared" si="3"/>
        <v>31</v>
      </c>
      <c r="I37" s="16">
        <v>0.28999999999999998</v>
      </c>
      <c r="J37" s="51">
        <f t="shared" si="0"/>
        <v>8.99</v>
      </c>
      <c r="K37" s="17">
        <v>0.32</v>
      </c>
      <c r="L37" s="51">
        <f t="shared" si="1"/>
        <v>9.92</v>
      </c>
      <c r="M37" s="17">
        <v>0.3</v>
      </c>
      <c r="N37" s="45">
        <f t="shared" si="2"/>
        <v>2.976</v>
      </c>
      <c r="O37" s="18"/>
      <c r="P37" s="15"/>
      <c r="Q37" s="18"/>
      <c r="R37" s="15"/>
      <c r="S37" s="18"/>
      <c r="T37" s="15"/>
      <c r="U37" s="18"/>
      <c r="V37" s="19"/>
      <c r="W37" s="133"/>
    </row>
    <row r="38" spans="2:23">
      <c r="B38" s="317"/>
      <c r="C38" s="310"/>
      <c r="D38" s="310"/>
      <c r="E38" s="84" t="s">
        <v>37</v>
      </c>
      <c r="F38" s="70" t="s">
        <v>65</v>
      </c>
      <c r="G38" s="14">
        <v>3</v>
      </c>
      <c r="H38" s="15">
        <f t="shared" si="3"/>
        <v>3</v>
      </c>
      <c r="I38" s="16">
        <v>0</v>
      </c>
      <c r="J38" s="51">
        <f t="shared" si="0"/>
        <v>0</v>
      </c>
      <c r="K38" s="17">
        <v>0</v>
      </c>
      <c r="L38" s="51">
        <f t="shared" si="1"/>
        <v>0</v>
      </c>
      <c r="M38" s="17" t="s">
        <v>22</v>
      </c>
      <c r="N38" s="45" t="str">
        <f t="shared" si="2"/>
        <v>-</v>
      </c>
      <c r="O38" s="18"/>
      <c r="P38" s="15"/>
      <c r="Q38" s="18"/>
      <c r="R38" s="15"/>
      <c r="S38" s="18"/>
      <c r="T38" s="15"/>
      <c r="U38" s="18"/>
      <c r="V38" s="19"/>
      <c r="W38" s="133"/>
    </row>
    <row r="39" spans="2:23">
      <c r="B39" s="318"/>
      <c r="C39" s="311"/>
      <c r="D39" s="311"/>
      <c r="E39" s="85" t="s">
        <v>36</v>
      </c>
      <c r="F39" s="72" t="s">
        <v>65</v>
      </c>
      <c r="G39" s="20">
        <v>13</v>
      </c>
      <c r="H39" s="21">
        <f>G39</f>
        <v>13</v>
      </c>
      <c r="I39" s="22">
        <v>0.23</v>
      </c>
      <c r="J39" s="52">
        <f t="shared" si="0"/>
        <v>2.99</v>
      </c>
      <c r="K39" s="23">
        <v>0.15</v>
      </c>
      <c r="L39" s="52">
        <f t="shared" si="1"/>
        <v>1.95</v>
      </c>
      <c r="M39" s="23">
        <v>0.5</v>
      </c>
      <c r="N39" s="46">
        <f t="shared" si="2"/>
        <v>0.97499999999999998</v>
      </c>
      <c r="O39" s="24"/>
      <c r="P39" s="21"/>
      <c r="Q39" s="24"/>
      <c r="R39" s="21"/>
      <c r="S39" s="24"/>
      <c r="T39" s="21"/>
      <c r="U39" s="24"/>
      <c r="V39" s="25"/>
      <c r="W39" s="133"/>
    </row>
    <row r="40" spans="2:23">
      <c r="B40" s="313" t="s">
        <v>2</v>
      </c>
      <c r="C40" s="306" t="s">
        <v>79</v>
      </c>
      <c r="D40" s="306">
        <v>14</v>
      </c>
      <c r="E40" s="63" t="s">
        <v>39</v>
      </c>
      <c r="F40" s="64" t="s">
        <v>63</v>
      </c>
      <c r="G40" s="8">
        <v>217</v>
      </c>
      <c r="H40" s="9">
        <v>102</v>
      </c>
      <c r="I40" s="10">
        <v>0.28999999999999998</v>
      </c>
      <c r="J40" s="50">
        <f t="shared" si="0"/>
        <v>62.929999999999993</v>
      </c>
      <c r="K40" s="11">
        <v>0.32</v>
      </c>
      <c r="L40" s="50">
        <f t="shared" si="1"/>
        <v>69.44</v>
      </c>
      <c r="M40" s="11" t="s">
        <v>22</v>
      </c>
      <c r="N40" s="44" t="str">
        <f t="shared" si="2"/>
        <v>-</v>
      </c>
      <c r="O40" s="12">
        <v>27</v>
      </c>
      <c r="P40" s="9">
        <v>8</v>
      </c>
      <c r="Q40" s="12">
        <v>33</v>
      </c>
      <c r="R40" s="9">
        <v>14</v>
      </c>
      <c r="S40" s="12">
        <v>241</v>
      </c>
      <c r="T40" s="9">
        <v>112</v>
      </c>
      <c r="U40" s="12">
        <v>9</v>
      </c>
      <c r="V40" s="13">
        <v>4</v>
      </c>
      <c r="W40" s="133"/>
    </row>
    <row r="41" spans="2:23">
      <c r="B41" s="314"/>
      <c r="C41" s="307"/>
      <c r="D41" s="307"/>
      <c r="E41" s="65" t="s">
        <v>40</v>
      </c>
      <c r="F41" s="66" t="s">
        <v>65</v>
      </c>
      <c r="G41" s="14">
        <v>156</v>
      </c>
      <c r="H41" s="15">
        <v>87</v>
      </c>
      <c r="I41" s="16">
        <v>0.4</v>
      </c>
      <c r="J41" s="51">
        <f t="shared" si="0"/>
        <v>62.400000000000006</v>
      </c>
      <c r="K41" s="17">
        <v>0.39</v>
      </c>
      <c r="L41" s="51">
        <f t="shared" si="1"/>
        <v>60.84</v>
      </c>
      <c r="M41" s="17" t="s">
        <v>22</v>
      </c>
      <c r="N41" s="45" t="str">
        <f t="shared" si="2"/>
        <v>-</v>
      </c>
      <c r="O41" s="18">
        <v>7</v>
      </c>
      <c r="P41" s="15">
        <v>5</v>
      </c>
      <c r="Q41" s="18">
        <v>4</v>
      </c>
      <c r="R41" s="15">
        <v>1</v>
      </c>
      <c r="S41" s="18">
        <v>146</v>
      </c>
      <c r="T41" s="15">
        <v>81</v>
      </c>
      <c r="U41" s="18">
        <v>14</v>
      </c>
      <c r="V41" s="19">
        <v>7</v>
      </c>
      <c r="W41" s="133"/>
    </row>
    <row r="42" spans="2:23">
      <c r="B42" s="315"/>
      <c r="C42" s="308"/>
      <c r="D42" s="308"/>
      <c r="E42" s="67" t="s">
        <v>41</v>
      </c>
      <c r="F42" s="68" t="s">
        <v>65</v>
      </c>
      <c r="G42" s="20">
        <v>167</v>
      </c>
      <c r="H42" s="21">
        <v>80</v>
      </c>
      <c r="I42" s="22">
        <v>0.26</v>
      </c>
      <c r="J42" s="52">
        <f t="shared" si="0"/>
        <v>43.42</v>
      </c>
      <c r="K42" s="23">
        <v>0.37</v>
      </c>
      <c r="L42" s="52">
        <f t="shared" si="1"/>
        <v>61.79</v>
      </c>
      <c r="M42" s="23" t="s">
        <v>22</v>
      </c>
      <c r="N42" s="46" t="str">
        <f t="shared" si="2"/>
        <v>-</v>
      </c>
      <c r="O42" s="24">
        <v>7</v>
      </c>
      <c r="P42" s="21">
        <v>3</v>
      </c>
      <c r="Q42" s="24">
        <v>33</v>
      </c>
      <c r="R42" s="21">
        <v>14</v>
      </c>
      <c r="S42" s="24">
        <v>153</v>
      </c>
      <c r="T42" s="21">
        <v>74</v>
      </c>
      <c r="U42" s="24">
        <v>47</v>
      </c>
      <c r="V42" s="25">
        <v>20</v>
      </c>
      <c r="W42" s="133"/>
    </row>
    <row r="43" spans="2:23" ht="15.75">
      <c r="B43" s="7" t="s">
        <v>75</v>
      </c>
      <c r="C43" s="86" t="s">
        <v>79</v>
      </c>
      <c r="D43" s="86">
        <v>2</v>
      </c>
      <c r="E43" s="74" t="s">
        <v>38</v>
      </c>
      <c r="F43" s="75" t="s">
        <v>65</v>
      </c>
      <c r="G43" s="26">
        <v>21</v>
      </c>
      <c r="H43" s="27">
        <v>8</v>
      </c>
      <c r="I43" s="28">
        <v>0.28999999999999998</v>
      </c>
      <c r="J43" s="53">
        <f t="shared" si="0"/>
        <v>6.09</v>
      </c>
      <c r="K43" s="29">
        <v>0.32</v>
      </c>
      <c r="L43" s="53">
        <f t="shared" si="1"/>
        <v>6.72</v>
      </c>
      <c r="M43" s="29" t="s">
        <v>22</v>
      </c>
      <c r="N43" s="47" t="str">
        <f t="shared" si="2"/>
        <v>-</v>
      </c>
      <c r="O43" s="30">
        <v>1</v>
      </c>
      <c r="P43" s="27">
        <v>0</v>
      </c>
      <c r="Q43" s="30">
        <v>7</v>
      </c>
      <c r="R43" s="27">
        <v>5</v>
      </c>
      <c r="S43" s="30">
        <v>19</v>
      </c>
      <c r="T43" s="27">
        <v>8</v>
      </c>
      <c r="U43" s="30">
        <v>9</v>
      </c>
      <c r="V43" s="31">
        <v>5</v>
      </c>
      <c r="W43" s="133"/>
    </row>
    <row r="44" spans="2:23" ht="15.75" thickBot="1">
      <c r="B44" s="319" t="s">
        <v>3</v>
      </c>
      <c r="C44" s="321" t="s">
        <v>79</v>
      </c>
      <c r="D44" s="321">
        <v>14</v>
      </c>
      <c r="E44" s="63" t="s">
        <v>51</v>
      </c>
      <c r="F44" s="64" t="s">
        <v>64</v>
      </c>
      <c r="G44" s="8">
        <f>17+25</f>
        <v>42</v>
      </c>
      <c r="H44" s="9">
        <f>G44</f>
        <v>42</v>
      </c>
      <c r="I44" s="10">
        <f>17/G44</f>
        <v>0.40476190476190477</v>
      </c>
      <c r="J44" s="50">
        <f t="shared" si="0"/>
        <v>17</v>
      </c>
      <c r="K44" s="11">
        <f>21/G44</f>
        <v>0.5</v>
      </c>
      <c r="L44" s="50">
        <f t="shared" si="1"/>
        <v>21</v>
      </c>
      <c r="M44" s="11" t="s">
        <v>22</v>
      </c>
      <c r="N44" s="44" t="str">
        <f t="shared" si="2"/>
        <v>-</v>
      </c>
      <c r="O44" s="12"/>
      <c r="P44" s="9"/>
      <c r="Q44" s="12"/>
      <c r="R44" s="9"/>
      <c r="S44" s="12"/>
      <c r="T44" s="9"/>
      <c r="U44" s="12"/>
      <c r="V44" s="13"/>
      <c r="W44" s="133"/>
    </row>
    <row r="45" spans="2:23" ht="15.75" thickBot="1">
      <c r="B45" s="320"/>
      <c r="C45" s="322"/>
      <c r="D45" s="322"/>
      <c r="E45" s="65" t="s">
        <v>52</v>
      </c>
      <c r="F45" s="66" t="s">
        <v>64</v>
      </c>
      <c r="G45" s="14">
        <f>122+29+119+13</f>
        <v>283</v>
      </c>
      <c r="H45" s="15">
        <f>G45</f>
        <v>283</v>
      </c>
      <c r="I45" s="16">
        <f>(29+13)/G45</f>
        <v>0.14840989399293286</v>
      </c>
      <c r="J45" s="51">
        <f t="shared" si="0"/>
        <v>42</v>
      </c>
      <c r="K45" s="17">
        <f>(65+47)/G45</f>
        <v>0.39575971731448761</v>
      </c>
      <c r="L45" s="51">
        <f t="shared" si="1"/>
        <v>112</v>
      </c>
      <c r="M45" s="17" t="s">
        <v>22</v>
      </c>
      <c r="N45" s="45" t="str">
        <f t="shared" si="2"/>
        <v>-</v>
      </c>
      <c r="O45" s="18"/>
      <c r="P45" s="15"/>
      <c r="Q45" s="18"/>
      <c r="R45" s="15"/>
      <c r="S45" s="18"/>
      <c r="T45" s="15"/>
      <c r="U45" s="18"/>
      <c r="V45" s="19"/>
      <c r="W45" s="133"/>
    </row>
    <row r="46" spans="2:23" ht="15.75" thickBot="1">
      <c r="B46" s="320"/>
      <c r="C46" s="322"/>
      <c r="D46" s="322"/>
      <c r="E46" s="65" t="s">
        <v>84</v>
      </c>
      <c r="F46" s="66" t="s">
        <v>64</v>
      </c>
      <c r="G46" s="14">
        <f>(19+11+31+18)</f>
        <v>79</v>
      </c>
      <c r="H46" s="15">
        <f>G46</f>
        <v>79</v>
      </c>
      <c r="I46" s="16">
        <f>(11+18)/G46</f>
        <v>0.36708860759493672</v>
      </c>
      <c r="J46" s="51">
        <f t="shared" ref="J46" si="4">I46*G46</f>
        <v>29</v>
      </c>
      <c r="K46" s="17">
        <f>(5+28)/G46</f>
        <v>0.41772151898734178</v>
      </c>
      <c r="L46" s="51">
        <f t="shared" ref="L46" si="5">K46*G46</f>
        <v>33</v>
      </c>
      <c r="M46" s="17" t="s">
        <v>22</v>
      </c>
      <c r="N46" s="45" t="str">
        <f t="shared" ref="N46" si="6">IF(M46="-","-",M46*L46)</f>
        <v>-</v>
      </c>
      <c r="O46" s="18"/>
      <c r="P46" s="15"/>
      <c r="Q46" s="18"/>
      <c r="R46" s="15"/>
      <c r="S46" s="18"/>
      <c r="T46" s="15"/>
      <c r="U46" s="18"/>
      <c r="V46" s="19"/>
      <c r="W46" s="133"/>
    </row>
    <row r="47" spans="2:23" ht="15.75" thickBot="1">
      <c r="B47" s="320"/>
      <c r="C47" s="322"/>
      <c r="D47" s="322"/>
      <c r="E47" s="65" t="s">
        <v>76</v>
      </c>
      <c r="F47" s="66" t="s">
        <v>64</v>
      </c>
      <c r="G47" s="14">
        <f>15+8+12+6+33+34</f>
        <v>108</v>
      </c>
      <c r="H47" s="15">
        <f t="shared" ref="H47:H51" si="7">G47</f>
        <v>108</v>
      </c>
      <c r="I47" s="16">
        <f>(8+6+33)/G47</f>
        <v>0.43518518518518517</v>
      </c>
      <c r="J47" s="51">
        <f t="shared" si="0"/>
        <v>47</v>
      </c>
      <c r="K47" s="17">
        <f>(12+6+33)/G47</f>
        <v>0.47222222222222221</v>
      </c>
      <c r="L47" s="51">
        <f t="shared" si="1"/>
        <v>51</v>
      </c>
      <c r="M47" s="17" t="s">
        <v>22</v>
      </c>
      <c r="N47" s="45" t="str">
        <f t="shared" si="2"/>
        <v>-</v>
      </c>
      <c r="O47" s="18"/>
      <c r="P47" s="15"/>
      <c r="Q47" s="18"/>
      <c r="R47" s="15"/>
      <c r="S47" s="18"/>
      <c r="T47" s="15"/>
      <c r="U47" s="18"/>
      <c r="V47" s="19"/>
      <c r="W47" s="133"/>
    </row>
    <row r="48" spans="2:23" ht="15.75" thickBot="1">
      <c r="B48" s="320"/>
      <c r="C48" s="322"/>
      <c r="D48" s="322"/>
      <c r="E48" s="65" t="s">
        <v>53</v>
      </c>
      <c r="F48" s="66" t="s">
        <v>64</v>
      </c>
      <c r="G48" s="14">
        <f>56+28+19+14</f>
        <v>117</v>
      </c>
      <c r="H48" s="15">
        <f t="shared" si="7"/>
        <v>117</v>
      </c>
      <c r="I48" s="16">
        <f>(28+14)/G48</f>
        <v>0.35897435897435898</v>
      </c>
      <c r="J48" s="51">
        <f t="shared" si="0"/>
        <v>42</v>
      </c>
      <c r="K48" s="17">
        <f>(31+21)/G48</f>
        <v>0.44444444444444442</v>
      </c>
      <c r="L48" s="51">
        <f t="shared" si="1"/>
        <v>52</v>
      </c>
      <c r="M48" s="17" t="s">
        <v>22</v>
      </c>
      <c r="N48" s="45" t="str">
        <f t="shared" si="2"/>
        <v>-</v>
      </c>
      <c r="O48" s="18"/>
      <c r="P48" s="15"/>
      <c r="Q48" s="18"/>
      <c r="R48" s="15"/>
      <c r="S48" s="18"/>
      <c r="T48" s="15"/>
      <c r="U48" s="18"/>
      <c r="V48" s="19"/>
      <c r="W48" s="133"/>
    </row>
    <row r="49" spans="1:23" ht="15.75" thickBot="1">
      <c r="B49" s="320"/>
      <c r="C49" s="322"/>
      <c r="D49" s="322"/>
      <c r="E49" s="65" t="s">
        <v>83</v>
      </c>
      <c r="F49" s="66" t="s">
        <v>64</v>
      </c>
      <c r="G49" s="14">
        <f>(388+263)</f>
        <v>651</v>
      </c>
      <c r="H49" s="15">
        <f>G49</f>
        <v>651</v>
      </c>
      <c r="I49" s="16">
        <f>263/G49</f>
        <v>0.40399385560675882</v>
      </c>
      <c r="J49" s="51">
        <f t="shared" ref="J49" si="8">I49*G49</f>
        <v>263</v>
      </c>
      <c r="K49" s="17">
        <f>250/G49</f>
        <v>0.38402457757296465</v>
      </c>
      <c r="L49" s="51">
        <f t="shared" ref="L49" si="9">K49*G49</f>
        <v>250</v>
      </c>
      <c r="M49" s="17" t="s">
        <v>22</v>
      </c>
      <c r="N49" s="45" t="str">
        <f t="shared" ref="N49" si="10">IF(M49="-","-",M49*L49)</f>
        <v>-</v>
      </c>
      <c r="O49" s="18"/>
      <c r="P49" s="15"/>
      <c r="Q49" s="18"/>
      <c r="R49" s="15"/>
      <c r="S49" s="18"/>
      <c r="T49" s="15"/>
      <c r="U49" s="18"/>
      <c r="V49" s="19"/>
      <c r="W49" s="133"/>
    </row>
    <row r="50" spans="1:23" ht="15.75" thickBot="1">
      <c r="B50" s="320"/>
      <c r="C50" s="322"/>
      <c r="D50" s="322"/>
      <c r="E50" s="65" t="s">
        <v>54</v>
      </c>
      <c r="F50" s="66" t="s">
        <v>64</v>
      </c>
      <c r="G50" s="14">
        <f>284+220+60+51</f>
        <v>615</v>
      </c>
      <c r="H50" s="15">
        <f t="shared" si="7"/>
        <v>615</v>
      </c>
      <c r="I50" s="16">
        <f>(220+51)/G50</f>
        <v>0.44065040650406506</v>
      </c>
      <c r="J50" s="51">
        <f t="shared" si="0"/>
        <v>271</v>
      </c>
      <c r="K50" s="17">
        <f>(195+46)/G50</f>
        <v>0.39186991869918697</v>
      </c>
      <c r="L50" s="51">
        <f t="shared" si="1"/>
        <v>241</v>
      </c>
      <c r="M50" s="17" t="s">
        <v>22</v>
      </c>
      <c r="N50" s="45" t="str">
        <f t="shared" si="2"/>
        <v>-</v>
      </c>
      <c r="O50" s="18"/>
      <c r="P50" s="15"/>
      <c r="Q50" s="18"/>
      <c r="R50" s="15"/>
      <c r="S50" s="18"/>
      <c r="T50" s="15"/>
      <c r="U50" s="18"/>
      <c r="V50" s="19"/>
      <c r="W50" s="133"/>
    </row>
    <row r="51" spans="1:23" ht="15.75" thickBot="1">
      <c r="B51" s="320"/>
      <c r="C51" s="322"/>
      <c r="D51" s="322"/>
      <c r="E51" s="76" t="s">
        <v>55</v>
      </c>
      <c r="F51" s="77" t="s">
        <v>64</v>
      </c>
      <c r="G51" s="32">
        <f>215+82+11+8</f>
        <v>316</v>
      </c>
      <c r="H51" s="33">
        <f t="shared" si="7"/>
        <v>316</v>
      </c>
      <c r="I51" s="34">
        <f>(82+8)/G51</f>
        <v>0.2848101265822785</v>
      </c>
      <c r="J51" s="54">
        <f t="shared" si="0"/>
        <v>90</v>
      </c>
      <c r="K51" s="35">
        <f>(116+8)/G51</f>
        <v>0.39240506329113922</v>
      </c>
      <c r="L51" s="54">
        <f t="shared" si="1"/>
        <v>124</v>
      </c>
      <c r="M51" s="35" t="s">
        <v>22</v>
      </c>
      <c r="N51" s="48" t="str">
        <f t="shared" si="2"/>
        <v>-</v>
      </c>
      <c r="O51" s="36"/>
      <c r="P51" s="33"/>
      <c r="Q51" s="36"/>
      <c r="R51" s="33"/>
      <c r="S51" s="36"/>
      <c r="T51" s="33"/>
      <c r="U51" s="36"/>
      <c r="V51" s="37"/>
      <c r="W51" s="133"/>
    </row>
    <row r="52" spans="1:23" s="62" customFormat="1" ht="21" customHeight="1" thickBot="1">
      <c r="A52" s="138"/>
      <c r="B52" s="88" t="s">
        <v>80</v>
      </c>
      <c r="C52" s="89"/>
      <c r="D52" s="89">
        <f>SUM(D22:D51)</f>
        <v>83</v>
      </c>
      <c r="E52" s="78"/>
      <c r="F52" s="79">
        <f>COUNT(J22:J51)</f>
        <v>30</v>
      </c>
      <c r="G52" s="55">
        <f>SUM(G22:G51)</f>
        <v>5168</v>
      </c>
      <c r="H52" s="56">
        <f>SUM(H22:H51)</f>
        <v>3403</v>
      </c>
      <c r="I52" s="57">
        <f>J52/G52</f>
        <v>0.38108359133126934</v>
      </c>
      <c r="J52" s="58">
        <f>SUM(J22:J51)</f>
        <v>1969.44</v>
      </c>
      <c r="K52" s="59">
        <f>L52/G52</f>
        <v>0.3917240712074303</v>
      </c>
      <c r="L52" s="58">
        <f>SUM(L22:L51)</f>
        <v>2024.4299999999998</v>
      </c>
      <c r="M52" s="80">
        <f>N52/(SUM(L28:L39))</f>
        <v>0.68906188134619062</v>
      </c>
      <c r="N52" s="81">
        <f>SUM(N22:N51)</f>
        <v>107.9002</v>
      </c>
      <c r="O52" s="60"/>
      <c r="P52" s="56"/>
      <c r="Q52" s="60"/>
      <c r="R52" s="56"/>
      <c r="S52" s="60"/>
      <c r="T52" s="56"/>
      <c r="U52" s="60"/>
      <c r="V52" s="61"/>
      <c r="W52" s="134"/>
    </row>
    <row r="53" spans="1:23" s="62" customFormat="1" ht="21" customHeight="1" thickBot="1">
      <c r="A53" s="138"/>
      <c r="B53" s="82" t="s">
        <v>69</v>
      </c>
      <c r="C53" s="89"/>
      <c r="D53" s="87">
        <f>D52+D21</f>
        <v>102</v>
      </c>
      <c r="E53" s="78"/>
      <c r="F53" s="79">
        <f>F52+F21</f>
        <v>47</v>
      </c>
      <c r="G53" s="55">
        <f>G21+G52</f>
        <v>5562</v>
      </c>
      <c r="H53" s="56">
        <f>H21+H52</f>
        <v>3638</v>
      </c>
      <c r="I53" s="57">
        <f>J53/G53</f>
        <v>0.37008450197770582</v>
      </c>
      <c r="J53" s="58">
        <f>J21+J52</f>
        <v>2058.41</v>
      </c>
      <c r="K53" s="59">
        <f>L53/G53</f>
        <v>0.37998022294138795</v>
      </c>
      <c r="L53" s="58">
        <f>L21+L52</f>
        <v>2113.4499999999998</v>
      </c>
      <c r="M53" s="80">
        <f>N53/(L4+L14+L15+L16+L18+L20+SUM(L28:L39))</f>
        <v>0.64136667362706201</v>
      </c>
      <c r="N53" s="81">
        <f>N4+N14+N15+N16+N18+N20+SUM(N28:N39)</f>
        <v>122.86019999999999</v>
      </c>
      <c r="O53" s="60"/>
      <c r="P53" s="56"/>
      <c r="Q53" s="60"/>
      <c r="R53" s="56"/>
      <c r="S53" s="60"/>
      <c r="T53" s="56"/>
      <c r="U53" s="60"/>
      <c r="V53" s="61"/>
      <c r="W53" s="134"/>
    </row>
    <row r="54" spans="1:23">
      <c r="B54" s="5"/>
      <c r="C54" s="42"/>
      <c r="D54" s="42"/>
      <c r="E54" s="5"/>
      <c r="F54" s="42"/>
      <c r="G54" s="42"/>
      <c r="H54" s="42"/>
      <c r="I54" s="43"/>
      <c r="J54" s="49"/>
      <c r="K54" s="43"/>
      <c r="L54" s="49"/>
      <c r="M54" s="312" t="s">
        <v>71</v>
      </c>
      <c r="N54" s="312"/>
      <c r="O54" s="42"/>
      <c r="P54" s="42"/>
      <c r="Q54" s="42"/>
      <c r="R54" s="42"/>
      <c r="S54" s="42"/>
      <c r="T54" s="42"/>
      <c r="U54" s="42"/>
      <c r="V54" s="42"/>
    </row>
    <row r="55" spans="1:23">
      <c r="E55" s="144" t="s">
        <v>70</v>
      </c>
      <c r="F55" s="145"/>
    </row>
    <row r="56" spans="1:23">
      <c r="E56" s="1" t="s">
        <v>63</v>
      </c>
      <c r="F56" s="2">
        <f>COUNTIF(F$4:F$51,E56)</f>
        <v>22</v>
      </c>
    </row>
    <row r="57" spans="1:23">
      <c r="E57" s="1" t="s">
        <v>64</v>
      </c>
      <c r="F57" s="2">
        <f>COUNTIF(F$4:F$51,E57)</f>
        <v>8</v>
      </c>
    </row>
    <row r="58" spans="1:23">
      <c r="E58" s="1" t="s">
        <v>65</v>
      </c>
      <c r="F58" s="2">
        <f>COUNTIF(F$4:F$51,E58)</f>
        <v>17</v>
      </c>
    </row>
  </sheetData>
  <mergeCells count="38">
    <mergeCell ref="U2:V2"/>
    <mergeCell ref="Q2:R2"/>
    <mergeCell ref="O2:P2"/>
    <mergeCell ref="G2:H2"/>
    <mergeCell ref="I2:I3"/>
    <mergeCell ref="K2:K3"/>
    <mergeCell ref="M2:M3"/>
    <mergeCell ref="B2:B3"/>
    <mergeCell ref="B5:B13"/>
    <mergeCell ref="B14:B20"/>
    <mergeCell ref="B22:B27"/>
    <mergeCell ref="S2:T2"/>
    <mergeCell ref="D2:D3"/>
    <mergeCell ref="D5:D13"/>
    <mergeCell ref="D14:D20"/>
    <mergeCell ref="D22:D27"/>
    <mergeCell ref="F2:F3"/>
    <mergeCell ref="J2:J3"/>
    <mergeCell ref="L2:L3"/>
    <mergeCell ref="N2:N3"/>
    <mergeCell ref="E2:E3"/>
    <mergeCell ref="C2:C3"/>
    <mergeCell ref="C5:C13"/>
    <mergeCell ref="M54:N54"/>
    <mergeCell ref="B40:B42"/>
    <mergeCell ref="B28:B33"/>
    <mergeCell ref="B34:B39"/>
    <mergeCell ref="B44:B51"/>
    <mergeCell ref="D28:D33"/>
    <mergeCell ref="D34:D39"/>
    <mergeCell ref="D40:D42"/>
    <mergeCell ref="D44:D51"/>
    <mergeCell ref="C44:C51"/>
    <mergeCell ref="C14:C20"/>
    <mergeCell ref="C22:C27"/>
    <mergeCell ref="C28:C33"/>
    <mergeCell ref="C34:C39"/>
    <mergeCell ref="C40:C42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53 I51:K51 M21:N21 L21 J21 I21 K21 I52:K52 M52 K5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W58"/>
  <sheetViews>
    <sheetView tabSelected="1" zoomScale="70" zoomScaleNormal="70" workbookViewId="0">
      <pane ySplit="3" topLeftCell="A5" activePane="bottomLeft" state="frozen"/>
      <selection pane="bottomLeft" activeCell="L58" sqref="L58"/>
    </sheetView>
  </sheetViews>
  <sheetFormatPr baseColWidth="10" defaultRowHeight="15"/>
  <cols>
    <col min="1" max="1" width="0.42578125" style="136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customWidth="1"/>
    <col min="7" max="8" width="11.42578125" style="2"/>
    <col min="9" max="9" width="11.42578125" style="3" customWidth="1"/>
    <col min="10" max="10" width="11.42578125" style="4" customWidth="1"/>
    <col min="11" max="11" width="11.42578125" style="3"/>
    <col min="12" max="12" width="11.42578125" style="4" customWidth="1"/>
    <col min="13" max="13" width="11.42578125" style="3"/>
    <col min="14" max="14" width="11.42578125" style="4" customWidth="1"/>
    <col min="15" max="22" width="7.5703125" style="2" customWidth="1"/>
    <col min="23" max="16384" width="11.42578125" style="1"/>
  </cols>
  <sheetData>
    <row r="1" spans="1:23" s="136" customFormat="1" ht="2.25" customHeight="1" thickBot="1">
      <c r="C1" s="139"/>
      <c r="D1" s="139"/>
      <c r="F1" s="139"/>
      <c r="G1" s="139"/>
      <c r="H1" s="139"/>
      <c r="I1" s="140"/>
      <c r="J1" s="141"/>
      <c r="K1" s="140"/>
      <c r="L1" s="141"/>
      <c r="M1" s="140"/>
      <c r="N1" s="141"/>
      <c r="O1" s="139"/>
      <c r="P1" s="139"/>
      <c r="Q1" s="139"/>
      <c r="R1" s="139"/>
      <c r="S1" s="139"/>
      <c r="T1" s="139"/>
      <c r="U1" s="139"/>
      <c r="V1" s="139"/>
    </row>
    <row r="2" spans="1:23" s="6" customFormat="1" ht="30" customHeight="1" thickBot="1">
      <c r="A2" s="137"/>
      <c r="B2" s="323" t="s">
        <v>56</v>
      </c>
      <c r="C2" s="330" t="s">
        <v>77</v>
      </c>
      <c r="D2" s="330" t="s">
        <v>72</v>
      </c>
      <c r="E2" s="336" t="s">
        <v>82</v>
      </c>
      <c r="F2" s="332" t="s">
        <v>62</v>
      </c>
      <c r="G2" s="338" t="s">
        <v>57</v>
      </c>
      <c r="H2" s="329"/>
      <c r="I2" s="339" t="s">
        <v>58</v>
      </c>
      <c r="J2" s="340" t="s">
        <v>66</v>
      </c>
      <c r="K2" s="340" t="s">
        <v>59</v>
      </c>
      <c r="L2" s="340" t="s">
        <v>68</v>
      </c>
      <c r="M2" s="340" t="s">
        <v>60</v>
      </c>
      <c r="N2" s="341" t="s">
        <v>67</v>
      </c>
      <c r="O2" s="328" t="s">
        <v>42</v>
      </c>
      <c r="P2" s="329"/>
      <c r="Q2" s="328" t="s">
        <v>43</v>
      </c>
      <c r="R2" s="329"/>
      <c r="S2" s="328" t="s">
        <v>44</v>
      </c>
      <c r="T2" s="329"/>
      <c r="U2" s="332" t="s">
        <v>45</v>
      </c>
      <c r="V2" s="337"/>
      <c r="W2" s="132"/>
    </row>
    <row r="3" spans="1:23" s="6" customFormat="1" ht="30" customHeight="1" thickBot="1">
      <c r="A3" s="137"/>
      <c r="B3" s="323"/>
      <c r="C3" s="330"/>
      <c r="D3" s="330"/>
      <c r="E3" s="336"/>
      <c r="F3" s="333"/>
      <c r="G3" s="38" t="s">
        <v>46</v>
      </c>
      <c r="H3" s="39" t="s">
        <v>47</v>
      </c>
      <c r="I3" s="339"/>
      <c r="J3" s="340"/>
      <c r="K3" s="340"/>
      <c r="L3" s="340"/>
      <c r="M3" s="340"/>
      <c r="N3" s="341"/>
      <c r="O3" s="40" t="s">
        <v>46</v>
      </c>
      <c r="P3" s="39" t="s">
        <v>47</v>
      </c>
      <c r="Q3" s="40" t="s">
        <v>46</v>
      </c>
      <c r="R3" s="39" t="s">
        <v>47</v>
      </c>
      <c r="S3" s="40" t="s">
        <v>46</v>
      </c>
      <c r="T3" s="39" t="s">
        <v>47</v>
      </c>
      <c r="U3" s="40" t="s">
        <v>46</v>
      </c>
      <c r="V3" s="41" t="s">
        <v>47</v>
      </c>
      <c r="W3" s="132"/>
    </row>
    <row r="4" spans="1:23" ht="15.75">
      <c r="B4" s="232" t="s">
        <v>89</v>
      </c>
      <c r="C4" s="233" t="s">
        <v>78</v>
      </c>
      <c r="D4" s="197">
        <v>2</v>
      </c>
      <c r="E4" s="198" t="s">
        <v>74</v>
      </c>
      <c r="F4" s="199" t="s">
        <v>63</v>
      </c>
      <c r="G4" s="200"/>
      <c r="H4" s="201"/>
      <c r="I4" s="234"/>
      <c r="J4" s="211"/>
      <c r="K4" s="234"/>
      <c r="L4" s="211"/>
      <c r="M4" s="234"/>
      <c r="N4" s="239"/>
      <c r="O4" s="245"/>
      <c r="P4" s="246"/>
      <c r="Q4" s="245"/>
      <c r="R4" s="246"/>
      <c r="S4" s="235" t="s">
        <v>22</v>
      </c>
      <c r="T4" s="236" t="s">
        <v>22</v>
      </c>
      <c r="U4" s="235" t="s">
        <v>22</v>
      </c>
      <c r="V4" s="237" t="s">
        <v>22</v>
      </c>
      <c r="W4" s="133"/>
    </row>
    <row r="5" spans="1:23">
      <c r="B5" s="342" t="s">
        <v>85</v>
      </c>
      <c r="C5" s="343" t="s">
        <v>78</v>
      </c>
      <c r="D5" s="344">
        <v>8</v>
      </c>
      <c r="E5" s="202" t="s">
        <v>14</v>
      </c>
      <c r="F5" s="203" t="s">
        <v>63</v>
      </c>
      <c r="G5" s="204"/>
      <c r="H5" s="168"/>
      <c r="I5" s="165"/>
      <c r="J5" s="212"/>
      <c r="K5" s="165"/>
      <c r="L5" s="212"/>
      <c r="M5" s="165"/>
      <c r="N5" s="240"/>
      <c r="O5" s="247"/>
      <c r="P5" s="248"/>
      <c r="Q5" s="247"/>
      <c r="R5" s="248"/>
      <c r="S5" s="166" t="s">
        <v>22</v>
      </c>
      <c r="T5" s="163" t="s">
        <v>22</v>
      </c>
      <c r="U5" s="166" t="s">
        <v>22</v>
      </c>
      <c r="V5" s="189" t="s">
        <v>22</v>
      </c>
      <c r="W5" s="133"/>
    </row>
    <row r="6" spans="1:23">
      <c r="B6" s="342"/>
      <c r="C6" s="343"/>
      <c r="D6" s="344"/>
      <c r="E6" s="205" t="s">
        <v>15</v>
      </c>
      <c r="F6" s="206" t="s">
        <v>63</v>
      </c>
      <c r="G6" s="207"/>
      <c r="H6" s="175"/>
      <c r="I6" s="172"/>
      <c r="J6" s="213"/>
      <c r="K6" s="172"/>
      <c r="L6" s="213"/>
      <c r="M6" s="172"/>
      <c r="N6" s="241"/>
      <c r="O6" s="249"/>
      <c r="P6" s="250"/>
      <c r="Q6" s="249"/>
      <c r="R6" s="250"/>
      <c r="S6" s="173" t="s">
        <v>22</v>
      </c>
      <c r="T6" s="170" t="s">
        <v>22</v>
      </c>
      <c r="U6" s="173" t="s">
        <v>22</v>
      </c>
      <c r="V6" s="177" t="s">
        <v>22</v>
      </c>
      <c r="W6" s="133"/>
    </row>
    <row r="7" spans="1:23">
      <c r="B7" s="342"/>
      <c r="C7" s="343"/>
      <c r="D7" s="344"/>
      <c r="E7" s="205" t="s">
        <v>16</v>
      </c>
      <c r="F7" s="206" t="s">
        <v>63</v>
      </c>
      <c r="G7" s="207"/>
      <c r="H7" s="175"/>
      <c r="I7" s="172"/>
      <c r="J7" s="213"/>
      <c r="K7" s="172"/>
      <c r="L7" s="213"/>
      <c r="M7" s="172"/>
      <c r="N7" s="241"/>
      <c r="O7" s="249"/>
      <c r="P7" s="250"/>
      <c r="Q7" s="249"/>
      <c r="R7" s="250"/>
      <c r="S7" s="173" t="s">
        <v>22</v>
      </c>
      <c r="T7" s="170" t="s">
        <v>22</v>
      </c>
      <c r="U7" s="173" t="s">
        <v>22</v>
      </c>
      <c r="V7" s="177" t="s">
        <v>22</v>
      </c>
      <c r="W7" s="133"/>
    </row>
    <row r="8" spans="1:23">
      <c r="B8" s="342"/>
      <c r="C8" s="343"/>
      <c r="D8" s="344"/>
      <c r="E8" s="205" t="s">
        <v>17</v>
      </c>
      <c r="F8" s="206" t="s">
        <v>63</v>
      </c>
      <c r="G8" s="207"/>
      <c r="H8" s="175"/>
      <c r="I8" s="172"/>
      <c r="J8" s="213"/>
      <c r="K8" s="172"/>
      <c r="L8" s="213"/>
      <c r="M8" s="172"/>
      <c r="N8" s="241"/>
      <c r="O8" s="249"/>
      <c r="P8" s="250"/>
      <c r="Q8" s="249"/>
      <c r="R8" s="250"/>
      <c r="S8" s="173" t="s">
        <v>22</v>
      </c>
      <c r="T8" s="170" t="s">
        <v>22</v>
      </c>
      <c r="U8" s="173" t="s">
        <v>22</v>
      </c>
      <c r="V8" s="177" t="s">
        <v>22</v>
      </c>
      <c r="W8" s="133"/>
    </row>
    <row r="9" spans="1:23">
      <c r="B9" s="342"/>
      <c r="C9" s="343"/>
      <c r="D9" s="344"/>
      <c r="E9" s="205" t="s">
        <v>13</v>
      </c>
      <c r="F9" s="206" t="s">
        <v>63</v>
      </c>
      <c r="G9" s="207"/>
      <c r="H9" s="175"/>
      <c r="I9" s="172"/>
      <c r="J9" s="213"/>
      <c r="K9" s="172"/>
      <c r="L9" s="213"/>
      <c r="M9" s="172"/>
      <c r="N9" s="241"/>
      <c r="O9" s="249"/>
      <c r="P9" s="250"/>
      <c r="Q9" s="249"/>
      <c r="R9" s="250"/>
      <c r="S9" s="173" t="s">
        <v>22</v>
      </c>
      <c r="T9" s="170" t="s">
        <v>22</v>
      </c>
      <c r="U9" s="173" t="s">
        <v>22</v>
      </c>
      <c r="V9" s="177" t="s">
        <v>22</v>
      </c>
      <c r="W9" s="133"/>
    </row>
    <row r="10" spans="1:23">
      <c r="B10" s="342"/>
      <c r="C10" s="343"/>
      <c r="D10" s="344"/>
      <c r="E10" s="205" t="s">
        <v>18</v>
      </c>
      <c r="F10" s="206" t="s">
        <v>63</v>
      </c>
      <c r="G10" s="207"/>
      <c r="H10" s="175"/>
      <c r="I10" s="172"/>
      <c r="J10" s="213"/>
      <c r="K10" s="172"/>
      <c r="L10" s="213"/>
      <c r="M10" s="172"/>
      <c r="N10" s="241"/>
      <c r="O10" s="249"/>
      <c r="P10" s="250"/>
      <c r="Q10" s="249"/>
      <c r="R10" s="250"/>
      <c r="S10" s="173" t="s">
        <v>22</v>
      </c>
      <c r="T10" s="170" t="s">
        <v>22</v>
      </c>
      <c r="U10" s="173" t="s">
        <v>22</v>
      </c>
      <c r="V10" s="177" t="s">
        <v>22</v>
      </c>
      <c r="W10" s="133"/>
    </row>
    <row r="11" spans="1:23">
      <c r="B11" s="342"/>
      <c r="C11" s="343"/>
      <c r="D11" s="344"/>
      <c r="E11" s="205" t="s">
        <v>19</v>
      </c>
      <c r="F11" s="206" t="s">
        <v>63</v>
      </c>
      <c r="G11" s="207"/>
      <c r="H11" s="175"/>
      <c r="I11" s="172"/>
      <c r="J11" s="213"/>
      <c r="K11" s="172"/>
      <c r="L11" s="213"/>
      <c r="M11" s="172"/>
      <c r="N11" s="241"/>
      <c r="O11" s="249"/>
      <c r="P11" s="250"/>
      <c r="Q11" s="249"/>
      <c r="R11" s="250"/>
      <c r="S11" s="173" t="s">
        <v>22</v>
      </c>
      <c r="T11" s="170" t="s">
        <v>22</v>
      </c>
      <c r="U11" s="173" t="s">
        <v>22</v>
      </c>
      <c r="V11" s="177" t="s">
        <v>22</v>
      </c>
      <c r="W11" s="133"/>
    </row>
    <row r="12" spans="1:23">
      <c r="B12" s="342"/>
      <c r="C12" s="343"/>
      <c r="D12" s="344"/>
      <c r="E12" s="205" t="s">
        <v>20</v>
      </c>
      <c r="F12" s="206" t="s">
        <v>63</v>
      </c>
      <c r="G12" s="207"/>
      <c r="H12" s="175"/>
      <c r="I12" s="172"/>
      <c r="J12" s="213"/>
      <c r="K12" s="172"/>
      <c r="L12" s="213"/>
      <c r="M12" s="172"/>
      <c r="N12" s="241"/>
      <c r="O12" s="249"/>
      <c r="P12" s="250"/>
      <c r="Q12" s="249"/>
      <c r="R12" s="250"/>
      <c r="S12" s="173" t="s">
        <v>22</v>
      </c>
      <c r="T12" s="170" t="s">
        <v>22</v>
      </c>
      <c r="U12" s="173" t="s">
        <v>22</v>
      </c>
      <c r="V12" s="177" t="s">
        <v>22</v>
      </c>
      <c r="W12" s="133"/>
    </row>
    <row r="13" spans="1:23">
      <c r="B13" s="342"/>
      <c r="C13" s="343"/>
      <c r="D13" s="344"/>
      <c r="E13" s="208" t="s">
        <v>5</v>
      </c>
      <c r="F13" s="209" t="s">
        <v>63</v>
      </c>
      <c r="G13" s="210"/>
      <c r="H13" s="183"/>
      <c r="I13" s="180"/>
      <c r="J13" s="214"/>
      <c r="K13" s="180"/>
      <c r="L13" s="214"/>
      <c r="M13" s="180"/>
      <c r="N13" s="242"/>
      <c r="O13" s="251"/>
      <c r="P13" s="252"/>
      <c r="Q13" s="251"/>
      <c r="R13" s="252"/>
      <c r="S13" s="181" t="s">
        <v>22</v>
      </c>
      <c r="T13" s="178" t="s">
        <v>22</v>
      </c>
      <c r="U13" s="181" t="s">
        <v>22</v>
      </c>
      <c r="V13" s="238" t="s">
        <v>22</v>
      </c>
      <c r="W13" s="133"/>
    </row>
    <row r="14" spans="1:23">
      <c r="B14" s="345" t="s">
        <v>86</v>
      </c>
      <c r="C14" s="306" t="s">
        <v>78</v>
      </c>
      <c r="D14" s="348">
        <v>9</v>
      </c>
      <c r="E14" s="202" t="s">
        <v>11</v>
      </c>
      <c r="F14" s="203" t="s">
        <v>63</v>
      </c>
      <c r="G14" s="204"/>
      <c r="H14" s="168"/>
      <c r="I14" s="165"/>
      <c r="J14" s="212"/>
      <c r="K14" s="165"/>
      <c r="L14" s="212"/>
      <c r="M14" s="165"/>
      <c r="N14" s="240"/>
      <c r="O14" s="247"/>
      <c r="P14" s="248"/>
      <c r="Q14" s="247"/>
      <c r="R14" s="248"/>
      <c r="S14" s="166" t="s">
        <v>22</v>
      </c>
      <c r="T14" s="163" t="s">
        <v>22</v>
      </c>
      <c r="U14" s="166" t="s">
        <v>22</v>
      </c>
      <c r="V14" s="189" t="s">
        <v>22</v>
      </c>
      <c r="W14" s="133"/>
    </row>
    <row r="15" spans="1:23">
      <c r="B15" s="346"/>
      <c r="C15" s="307"/>
      <c r="D15" s="349"/>
      <c r="E15" s="205" t="s">
        <v>12</v>
      </c>
      <c r="F15" s="206" t="s">
        <v>63</v>
      </c>
      <c r="G15" s="207"/>
      <c r="H15" s="175"/>
      <c r="I15" s="172"/>
      <c r="J15" s="213"/>
      <c r="K15" s="172"/>
      <c r="L15" s="213"/>
      <c r="M15" s="172"/>
      <c r="N15" s="241"/>
      <c r="O15" s="249"/>
      <c r="P15" s="250"/>
      <c r="Q15" s="249"/>
      <c r="R15" s="250"/>
      <c r="S15" s="173" t="s">
        <v>22</v>
      </c>
      <c r="T15" s="170" t="s">
        <v>22</v>
      </c>
      <c r="U15" s="173" t="s">
        <v>22</v>
      </c>
      <c r="V15" s="177" t="s">
        <v>22</v>
      </c>
      <c r="W15" s="133"/>
    </row>
    <row r="16" spans="1:23">
      <c r="B16" s="346"/>
      <c r="C16" s="307"/>
      <c r="D16" s="349"/>
      <c r="E16" s="205" t="s">
        <v>7</v>
      </c>
      <c r="F16" s="206" t="s">
        <v>63</v>
      </c>
      <c r="G16" s="207"/>
      <c r="H16" s="175"/>
      <c r="I16" s="172"/>
      <c r="J16" s="213"/>
      <c r="K16" s="172"/>
      <c r="L16" s="213"/>
      <c r="M16" s="172"/>
      <c r="N16" s="241"/>
      <c r="O16" s="249"/>
      <c r="P16" s="250"/>
      <c r="Q16" s="249"/>
      <c r="R16" s="250"/>
      <c r="S16" s="173" t="s">
        <v>22</v>
      </c>
      <c r="T16" s="170" t="s">
        <v>22</v>
      </c>
      <c r="U16" s="173" t="s">
        <v>22</v>
      </c>
      <c r="V16" s="177" t="s">
        <v>22</v>
      </c>
      <c r="W16" s="133"/>
    </row>
    <row r="17" spans="1:23">
      <c r="B17" s="346"/>
      <c r="C17" s="307"/>
      <c r="D17" s="349"/>
      <c r="E17" s="205" t="s">
        <v>8</v>
      </c>
      <c r="F17" s="206" t="s">
        <v>63</v>
      </c>
      <c r="G17" s="207"/>
      <c r="H17" s="175"/>
      <c r="I17" s="172"/>
      <c r="J17" s="213"/>
      <c r="K17" s="172"/>
      <c r="L17" s="213"/>
      <c r="M17" s="172"/>
      <c r="N17" s="241"/>
      <c r="O17" s="249"/>
      <c r="P17" s="250"/>
      <c r="Q17" s="249"/>
      <c r="R17" s="250"/>
      <c r="S17" s="173" t="s">
        <v>22</v>
      </c>
      <c r="T17" s="170" t="s">
        <v>22</v>
      </c>
      <c r="U17" s="173" t="s">
        <v>22</v>
      </c>
      <c r="V17" s="177" t="s">
        <v>22</v>
      </c>
      <c r="W17" s="133"/>
    </row>
    <row r="18" spans="1:23">
      <c r="B18" s="346"/>
      <c r="C18" s="307"/>
      <c r="D18" s="349"/>
      <c r="E18" s="205" t="s">
        <v>9</v>
      </c>
      <c r="F18" s="206" t="s">
        <v>63</v>
      </c>
      <c r="G18" s="207"/>
      <c r="H18" s="175"/>
      <c r="I18" s="172"/>
      <c r="J18" s="213"/>
      <c r="K18" s="172"/>
      <c r="L18" s="213"/>
      <c r="M18" s="172"/>
      <c r="N18" s="241"/>
      <c r="O18" s="249"/>
      <c r="P18" s="250"/>
      <c r="Q18" s="249"/>
      <c r="R18" s="250"/>
      <c r="S18" s="173" t="s">
        <v>22</v>
      </c>
      <c r="T18" s="170" t="s">
        <v>22</v>
      </c>
      <c r="U18" s="173" t="s">
        <v>22</v>
      </c>
      <c r="V18" s="177" t="s">
        <v>22</v>
      </c>
      <c r="W18" s="133"/>
    </row>
    <row r="19" spans="1:23">
      <c r="B19" s="346"/>
      <c r="C19" s="307"/>
      <c r="D19" s="349"/>
      <c r="E19" s="205" t="s">
        <v>6</v>
      </c>
      <c r="F19" s="206" t="s">
        <v>63</v>
      </c>
      <c r="G19" s="207"/>
      <c r="H19" s="175"/>
      <c r="I19" s="172"/>
      <c r="J19" s="213"/>
      <c r="K19" s="172"/>
      <c r="L19" s="213"/>
      <c r="M19" s="172"/>
      <c r="N19" s="241"/>
      <c r="O19" s="249"/>
      <c r="P19" s="250"/>
      <c r="Q19" s="249"/>
      <c r="R19" s="250"/>
      <c r="S19" s="173" t="s">
        <v>22</v>
      </c>
      <c r="T19" s="170" t="s">
        <v>22</v>
      </c>
      <c r="U19" s="173" t="s">
        <v>22</v>
      </c>
      <c r="V19" s="177" t="s">
        <v>22</v>
      </c>
      <c r="W19" s="133"/>
    </row>
    <row r="20" spans="1:23" ht="15.75" thickBot="1">
      <c r="B20" s="347"/>
      <c r="C20" s="308"/>
      <c r="D20" s="350"/>
      <c r="E20" s="208" t="s">
        <v>10</v>
      </c>
      <c r="F20" s="209" t="s">
        <v>63</v>
      </c>
      <c r="G20" s="210"/>
      <c r="H20" s="183"/>
      <c r="I20" s="180"/>
      <c r="J20" s="214"/>
      <c r="K20" s="180"/>
      <c r="L20" s="214"/>
      <c r="M20" s="180"/>
      <c r="N20" s="242"/>
      <c r="O20" s="251"/>
      <c r="P20" s="252"/>
      <c r="Q20" s="251"/>
      <c r="R20" s="252"/>
      <c r="S20" s="181" t="s">
        <v>22</v>
      </c>
      <c r="T20" s="178" t="s">
        <v>22</v>
      </c>
      <c r="U20" s="181" t="s">
        <v>22</v>
      </c>
      <c r="V20" s="238" t="s">
        <v>22</v>
      </c>
      <c r="W20" s="133"/>
    </row>
    <row r="21" spans="1:23" s="62" customFormat="1" ht="21" customHeight="1" thickBot="1">
      <c r="A21" s="138"/>
      <c r="B21" s="142" t="s">
        <v>81</v>
      </c>
      <c r="C21" s="143"/>
      <c r="D21" s="143">
        <f>SUM(D4:D20)</f>
        <v>19</v>
      </c>
      <c r="E21" s="146">
        <f>COUNT(G4:G20)</f>
        <v>0</v>
      </c>
      <c r="F21" s="79">
        <f>COUNT(J4:J20)</f>
        <v>0</v>
      </c>
      <c r="G21" s="153">
        <f>SUM(G4:G20)</f>
        <v>0</v>
      </c>
      <c r="H21" s="154">
        <f>SUM(H4:H20)</f>
        <v>0</v>
      </c>
      <c r="I21" s="155" t="e">
        <f>J21/G21</f>
        <v>#DIV/0!</v>
      </c>
      <c r="J21" s="156">
        <f>SUM(J4:J20)</f>
        <v>0</v>
      </c>
      <c r="K21" s="157" t="e">
        <f>L21/G21</f>
        <v>#DIV/0!</v>
      </c>
      <c r="L21" s="156">
        <f>SUM(L4:L20)</f>
        <v>0</v>
      </c>
      <c r="M21" s="158" t="e">
        <f>N21/(L4+L14+L15+L16+L18+L20)</f>
        <v>#DIV/0!</v>
      </c>
      <c r="N21" s="159">
        <f>SUM(N4:N20)</f>
        <v>0</v>
      </c>
      <c r="O21" s="160"/>
      <c r="P21" s="161"/>
      <c r="Q21" s="160"/>
      <c r="R21" s="161"/>
      <c r="S21" s="160"/>
      <c r="T21" s="161"/>
      <c r="U21" s="160"/>
      <c r="V21" s="162"/>
      <c r="W21" s="134"/>
    </row>
    <row r="22" spans="1:23">
      <c r="B22" s="313" t="s">
        <v>87</v>
      </c>
      <c r="C22" s="306" t="s">
        <v>79</v>
      </c>
      <c r="D22" s="348">
        <v>31</v>
      </c>
      <c r="E22" s="202" t="s">
        <v>26</v>
      </c>
      <c r="F22" s="203" t="s">
        <v>63</v>
      </c>
      <c r="G22" s="204"/>
      <c r="H22" s="168"/>
      <c r="I22" s="164"/>
      <c r="J22" s="212"/>
      <c r="K22" s="164"/>
      <c r="L22" s="212"/>
      <c r="M22" s="164"/>
      <c r="N22" s="240"/>
      <c r="O22" s="247"/>
      <c r="P22" s="248"/>
      <c r="Q22" s="247"/>
      <c r="R22" s="248"/>
      <c r="S22" s="167"/>
      <c r="T22" s="168"/>
      <c r="U22" s="167"/>
      <c r="V22" s="169"/>
      <c r="W22" s="133"/>
    </row>
    <row r="23" spans="1:23">
      <c r="B23" s="314"/>
      <c r="C23" s="307"/>
      <c r="D23" s="349"/>
      <c r="E23" s="205" t="s">
        <v>27</v>
      </c>
      <c r="F23" s="206" t="s">
        <v>63</v>
      </c>
      <c r="G23" s="207"/>
      <c r="H23" s="175"/>
      <c r="I23" s="171"/>
      <c r="J23" s="213"/>
      <c r="K23" s="171"/>
      <c r="L23" s="213"/>
      <c r="M23" s="171"/>
      <c r="N23" s="241"/>
      <c r="O23" s="249"/>
      <c r="P23" s="250"/>
      <c r="Q23" s="249"/>
      <c r="R23" s="250"/>
      <c r="S23" s="174"/>
      <c r="T23" s="175"/>
      <c r="U23" s="174"/>
      <c r="V23" s="176"/>
      <c r="W23" s="133"/>
    </row>
    <row r="24" spans="1:23">
      <c r="B24" s="314"/>
      <c r="C24" s="307"/>
      <c r="D24" s="349"/>
      <c r="E24" s="205" t="s">
        <v>61</v>
      </c>
      <c r="F24" s="206" t="s">
        <v>63</v>
      </c>
      <c r="G24" s="207"/>
      <c r="H24" s="175"/>
      <c r="I24" s="171"/>
      <c r="J24" s="213"/>
      <c r="K24" s="171"/>
      <c r="L24" s="213"/>
      <c r="M24" s="171"/>
      <c r="N24" s="241"/>
      <c r="O24" s="249"/>
      <c r="P24" s="250"/>
      <c r="Q24" s="249"/>
      <c r="R24" s="250"/>
      <c r="S24" s="173"/>
      <c r="T24" s="170"/>
      <c r="U24" s="173"/>
      <c r="V24" s="177"/>
      <c r="W24" s="133"/>
    </row>
    <row r="25" spans="1:23">
      <c r="B25" s="314"/>
      <c r="C25" s="307"/>
      <c r="D25" s="349"/>
      <c r="E25" s="215" t="s">
        <v>25</v>
      </c>
      <c r="F25" s="216" t="s">
        <v>65</v>
      </c>
      <c r="G25" s="207"/>
      <c r="H25" s="175"/>
      <c r="I25" s="171"/>
      <c r="J25" s="213"/>
      <c r="K25" s="171"/>
      <c r="L25" s="213"/>
      <c r="M25" s="171"/>
      <c r="N25" s="241"/>
      <c r="O25" s="249"/>
      <c r="P25" s="250"/>
      <c r="Q25" s="249"/>
      <c r="R25" s="250"/>
      <c r="S25" s="174"/>
      <c r="T25" s="175"/>
      <c r="U25" s="174"/>
      <c r="V25" s="176"/>
      <c r="W25" s="133"/>
    </row>
    <row r="26" spans="1:23">
      <c r="B26" s="314"/>
      <c r="C26" s="307"/>
      <c r="D26" s="349"/>
      <c r="E26" s="205" t="s">
        <v>24</v>
      </c>
      <c r="F26" s="206" t="s">
        <v>63</v>
      </c>
      <c r="G26" s="207"/>
      <c r="H26" s="175"/>
      <c r="I26" s="171"/>
      <c r="J26" s="213"/>
      <c r="K26" s="171"/>
      <c r="L26" s="213"/>
      <c r="M26" s="171"/>
      <c r="N26" s="241"/>
      <c r="O26" s="249"/>
      <c r="P26" s="250"/>
      <c r="Q26" s="249"/>
      <c r="R26" s="250"/>
      <c r="S26" s="173"/>
      <c r="T26" s="170"/>
      <c r="U26" s="173"/>
      <c r="V26" s="177"/>
      <c r="W26" s="133"/>
    </row>
    <row r="27" spans="1:23">
      <c r="B27" s="315"/>
      <c r="C27" s="308"/>
      <c r="D27" s="350"/>
      <c r="E27" s="208" t="s">
        <v>23</v>
      </c>
      <c r="F27" s="209" t="s">
        <v>65</v>
      </c>
      <c r="G27" s="210"/>
      <c r="H27" s="183"/>
      <c r="I27" s="179"/>
      <c r="J27" s="214"/>
      <c r="K27" s="179"/>
      <c r="L27" s="214"/>
      <c r="M27" s="179"/>
      <c r="N27" s="242"/>
      <c r="O27" s="251"/>
      <c r="P27" s="252"/>
      <c r="Q27" s="251"/>
      <c r="R27" s="252"/>
      <c r="S27" s="182"/>
      <c r="T27" s="183"/>
      <c r="U27" s="182"/>
      <c r="V27" s="184"/>
      <c r="W27" s="133"/>
    </row>
    <row r="28" spans="1:23">
      <c r="B28" s="313" t="s">
        <v>1</v>
      </c>
      <c r="C28" s="306" t="s">
        <v>79</v>
      </c>
      <c r="D28" s="348">
        <v>12</v>
      </c>
      <c r="E28" s="202" t="s">
        <v>29</v>
      </c>
      <c r="F28" s="203" t="s">
        <v>65</v>
      </c>
      <c r="G28" s="204"/>
      <c r="H28" s="168"/>
      <c r="I28" s="164"/>
      <c r="J28" s="212"/>
      <c r="K28" s="164"/>
      <c r="L28" s="212"/>
      <c r="M28" s="164"/>
      <c r="N28" s="240"/>
      <c r="O28" s="247"/>
      <c r="P28" s="248"/>
      <c r="Q28" s="247"/>
      <c r="R28" s="248"/>
      <c r="S28" s="167"/>
      <c r="T28" s="168"/>
      <c r="U28" s="167"/>
      <c r="V28" s="169"/>
      <c r="W28" s="133"/>
    </row>
    <row r="29" spans="1:23">
      <c r="B29" s="314"/>
      <c r="C29" s="307"/>
      <c r="D29" s="349"/>
      <c r="E29" s="205" t="s">
        <v>28</v>
      </c>
      <c r="F29" s="206" t="s">
        <v>65</v>
      </c>
      <c r="G29" s="207"/>
      <c r="H29" s="175"/>
      <c r="I29" s="171"/>
      <c r="J29" s="213"/>
      <c r="K29" s="171"/>
      <c r="L29" s="213"/>
      <c r="M29" s="171"/>
      <c r="N29" s="241"/>
      <c r="O29" s="249"/>
      <c r="P29" s="250"/>
      <c r="Q29" s="249"/>
      <c r="R29" s="250"/>
      <c r="S29" s="174"/>
      <c r="T29" s="175"/>
      <c r="U29" s="174"/>
      <c r="V29" s="176"/>
      <c r="W29" s="133"/>
    </row>
    <row r="30" spans="1:23">
      <c r="B30" s="314"/>
      <c r="C30" s="307"/>
      <c r="D30" s="349"/>
      <c r="E30" s="205" t="s">
        <v>30</v>
      </c>
      <c r="F30" s="206" t="s">
        <v>65</v>
      </c>
      <c r="G30" s="207"/>
      <c r="H30" s="175"/>
      <c r="I30" s="171"/>
      <c r="J30" s="213"/>
      <c r="K30" s="171"/>
      <c r="L30" s="213"/>
      <c r="M30" s="171"/>
      <c r="N30" s="241"/>
      <c r="O30" s="249"/>
      <c r="P30" s="250"/>
      <c r="Q30" s="249"/>
      <c r="R30" s="250"/>
      <c r="S30" s="174"/>
      <c r="T30" s="175"/>
      <c r="U30" s="174"/>
      <c r="V30" s="176"/>
      <c r="W30" s="133"/>
    </row>
    <row r="31" spans="1:23">
      <c r="B31" s="314"/>
      <c r="C31" s="307"/>
      <c r="D31" s="349"/>
      <c r="E31" s="205" t="s">
        <v>31</v>
      </c>
      <c r="F31" s="206" t="s">
        <v>65</v>
      </c>
      <c r="G31" s="207"/>
      <c r="H31" s="175"/>
      <c r="I31" s="171"/>
      <c r="J31" s="213"/>
      <c r="K31" s="171"/>
      <c r="L31" s="213"/>
      <c r="M31" s="171"/>
      <c r="N31" s="241"/>
      <c r="O31" s="249"/>
      <c r="P31" s="250"/>
      <c r="Q31" s="249"/>
      <c r="R31" s="250"/>
      <c r="S31" s="174"/>
      <c r="T31" s="175"/>
      <c r="U31" s="174"/>
      <c r="V31" s="176"/>
      <c r="W31" s="133"/>
    </row>
    <row r="32" spans="1:23">
      <c r="B32" s="314"/>
      <c r="C32" s="307"/>
      <c r="D32" s="349"/>
      <c r="E32" s="215" t="s">
        <v>32</v>
      </c>
      <c r="F32" s="216" t="s">
        <v>65</v>
      </c>
      <c r="G32" s="207"/>
      <c r="H32" s="175"/>
      <c r="I32" s="171"/>
      <c r="J32" s="213"/>
      <c r="K32" s="171"/>
      <c r="L32" s="213"/>
      <c r="M32" s="171"/>
      <c r="N32" s="241"/>
      <c r="O32" s="249"/>
      <c r="P32" s="250"/>
      <c r="Q32" s="249"/>
      <c r="R32" s="250"/>
      <c r="S32" s="174"/>
      <c r="T32" s="175"/>
      <c r="U32" s="174"/>
      <c r="V32" s="176"/>
      <c r="W32" s="133"/>
    </row>
    <row r="33" spans="2:23">
      <c r="B33" s="315"/>
      <c r="C33" s="308"/>
      <c r="D33" s="350"/>
      <c r="E33" s="217" t="s">
        <v>33</v>
      </c>
      <c r="F33" s="218" t="s">
        <v>65</v>
      </c>
      <c r="G33" s="210"/>
      <c r="H33" s="183"/>
      <c r="I33" s="179"/>
      <c r="J33" s="214"/>
      <c r="K33" s="179"/>
      <c r="L33" s="214"/>
      <c r="M33" s="179"/>
      <c r="N33" s="242"/>
      <c r="O33" s="251"/>
      <c r="P33" s="252"/>
      <c r="Q33" s="251"/>
      <c r="R33" s="252"/>
      <c r="S33" s="182"/>
      <c r="T33" s="183"/>
      <c r="U33" s="182"/>
      <c r="V33" s="184"/>
      <c r="W33" s="133"/>
    </row>
    <row r="34" spans="2:23">
      <c r="B34" s="316" t="s">
        <v>48</v>
      </c>
      <c r="C34" s="309" t="s">
        <v>79</v>
      </c>
      <c r="D34" s="351">
        <v>10</v>
      </c>
      <c r="E34" s="219" t="s">
        <v>34</v>
      </c>
      <c r="F34" s="220" t="s">
        <v>65</v>
      </c>
      <c r="G34" s="204"/>
      <c r="H34" s="168"/>
      <c r="I34" s="164"/>
      <c r="J34" s="212"/>
      <c r="K34" s="164"/>
      <c r="L34" s="212"/>
      <c r="M34" s="164"/>
      <c r="N34" s="240"/>
      <c r="O34" s="247"/>
      <c r="P34" s="248"/>
      <c r="Q34" s="247"/>
      <c r="R34" s="248"/>
      <c r="S34" s="167"/>
      <c r="T34" s="168"/>
      <c r="U34" s="167"/>
      <c r="V34" s="169"/>
      <c r="W34" s="133"/>
    </row>
    <row r="35" spans="2:23">
      <c r="B35" s="317"/>
      <c r="C35" s="310"/>
      <c r="D35" s="352"/>
      <c r="E35" s="221" t="s">
        <v>35</v>
      </c>
      <c r="F35" s="216" t="s">
        <v>65</v>
      </c>
      <c r="G35" s="207"/>
      <c r="H35" s="175"/>
      <c r="I35" s="171"/>
      <c r="J35" s="213"/>
      <c r="K35" s="171"/>
      <c r="L35" s="213"/>
      <c r="M35" s="171"/>
      <c r="N35" s="241"/>
      <c r="O35" s="249"/>
      <c r="P35" s="250"/>
      <c r="Q35" s="249"/>
      <c r="R35" s="250"/>
      <c r="S35" s="174"/>
      <c r="T35" s="175"/>
      <c r="U35" s="174"/>
      <c r="V35" s="176"/>
      <c r="W35" s="133"/>
    </row>
    <row r="36" spans="2:23">
      <c r="B36" s="317"/>
      <c r="C36" s="310"/>
      <c r="D36" s="352"/>
      <c r="E36" s="221" t="s">
        <v>50</v>
      </c>
      <c r="F36" s="216" t="s">
        <v>65</v>
      </c>
      <c r="G36" s="207"/>
      <c r="H36" s="175"/>
      <c r="I36" s="171"/>
      <c r="J36" s="213"/>
      <c r="K36" s="171"/>
      <c r="L36" s="213"/>
      <c r="M36" s="171"/>
      <c r="N36" s="241"/>
      <c r="O36" s="249"/>
      <c r="P36" s="250"/>
      <c r="Q36" s="249"/>
      <c r="R36" s="250"/>
      <c r="S36" s="174"/>
      <c r="T36" s="175"/>
      <c r="U36" s="174"/>
      <c r="V36" s="176"/>
      <c r="W36" s="133"/>
    </row>
    <row r="37" spans="2:23">
      <c r="B37" s="317"/>
      <c r="C37" s="310"/>
      <c r="D37" s="352"/>
      <c r="E37" s="221" t="s">
        <v>49</v>
      </c>
      <c r="F37" s="216" t="s">
        <v>65</v>
      </c>
      <c r="G37" s="207"/>
      <c r="H37" s="175"/>
      <c r="I37" s="171"/>
      <c r="J37" s="213"/>
      <c r="K37" s="171"/>
      <c r="L37" s="213"/>
      <c r="M37" s="171"/>
      <c r="N37" s="241"/>
      <c r="O37" s="249"/>
      <c r="P37" s="250"/>
      <c r="Q37" s="249"/>
      <c r="R37" s="250"/>
      <c r="S37" s="174"/>
      <c r="T37" s="175"/>
      <c r="U37" s="174"/>
      <c r="V37" s="176"/>
      <c r="W37" s="133"/>
    </row>
    <row r="38" spans="2:23">
      <c r="B38" s="317"/>
      <c r="C38" s="310"/>
      <c r="D38" s="352"/>
      <c r="E38" s="221" t="s">
        <v>37</v>
      </c>
      <c r="F38" s="216" t="s">
        <v>65</v>
      </c>
      <c r="G38" s="207"/>
      <c r="H38" s="175"/>
      <c r="I38" s="171"/>
      <c r="J38" s="213"/>
      <c r="K38" s="171"/>
      <c r="L38" s="213"/>
      <c r="M38" s="171"/>
      <c r="N38" s="241"/>
      <c r="O38" s="249"/>
      <c r="P38" s="250"/>
      <c r="Q38" s="249"/>
      <c r="R38" s="250"/>
      <c r="S38" s="174"/>
      <c r="T38" s="175"/>
      <c r="U38" s="174"/>
      <c r="V38" s="176"/>
      <c r="W38" s="133"/>
    </row>
    <row r="39" spans="2:23">
      <c r="B39" s="318"/>
      <c r="C39" s="311"/>
      <c r="D39" s="353"/>
      <c r="E39" s="222" t="s">
        <v>36</v>
      </c>
      <c r="F39" s="218" t="s">
        <v>65</v>
      </c>
      <c r="G39" s="210"/>
      <c r="H39" s="183"/>
      <c r="I39" s="179"/>
      <c r="J39" s="214"/>
      <c r="K39" s="179"/>
      <c r="L39" s="214"/>
      <c r="M39" s="179"/>
      <c r="N39" s="242"/>
      <c r="O39" s="251"/>
      <c r="P39" s="252"/>
      <c r="Q39" s="251"/>
      <c r="R39" s="252"/>
      <c r="S39" s="182"/>
      <c r="T39" s="183"/>
      <c r="U39" s="182"/>
      <c r="V39" s="184"/>
      <c r="W39" s="133"/>
    </row>
    <row r="40" spans="2:23">
      <c r="B40" s="345" t="s">
        <v>88</v>
      </c>
      <c r="C40" s="306" t="s">
        <v>79</v>
      </c>
      <c r="D40" s="348">
        <v>14</v>
      </c>
      <c r="E40" s="202" t="s">
        <v>39</v>
      </c>
      <c r="F40" s="203" t="s">
        <v>63</v>
      </c>
      <c r="G40" s="204"/>
      <c r="H40" s="168"/>
      <c r="I40" s="164"/>
      <c r="J40" s="212"/>
      <c r="K40" s="164"/>
      <c r="L40" s="212"/>
      <c r="M40" s="164"/>
      <c r="N40" s="240"/>
      <c r="O40" s="247"/>
      <c r="P40" s="248"/>
      <c r="Q40" s="247"/>
      <c r="R40" s="248"/>
      <c r="S40" s="167"/>
      <c r="T40" s="168"/>
      <c r="U40" s="167"/>
      <c r="V40" s="169"/>
      <c r="W40" s="133"/>
    </row>
    <row r="41" spans="2:23">
      <c r="B41" s="346"/>
      <c r="C41" s="307"/>
      <c r="D41" s="349"/>
      <c r="E41" s="205" t="s">
        <v>40</v>
      </c>
      <c r="F41" s="206" t="s">
        <v>65</v>
      </c>
      <c r="G41" s="207"/>
      <c r="H41" s="175"/>
      <c r="I41" s="171"/>
      <c r="J41" s="213"/>
      <c r="K41" s="171"/>
      <c r="L41" s="213"/>
      <c r="M41" s="171"/>
      <c r="N41" s="241"/>
      <c r="O41" s="249"/>
      <c r="P41" s="250"/>
      <c r="Q41" s="249"/>
      <c r="R41" s="250"/>
      <c r="S41" s="174"/>
      <c r="T41" s="175"/>
      <c r="U41" s="174"/>
      <c r="V41" s="176"/>
      <c r="W41" s="133"/>
    </row>
    <row r="42" spans="2:23">
      <c r="B42" s="355"/>
      <c r="C42" s="308"/>
      <c r="D42" s="350"/>
      <c r="E42" s="208" t="s">
        <v>41</v>
      </c>
      <c r="F42" s="209" t="s">
        <v>65</v>
      </c>
      <c r="G42" s="210"/>
      <c r="H42" s="183"/>
      <c r="I42" s="179"/>
      <c r="J42" s="214"/>
      <c r="K42" s="179"/>
      <c r="L42" s="214"/>
      <c r="M42" s="179"/>
      <c r="N42" s="242"/>
      <c r="O42" s="251"/>
      <c r="P42" s="252"/>
      <c r="Q42" s="251"/>
      <c r="R42" s="252"/>
      <c r="S42" s="182"/>
      <c r="T42" s="183"/>
      <c r="U42" s="182"/>
      <c r="V42" s="184"/>
      <c r="W42" s="133"/>
    </row>
    <row r="43" spans="2:23" ht="15.75">
      <c r="B43" s="7" t="s">
        <v>75</v>
      </c>
      <c r="C43" s="86" t="s">
        <v>79</v>
      </c>
      <c r="D43" s="223">
        <v>2</v>
      </c>
      <c r="E43" s="224" t="s">
        <v>38</v>
      </c>
      <c r="F43" s="225" t="s">
        <v>65</v>
      </c>
      <c r="G43" s="226"/>
      <c r="H43" s="187"/>
      <c r="I43" s="185"/>
      <c r="J43" s="230"/>
      <c r="K43" s="185"/>
      <c r="L43" s="230"/>
      <c r="M43" s="185"/>
      <c r="N43" s="243"/>
      <c r="O43" s="253"/>
      <c r="P43" s="254"/>
      <c r="Q43" s="253"/>
      <c r="R43" s="254"/>
      <c r="S43" s="186"/>
      <c r="T43" s="187"/>
      <c r="U43" s="186"/>
      <c r="V43" s="188"/>
      <c r="W43" s="133"/>
    </row>
    <row r="44" spans="2:23" ht="15.75" thickBot="1">
      <c r="B44" s="319" t="s">
        <v>3</v>
      </c>
      <c r="C44" s="321" t="s">
        <v>79</v>
      </c>
      <c r="D44" s="356">
        <v>12</v>
      </c>
      <c r="E44" s="202"/>
      <c r="F44" s="203"/>
      <c r="G44" s="204"/>
      <c r="H44" s="168"/>
      <c r="I44" s="164"/>
      <c r="J44" s="212"/>
      <c r="K44" s="164"/>
      <c r="L44" s="212"/>
      <c r="M44" s="164"/>
      <c r="N44" s="240"/>
      <c r="O44" s="247"/>
      <c r="P44" s="248"/>
      <c r="Q44" s="247"/>
      <c r="R44" s="248"/>
      <c r="S44" s="166" t="s">
        <v>22</v>
      </c>
      <c r="T44" s="163" t="s">
        <v>22</v>
      </c>
      <c r="U44" s="166" t="s">
        <v>22</v>
      </c>
      <c r="V44" s="189" t="s">
        <v>22</v>
      </c>
      <c r="W44" s="133"/>
    </row>
    <row r="45" spans="2:23" ht="15.75" thickBot="1">
      <c r="B45" s="320"/>
      <c r="C45" s="322"/>
      <c r="D45" s="357"/>
      <c r="E45" s="205"/>
      <c r="F45" s="206"/>
      <c r="G45" s="207"/>
      <c r="H45" s="175"/>
      <c r="I45" s="171"/>
      <c r="J45" s="213"/>
      <c r="K45" s="171"/>
      <c r="L45" s="213"/>
      <c r="M45" s="171"/>
      <c r="N45" s="241"/>
      <c r="O45" s="249"/>
      <c r="P45" s="250"/>
      <c r="Q45" s="249"/>
      <c r="R45" s="250"/>
      <c r="S45" s="173" t="s">
        <v>22</v>
      </c>
      <c r="T45" s="170" t="s">
        <v>22</v>
      </c>
      <c r="U45" s="173" t="s">
        <v>22</v>
      </c>
      <c r="V45" s="177" t="s">
        <v>22</v>
      </c>
      <c r="W45" s="133"/>
    </row>
    <row r="46" spans="2:23" ht="15.75" thickBot="1">
      <c r="B46" s="320"/>
      <c r="C46" s="322"/>
      <c r="D46" s="357"/>
      <c r="E46" s="205"/>
      <c r="F46" s="206"/>
      <c r="G46" s="207"/>
      <c r="H46" s="175"/>
      <c r="I46" s="171"/>
      <c r="J46" s="213"/>
      <c r="K46" s="171"/>
      <c r="L46" s="213"/>
      <c r="M46" s="171"/>
      <c r="N46" s="241"/>
      <c r="O46" s="249"/>
      <c r="P46" s="250"/>
      <c r="Q46" s="249"/>
      <c r="R46" s="250"/>
      <c r="S46" s="173" t="s">
        <v>22</v>
      </c>
      <c r="T46" s="170" t="s">
        <v>22</v>
      </c>
      <c r="U46" s="173" t="s">
        <v>22</v>
      </c>
      <c r="V46" s="177" t="s">
        <v>22</v>
      </c>
      <c r="W46" s="133"/>
    </row>
    <row r="47" spans="2:23" ht="15.75" thickBot="1">
      <c r="B47" s="320"/>
      <c r="C47" s="322"/>
      <c r="D47" s="357"/>
      <c r="E47" s="205" t="s">
        <v>140</v>
      </c>
      <c r="F47" s="206" t="s">
        <v>64</v>
      </c>
      <c r="G47" s="207">
        <v>159</v>
      </c>
      <c r="H47" s="175">
        <v>159</v>
      </c>
      <c r="I47" s="171">
        <f t="shared" ref="I47:I51" si="0">J47/G47</f>
        <v>0.34591194968553457</v>
      </c>
      <c r="J47" s="213">
        <v>55</v>
      </c>
      <c r="K47" s="171">
        <v>0.56000000000000005</v>
      </c>
      <c r="L47" s="213">
        <v>66</v>
      </c>
      <c r="M47" s="171">
        <f t="shared" ref="M47:M51" si="1">IF(N47="-","-",N47/L47)</f>
        <v>0.46969696969696972</v>
      </c>
      <c r="N47" s="241">
        <v>31</v>
      </c>
      <c r="O47" s="249"/>
      <c r="P47" s="250"/>
      <c r="Q47" s="249"/>
      <c r="R47" s="250"/>
      <c r="S47" s="173" t="s">
        <v>22</v>
      </c>
      <c r="T47" s="170" t="s">
        <v>22</v>
      </c>
      <c r="U47" s="173" t="s">
        <v>22</v>
      </c>
      <c r="V47" s="177" t="s">
        <v>22</v>
      </c>
      <c r="W47" s="133"/>
    </row>
    <row r="48" spans="2:23" ht="15.75" thickBot="1">
      <c r="B48" s="320"/>
      <c r="C48" s="322"/>
      <c r="D48" s="357"/>
      <c r="E48" s="205" t="s">
        <v>139</v>
      </c>
      <c r="F48" s="206" t="s">
        <v>64</v>
      </c>
      <c r="G48" s="207">
        <v>165</v>
      </c>
      <c r="H48" s="175">
        <v>165</v>
      </c>
      <c r="I48" s="171"/>
      <c r="J48" s="213"/>
      <c r="K48" s="171"/>
      <c r="L48" s="213"/>
      <c r="M48" s="171"/>
      <c r="N48" s="241"/>
      <c r="O48" s="249"/>
      <c r="P48" s="250"/>
      <c r="Q48" s="249"/>
      <c r="R48" s="250"/>
      <c r="S48" s="173" t="s">
        <v>22</v>
      </c>
      <c r="T48" s="170" t="s">
        <v>22</v>
      </c>
      <c r="U48" s="173" t="s">
        <v>22</v>
      </c>
      <c r="V48" s="177" t="s">
        <v>22</v>
      </c>
      <c r="W48" s="133"/>
    </row>
    <row r="49" spans="1:23" ht="15.75" thickBot="1">
      <c r="B49" s="320"/>
      <c r="C49" s="322"/>
      <c r="D49" s="357"/>
      <c r="E49" s="205" t="s">
        <v>83</v>
      </c>
      <c r="F49" s="206" t="s">
        <v>64</v>
      </c>
      <c r="G49" s="207">
        <v>773</v>
      </c>
      <c r="H49" s="175">
        <f>G49</f>
        <v>773</v>
      </c>
      <c r="I49" s="171">
        <f t="shared" si="0"/>
        <v>0.39327296248382926</v>
      </c>
      <c r="J49" s="213">
        <v>304</v>
      </c>
      <c r="K49" s="171">
        <v>0.49</v>
      </c>
      <c r="L49" s="213">
        <v>333</v>
      </c>
      <c r="M49" s="171">
        <f t="shared" si="1"/>
        <v>0.57657657657657657</v>
      </c>
      <c r="N49" s="241">
        <v>192</v>
      </c>
      <c r="O49" s="249"/>
      <c r="P49" s="250"/>
      <c r="Q49" s="249"/>
      <c r="R49" s="250"/>
      <c r="S49" s="173" t="s">
        <v>22</v>
      </c>
      <c r="T49" s="170" t="s">
        <v>22</v>
      </c>
      <c r="U49" s="173" t="s">
        <v>22</v>
      </c>
      <c r="V49" s="177" t="s">
        <v>22</v>
      </c>
      <c r="W49" s="133"/>
    </row>
    <row r="50" spans="1:23" ht="15.75" thickBot="1">
      <c r="B50" s="320"/>
      <c r="C50" s="322"/>
      <c r="D50" s="357"/>
      <c r="E50" s="205" t="s">
        <v>54</v>
      </c>
      <c r="F50" s="206" t="s">
        <v>64</v>
      </c>
      <c r="G50" s="207">
        <v>629</v>
      </c>
      <c r="H50" s="175">
        <f t="shared" ref="H47:H51" si="2">G50</f>
        <v>629</v>
      </c>
      <c r="I50" s="171">
        <f t="shared" si="0"/>
        <v>0.47058823529411764</v>
      </c>
      <c r="J50" s="213">
        <v>296</v>
      </c>
      <c r="K50" s="171">
        <v>0.51</v>
      </c>
      <c r="L50" s="213">
        <v>311</v>
      </c>
      <c r="M50" s="171">
        <f t="shared" si="1"/>
        <v>0.58520900321543412</v>
      </c>
      <c r="N50" s="241">
        <v>182</v>
      </c>
      <c r="O50" s="249"/>
      <c r="P50" s="250"/>
      <c r="Q50" s="249"/>
      <c r="R50" s="250"/>
      <c r="S50" s="173" t="s">
        <v>22</v>
      </c>
      <c r="T50" s="170" t="s">
        <v>22</v>
      </c>
      <c r="U50" s="173" t="s">
        <v>22</v>
      </c>
      <c r="V50" s="177" t="s">
        <v>22</v>
      </c>
      <c r="W50" s="133"/>
    </row>
    <row r="51" spans="1:23" ht="15.75" thickBot="1">
      <c r="B51" s="320"/>
      <c r="C51" s="322"/>
      <c r="D51" s="357"/>
      <c r="E51" s="215" t="s">
        <v>32</v>
      </c>
      <c r="F51" s="227" t="s">
        <v>65</v>
      </c>
      <c r="G51" s="228">
        <v>44</v>
      </c>
      <c r="H51" s="229">
        <f t="shared" si="2"/>
        <v>44</v>
      </c>
      <c r="I51" s="191">
        <f t="shared" si="0"/>
        <v>0.63636363636363635</v>
      </c>
      <c r="J51" s="231">
        <v>28</v>
      </c>
      <c r="K51" s="191">
        <v>0.47</v>
      </c>
      <c r="L51" s="231">
        <v>16</v>
      </c>
      <c r="M51" s="191">
        <f t="shared" si="1"/>
        <v>0.9375</v>
      </c>
      <c r="N51" s="244">
        <v>15</v>
      </c>
      <c r="O51" s="255"/>
      <c r="P51" s="256"/>
      <c r="Q51" s="255"/>
      <c r="R51" s="256"/>
      <c r="S51" s="192" t="s">
        <v>22</v>
      </c>
      <c r="T51" s="190" t="s">
        <v>22</v>
      </c>
      <c r="U51" s="192" t="s">
        <v>22</v>
      </c>
      <c r="V51" s="193" t="s">
        <v>22</v>
      </c>
      <c r="W51" s="133"/>
    </row>
    <row r="52" spans="1:23" s="62" customFormat="1" ht="21" customHeight="1" thickBot="1">
      <c r="A52" s="138"/>
      <c r="B52" s="142" t="s">
        <v>80</v>
      </c>
      <c r="C52" s="143"/>
      <c r="D52" s="143">
        <f>SUM(D22:D51)</f>
        <v>81</v>
      </c>
      <c r="E52" s="78"/>
      <c r="F52" s="79">
        <f>COUNT(J22:J51)</f>
        <v>4</v>
      </c>
      <c r="G52" s="194">
        <f>SUM(G22:G51)</f>
        <v>1770</v>
      </c>
      <c r="H52" s="161">
        <f>SUM(H22:H51)</f>
        <v>1770</v>
      </c>
      <c r="I52" s="155">
        <f>J52/G52</f>
        <v>0.38587570621468925</v>
      </c>
      <c r="J52" s="156">
        <f>SUM(J22:J51)</f>
        <v>683</v>
      </c>
      <c r="K52" s="157">
        <f>L52/G52</f>
        <v>0.4101694915254237</v>
      </c>
      <c r="L52" s="156">
        <f>SUM(L22:L51)</f>
        <v>726</v>
      </c>
      <c r="M52" s="158" t="e">
        <f>N52/(SUM(L28:L39))</f>
        <v>#DIV/0!</v>
      </c>
      <c r="N52" s="159">
        <f>SUM(N22:N51)</f>
        <v>420</v>
      </c>
      <c r="O52" s="160"/>
      <c r="P52" s="161"/>
      <c r="Q52" s="160"/>
      <c r="R52" s="161"/>
      <c r="S52" s="160"/>
      <c r="T52" s="161"/>
      <c r="U52" s="160"/>
      <c r="V52" s="162"/>
      <c r="W52" s="134"/>
    </row>
    <row r="53" spans="1:23" s="62" customFormat="1" ht="21" customHeight="1" thickBot="1">
      <c r="A53" s="138"/>
      <c r="B53" s="142" t="s">
        <v>69</v>
      </c>
      <c r="C53" s="143"/>
      <c r="D53" s="143">
        <f>D52+D21</f>
        <v>100</v>
      </c>
      <c r="E53" s="78"/>
      <c r="F53" s="79">
        <f>F52+F21</f>
        <v>4</v>
      </c>
      <c r="G53" s="194">
        <f>G21+G52</f>
        <v>1770</v>
      </c>
      <c r="H53" s="161">
        <f>H21+H52</f>
        <v>1770</v>
      </c>
      <c r="I53" s="155">
        <f>J53/G53</f>
        <v>0.38587570621468925</v>
      </c>
      <c r="J53" s="156">
        <f>J21+J52</f>
        <v>683</v>
      </c>
      <c r="K53" s="157">
        <f>L53/G53</f>
        <v>0.4101694915254237</v>
      </c>
      <c r="L53" s="156">
        <f>L21+L52</f>
        <v>726</v>
      </c>
      <c r="M53" s="158" t="e">
        <f>N53/(L4+L14+L15+L16+L18+L20+SUM(L28:L39))</f>
        <v>#DIV/0!</v>
      </c>
      <c r="N53" s="159">
        <f>N4+N14+N15+N16+N18+N20+SUM(N28:N39)</f>
        <v>0</v>
      </c>
      <c r="O53" s="160"/>
      <c r="P53" s="161"/>
      <c r="Q53" s="160"/>
      <c r="R53" s="161"/>
      <c r="S53" s="160"/>
      <c r="T53" s="161"/>
      <c r="U53" s="160"/>
      <c r="V53" s="162"/>
      <c r="W53" s="134"/>
    </row>
    <row r="54" spans="1:23">
      <c r="B54" s="5"/>
      <c r="C54" s="42"/>
      <c r="D54" s="42"/>
      <c r="E54" s="5"/>
      <c r="F54" s="42"/>
      <c r="G54" s="195"/>
      <c r="H54" s="195"/>
      <c r="I54" s="196"/>
      <c r="J54" s="196"/>
      <c r="K54" s="196"/>
      <c r="L54" s="196"/>
      <c r="M54" s="354" t="s">
        <v>71</v>
      </c>
      <c r="N54" s="354"/>
      <c r="O54" s="195"/>
      <c r="P54" s="195"/>
      <c r="Q54" s="195"/>
      <c r="R54" s="195"/>
      <c r="S54" s="195"/>
      <c r="T54" s="195"/>
      <c r="U54" s="195"/>
      <c r="V54" s="195"/>
    </row>
    <row r="55" spans="1:23">
      <c r="E55" s="144" t="s">
        <v>70</v>
      </c>
      <c r="F55" s="145"/>
    </row>
    <row r="56" spans="1:23">
      <c r="E56" s="1" t="s">
        <v>63</v>
      </c>
      <c r="F56" s="2">
        <f>COUNTIF(F$4:F$51,E56)</f>
        <v>22</v>
      </c>
    </row>
    <row r="57" spans="1:23">
      <c r="E57" s="1" t="s">
        <v>64</v>
      </c>
      <c r="F57" s="2">
        <f>COUNTIF(F$4:F$51,E57)</f>
        <v>4</v>
      </c>
    </row>
    <row r="58" spans="1:23">
      <c r="E58" s="1" t="s">
        <v>65</v>
      </c>
      <c r="F58" s="2">
        <f>COUNTIF(F$4:F$51,E58)</f>
        <v>18</v>
      </c>
    </row>
  </sheetData>
  <mergeCells count="38">
    <mergeCell ref="M54:N54"/>
    <mergeCell ref="B40:B42"/>
    <mergeCell ref="C40:C42"/>
    <mergeCell ref="D40:D42"/>
    <mergeCell ref="B44:B51"/>
    <mergeCell ref="C44:C51"/>
    <mergeCell ref="D44:D51"/>
    <mergeCell ref="B28:B33"/>
    <mergeCell ref="C28:C33"/>
    <mergeCell ref="D28:D33"/>
    <mergeCell ref="B34:B39"/>
    <mergeCell ref="C34:C39"/>
    <mergeCell ref="D34:D39"/>
    <mergeCell ref="B14:B20"/>
    <mergeCell ref="C14:C20"/>
    <mergeCell ref="D14:D20"/>
    <mergeCell ref="B22:B27"/>
    <mergeCell ref="C22:C27"/>
    <mergeCell ref="D22:D27"/>
    <mergeCell ref="B5:B13"/>
    <mergeCell ref="C5:C13"/>
    <mergeCell ref="D5:D13"/>
    <mergeCell ref="I2:I3"/>
    <mergeCell ref="J2:J3"/>
    <mergeCell ref="B2:B3"/>
    <mergeCell ref="C2:C3"/>
    <mergeCell ref="D2:D3"/>
    <mergeCell ref="E2:E3"/>
    <mergeCell ref="F2:F3"/>
    <mergeCell ref="G2:H2"/>
    <mergeCell ref="O2:P2"/>
    <mergeCell ref="Q2:R2"/>
    <mergeCell ref="S2:T2"/>
    <mergeCell ref="U2:V2"/>
    <mergeCell ref="K2:K3"/>
    <mergeCell ref="L2:L3"/>
    <mergeCell ref="M2:M3"/>
    <mergeCell ref="N2:N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21:N2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selection activeCell="M24" sqref="M24"/>
    </sheetView>
  </sheetViews>
  <sheetFormatPr baseColWidth="10" defaultRowHeight="15"/>
  <cols>
    <col min="1" max="1" width="57.28515625" customWidth="1"/>
    <col min="2" max="2" width="14.5703125" style="359" customWidth="1"/>
    <col min="3" max="5" width="11.42578125" style="359"/>
    <col min="6" max="6" width="17.140625" style="359" bestFit="1" customWidth="1"/>
    <col min="7" max="17" width="11.42578125" style="359"/>
  </cols>
  <sheetData>
    <row r="1" spans="1:21" ht="16.5" thickBot="1">
      <c r="A1" s="336" t="s">
        <v>148</v>
      </c>
      <c r="B1" s="397"/>
      <c r="C1" s="398" t="s">
        <v>62</v>
      </c>
      <c r="D1" s="399" t="s">
        <v>57</v>
      </c>
      <c r="E1" s="400"/>
      <c r="F1" s="361" t="s">
        <v>58</v>
      </c>
      <c r="G1" s="360" t="s">
        <v>66</v>
      </c>
      <c r="H1" s="360" t="s">
        <v>59</v>
      </c>
      <c r="I1" s="360" t="s">
        <v>68</v>
      </c>
      <c r="J1" s="360" t="s">
        <v>60</v>
      </c>
      <c r="K1" s="401" t="s">
        <v>67</v>
      </c>
      <c r="L1" s="359" t="s">
        <v>149</v>
      </c>
      <c r="M1" s="359" t="s">
        <v>150</v>
      </c>
      <c r="N1" s="359" t="s">
        <v>151</v>
      </c>
      <c r="O1" s="359" t="s">
        <v>152</v>
      </c>
      <c r="P1" s="396" t="s">
        <v>153</v>
      </c>
      <c r="Q1" s="359" t="s">
        <v>154</v>
      </c>
      <c r="R1" t="s">
        <v>155</v>
      </c>
      <c r="S1" t="s">
        <v>156</v>
      </c>
      <c r="U1" t="s">
        <v>161</v>
      </c>
    </row>
    <row r="2" spans="1:21" ht="16.5" thickBot="1">
      <c r="A2" s="336"/>
      <c r="B2" s="402"/>
      <c r="C2" s="403"/>
      <c r="D2" s="404" t="s">
        <v>46</v>
      </c>
      <c r="E2" s="405" t="s">
        <v>47</v>
      </c>
      <c r="F2" s="361"/>
      <c r="G2" s="360"/>
      <c r="H2" s="360"/>
      <c r="I2" s="360"/>
      <c r="J2" s="360"/>
      <c r="K2" s="401"/>
    </row>
    <row r="3" spans="1:21">
      <c r="A3" s="202"/>
      <c r="B3" s="406"/>
      <c r="C3" s="220"/>
      <c r="D3" s="204"/>
      <c r="E3" s="168"/>
      <c r="F3" s="164"/>
      <c r="G3" s="212"/>
      <c r="H3" s="164"/>
      <c r="I3" s="212"/>
      <c r="J3" s="164"/>
      <c r="K3" s="240"/>
    </row>
    <row r="4" spans="1:21" s="297" customFormat="1">
      <c r="A4" s="288" t="s">
        <v>140</v>
      </c>
      <c r="B4" s="368" t="s">
        <v>162</v>
      </c>
      <c r="C4" s="292" t="s">
        <v>64</v>
      </c>
      <c r="D4" s="293">
        <f>SUM(L4:Q4)</f>
        <v>159</v>
      </c>
      <c r="E4" s="294">
        <f>D4</f>
        <v>159</v>
      </c>
      <c r="F4" s="295">
        <f>G4/E4</f>
        <v>0.34591194968553457</v>
      </c>
      <c r="G4" s="296">
        <f>L4+N4+P4</f>
        <v>55</v>
      </c>
      <c r="H4" s="295">
        <f>I4/U4</f>
        <v>0.5641025641025641</v>
      </c>
      <c r="I4" s="296">
        <f>SUM(P4:Q4)</f>
        <v>66</v>
      </c>
      <c r="J4" s="295">
        <f>IF(K4="-","-",K4/I4)</f>
        <v>0.46969696969696972</v>
      </c>
      <c r="K4" s="367">
        <f t="shared" ref="K4" si="0">SUM(K5:K6)</f>
        <v>31</v>
      </c>
      <c r="L4" s="297">
        <f t="shared" ref="L4:Q4" si="1">SUM(L5:L6)</f>
        <v>7</v>
      </c>
      <c r="M4" s="297">
        <f t="shared" si="1"/>
        <v>35</v>
      </c>
      <c r="N4" s="297">
        <f t="shared" si="1"/>
        <v>17</v>
      </c>
      <c r="O4" s="297">
        <f t="shared" si="1"/>
        <v>34</v>
      </c>
      <c r="P4" s="367">
        <f t="shared" si="1"/>
        <v>31</v>
      </c>
      <c r="Q4" s="297">
        <f t="shared" si="1"/>
        <v>35</v>
      </c>
      <c r="U4" s="297">
        <f>SUM(N4:Q4)</f>
        <v>117</v>
      </c>
    </row>
    <row r="5" spans="1:21">
      <c r="A5" s="205" t="s">
        <v>142</v>
      </c>
      <c r="B5" s="395" t="s">
        <v>162</v>
      </c>
      <c r="C5" s="216"/>
      <c r="D5" s="207">
        <f>SUM(L5:Q5)</f>
        <v>84</v>
      </c>
      <c r="E5" s="175">
        <f>D5</f>
        <v>84</v>
      </c>
      <c r="F5" s="171">
        <f>G5/E5</f>
        <v>0.30952380952380953</v>
      </c>
      <c r="G5" s="213">
        <f>L5+N5+P5</f>
        <v>26</v>
      </c>
      <c r="H5" s="171">
        <f>I5/U5</f>
        <v>0.48888888888888887</v>
      </c>
      <c r="I5" s="213">
        <f>SUM(P5:Q5)</f>
        <v>22</v>
      </c>
      <c r="J5" s="171"/>
      <c r="K5" s="396">
        <v>12</v>
      </c>
      <c r="L5" s="359">
        <v>6</v>
      </c>
      <c r="M5" s="359">
        <v>33</v>
      </c>
      <c r="N5" s="359">
        <v>8</v>
      </c>
      <c r="O5" s="359">
        <v>15</v>
      </c>
      <c r="P5" s="396">
        <v>12</v>
      </c>
      <c r="Q5" s="359">
        <v>10</v>
      </c>
      <c r="U5">
        <f>SUM(N5:Q5)</f>
        <v>45</v>
      </c>
    </row>
    <row r="6" spans="1:21">
      <c r="A6" s="205" t="s">
        <v>141</v>
      </c>
      <c r="B6" s="395" t="s">
        <v>162</v>
      </c>
      <c r="C6" s="216"/>
      <c r="D6" s="207">
        <f>SUM(L6:Q6)</f>
        <v>75</v>
      </c>
      <c r="E6" s="175">
        <f>D6</f>
        <v>75</v>
      </c>
      <c r="F6" s="171">
        <f t="shared" ref="F6:F21" si="2">G6/E6</f>
        <v>0.38666666666666666</v>
      </c>
      <c r="G6" s="213">
        <f t="shared" ref="G6:G20" si="3">L6+N6+P6</f>
        <v>29</v>
      </c>
      <c r="H6" s="171">
        <f>I6/U6</f>
        <v>0.61111111111111116</v>
      </c>
      <c r="I6" s="213">
        <f>SUM(P6:Q6)</f>
        <v>44</v>
      </c>
      <c r="J6" s="171"/>
      <c r="K6" s="396">
        <v>19</v>
      </c>
      <c r="L6" s="359">
        <v>1</v>
      </c>
      <c r="M6" s="359">
        <v>2</v>
      </c>
      <c r="N6" s="359">
        <v>9</v>
      </c>
      <c r="O6" s="359">
        <v>19</v>
      </c>
      <c r="P6" s="396">
        <v>19</v>
      </c>
      <c r="Q6" s="359">
        <v>25</v>
      </c>
      <c r="U6" s="297">
        <f t="shared" ref="U6:U36" si="4">SUM(N6:Q6)</f>
        <v>72</v>
      </c>
    </row>
    <row r="7" spans="1:21" s="297" customFormat="1">
      <c r="A7" s="288" t="s">
        <v>139</v>
      </c>
      <c r="B7" s="368" t="s">
        <v>163</v>
      </c>
      <c r="C7" s="292" t="s">
        <v>64</v>
      </c>
      <c r="D7" s="293">
        <f>SUM(D8:D9)</f>
        <v>165</v>
      </c>
      <c r="E7" s="294">
        <f>D7</f>
        <v>165</v>
      </c>
      <c r="F7" s="363"/>
      <c r="G7" s="364"/>
      <c r="H7" s="363"/>
      <c r="I7" s="364"/>
      <c r="J7" s="363" t="e">
        <f t="shared" ref="J7:J18" si="5">IF(K7="-","-",K7/I7)</f>
        <v>#DIV/0!</v>
      </c>
      <c r="K7" s="367"/>
      <c r="L7" s="358"/>
      <c r="M7" s="358"/>
      <c r="N7" s="358"/>
      <c r="O7" s="358"/>
      <c r="P7" s="358"/>
      <c r="Q7" s="358"/>
      <c r="U7" s="297">
        <f t="shared" si="4"/>
        <v>0</v>
      </c>
    </row>
    <row r="8" spans="1:21">
      <c r="A8" s="205" t="s">
        <v>157</v>
      </c>
      <c r="B8" s="395" t="s">
        <v>163</v>
      </c>
      <c r="C8" s="216"/>
      <c r="D8" s="207">
        <v>32</v>
      </c>
      <c r="E8" s="175">
        <v>32</v>
      </c>
      <c r="F8" s="365"/>
      <c r="G8" s="362"/>
      <c r="H8" s="365"/>
      <c r="I8" s="362"/>
      <c r="J8" s="365"/>
      <c r="K8" s="396"/>
      <c r="L8" s="407"/>
      <c r="M8" s="407"/>
      <c r="N8" s="407"/>
      <c r="O8" s="407"/>
      <c r="P8" s="407"/>
      <c r="Q8" s="407"/>
      <c r="U8" s="297">
        <f t="shared" si="4"/>
        <v>0</v>
      </c>
    </row>
    <row r="9" spans="1:21">
      <c r="A9" s="205" t="s">
        <v>158</v>
      </c>
      <c r="B9" s="395" t="s">
        <v>163</v>
      </c>
      <c r="C9" s="216"/>
      <c r="D9" s="207">
        <v>133</v>
      </c>
      <c r="E9" s="175">
        <v>133</v>
      </c>
      <c r="F9" s="365"/>
      <c r="G9" s="362"/>
      <c r="H9" s="365"/>
      <c r="I9" s="362"/>
      <c r="J9" s="365"/>
      <c r="K9" s="396"/>
      <c r="L9" s="407"/>
      <c r="M9" s="407"/>
      <c r="N9" s="407"/>
      <c r="O9" s="407"/>
      <c r="P9" s="407"/>
      <c r="Q9" s="407"/>
      <c r="U9">
        <f t="shared" si="4"/>
        <v>0</v>
      </c>
    </row>
    <row r="10" spans="1:21">
      <c r="A10" s="290" t="s">
        <v>159</v>
      </c>
      <c r="B10" s="394" t="s">
        <v>163</v>
      </c>
      <c r="C10" s="216"/>
      <c r="D10" s="207"/>
      <c r="E10" s="175"/>
      <c r="F10" s="365"/>
      <c r="G10" s="362"/>
      <c r="H10" s="365"/>
      <c r="I10" s="362"/>
      <c r="J10" s="365"/>
      <c r="K10" s="396"/>
      <c r="L10" s="407"/>
      <c r="M10" s="407"/>
      <c r="N10" s="407"/>
      <c r="O10" s="407"/>
      <c r="P10" s="407"/>
      <c r="Q10" s="407"/>
      <c r="U10" s="297">
        <f t="shared" si="4"/>
        <v>0</v>
      </c>
    </row>
    <row r="11" spans="1:21">
      <c r="A11" s="290" t="s">
        <v>160</v>
      </c>
      <c r="B11" s="394" t="s">
        <v>163</v>
      </c>
      <c r="C11" s="216"/>
      <c r="D11" s="207"/>
      <c r="E11" s="175"/>
      <c r="F11" s="365"/>
      <c r="G11" s="362"/>
      <c r="H11" s="365"/>
      <c r="I11" s="362"/>
      <c r="J11" s="365"/>
      <c r="K11" s="396"/>
      <c r="L11" s="407"/>
      <c r="M11" s="407"/>
      <c r="N11" s="407"/>
      <c r="O11" s="407"/>
      <c r="P11" s="407"/>
      <c r="Q11" s="407"/>
      <c r="U11">
        <f t="shared" si="4"/>
        <v>0</v>
      </c>
    </row>
    <row r="12" spans="1:21" s="297" customFormat="1">
      <c r="A12" s="288" t="s">
        <v>83</v>
      </c>
      <c r="B12" s="368" t="s">
        <v>162</v>
      </c>
      <c r="C12" s="292" t="s">
        <v>64</v>
      </c>
      <c r="D12" s="293">
        <f>SUM(L12:Q12)</f>
        <v>773</v>
      </c>
      <c r="E12" s="294">
        <f>D12</f>
        <v>773</v>
      </c>
      <c r="F12" s="295">
        <f t="shared" si="2"/>
        <v>0.39327296248382926</v>
      </c>
      <c r="G12" s="296">
        <f>L12+N12+P12</f>
        <v>304</v>
      </c>
      <c r="H12" s="295">
        <f>I12/U12</f>
        <v>0.48684210526315791</v>
      </c>
      <c r="I12" s="296">
        <f>SUM(P12:Q12)</f>
        <v>333</v>
      </c>
      <c r="J12" s="295">
        <f t="shared" si="5"/>
        <v>0.57657657657657657</v>
      </c>
      <c r="K12" s="367">
        <f t="shared" ref="K12" si="6">SUM(K13:K14)</f>
        <v>192</v>
      </c>
      <c r="L12" s="297">
        <f t="shared" ref="L12:Q12" si="7">SUM(L13:L14)</f>
        <v>5</v>
      </c>
      <c r="M12" s="297">
        <f t="shared" si="7"/>
        <v>84</v>
      </c>
      <c r="N12" s="297">
        <f t="shared" si="7"/>
        <v>107</v>
      </c>
      <c r="O12" s="297">
        <f t="shared" si="7"/>
        <v>244</v>
      </c>
      <c r="P12" s="367">
        <f t="shared" si="7"/>
        <v>192</v>
      </c>
      <c r="Q12" s="297">
        <f t="shared" si="7"/>
        <v>141</v>
      </c>
      <c r="U12" s="297">
        <f t="shared" si="4"/>
        <v>684</v>
      </c>
    </row>
    <row r="13" spans="1:21">
      <c r="A13" s="205" t="s">
        <v>143</v>
      </c>
      <c r="B13" s="395" t="s">
        <v>162</v>
      </c>
      <c r="C13" s="216"/>
      <c r="D13" s="207">
        <f>SUM(L13:Q13)</f>
        <v>92</v>
      </c>
      <c r="E13" s="175">
        <f>D13</f>
        <v>92</v>
      </c>
      <c r="F13" s="171">
        <f t="shared" si="2"/>
        <v>0.36956521739130432</v>
      </c>
      <c r="G13" s="213">
        <f t="shared" si="3"/>
        <v>34</v>
      </c>
      <c r="H13" s="171">
        <f>I13/U13</f>
        <v>0.55555555555555558</v>
      </c>
      <c r="I13" s="213">
        <f>SUM(P13:Q13)</f>
        <v>50</v>
      </c>
      <c r="J13" s="171"/>
      <c r="K13" s="396">
        <v>20</v>
      </c>
      <c r="L13" s="359">
        <v>0</v>
      </c>
      <c r="M13" s="359">
        <v>2</v>
      </c>
      <c r="N13" s="359">
        <v>14</v>
      </c>
      <c r="O13" s="359">
        <v>26</v>
      </c>
      <c r="P13" s="396">
        <v>20</v>
      </c>
      <c r="Q13" s="359">
        <v>30</v>
      </c>
      <c r="U13">
        <f t="shared" si="4"/>
        <v>90</v>
      </c>
    </row>
    <row r="14" spans="1:21">
      <c r="A14" s="205" t="s">
        <v>144</v>
      </c>
      <c r="B14" s="395" t="s">
        <v>162</v>
      </c>
      <c r="C14" s="216"/>
      <c r="D14" s="207">
        <f>SUM(L14:Q14)</f>
        <v>681</v>
      </c>
      <c r="E14" s="175">
        <f t="shared" ref="E14:E20" si="8">D14</f>
        <v>681</v>
      </c>
      <c r="F14" s="171">
        <f t="shared" si="2"/>
        <v>0.3964757709251101</v>
      </c>
      <c r="G14" s="213">
        <f t="shared" si="3"/>
        <v>270</v>
      </c>
      <c r="H14" s="171">
        <f t="shared" ref="H14:H20" si="9">I14/U14</f>
        <v>0.47643097643097643</v>
      </c>
      <c r="I14" s="213">
        <f t="shared" ref="I14:I20" si="10">SUM(P14:Q14)</f>
        <v>283</v>
      </c>
      <c r="J14" s="171"/>
      <c r="K14" s="396">
        <v>172</v>
      </c>
      <c r="L14" s="359">
        <v>5</v>
      </c>
      <c r="M14" s="359">
        <v>82</v>
      </c>
      <c r="N14" s="359">
        <v>93</v>
      </c>
      <c r="O14" s="359">
        <v>218</v>
      </c>
      <c r="P14" s="396">
        <v>172</v>
      </c>
      <c r="Q14" s="359">
        <v>111</v>
      </c>
      <c r="U14" s="297">
        <f t="shared" si="4"/>
        <v>594</v>
      </c>
    </row>
    <row r="15" spans="1:21" s="297" customFormat="1">
      <c r="A15" s="288" t="s">
        <v>54</v>
      </c>
      <c r="B15" s="368" t="s">
        <v>162</v>
      </c>
      <c r="C15" s="292" t="s">
        <v>64</v>
      </c>
      <c r="D15" s="293">
        <f t="shared" ref="D15:D20" si="11">SUM(L15:Q15)</f>
        <v>629</v>
      </c>
      <c r="E15" s="294">
        <f t="shared" si="8"/>
        <v>629</v>
      </c>
      <c r="F15" s="295">
        <f t="shared" si="2"/>
        <v>0.47058823529411764</v>
      </c>
      <c r="G15" s="296">
        <f t="shared" si="3"/>
        <v>296</v>
      </c>
      <c r="H15" s="295">
        <f t="shared" si="9"/>
        <v>0.51490066225165565</v>
      </c>
      <c r="I15" s="296">
        <f t="shared" si="10"/>
        <v>311</v>
      </c>
      <c r="J15" s="295">
        <f>IF(K15="-","-",K15/I15)</f>
        <v>0.58520900321543412</v>
      </c>
      <c r="K15" s="367">
        <f t="shared" ref="K15" si="12">SUM(K16:K17)</f>
        <v>182</v>
      </c>
      <c r="L15" s="297">
        <f>SUM(L16:L17)</f>
        <v>9</v>
      </c>
      <c r="M15" s="297">
        <f>SUM(M16:M17)</f>
        <v>16</v>
      </c>
      <c r="N15" s="297">
        <f t="shared" ref="N15:Q15" si="13">SUM(N16:N17)</f>
        <v>105</v>
      </c>
      <c r="O15" s="297">
        <f t="shared" si="13"/>
        <v>188</v>
      </c>
      <c r="P15" s="367">
        <f t="shared" si="13"/>
        <v>182</v>
      </c>
      <c r="Q15" s="297">
        <f t="shared" si="13"/>
        <v>129</v>
      </c>
      <c r="U15" s="297">
        <f t="shared" si="4"/>
        <v>604</v>
      </c>
    </row>
    <row r="16" spans="1:21">
      <c r="A16" s="205" t="s">
        <v>143</v>
      </c>
      <c r="B16" s="408" t="s">
        <v>162</v>
      </c>
      <c r="C16" s="409"/>
      <c r="D16" s="207">
        <f t="shared" si="11"/>
        <v>114</v>
      </c>
      <c r="E16" s="175">
        <f t="shared" si="8"/>
        <v>114</v>
      </c>
      <c r="F16" s="171">
        <f t="shared" si="2"/>
        <v>0.39473684210526316</v>
      </c>
      <c r="G16" s="213">
        <f>L16+N16+P16</f>
        <v>45</v>
      </c>
      <c r="H16" s="171">
        <f t="shared" si="9"/>
        <v>0.57843137254901966</v>
      </c>
      <c r="I16" s="213">
        <f t="shared" si="10"/>
        <v>59</v>
      </c>
      <c r="J16" s="285"/>
      <c r="K16" s="396">
        <v>32</v>
      </c>
      <c r="L16" s="359">
        <v>1</v>
      </c>
      <c r="M16" s="359">
        <v>11</v>
      </c>
      <c r="N16" s="359">
        <v>12</v>
      </c>
      <c r="O16" s="359">
        <v>31</v>
      </c>
      <c r="P16" s="396">
        <v>32</v>
      </c>
      <c r="Q16" s="359">
        <v>27</v>
      </c>
      <c r="U16" s="297">
        <f t="shared" si="4"/>
        <v>102</v>
      </c>
    </row>
    <row r="17" spans="1:21">
      <c r="A17" s="205" t="s">
        <v>144</v>
      </c>
      <c r="B17" s="408" t="s">
        <v>162</v>
      </c>
      <c r="C17" s="409"/>
      <c r="D17" s="207">
        <f>SUM(L17:Q17)</f>
        <v>515</v>
      </c>
      <c r="E17" s="175">
        <f t="shared" si="8"/>
        <v>515</v>
      </c>
      <c r="F17" s="171">
        <f t="shared" si="2"/>
        <v>0.48737864077669901</v>
      </c>
      <c r="G17" s="213">
        <f t="shared" si="3"/>
        <v>251</v>
      </c>
      <c r="H17" s="171">
        <f t="shared" si="9"/>
        <v>0.50199203187250996</v>
      </c>
      <c r="I17" s="213">
        <f t="shared" si="10"/>
        <v>252</v>
      </c>
      <c r="J17" s="285"/>
      <c r="K17" s="396">
        <v>150</v>
      </c>
      <c r="L17" s="359">
        <v>8</v>
      </c>
      <c r="M17" s="359">
        <v>5</v>
      </c>
      <c r="N17" s="359">
        <v>93</v>
      </c>
      <c r="O17" s="359">
        <v>157</v>
      </c>
      <c r="P17" s="396">
        <v>150</v>
      </c>
      <c r="Q17" s="359">
        <v>102</v>
      </c>
      <c r="R17">
        <v>11</v>
      </c>
      <c r="S17">
        <v>22</v>
      </c>
      <c r="U17">
        <f t="shared" si="4"/>
        <v>502</v>
      </c>
    </row>
    <row r="18" spans="1:21" s="297" customFormat="1" ht="15.75" thickBot="1">
      <c r="A18" s="288" t="s">
        <v>32</v>
      </c>
      <c r="B18" s="369" t="s">
        <v>162</v>
      </c>
      <c r="C18" s="298" t="s">
        <v>65</v>
      </c>
      <c r="D18" s="293">
        <f t="shared" si="11"/>
        <v>44</v>
      </c>
      <c r="E18" s="294">
        <f t="shared" si="8"/>
        <v>44</v>
      </c>
      <c r="F18" s="295">
        <f t="shared" si="2"/>
        <v>0.63636363636363635</v>
      </c>
      <c r="G18" s="296">
        <f t="shared" si="3"/>
        <v>28</v>
      </c>
      <c r="H18" s="295">
        <f t="shared" si="9"/>
        <v>0.47058823529411764</v>
      </c>
      <c r="I18" s="296">
        <f t="shared" si="10"/>
        <v>16</v>
      </c>
      <c r="J18" s="299">
        <f t="shared" si="5"/>
        <v>0.9375</v>
      </c>
      <c r="K18" s="367">
        <f t="shared" ref="K18" si="14">SUM(K19:K20)</f>
        <v>15</v>
      </c>
      <c r="L18" s="297">
        <f>SUM(L19:L20)</f>
        <v>0</v>
      </c>
      <c r="M18" s="297">
        <f>SUM(M19:M20)</f>
        <v>10</v>
      </c>
      <c r="N18" s="297">
        <f t="shared" ref="N18:Q18" si="15">SUM(N19:N20)</f>
        <v>13</v>
      </c>
      <c r="O18" s="297">
        <f t="shared" si="15"/>
        <v>5</v>
      </c>
      <c r="P18" s="367">
        <f t="shared" si="15"/>
        <v>15</v>
      </c>
      <c r="Q18" s="297">
        <f t="shared" si="15"/>
        <v>1</v>
      </c>
      <c r="U18" s="297">
        <f t="shared" si="4"/>
        <v>34</v>
      </c>
    </row>
    <row r="19" spans="1:21">
      <c r="A19" s="287" t="s">
        <v>145</v>
      </c>
      <c r="B19" s="371" t="s">
        <v>162</v>
      </c>
      <c r="C19" s="411"/>
      <c r="D19" s="207">
        <f t="shared" si="11"/>
        <v>40</v>
      </c>
      <c r="E19" s="175">
        <f t="shared" si="8"/>
        <v>40</v>
      </c>
      <c r="F19" s="171">
        <f t="shared" si="2"/>
        <v>0.6</v>
      </c>
      <c r="G19" s="213">
        <f>L19+N19+P19</f>
        <v>24</v>
      </c>
      <c r="H19" s="171">
        <f t="shared" si="9"/>
        <v>0.5</v>
      </c>
      <c r="I19" s="213">
        <f t="shared" si="10"/>
        <v>15</v>
      </c>
      <c r="J19" s="286"/>
      <c r="K19" s="396">
        <v>14</v>
      </c>
      <c r="L19" s="359">
        <v>0</v>
      </c>
      <c r="M19" s="359">
        <v>10</v>
      </c>
      <c r="N19" s="359">
        <v>10</v>
      </c>
      <c r="O19" s="359">
        <v>5</v>
      </c>
      <c r="P19" s="396">
        <v>14</v>
      </c>
      <c r="Q19" s="359">
        <v>1</v>
      </c>
      <c r="U19">
        <f t="shared" si="4"/>
        <v>30</v>
      </c>
    </row>
    <row r="20" spans="1:21">
      <c r="A20" s="287" t="s">
        <v>146</v>
      </c>
      <c r="B20" s="371" t="s">
        <v>162</v>
      </c>
      <c r="C20" s="411"/>
      <c r="D20" s="207">
        <f t="shared" si="11"/>
        <v>4</v>
      </c>
      <c r="E20" s="175">
        <f t="shared" si="8"/>
        <v>4</v>
      </c>
      <c r="F20" s="171">
        <f t="shared" si="2"/>
        <v>1</v>
      </c>
      <c r="G20" s="213">
        <f t="shared" si="3"/>
        <v>4</v>
      </c>
      <c r="H20" s="171">
        <f t="shared" si="9"/>
        <v>0.25</v>
      </c>
      <c r="I20" s="213">
        <f t="shared" si="10"/>
        <v>1</v>
      </c>
      <c r="J20" s="286"/>
      <c r="K20" s="396">
        <v>1</v>
      </c>
      <c r="L20" s="359">
        <v>0</v>
      </c>
      <c r="M20" s="359">
        <v>0</v>
      </c>
      <c r="N20" s="359">
        <v>3</v>
      </c>
      <c r="O20" s="359">
        <v>0</v>
      </c>
      <c r="P20" s="396">
        <v>1</v>
      </c>
      <c r="Q20" s="359">
        <v>0</v>
      </c>
      <c r="U20" s="297">
        <f t="shared" si="4"/>
        <v>4</v>
      </c>
    </row>
    <row r="21" spans="1:21" s="374" customFormat="1" ht="33.75">
      <c r="A21" s="372"/>
      <c r="B21" s="412"/>
      <c r="C21" s="412"/>
      <c r="D21" s="412"/>
      <c r="E21" s="392">
        <f>E4+E12+E15+E18</f>
        <v>1605</v>
      </c>
      <c r="F21" s="375">
        <f>G21/E21</f>
        <v>0.42554517133956388</v>
      </c>
      <c r="G21" s="393">
        <f>G4+G12+G15+G18</f>
        <v>683</v>
      </c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U21" s="374">
        <f t="shared" si="4"/>
        <v>0</v>
      </c>
    </row>
    <row r="22" spans="1:21" ht="15.75" thickBot="1">
      <c r="U22" s="297">
        <f t="shared" si="4"/>
        <v>0</v>
      </c>
    </row>
    <row r="23" spans="1:21" ht="16.5" thickBot="1">
      <c r="A23" s="336" t="s">
        <v>147</v>
      </c>
      <c r="B23" s="397"/>
      <c r="C23" s="398" t="s">
        <v>62</v>
      </c>
      <c r="D23" s="399" t="s">
        <v>57</v>
      </c>
      <c r="E23" s="400"/>
      <c r="F23" s="361" t="s">
        <v>58</v>
      </c>
      <c r="G23" s="360" t="s">
        <v>66</v>
      </c>
      <c r="H23" s="360" t="s">
        <v>59</v>
      </c>
      <c r="I23" s="360" t="s">
        <v>68</v>
      </c>
      <c r="J23" s="360" t="s">
        <v>60</v>
      </c>
      <c r="K23" s="401" t="s">
        <v>67</v>
      </c>
      <c r="U23">
        <f t="shared" si="4"/>
        <v>0</v>
      </c>
    </row>
    <row r="24" spans="1:21" ht="16.5" thickBot="1">
      <c r="A24" s="336"/>
      <c r="B24" s="402"/>
      <c r="C24" s="403"/>
      <c r="D24" s="404" t="s">
        <v>46</v>
      </c>
      <c r="E24" s="405" t="s">
        <v>47</v>
      </c>
      <c r="F24" s="361"/>
      <c r="G24" s="360"/>
      <c r="H24" s="360"/>
      <c r="I24" s="360"/>
      <c r="J24" s="360"/>
      <c r="K24" s="401"/>
      <c r="U24" s="297">
        <f t="shared" si="4"/>
        <v>0</v>
      </c>
    </row>
    <row r="25" spans="1:21">
      <c r="A25" s="202"/>
      <c r="B25" s="406"/>
      <c r="C25" s="220"/>
      <c r="D25" s="204"/>
      <c r="E25" s="168"/>
      <c r="F25" s="164"/>
      <c r="G25" s="212"/>
      <c r="H25" s="164"/>
      <c r="I25" s="212"/>
      <c r="J25" s="164"/>
      <c r="K25" s="240"/>
      <c r="U25">
        <f t="shared" si="4"/>
        <v>0</v>
      </c>
    </row>
    <row r="26" spans="1:21" s="297" customFormat="1">
      <c r="A26" s="288" t="s">
        <v>140</v>
      </c>
      <c r="B26" s="368" t="s">
        <v>162</v>
      </c>
      <c r="C26" s="292" t="s">
        <v>64</v>
      </c>
      <c r="D26" s="293">
        <f>SUM(L26:Q26)</f>
        <v>118</v>
      </c>
      <c r="E26" s="294">
        <f>D26</f>
        <v>118</v>
      </c>
      <c r="F26" s="295">
        <f>G26/E26</f>
        <v>0.39830508474576271</v>
      </c>
      <c r="G26" s="296">
        <f>L26+N26+P26</f>
        <v>47</v>
      </c>
      <c r="H26" s="295"/>
      <c r="I26" s="296">
        <f>SUM(P26:Q26)</f>
        <v>53</v>
      </c>
      <c r="J26" s="295">
        <f>IF(K26="-","-",K26/I26)</f>
        <v>0.54716981132075471</v>
      </c>
      <c r="K26" s="367">
        <f t="shared" ref="K26" si="16">SUM(K27:K28)</f>
        <v>29</v>
      </c>
      <c r="L26" s="297">
        <f>SUM(L27:L28)</f>
        <v>5</v>
      </c>
      <c r="M26" s="297">
        <f>SUM(M27:M28)</f>
        <v>10</v>
      </c>
      <c r="N26" s="297">
        <f t="shared" ref="N26:Q26" si="17">SUM(N27:N28)</f>
        <v>13</v>
      </c>
      <c r="O26" s="297">
        <f t="shared" si="17"/>
        <v>37</v>
      </c>
      <c r="P26" s="367">
        <f t="shared" si="17"/>
        <v>29</v>
      </c>
      <c r="Q26" s="297">
        <f t="shared" si="17"/>
        <v>24</v>
      </c>
      <c r="U26" s="297">
        <f t="shared" si="4"/>
        <v>103</v>
      </c>
    </row>
    <row r="27" spans="1:21">
      <c r="A27" s="205" t="s">
        <v>142</v>
      </c>
      <c r="B27" s="395" t="s">
        <v>162</v>
      </c>
      <c r="C27" s="216"/>
      <c r="D27" s="207">
        <f>SUM(L27:Q27)</f>
        <v>56</v>
      </c>
      <c r="E27" s="175">
        <f>D27</f>
        <v>56</v>
      </c>
      <c r="F27" s="171">
        <f>G27/E27</f>
        <v>0.39285714285714285</v>
      </c>
      <c r="G27" s="213">
        <f>L27+N27+P27</f>
        <v>22</v>
      </c>
      <c r="H27" s="171"/>
      <c r="I27" s="213">
        <f>SUM(P27:Q27)</f>
        <v>30</v>
      </c>
      <c r="J27" s="171"/>
      <c r="K27" s="396">
        <v>16</v>
      </c>
      <c r="L27" s="359">
        <v>2</v>
      </c>
      <c r="M27" s="359">
        <v>4</v>
      </c>
      <c r="N27" s="359">
        <v>4</v>
      </c>
      <c r="O27" s="359">
        <v>16</v>
      </c>
      <c r="P27" s="396">
        <v>16</v>
      </c>
      <c r="Q27" s="359">
        <v>14</v>
      </c>
      <c r="U27">
        <f t="shared" si="4"/>
        <v>50</v>
      </c>
    </row>
    <row r="28" spans="1:21">
      <c r="A28" s="205" t="s">
        <v>141</v>
      </c>
      <c r="B28" s="395" t="s">
        <v>162</v>
      </c>
      <c r="C28" s="216"/>
      <c r="D28" s="207">
        <f>SUM(L28:Q28)</f>
        <v>62</v>
      </c>
      <c r="E28" s="175">
        <f>D28</f>
        <v>62</v>
      </c>
      <c r="F28" s="171">
        <f>G28/E28</f>
        <v>0.40322580645161288</v>
      </c>
      <c r="G28" s="213">
        <f>L28+N28+P28</f>
        <v>25</v>
      </c>
      <c r="H28" s="171"/>
      <c r="I28" s="213">
        <f>SUM(P28:Q28)</f>
        <v>23</v>
      </c>
      <c r="J28" s="171"/>
      <c r="K28" s="396">
        <v>13</v>
      </c>
      <c r="L28" s="359">
        <v>3</v>
      </c>
      <c r="M28" s="359">
        <v>6</v>
      </c>
      <c r="N28" s="359">
        <v>9</v>
      </c>
      <c r="O28" s="359">
        <v>21</v>
      </c>
      <c r="P28" s="396">
        <v>13</v>
      </c>
      <c r="Q28" s="359">
        <v>10</v>
      </c>
      <c r="U28" s="297">
        <f t="shared" si="4"/>
        <v>53</v>
      </c>
    </row>
    <row r="29" spans="1:21" s="297" customFormat="1">
      <c r="A29" s="288" t="s">
        <v>139</v>
      </c>
      <c r="B29" s="368" t="s">
        <v>163</v>
      </c>
      <c r="C29" s="292" t="s">
        <v>64</v>
      </c>
      <c r="D29" s="293">
        <f>SUM(D30:D33)</f>
        <v>41</v>
      </c>
      <c r="E29" s="294">
        <f>D29</f>
        <v>41</v>
      </c>
      <c r="F29" s="363"/>
      <c r="G29" s="364"/>
      <c r="H29" s="363"/>
      <c r="I29" s="364"/>
      <c r="J29" s="363" t="e">
        <f t="shared" ref="J29" si="18">IF(K29="-","-",K29/I29)</f>
        <v>#DIV/0!</v>
      </c>
      <c r="K29" s="367"/>
      <c r="L29" s="358"/>
      <c r="M29" s="358"/>
      <c r="N29" s="358"/>
      <c r="O29" s="358"/>
      <c r="P29" s="358"/>
      <c r="Q29" s="358"/>
      <c r="U29" s="297">
        <f t="shared" si="4"/>
        <v>0</v>
      </c>
    </row>
    <row r="30" spans="1:21">
      <c r="A30" s="205" t="s">
        <v>158</v>
      </c>
      <c r="B30" s="395" t="s">
        <v>163</v>
      </c>
      <c r="C30" s="216"/>
      <c r="D30" s="207">
        <v>1</v>
      </c>
      <c r="E30" s="175">
        <v>1</v>
      </c>
      <c r="F30" s="365"/>
      <c r="G30" s="362"/>
      <c r="H30" s="365"/>
      <c r="I30" s="362"/>
      <c r="J30" s="365"/>
      <c r="K30" s="396"/>
      <c r="L30" s="407"/>
      <c r="M30" s="407"/>
      <c r="N30" s="407"/>
      <c r="O30" s="407"/>
      <c r="P30" s="407"/>
      <c r="Q30" s="407"/>
      <c r="U30" s="297">
        <f t="shared" si="4"/>
        <v>0</v>
      </c>
    </row>
    <row r="31" spans="1:21">
      <c r="A31" s="205" t="s">
        <v>157</v>
      </c>
      <c r="B31" s="395" t="s">
        <v>163</v>
      </c>
      <c r="C31" s="216"/>
      <c r="D31" s="207">
        <v>0</v>
      </c>
      <c r="E31" s="175">
        <v>0</v>
      </c>
      <c r="F31" s="365"/>
      <c r="G31" s="362"/>
      <c r="H31" s="365"/>
      <c r="I31" s="362"/>
      <c r="J31" s="365"/>
      <c r="K31" s="396"/>
      <c r="L31" s="407"/>
      <c r="M31" s="407"/>
      <c r="N31" s="407"/>
      <c r="O31" s="407"/>
      <c r="P31" s="407"/>
      <c r="Q31" s="407"/>
      <c r="U31">
        <f t="shared" si="4"/>
        <v>0</v>
      </c>
    </row>
    <row r="32" spans="1:21">
      <c r="A32" s="205" t="s">
        <v>159</v>
      </c>
      <c r="B32" s="395" t="s">
        <v>163</v>
      </c>
      <c r="C32" s="216"/>
      <c r="D32" s="207">
        <v>17</v>
      </c>
      <c r="E32" s="175">
        <v>17</v>
      </c>
      <c r="F32" s="365"/>
      <c r="G32" s="362"/>
      <c r="H32" s="365"/>
      <c r="I32" s="362"/>
      <c r="J32" s="365"/>
      <c r="K32" s="396"/>
      <c r="L32" s="407"/>
      <c r="M32" s="407"/>
      <c r="N32" s="407"/>
      <c r="O32" s="407"/>
      <c r="P32" s="407"/>
      <c r="Q32" s="407"/>
      <c r="U32" s="297">
        <f t="shared" si="4"/>
        <v>0</v>
      </c>
    </row>
    <row r="33" spans="1:21">
      <c r="A33" s="205" t="s">
        <v>160</v>
      </c>
      <c r="B33" s="395" t="s">
        <v>163</v>
      </c>
      <c r="C33" s="216"/>
      <c r="D33" s="207">
        <v>23</v>
      </c>
      <c r="E33" s="175">
        <v>23</v>
      </c>
      <c r="F33" s="365"/>
      <c r="G33" s="362"/>
      <c r="H33" s="365"/>
      <c r="I33" s="362"/>
      <c r="J33" s="365"/>
      <c r="K33" s="396"/>
      <c r="L33" s="407"/>
      <c r="M33" s="407"/>
      <c r="N33" s="407"/>
      <c r="O33" s="407"/>
      <c r="P33" s="407"/>
      <c r="Q33" s="407"/>
      <c r="U33">
        <f t="shared" si="4"/>
        <v>0</v>
      </c>
    </row>
    <row r="34" spans="1:21" s="297" customFormat="1">
      <c r="A34" s="288" t="s">
        <v>83</v>
      </c>
      <c r="B34" s="368" t="s">
        <v>162</v>
      </c>
      <c r="C34" s="292" t="s">
        <v>64</v>
      </c>
      <c r="D34" s="293">
        <f>SUM(L34:Q34)</f>
        <v>590</v>
      </c>
      <c r="E34" s="294">
        <f>D34</f>
        <v>590</v>
      </c>
      <c r="F34" s="295">
        <f>G34/E34</f>
        <v>0.4101694915254237</v>
      </c>
      <c r="G34" s="296">
        <f>L34+N34+P34</f>
        <v>242</v>
      </c>
      <c r="H34" s="295"/>
      <c r="I34" s="296">
        <f>SUM(P34:Q34)</f>
        <v>217</v>
      </c>
      <c r="J34" s="295">
        <f t="shared" ref="J34" si="19">IF(K34="-","-",K34/I34)</f>
        <v>0.52995391705069128</v>
      </c>
      <c r="K34" s="367">
        <f t="shared" ref="K34" si="20">SUM(K35:K36)</f>
        <v>115</v>
      </c>
      <c r="L34" s="297">
        <f>SUM(L35:L36)</f>
        <v>4</v>
      </c>
      <c r="M34" s="297">
        <f>SUM(M35:M36)</f>
        <v>26</v>
      </c>
      <c r="N34" s="297">
        <f t="shared" ref="N34:Q34" si="21">SUM(N35:N36)</f>
        <v>123</v>
      </c>
      <c r="O34" s="297">
        <f t="shared" si="21"/>
        <v>220</v>
      </c>
      <c r="P34" s="367">
        <f t="shared" si="21"/>
        <v>115</v>
      </c>
      <c r="Q34" s="297">
        <f t="shared" si="21"/>
        <v>102</v>
      </c>
      <c r="U34" s="297">
        <f t="shared" si="4"/>
        <v>560</v>
      </c>
    </row>
    <row r="35" spans="1:21">
      <c r="A35" s="205" t="s">
        <v>143</v>
      </c>
      <c r="B35" s="395" t="s">
        <v>162</v>
      </c>
      <c r="C35" s="216"/>
      <c r="D35" s="207">
        <f>SUM(L35:Q35)</f>
        <v>423</v>
      </c>
      <c r="E35" s="175">
        <f>D35</f>
        <v>423</v>
      </c>
      <c r="F35" s="171">
        <f>G35/E35</f>
        <v>0.42316784869976359</v>
      </c>
      <c r="G35" s="213">
        <f>L35+N35+P35</f>
        <v>179</v>
      </c>
      <c r="H35" s="171"/>
      <c r="I35" s="213">
        <f>SUM(P35:Q35)</f>
        <v>149</v>
      </c>
      <c r="J35" s="171"/>
      <c r="K35" s="396">
        <v>80</v>
      </c>
      <c r="L35" s="359">
        <v>3</v>
      </c>
      <c r="M35" s="359">
        <v>21</v>
      </c>
      <c r="N35" s="359">
        <v>96</v>
      </c>
      <c r="O35" s="359">
        <v>154</v>
      </c>
      <c r="P35" s="396">
        <v>80</v>
      </c>
      <c r="Q35" s="359">
        <v>69</v>
      </c>
      <c r="U35">
        <f t="shared" si="4"/>
        <v>399</v>
      </c>
    </row>
    <row r="36" spans="1:21">
      <c r="A36" s="205" t="s">
        <v>144</v>
      </c>
      <c r="B36" s="395" t="s">
        <v>162</v>
      </c>
      <c r="C36" s="216"/>
      <c r="D36" s="207">
        <f>SUM(L36:Q36)</f>
        <v>167</v>
      </c>
      <c r="E36" s="175">
        <f>D36</f>
        <v>167</v>
      </c>
      <c r="F36" s="171">
        <f>G36/E36</f>
        <v>0.3772455089820359</v>
      </c>
      <c r="G36" s="213">
        <f>L36+N36+P36</f>
        <v>63</v>
      </c>
      <c r="H36" s="171"/>
      <c r="I36" s="213">
        <f>SUM(P36:Q36)</f>
        <v>68</v>
      </c>
      <c r="J36" s="171"/>
      <c r="K36" s="396">
        <v>35</v>
      </c>
      <c r="L36" s="359">
        <v>1</v>
      </c>
      <c r="M36" s="359">
        <v>5</v>
      </c>
      <c r="N36" s="359">
        <v>27</v>
      </c>
      <c r="O36" s="359">
        <v>66</v>
      </c>
      <c r="P36" s="396">
        <v>35</v>
      </c>
      <c r="Q36" s="359">
        <v>33</v>
      </c>
      <c r="U36" s="297">
        <f t="shared" si="4"/>
        <v>161</v>
      </c>
    </row>
    <row r="37" spans="1:21">
      <c r="A37" s="289" t="s">
        <v>54</v>
      </c>
      <c r="B37" s="394" t="s">
        <v>162</v>
      </c>
      <c r="C37" s="216" t="s">
        <v>64</v>
      </c>
      <c r="D37" s="377"/>
      <c r="E37" s="378"/>
      <c r="F37" s="365"/>
      <c r="G37" s="362"/>
      <c r="H37" s="365"/>
      <c r="I37" s="362"/>
      <c r="J37" s="365" t="str">
        <f t="shared" ref="J37" si="22">IF(K37="-","-",K37/I37)</f>
        <v>-</v>
      </c>
      <c r="K37" s="366" t="s">
        <v>22</v>
      </c>
      <c r="L37" s="407"/>
      <c r="M37" s="407"/>
      <c r="N37" s="407"/>
      <c r="O37" s="407"/>
      <c r="P37" s="407"/>
      <c r="Q37" s="407"/>
    </row>
    <row r="38" spans="1:21">
      <c r="A38" s="290" t="s">
        <v>143</v>
      </c>
      <c r="B38" s="370" t="s">
        <v>162</v>
      </c>
      <c r="C38" s="409"/>
      <c r="D38" s="379"/>
      <c r="E38" s="380"/>
      <c r="F38" s="381"/>
      <c r="G38" s="382"/>
      <c r="H38" s="381"/>
      <c r="I38" s="382"/>
      <c r="J38" s="381"/>
      <c r="K38" s="383"/>
      <c r="L38" s="407"/>
      <c r="M38" s="407"/>
      <c r="N38" s="407"/>
      <c r="O38" s="407"/>
      <c r="P38" s="407"/>
      <c r="Q38" s="407"/>
    </row>
    <row r="39" spans="1:21">
      <c r="A39" s="290" t="s">
        <v>144</v>
      </c>
      <c r="B39" s="370" t="s">
        <v>162</v>
      </c>
      <c r="C39" s="409"/>
      <c r="D39" s="379"/>
      <c r="E39" s="380"/>
      <c r="F39" s="381"/>
      <c r="G39" s="382"/>
      <c r="H39" s="381"/>
      <c r="I39" s="382"/>
      <c r="J39" s="381"/>
      <c r="K39" s="383"/>
      <c r="L39" s="407"/>
      <c r="M39" s="407"/>
      <c r="N39" s="407"/>
      <c r="O39" s="407"/>
      <c r="P39" s="407"/>
      <c r="Q39" s="407"/>
    </row>
    <row r="40" spans="1:21" ht="15.75" thickBot="1">
      <c r="A40" s="289" t="s">
        <v>32</v>
      </c>
      <c r="B40" s="370" t="s">
        <v>162</v>
      </c>
      <c r="C40" s="410" t="s">
        <v>65</v>
      </c>
      <c r="D40" s="384"/>
      <c r="E40" s="385"/>
      <c r="F40" s="386"/>
      <c r="G40" s="387"/>
      <c r="H40" s="386"/>
      <c r="I40" s="387"/>
      <c r="J40" s="386" t="str">
        <f t="shared" ref="J40" si="23">IF(K40="-","-",K40/I40)</f>
        <v>-</v>
      </c>
      <c r="K40" s="388" t="s">
        <v>22</v>
      </c>
      <c r="L40" s="407"/>
      <c r="M40" s="407"/>
      <c r="N40" s="407"/>
      <c r="O40" s="407"/>
      <c r="P40" s="407"/>
      <c r="Q40" s="407"/>
    </row>
    <row r="41" spans="1:21">
      <c r="A41" s="291" t="s">
        <v>145</v>
      </c>
      <c r="B41" s="291" t="s">
        <v>162</v>
      </c>
      <c r="C41" s="411"/>
      <c r="D41" s="389"/>
      <c r="E41" s="389"/>
      <c r="F41" s="390"/>
      <c r="G41" s="391"/>
      <c r="H41" s="390"/>
      <c r="I41" s="391"/>
      <c r="J41" s="390"/>
      <c r="K41" s="391"/>
      <c r="L41" s="407"/>
      <c r="M41" s="407"/>
      <c r="N41" s="407"/>
      <c r="O41" s="407"/>
      <c r="P41" s="407"/>
      <c r="Q41" s="407"/>
    </row>
    <row r="42" spans="1:21">
      <c r="A42" s="291" t="s">
        <v>146</v>
      </c>
      <c r="B42" s="291" t="s">
        <v>162</v>
      </c>
      <c r="C42" s="411"/>
      <c r="D42" s="389"/>
      <c r="E42" s="389"/>
      <c r="F42" s="390"/>
      <c r="G42" s="391"/>
      <c r="H42" s="390"/>
      <c r="I42" s="391"/>
      <c r="J42" s="390"/>
      <c r="K42" s="391"/>
      <c r="L42" s="407"/>
      <c r="M42" s="407"/>
      <c r="N42" s="407"/>
      <c r="O42" s="407"/>
      <c r="P42" s="407"/>
      <c r="Q42" s="407"/>
    </row>
    <row r="43" spans="1:21" ht="33.75">
      <c r="A43" s="372"/>
      <c r="F43" s="376"/>
      <c r="G43" s="373"/>
    </row>
  </sheetData>
  <mergeCells count="18">
    <mergeCell ref="J23:J24"/>
    <mergeCell ref="K23:K24"/>
    <mergeCell ref="I1:I2"/>
    <mergeCell ref="J1:J2"/>
    <mergeCell ref="K1:K2"/>
    <mergeCell ref="H23:H24"/>
    <mergeCell ref="I23:I24"/>
    <mergeCell ref="A1:A2"/>
    <mergeCell ref="C1:C2"/>
    <mergeCell ref="D1:E1"/>
    <mergeCell ref="F1:F2"/>
    <mergeCell ref="G1:G2"/>
    <mergeCell ref="H1:H2"/>
    <mergeCell ref="A23:A24"/>
    <mergeCell ref="C23:C24"/>
    <mergeCell ref="D23:E23"/>
    <mergeCell ref="F23:F24"/>
    <mergeCell ref="G23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Index</vt:lpstr>
      <vt:lpstr>2020</vt:lpstr>
      <vt:lpstr>2021</vt:lpstr>
      <vt:lpstr>PRO VELO GE 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HP</cp:lastModifiedBy>
  <cp:lastPrinted>2020-06-24T07:16:41Z</cp:lastPrinted>
  <dcterms:created xsi:type="dcterms:W3CDTF">2020-06-23T06:39:08Z</dcterms:created>
  <dcterms:modified xsi:type="dcterms:W3CDTF">2021-06-05T15:41:02Z</dcterms:modified>
</cp:coreProperties>
</file>