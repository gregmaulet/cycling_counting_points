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worksheets/_rels/sheet3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ex" sheetId="1" state="visible" r:id="rId2"/>
    <sheet name="2022" sheetId="2" state="visible" r:id="rId3"/>
    <sheet name="Synthèse AMDC" sheetId="3" state="visible" r:id="rId4"/>
  </sheets>
  <definedNames>
    <definedName function="false" hidden="false" localSheetId="1" name="_xlnm._FilterDatabase" vbProcedure="false">'2022'!$B$2:$V$122</definedName>
  </definedName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<sst xmlns="http://schemas.openxmlformats.org/spreadsheetml/2006/main" count="441" uniqueCount="187">
  <si>
    <t xml:space="preserve">Eléments à renseigner par chaque association dans l'onglet "2022"</t>
  </si>
  <si>
    <t xml:space="preserve">Colonne</t>
  </si>
  <si>
    <t xml:space="preserve">Ce qu'il faut renseigner</t>
  </si>
  <si>
    <t xml:space="preserve">Toutes les cellules blanches ne sont pas à renseigner (formule de calcul ou NC)</t>
  </si>
  <si>
    <t xml:space="preserve">Eléments obligatoires &gt;&gt; cellules en vert dans l'onglet "2022"</t>
  </si>
  <si>
    <t xml:space="preserve">DONNEES GENERALES</t>
  </si>
  <si>
    <t xml:space="preserve">D</t>
  </si>
  <si>
    <t xml:space="preserve">nombre de bénévoles par poste de comptage</t>
  </si>
  <si>
    <t xml:space="preserve">E</t>
  </si>
  <si>
    <t xml:space="preserve">nom/localisation du poste de comptage</t>
  </si>
  <si>
    <t xml:space="preserve">F</t>
  </si>
  <si>
    <t xml:space="preserve">implantation : France / Suisse / Frontière</t>
  </si>
  <si>
    <t xml:space="preserve">G</t>
  </si>
  <si>
    <t xml:space="preserve">nombre total de cyclistes comptés sur toute la période</t>
  </si>
  <si>
    <t xml:space="preserve">H</t>
  </si>
  <si>
    <t xml:space="preserve">nombre de cyclistes comptés sur l'heure de pointe (7h30 - 8h30) uniquement</t>
  </si>
  <si>
    <t xml:space="preserve">I</t>
  </si>
  <si>
    <t xml:space="preserve">calcul automatique (du nombre de VAE dans le total)</t>
  </si>
  <si>
    <t xml:space="preserve">J</t>
  </si>
  <si>
    <t xml:space="preserve">nombre de VAE dans le total (référence à la colonne G)</t>
  </si>
  <si>
    <t xml:space="preserve">K</t>
  </si>
  <si>
    <t xml:space="preserve">calcul automatique (du nombre de femmes dans le total)</t>
  </si>
  <si>
    <t xml:space="preserve">L</t>
  </si>
  <si>
    <t xml:space="preserve">nombre de femmes dans le total (référence à la colonne G)</t>
  </si>
  <si>
    <t xml:space="preserve">Eléments obligatoires pour les postes frontières et carrefours proches frontière               </t>
  </si>
  <si>
    <t xml:space="preserve">&gt;&gt; cellules en bleu dans l'onglet "2022"</t>
  </si>
  <si>
    <t xml:space="preserve">FRONTIERE</t>
  </si>
  <si>
    <t xml:space="preserve">S</t>
  </si>
  <si>
    <t xml:space="preserve">nombre total de cyclistes comptés sur toute la période - Direction Suisse</t>
  </si>
  <si>
    <t xml:space="preserve">T</t>
  </si>
  <si>
    <t xml:space="preserve">nombre de cyclistes comptés sur l'heure de pointe (7h30 - 8h30) uniquement - Direction Suisse</t>
  </si>
  <si>
    <t xml:space="preserve">U</t>
  </si>
  <si>
    <t xml:space="preserve">nombre total de cyclistes comptés sur toute la période - Direction France</t>
  </si>
  <si>
    <t xml:space="preserve">V</t>
  </si>
  <si>
    <t xml:space="preserve">nombre de cyclistes comptés sur l'heure de pointe (7h30 - 8h30) uniquement - Direction France</t>
  </si>
  <si>
    <t xml:space="preserve">Eléments facultatifs &gt;&gt; cellules en rose dans l'onglet "2022"</t>
  </si>
  <si>
    <t xml:space="preserve">AUTRES DONNEES</t>
  </si>
  <si>
    <t xml:space="preserve">M</t>
  </si>
  <si>
    <t xml:space="preserve">calcul automatique (du nombre total de VAE chez les femmes)</t>
  </si>
  <si>
    <t xml:space="preserve">N</t>
  </si>
  <si>
    <t xml:space="preserve">nombre total de VAE chez les femmes (valeur spécifique à relever)</t>
  </si>
  <si>
    <t xml:space="preserve">O</t>
  </si>
  <si>
    <t xml:space="preserve">nombre total de personnes comptées sur toute la période en "autre mode" (trottinette, gyropode…)</t>
  </si>
  <si>
    <t xml:space="preserve">P</t>
  </si>
  <si>
    <t xml:space="preserve">nombre total de personnes comptées en HPM (7h30 - 8h30) en "autre mode" (trottinette, gyropode…)</t>
  </si>
  <si>
    <t xml:space="preserve">Q</t>
  </si>
  <si>
    <t xml:space="preserve">nombre total de piétons comptés sur toute la période</t>
  </si>
  <si>
    <t xml:space="preserve">R</t>
  </si>
  <si>
    <t xml:space="preserve">nombre total de piétons comptés en HPM (7h30 - 8h30)</t>
  </si>
  <si>
    <t xml:space="preserve">Association(s)</t>
  </si>
  <si>
    <t xml:space="preserve">Arrière-pays</t>
  </si>
  <si>
    <t xml:space="preserve">Nombre de bénévoles</t>
  </si>
  <si>
    <t xml:space="preserve">Postes de comptage</t>
  </si>
  <si>
    <t xml:space="preserve">France / Suisse / Frontière</t>
  </si>
  <si>
    <t xml:space="preserve">Nombre de vélos</t>
  </si>
  <si>
    <t xml:space="preserve">% VAE dans le total</t>
  </si>
  <si>
    <t xml:space="preserve">NB VAE dans le total</t>
  </si>
  <si>
    <t xml:space="preserve">% femmes dans le total</t>
  </si>
  <si>
    <t xml:space="preserve">NB de femmes dans le total</t>
  </si>
  <si>
    <t xml:space="preserve">% de VAE chez les femmes</t>
  </si>
  <si>
    <t xml:space="preserve">NB de VAE chez les femmes</t>
  </si>
  <si>
    <t xml:space="preserve">Autres modes</t>
  </si>
  <si>
    <t xml:space="preserve">Piétons</t>
  </si>
  <si>
    <t xml:space="preserve">&gt; Suisse</t>
  </si>
  <si>
    <t xml:space="preserve">&gt; France</t>
  </si>
  <si>
    <t xml:space="preserve">total</t>
  </si>
  <si>
    <t xml:space="preserve">HP</t>
  </si>
  <si>
    <t xml:space="preserve">Université Populaire de Cluses</t>
  </si>
  <si>
    <t xml:space="preserve">OUI</t>
  </si>
  <si>
    <t xml:space="preserve">CLUSES_Passerelle de Messy</t>
  </si>
  <si>
    <t xml:space="preserve">France</t>
  </si>
  <si>
    <t xml:space="preserve">-</t>
  </si>
  <si>
    <t xml:space="preserve">L'Abeille (Contamine)</t>
  </si>
  <si>
    <t xml:space="preserve">BONNE_Loëx (sous voie rapide)</t>
  </si>
  <si>
    <t xml:space="preserve">Association Mobilité Douce pour le Chablais (Chablais)</t>
  </si>
  <si>
    <t xml:space="preserve">Sous-total</t>
  </si>
  <si>
    <t xml:space="preserve">NatEnv (Nature Environnement en Pays rochois)
Fabrique à Biclou
Pays rochois en Transition</t>
  </si>
  <si>
    <t xml:space="preserve">LA ROCHE_Carrefour Biocoop</t>
  </si>
  <si>
    <t xml:space="preserve">LA ROCHE_Giratoire La Poste</t>
  </si>
  <si>
    <t xml:space="preserve">LA ROCHE_Giratoire ENILV</t>
  </si>
  <si>
    <t xml:space="preserve">LA ROCHE_Gare Passage à niveau (new 2021)</t>
  </si>
  <si>
    <t xml:space="preserve">ARENTHON_La Papeterie</t>
  </si>
  <si>
    <t xml:space="preserve">ST-PIERRE_Franchissement Borne-Dessy</t>
  </si>
  <si>
    <t xml:space="preserve">BONNEVILLE_Franchissement Borne-Tucinge</t>
  </si>
  <si>
    <t xml:space="preserve">ST-PIERRE_Pont principal sur le Borne</t>
  </si>
  <si>
    <t xml:space="preserve">AMANCY_Giratoire Coriandre</t>
  </si>
  <si>
    <t xml:space="preserve">AERE (Association Environnement Reignier-Esery)</t>
  </si>
  <si>
    <t xml:space="preserve">ETREMBIERES_Giratoire ex PN93</t>
  </si>
  <si>
    <t xml:space="preserve">ETREMBIERES_Carrefour sous Château</t>
  </si>
  <si>
    <t xml:space="preserve">SCIENTRIER_Carrefour Tour de Bellecombe</t>
  </si>
  <si>
    <t xml:space="preserve">REIGNIER_Giratoire église</t>
  </si>
  <si>
    <t xml:space="preserve">REIGNIER_Giratoire Foron</t>
  </si>
  <si>
    <t xml:space="preserve">REIGNIER_Giratoire La Forge</t>
  </si>
  <si>
    <t xml:space="preserve">PERS-JUSSY_Giratoire Casino</t>
  </si>
  <si>
    <t xml:space="preserve">ARTHAZ_Giratoire lavage auto</t>
  </si>
  <si>
    <t xml:space="preserve">Sous-total périmètre "arrière-pays"</t>
  </si>
  <si>
    <t xml:space="preserve">EVAV (En Ville A Vélo)</t>
  </si>
  <si>
    <t xml:space="preserve">NON</t>
  </si>
  <si>
    <t xml:space="preserve">AMBILLY_Voie verte Pont Noir</t>
  </si>
  <si>
    <t xml:space="preserve">ANNEMASSE_Voie verte Jura</t>
  </si>
  <si>
    <t xml:space="preserve">ANNEMASSE_Devant l'agglo</t>
  </si>
  <si>
    <t xml:space="preserve">GAILLARD_Douane de Fossard</t>
  </si>
  <si>
    <t xml:space="preserve">Frontière</t>
  </si>
  <si>
    <t xml:space="preserve">ANNEMASSE_Clos Fleury</t>
  </si>
  <si>
    <t xml:space="preserve">GAILLARD_Douane de Moïllesullaz</t>
  </si>
  <si>
    <t xml:space="preserve">Le Préau</t>
  </si>
  <si>
    <t xml:space="preserve">COMMUNE_Carrefour</t>
  </si>
  <si>
    <t xml:space="preserve">Compté par ProVélo en 2021 (Salève Vivant en 2020)</t>
  </si>
  <si>
    <t xml:space="preserve">Salève Vivant</t>
  </si>
  <si>
    <t xml:space="preserve">ARCHAMPS_Douane de Landecy</t>
  </si>
  <si>
    <t xml:space="preserve">COLLONGES_Douane de Croix de Rozon</t>
  </si>
  <si>
    <t xml:space="preserve">BOSSEY_Douane de Pierre-Grand</t>
  </si>
  <si>
    <t xml:space="preserve">BOSSEY_Douane de Troinex/Bossey</t>
  </si>
  <si>
    <t xml:space="preserve">VEYRIER_Douane du Pas de l'Echelle</t>
  </si>
  <si>
    <t xml:space="preserve">Groupe St-Julien</t>
  </si>
  <si>
    <t xml:space="preserve">ST-JULIEN_Douane de Perly</t>
  </si>
  <si>
    <t xml:space="preserve">ST-JULIEN_Passage douanier des Crottes</t>
  </si>
  <si>
    <t xml:space="preserve">ST-JULIEN_Paguette (chemin de l'Aire)</t>
  </si>
  <si>
    <t xml:space="preserve">ST-JULIEN_Douane de Certoux (rte Thérens)</t>
  </si>
  <si>
    <t xml:space="preserve">ST-JULIEN_Douane de Soral 1</t>
  </si>
  <si>
    <t xml:space="preserve">VIRY_Douane de Soral 2</t>
  </si>
  <si>
    <t xml:space="preserve">VIRY_Malagny</t>
  </si>
  <si>
    <t xml:space="preserve">VALLEIRY_La Joux</t>
  </si>
  <si>
    <t xml:space="preserve">APiCy (Association des Piétons et Cyclistes du Pays de Gex)
+ ProVélo La Côte et ATE Vaud</t>
  </si>
  <si>
    <t xml:space="preserve">STJEAN_Douane de Dardagny</t>
  </si>
  <si>
    <t xml:space="preserve">CHALLEX_Douane de La Plaine</t>
  </si>
  <si>
    <t xml:space="preserve">POUGNY_Douane de Chancy</t>
  </si>
  <si>
    <t xml:space="preserve">ST-GENIS_Giratoire Porte de France</t>
  </si>
  <si>
    <t xml:space="preserve">FERNEY_Douane du GdSaconnex</t>
  </si>
  <si>
    <t xml:space="preserve">FERNEY_Douane de Mategnin</t>
  </si>
  <si>
    <t xml:space="preserve">FERNEY_Douane de Vireloup</t>
  </si>
  <si>
    <t xml:space="preserve">VERSONNEX_Douane de Collex-Bossy</t>
  </si>
  <si>
    <t xml:space="preserve">SAUVERNY_Douane de Sauverny</t>
  </si>
  <si>
    <t xml:space="preserve">GRILLY_Douane du Pont</t>
  </si>
  <si>
    <t xml:space="preserve">ATE Vaud / ProVélo La Côte</t>
  </si>
  <si>
    <t xml:space="preserve">DIVONNE_Douane de Chavanne</t>
  </si>
  <si>
    <t xml:space="preserve">DIVONNE-CRASSIER_Voie verte</t>
  </si>
  <si>
    <t xml:space="preserve">DIVONNE_Douane de Crassy / Crassier</t>
  </si>
  <si>
    <t xml:space="preserve">ProVélo GE</t>
  </si>
  <si>
    <t xml:space="preserve">GENEVE_Rue du XXXI Décembre</t>
  </si>
  <si>
    <t xml:space="preserve">Suisse</t>
  </si>
  <si>
    <t xml:space="preserve">GENEVE_Bd Georges Favon</t>
  </si>
  <si>
    <t xml:space="preserve">GENEVE_Arquebuse</t>
  </si>
  <si>
    <t xml:space="preserve">GENEVE_Rue Ferdinand Hodler</t>
  </si>
  <si>
    <t xml:space="preserve">GENEVE_Av. Pictet de Rochemont</t>
  </si>
  <si>
    <t xml:space="preserve">CHÊNE-BOURG_Ecole de Haller</t>
  </si>
  <si>
    <t xml:space="preserve">THÔNEX_Ch. de la Mousse/Rte de Jussy</t>
  </si>
  <si>
    <t xml:space="preserve">GENEVE_Voie Verte / Av. Bel-Air</t>
  </si>
  <si>
    <t xml:space="preserve">GENEVE_Voie Verte / Av. Frank Thomas</t>
  </si>
  <si>
    <t xml:space="preserve">GENEVE_Bd des Tranchées</t>
  </si>
  <si>
    <t xml:space="preserve">Sous-total périmètre urbain</t>
  </si>
  <si>
    <t xml:space="preserve">TOTAL</t>
  </si>
  <si>
    <t xml:space="preserve">données partielles</t>
  </si>
  <si>
    <t xml:space="preserve">Localisation des postes de comptage :</t>
  </si>
  <si>
    <t xml:space="preserve">Données</t>
  </si>
  <si>
    <t xml:space="preserve">Point de comptage</t>
  </si>
  <si>
    <t xml:space="preserve">Somme - Homme / VAE</t>
  </si>
  <si>
    <t xml:space="preserve">Somme - Homme / Vélo</t>
  </si>
  <si>
    <t xml:space="preserve">Somme - Homme / Trottinette, skate, roller</t>
  </si>
  <si>
    <t xml:space="preserve">Somme - Femme / VAE</t>
  </si>
  <si>
    <t xml:space="preserve">Somme - Femme / Vélo</t>
  </si>
  <si>
    <t xml:space="preserve">Somme - Femme / Trottinette, skate, roller</t>
  </si>
  <si>
    <t xml:space="preserve">Somme - Enfant / Trottinette, skate, roller</t>
  </si>
  <si>
    <t xml:space="preserve">Somme - Enfant / Vélo</t>
  </si>
  <si>
    <t xml:space="preserve">Somme - Piéton</t>
  </si>
  <si>
    <t xml:space="preserve">Allinges – Rond point des Fleysets</t>
  </si>
  <si>
    <t xml:space="preserve">Bons en Chablais – Gare</t>
  </si>
  <si>
    <t xml:space="preserve">Douvaine – Mairie</t>
  </si>
  <si>
    <t xml:space="preserve">Evian – Gare</t>
  </si>
  <si>
    <t xml:space="preserve">Perrignier – Gare</t>
  </si>
  <si>
    <t xml:space="preserve">Thonon - Embarcadère CGN</t>
  </si>
  <si>
    <t xml:space="preserve">Thonon - Entrée côté place de Crête</t>
  </si>
  <si>
    <t xml:space="preserve">Thonon - Parvis de la gare</t>
  </si>
  <si>
    <t xml:space="preserve">Thonon – Avenue d’Evian</t>
  </si>
  <si>
    <t xml:space="preserve">Thonon – Carrefour Libération</t>
  </si>
  <si>
    <t xml:space="preserve">Thonon – Collège Champagne</t>
  </si>
  <si>
    <t xml:space="preserve">Thonon – Ecole Jule Ferry</t>
  </si>
  <si>
    <t xml:space="preserve">Thonon – Rond point J. Ferry G Andrier Pl des Arts Bld du Canal</t>
  </si>
  <si>
    <t xml:space="preserve">Thonon / Anthy – Pont de Marclaz</t>
  </si>
  <si>
    <t xml:space="preserve">Thonon / Marin - Pont de Dranse</t>
  </si>
  <si>
    <t xml:space="preserve">Veigy – Douane</t>
  </si>
  <si>
    <t xml:space="preserve">Total Résultat</t>
  </si>
  <si>
    <t xml:space="preserve">Synthèse CICLABLE</t>
  </si>
  <si>
    <t xml:space="preserve">Somme - VAE</t>
  </si>
  <si>
    <t xml:space="preserve">Somme - Vélo</t>
  </si>
  <si>
    <t xml:space="preserve">Somme - Homme</t>
  </si>
  <si>
    <t xml:space="preserve">Somme - Femme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</si>
</sst>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\ %"/>
    <numFmt numFmtId="166" formatCode="#,##0"/>
    <numFmt numFmtId="167" formatCode="0&quot; postes de comptages&quot;"/>
  </numFmts>
  <fonts count="3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ohit Devanagari"/>
      <family val="2"/>
    </font>
    <font>
      <sz val="10"/>
      <name val="Lohit Devanagari"/>
      <family val="2"/>
    </font>
    <font>
      <sz val="10"/>
      <color rgb="FF333333"/>
      <name val="Lohit Devanagari"/>
      <family val="2"/>
    </font>
    <font>
      <sz val="10"/>
      <color rgb="FF808080"/>
      <name val="Lohit Devanagari"/>
      <family val="2"/>
    </font>
    <font>
      <u val="single"/>
      <sz val="10"/>
      <color rgb="FF0000EE"/>
      <name val="Lohit Devanagari"/>
      <family val="2"/>
    </font>
    <font>
      <sz val="10"/>
      <color rgb="FF006600"/>
      <name val="Lohit Devanagari"/>
      <family val="2"/>
    </font>
    <font>
      <sz val="10"/>
      <color rgb="FF996600"/>
      <name val="Lohit Devanagari"/>
      <family val="2"/>
    </font>
    <font>
      <sz val="10"/>
      <color rgb="FFCC0000"/>
      <name val="Lohit Devanagari"/>
      <family val="2"/>
    </font>
    <font>
      <sz val="10"/>
      <color rgb="FFFFFFFF"/>
      <name val="Lohit Devanagari"/>
      <family val="2"/>
    </font>
    <font>
      <b val="true"/>
      <sz val="18"/>
      <color rgb="FFFFFFFF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1"/>
      <name val="Arial"/>
      <family val="2"/>
    </font>
    <font>
      <b val="true"/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Arial"/>
      <family val="2"/>
    </font>
    <font>
      <b val="true"/>
      <sz val="1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7F7F7F"/>
      </patternFill>
    </fill>
    <fill>
      <patternFill patternType="solid">
        <fgColor rgb="FFDDDDDD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030A0"/>
        <bgColor rgb="FF4B1F6F"/>
      </patternFill>
    </fill>
    <fill>
      <patternFill patternType="solid">
        <fgColor rgb="FFFFFFFF"/>
        <bgColor rgb="FFF2F2F2"/>
      </patternFill>
    </fill>
    <fill>
      <patternFill patternType="solid">
        <fgColor rgb="FF2DFF8C"/>
        <bgColor rgb="FF00FFFF"/>
      </patternFill>
    </fill>
    <fill>
      <patternFill patternType="solid">
        <fgColor rgb="FF00B0F0"/>
        <bgColor rgb="FF008080"/>
      </patternFill>
    </fill>
    <fill>
      <patternFill patternType="solid">
        <fgColor rgb="FFFF99CC"/>
        <bgColor rgb="FFFF8080"/>
      </patternFill>
    </fill>
    <fill>
      <patternFill patternType="solid">
        <fgColor rgb="FF7F7F7F"/>
        <bgColor rgb="FF808080"/>
      </patternFill>
    </fill>
    <fill>
      <patternFill patternType="solid">
        <fgColor rgb="FF92D050"/>
        <bgColor rgb="FFAECF00"/>
      </patternFill>
    </fill>
    <fill>
      <patternFill patternType="solid">
        <fgColor rgb="FFFFFF00"/>
        <bgColor rgb="FFFFFF00"/>
      </patternFill>
    </fill>
  </fills>
  <borders count="13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ck">
        <color rgb="FF7030A0"/>
      </bottom>
      <diagonal/>
    </border>
    <border diagonalUp="false" diagonalDown="false">
      <left/>
      <right style="thick">
        <color rgb="FF7030A0"/>
      </right>
      <top/>
      <bottom/>
      <diagonal/>
    </border>
    <border diagonalUp="false" diagonalDown="false">
      <left style="thick">
        <color rgb="FF7030A0"/>
      </left>
      <right/>
      <top style="thick">
        <color rgb="FF7030A0"/>
      </top>
      <bottom/>
      <diagonal/>
    </border>
    <border diagonalUp="false" diagonalDown="false">
      <left/>
      <right/>
      <top style="thick">
        <color rgb="FF7030A0"/>
      </top>
      <bottom/>
      <diagonal/>
    </border>
    <border diagonalUp="false" diagonalDown="false">
      <left/>
      <right style="thick">
        <color rgb="FF7030A0"/>
      </right>
      <top style="thick">
        <color rgb="FF7030A0"/>
      </top>
      <bottom/>
      <diagonal/>
    </border>
    <border diagonalUp="false" diagonalDown="false">
      <left style="thick">
        <color rgb="FF7030A0"/>
      </left>
      <right/>
      <top/>
      <bottom/>
      <diagonal/>
    </border>
    <border diagonalUp="false" diagonalDown="false">
      <left style="thick">
        <color rgb="FF7030A0"/>
      </left>
      <right/>
      <top/>
      <bottom style="thick">
        <color rgb="FF7030A0"/>
      </bottom>
      <diagonal/>
    </border>
    <border diagonalUp="false" diagonalDown="false">
      <left/>
      <right style="thick">
        <color rgb="FF7030A0"/>
      </right>
      <top/>
      <bottom style="thick">
        <color rgb="FF7030A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dotted">
        <color rgb="FF7F7F7F"/>
      </right>
      <top/>
      <bottom/>
      <diagonal/>
    </border>
    <border diagonalUp="false" diagonalDown="false">
      <left style="dotted">
        <color rgb="FF7F7F7F"/>
      </left>
      <right style="thin"/>
      <top/>
      <bottom/>
      <diagonal/>
    </border>
    <border diagonalUp="false" diagonalDown="false">
      <left style="thin"/>
      <right style="dotted">
        <color rgb="FF7F7F7F"/>
      </right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dotted">
        <color rgb="FF7F7F7F"/>
      </right>
      <top/>
      <bottom style="medium"/>
      <diagonal/>
    </border>
    <border diagonalUp="false" diagonalDown="false">
      <left style="dotted">
        <color rgb="FF7F7F7F"/>
      </left>
      <right style="thin"/>
      <top/>
      <bottom style="medium"/>
      <diagonal/>
    </border>
    <border diagonalUp="false" diagonalDown="false">
      <left style="thin"/>
      <right style="dotted">
        <color rgb="FF7F7F7F"/>
      </right>
      <top/>
      <bottom style="medium"/>
      <diagonal/>
    </border>
    <border diagonalUp="false" diagonalDown="false">
      <left style="dotted">
        <color rgb="FF7F7F7F"/>
      </left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thin"/>
      <top style="medium"/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medium"/>
      <bottom style="thin"/>
      <diagonal/>
    </border>
    <border diagonalUp="false" diagonalDown="false">
      <left style="thin"/>
      <right style="dotted">
        <color rgb="FF7F7F7F"/>
      </right>
      <top style="medium"/>
      <bottom style="thin"/>
      <diagonal/>
    </border>
    <border diagonalUp="false" diagonalDown="false">
      <left style="dotted">
        <color rgb="FF7F7F7F"/>
      </left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thin"/>
      <top style="thin"/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thin"/>
      <diagonal/>
    </border>
    <border diagonalUp="false" diagonalDown="false">
      <left style="thin"/>
      <right style="dotted">
        <color rgb="FF7F7F7F"/>
      </right>
      <top style="thin"/>
      <bottom style="thin"/>
      <diagonal/>
    </border>
    <border diagonalUp="false" diagonalDown="false">
      <left style="dotted">
        <color rgb="FF7F7F7F"/>
      </left>
      <right style="medium"/>
      <top style="thin"/>
      <bottom style="thin"/>
      <diagonal/>
    </border>
    <border diagonalUp="false" diagonalDown="false">
      <left/>
      <right style="thin"/>
      <top style="thin"/>
      <bottom style="dotted">
        <color rgb="FF7F7F7F"/>
      </bottom>
      <diagonal/>
    </border>
    <border diagonalUp="false" diagonalDown="false">
      <left style="thin"/>
      <right style="medium"/>
      <top style="thin"/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thin"/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thin"/>
      <bottom style="dotted">
        <color rgb="FF7F7F7F"/>
      </bottom>
      <diagonal/>
    </border>
    <border diagonalUp="false" diagonalDown="false">
      <left style="dotted">
        <color rgb="FF7F7F7F"/>
      </left>
      <right style="medium"/>
      <top style="thin"/>
      <bottom style="dotted">
        <color rgb="FF7F7F7F"/>
      </bottom>
      <diagonal/>
    </border>
    <border diagonalUp="false" diagonalDown="false">
      <left/>
      <right style="thin"/>
      <top style="dotted">
        <color rgb="FF7F7F7F"/>
      </top>
      <bottom style="dotted">
        <color rgb="FF7F7F7F"/>
      </bottom>
      <diagonal/>
    </border>
    <border diagonalUp="false" diagonalDown="false">
      <left style="medium"/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thin"/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dotted">
        <color rgb="FF7F7F7F"/>
      </top>
      <bottom style="dotted">
        <color rgb="FF7F7F7F"/>
      </bottom>
      <diagonal/>
    </border>
    <border diagonalUp="false" diagonalDown="false">
      <left style="dotted">
        <color rgb="FF7F7F7F"/>
      </left>
      <right style="medium"/>
      <top style="dotted">
        <color rgb="FF7F7F7F"/>
      </top>
      <bottom style="dotted">
        <color rgb="FF7F7F7F"/>
      </bottom>
      <diagonal/>
    </border>
    <border diagonalUp="false" diagonalDown="false">
      <left style="thin"/>
      <right style="medium"/>
      <top style="dotted">
        <color rgb="FF7F7F7F"/>
      </top>
      <bottom style="dotted">
        <color rgb="FF7F7F7F"/>
      </bottom>
      <diagonal/>
    </border>
    <border diagonalUp="false" diagonalDown="false">
      <left style="thin"/>
      <right style="dotted">
        <color rgb="FF7F7F7F"/>
      </right>
      <top style="dotted"/>
      <bottom style="dotted"/>
      <diagonal/>
    </border>
    <border diagonalUp="false" diagonalDown="false">
      <left style="dotted">
        <color rgb="FF7F7F7F"/>
      </left>
      <right style="thin"/>
      <top style="dotted"/>
      <bottom style="dotted"/>
      <diagonal/>
    </border>
    <border diagonalUp="false" diagonalDown="false">
      <left style="dotted">
        <color rgb="FF7F7F7F"/>
      </left>
      <right style="medium"/>
      <top style="dotted"/>
      <bottom style="dotted"/>
      <diagonal/>
    </border>
    <border diagonalUp="false" diagonalDown="false">
      <left/>
      <right style="thin"/>
      <top style="dotted">
        <color rgb="FF7F7F7F"/>
      </top>
      <bottom/>
      <diagonal/>
    </border>
    <border diagonalUp="false" diagonalDown="false">
      <left style="thin"/>
      <right style="medium"/>
      <top style="dotted">
        <color rgb="FF7F7F7F"/>
      </top>
      <bottom/>
      <diagonal/>
    </border>
    <border diagonalUp="false" diagonalDown="false">
      <left style="dotted">
        <color rgb="FF7F7F7F"/>
      </left>
      <right style="thin"/>
      <top style="dotted">
        <color rgb="FF7F7F7F"/>
      </top>
      <bottom/>
      <diagonal/>
    </border>
    <border diagonalUp="false" diagonalDown="false">
      <left style="thin"/>
      <right style="dotted">
        <color rgb="FF7F7F7F"/>
      </right>
      <top style="dotted">
        <color rgb="FF7F7F7F"/>
      </top>
      <bottom/>
      <diagonal/>
    </border>
    <border diagonalUp="false" diagonalDown="false">
      <left style="dotted">
        <color rgb="FF7F7F7F"/>
      </left>
      <right style="medium"/>
      <top style="dotted">
        <color rgb="FF7F7F7F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dotted">
        <color rgb="FF7F7F7F"/>
      </top>
      <bottom style="thin"/>
      <diagonal/>
    </border>
    <border diagonalUp="false" diagonalDown="false">
      <left style="thin"/>
      <right style="medium"/>
      <top style="dotted">
        <color rgb="FF7F7F7F"/>
      </top>
      <bottom style="thin"/>
      <diagonal/>
    </border>
    <border diagonalUp="false" diagonalDown="false">
      <left style="medium"/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thin"/>
      <top style="dotted">
        <color rgb="FF7F7F7F"/>
      </top>
      <bottom style="thin"/>
      <diagonal/>
    </border>
    <border diagonalUp="false" diagonalDown="false">
      <left style="dotted">
        <color rgb="FF7F7F7F"/>
      </left>
      <right style="dotted">
        <color rgb="FF7F7F7F"/>
      </right>
      <top style="dotted">
        <color rgb="FF7F7F7F"/>
      </top>
      <bottom style="thin"/>
      <diagonal/>
    </border>
    <border diagonalUp="false" diagonalDown="false">
      <left style="thin"/>
      <right style="dotted">
        <color rgb="FF7F7F7F"/>
      </right>
      <top style="dotted">
        <color rgb="FF7F7F7F"/>
      </top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dotted">
        <color rgb="FF7F7F7F"/>
      </left>
      <right style="medium"/>
      <top/>
      <bottom/>
      <diagonal/>
    </border>
    <border diagonalUp="false" diagonalDown="false">
      <left style="dotted">
        <color rgb="FF7F7F7F"/>
      </left>
      <right style="medium"/>
      <top style="dotted">
        <color rgb="FF7F7F7F"/>
      </top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dotted">
        <color rgb="FF7F7F7F"/>
      </right>
      <top style="dotted">
        <color rgb="FF7F7F7F"/>
      </top>
      <bottom/>
      <diagonal/>
    </border>
    <border diagonalUp="false" diagonalDown="false">
      <left style="medium"/>
      <right style="dotted">
        <color rgb="FF7F7F7F"/>
      </right>
      <top style="medium"/>
      <bottom style="medium"/>
      <diagonal/>
    </border>
    <border diagonalUp="false" diagonalDown="false">
      <left style="dotted">
        <color rgb="FF7F7F7F"/>
      </left>
      <right style="medium"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dotted"/>
      <diagonal/>
    </border>
    <border diagonalUp="false" diagonalDown="false">
      <left style="thin"/>
      <right style="medium"/>
      <top style="thin"/>
      <bottom style="dotted"/>
      <diagonal/>
    </border>
    <border diagonalUp="false" diagonalDown="false">
      <left style="medium"/>
      <right style="dotted">
        <color rgb="FF7F7F7F"/>
      </right>
      <top style="thin"/>
      <bottom style="dotted"/>
      <diagonal/>
    </border>
    <border diagonalUp="false" diagonalDown="false">
      <left style="dotted">
        <color rgb="FF7F7F7F"/>
      </left>
      <right style="thin"/>
      <top style="thin"/>
      <bottom style="dotted"/>
      <diagonal/>
    </border>
    <border diagonalUp="false" diagonalDown="false">
      <left style="thin"/>
      <right style="dotted">
        <color rgb="FF7F7F7F"/>
      </right>
      <top style="thin"/>
      <bottom style="dotted"/>
      <diagonal/>
    </border>
    <border diagonalUp="false" diagonalDown="false">
      <left style="dotted">
        <color rgb="FF7F7F7F"/>
      </left>
      <right style="medium"/>
      <top style="thin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 style="thin"/>
      <right style="medium"/>
      <top style="dotted"/>
      <bottom style="dotted"/>
      <diagonal/>
    </border>
    <border diagonalUp="false" diagonalDown="false">
      <left style="medium"/>
      <right style="dotted">
        <color rgb="FF7F7F7F"/>
      </right>
      <top style="dotted"/>
      <bottom style="dotted"/>
      <diagonal/>
    </border>
    <border diagonalUp="false" diagonalDown="false">
      <left/>
      <right style="thin"/>
      <top style="dotted"/>
      <bottom/>
      <diagonal/>
    </border>
    <border diagonalUp="false" diagonalDown="false">
      <left style="thin"/>
      <right style="medium"/>
      <top style="dotted"/>
      <bottom/>
      <diagonal/>
    </border>
    <border diagonalUp="false" diagonalDown="false">
      <left style="medium"/>
      <right style="dotted">
        <color rgb="FF7F7F7F"/>
      </right>
      <top style="dotted"/>
      <bottom/>
      <diagonal/>
    </border>
    <border diagonalUp="false" diagonalDown="false">
      <left style="dotted">
        <color rgb="FF7F7F7F"/>
      </left>
      <right style="thin"/>
      <top style="dotted"/>
      <bottom/>
      <diagonal/>
    </border>
    <border diagonalUp="false" diagonalDown="false">
      <left style="thin"/>
      <right style="dotted">
        <color rgb="FF7F7F7F"/>
      </right>
      <top style="dotted"/>
      <bottom/>
      <diagonal/>
    </border>
    <border diagonalUp="false" diagonalDown="false">
      <left style="dotted">
        <color rgb="FF7F7F7F"/>
      </left>
      <right style="medium"/>
      <top style="dotted"/>
      <bottom/>
      <diagonal/>
    </border>
    <border diagonalUp="false" diagonalDown="false">
      <left/>
      <right style="thin"/>
      <top style="dotted"/>
      <bottom style="thin"/>
      <diagonal/>
    </border>
    <border diagonalUp="false" diagonalDown="false">
      <left style="thin"/>
      <right style="medium"/>
      <top style="dotted"/>
      <bottom style="thin"/>
      <diagonal/>
    </border>
    <border diagonalUp="false" diagonalDown="false">
      <left style="medium"/>
      <right style="dotted">
        <color rgb="FF7F7F7F"/>
      </right>
      <top style="dotted"/>
      <bottom style="thin"/>
      <diagonal/>
    </border>
    <border diagonalUp="false" diagonalDown="false">
      <left style="dotted">
        <color rgb="FF7F7F7F"/>
      </left>
      <right style="thin"/>
      <top style="dotted"/>
      <bottom style="thin"/>
      <diagonal/>
    </border>
    <border diagonalUp="false" diagonalDown="false">
      <left style="thin"/>
      <right style="dotted">
        <color rgb="FF7F7F7F"/>
      </right>
      <top style="dotted"/>
      <bottom style="thin"/>
      <diagonal/>
    </border>
    <border diagonalUp="false" diagonalDown="false">
      <left style="dotted">
        <color rgb="FF7F7F7F"/>
      </left>
      <right style="medium"/>
      <top style="dotted"/>
      <bottom style="thin"/>
      <diagonal/>
    </border>
    <border diagonalUp="false" diagonalDown="false">
      <left/>
      <right/>
      <top style="thin"/>
      <bottom style="dotted">
        <color rgb="FF7F7F7F"/>
      </bottom>
      <diagonal/>
    </border>
    <border diagonalUp="false" diagonalDown="false">
      <left style="medium"/>
      <right/>
      <top/>
      <bottom style="dotted">
        <color rgb="FF7F7F7F"/>
      </bottom>
      <diagonal/>
    </border>
    <border diagonalUp="false" diagonalDown="false">
      <left/>
      <right/>
      <top/>
      <bottom style="dotted">
        <color rgb="FF7F7F7F"/>
      </bottom>
      <diagonal/>
    </border>
    <border diagonalUp="false" diagonalDown="false">
      <left style="medium"/>
      <right/>
      <top style="dotted">
        <color rgb="FF7F7F7F"/>
      </top>
      <bottom style="dotted">
        <color rgb="FF7F7F7F"/>
      </bottom>
      <diagonal/>
    </border>
    <border diagonalUp="false" diagonalDown="false">
      <left/>
      <right/>
      <top style="dotted">
        <color rgb="FF7F7F7F"/>
      </top>
      <bottom style="dotted">
        <color rgb="FF7F7F7F"/>
      </bottom>
      <diagonal/>
    </border>
    <border diagonalUp="false" diagonalDown="false">
      <left/>
      <right/>
      <top style="dotted">
        <color rgb="FF7F7F7F"/>
      </top>
      <bottom style="thin"/>
      <diagonal/>
    </border>
    <border diagonalUp="false" diagonalDown="false">
      <left style="medium"/>
      <right/>
      <top style="dotted">
        <color rgb="FF7F7F7F"/>
      </top>
      <bottom/>
      <diagonal/>
    </border>
    <border diagonalUp="false" diagonalDown="false">
      <left/>
      <right/>
      <top style="dotted">
        <color rgb="FF7F7F7F"/>
      </top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thin"/>
      <top style="thin"/>
      <bottom style="medium"/>
      <diagonal/>
    </border>
    <border diagonalUp="false" diagonalDown="false">
      <left style="thin"/>
      <right style="dotted">
        <color rgb="FF7F7F7F"/>
      </right>
      <top style="thin"/>
      <bottom style="medium"/>
      <diagonal/>
    </border>
    <border diagonalUp="false" diagonalDown="false">
      <left style="dotted">
        <color rgb="FF7F7F7F"/>
      </left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4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5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8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9" fillId="3" borderId="0" applyFont="true" applyBorder="false" applyAlignment="false" applyProtection="false"/>
    <xf numFmtId="164" fontId="10" fillId="2" borderId="0" applyFont="true" applyBorder="false" applyAlignment="false" applyProtection="false"/>
    <xf numFmtId="164" fontId="11" fillId="4" borderId="0" applyFont="true" applyBorder="false" applyAlignment="false" applyProtection="false"/>
    <xf numFmtId="164" fontId="11" fillId="0" borderId="0" applyFont="true" applyBorder="false" applyAlignment="false" applyProtection="false"/>
    <xf numFmtId="164" fontId="12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2" fillId="6" borderId="0" applyFont="true" applyBorder="false" applyAlignment="false" applyProtection="false"/>
    <xf numFmtId="164" fontId="12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false" applyProtection="false"/>
    <xf numFmtId="165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9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3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11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11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5" fillId="15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15" borderId="1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15" borderId="1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5" fillId="1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3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6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11" borderId="3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3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6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11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11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1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1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6" borderId="50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11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8" fillId="14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1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6" borderId="56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11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8" fillId="14" borderId="5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4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4" borderId="6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4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4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6" borderId="6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7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1" borderId="7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8" fillId="11" borderId="7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8" fillId="16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8" fillId="14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7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1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8" fillId="11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1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4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5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16" borderId="50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11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5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16" borderId="56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11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5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6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6" borderId="6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6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7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6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11" borderId="7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7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6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7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1" borderId="4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1" borderId="4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8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1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6" borderId="5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6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6" borderId="5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6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6" borderId="6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1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2" fillId="11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2" fillId="11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1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11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1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6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6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6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7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6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8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8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9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6" borderId="9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9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9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6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6" borderId="6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6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6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9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9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9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6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6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1" borderId="10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6" borderId="10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10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0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1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1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6" borderId="9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4" borderId="9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6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6" borderId="10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1" borderId="5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3" fillId="11" borderId="5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1" borderId="1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7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1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7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7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1" borderId="7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11" borderId="7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1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16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1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8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1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11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1" borderId="1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11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1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11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3" fillId="11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17" borderId="1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8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3" xfId="3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4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5" xfId="3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6" xfId="4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86" xfId="4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27" xfId="4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8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9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6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1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3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3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6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6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7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32" xfId="4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30" fillId="0" borderId="13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81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34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3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Coin de la table dynamique" xfId="37" builtinId="53" customBuiltin="true"/>
    <cellStyle name="Valeur de la table dynamique" xfId="38" builtinId="53" customBuiltin="true"/>
    <cellStyle name="Champ de la table dynamique" xfId="39" builtinId="53" customBuiltin="true"/>
    <cellStyle name="Catégorie de la table dynamique" xfId="40" builtinId="53" customBuiltin="true"/>
    <cellStyle name="Titre de la table dynamique" xfId="41" builtinId="53" customBuiltin="true"/>
    <cellStyle name="Résultat de la table dynamique" xfId="42" builtinId="53" customBuiltin="true"/>
    <cellStyle name="Excel Built-in Percent 1" xfId="43" builtinId="53" customBuiltin="true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7E0021"/>
      <rgbColor rgb="FF006600"/>
      <rgbColor rgb="FF000080"/>
      <rgbColor rgb="FF996600"/>
      <rgbColor rgb="FF800080"/>
      <rgbColor rgb="FF00B050"/>
      <rgbColor rgb="FFB3B3B3"/>
      <rgbColor rgb="FF808080"/>
      <rgbColor rgb="FF92D050"/>
      <rgbColor rgb="FF7030A0"/>
      <rgbColor rgb="FFFFFFCC"/>
      <rgbColor rgb="FFF2F2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B0F0"/>
      <rgbColor rgb="FFCCFFFF"/>
      <rgbColor rgb="FFCCFFCC"/>
      <rgbColor rgb="FFFFFF99"/>
      <rgbColor rgb="FF83CAFF"/>
      <rgbColor rgb="FFFF99CC"/>
      <rgbColor rgb="FFCC99FF"/>
      <rgbColor rgb="FFFFCCCC"/>
      <rgbColor rgb="FF3366FF"/>
      <rgbColor rgb="FF2DFF8C"/>
      <rgbColor rgb="FFAECF00"/>
      <rgbColor rgb="FFFFD320"/>
      <rgbColor rgb="FFFF9900"/>
      <rgbColor rgb="FFFF420E"/>
      <rgbColor rgb="FF666699"/>
      <rgbColor rgb="FF7F7F7F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stack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Somme - Homme / VAE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0</c:v>
                </c:pt>
                <c:pt idx="4">
                  <c:v>2</c:v>
                </c:pt>
                <c:pt idx="5">
                  <c:v>9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  <c:pt idx="12">
                  <c:v>6</c:v>
                </c:pt>
                <c:pt idx="13">
                  <c:v>3</c:v>
                </c:pt>
                <c:pt idx="14">
                  <c:v>12</c:v>
                </c:pt>
                <c:pt idx="15">
                  <c:v>19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Somme - Homme / Vélo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16"/>
                <c:pt idx="0">
                  <c:v>11</c:v>
                </c:pt>
                <c:pt idx="1">
                  <c:v>11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  <c:pt idx="5">
                  <c:v>38</c:v>
                </c:pt>
                <c:pt idx="6">
                  <c:v>17</c:v>
                </c:pt>
                <c:pt idx="7">
                  <c:v>32</c:v>
                </c:pt>
                <c:pt idx="8">
                  <c:v>47</c:v>
                </c:pt>
                <c:pt idx="9">
                  <c:v>40</c:v>
                </c:pt>
                <c:pt idx="10">
                  <c:v>10</c:v>
                </c:pt>
                <c:pt idx="11">
                  <c:v>10</c:v>
                </c:pt>
                <c:pt idx="12">
                  <c:v>55</c:v>
                </c:pt>
                <c:pt idx="13">
                  <c:v>16</c:v>
                </c:pt>
                <c:pt idx="14">
                  <c:v>23</c:v>
                </c:pt>
                <c:pt idx="15">
                  <c:v>19</c:v>
                </c:pt>
              </c:numCache>
            </c:numRef>
          </c:val>
        </c:ser>
        <c:ser>
          <c:idx val="2"/>
          <c:order val="2"/>
          <c:tx>
            <c:strRef>
              <c:f>pt@label 2</c:f>
              <c:strCache>
                <c:ptCount val="1"/>
                <c:pt idx="0">
                  <c:v>Somme - Homme / Trottinette, skate, roller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2</c:f>
              <c:numCache>
                <c:formatCode>General</c:formatCode>
                <c:ptCount val="16"/>
                <c:pt idx="0">
                  <c:v>0</c:v>
                </c:pt>
                <c:pt idx="1">
                  <c:v>19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52</c:v>
                </c:pt>
                <c:pt idx="6">
                  <c:v>7</c:v>
                </c:pt>
                <c:pt idx="7">
                  <c:v>24</c:v>
                </c:pt>
                <c:pt idx="8">
                  <c:v>4</c:v>
                </c:pt>
                <c:pt idx="9">
                  <c:v>14</c:v>
                </c:pt>
                <c:pt idx="10">
                  <c:v>1</c:v>
                </c:pt>
                <c:pt idx="11">
                  <c:v>5</c:v>
                </c:pt>
                <c:pt idx="12">
                  <c:v>15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ser>
          <c:idx val="3"/>
          <c:order val="3"/>
          <c:tx>
            <c:strRef>
              <c:f>pt@label 3</c:f>
              <c:strCache>
                <c:ptCount val="1"/>
                <c:pt idx="0">
                  <c:v>Somme - Femme / VAE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3</c:f>
              <c:numCache>
                <c:formatCode>General</c:formatCode>
                <c:ptCount val="16"/>
                <c:pt idx="0">
                  <c:v>10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13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1</c:v>
                </c:pt>
                <c:pt idx="11">
                  <c:v>6</c:v>
                </c:pt>
                <c:pt idx="12">
                  <c:v>9</c:v>
                </c:pt>
                <c:pt idx="13">
                  <c:v>4</c:v>
                </c:pt>
                <c:pt idx="14">
                  <c:v>6</c:v>
                </c:pt>
                <c:pt idx="15">
                  <c:v>16</c:v>
                </c:pt>
              </c:numCache>
            </c:numRef>
          </c:val>
        </c:ser>
        <c:ser>
          <c:idx val="4"/>
          <c:order val="4"/>
          <c:tx>
            <c:strRef>
              <c:f>pt@label 4</c:f>
              <c:strCache>
                <c:ptCount val="1"/>
                <c:pt idx="0">
                  <c:v>Somme - Femme / Vélo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4</c:f>
              <c:numCache>
                <c:formatCode>General</c:formatCode>
                <c:ptCount val="16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14</c:v>
                </c:pt>
                <c:pt idx="6">
                  <c:v>11</c:v>
                </c:pt>
                <c:pt idx="7">
                  <c:v>12</c:v>
                </c:pt>
                <c:pt idx="8">
                  <c:v>36</c:v>
                </c:pt>
                <c:pt idx="9">
                  <c:v>26</c:v>
                </c:pt>
                <c:pt idx="10">
                  <c:v>5</c:v>
                </c:pt>
                <c:pt idx="11">
                  <c:v>7</c:v>
                </c:pt>
                <c:pt idx="12">
                  <c:v>31</c:v>
                </c:pt>
                <c:pt idx="13">
                  <c:v>2</c:v>
                </c:pt>
                <c:pt idx="14">
                  <c:v>4</c:v>
                </c:pt>
                <c:pt idx="15">
                  <c:v>14</c:v>
                </c:pt>
              </c:numCache>
            </c:numRef>
          </c:val>
        </c:ser>
        <c:ser>
          <c:idx val="5"/>
          <c:order val="5"/>
          <c:tx>
            <c:strRef>
              <c:f>pt@label 5</c:f>
              <c:strCache>
                <c:ptCount val="1"/>
                <c:pt idx="0">
                  <c:v>Somme - Femme / Trottinette, skate, roller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5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49</c:v>
                </c:pt>
                <c:pt idx="6">
                  <c:v>5</c:v>
                </c:pt>
                <c:pt idx="7">
                  <c:v>13</c:v>
                </c:pt>
                <c:pt idx="8">
                  <c:v>15</c:v>
                </c:pt>
                <c:pt idx="9">
                  <c:v>6</c:v>
                </c:pt>
                <c:pt idx="10">
                  <c:v>2</c:v>
                </c:pt>
                <c:pt idx="11">
                  <c:v>6</c:v>
                </c:pt>
                <c:pt idx="12">
                  <c:v>19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</c:numCache>
            </c:numRef>
          </c:val>
        </c:ser>
        <c:ser>
          <c:idx val="6"/>
          <c:order val="6"/>
          <c:tx>
            <c:strRef>
              <c:f>pt@label 6</c:f>
              <c:strCache>
                <c:ptCount val="1"/>
                <c:pt idx="0">
                  <c:v>Somme - Enfant / Trottinette, skate, roller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6</c:f>
              <c:numCache>
                <c:formatCode>General</c:formatCode>
                <c:ptCount val="16"/>
                <c:pt idx="0">
                  <c:v>0</c:v>
                </c:pt>
                <c:pt idx="1">
                  <c:v>7</c:v>
                </c:pt>
                <c:pt idx="2">
                  <c:v>18</c:v>
                </c:pt>
                <c:pt idx="3">
                  <c:v>0</c:v>
                </c:pt>
                <c:pt idx="4">
                  <c:v>1</c:v>
                </c:pt>
                <c:pt idx="5">
                  <c:v/>
                </c:pt>
                <c:pt idx="6">
                  <c:v>4</c:v>
                </c:pt>
                <c:pt idx="7">
                  <c:v>15</c:v>
                </c:pt>
                <c:pt idx="8">
                  <c:v>40</c:v>
                </c:pt>
                <c:pt idx="9">
                  <c:v>11</c:v>
                </c:pt>
                <c:pt idx="10">
                  <c:v>27</c:v>
                </c:pt>
                <c:pt idx="11">
                  <c:v>16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7"/>
          <c:order val="7"/>
          <c:tx>
            <c:strRef>
              <c:f>pt@label 7</c:f>
              <c:strCache>
                <c:ptCount val="1"/>
                <c:pt idx="0">
                  <c:v>Somme - Enfant / Vélo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7</c:f>
              <c:numCache>
                <c:formatCode>General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0</c:v>
                </c:pt>
                <c:pt idx="4">
                  <c:v>1</c:v>
                </c:pt>
                <c:pt idx="5">
                  <c:v/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8"/>
          <c:order val="8"/>
          <c:tx>
            <c:strRef>
              <c:f>pt@label 8</c:f>
              <c:strCache>
                <c:ptCount val="1"/>
                <c:pt idx="0">
                  <c:v>Somme - Piéton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8</c:f>
              <c:numCache>
                <c:formatCode>General</c:formatCode>
                <c:ptCount val="16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>16</c:v>
                </c:pt>
              </c:numCache>
            </c:numRef>
          </c:val>
        </c:ser>
        <c:gapWidth val="100"/>
        <c:overlap val="0"/>
        <c:axId val="9839215"/>
        <c:axId val="10189436"/>
      </c:barChart>
      <c:catAx>
        <c:axId val="9839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189436"/>
        <c:crosses val="autoZero"/>
        <c:auto val="1"/>
        <c:lblAlgn val="ctr"/>
        <c:lblOffset val="100"/>
      </c:catAx>
      <c:valAx>
        <c:axId val="1018943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39215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barChart>
        <c:barDir val="col"/>
        <c:grouping val="stack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Somme - VAE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16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2</c:v>
                </c:pt>
                <c:pt idx="4">
                  <c:v>2</c:v>
                </c:pt>
                <c:pt idx="5">
                  <c:v>22</c:v>
                </c:pt>
                <c:pt idx="6">
                  <c:v>6</c:v>
                </c:pt>
                <c:pt idx="7">
                  <c:v>3</c:v>
                </c:pt>
                <c:pt idx="8">
                  <c:v>9</c:v>
                </c:pt>
                <c:pt idx="9">
                  <c:v>11</c:v>
                </c:pt>
                <c:pt idx="10">
                  <c:v>4</c:v>
                </c:pt>
                <c:pt idx="11">
                  <c:v>7</c:v>
                </c:pt>
                <c:pt idx="12">
                  <c:v>15</c:v>
                </c:pt>
                <c:pt idx="13">
                  <c:v>7</c:v>
                </c:pt>
                <c:pt idx="14">
                  <c:v>18</c:v>
                </c:pt>
                <c:pt idx="15">
                  <c:v>35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Somme - Vélo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16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11</c:v>
                </c:pt>
                <c:pt idx="4">
                  <c:v>5</c:v>
                </c:pt>
                <c:pt idx="5">
                  <c:v>52</c:v>
                </c:pt>
                <c:pt idx="6">
                  <c:v>28</c:v>
                </c:pt>
                <c:pt idx="7">
                  <c:v>44</c:v>
                </c:pt>
                <c:pt idx="8">
                  <c:v>83</c:v>
                </c:pt>
                <c:pt idx="9">
                  <c:v>66</c:v>
                </c:pt>
                <c:pt idx="10">
                  <c:v>15</c:v>
                </c:pt>
                <c:pt idx="11">
                  <c:v>17</c:v>
                </c:pt>
                <c:pt idx="12">
                  <c:v>86</c:v>
                </c:pt>
                <c:pt idx="13">
                  <c:v>18</c:v>
                </c:pt>
                <c:pt idx="14">
                  <c:v>27</c:v>
                </c:pt>
                <c:pt idx="15">
                  <c:v>33</c:v>
                </c:pt>
              </c:numCache>
            </c:numRef>
          </c:val>
        </c:ser>
        <c:ser>
          <c:idx val="2"/>
          <c:order val="2"/>
          <c:tx>
            <c:strRef>
              <c:f>pt@label 2</c:f>
              <c:strCache>
                <c:ptCount val="1"/>
                <c:pt idx="0">
                  <c:v>Somme - Homme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2</c:f>
              <c:numCache>
                <c:formatCode>General</c:formatCode>
                <c:ptCount val="16"/>
                <c:pt idx="0">
                  <c:v>12</c:v>
                </c:pt>
                <c:pt idx="1">
                  <c:v>14</c:v>
                </c:pt>
                <c:pt idx="2">
                  <c:v>12</c:v>
                </c:pt>
                <c:pt idx="3">
                  <c:v>9</c:v>
                </c:pt>
                <c:pt idx="4">
                  <c:v>7</c:v>
                </c:pt>
                <c:pt idx="5">
                  <c:v>47</c:v>
                </c:pt>
                <c:pt idx="6">
                  <c:v>21</c:v>
                </c:pt>
                <c:pt idx="7">
                  <c:v>32</c:v>
                </c:pt>
                <c:pt idx="8">
                  <c:v>50</c:v>
                </c:pt>
                <c:pt idx="9">
                  <c:v>46</c:v>
                </c:pt>
                <c:pt idx="10">
                  <c:v>13</c:v>
                </c:pt>
                <c:pt idx="11">
                  <c:v>11</c:v>
                </c:pt>
                <c:pt idx="12">
                  <c:v>61</c:v>
                </c:pt>
                <c:pt idx="13">
                  <c:v>19</c:v>
                </c:pt>
                <c:pt idx="14">
                  <c:v>35</c:v>
                </c:pt>
                <c:pt idx="15">
                  <c:v>38</c:v>
                </c:pt>
              </c:numCache>
            </c:numRef>
          </c:val>
        </c:ser>
        <c:ser>
          <c:idx val="3"/>
          <c:order val="3"/>
          <c:tx>
            <c:strRef>
              <c:f>pt@label 3</c:f>
              <c:strCache>
                <c:ptCount val="1"/>
                <c:pt idx="0">
                  <c:v>Somme - Femme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pt@categories</c:f>
              <c:strCache>
                <c:ptCount val="16"/>
                <c:pt idx="0">
                  <c:v>Allinges – Rond point des Fleysets</c:v>
                </c:pt>
                <c:pt idx="1">
                  <c:v>Bons en Chablais – Gare</c:v>
                </c:pt>
                <c:pt idx="2">
                  <c:v>Douvaine – Mairie</c:v>
                </c:pt>
                <c:pt idx="3">
                  <c:v>Evian – Gare</c:v>
                </c:pt>
                <c:pt idx="4">
                  <c:v>Perrignier – Gare</c:v>
                </c:pt>
                <c:pt idx="5">
                  <c:v>Thonon - Embarcadère CGN</c:v>
                </c:pt>
                <c:pt idx="6">
                  <c:v>Thonon - Entrée côté place de Crête</c:v>
                </c:pt>
                <c:pt idx="7">
                  <c:v>Thonon - Parvis de la gare</c:v>
                </c:pt>
                <c:pt idx="8">
                  <c:v>Thonon – Avenue d’Evian</c:v>
                </c:pt>
                <c:pt idx="9">
                  <c:v>Thonon – Carrefour Libération</c:v>
                </c:pt>
                <c:pt idx="10">
                  <c:v>Thonon – Collège Champagne</c:v>
                </c:pt>
                <c:pt idx="11">
                  <c:v>Thonon – Ecole Jule Ferry</c:v>
                </c:pt>
                <c:pt idx="12">
                  <c:v>Thonon – Rond point J. Ferry G Andrier Pl des Arts Bld du Canal</c:v>
                </c:pt>
                <c:pt idx="13">
                  <c:v>Thonon / Anthy – Pont de Marclaz</c:v>
                </c:pt>
                <c:pt idx="14">
                  <c:v>Thonon / Marin - Pont de Dranse</c:v>
                </c:pt>
                <c:pt idx="15">
                  <c:v>Veigy – Douane</c:v>
                </c:pt>
              </c:strCache>
            </c:strRef>
          </c:cat>
          <c:val>
            <c:numRef>
              <c:f>pt@data 3</c:f>
              <c:numCache>
                <c:formatCode>General</c:formatCode>
                <c:ptCount val="16"/>
                <c:pt idx="0">
                  <c:v>11</c:v>
                </c:pt>
                <c:pt idx="1">
                  <c:v>11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  <c:pt idx="5">
                  <c:v>27</c:v>
                </c:pt>
                <c:pt idx="6">
                  <c:v>13</c:v>
                </c:pt>
                <c:pt idx="7">
                  <c:v>15</c:v>
                </c:pt>
                <c:pt idx="8">
                  <c:v>42</c:v>
                </c:pt>
                <c:pt idx="9">
                  <c:v>31</c:v>
                </c:pt>
                <c:pt idx="10">
                  <c:v>6</c:v>
                </c:pt>
                <c:pt idx="11">
                  <c:v>13</c:v>
                </c:pt>
                <c:pt idx="12">
                  <c:v>40</c:v>
                </c:pt>
                <c:pt idx="13">
                  <c:v>6</c:v>
                </c:pt>
                <c:pt idx="14">
                  <c:v>10</c:v>
                </c:pt>
                <c:pt idx="15">
                  <c:v>30</c:v>
                </c:pt>
              </c:numCache>
            </c:numRef>
          </c:val>
        </c:ser>
        <c:gapWidth val="100"/>
        <c:overlap val="0"/>
        <c:axId val="6075092"/>
        <c:axId val="11511938"/>
      </c:barChart>
      <c:catAx>
        <c:axId val="60750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1511938"/>
        <c:crosses val="autoZero"/>
        <c:auto val="1"/>
        <c:lblAlgn val="ctr"/>
        <c:lblOffset val="100"/>
      </c:catAx>
      <c:valAx>
        <c:axId val="1151193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75092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794160</xdr:colOff>
      <xdr:row>1</xdr:row>
      <xdr:rowOff>162000</xdr:rowOff>
    </xdr:from>
    <xdr:to>
      <xdr:col>30</xdr:col>
      <xdr:colOff>230040</xdr:colOff>
      <xdr:row>19</xdr:row>
      <xdr:rowOff>42480</xdr:rowOff>
    </xdr:to>
    <xdr:graphicFrame>
      <xdr:nvGraphicFramePr>
        <xdr:cNvPr id="0" name=""/>
        <xdr:cNvGraphicFramePr/>
      </xdr:nvGraphicFramePr>
      <xdr:xfrm>
        <a:off x="12853800" y="324360"/>
        <a:ext cx="1569204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601200</xdr:colOff>
      <xdr:row>23</xdr:row>
      <xdr:rowOff>85320</xdr:rowOff>
    </xdr:from>
    <xdr:to>
      <xdr:col>20</xdr:col>
      <xdr:colOff>747360</xdr:colOff>
      <xdr:row>47</xdr:row>
      <xdr:rowOff>124200</xdr:rowOff>
    </xdr:to>
    <xdr:graphicFrame>
      <xdr:nvGraphicFramePr>
        <xdr:cNvPr id="1" name=""/>
        <xdr:cNvGraphicFramePr/>
      </xdr:nvGraphicFramePr>
      <xdr:xfrm>
        <a:off x="8151840" y="4256280"/>
        <a:ext cx="12783240" cy="394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4" createdVersion="3">
  <cacheSource type="worksheet">
    <worksheetSource ref="A2:S235" sheet="Synthèse AMDC"/>
  </cacheSource>
  <cacheFields count="19">
    <cacheField name="Point de comptage" numFmtId="0">
      <sharedItems containsBlank="1" count="17">
        <s v="Allinges – Rond point des Fleysets"/>
        <s v="Bons en Chablais – Gare"/>
        <s v="Douvaine – Mairie"/>
        <s v="Evian – Gare"/>
        <s v="Perrignier – Gare"/>
        <s v="Thonon - Embarcadère CGN"/>
        <s v="Thonon - Entrée côté place de Crête"/>
        <s v="Thonon - Parvis de la gare"/>
        <s v="Thonon – Avenue d’Evian"/>
        <s v="Thonon – Carrefour Libération"/>
        <s v="Thonon – Collège Champagne"/>
        <s v="Thonon – Ecole Jule Ferry"/>
        <s v="Thonon – Rond point J. Ferry G Andrier Pl des Arts Bld du Canal"/>
        <s v="Thonon / Anthy – Pont de Marclaz"/>
        <s v="Thonon / Marin - Pont de Dranse"/>
        <s v="Veigy – Douane"/>
        <m/>
      </sharedItems>
    </cacheField>
    <cacheField name="Compteur" numFmtId="0">
      <sharedItems containsBlank="1" count="18">
        <s v="Bernadette de Roland"/>
        <s v="Bernard Pellé"/>
        <s v="Corinne Echernier"/>
        <s v="Emmanuelle Brunet"/>
        <s v="Grégoire Berthon"/>
        <s v="Isabelle Christophe"/>
        <s v="Jean-Pierre Burnet"/>
        <s v="Laurence Dupraz"/>
        <s v="Marie Tessier"/>
        <s v="Martine Turpin"/>
        <s v="Mathilde Bochaton"/>
        <s v="Olivier Antoine et Georges Gaillet"/>
        <s v="Pascal Daurelle"/>
        <s v="Philippe Dombrat"/>
        <s v="Sébastien Garnier"/>
        <s v="Sylvie Lara"/>
        <s v="Thomas"/>
        <m/>
      </sharedItems>
    </cacheField>
    <cacheField name="Direction" numFmtId="0">
      <sharedItems containsBlank="1" count="54">
        <s v=" =&gt; Gare"/>
        <s v=" =&gt; Perrignier"/>
        <s v=" =&gt; zone industrielle"/>
        <s v="Allinges =&gt; Thonon"/>
        <s v="Arrêt Lycée/Collège Saint Joseph, Ecole Saint François"/>
        <s v="Avenue de la gare"/>
        <s v="Avenue de la Libération direction l'OUEST"/>
        <s v="Avenue des Allinges vers le Sud"/>
        <s v="Bons centre =&gt; Gare"/>
        <s v="Bons centre =&gt; zone industrielle-Vessonez"/>
        <s v="Centre scolaire =&gt;  Genève"/>
        <s v="Centre scolaire =&gt;  Thonon"/>
        <s v="Centre Thonon =&gt; Port"/>
        <s v="Chemin de Ronde direction l'EST"/>
        <s v="Collège Champagne =&gt; Pont de Vongy – Evian"/>
        <s v="Collège Champagne =&gt; Thonon Place de Crête"/>
        <s v="Crevy =&gt; Genève"/>
        <s v="DIRECTION ANTHY MARGENCEL"/>
        <s v="direction Nord vers  passage à niveau et Hôtel Dieu (sens interdit)"/>
        <s v="Direction Pont de Vongy – Evian"/>
        <s v="DIRECTION THONON"/>
        <s v="Direction Thonon Centre"/>
        <s v="Direction VERS AVENUE DES VALLEES"/>
        <s v="Direction VERS CENTRE-VILLE"/>
        <s v="Direction VERS PLACE CRETE"/>
        <s v="Direction VERS RUE DE LA LIBERATION"/>
        <s v="Douvaine =&gt; Genève (piste cyclable)"/>
        <s v="Entrée dans la gare"/>
        <s v="Entrée sur le parvis de la gare SNCF de Thonon"/>
        <s v="Evian - Pont de Vongy =&gt; Thonon place de Crête"/>
        <s v="Evian – Pont de Vongy =&gt; Collège Champagne"/>
        <s v="Evian =&gt; Thonon"/>
        <s v="Genève =&gt; centre scolaire"/>
        <s v="Genève =&gt; France"/>
        <s v="Genève =&gt; Thonon"/>
        <s v="Les Bougeries =&gt; Thonon"/>
        <s v="Quai de Rive + Ripaille =&gt; port"/>
        <s v="Sortie de la gare"/>
        <s v="Thonon =&gt; Allinges"/>
        <s v="Thonon =&gt; centre scolaire"/>
        <s v="Thonon =&gt; Evian"/>
        <s v="Thonon =&gt; Genève "/>
        <s v="Thonon =&gt; Les Bougeries"/>
        <s v="Thonon Place de Crête =&gt; Collège Champagne"/>
        <s v="Thonon place de Crête =&gt; Pont de Vongy – Evian"/>
        <s v="Thonon- =&gt; Evian"/>
        <s v="Veigy =&gt; Genève"/>
        <s v="Vers Av J. ferry"/>
        <s v="Vers Bvd du Canal"/>
        <s v="Vers Bvd G. Andrier"/>
        <s v="Vers Place des Arts"/>
        <s v="Vessonex, Loyer =&gt; Bons Centre"/>
        <s v="Vessonex/Loyer =&gt; gare"/>
        <m/>
      </sharedItems>
    </cacheField>
    <cacheField name="Comptage" numFmtId="0">
      <sharedItems containsBlank="1" count="3">
        <s v="Classique"/>
        <s v="Entré &amp; sortie"/>
        <m/>
      </sharedItems>
    </cacheField>
    <cacheField name="Homme / VAE" numFmtId="0">
      <sharedItems containsString="0" containsBlank="1" containsNumber="1" containsInteger="1" minValue="0" maxValue="9" count="9">
        <n v="0"/>
        <n v="1"/>
        <n v="2"/>
        <n v="3"/>
        <n v="4"/>
        <n v="5"/>
        <n v="7"/>
        <n v="9"/>
        <m/>
      </sharedItems>
    </cacheField>
    <cacheField name="Homme / Vélo" numFmtId="0">
      <sharedItems containsString="0" containsBlank="1" containsNumber="1" containsInteger="1" minValue="0" maxValue="32" count="20">
        <n v="0"/>
        <n v="1"/>
        <n v="2"/>
        <n v="3"/>
        <n v="4"/>
        <n v="5"/>
        <n v="6"/>
        <n v="7"/>
        <n v="8"/>
        <n v="9"/>
        <n v="10"/>
        <n v="12"/>
        <n v="13"/>
        <n v="14"/>
        <n v="15"/>
        <n v="20"/>
        <n v="27"/>
        <n v="30"/>
        <n v="32"/>
        <m/>
      </sharedItems>
    </cacheField>
    <cacheField name="Homme / Trottinette, skate, roller" numFmtId="0">
      <sharedItems containsString="0" containsBlank="1" containsNumber="1" containsInteger="1" minValue="0" maxValue="32" count="12">
        <n v="0"/>
        <n v="1"/>
        <n v="2"/>
        <n v="3"/>
        <n v="4"/>
        <n v="5"/>
        <n v="9"/>
        <n v="13"/>
        <n v="20"/>
        <n v="24"/>
        <n v="32"/>
        <m/>
      </sharedItems>
    </cacheField>
    <cacheField name="Femme / VAE" numFmtId="0">
      <sharedItems containsString="0" containsBlank="1" containsNumber="1" containsInteger="1" minValue="0" maxValue="11" count="10">
        <n v="0"/>
        <n v="1"/>
        <n v="2"/>
        <n v="3"/>
        <n v="4"/>
        <n v="5"/>
        <n v="6"/>
        <n v="7"/>
        <n v="11"/>
        <m/>
      </sharedItems>
    </cacheField>
    <cacheField name="Femme / Vélo" numFmtId="0">
      <sharedItems containsString="0" containsBlank="1" containsNumber="1" containsInteger="1" minValue="0" maxValue="24" count="15">
        <n v="0"/>
        <n v="1"/>
        <n v="2"/>
        <n v="3"/>
        <n v="4"/>
        <n v="5"/>
        <n v="6"/>
        <n v="7"/>
        <n v="8"/>
        <n v="11"/>
        <n v="12"/>
        <n v="13"/>
        <n v="16"/>
        <n v="24"/>
        <m/>
      </sharedItems>
    </cacheField>
    <cacheField name="Femme / Trottinette, skate, roller" numFmtId="0">
      <sharedItems containsString="0" containsBlank="1" containsNumber="1" containsInteger="1" minValue="0" maxValue="29" count="12">
        <n v="0"/>
        <n v="1"/>
        <n v="2"/>
        <n v="3"/>
        <n v="4"/>
        <n v="5"/>
        <n v="12"/>
        <n v="13"/>
        <n v="15"/>
        <n v="20"/>
        <n v="29"/>
        <m/>
      </sharedItems>
    </cacheField>
    <cacheField name="Enfant / Trottinette, skate, roller" numFmtId="0">
      <sharedItems containsString="0" containsBlank="1" containsNumber="1" containsInteger="1" minValue="0" maxValue="28" count="11">
        <n v="0"/>
        <n v="1"/>
        <n v="2"/>
        <n v="3"/>
        <n v="6"/>
        <n v="10"/>
        <n v="11"/>
        <n v="15"/>
        <n v="21"/>
        <n v="28"/>
        <m/>
      </sharedItems>
    </cacheField>
    <cacheField name="Enfant / Vélo" numFmtId="0">
      <sharedItems containsString="0" containsBlank="1" containsNumber="1" containsInteger="1" minValue="0" maxValue="6" count="8">
        <n v="0"/>
        <n v="1"/>
        <n v="2"/>
        <n v="3"/>
        <n v="4"/>
        <n v="5"/>
        <n v="6"/>
        <m/>
      </sharedItems>
    </cacheField>
    <cacheField name="Piéton" numFmtId="0">
      <sharedItems containsString="0" containsBlank="1" containsNumber="1" containsInteger="1" minValue="0" maxValue="15" count="4">
        <n v="0"/>
        <n v="1"/>
        <n v="15"/>
        <m/>
      </sharedItems>
    </cacheField>
    <cacheField name="Vélo" numFmtId="0">
      <sharedItems containsString="0" containsBlank="1" containsNumber="1" containsInteger="1" minValue="0" maxValue="44" count="23">
        <n v="0"/>
        <n v="1"/>
        <n v="2"/>
        <n v="3"/>
        <n v="4"/>
        <n v="5"/>
        <n v="6"/>
        <n v="7"/>
        <n v="8"/>
        <n v="10"/>
        <n v="11"/>
        <n v="12"/>
        <n v="13"/>
        <n v="15"/>
        <n v="16"/>
        <n v="17"/>
        <n v="19"/>
        <n v="26"/>
        <n v="27"/>
        <n v="36"/>
        <n v="43"/>
        <n v="44"/>
        <m/>
      </sharedItems>
    </cacheField>
    <cacheField name="VAE" numFmtId="0">
      <sharedItems containsString="0" containsBlank="1" containsNumber="1" containsInteger="1" minValue="0" maxValue="18" count="13">
        <n v="0"/>
        <n v="1"/>
        <n v="2"/>
        <n v="3"/>
        <n v="4"/>
        <n v="5"/>
        <n v="6"/>
        <n v="7"/>
        <n v="10"/>
        <n v="15"/>
        <n v="16"/>
        <n v="18"/>
        <m/>
      </sharedItems>
    </cacheField>
    <cacheField name="Homme" numFmtId="0">
      <sharedItems containsString="0" containsBlank="1" containsNumber="1" containsInteger="1" minValue="0" maxValue="37" count="22">
        <n v="0"/>
        <n v="1"/>
        <n v="2"/>
        <n v="3"/>
        <n v="4"/>
        <n v="5"/>
        <n v="6"/>
        <n v="7"/>
        <n v="9"/>
        <n v="10"/>
        <n v="12"/>
        <n v="13"/>
        <n v="14"/>
        <n v="15"/>
        <n v="16"/>
        <n v="17"/>
        <n v="18"/>
        <n v="23"/>
        <n v="29"/>
        <n v="32"/>
        <n v="37"/>
        <m/>
      </sharedItems>
    </cacheField>
    <cacheField name="Femme" numFmtId="0">
      <sharedItems containsString="0" containsBlank="1" containsNumber="1" containsInteger="1" minValue="0" maxValue="28" count="17">
        <n v="0"/>
        <n v="1"/>
        <n v="2"/>
        <n v="3"/>
        <n v="4"/>
        <n v="6"/>
        <n v="7"/>
        <n v="8"/>
        <n v="9"/>
        <n v="10"/>
        <n v="11"/>
        <n v="13"/>
        <n v="15"/>
        <n v="17"/>
        <n v="19"/>
        <n v="28"/>
        <m/>
      </sharedItems>
    </cacheField>
    <cacheField name="Enfants" numFmtId="0">
      <sharedItems containsString="0" containsBlank="1" containsNumber="1" containsInteger="1" minValue="0" maxValue="28" count="15">
        <n v="0"/>
        <n v="1"/>
        <n v="2"/>
        <n v="3"/>
        <n v="5"/>
        <n v="8"/>
        <n v="9"/>
        <n v="10"/>
        <n v="12"/>
        <n v="13"/>
        <n v="16"/>
        <n v="19"/>
        <n v="26"/>
        <n v="28"/>
        <m/>
      </sharedItems>
    </cacheField>
    <cacheField name="Trottinette, skate, Roller (H,F)" numFmtId="0">
      <sharedItems containsString="0" containsBlank="1" containsNumber="1" containsInteger="1" minValue="0" maxValue="52" count="14">
        <n v="0"/>
        <n v="1"/>
        <n v="2"/>
        <n v="3"/>
        <n v="4"/>
        <n v="5"/>
        <n v="7"/>
        <n v="9"/>
        <n v="15"/>
        <n v="21"/>
        <n v="37"/>
        <n v="49"/>
        <n v="5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15"/>
    <x v="4"/>
    <x v="26"/>
    <x v="0"/>
    <x v="7"/>
    <x v="9"/>
    <x v="0"/>
    <x v="7"/>
    <x v="8"/>
    <x v="0"/>
    <x v="0"/>
    <x v="0"/>
    <x v="0"/>
    <x v="15"/>
    <x v="10"/>
    <x v="16"/>
    <x v="12"/>
    <x v="0"/>
    <x v="0"/>
  </r>
  <r>
    <x v="15"/>
    <x v="4"/>
    <x v="46"/>
    <x v="0"/>
    <x v="5"/>
    <x v="7"/>
    <x v="0"/>
    <x v="5"/>
    <x v="5"/>
    <x v="0"/>
    <x v="0"/>
    <x v="0"/>
    <x v="1"/>
    <x v="11"/>
    <x v="8"/>
    <x v="10"/>
    <x v="9"/>
    <x v="0"/>
    <x v="0"/>
  </r>
  <r>
    <x v="15"/>
    <x v="4"/>
    <x v="16"/>
    <x v="0"/>
    <x v="3"/>
    <x v="1"/>
    <x v="1"/>
    <x v="2"/>
    <x v="0"/>
    <x v="0"/>
    <x v="0"/>
    <x v="0"/>
    <x v="2"/>
    <x v="1"/>
    <x v="5"/>
    <x v="4"/>
    <x v="2"/>
    <x v="0"/>
    <x v="1"/>
  </r>
  <r>
    <x v="15"/>
    <x v="4"/>
    <x v="33"/>
    <x v="0"/>
    <x v="2"/>
    <x v="2"/>
    <x v="0"/>
    <x v="2"/>
    <x v="1"/>
    <x v="0"/>
    <x v="0"/>
    <x v="0"/>
    <x v="0"/>
    <x v="3"/>
    <x v="4"/>
    <x v="4"/>
    <x v="3"/>
    <x v="0"/>
    <x v="0"/>
  </r>
  <r>
    <x v="12"/>
    <x v="11"/>
    <x v="49"/>
    <x v="1"/>
    <x v="0"/>
    <x v="7"/>
    <x v="2"/>
    <x v="2"/>
    <x v="4"/>
    <x v="1"/>
    <x v="2"/>
    <x v="1"/>
    <x v="3"/>
    <x v="10"/>
    <x v="2"/>
    <x v="7"/>
    <x v="5"/>
    <x v="3"/>
    <x v="3"/>
  </r>
  <r>
    <x v="12"/>
    <x v="11"/>
    <x v="50"/>
    <x v="1"/>
    <x v="4"/>
    <x v="9"/>
    <x v="2"/>
    <x v="2"/>
    <x v="7"/>
    <x v="5"/>
    <x v="1"/>
    <x v="0"/>
    <x v="3"/>
    <x v="14"/>
    <x v="6"/>
    <x v="11"/>
    <x v="8"/>
    <x v="1"/>
    <x v="6"/>
  </r>
  <r>
    <x v="12"/>
    <x v="11"/>
    <x v="47"/>
    <x v="1"/>
    <x v="0"/>
    <x v="11"/>
    <x v="2"/>
    <x v="2"/>
    <x v="4"/>
    <x v="1"/>
    <x v="2"/>
    <x v="1"/>
    <x v="3"/>
    <x v="14"/>
    <x v="2"/>
    <x v="10"/>
    <x v="5"/>
    <x v="3"/>
    <x v="3"/>
  </r>
  <r>
    <x v="12"/>
    <x v="11"/>
    <x v="48"/>
    <x v="1"/>
    <x v="2"/>
    <x v="16"/>
    <x v="6"/>
    <x v="3"/>
    <x v="12"/>
    <x v="6"/>
    <x v="4"/>
    <x v="2"/>
    <x v="3"/>
    <x v="20"/>
    <x v="5"/>
    <x v="18"/>
    <x v="14"/>
    <x v="5"/>
    <x v="9"/>
  </r>
  <r>
    <x v="0"/>
    <x v="6"/>
    <x v="3"/>
    <x v="0"/>
    <x v="0"/>
    <x v="4"/>
    <x v="0"/>
    <x v="3"/>
    <x v="1"/>
    <x v="0"/>
    <x v="0"/>
    <x v="0"/>
    <x v="3"/>
    <x v="5"/>
    <x v="3"/>
    <x v="4"/>
    <x v="4"/>
    <x v="0"/>
    <x v="0"/>
  </r>
  <r>
    <x v="0"/>
    <x v="6"/>
    <x v="35"/>
    <x v="0"/>
    <x v="1"/>
    <x v="2"/>
    <x v="0"/>
    <x v="3"/>
    <x v="0"/>
    <x v="0"/>
    <x v="0"/>
    <x v="0"/>
    <x v="3"/>
    <x v="2"/>
    <x v="4"/>
    <x v="3"/>
    <x v="3"/>
    <x v="0"/>
    <x v="0"/>
  </r>
  <r>
    <x v="0"/>
    <x v="6"/>
    <x v="38"/>
    <x v="0"/>
    <x v="0"/>
    <x v="4"/>
    <x v="0"/>
    <x v="1"/>
    <x v="0"/>
    <x v="0"/>
    <x v="0"/>
    <x v="0"/>
    <x v="3"/>
    <x v="4"/>
    <x v="1"/>
    <x v="4"/>
    <x v="1"/>
    <x v="0"/>
    <x v="0"/>
  </r>
  <r>
    <x v="0"/>
    <x v="6"/>
    <x v="42"/>
    <x v="0"/>
    <x v="0"/>
    <x v="1"/>
    <x v="0"/>
    <x v="3"/>
    <x v="0"/>
    <x v="0"/>
    <x v="0"/>
    <x v="0"/>
    <x v="3"/>
    <x v="1"/>
    <x v="3"/>
    <x v="1"/>
    <x v="3"/>
    <x v="0"/>
    <x v="0"/>
  </r>
  <r>
    <x v="14"/>
    <x v="5"/>
    <x v="45"/>
    <x v="0"/>
    <x v="3"/>
    <x v="13"/>
    <x v="1"/>
    <x v="0"/>
    <x v="1"/>
    <x v="2"/>
    <x v="0"/>
    <x v="0"/>
    <x v="3"/>
    <x v="13"/>
    <x v="3"/>
    <x v="15"/>
    <x v="1"/>
    <x v="0"/>
    <x v="3"/>
  </r>
  <r>
    <x v="14"/>
    <x v="5"/>
    <x v="31"/>
    <x v="0"/>
    <x v="7"/>
    <x v="9"/>
    <x v="0"/>
    <x v="6"/>
    <x v="3"/>
    <x v="1"/>
    <x v="0"/>
    <x v="0"/>
    <x v="3"/>
    <x v="11"/>
    <x v="9"/>
    <x v="16"/>
    <x v="8"/>
    <x v="0"/>
    <x v="1"/>
  </r>
  <r>
    <x v="1"/>
    <x v="13"/>
    <x v="8"/>
    <x v="0"/>
    <x v="1"/>
    <x v="5"/>
    <x v="7"/>
    <x v="2"/>
    <x v="2"/>
    <x v="2"/>
    <x v="1"/>
    <x v="0"/>
    <x v="3"/>
    <x v="7"/>
    <x v="3"/>
    <x v="6"/>
    <x v="4"/>
    <x v="1"/>
    <x v="8"/>
  </r>
  <r>
    <x v="1"/>
    <x v="13"/>
    <x v="52"/>
    <x v="0"/>
    <x v="2"/>
    <x v="4"/>
    <x v="2"/>
    <x v="3"/>
    <x v="1"/>
    <x v="1"/>
    <x v="4"/>
    <x v="3"/>
    <x v="3"/>
    <x v="5"/>
    <x v="5"/>
    <x v="6"/>
    <x v="4"/>
    <x v="6"/>
    <x v="3"/>
  </r>
  <r>
    <x v="1"/>
    <x v="13"/>
    <x v="9"/>
    <x v="0"/>
    <x v="0"/>
    <x v="0"/>
    <x v="4"/>
    <x v="1"/>
    <x v="0"/>
    <x v="0"/>
    <x v="0"/>
    <x v="0"/>
    <x v="3"/>
    <x v="0"/>
    <x v="1"/>
    <x v="0"/>
    <x v="1"/>
    <x v="0"/>
    <x v="4"/>
  </r>
  <r>
    <x v="1"/>
    <x v="13"/>
    <x v="51"/>
    <x v="0"/>
    <x v="0"/>
    <x v="2"/>
    <x v="0"/>
    <x v="1"/>
    <x v="1"/>
    <x v="0"/>
    <x v="0"/>
    <x v="1"/>
    <x v="3"/>
    <x v="3"/>
    <x v="1"/>
    <x v="2"/>
    <x v="2"/>
    <x v="1"/>
    <x v="0"/>
  </r>
  <r>
    <x v="10"/>
    <x v="15"/>
    <x v="43"/>
    <x v="0"/>
    <x v="0"/>
    <x v="2"/>
    <x v="0"/>
    <x v="0"/>
    <x v="0"/>
    <x v="0"/>
    <x v="8"/>
    <x v="5"/>
    <x v="3"/>
    <x v="2"/>
    <x v="0"/>
    <x v="2"/>
    <x v="0"/>
    <x v="12"/>
    <x v="0"/>
  </r>
  <r>
    <x v="10"/>
    <x v="15"/>
    <x v="30"/>
    <x v="0"/>
    <x v="0"/>
    <x v="0"/>
    <x v="0"/>
    <x v="0"/>
    <x v="0"/>
    <x v="0"/>
    <x v="3"/>
    <x v="0"/>
    <x v="3"/>
    <x v="0"/>
    <x v="0"/>
    <x v="0"/>
    <x v="0"/>
    <x v="3"/>
    <x v="0"/>
  </r>
  <r>
    <x v="10"/>
    <x v="15"/>
    <x v="29"/>
    <x v="0"/>
    <x v="1"/>
    <x v="2"/>
    <x v="0"/>
    <x v="0"/>
    <x v="2"/>
    <x v="0"/>
    <x v="0"/>
    <x v="1"/>
    <x v="3"/>
    <x v="4"/>
    <x v="1"/>
    <x v="3"/>
    <x v="2"/>
    <x v="1"/>
    <x v="0"/>
  </r>
  <r>
    <x v="10"/>
    <x v="15"/>
    <x v="44"/>
    <x v="0"/>
    <x v="2"/>
    <x v="4"/>
    <x v="0"/>
    <x v="1"/>
    <x v="2"/>
    <x v="2"/>
    <x v="0"/>
    <x v="0"/>
    <x v="3"/>
    <x v="6"/>
    <x v="3"/>
    <x v="6"/>
    <x v="3"/>
    <x v="0"/>
    <x v="2"/>
  </r>
  <r>
    <x v="10"/>
    <x v="15"/>
    <x v="15"/>
    <x v="0"/>
    <x v="0"/>
    <x v="2"/>
    <x v="1"/>
    <x v="0"/>
    <x v="1"/>
    <x v="0"/>
    <x v="3"/>
    <x v="0"/>
    <x v="3"/>
    <x v="3"/>
    <x v="0"/>
    <x v="2"/>
    <x v="1"/>
    <x v="3"/>
    <x v="1"/>
  </r>
  <r>
    <x v="10"/>
    <x v="15"/>
    <x v="14"/>
    <x v="0"/>
    <x v="0"/>
    <x v="0"/>
    <x v="0"/>
    <x v="0"/>
    <x v="0"/>
    <x v="0"/>
    <x v="0"/>
    <x v="0"/>
    <x v="3"/>
    <x v="0"/>
    <x v="0"/>
    <x v="0"/>
    <x v="0"/>
    <x v="0"/>
    <x v="0"/>
  </r>
  <r>
    <x v="5"/>
    <x v="14"/>
    <x v="36"/>
    <x v="0"/>
    <x v="2"/>
    <x v="8"/>
    <x v="8"/>
    <x v="2"/>
    <x v="8"/>
    <x v="10"/>
    <x v="10"/>
    <x v="7"/>
    <x v="3"/>
    <x v="14"/>
    <x v="4"/>
    <x v="9"/>
    <x v="9"/>
    <x v="0"/>
    <x v="11"/>
  </r>
  <r>
    <x v="5"/>
    <x v="14"/>
    <x v="12"/>
    <x v="0"/>
    <x v="6"/>
    <x v="17"/>
    <x v="10"/>
    <x v="8"/>
    <x v="6"/>
    <x v="9"/>
    <x v="10"/>
    <x v="7"/>
    <x v="3"/>
    <x v="19"/>
    <x v="11"/>
    <x v="20"/>
    <x v="13"/>
    <x v="0"/>
    <x v="12"/>
  </r>
  <r>
    <x v="13"/>
    <x v="12"/>
    <x v="17"/>
    <x v="0"/>
    <x v="3"/>
    <x v="10"/>
    <x v="4"/>
    <x v="2"/>
    <x v="0"/>
    <x v="0"/>
    <x v="0"/>
    <x v="0"/>
    <x v="3"/>
    <x v="9"/>
    <x v="5"/>
    <x v="11"/>
    <x v="2"/>
    <x v="0"/>
    <x v="4"/>
  </r>
  <r>
    <x v="13"/>
    <x v="12"/>
    <x v="20"/>
    <x v="0"/>
    <x v="0"/>
    <x v="6"/>
    <x v="0"/>
    <x v="2"/>
    <x v="2"/>
    <x v="0"/>
    <x v="0"/>
    <x v="0"/>
    <x v="3"/>
    <x v="8"/>
    <x v="2"/>
    <x v="6"/>
    <x v="4"/>
    <x v="0"/>
    <x v="0"/>
  </r>
  <r>
    <x v="9"/>
    <x v="1"/>
    <x v="7"/>
    <x v="1"/>
    <x v="2"/>
    <x v="10"/>
    <x v="5"/>
    <x v="1"/>
    <x v="6"/>
    <x v="2"/>
    <x v="1"/>
    <x v="1"/>
    <x v="3"/>
    <x v="14"/>
    <x v="3"/>
    <x v="10"/>
    <x v="6"/>
    <x v="2"/>
    <x v="6"/>
  </r>
  <r>
    <x v="9"/>
    <x v="1"/>
    <x v="6"/>
    <x v="1"/>
    <x v="3"/>
    <x v="12"/>
    <x v="4"/>
    <x v="2"/>
    <x v="6"/>
    <x v="0"/>
    <x v="0"/>
    <x v="0"/>
    <x v="3"/>
    <x v="16"/>
    <x v="5"/>
    <x v="14"/>
    <x v="7"/>
    <x v="0"/>
    <x v="4"/>
  </r>
  <r>
    <x v="9"/>
    <x v="1"/>
    <x v="13"/>
    <x v="1"/>
    <x v="1"/>
    <x v="3"/>
    <x v="1"/>
    <x v="0"/>
    <x v="1"/>
    <x v="1"/>
    <x v="0"/>
    <x v="0"/>
    <x v="3"/>
    <x v="4"/>
    <x v="1"/>
    <x v="4"/>
    <x v="1"/>
    <x v="0"/>
    <x v="2"/>
  </r>
  <r>
    <x v="9"/>
    <x v="1"/>
    <x v="18"/>
    <x v="1"/>
    <x v="0"/>
    <x v="13"/>
    <x v="4"/>
    <x v="2"/>
    <x v="11"/>
    <x v="3"/>
    <x v="5"/>
    <x v="6"/>
    <x v="3"/>
    <x v="18"/>
    <x v="2"/>
    <x v="12"/>
    <x v="12"/>
    <x v="10"/>
    <x v="6"/>
  </r>
  <r>
    <x v="11"/>
    <x v="16"/>
    <x v="31"/>
    <x v="0"/>
    <x v="1"/>
    <x v="9"/>
    <x v="4"/>
    <x v="5"/>
    <x v="6"/>
    <x v="5"/>
    <x v="4"/>
    <x v="2"/>
    <x v="3"/>
    <x v="13"/>
    <x v="6"/>
    <x v="9"/>
    <x v="10"/>
    <x v="5"/>
    <x v="7"/>
  </r>
  <r>
    <x v="11"/>
    <x v="16"/>
    <x v="40"/>
    <x v="0"/>
    <x v="0"/>
    <x v="1"/>
    <x v="1"/>
    <x v="1"/>
    <x v="1"/>
    <x v="1"/>
    <x v="5"/>
    <x v="3"/>
    <x v="3"/>
    <x v="2"/>
    <x v="1"/>
    <x v="1"/>
    <x v="2"/>
    <x v="9"/>
    <x v="2"/>
  </r>
  <r>
    <x v="6"/>
    <x v="3"/>
    <x v="24"/>
    <x v="1"/>
    <x v="1"/>
    <x v="0"/>
    <x v="3"/>
    <x v="0"/>
    <x v="0"/>
    <x v="2"/>
    <x v="2"/>
    <x v="3"/>
    <x v="3"/>
    <x v="0"/>
    <x v="1"/>
    <x v="1"/>
    <x v="0"/>
    <x v="4"/>
    <x v="5"/>
  </r>
  <r>
    <x v="6"/>
    <x v="3"/>
    <x v="23"/>
    <x v="1"/>
    <x v="0"/>
    <x v="3"/>
    <x v="2"/>
    <x v="1"/>
    <x v="1"/>
    <x v="0"/>
    <x v="2"/>
    <x v="1"/>
    <x v="3"/>
    <x v="4"/>
    <x v="1"/>
    <x v="3"/>
    <x v="2"/>
    <x v="3"/>
    <x v="2"/>
  </r>
  <r>
    <x v="6"/>
    <x v="3"/>
    <x v="22"/>
    <x v="1"/>
    <x v="1"/>
    <x v="6"/>
    <x v="0"/>
    <x v="0"/>
    <x v="2"/>
    <x v="0"/>
    <x v="0"/>
    <x v="0"/>
    <x v="3"/>
    <x v="8"/>
    <x v="1"/>
    <x v="7"/>
    <x v="2"/>
    <x v="0"/>
    <x v="0"/>
  </r>
  <r>
    <x v="6"/>
    <x v="3"/>
    <x v="25"/>
    <x v="1"/>
    <x v="2"/>
    <x v="8"/>
    <x v="2"/>
    <x v="1"/>
    <x v="8"/>
    <x v="3"/>
    <x v="0"/>
    <x v="0"/>
    <x v="3"/>
    <x v="14"/>
    <x v="3"/>
    <x v="9"/>
    <x v="8"/>
    <x v="0"/>
    <x v="5"/>
  </r>
  <r>
    <x v="2"/>
    <x v="10"/>
    <x v="34"/>
    <x v="0"/>
    <x v="1"/>
    <x v="1"/>
    <x v="0"/>
    <x v="0"/>
    <x v="1"/>
    <x v="0"/>
    <x v="1"/>
    <x v="1"/>
    <x v="3"/>
    <x v="2"/>
    <x v="1"/>
    <x v="2"/>
    <x v="1"/>
    <x v="2"/>
    <x v="0"/>
  </r>
  <r>
    <x v="2"/>
    <x v="10"/>
    <x v="41"/>
    <x v="0"/>
    <x v="4"/>
    <x v="5"/>
    <x v="0"/>
    <x v="3"/>
    <x v="1"/>
    <x v="1"/>
    <x v="0"/>
    <x v="0"/>
    <x v="3"/>
    <x v="6"/>
    <x v="7"/>
    <x v="8"/>
    <x v="4"/>
    <x v="0"/>
    <x v="1"/>
  </r>
  <r>
    <x v="2"/>
    <x v="10"/>
    <x v="10"/>
    <x v="0"/>
    <x v="0"/>
    <x v="0"/>
    <x v="0"/>
    <x v="0"/>
    <x v="1"/>
    <x v="1"/>
    <x v="0"/>
    <x v="0"/>
    <x v="3"/>
    <x v="1"/>
    <x v="0"/>
    <x v="0"/>
    <x v="1"/>
    <x v="0"/>
    <x v="1"/>
  </r>
  <r>
    <x v="2"/>
    <x v="10"/>
    <x v="11"/>
    <x v="0"/>
    <x v="0"/>
    <x v="0"/>
    <x v="2"/>
    <x v="0"/>
    <x v="0"/>
    <x v="0"/>
    <x v="0"/>
    <x v="0"/>
    <x v="3"/>
    <x v="0"/>
    <x v="0"/>
    <x v="0"/>
    <x v="0"/>
    <x v="0"/>
    <x v="2"/>
  </r>
  <r>
    <x v="2"/>
    <x v="10"/>
    <x v="32"/>
    <x v="0"/>
    <x v="1"/>
    <x v="0"/>
    <x v="1"/>
    <x v="0"/>
    <x v="2"/>
    <x v="1"/>
    <x v="6"/>
    <x v="5"/>
    <x v="3"/>
    <x v="2"/>
    <x v="1"/>
    <x v="1"/>
    <x v="2"/>
    <x v="10"/>
    <x v="2"/>
  </r>
  <r>
    <x v="2"/>
    <x v="10"/>
    <x v="39"/>
    <x v="0"/>
    <x v="0"/>
    <x v="0"/>
    <x v="0"/>
    <x v="0"/>
    <x v="0"/>
    <x v="0"/>
    <x v="4"/>
    <x v="4"/>
    <x v="3"/>
    <x v="0"/>
    <x v="0"/>
    <x v="0"/>
    <x v="0"/>
    <x v="7"/>
    <x v="0"/>
  </r>
  <r>
    <x v="7"/>
    <x v="9"/>
    <x v="28"/>
    <x v="0"/>
    <x v="0"/>
    <x v="18"/>
    <x v="9"/>
    <x v="3"/>
    <x v="10"/>
    <x v="7"/>
    <x v="7"/>
    <x v="4"/>
    <x v="3"/>
    <x v="21"/>
    <x v="3"/>
    <x v="19"/>
    <x v="12"/>
    <x v="11"/>
    <x v="10"/>
  </r>
  <r>
    <x v="8"/>
    <x v="0"/>
    <x v="19"/>
    <x v="0"/>
    <x v="0"/>
    <x v="11"/>
    <x v="1"/>
    <x v="0"/>
    <x v="1"/>
    <x v="0"/>
    <x v="2"/>
    <x v="0"/>
    <x v="3"/>
    <x v="12"/>
    <x v="0"/>
    <x v="10"/>
    <x v="1"/>
    <x v="2"/>
    <x v="1"/>
  </r>
  <r>
    <x v="8"/>
    <x v="0"/>
    <x v="4"/>
    <x v="0"/>
    <x v="0"/>
    <x v="14"/>
    <x v="3"/>
    <x v="2"/>
    <x v="9"/>
    <x v="0"/>
    <x v="5"/>
    <x v="2"/>
    <x v="3"/>
    <x v="17"/>
    <x v="2"/>
    <x v="13"/>
    <x v="11"/>
    <x v="8"/>
    <x v="3"/>
  </r>
  <r>
    <x v="8"/>
    <x v="2"/>
    <x v="21"/>
    <x v="0"/>
    <x v="3"/>
    <x v="15"/>
    <x v="0"/>
    <x v="4"/>
    <x v="13"/>
    <x v="8"/>
    <x v="9"/>
    <x v="0"/>
    <x v="3"/>
    <x v="21"/>
    <x v="7"/>
    <x v="17"/>
    <x v="15"/>
    <x v="13"/>
    <x v="8"/>
  </r>
  <r>
    <x v="4"/>
    <x v="7"/>
    <x v="2"/>
    <x v="0"/>
    <x v="0"/>
    <x v="1"/>
    <x v="0"/>
    <x v="0"/>
    <x v="0"/>
    <x v="0"/>
    <x v="0"/>
    <x v="0"/>
    <x v="3"/>
    <x v="1"/>
    <x v="0"/>
    <x v="1"/>
    <x v="0"/>
    <x v="0"/>
    <x v="0"/>
  </r>
  <r>
    <x v="4"/>
    <x v="7"/>
    <x v="1"/>
    <x v="0"/>
    <x v="0"/>
    <x v="1"/>
    <x v="1"/>
    <x v="0"/>
    <x v="0"/>
    <x v="0"/>
    <x v="0"/>
    <x v="1"/>
    <x v="3"/>
    <x v="1"/>
    <x v="0"/>
    <x v="1"/>
    <x v="0"/>
    <x v="1"/>
    <x v="1"/>
  </r>
  <r>
    <x v="4"/>
    <x v="7"/>
    <x v="0"/>
    <x v="0"/>
    <x v="2"/>
    <x v="3"/>
    <x v="1"/>
    <x v="0"/>
    <x v="0"/>
    <x v="4"/>
    <x v="1"/>
    <x v="0"/>
    <x v="3"/>
    <x v="3"/>
    <x v="2"/>
    <x v="5"/>
    <x v="0"/>
    <x v="1"/>
    <x v="5"/>
  </r>
  <r>
    <x v="3"/>
    <x v="8"/>
    <x v="27"/>
    <x v="0"/>
    <x v="0"/>
    <x v="4"/>
    <x v="1"/>
    <x v="1"/>
    <x v="1"/>
    <x v="3"/>
    <x v="0"/>
    <x v="0"/>
    <x v="3"/>
    <x v="5"/>
    <x v="1"/>
    <x v="4"/>
    <x v="2"/>
    <x v="0"/>
    <x v="4"/>
  </r>
  <r>
    <x v="3"/>
    <x v="8"/>
    <x v="37"/>
    <x v="0"/>
    <x v="0"/>
    <x v="3"/>
    <x v="3"/>
    <x v="0"/>
    <x v="1"/>
    <x v="0"/>
    <x v="0"/>
    <x v="0"/>
    <x v="3"/>
    <x v="4"/>
    <x v="0"/>
    <x v="3"/>
    <x v="1"/>
    <x v="0"/>
    <x v="3"/>
  </r>
  <r>
    <x v="3"/>
    <x v="8"/>
    <x v="5"/>
    <x v="0"/>
    <x v="0"/>
    <x v="2"/>
    <x v="0"/>
    <x v="1"/>
    <x v="0"/>
    <x v="0"/>
    <x v="0"/>
    <x v="0"/>
    <x v="3"/>
    <x v="2"/>
    <x v="1"/>
    <x v="2"/>
    <x v="1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J19" firstHeaderRow="1" firstDataRow="2" firstDataCol="1"/>
  <pivotFields count="19">
    <pivotField axis="axisRow" showAll="0" defaultSubtotal="0" compact="0" outline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h="1" x="16"/>
      </items>
    </pivotField>
    <pivotField showAll="0" compact="0"/>
    <pivotField showAll="0" compact="0"/>
    <pivotField showAll="0" compact="0"/>
    <pivotField dataField="1" showAll="0" compact="0" outline="0"/>
    <pivotField dataField="1" showAll="0" compact="0" outline="0"/>
    <pivotField dataField="1" showAll="0" compact="0" outline="0"/>
    <pivotField dataField="1" showAll="0" compact="0" outline="0"/>
    <pivotField dataField="1" showAll="0" compact="0" outline="0"/>
    <pivotField dataField="1" showAll="0" compact="0" outline="0"/>
    <pivotField dataField="1" showAll="0" compact="0" outline="0"/>
    <pivotField dataField="1" showAll="0" compact="0" outline="0"/>
    <pivotField dataField="1" showAll="0" compact="0" outline="0"/>
    <pivotField showAll="0" compact="0"/>
    <pivotField showAll="0" compact="0"/>
    <pivotField showAll="0" compact="0"/>
    <pivotField showAll="0" compact="0"/>
    <pivotField showAll="0" compact="0"/>
    <pivotField showAll="0" compact="0"/>
  </pivotFields>
  <rowFields count="1">
    <field x="0"/>
  </rowFields>
  <colFields count="1">
    <field x="-2"/>
  </colFields>
  <dataFields count="9">
    <dataField fld="4" subtotal="sum"/>
    <dataField fld="5" subtotal="sum"/>
    <dataField fld="6" subtotal="sum"/>
    <dataField fld="7" subtotal="sum"/>
    <dataField fld="8" subtotal="sum"/>
    <dataField fld="9" subtotal="sum"/>
    <dataField fld="10" subtotal="sum"/>
    <dataField fld="11" subtotal="sum"/>
    <dataField fld="12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24:E42" firstHeaderRow="1" firstDataRow="2" firstDataCol="1"/>
  <pivotFields count="19">
    <pivotField axis="axisRow" showAll="0" defaultSubtotal="0" compact="0" outline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h="1" x="16"/>
      </items>
    </pivotField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dataField="1" showAll="0" compact="0" outline="0"/>
    <pivotField dataField="1" showAll="0" compact="0" outline="0"/>
    <pivotField dataField="1" showAll="0" compact="0" outline="0"/>
    <pivotField dataField="1" showAll="0" compact="0" outline="0"/>
    <pivotField showAll="0" compact="0"/>
    <pivotField showAll="0" compact="0"/>
  </pivotFields>
  <rowFields count="1">
    <field x="0"/>
  </rowFields>
  <colFields count="1">
    <field x="-2"/>
  </colFields>
  <dataFields count="4">
    <dataField fld="14" subtotal="sum"/>
    <dataField fld="13" subtotal="sum"/>
    <dataField fld="15" subtotal="sum"/>
    <dataField fld="16" subtotal="sum"/>
  </dataFields>
</pivotTableDefinition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7030A0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2" min="1" style="1" width="1.44"/>
    <col collapsed="false" customWidth="true" hidden="false" outlineLevel="0" max="4" min="3" style="1" width="2.7"/>
    <col collapsed="false" customWidth="true" hidden="false" outlineLevel="0" max="5" min="5" style="2" width="8.28"/>
    <col collapsed="false" customWidth="true" hidden="false" outlineLevel="0" max="6" min="6" style="1" width="115.58"/>
    <col collapsed="false" customWidth="true" hidden="false" outlineLevel="0" max="8" min="7" style="1" width="1.44"/>
    <col collapsed="false" customWidth="true" hidden="false" outlineLevel="0" max="1025" min="9" style="1" width="14.4"/>
  </cols>
  <sheetData>
    <row r="1" customFormat="false" ht="7.5" hidden="false" customHeight="true" outlineLevel="0" collapsed="false">
      <c r="A1" s="3"/>
      <c r="B1" s="4"/>
      <c r="C1" s="4"/>
      <c r="D1" s="4"/>
      <c r="E1" s="5"/>
      <c r="F1" s="4"/>
      <c r="G1" s="4"/>
      <c r="H1" s="3"/>
    </row>
    <row r="2" customFormat="false" ht="7.5" hidden="false" customHeight="true" outlineLevel="0" collapsed="false">
      <c r="A2" s="6"/>
      <c r="B2" s="7"/>
      <c r="C2" s="8"/>
      <c r="D2" s="8"/>
      <c r="E2" s="9"/>
      <c r="F2" s="8"/>
      <c r="G2" s="10"/>
      <c r="H2" s="11"/>
    </row>
    <row r="3" customFormat="false" ht="24.75" hidden="false" customHeight="true" outlineLevel="0" collapsed="false">
      <c r="A3" s="6"/>
      <c r="B3" s="11"/>
      <c r="C3" s="12" t="s">
        <v>0</v>
      </c>
      <c r="D3" s="12"/>
      <c r="E3" s="12"/>
      <c r="F3" s="12"/>
      <c r="G3" s="6"/>
      <c r="H3" s="11"/>
    </row>
    <row r="4" s="14" customFormat="true" ht="6.75" hidden="false" customHeight="true" outlineLevel="0" collapsed="false">
      <c r="A4" s="6"/>
      <c r="B4" s="11"/>
      <c r="C4" s="13"/>
      <c r="D4" s="13"/>
      <c r="E4" s="13"/>
      <c r="F4" s="13"/>
      <c r="G4" s="6"/>
      <c r="H4" s="11"/>
    </row>
    <row r="5" s="20" customFormat="true" ht="17.25" hidden="false" customHeight="true" outlineLevel="0" collapsed="false">
      <c r="A5" s="15"/>
      <c r="B5" s="16"/>
      <c r="C5" s="17"/>
      <c r="D5" s="18" t="s">
        <v>1</v>
      </c>
      <c r="E5" s="18"/>
      <c r="F5" s="19" t="s">
        <v>2</v>
      </c>
      <c r="G5" s="15"/>
      <c r="H5" s="16"/>
    </row>
    <row r="6" s="14" customFormat="true" ht="6.75" hidden="false" customHeight="true" outlineLevel="0" collapsed="false">
      <c r="A6" s="6"/>
      <c r="B6" s="11"/>
      <c r="C6" s="13"/>
      <c r="D6" s="13"/>
      <c r="E6" s="13"/>
      <c r="F6" s="13"/>
      <c r="G6" s="6"/>
      <c r="H6" s="11"/>
    </row>
    <row r="7" customFormat="false" ht="18.75" hidden="false" customHeight="false" outlineLevel="0" collapsed="false">
      <c r="A7" s="6"/>
      <c r="B7" s="11"/>
      <c r="C7" s="21"/>
      <c r="D7" s="22" t="s">
        <v>3</v>
      </c>
      <c r="E7" s="23"/>
      <c r="F7" s="24"/>
      <c r="G7" s="6"/>
      <c r="H7" s="11"/>
    </row>
    <row r="8" s="14" customFormat="true" ht="6.75" hidden="false" customHeight="true" outlineLevel="0" collapsed="false">
      <c r="A8" s="6"/>
      <c r="B8" s="11"/>
      <c r="C8" s="13"/>
      <c r="D8" s="13"/>
      <c r="E8" s="13"/>
      <c r="F8" s="13"/>
      <c r="G8" s="6"/>
      <c r="H8" s="11"/>
    </row>
    <row r="9" customFormat="false" ht="18.75" hidden="false" customHeight="false" outlineLevel="0" collapsed="false">
      <c r="A9" s="6"/>
      <c r="B9" s="11"/>
      <c r="C9" s="21"/>
      <c r="D9" s="25" t="s">
        <v>4</v>
      </c>
      <c r="E9" s="26"/>
      <c r="F9" s="27"/>
      <c r="G9" s="6"/>
      <c r="H9" s="11"/>
    </row>
    <row r="10" customFormat="false" ht="15" hidden="false" customHeight="false" outlineLevel="0" collapsed="false">
      <c r="A10" s="6"/>
      <c r="B10" s="11"/>
      <c r="C10" s="3"/>
      <c r="D10" s="28" t="s">
        <v>5</v>
      </c>
      <c r="E10" s="29" t="s">
        <v>6</v>
      </c>
      <c r="F10" s="3" t="s">
        <v>7</v>
      </c>
      <c r="G10" s="6"/>
      <c r="H10" s="11"/>
    </row>
    <row r="11" customFormat="false" ht="15" hidden="false" customHeight="false" outlineLevel="0" collapsed="false">
      <c r="A11" s="6"/>
      <c r="B11" s="11"/>
      <c r="C11" s="3"/>
      <c r="D11" s="28"/>
      <c r="E11" s="29" t="s">
        <v>8</v>
      </c>
      <c r="F11" s="3" t="s">
        <v>9</v>
      </c>
      <c r="G11" s="6"/>
      <c r="H11" s="11"/>
    </row>
    <row r="12" customFormat="false" ht="15" hidden="false" customHeight="false" outlineLevel="0" collapsed="false">
      <c r="A12" s="6"/>
      <c r="B12" s="11"/>
      <c r="C12" s="3"/>
      <c r="D12" s="28"/>
      <c r="E12" s="29" t="s">
        <v>10</v>
      </c>
      <c r="F12" s="3" t="s">
        <v>11</v>
      </c>
      <c r="G12" s="6"/>
      <c r="H12" s="11"/>
    </row>
    <row r="13" customFormat="false" ht="15" hidden="false" customHeight="false" outlineLevel="0" collapsed="false">
      <c r="A13" s="6"/>
      <c r="B13" s="11"/>
      <c r="C13" s="3"/>
      <c r="D13" s="28"/>
      <c r="E13" s="29" t="s">
        <v>12</v>
      </c>
      <c r="F13" s="3" t="s">
        <v>13</v>
      </c>
      <c r="G13" s="6"/>
      <c r="H13" s="11"/>
    </row>
    <row r="14" customFormat="false" ht="15" hidden="false" customHeight="false" outlineLevel="0" collapsed="false">
      <c r="A14" s="6"/>
      <c r="B14" s="11"/>
      <c r="C14" s="3"/>
      <c r="D14" s="28"/>
      <c r="E14" s="29" t="s">
        <v>14</v>
      </c>
      <c r="F14" s="3" t="s">
        <v>15</v>
      </c>
      <c r="G14" s="6"/>
      <c r="H14" s="11"/>
    </row>
    <row r="15" s="35" customFormat="true" ht="15" hidden="false" customHeight="false" outlineLevel="0" collapsed="false">
      <c r="A15" s="30"/>
      <c r="B15" s="31"/>
      <c r="C15" s="32"/>
      <c r="D15" s="28"/>
      <c r="E15" s="33" t="s">
        <v>16</v>
      </c>
      <c r="F15" s="34" t="s">
        <v>17</v>
      </c>
      <c r="G15" s="30"/>
      <c r="H15" s="31"/>
    </row>
    <row r="16" customFormat="false" ht="15" hidden="false" customHeight="false" outlineLevel="0" collapsed="false">
      <c r="A16" s="6"/>
      <c r="B16" s="11"/>
      <c r="C16" s="3"/>
      <c r="D16" s="28"/>
      <c r="E16" s="29" t="s">
        <v>18</v>
      </c>
      <c r="F16" s="3" t="s">
        <v>19</v>
      </c>
      <c r="G16" s="6"/>
      <c r="H16" s="11"/>
    </row>
    <row r="17" s="35" customFormat="true" ht="15" hidden="false" customHeight="false" outlineLevel="0" collapsed="false">
      <c r="A17" s="30"/>
      <c r="B17" s="31"/>
      <c r="C17" s="32"/>
      <c r="D17" s="28"/>
      <c r="E17" s="33" t="s">
        <v>20</v>
      </c>
      <c r="F17" s="34" t="s">
        <v>21</v>
      </c>
      <c r="G17" s="30"/>
      <c r="H17" s="31"/>
    </row>
    <row r="18" customFormat="false" ht="15" hidden="false" customHeight="false" outlineLevel="0" collapsed="false">
      <c r="A18" s="6"/>
      <c r="B18" s="11"/>
      <c r="C18" s="3"/>
      <c r="D18" s="28"/>
      <c r="E18" s="29" t="s">
        <v>22</v>
      </c>
      <c r="F18" s="3" t="s">
        <v>23</v>
      </c>
      <c r="G18" s="6"/>
      <c r="H18" s="11"/>
    </row>
    <row r="19" customFormat="false" ht="6.75" hidden="false" customHeight="true" outlineLevel="0" collapsed="false">
      <c r="A19" s="6"/>
      <c r="B19" s="11"/>
      <c r="C19" s="3"/>
      <c r="D19" s="3"/>
      <c r="E19" s="29"/>
      <c r="F19" s="3"/>
      <c r="G19" s="6"/>
      <c r="H19" s="11"/>
    </row>
    <row r="20" customFormat="false" ht="15.75" hidden="false" customHeight="true" outlineLevel="0" collapsed="false">
      <c r="A20" s="6"/>
      <c r="B20" s="11"/>
      <c r="C20" s="3"/>
      <c r="D20" s="36" t="s">
        <v>24</v>
      </c>
      <c r="E20" s="36"/>
      <c r="F20" s="36"/>
      <c r="G20" s="6"/>
      <c r="H20" s="11"/>
    </row>
    <row r="21" customFormat="false" ht="15.75" hidden="false" customHeight="false" outlineLevel="0" collapsed="false">
      <c r="A21" s="6"/>
      <c r="B21" s="11"/>
      <c r="C21" s="3"/>
      <c r="D21" s="37" t="s">
        <v>25</v>
      </c>
      <c r="E21" s="38"/>
      <c r="F21" s="39"/>
      <c r="G21" s="6"/>
      <c r="H21" s="11"/>
    </row>
    <row r="22" customFormat="false" ht="15" hidden="false" customHeight="false" outlineLevel="0" collapsed="false">
      <c r="A22" s="6"/>
      <c r="B22" s="11"/>
      <c r="C22" s="3"/>
      <c r="D22" s="28" t="s">
        <v>26</v>
      </c>
      <c r="E22" s="29" t="s">
        <v>27</v>
      </c>
      <c r="F22" s="40" t="s">
        <v>28</v>
      </c>
      <c r="G22" s="6"/>
      <c r="H22" s="11"/>
    </row>
    <row r="23" customFormat="false" ht="15" hidden="false" customHeight="false" outlineLevel="0" collapsed="false">
      <c r="A23" s="6"/>
      <c r="B23" s="11"/>
      <c r="C23" s="3"/>
      <c r="D23" s="28"/>
      <c r="E23" s="29" t="s">
        <v>29</v>
      </c>
      <c r="F23" s="3" t="s">
        <v>30</v>
      </c>
      <c r="G23" s="6"/>
      <c r="H23" s="11"/>
    </row>
    <row r="24" customFormat="false" ht="15" hidden="false" customHeight="false" outlineLevel="0" collapsed="false">
      <c r="A24" s="6"/>
      <c r="B24" s="11"/>
      <c r="C24" s="3"/>
      <c r="D24" s="28"/>
      <c r="E24" s="29" t="s">
        <v>31</v>
      </c>
      <c r="F24" s="40" t="s">
        <v>32</v>
      </c>
      <c r="G24" s="6"/>
      <c r="H24" s="11"/>
    </row>
    <row r="25" customFormat="false" ht="15" hidden="false" customHeight="false" outlineLevel="0" collapsed="false">
      <c r="A25" s="6"/>
      <c r="B25" s="11"/>
      <c r="C25" s="3"/>
      <c r="D25" s="28"/>
      <c r="E25" s="29" t="s">
        <v>33</v>
      </c>
      <c r="F25" s="3" t="s">
        <v>34</v>
      </c>
      <c r="G25" s="6"/>
      <c r="H25" s="11"/>
    </row>
    <row r="26" s="14" customFormat="true" ht="6.75" hidden="false" customHeight="true" outlineLevel="0" collapsed="false">
      <c r="A26" s="6"/>
      <c r="B26" s="11"/>
      <c r="C26" s="13"/>
      <c r="D26" s="13"/>
      <c r="E26" s="13"/>
      <c r="F26" s="13"/>
      <c r="G26" s="6"/>
      <c r="H26" s="11"/>
    </row>
    <row r="27" customFormat="false" ht="18.75" hidden="false" customHeight="false" outlineLevel="0" collapsed="false">
      <c r="A27" s="6"/>
      <c r="B27" s="11"/>
      <c r="C27" s="21"/>
      <c r="D27" s="41" t="s">
        <v>35</v>
      </c>
      <c r="E27" s="42"/>
      <c r="F27" s="43"/>
      <c r="G27" s="6"/>
      <c r="H27" s="11"/>
    </row>
    <row r="28" s="35" customFormat="true" ht="15" hidden="false" customHeight="true" outlineLevel="0" collapsed="false">
      <c r="A28" s="30"/>
      <c r="B28" s="31"/>
      <c r="C28" s="32"/>
      <c r="D28" s="28" t="s">
        <v>36</v>
      </c>
      <c r="E28" s="33" t="s">
        <v>37</v>
      </c>
      <c r="F28" s="34" t="s">
        <v>38</v>
      </c>
      <c r="G28" s="30"/>
      <c r="H28" s="31"/>
    </row>
    <row r="29" customFormat="false" ht="15" hidden="false" customHeight="false" outlineLevel="0" collapsed="false">
      <c r="A29" s="6"/>
      <c r="B29" s="11"/>
      <c r="C29" s="3"/>
      <c r="D29" s="28"/>
      <c r="E29" s="29" t="s">
        <v>39</v>
      </c>
      <c r="F29" s="3" t="s">
        <v>40</v>
      </c>
      <c r="G29" s="6"/>
      <c r="H29" s="11"/>
    </row>
    <row r="30" customFormat="false" ht="15" hidden="false" customHeight="false" outlineLevel="0" collapsed="false">
      <c r="A30" s="6"/>
      <c r="B30" s="11"/>
      <c r="C30" s="3"/>
      <c r="D30" s="28"/>
      <c r="E30" s="29" t="s">
        <v>41</v>
      </c>
      <c r="F30" s="3" t="s">
        <v>42</v>
      </c>
      <c r="G30" s="6"/>
      <c r="H30" s="11"/>
    </row>
    <row r="31" customFormat="false" ht="15" hidden="false" customHeight="false" outlineLevel="0" collapsed="false">
      <c r="A31" s="6"/>
      <c r="B31" s="11"/>
      <c r="C31" s="3"/>
      <c r="D31" s="28"/>
      <c r="E31" s="29" t="s">
        <v>43</v>
      </c>
      <c r="F31" s="3" t="s">
        <v>44</v>
      </c>
      <c r="G31" s="6"/>
      <c r="H31" s="11"/>
    </row>
    <row r="32" customFormat="false" ht="15" hidden="false" customHeight="false" outlineLevel="0" collapsed="false">
      <c r="A32" s="6"/>
      <c r="B32" s="11"/>
      <c r="C32" s="3"/>
      <c r="D32" s="28"/>
      <c r="E32" s="29" t="s">
        <v>45</v>
      </c>
      <c r="F32" s="3" t="s">
        <v>46</v>
      </c>
      <c r="G32" s="6"/>
      <c r="H32" s="11"/>
    </row>
    <row r="33" customFormat="false" ht="15" hidden="false" customHeight="false" outlineLevel="0" collapsed="false">
      <c r="A33" s="6"/>
      <c r="B33" s="11"/>
      <c r="C33" s="3"/>
      <c r="D33" s="28"/>
      <c r="E33" s="29" t="s">
        <v>47</v>
      </c>
      <c r="F33" s="3" t="s">
        <v>48</v>
      </c>
      <c r="G33" s="6"/>
      <c r="H33" s="11"/>
    </row>
    <row r="34" customFormat="false" ht="7.5" hidden="false" customHeight="true" outlineLevel="0" collapsed="false">
      <c r="A34" s="6"/>
      <c r="B34" s="44"/>
      <c r="C34" s="4"/>
      <c r="D34" s="4"/>
      <c r="E34" s="5"/>
      <c r="F34" s="4"/>
      <c r="G34" s="45"/>
      <c r="H34" s="11"/>
    </row>
    <row r="35" customFormat="false" ht="7.5" hidden="false" customHeight="true" outlineLevel="0" collapsed="false">
      <c r="A35" s="3"/>
      <c r="B35" s="8"/>
      <c r="C35" s="8"/>
      <c r="D35" s="8"/>
      <c r="E35" s="9"/>
      <c r="F35" s="8"/>
      <c r="G35" s="8"/>
      <c r="H35" s="3"/>
    </row>
  </sheetData>
  <mergeCells count="5">
    <mergeCell ref="C3:F3"/>
    <mergeCell ref="D5:E5"/>
    <mergeCell ref="D10:D18"/>
    <mergeCell ref="D22:D25"/>
    <mergeCell ref="D28:D3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00B050"/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C1" colorId="64" zoomScale="80" zoomScaleNormal="80" zoomScalePageLayoutView="100" workbookViewId="0">
      <selection pane="topLeft" activeCell="G12" activeCellId="0" sqref="G12"/>
    </sheetView>
  </sheetViews>
  <sheetFormatPr defaultRowHeight="15" zeroHeight="false" outlineLevelRow="0" outlineLevelCol="0"/>
  <cols>
    <col collapsed="false" customWidth="true" hidden="false" outlineLevel="0" max="1" min="1" style="24" width="0.54"/>
    <col collapsed="false" customWidth="true" hidden="false" outlineLevel="0" max="2" min="2" style="1" width="48.96"/>
    <col collapsed="false" customWidth="true" hidden="false" outlineLevel="0" max="3" min="3" style="2" width="14.58"/>
    <col collapsed="false" customWidth="true" hidden="false" outlineLevel="0" max="4" min="4" style="2" width="19.26"/>
    <col collapsed="false" customWidth="true" hidden="false" outlineLevel="0" max="5" min="5" style="1" width="54.01"/>
    <col collapsed="false" customWidth="true" hidden="true" outlineLevel="0" max="6" min="6" style="2" width="14.04"/>
    <col collapsed="false" customWidth="true" hidden="false" outlineLevel="0" max="8" min="7" style="2" width="14.4"/>
    <col collapsed="false" customWidth="true" hidden="false" outlineLevel="0" max="9" min="9" style="46" width="14.4"/>
    <col collapsed="false" customWidth="true" hidden="false" outlineLevel="0" max="10" min="10" style="47" width="14.4"/>
    <col collapsed="false" customWidth="true" hidden="false" outlineLevel="0" max="11" min="11" style="46" width="14.4"/>
    <col collapsed="false" customWidth="true" hidden="false" outlineLevel="0" max="12" min="12" style="47" width="14.4"/>
    <col collapsed="false" customWidth="true" hidden="false" outlineLevel="0" max="13" min="13" style="46" width="14.4"/>
    <col collapsed="false" customWidth="true" hidden="false" outlineLevel="0" max="14" min="14" style="47" width="14.4"/>
    <col collapsed="false" customWidth="true" hidden="false" outlineLevel="0" max="22" min="15" style="2" width="9.54"/>
    <col collapsed="false" customWidth="true" hidden="false" outlineLevel="0" max="23" min="23" style="2" width="6.66"/>
    <col collapsed="false" customWidth="true" hidden="false" outlineLevel="0" max="1025" min="24" style="1" width="14.4"/>
  </cols>
  <sheetData>
    <row r="1" s="24" customFormat="true" ht="2.25" hidden="false" customHeight="true" outlineLevel="0" collapsed="false">
      <c r="C1" s="23"/>
      <c r="D1" s="23"/>
      <c r="F1" s="23"/>
      <c r="G1" s="23"/>
      <c r="H1" s="23"/>
      <c r="I1" s="48"/>
      <c r="J1" s="49"/>
      <c r="K1" s="48"/>
      <c r="L1" s="49"/>
      <c r="M1" s="48"/>
      <c r="N1" s="49"/>
      <c r="O1" s="23"/>
      <c r="P1" s="23"/>
      <c r="Q1" s="23"/>
      <c r="R1" s="23"/>
      <c r="S1" s="23"/>
      <c r="T1" s="23"/>
      <c r="U1" s="23"/>
      <c r="V1" s="23"/>
      <c r="W1" s="23"/>
    </row>
    <row r="2" s="61" customFormat="true" ht="30" hidden="false" customHeight="true" outlineLevel="0" collapsed="false">
      <c r="A2" s="50"/>
      <c r="B2" s="51" t="s">
        <v>49</v>
      </c>
      <c r="C2" s="52" t="s">
        <v>50</v>
      </c>
      <c r="D2" s="52" t="s">
        <v>51</v>
      </c>
      <c r="E2" s="53" t="s">
        <v>52</v>
      </c>
      <c r="F2" s="54" t="s">
        <v>53</v>
      </c>
      <c r="G2" s="55" t="s">
        <v>54</v>
      </c>
      <c r="H2" s="55"/>
      <c r="I2" s="56" t="s">
        <v>55</v>
      </c>
      <c r="J2" s="57" t="s">
        <v>56</v>
      </c>
      <c r="K2" s="56" t="s">
        <v>57</v>
      </c>
      <c r="L2" s="57" t="s">
        <v>58</v>
      </c>
      <c r="M2" s="56" t="s">
        <v>59</v>
      </c>
      <c r="N2" s="57" t="s">
        <v>60</v>
      </c>
      <c r="O2" s="58" t="s">
        <v>61</v>
      </c>
      <c r="P2" s="58"/>
      <c r="Q2" s="58" t="s">
        <v>62</v>
      </c>
      <c r="R2" s="58"/>
      <c r="S2" s="58" t="s">
        <v>63</v>
      </c>
      <c r="T2" s="58"/>
      <c r="U2" s="59" t="s">
        <v>64</v>
      </c>
      <c r="V2" s="59"/>
      <c r="W2" s="60"/>
    </row>
    <row r="3" s="61" customFormat="true" ht="30" hidden="false" customHeight="true" outlineLevel="0" collapsed="false">
      <c r="A3" s="50"/>
      <c r="B3" s="51"/>
      <c r="C3" s="52"/>
      <c r="D3" s="52"/>
      <c r="E3" s="53"/>
      <c r="F3" s="54"/>
      <c r="G3" s="62"/>
      <c r="H3" s="63"/>
      <c r="I3" s="56"/>
      <c r="J3" s="57"/>
      <c r="K3" s="56"/>
      <c r="L3" s="57"/>
      <c r="M3" s="56"/>
      <c r="N3" s="57"/>
      <c r="O3" s="64"/>
      <c r="P3" s="63"/>
      <c r="Q3" s="64"/>
      <c r="R3" s="63"/>
      <c r="S3" s="64"/>
      <c r="T3" s="63"/>
      <c r="U3" s="65"/>
      <c r="V3" s="66"/>
      <c r="W3" s="60"/>
    </row>
    <row r="4" s="61" customFormat="true" ht="30" hidden="false" customHeight="true" outlineLevel="0" collapsed="false">
      <c r="A4" s="50"/>
      <c r="B4" s="51"/>
      <c r="C4" s="52"/>
      <c r="D4" s="52"/>
      <c r="E4" s="53"/>
      <c r="F4" s="54"/>
      <c r="G4" s="67" t="s">
        <v>65</v>
      </c>
      <c r="H4" s="68" t="s">
        <v>66</v>
      </c>
      <c r="I4" s="56"/>
      <c r="J4" s="57"/>
      <c r="K4" s="56"/>
      <c r="L4" s="57"/>
      <c r="M4" s="56"/>
      <c r="N4" s="57"/>
      <c r="O4" s="69" t="s">
        <v>65</v>
      </c>
      <c r="P4" s="68" t="s">
        <v>66</v>
      </c>
      <c r="Q4" s="69" t="s">
        <v>65</v>
      </c>
      <c r="R4" s="68" t="s">
        <v>66</v>
      </c>
      <c r="S4" s="69" t="s">
        <v>65</v>
      </c>
      <c r="T4" s="68" t="s">
        <v>66</v>
      </c>
      <c r="U4" s="69" t="s">
        <v>65</v>
      </c>
      <c r="V4" s="70" t="s">
        <v>66</v>
      </c>
      <c r="W4" s="60"/>
    </row>
    <row r="5" customFormat="false" ht="15.75" hidden="false" customHeight="false" outlineLevel="0" collapsed="false">
      <c r="B5" s="71" t="s">
        <v>67</v>
      </c>
      <c r="C5" s="72" t="s">
        <v>68</v>
      </c>
      <c r="D5" s="73" t="n">
        <v>2</v>
      </c>
      <c r="E5" s="74" t="s">
        <v>69</v>
      </c>
      <c r="F5" s="75" t="s">
        <v>70</v>
      </c>
      <c r="G5" s="76"/>
      <c r="H5" s="77"/>
      <c r="I5" s="78" t="e">
        <f aca="false">J5/G5</f>
        <v>#DIV/0!</v>
      </c>
      <c r="J5" s="79"/>
      <c r="K5" s="80" t="e">
        <f aca="false">L5/G5</f>
        <v>#DIV/0!</v>
      </c>
      <c r="L5" s="79"/>
      <c r="M5" s="80" t="e">
        <f aca="false">IF(N5="-","-",N5/L5)</f>
        <v>#DIV/0!</v>
      </c>
      <c r="N5" s="81"/>
      <c r="O5" s="82"/>
      <c r="P5" s="83"/>
      <c r="Q5" s="82"/>
      <c r="R5" s="83"/>
      <c r="S5" s="84" t="s">
        <v>71</v>
      </c>
      <c r="T5" s="85" t="s">
        <v>71</v>
      </c>
      <c r="U5" s="84" t="s">
        <v>71</v>
      </c>
      <c r="V5" s="86" t="s">
        <v>71</v>
      </c>
      <c r="W5" s="87"/>
    </row>
    <row r="6" customFormat="false" ht="15.75" hidden="false" customHeight="false" outlineLevel="0" collapsed="false">
      <c r="B6" s="88" t="s">
        <v>72</v>
      </c>
      <c r="C6" s="89" t="s">
        <v>68</v>
      </c>
      <c r="D6" s="90" t="n">
        <v>2</v>
      </c>
      <c r="E6" s="91" t="s">
        <v>73</v>
      </c>
      <c r="F6" s="92" t="s">
        <v>70</v>
      </c>
      <c r="G6" s="93"/>
      <c r="H6" s="94"/>
      <c r="I6" s="95" t="e">
        <f aca="false">J6/G6</f>
        <v>#DIV/0!</v>
      </c>
      <c r="J6" s="96"/>
      <c r="K6" s="97" t="e">
        <f aca="false">L6/G6</f>
        <v>#DIV/0!</v>
      </c>
      <c r="L6" s="96"/>
      <c r="M6" s="97" t="e">
        <f aca="false">IF(N6="-","-",N6/L6)</f>
        <v>#DIV/0!</v>
      </c>
      <c r="N6" s="98"/>
      <c r="O6" s="99"/>
      <c r="P6" s="100"/>
      <c r="Q6" s="99"/>
      <c r="R6" s="100"/>
      <c r="S6" s="101" t="s">
        <v>71</v>
      </c>
      <c r="T6" s="102" t="s">
        <v>71</v>
      </c>
      <c r="U6" s="101" t="s">
        <v>71</v>
      </c>
      <c r="V6" s="103" t="s">
        <v>71</v>
      </c>
      <c r="W6" s="87"/>
    </row>
    <row r="7" s="122" customFormat="true" ht="15" hidden="false" customHeight="true" outlineLevel="0" collapsed="false">
      <c r="A7" s="104"/>
      <c r="B7" s="105" t="s">
        <v>74</v>
      </c>
      <c r="C7" s="106" t="s">
        <v>68</v>
      </c>
      <c r="D7" s="107" t="n">
        <v>18</v>
      </c>
      <c r="E7" s="108" t="str">
        <f aca="false">'Synthèse AMDC'!A3</f>
        <v>Allinges – Rond point des Fleysets</v>
      </c>
      <c r="F7" s="109" t="s">
        <v>70</v>
      </c>
      <c r="G7" s="110" t="n">
        <f aca="false">'Synthèse AMDC'!B3+'Synthèse AMDC'!C3+'Synthèse AMDC'!E3+'Synthèse AMDC'!F3</f>
        <v>23</v>
      </c>
      <c r="H7" s="111" t="n">
        <f aca="false">G7</f>
        <v>23</v>
      </c>
      <c r="I7" s="112" t="n">
        <f aca="false">J7/G7</f>
        <v>0.478260869565217</v>
      </c>
      <c r="J7" s="113" t="n">
        <f aca="false">'Synthèse AMDC'!B3+'Synthèse AMDC'!E3</f>
        <v>11</v>
      </c>
      <c r="K7" s="114" t="n">
        <f aca="false">L7/G7</f>
        <v>0.478260869565217</v>
      </c>
      <c r="L7" s="113" t="n">
        <f aca="false">'Synthèse AMDC'!E3+'Synthèse AMDC'!F3</f>
        <v>11</v>
      </c>
      <c r="M7" s="114" t="n">
        <f aca="false">IF(N7="-","-",N7/L7)</f>
        <v>0.909090909090909</v>
      </c>
      <c r="N7" s="115" t="n">
        <f aca="false">'Synthèse AMDC'!E3</f>
        <v>10</v>
      </c>
      <c r="O7" s="116" t="n">
        <f aca="false">'Synthèse AMDC'!D3+'Synthèse AMDC'!G3</f>
        <v>0</v>
      </c>
      <c r="P7" s="117"/>
      <c r="Q7" s="116"/>
      <c r="R7" s="117"/>
      <c r="S7" s="118"/>
      <c r="T7" s="119"/>
      <c r="U7" s="118"/>
      <c r="V7" s="120"/>
      <c r="W7" s="121"/>
    </row>
    <row r="8" customFormat="false" ht="15" hidden="false" customHeight="true" outlineLevel="0" collapsed="false">
      <c r="A8" s="104"/>
      <c r="B8" s="105"/>
      <c r="C8" s="106"/>
      <c r="D8" s="107"/>
      <c r="E8" s="123" t="str">
        <f aca="false">'Synthèse AMDC'!A4</f>
        <v>Bons en Chablais – Gare</v>
      </c>
      <c r="F8" s="109"/>
      <c r="G8" s="124" t="n">
        <f aca="false">'Synthèse AMDC'!B4+'Synthèse AMDC'!C4+'Synthèse AMDC'!E4+'Synthèse AMDC'!F4</f>
        <v>25</v>
      </c>
      <c r="H8" s="125" t="n">
        <f aca="false">G8-12</f>
        <v>13</v>
      </c>
      <c r="I8" s="126" t="n">
        <f aca="false">J8/G8</f>
        <v>0.4</v>
      </c>
      <c r="J8" s="127" t="n">
        <f aca="false">'Synthèse AMDC'!B4+'Synthèse AMDC'!E4</f>
        <v>10</v>
      </c>
      <c r="K8" s="128" t="n">
        <f aca="false">L8/G8</f>
        <v>0.44</v>
      </c>
      <c r="L8" s="127" t="n">
        <f aca="false">'Synthèse AMDC'!E4+'Synthèse AMDC'!F4</f>
        <v>11</v>
      </c>
      <c r="M8" s="128" t="n">
        <f aca="false">IF(N8="-","-",N8/L8)</f>
        <v>0.636363636363636</v>
      </c>
      <c r="N8" s="129" t="n">
        <f aca="false">'Synthèse AMDC'!E4</f>
        <v>7</v>
      </c>
      <c r="O8" s="130" t="n">
        <f aca="false">'Synthèse AMDC'!D4+'Synthèse AMDC'!G4</f>
        <v>22</v>
      </c>
      <c r="P8" s="131"/>
      <c r="Q8" s="130"/>
      <c r="R8" s="131"/>
      <c r="S8" s="132"/>
      <c r="T8" s="133"/>
      <c r="U8" s="132"/>
      <c r="V8" s="134"/>
      <c r="W8" s="121"/>
      <c r="X8" s="122"/>
      <c r="Y8" s="122"/>
    </row>
    <row r="9" customFormat="false" ht="15" hidden="false" customHeight="true" outlineLevel="0" collapsed="false">
      <c r="A9" s="104"/>
      <c r="B9" s="105"/>
      <c r="C9" s="106"/>
      <c r="D9" s="107"/>
      <c r="E9" s="123" t="str">
        <f aca="false">'Synthèse AMDC'!A5</f>
        <v>Douvaine – Mairie</v>
      </c>
      <c r="F9" s="109"/>
      <c r="G9" s="124" t="n">
        <f aca="false">'Synthèse AMDC'!B5+'Synthèse AMDC'!C5+'Synthèse AMDC'!E5+'Synthèse AMDC'!F5</f>
        <v>20</v>
      </c>
      <c r="H9" s="135" t="n">
        <f aca="false">G9</f>
        <v>20</v>
      </c>
      <c r="I9" s="126" t="n">
        <f aca="false">J9/G9</f>
        <v>0.45</v>
      </c>
      <c r="J9" s="127" t="n">
        <f aca="false">'Synthèse AMDC'!B5+'Synthèse AMDC'!E5</f>
        <v>9</v>
      </c>
      <c r="K9" s="128" t="n">
        <f aca="false">L9/G9</f>
        <v>0.4</v>
      </c>
      <c r="L9" s="127" t="n">
        <f aca="false">'Synthèse AMDC'!E5+'Synthèse AMDC'!F5</f>
        <v>8</v>
      </c>
      <c r="M9" s="128" t="n">
        <f aca="false">IF(N9="-","-",N9/L9)</f>
        <v>0.375</v>
      </c>
      <c r="N9" s="129" t="n">
        <f aca="false">'Synthèse AMDC'!E5</f>
        <v>3</v>
      </c>
      <c r="O9" s="130" t="n">
        <f aca="false">'Synthèse AMDC'!D5+'Synthèse AMDC'!G5</f>
        <v>6</v>
      </c>
      <c r="P9" s="131"/>
      <c r="Q9" s="130"/>
      <c r="R9" s="131"/>
      <c r="S9" s="132"/>
      <c r="T9" s="133"/>
      <c r="U9" s="132"/>
      <c r="V9" s="134"/>
      <c r="W9" s="121"/>
      <c r="X9" s="122"/>
      <c r="Y9" s="122"/>
    </row>
    <row r="10" customFormat="false" ht="15" hidden="false" customHeight="true" outlineLevel="0" collapsed="false">
      <c r="A10" s="104"/>
      <c r="B10" s="105"/>
      <c r="C10" s="106"/>
      <c r="D10" s="107"/>
      <c r="E10" s="123" t="str">
        <f aca="false">'Synthèse AMDC'!A6</f>
        <v>Evian – Gare</v>
      </c>
      <c r="F10" s="109"/>
      <c r="G10" s="124" t="n">
        <f aca="false">'Synthèse AMDC'!B6+'Synthèse AMDC'!C6+'Synthèse AMDC'!E6+'Synthèse AMDC'!F6</f>
        <v>13</v>
      </c>
      <c r="H10" s="125" t="n">
        <f aca="false">G10-1</f>
        <v>12</v>
      </c>
      <c r="I10" s="126" t="n">
        <f aca="false">J10/G10</f>
        <v>0.153846153846154</v>
      </c>
      <c r="J10" s="127" t="n">
        <f aca="false">'Synthèse AMDC'!B6+'Synthèse AMDC'!E6</f>
        <v>2</v>
      </c>
      <c r="K10" s="128" t="n">
        <f aca="false">L10/G10</f>
        <v>0.307692307692308</v>
      </c>
      <c r="L10" s="127" t="n">
        <f aca="false">'Synthèse AMDC'!E6+'Synthèse AMDC'!F6</f>
        <v>4</v>
      </c>
      <c r="M10" s="128" t="n">
        <f aca="false">IF(N10="-","-",N10/L10)</f>
        <v>0.5</v>
      </c>
      <c r="N10" s="129" t="n">
        <f aca="false">'Synthèse AMDC'!E6</f>
        <v>2</v>
      </c>
      <c r="O10" s="130" t="n">
        <f aca="false">'Synthèse AMDC'!D6+'Synthèse AMDC'!G6</f>
        <v>7</v>
      </c>
      <c r="P10" s="131"/>
      <c r="Q10" s="130"/>
      <c r="R10" s="131"/>
      <c r="S10" s="132"/>
      <c r="T10" s="133"/>
      <c r="U10" s="132"/>
      <c r="V10" s="134"/>
      <c r="W10" s="121"/>
      <c r="X10" s="122"/>
      <c r="Y10" s="122"/>
    </row>
    <row r="11" customFormat="false" ht="15" hidden="false" customHeight="true" outlineLevel="0" collapsed="false">
      <c r="A11" s="104"/>
      <c r="B11" s="105"/>
      <c r="C11" s="106"/>
      <c r="D11" s="107"/>
      <c r="E11" s="123" t="str">
        <f aca="false">'Synthèse AMDC'!A7</f>
        <v>Perrignier – Gare</v>
      </c>
      <c r="F11" s="136" t="s">
        <v>70</v>
      </c>
      <c r="G11" s="124" t="n">
        <f aca="false">'Synthèse AMDC'!B7+'Synthèse AMDC'!C7+'Synthèse AMDC'!E7+'Synthèse AMDC'!F7</f>
        <v>7</v>
      </c>
      <c r="H11" s="125" t="n">
        <f aca="false">G11-1</f>
        <v>6</v>
      </c>
      <c r="I11" s="126" t="n">
        <f aca="false">J11/G11</f>
        <v>0.285714285714286</v>
      </c>
      <c r="J11" s="127" t="n">
        <f aca="false">'Synthèse AMDC'!B7+'Synthèse AMDC'!E7</f>
        <v>2</v>
      </c>
      <c r="K11" s="128" t="n">
        <f aca="false">L11/G11</f>
        <v>0</v>
      </c>
      <c r="L11" s="127" t="n">
        <f aca="false">'Synthèse AMDC'!E7+'Synthèse AMDC'!F7</f>
        <v>0</v>
      </c>
      <c r="M11" s="128" t="e">
        <f aca="false">IF(N11="-","-",N11/L11)</f>
        <v>#DIV/0!</v>
      </c>
      <c r="N11" s="129" t="n">
        <f aca="false">'Synthèse AMDC'!E7</f>
        <v>0</v>
      </c>
      <c r="O11" s="130" t="n">
        <f aca="false">'Synthèse AMDC'!D7+'Synthèse AMDC'!G7</f>
        <v>6</v>
      </c>
      <c r="P11" s="131"/>
      <c r="Q11" s="130"/>
      <c r="R11" s="131"/>
      <c r="S11" s="132"/>
      <c r="T11" s="133"/>
      <c r="U11" s="132"/>
      <c r="V11" s="134"/>
      <c r="W11" s="121"/>
      <c r="X11" s="122"/>
      <c r="Y11" s="122"/>
    </row>
    <row r="12" customFormat="false" ht="15" hidden="false" customHeight="true" outlineLevel="0" collapsed="false">
      <c r="A12" s="104"/>
      <c r="B12" s="105"/>
      <c r="C12" s="106"/>
      <c r="D12" s="107"/>
      <c r="E12" s="123" t="str">
        <f aca="false">'Synthèse AMDC'!A8</f>
        <v>Thonon - Embarcadère CGN</v>
      </c>
      <c r="F12" s="136" t="s">
        <v>70</v>
      </c>
      <c r="G12" s="124" t="n">
        <f aca="false">'Synthèse AMDC'!B8+'Synthèse AMDC'!C8+'Synthèse AMDC'!E8+'Synthèse AMDC'!F8</f>
        <v>74</v>
      </c>
      <c r="H12" s="125" t="n">
        <f aca="false">G12-44</f>
        <v>30</v>
      </c>
      <c r="I12" s="126" t="n">
        <f aca="false">J12/G12</f>
        <v>0.297297297297297</v>
      </c>
      <c r="J12" s="127" t="n">
        <f aca="false">'Synthèse AMDC'!B8+'Synthèse AMDC'!E8</f>
        <v>22</v>
      </c>
      <c r="K12" s="128" t="n">
        <f aca="false">L12/G12</f>
        <v>0.364864864864865</v>
      </c>
      <c r="L12" s="127" t="n">
        <f aca="false">'Synthèse AMDC'!E8+'Synthèse AMDC'!F8</f>
        <v>27</v>
      </c>
      <c r="M12" s="128" t="n">
        <f aca="false">IF(N12="-","-",N12/L12)</f>
        <v>0.481481481481481</v>
      </c>
      <c r="N12" s="129" t="n">
        <f aca="false">'Synthèse AMDC'!E8</f>
        <v>13</v>
      </c>
      <c r="O12" s="130" t="n">
        <f aca="false">'Synthèse AMDC'!D8+'Synthèse AMDC'!G8</f>
        <v>101</v>
      </c>
      <c r="P12" s="131"/>
      <c r="Q12" s="130"/>
      <c r="R12" s="131"/>
      <c r="S12" s="137" t="n">
        <v>74</v>
      </c>
      <c r="T12" s="138" t="n">
        <v>30</v>
      </c>
      <c r="U12" s="137" t="n">
        <v>0</v>
      </c>
      <c r="V12" s="139" t="n">
        <v>0</v>
      </c>
      <c r="W12" s="121"/>
      <c r="X12" s="122"/>
      <c r="Y12" s="122"/>
    </row>
    <row r="13" customFormat="false" ht="15" hidden="false" customHeight="true" outlineLevel="0" collapsed="false">
      <c r="A13" s="104"/>
      <c r="B13" s="105"/>
      <c r="C13" s="106"/>
      <c r="D13" s="107"/>
      <c r="E13" s="123" t="str">
        <f aca="false">'Synthèse AMDC'!A9</f>
        <v>Thonon - Entrée côté place de Crête</v>
      </c>
      <c r="F13" s="136" t="s">
        <v>70</v>
      </c>
      <c r="G13" s="124" t="n">
        <f aca="false">'Synthèse AMDC'!B9+'Synthèse AMDC'!C9+'Synthèse AMDC'!E9+'Synthèse AMDC'!F9</f>
        <v>34</v>
      </c>
      <c r="H13" s="135" t="n">
        <f aca="false">G13</f>
        <v>34</v>
      </c>
      <c r="I13" s="126" t="n">
        <f aca="false">J13/G13</f>
        <v>0.176470588235294</v>
      </c>
      <c r="J13" s="127" t="n">
        <f aca="false">'Synthèse AMDC'!B9+'Synthèse AMDC'!E9</f>
        <v>6</v>
      </c>
      <c r="K13" s="128" t="n">
        <f aca="false">L13/G13</f>
        <v>0.382352941176471</v>
      </c>
      <c r="L13" s="127" t="n">
        <f aca="false">'Synthèse AMDC'!E9+'Synthèse AMDC'!F9</f>
        <v>13</v>
      </c>
      <c r="M13" s="128" t="n">
        <f aca="false">IF(N13="-","-",N13/L13)</f>
        <v>0.153846153846154</v>
      </c>
      <c r="N13" s="129" t="n">
        <f aca="false">'Synthèse AMDC'!E9</f>
        <v>2</v>
      </c>
      <c r="O13" s="130" t="n">
        <f aca="false">'Synthèse AMDC'!D9+'Synthèse AMDC'!G9</f>
        <v>12</v>
      </c>
      <c r="P13" s="131"/>
      <c r="Q13" s="130"/>
      <c r="R13" s="131"/>
      <c r="S13" s="132"/>
      <c r="T13" s="133"/>
      <c r="U13" s="132"/>
      <c r="V13" s="134"/>
      <c r="W13" s="121"/>
      <c r="X13" s="122"/>
      <c r="Y13" s="122"/>
    </row>
    <row r="14" customFormat="false" ht="15" hidden="false" customHeight="true" outlineLevel="0" collapsed="false">
      <c r="A14" s="104"/>
      <c r="B14" s="105"/>
      <c r="C14" s="106"/>
      <c r="D14" s="107"/>
      <c r="E14" s="123" t="str">
        <f aca="false">'Synthèse AMDC'!A10</f>
        <v>Thonon - Parvis de la gare</v>
      </c>
      <c r="F14" s="136" t="s">
        <v>70</v>
      </c>
      <c r="G14" s="124" t="n">
        <f aca="false">'Synthèse AMDC'!B10+'Synthèse AMDC'!C10+'Synthèse AMDC'!E10+'Synthèse AMDC'!F10</f>
        <v>47</v>
      </c>
      <c r="H14" s="135" t="n">
        <f aca="false">G14</f>
        <v>47</v>
      </c>
      <c r="I14" s="126" t="n">
        <f aca="false">J14/G14</f>
        <v>0.0638297872340425</v>
      </c>
      <c r="J14" s="127" t="n">
        <f aca="false">'Synthèse AMDC'!B10+'Synthèse AMDC'!E10</f>
        <v>3</v>
      </c>
      <c r="K14" s="128" t="n">
        <f aca="false">L14/G14</f>
        <v>0.319148936170213</v>
      </c>
      <c r="L14" s="127" t="n">
        <f aca="false">'Synthèse AMDC'!E10+'Synthèse AMDC'!F10</f>
        <v>15</v>
      </c>
      <c r="M14" s="128" t="n">
        <f aca="false">IF(N14="-","-",N14/L14)</f>
        <v>0.2</v>
      </c>
      <c r="N14" s="129" t="n">
        <f aca="false">'Synthèse AMDC'!E10</f>
        <v>3</v>
      </c>
      <c r="O14" s="130" t="n">
        <f aca="false">'Synthèse AMDC'!D10+'Synthèse AMDC'!G10</f>
        <v>37</v>
      </c>
      <c r="P14" s="131"/>
      <c r="Q14" s="130"/>
      <c r="R14" s="131"/>
      <c r="S14" s="132"/>
      <c r="T14" s="133"/>
      <c r="U14" s="132"/>
      <c r="V14" s="134"/>
      <c r="W14" s="121"/>
      <c r="X14" s="122"/>
      <c r="Y14" s="122"/>
    </row>
    <row r="15" customFormat="false" ht="15" hidden="false" customHeight="true" outlineLevel="0" collapsed="false">
      <c r="A15" s="104"/>
      <c r="B15" s="105"/>
      <c r="C15" s="106"/>
      <c r="D15" s="107"/>
      <c r="E15" s="123" t="str">
        <f aca="false">'Synthèse AMDC'!A11</f>
        <v>Thonon – Avenue d’Evian</v>
      </c>
      <c r="F15" s="136" t="s">
        <v>70</v>
      </c>
      <c r="G15" s="124" t="n">
        <f aca="false">'Synthèse AMDC'!B11+'Synthèse AMDC'!C11+'Synthèse AMDC'!E11+'Synthèse AMDC'!F11</f>
        <v>92</v>
      </c>
      <c r="H15" s="135" t="n">
        <f aca="false">G15</f>
        <v>92</v>
      </c>
      <c r="I15" s="126" t="n">
        <f aca="false">J15/G15</f>
        <v>0.0978260869565217</v>
      </c>
      <c r="J15" s="127" t="n">
        <f aca="false">'Synthèse AMDC'!B11+'Synthèse AMDC'!E11</f>
        <v>9</v>
      </c>
      <c r="K15" s="128" t="n">
        <f aca="false">L15/G15</f>
        <v>0.456521739130435</v>
      </c>
      <c r="L15" s="127" t="n">
        <f aca="false">'Synthèse AMDC'!E11+'Synthèse AMDC'!F11</f>
        <v>42</v>
      </c>
      <c r="M15" s="128" t="n">
        <f aca="false">IF(N15="-","-",N15/L15)</f>
        <v>0.142857142857143</v>
      </c>
      <c r="N15" s="129" t="n">
        <f aca="false">'Synthèse AMDC'!E11</f>
        <v>6</v>
      </c>
      <c r="O15" s="130" t="n">
        <f aca="false">'Synthèse AMDC'!D11+'Synthèse AMDC'!G11</f>
        <v>19</v>
      </c>
      <c r="P15" s="131"/>
      <c r="Q15" s="130"/>
      <c r="R15" s="131"/>
      <c r="S15" s="132"/>
      <c r="T15" s="133"/>
      <c r="U15" s="132"/>
      <c r="V15" s="134"/>
      <c r="W15" s="121"/>
      <c r="X15" s="122"/>
      <c r="Y15" s="122"/>
    </row>
    <row r="16" customFormat="false" ht="15" hidden="false" customHeight="true" outlineLevel="0" collapsed="false">
      <c r="A16" s="104"/>
      <c r="B16" s="105"/>
      <c r="C16" s="106"/>
      <c r="D16" s="107"/>
      <c r="E16" s="123" t="str">
        <f aca="false">'Synthèse AMDC'!A12</f>
        <v>Thonon – Carrefour Libération</v>
      </c>
      <c r="F16" s="136" t="s">
        <v>70</v>
      </c>
      <c r="G16" s="124" t="n">
        <f aca="false">'Synthèse AMDC'!B12+'Synthèse AMDC'!C12+'Synthèse AMDC'!E12+'Synthèse AMDC'!F12</f>
        <v>77</v>
      </c>
      <c r="H16" s="135" t="n">
        <f aca="false">G16</f>
        <v>77</v>
      </c>
      <c r="I16" s="126" t="n">
        <f aca="false">J16/G16</f>
        <v>0.142857142857143</v>
      </c>
      <c r="J16" s="127" t="n">
        <f aca="false">'Synthèse AMDC'!B12+'Synthèse AMDC'!E12</f>
        <v>11</v>
      </c>
      <c r="K16" s="128" t="n">
        <f aca="false">L16/G16</f>
        <v>0.402597402597403</v>
      </c>
      <c r="L16" s="127" t="n">
        <f aca="false">'Synthèse AMDC'!E12+'Synthèse AMDC'!F12</f>
        <v>31</v>
      </c>
      <c r="M16" s="128" t="n">
        <f aca="false">IF(N16="-","-",N16/L16)</f>
        <v>0.161290322580645</v>
      </c>
      <c r="N16" s="129" t="n">
        <f aca="false">'Synthèse AMDC'!E12</f>
        <v>5</v>
      </c>
      <c r="O16" s="130" t="n">
        <f aca="false">'Synthèse AMDC'!D12+'Synthèse AMDC'!G12</f>
        <v>20</v>
      </c>
      <c r="P16" s="131"/>
      <c r="Q16" s="130"/>
      <c r="R16" s="131"/>
      <c r="S16" s="132"/>
      <c r="T16" s="133"/>
      <c r="U16" s="132"/>
      <c r="V16" s="134"/>
      <c r="W16" s="121"/>
      <c r="X16" s="122"/>
      <c r="Y16" s="122"/>
    </row>
    <row r="17" customFormat="false" ht="15" hidden="false" customHeight="true" outlineLevel="0" collapsed="false">
      <c r="A17" s="104"/>
      <c r="B17" s="105"/>
      <c r="C17" s="106"/>
      <c r="D17" s="107"/>
      <c r="E17" s="123" t="str">
        <f aca="false">'Synthèse AMDC'!A13</f>
        <v>Thonon – Collège Champagne</v>
      </c>
      <c r="F17" s="136" t="s">
        <v>70</v>
      </c>
      <c r="G17" s="124" t="n">
        <f aca="false">'Synthèse AMDC'!B13+'Synthèse AMDC'!C13+'Synthèse AMDC'!E13+'Synthèse AMDC'!F13</f>
        <v>19</v>
      </c>
      <c r="H17" s="135" t="n">
        <f aca="false">G17</f>
        <v>19</v>
      </c>
      <c r="I17" s="126" t="n">
        <f aca="false">J17/G17</f>
        <v>0.210526315789474</v>
      </c>
      <c r="J17" s="127" t="n">
        <f aca="false">'Synthèse AMDC'!B13+'Synthèse AMDC'!E13</f>
        <v>4</v>
      </c>
      <c r="K17" s="128" t="n">
        <f aca="false">L17/G17</f>
        <v>0.31578947368421</v>
      </c>
      <c r="L17" s="127" t="n">
        <f aca="false">'Synthèse AMDC'!E13+'Synthèse AMDC'!F13</f>
        <v>6</v>
      </c>
      <c r="M17" s="128" t="n">
        <f aca="false">IF(N17="-","-",N17/L17)</f>
        <v>0.166666666666667</v>
      </c>
      <c r="N17" s="129" t="n">
        <f aca="false">'Synthèse AMDC'!E13</f>
        <v>1</v>
      </c>
      <c r="O17" s="130" t="n">
        <f aca="false">'Synthèse AMDC'!D13+'Synthèse AMDC'!G13</f>
        <v>3</v>
      </c>
      <c r="P17" s="131"/>
      <c r="Q17" s="130"/>
      <c r="R17" s="131"/>
      <c r="S17" s="132"/>
      <c r="T17" s="133"/>
      <c r="U17" s="132"/>
      <c r="V17" s="134"/>
      <c r="W17" s="121"/>
      <c r="X17" s="122"/>
      <c r="Y17" s="122"/>
    </row>
    <row r="18" customFormat="false" ht="15" hidden="false" customHeight="true" outlineLevel="0" collapsed="false">
      <c r="A18" s="104"/>
      <c r="B18" s="105"/>
      <c r="C18" s="106"/>
      <c r="D18" s="107"/>
      <c r="E18" s="140" t="str">
        <f aca="false">'Synthèse AMDC'!A14</f>
        <v>Thonon – Ecole Jule Ferry</v>
      </c>
      <c r="F18" s="141"/>
      <c r="G18" s="124" t="n">
        <f aca="false">'Synthèse AMDC'!B14+'Synthèse AMDC'!C14+'Synthèse AMDC'!E14+'Synthèse AMDC'!F14</f>
        <v>24</v>
      </c>
      <c r="H18" s="135" t="n">
        <f aca="false">G18</f>
        <v>24</v>
      </c>
      <c r="I18" s="126" t="n">
        <f aca="false">J18/G18</f>
        <v>0.291666666666667</v>
      </c>
      <c r="J18" s="127" t="n">
        <f aca="false">'Synthèse AMDC'!B14+'Synthèse AMDC'!E14</f>
        <v>7</v>
      </c>
      <c r="K18" s="128" t="n">
        <f aca="false">L18/G18</f>
        <v>0.541666666666667</v>
      </c>
      <c r="L18" s="127" t="n">
        <f aca="false">'Synthèse AMDC'!E14+'Synthèse AMDC'!F14</f>
        <v>13</v>
      </c>
      <c r="M18" s="128" t="n">
        <f aca="false">IF(N18="-","-",N18/L18)</f>
        <v>0.461538461538462</v>
      </c>
      <c r="N18" s="142" t="n">
        <f aca="false">'Synthèse AMDC'!E14</f>
        <v>6</v>
      </c>
      <c r="O18" s="143" t="n">
        <f aca="false">'Synthèse AMDC'!D14+'Synthèse AMDC'!G14</f>
        <v>11</v>
      </c>
      <c r="P18" s="144"/>
      <c r="Q18" s="143"/>
      <c r="R18" s="144"/>
      <c r="S18" s="145"/>
      <c r="T18" s="146"/>
      <c r="U18" s="145"/>
      <c r="V18" s="147"/>
      <c r="W18" s="121"/>
      <c r="X18" s="122"/>
      <c r="Y18" s="122"/>
    </row>
    <row r="19" customFormat="false" ht="15" hidden="false" customHeight="true" outlineLevel="0" collapsed="false">
      <c r="A19" s="104"/>
      <c r="B19" s="105"/>
      <c r="C19" s="106"/>
      <c r="D19" s="107"/>
      <c r="E19" s="140" t="str">
        <f aca="false">'Synthèse AMDC'!A15</f>
        <v>Thonon – Rond point J. Ferry G Andrier Pl des Arts Bld du Canal</v>
      </c>
      <c r="F19" s="141"/>
      <c r="G19" s="124" t="n">
        <f aca="false">'Synthèse AMDC'!B15+'Synthèse AMDC'!C15+'Synthèse AMDC'!E15+'Synthèse AMDC'!F15</f>
        <v>101</v>
      </c>
      <c r="H19" s="135" t="n">
        <f aca="false">G19</f>
        <v>101</v>
      </c>
      <c r="I19" s="126" t="n">
        <f aca="false">J19/G19</f>
        <v>0.148514851485149</v>
      </c>
      <c r="J19" s="127" t="n">
        <f aca="false">'Synthèse AMDC'!B15+'Synthèse AMDC'!E15</f>
        <v>15</v>
      </c>
      <c r="K19" s="128" t="n">
        <f aca="false">L19/G19</f>
        <v>0.396039603960396</v>
      </c>
      <c r="L19" s="127" t="n">
        <f aca="false">'Synthèse AMDC'!E15+'Synthèse AMDC'!F15</f>
        <v>40</v>
      </c>
      <c r="M19" s="128" t="n">
        <f aca="false">IF(N19="-","-",N19/L19)</f>
        <v>0.225</v>
      </c>
      <c r="N19" s="142" t="n">
        <f aca="false">'Synthèse AMDC'!E15</f>
        <v>9</v>
      </c>
      <c r="O19" s="143" t="n">
        <f aca="false">'Synthèse AMDC'!D15+'Synthèse AMDC'!G15</f>
        <v>34</v>
      </c>
      <c r="P19" s="144"/>
      <c r="Q19" s="143"/>
      <c r="R19" s="144"/>
      <c r="S19" s="145"/>
      <c r="T19" s="146"/>
      <c r="U19" s="145"/>
      <c r="V19" s="147"/>
      <c r="W19" s="121"/>
      <c r="X19" s="122"/>
      <c r="Y19" s="122"/>
    </row>
    <row r="20" customFormat="false" ht="15" hidden="false" customHeight="true" outlineLevel="0" collapsed="false">
      <c r="A20" s="104"/>
      <c r="B20" s="105"/>
      <c r="C20" s="106"/>
      <c r="D20" s="107"/>
      <c r="E20" s="140" t="str">
        <f aca="false">'Synthèse AMDC'!A16</f>
        <v>Thonon / Anthy – Pont de Marclaz</v>
      </c>
      <c r="F20" s="141"/>
      <c r="G20" s="124" t="n">
        <f aca="false">'Synthèse AMDC'!B16+'Synthèse AMDC'!C16+'Synthèse AMDC'!E16+'Synthèse AMDC'!F16</f>
        <v>25</v>
      </c>
      <c r="H20" s="135" t="n">
        <f aca="false">G20</f>
        <v>25</v>
      </c>
      <c r="I20" s="126" t="n">
        <f aca="false">J20/G20</f>
        <v>0.28</v>
      </c>
      <c r="J20" s="127" t="n">
        <f aca="false">'Synthèse AMDC'!B16+'Synthèse AMDC'!E16</f>
        <v>7</v>
      </c>
      <c r="K20" s="128" t="n">
        <f aca="false">L20/G20</f>
        <v>0.24</v>
      </c>
      <c r="L20" s="148" t="n">
        <f aca="false">'Synthèse AMDC'!E16+'Synthèse AMDC'!F16</f>
        <v>6</v>
      </c>
      <c r="M20" s="128" t="n">
        <f aca="false">IF(N20="-","-",N20/L20)</f>
        <v>0.666666666666667</v>
      </c>
      <c r="N20" s="142" t="n">
        <f aca="false">'Synthèse AMDC'!E16</f>
        <v>4</v>
      </c>
      <c r="O20" s="143" t="n">
        <f aca="false">'Synthèse AMDC'!D16+'Synthèse AMDC'!G16</f>
        <v>4</v>
      </c>
      <c r="P20" s="144"/>
      <c r="Q20" s="143"/>
      <c r="R20" s="144"/>
      <c r="S20" s="145"/>
      <c r="T20" s="146"/>
      <c r="U20" s="145"/>
      <c r="V20" s="147"/>
      <c r="W20" s="121"/>
      <c r="X20" s="122"/>
      <c r="Y20" s="122"/>
    </row>
    <row r="21" customFormat="false" ht="15" hidden="false" customHeight="true" outlineLevel="0" collapsed="false">
      <c r="A21" s="104"/>
      <c r="B21" s="105"/>
      <c r="C21" s="106"/>
      <c r="D21" s="107"/>
      <c r="E21" s="140" t="str">
        <f aca="false">'Synthèse AMDC'!A17</f>
        <v>Thonon / Marin - Pont de Dranse</v>
      </c>
      <c r="F21" s="141"/>
      <c r="G21" s="124" t="n">
        <f aca="false">'Synthèse AMDC'!B17+'Synthèse AMDC'!C17+'Synthèse AMDC'!E17+'Synthèse AMDC'!F17</f>
        <v>45</v>
      </c>
      <c r="H21" s="135" t="n">
        <f aca="false">G21</f>
        <v>45</v>
      </c>
      <c r="I21" s="126" t="n">
        <f aca="false">J21/G21</f>
        <v>0.4</v>
      </c>
      <c r="J21" s="127" t="n">
        <f aca="false">'Synthèse AMDC'!B17+'Synthèse AMDC'!E17</f>
        <v>18</v>
      </c>
      <c r="K21" s="128" t="n">
        <f aca="false">L21/G21</f>
        <v>0.222222222222222</v>
      </c>
      <c r="L21" s="148" t="n">
        <f aca="false">'Synthèse AMDC'!E17+'Synthèse AMDC'!F17</f>
        <v>10</v>
      </c>
      <c r="M21" s="128" t="n">
        <f aca="false">IF(N21="-","-",N21/L21)</f>
        <v>0.6</v>
      </c>
      <c r="N21" s="142" t="n">
        <f aca="false">'Synthèse AMDC'!E17</f>
        <v>6</v>
      </c>
      <c r="O21" s="143" t="n">
        <f aca="false">'Synthèse AMDC'!D17+'Synthèse AMDC'!G17</f>
        <v>4</v>
      </c>
      <c r="P21" s="144"/>
      <c r="Q21" s="143"/>
      <c r="R21" s="144"/>
      <c r="S21" s="145"/>
      <c r="T21" s="146"/>
      <c r="U21" s="145"/>
      <c r="V21" s="147"/>
      <c r="W21" s="121"/>
      <c r="X21" s="122"/>
      <c r="Y21" s="122"/>
    </row>
    <row r="22" customFormat="false" ht="15" hidden="false" customHeight="true" outlineLevel="0" collapsed="false">
      <c r="A22" s="104"/>
      <c r="B22" s="105"/>
      <c r="C22" s="106"/>
      <c r="D22" s="107"/>
      <c r="E22" s="149" t="str">
        <f aca="false">'Synthèse AMDC'!A18</f>
        <v>Veigy – Douane</v>
      </c>
      <c r="F22" s="150" t="s">
        <v>70</v>
      </c>
      <c r="G22" s="151" t="n">
        <f aca="false">'Synthèse AMDC'!B18+'Synthèse AMDC'!C18+'Synthèse AMDC'!E18+'Synthèse AMDC'!F18</f>
        <v>68</v>
      </c>
      <c r="H22" s="152" t="n">
        <f aca="false">G22-25</f>
        <v>43</v>
      </c>
      <c r="I22" s="153" t="n">
        <f aca="false">J22/G22</f>
        <v>0.514705882352941</v>
      </c>
      <c r="J22" s="127" t="n">
        <f aca="false">'Synthèse AMDC'!B18+'Synthèse AMDC'!E18</f>
        <v>35</v>
      </c>
      <c r="K22" s="154" t="n">
        <f aca="false">L22/G22</f>
        <v>0.441176470588235</v>
      </c>
      <c r="L22" s="155" t="n">
        <f aca="false">'Synthèse AMDC'!E18+'Synthèse AMDC'!F18</f>
        <v>30</v>
      </c>
      <c r="M22" s="154" t="n">
        <f aca="false">IF(N22="-","-",N22/L22)</f>
        <v>0.533333333333333</v>
      </c>
      <c r="N22" s="156" t="n">
        <f aca="false">'Synthèse AMDC'!E18</f>
        <v>16</v>
      </c>
      <c r="O22" s="157" t="n">
        <f aca="false">'Synthèse AMDC'!D18+'Synthèse AMDC'!G18</f>
        <v>1</v>
      </c>
      <c r="P22" s="158"/>
      <c r="Q22" s="157" t="n">
        <f aca="false">'Synthèse AMDC'!J18</f>
        <v>16</v>
      </c>
      <c r="R22" s="158"/>
      <c r="S22" s="137" t="n">
        <v>61</v>
      </c>
      <c r="T22" s="138" t="n">
        <v>38</v>
      </c>
      <c r="U22" s="137" t="n">
        <v>7</v>
      </c>
      <c r="V22" s="139" t="n">
        <v>5</v>
      </c>
      <c r="W22" s="121"/>
      <c r="X22" s="122"/>
      <c r="Y22" s="122"/>
    </row>
    <row r="23" customFormat="false" ht="14.05" hidden="false" customHeight="false" outlineLevel="0" collapsed="false">
      <c r="B23" s="105"/>
      <c r="C23" s="106"/>
      <c r="D23" s="159" t="s">
        <v>75</v>
      </c>
      <c r="E23" s="160"/>
      <c r="F23" s="161"/>
      <c r="G23" s="162" t="n">
        <f aca="false">SUM(G7:G22)</f>
        <v>694</v>
      </c>
      <c r="H23" s="163" t="n">
        <f aca="false">SUM(H7:H22)</f>
        <v>611</v>
      </c>
      <c r="I23" s="164" t="n">
        <f aca="false">J23/G23</f>
        <v>0.246397694524496</v>
      </c>
      <c r="J23" s="165" t="n">
        <f aca="false">SUM(J7:J22)</f>
        <v>171</v>
      </c>
      <c r="K23" s="164" t="n">
        <f aca="false">L23/G23</f>
        <v>0.384726224783862</v>
      </c>
      <c r="L23" s="165" t="n">
        <f aca="false">SUM(L7:L22)</f>
        <v>267</v>
      </c>
      <c r="M23" s="164" t="n">
        <f aca="false">N23/L23</f>
        <v>0.348314606741573</v>
      </c>
      <c r="N23" s="165" t="n">
        <f aca="false">SUM(N7:N22)</f>
        <v>93</v>
      </c>
      <c r="O23" s="166" t="n">
        <f aca="false">SUM(O7:O22)</f>
        <v>287</v>
      </c>
      <c r="P23" s="167" t="n">
        <f aca="false">SUM(P7:P22)</f>
        <v>0</v>
      </c>
      <c r="Q23" s="166" t="n">
        <f aca="false">SUM(Q7:Q22)</f>
        <v>16</v>
      </c>
      <c r="R23" s="167" t="n">
        <f aca="false">SUM(R7:R22)</f>
        <v>0</v>
      </c>
      <c r="S23" s="166" t="n">
        <f aca="false">SUM(S7:S22)</f>
        <v>135</v>
      </c>
      <c r="T23" s="167" t="n">
        <f aca="false">SUM(T7:T22)</f>
        <v>68</v>
      </c>
      <c r="U23" s="166" t="n">
        <f aca="false">SUM(U7:U22)</f>
        <v>7</v>
      </c>
      <c r="V23" s="168" t="n">
        <f aca="false">SUM(V7:V22)</f>
        <v>5</v>
      </c>
      <c r="W23" s="87"/>
    </row>
    <row r="24" customFormat="false" ht="15" hidden="false" customHeight="true" outlineLevel="0" collapsed="false">
      <c r="B24" s="169" t="s">
        <v>76</v>
      </c>
      <c r="C24" s="170" t="s">
        <v>68</v>
      </c>
      <c r="D24" s="171" t="n">
        <v>9</v>
      </c>
      <c r="E24" s="108" t="s">
        <v>77</v>
      </c>
      <c r="F24" s="109" t="s">
        <v>70</v>
      </c>
      <c r="G24" s="172"/>
      <c r="H24" s="173"/>
      <c r="I24" s="174" t="e">
        <f aca="false">J24/G24</f>
        <v>#DIV/0!</v>
      </c>
      <c r="J24" s="175"/>
      <c r="K24" s="176" t="e">
        <f aca="false">L24/G24</f>
        <v>#DIV/0!</v>
      </c>
      <c r="L24" s="175"/>
      <c r="M24" s="176" t="e">
        <f aca="false">IF(N24="-","-",N24/L24)</f>
        <v>#DIV/0!</v>
      </c>
      <c r="N24" s="177"/>
      <c r="O24" s="178"/>
      <c r="P24" s="179"/>
      <c r="Q24" s="178"/>
      <c r="R24" s="179"/>
      <c r="S24" s="180" t="s">
        <v>71</v>
      </c>
      <c r="T24" s="181" t="s">
        <v>71</v>
      </c>
      <c r="U24" s="180" t="s">
        <v>71</v>
      </c>
      <c r="V24" s="182" t="s">
        <v>71</v>
      </c>
      <c r="W24" s="87"/>
    </row>
    <row r="25" customFormat="false" ht="15" hidden="false" customHeight="true" outlineLevel="0" collapsed="false">
      <c r="B25" s="169"/>
      <c r="C25" s="170"/>
      <c r="D25" s="171"/>
      <c r="E25" s="123" t="s">
        <v>78</v>
      </c>
      <c r="F25" s="136" t="s">
        <v>70</v>
      </c>
      <c r="G25" s="183"/>
      <c r="H25" s="184"/>
      <c r="I25" s="185" t="e">
        <f aca="false">J25/G25</f>
        <v>#DIV/0!</v>
      </c>
      <c r="J25" s="186"/>
      <c r="K25" s="187" t="e">
        <f aca="false">L25/G25</f>
        <v>#DIV/0!</v>
      </c>
      <c r="L25" s="186"/>
      <c r="M25" s="187" t="e">
        <f aca="false">IF(N25="-","-",N25/L25)</f>
        <v>#DIV/0!</v>
      </c>
      <c r="N25" s="188"/>
      <c r="O25" s="189"/>
      <c r="P25" s="190"/>
      <c r="Q25" s="189"/>
      <c r="R25" s="190"/>
      <c r="S25" s="191" t="s">
        <v>71</v>
      </c>
      <c r="T25" s="192" t="s">
        <v>71</v>
      </c>
      <c r="U25" s="191" t="s">
        <v>71</v>
      </c>
      <c r="V25" s="193" t="s">
        <v>71</v>
      </c>
      <c r="W25" s="87"/>
    </row>
    <row r="26" customFormat="false" ht="15" hidden="false" customHeight="true" outlineLevel="0" collapsed="false">
      <c r="B26" s="169"/>
      <c r="C26" s="170"/>
      <c r="D26" s="171"/>
      <c r="E26" s="123" t="s">
        <v>79</v>
      </c>
      <c r="F26" s="136" t="s">
        <v>70</v>
      </c>
      <c r="G26" s="183"/>
      <c r="H26" s="184"/>
      <c r="I26" s="185" t="e">
        <f aca="false">J26/G26</f>
        <v>#DIV/0!</v>
      </c>
      <c r="J26" s="186"/>
      <c r="K26" s="187" t="e">
        <f aca="false">L26/G26</f>
        <v>#DIV/0!</v>
      </c>
      <c r="L26" s="186"/>
      <c r="M26" s="187" t="e">
        <f aca="false">IF(N26="-","-",N26/L26)</f>
        <v>#DIV/0!</v>
      </c>
      <c r="N26" s="188"/>
      <c r="O26" s="189"/>
      <c r="P26" s="190"/>
      <c r="Q26" s="189"/>
      <c r="R26" s="190"/>
      <c r="S26" s="191" t="s">
        <v>71</v>
      </c>
      <c r="T26" s="192" t="s">
        <v>71</v>
      </c>
      <c r="U26" s="191" t="s">
        <v>71</v>
      </c>
      <c r="V26" s="193" t="s">
        <v>71</v>
      </c>
      <c r="W26" s="87"/>
    </row>
    <row r="27" customFormat="false" ht="15" hidden="false" customHeight="true" outlineLevel="0" collapsed="false">
      <c r="B27" s="169"/>
      <c r="C27" s="170"/>
      <c r="D27" s="171"/>
      <c r="E27" s="123" t="s">
        <v>80</v>
      </c>
      <c r="F27" s="136" t="s">
        <v>70</v>
      </c>
      <c r="G27" s="183"/>
      <c r="H27" s="184"/>
      <c r="I27" s="185" t="e">
        <f aca="false">J27/G27</f>
        <v>#DIV/0!</v>
      </c>
      <c r="J27" s="186"/>
      <c r="K27" s="187" t="e">
        <f aca="false">L27/G27</f>
        <v>#DIV/0!</v>
      </c>
      <c r="L27" s="186"/>
      <c r="M27" s="187" t="e">
        <f aca="false">IF(N27="-","-",N27/L27)</f>
        <v>#DIV/0!</v>
      </c>
      <c r="N27" s="188"/>
      <c r="O27" s="189"/>
      <c r="P27" s="190"/>
      <c r="Q27" s="189"/>
      <c r="R27" s="190"/>
      <c r="S27" s="191" t="s">
        <v>71</v>
      </c>
      <c r="T27" s="192" t="s">
        <v>71</v>
      </c>
      <c r="U27" s="191" t="s">
        <v>71</v>
      </c>
      <c r="V27" s="193" t="s">
        <v>71</v>
      </c>
      <c r="W27" s="87"/>
    </row>
    <row r="28" customFormat="false" ht="15" hidden="false" customHeight="true" outlineLevel="0" collapsed="false">
      <c r="B28" s="169"/>
      <c r="C28" s="170"/>
      <c r="D28" s="171"/>
      <c r="E28" s="123" t="s">
        <v>81</v>
      </c>
      <c r="F28" s="136" t="s">
        <v>70</v>
      </c>
      <c r="G28" s="183"/>
      <c r="H28" s="184"/>
      <c r="I28" s="185" t="e">
        <f aca="false">J28/G28</f>
        <v>#DIV/0!</v>
      </c>
      <c r="J28" s="186"/>
      <c r="K28" s="187" t="e">
        <f aca="false">L28/G28</f>
        <v>#DIV/0!</v>
      </c>
      <c r="L28" s="186"/>
      <c r="M28" s="187" t="e">
        <f aca="false">IF(N28="-","-",N28/L28)</f>
        <v>#DIV/0!</v>
      </c>
      <c r="N28" s="188"/>
      <c r="O28" s="189"/>
      <c r="P28" s="190"/>
      <c r="Q28" s="189"/>
      <c r="R28" s="190"/>
      <c r="S28" s="191" t="s">
        <v>71</v>
      </c>
      <c r="T28" s="192" t="s">
        <v>71</v>
      </c>
      <c r="U28" s="191" t="s">
        <v>71</v>
      </c>
      <c r="V28" s="193" t="s">
        <v>71</v>
      </c>
      <c r="W28" s="87"/>
    </row>
    <row r="29" customFormat="false" ht="15" hidden="false" customHeight="true" outlineLevel="0" collapsed="false">
      <c r="B29" s="169"/>
      <c r="C29" s="170"/>
      <c r="D29" s="171"/>
      <c r="E29" s="123" t="s">
        <v>82</v>
      </c>
      <c r="F29" s="136" t="s">
        <v>70</v>
      </c>
      <c r="G29" s="183"/>
      <c r="H29" s="184"/>
      <c r="I29" s="185" t="e">
        <f aca="false">J29/G29</f>
        <v>#DIV/0!</v>
      </c>
      <c r="J29" s="186"/>
      <c r="K29" s="187" t="e">
        <f aca="false">L29/G29</f>
        <v>#DIV/0!</v>
      </c>
      <c r="L29" s="186"/>
      <c r="M29" s="187" t="e">
        <f aca="false">IF(N29="-","-",N29/L29)</f>
        <v>#DIV/0!</v>
      </c>
      <c r="N29" s="188"/>
      <c r="O29" s="189"/>
      <c r="P29" s="190"/>
      <c r="Q29" s="189"/>
      <c r="R29" s="190"/>
      <c r="S29" s="191" t="s">
        <v>71</v>
      </c>
      <c r="T29" s="192" t="s">
        <v>71</v>
      </c>
      <c r="U29" s="191" t="s">
        <v>71</v>
      </c>
      <c r="V29" s="193" t="s">
        <v>71</v>
      </c>
      <c r="W29" s="87"/>
    </row>
    <row r="30" customFormat="false" ht="15" hidden="false" customHeight="true" outlineLevel="0" collapsed="false">
      <c r="B30" s="169"/>
      <c r="C30" s="170"/>
      <c r="D30" s="171"/>
      <c r="E30" s="123" t="s">
        <v>83</v>
      </c>
      <c r="F30" s="136" t="s">
        <v>70</v>
      </c>
      <c r="G30" s="183"/>
      <c r="H30" s="184"/>
      <c r="I30" s="185" t="e">
        <f aca="false">J30/G30</f>
        <v>#DIV/0!</v>
      </c>
      <c r="J30" s="186"/>
      <c r="K30" s="187" t="e">
        <f aca="false">L30/G30</f>
        <v>#DIV/0!</v>
      </c>
      <c r="L30" s="186"/>
      <c r="M30" s="187" t="e">
        <f aca="false">IF(N30="-","-",N30/L30)</f>
        <v>#DIV/0!</v>
      </c>
      <c r="N30" s="188"/>
      <c r="O30" s="189"/>
      <c r="P30" s="190"/>
      <c r="Q30" s="189"/>
      <c r="R30" s="190"/>
      <c r="S30" s="191" t="s">
        <v>71</v>
      </c>
      <c r="T30" s="192" t="s">
        <v>71</v>
      </c>
      <c r="U30" s="191" t="s">
        <v>71</v>
      </c>
      <c r="V30" s="193" t="s">
        <v>71</v>
      </c>
      <c r="W30" s="87"/>
    </row>
    <row r="31" customFormat="false" ht="15" hidden="false" customHeight="true" outlineLevel="0" collapsed="false">
      <c r="B31" s="169"/>
      <c r="C31" s="170"/>
      <c r="D31" s="171"/>
      <c r="E31" s="123" t="s">
        <v>84</v>
      </c>
      <c r="F31" s="136" t="s">
        <v>70</v>
      </c>
      <c r="G31" s="183"/>
      <c r="H31" s="184"/>
      <c r="I31" s="185" t="e">
        <f aca="false">J31/G31</f>
        <v>#DIV/0!</v>
      </c>
      <c r="J31" s="186"/>
      <c r="K31" s="187" t="e">
        <f aca="false">L31/G31</f>
        <v>#DIV/0!</v>
      </c>
      <c r="L31" s="186"/>
      <c r="M31" s="187" t="e">
        <f aca="false">IF(N31="-","-",N31/L31)</f>
        <v>#DIV/0!</v>
      </c>
      <c r="N31" s="188"/>
      <c r="O31" s="189"/>
      <c r="P31" s="190"/>
      <c r="Q31" s="189"/>
      <c r="R31" s="190"/>
      <c r="S31" s="191" t="s">
        <v>71</v>
      </c>
      <c r="T31" s="192" t="s">
        <v>71</v>
      </c>
      <c r="U31" s="191" t="s">
        <v>71</v>
      </c>
      <c r="V31" s="193" t="s">
        <v>71</v>
      </c>
      <c r="W31" s="87"/>
    </row>
    <row r="32" customFormat="false" ht="15" hidden="false" customHeight="true" outlineLevel="0" collapsed="false">
      <c r="B32" s="169"/>
      <c r="C32" s="170"/>
      <c r="D32" s="171"/>
      <c r="E32" s="194"/>
      <c r="F32" s="195"/>
      <c r="G32" s="196"/>
      <c r="H32" s="197"/>
      <c r="I32" s="185" t="e">
        <f aca="false">J32/G32</f>
        <v>#DIV/0!</v>
      </c>
      <c r="J32" s="198"/>
      <c r="K32" s="187" t="e">
        <f aca="false">L32/G32</f>
        <v>#DIV/0!</v>
      </c>
      <c r="L32" s="198"/>
      <c r="M32" s="187" t="e">
        <f aca="false">IF(N32="-","-",N32/L32)</f>
        <v>#DIV/0!</v>
      </c>
      <c r="N32" s="199"/>
      <c r="O32" s="200"/>
      <c r="P32" s="201"/>
      <c r="Q32" s="200"/>
      <c r="R32" s="201"/>
      <c r="S32" s="202" t="s">
        <v>71</v>
      </c>
      <c r="T32" s="203" t="s">
        <v>71</v>
      </c>
      <c r="U32" s="202" t="s">
        <v>71</v>
      </c>
      <c r="V32" s="204" t="s">
        <v>71</v>
      </c>
      <c r="W32" s="87"/>
    </row>
    <row r="33" customFormat="false" ht="15" hidden="false" customHeight="true" outlineLevel="0" collapsed="false">
      <c r="B33" s="169"/>
      <c r="C33" s="170"/>
      <c r="D33" s="171"/>
      <c r="E33" s="194"/>
      <c r="F33" s="195"/>
      <c r="G33" s="196"/>
      <c r="H33" s="197"/>
      <c r="I33" s="185" t="e">
        <f aca="false">J33/G33</f>
        <v>#DIV/0!</v>
      </c>
      <c r="J33" s="198"/>
      <c r="K33" s="187" t="e">
        <f aca="false">L33/G33</f>
        <v>#DIV/0!</v>
      </c>
      <c r="L33" s="198"/>
      <c r="M33" s="187" t="e">
        <f aca="false">IF(N33="-","-",N33/L33)</f>
        <v>#DIV/0!</v>
      </c>
      <c r="N33" s="199"/>
      <c r="O33" s="200"/>
      <c r="P33" s="201"/>
      <c r="Q33" s="200"/>
      <c r="R33" s="201"/>
      <c r="S33" s="202" t="s">
        <v>71</v>
      </c>
      <c r="T33" s="203" t="s">
        <v>71</v>
      </c>
      <c r="U33" s="202" t="s">
        <v>71</v>
      </c>
      <c r="V33" s="204" t="s">
        <v>71</v>
      </c>
      <c r="W33" s="87"/>
    </row>
    <row r="34" customFormat="false" ht="15" hidden="false" customHeight="true" outlineLevel="0" collapsed="false">
      <c r="B34" s="169"/>
      <c r="C34" s="170"/>
      <c r="D34" s="171"/>
      <c r="E34" s="149" t="s">
        <v>85</v>
      </c>
      <c r="F34" s="150" t="s">
        <v>70</v>
      </c>
      <c r="G34" s="205"/>
      <c r="H34" s="206"/>
      <c r="I34" s="207" t="e">
        <f aca="false">J34/G34</f>
        <v>#DIV/0!</v>
      </c>
      <c r="J34" s="208"/>
      <c r="K34" s="209" t="e">
        <f aca="false">L34/G34</f>
        <v>#DIV/0!</v>
      </c>
      <c r="L34" s="208"/>
      <c r="M34" s="209" t="e">
        <f aca="false">IF(N34="-","-",N34/L34)</f>
        <v>#DIV/0!</v>
      </c>
      <c r="N34" s="210"/>
      <c r="O34" s="211"/>
      <c r="P34" s="212"/>
      <c r="Q34" s="211"/>
      <c r="R34" s="212"/>
      <c r="S34" s="213" t="s">
        <v>71</v>
      </c>
      <c r="T34" s="214" t="s">
        <v>71</v>
      </c>
      <c r="U34" s="213" t="s">
        <v>71</v>
      </c>
      <c r="V34" s="215" t="s">
        <v>71</v>
      </c>
      <c r="W34" s="87"/>
    </row>
    <row r="35" customFormat="false" ht="15.75" hidden="false" customHeight="false" outlineLevel="0" collapsed="false">
      <c r="B35" s="169"/>
      <c r="C35" s="170"/>
      <c r="D35" s="216" t="s">
        <v>75</v>
      </c>
      <c r="E35" s="217"/>
      <c r="F35" s="218"/>
      <c r="G35" s="219" t="n">
        <f aca="false">SUM(G24:G34)</f>
        <v>0</v>
      </c>
      <c r="H35" s="220" t="n">
        <f aca="false">SUM(H24:H34)</f>
        <v>0</v>
      </c>
      <c r="I35" s="221" t="e">
        <f aca="false">J35/G35</f>
        <v>#DIV/0!</v>
      </c>
      <c r="J35" s="222" t="n">
        <f aca="false">SUM(J24:J34)</f>
        <v>0</v>
      </c>
      <c r="K35" s="221" t="e">
        <f aca="false">L35/G35</f>
        <v>#DIV/0!</v>
      </c>
      <c r="L35" s="222" t="n">
        <f aca="false">SUM(L24:L34)</f>
        <v>0</v>
      </c>
      <c r="M35" s="221" t="e">
        <f aca="false">N35/L35</f>
        <v>#DIV/0!</v>
      </c>
      <c r="N35" s="222" t="n">
        <f aca="false">SUM(N24:N34)</f>
        <v>0</v>
      </c>
      <c r="O35" s="223" t="n">
        <f aca="false">SUM(O24:O34)</f>
        <v>0</v>
      </c>
      <c r="P35" s="224" t="n">
        <f aca="false">SUM(P24:P34)</f>
        <v>0</v>
      </c>
      <c r="Q35" s="223" t="n">
        <f aca="false">SUM(Q24:Q34)</f>
        <v>0</v>
      </c>
      <c r="R35" s="224" t="n">
        <f aca="false">SUM(R24:R34)</f>
        <v>0</v>
      </c>
      <c r="S35" s="223" t="n">
        <f aca="false">SUM(S24:S34)</f>
        <v>0</v>
      </c>
      <c r="T35" s="224" t="n">
        <f aca="false">SUM(T24:T34)</f>
        <v>0</v>
      </c>
      <c r="U35" s="223" t="n">
        <f aca="false">SUM(U24:U34)</f>
        <v>0</v>
      </c>
      <c r="V35" s="225" t="n">
        <f aca="false">SUM(V24:V34)</f>
        <v>0</v>
      </c>
      <c r="W35" s="87"/>
    </row>
    <row r="36" customFormat="false" ht="15" hidden="false" customHeight="true" outlineLevel="0" collapsed="false">
      <c r="B36" s="226" t="s">
        <v>86</v>
      </c>
      <c r="C36" s="227" t="s">
        <v>68</v>
      </c>
      <c r="D36" s="90" t="n">
        <v>9</v>
      </c>
      <c r="E36" s="108" t="s">
        <v>87</v>
      </c>
      <c r="F36" s="109" t="s">
        <v>70</v>
      </c>
      <c r="G36" s="228"/>
      <c r="H36" s="229"/>
      <c r="I36" s="174" t="e">
        <f aca="false">J36/G36</f>
        <v>#DIV/0!</v>
      </c>
      <c r="J36" s="230"/>
      <c r="K36" s="176" t="e">
        <f aca="false">L36/G36</f>
        <v>#DIV/0!</v>
      </c>
      <c r="L36" s="230"/>
      <c r="M36" s="176" t="e">
        <f aca="false">IF(N36="-","-",N36/L36)</f>
        <v>#DIV/0!</v>
      </c>
      <c r="N36" s="177"/>
      <c r="O36" s="178"/>
      <c r="P36" s="179"/>
      <c r="Q36" s="178"/>
      <c r="R36" s="179"/>
      <c r="S36" s="180" t="s">
        <v>71</v>
      </c>
      <c r="T36" s="181" t="s">
        <v>71</v>
      </c>
      <c r="U36" s="180" t="s">
        <v>71</v>
      </c>
      <c r="V36" s="182" t="s">
        <v>71</v>
      </c>
      <c r="W36" s="87"/>
    </row>
    <row r="37" customFormat="false" ht="15" hidden="false" customHeight="false" outlineLevel="0" collapsed="false">
      <c r="B37" s="226"/>
      <c r="C37" s="227"/>
      <c r="D37" s="90"/>
      <c r="E37" s="123" t="s">
        <v>88</v>
      </c>
      <c r="F37" s="136" t="s">
        <v>70</v>
      </c>
      <c r="G37" s="231"/>
      <c r="H37" s="232"/>
      <c r="I37" s="185" t="e">
        <f aca="false">J37/G37</f>
        <v>#DIV/0!</v>
      </c>
      <c r="J37" s="233"/>
      <c r="K37" s="187" t="e">
        <f aca="false">L37/G37</f>
        <v>#DIV/0!</v>
      </c>
      <c r="L37" s="233"/>
      <c r="M37" s="187" t="e">
        <f aca="false">IF(N37="-","-",N37/L37)</f>
        <v>#DIV/0!</v>
      </c>
      <c r="N37" s="188"/>
      <c r="O37" s="189"/>
      <c r="P37" s="190"/>
      <c r="Q37" s="189"/>
      <c r="R37" s="190"/>
      <c r="S37" s="191" t="s">
        <v>71</v>
      </c>
      <c r="T37" s="192" t="s">
        <v>71</v>
      </c>
      <c r="U37" s="191" t="s">
        <v>71</v>
      </c>
      <c r="V37" s="193" t="s">
        <v>71</v>
      </c>
      <c r="W37" s="87"/>
    </row>
    <row r="38" customFormat="false" ht="15" hidden="false" customHeight="false" outlineLevel="0" collapsed="false">
      <c r="B38" s="226"/>
      <c r="C38" s="227"/>
      <c r="D38" s="90"/>
      <c r="E38" s="123" t="s">
        <v>89</v>
      </c>
      <c r="F38" s="136" t="s">
        <v>70</v>
      </c>
      <c r="G38" s="231"/>
      <c r="H38" s="232"/>
      <c r="I38" s="185" t="e">
        <f aca="false">J38/G38</f>
        <v>#DIV/0!</v>
      </c>
      <c r="J38" s="233"/>
      <c r="K38" s="187" t="e">
        <f aca="false">L38/G38</f>
        <v>#DIV/0!</v>
      </c>
      <c r="L38" s="233"/>
      <c r="M38" s="187" t="e">
        <f aca="false">IF(N38="-","-",N38/L38)</f>
        <v>#DIV/0!</v>
      </c>
      <c r="N38" s="188"/>
      <c r="O38" s="189"/>
      <c r="P38" s="190"/>
      <c r="Q38" s="189"/>
      <c r="R38" s="190"/>
      <c r="S38" s="191" t="s">
        <v>71</v>
      </c>
      <c r="T38" s="192" t="s">
        <v>71</v>
      </c>
      <c r="U38" s="191" t="s">
        <v>71</v>
      </c>
      <c r="V38" s="193" t="s">
        <v>71</v>
      </c>
      <c r="W38" s="87"/>
    </row>
    <row r="39" customFormat="false" ht="15" hidden="false" customHeight="false" outlineLevel="0" collapsed="false">
      <c r="B39" s="226"/>
      <c r="C39" s="227"/>
      <c r="D39" s="90"/>
      <c r="E39" s="123" t="s">
        <v>90</v>
      </c>
      <c r="F39" s="136" t="s">
        <v>70</v>
      </c>
      <c r="G39" s="231"/>
      <c r="H39" s="232"/>
      <c r="I39" s="185" t="e">
        <f aca="false">J39/G39</f>
        <v>#DIV/0!</v>
      </c>
      <c r="J39" s="233"/>
      <c r="K39" s="187" t="e">
        <f aca="false">L39/G39</f>
        <v>#DIV/0!</v>
      </c>
      <c r="L39" s="233"/>
      <c r="M39" s="187" t="e">
        <f aca="false">IF(N39="-","-",N39/L39)</f>
        <v>#DIV/0!</v>
      </c>
      <c r="N39" s="188"/>
      <c r="O39" s="189"/>
      <c r="P39" s="190"/>
      <c r="Q39" s="189"/>
      <c r="R39" s="190"/>
      <c r="S39" s="191" t="s">
        <v>71</v>
      </c>
      <c r="T39" s="192" t="s">
        <v>71</v>
      </c>
      <c r="U39" s="191" t="s">
        <v>71</v>
      </c>
      <c r="V39" s="193" t="s">
        <v>71</v>
      </c>
      <c r="W39" s="87"/>
    </row>
    <row r="40" customFormat="false" ht="15" hidden="false" customHeight="false" outlineLevel="0" collapsed="false">
      <c r="B40" s="226"/>
      <c r="C40" s="227"/>
      <c r="D40" s="90"/>
      <c r="E40" s="123" t="s">
        <v>91</v>
      </c>
      <c r="F40" s="136" t="s">
        <v>70</v>
      </c>
      <c r="G40" s="231"/>
      <c r="H40" s="232"/>
      <c r="I40" s="185" t="e">
        <f aca="false">J40/G40</f>
        <v>#DIV/0!</v>
      </c>
      <c r="J40" s="233"/>
      <c r="K40" s="187" t="e">
        <f aca="false">L40/G40</f>
        <v>#DIV/0!</v>
      </c>
      <c r="L40" s="233"/>
      <c r="M40" s="187" t="e">
        <f aca="false">IF(N40="-","-",N40/L40)</f>
        <v>#DIV/0!</v>
      </c>
      <c r="N40" s="188"/>
      <c r="O40" s="189"/>
      <c r="P40" s="190"/>
      <c r="Q40" s="189"/>
      <c r="R40" s="190"/>
      <c r="S40" s="191" t="s">
        <v>71</v>
      </c>
      <c r="T40" s="192" t="s">
        <v>71</v>
      </c>
      <c r="U40" s="191" t="s">
        <v>71</v>
      </c>
      <c r="V40" s="193" t="s">
        <v>71</v>
      </c>
      <c r="W40" s="87"/>
    </row>
    <row r="41" customFormat="false" ht="15" hidden="false" customHeight="false" outlineLevel="0" collapsed="false">
      <c r="B41" s="226"/>
      <c r="C41" s="227"/>
      <c r="D41" s="90"/>
      <c r="E41" s="123" t="s">
        <v>92</v>
      </c>
      <c r="F41" s="136" t="s">
        <v>70</v>
      </c>
      <c r="G41" s="231"/>
      <c r="H41" s="232"/>
      <c r="I41" s="185" t="e">
        <f aca="false">J41/G41</f>
        <v>#DIV/0!</v>
      </c>
      <c r="J41" s="233"/>
      <c r="K41" s="187" t="e">
        <f aca="false">L41/G41</f>
        <v>#DIV/0!</v>
      </c>
      <c r="L41" s="233"/>
      <c r="M41" s="187" t="e">
        <f aca="false">IF(N41="-","-",N41/L41)</f>
        <v>#DIV/0!</v>
      </c>
      <c r="N41" s="188"/>
      <c r="O41" s="189"/>
      <c r="P41" s="190"/>
      <c r="Q41" s="189"/>
      <c r="R41" s="190"/>
      <c r="S41" s="191" t="s">
        <v>71</v>
      </c>
      <c r="T41" s="192" t="s">
        <v>71</v>
      </c>
      <c r="U41" s="191" t="s">
        <v>71</v>
      </c>
      <c r="V41" s="193" t="s">
        <v>71</v>
      </c>
      <c r="W41" s="87"/>
    </row>
    <row r="42" customFormat="false" ht="15" hidden="false" customHeight="false" outlineLevel="0" collapsed="false">
      <c r="B42" s="226"/>
      <c r="C42" s="227"/>
      <c r="D42" s="90"/>
      <c r="E42" s="123" t="s">
        <v>93</v>
      </c>
      <c r="F42" s="136" t="s">
        <v>70</v>
      </c>
      <c r="G42" s="231"/>
      <c r="H42" s="232"/>
      <c r="I42" s="185" t="e">
        <f aca="false">J42/G42</f>
        <v>#DIV/0!</v>
      </c>
      <c r="J42" s="233"/>
      <c r="K42" s="187" t="e">
        <f aca="false">L42/G42</f>
        <v>#DIV/0!</v>
      </c>
      <c r="L42" s="233"/>
      <c r="M42" s="187" t="e">
        <f aca="false">IF(N42="-","-",N42/L42)</f>
        <v>#DIV/0!</v>
      </c>
      <c r="N42" s="188"/>
      <c r="O42" s="189"/>
      <c r="P42" s="190"/>
      <c r="Q42" s="189"/>
      <c r="R42" s="190"/>
      <c r="S42" s="191" t="s">
        <v>71</v>
      </c>
      <c r="T42" s="192" t="s">
        <v>71</v>
      </c>
      <c r="U42" s="191" t="s">
        <v>71</v>
      </c>
      <c r="V42" s="193" t="s">
        <v>71</v>
      </c>
      <c r="W42" s="87"/>
    </row>
    <row r="43" customFormat="false" ht="15" hidden="false" customHeight="false" outlineLevel="0" collapsed="false">
      <c r="B43" s="226"/>
      <c r="C43" s="227"/>
      <c r="D43" s="90"/>
      <c r="E43" s="194"/>
      <c r="F43" s="195"/>
      <c r="G43" s="234"/>
      <c r="H43" s="235"/>
      <c r="I43" s="185" t="e">
        <f aca="false">J43/G43</f>
        <v>#DIV/0!</v>
      </c>
      <c r="J43" s="236"/>
      <c r="K43" s="187" t="e">
        <f aca="false">L43/G43</f>
        <v>#DIV/0!</v>
      </c>
      <c r="L43" s="236"/>
      <c r="M43" s="187" t="e">
        <f aca="false">IF(N43="-","-",N43/L43)</f>
        <v>#DIV/0!</v>
      </c>
      <c r="N43" s="199"/>
      <c r="O43" s="200"/>
      <c r="P43" s="201"/>
      <c r="Q43" s="200"/>
      <c r="R43" s="201"/>
      <c r="S43" s="202" t="s">
        <v>71</v>
      </c>
      <c r="T43" s="203" t="s">
        <v>71</v>
      </c>
      <c r="U43" s="202" t="s">
        <v>71</v>
      </c>
      <c r="V43" s="204" t="s">
        <v>71</v>
      </c>
      <c r="W43" s="87"/>
    </row>
    <row r="44" customFormat="false" ht="15" hidden="false" customHeight="false" outlineLevel="0" collapsed="false">
      <c r="B44" s="226"/>
      <c r="C44" s="227"/>
      <c r="D44" s="90"/>
      <c r="E44" s="194"/>
      <c r="F44" s="195"/>
      <c r="G44" s="234"/>
      <c r="H44" s="235"/>
      <c r="I44" s="185" t="e">
        <f aca="false">J44/G44</f>
        <v>#DIV/0!</v>
      </c>
      <c r="J44" s="236"/>
      <c r="K44" s="187" t="e">
        <f aca="false">L44/G44</f>
        <v>#DIV/0!</v>
      </c>
      <c r="L44" s="236"/>
      <c r="M44" s="187" t="e">
        <f aca="false">IF(N44="-","-",N44/L44)</f>
        <v>#DIV/0!</v>
      </c>
      <c r="N44" s="199"/>
      <c r="O44" s="200"/>
      <c r="P44" s="201"/>
      <c r="Q44" s="200"/>
      <c r="R44" s="201"/>
      <c r="S44" s="202" t="s">
        <v>71</v>
      </c>
      <c r="T44" s="203" t="s">
        <v>71</v>
      </c>
      <c r="U44" s="202" t="s">
        <v>71</v>
      </c>
      <c r="V44" s="204" t="s">
        <v>71</v>
      </c>
      <c r="W44" s="87"/>
    </row>
    <row r="45" customFormat="false" ht="15" hidden="false" customHeight="false" outlineLevel="0" collapsed="false">
      <c r="B45" s="226"/>
      <c r="C45" s="227"/>
      <c r="D45" s="90"/>
      <c r="E45" s="149" t="s">
        <v>94</v>
      </c>
      <c r="F45" s="150" t="s">
        <v>70</v>
      </c>
      <c r="G45" s="205"/>
      <c r="H45" s="206"/>
      <c r="I45" s="207" t="e">
        <f aca="false">J45/G45</f>
        <v>#DIV/0!</v>
      </c>
      <c r="J45" s="208"/>
      <c r="K45" s="209" t="e">
        <f aca="false">L45/G45</f>
        <v>#DIV/0!</v>
      </c>
      <c r="L45" s="208"/>
      <c r="M45" s="209" t="e">
        <f aca="false">IF(N45="-","-",N45/L45)</f>
        <v>#DIV/0!</v>
      </c>
      <c r="N45" s="210"/>
      <c r="O45" s="211"/>
      <c r="P45" s="212"/>
      <c r="Q45" s="211"/>
      <c r="R45" s="212"/>
      <c r="S45" s="213" t="s">
        <v>71</v>
      </c>
      <c r="T45" s="214" t="s">
        <v>71</v>
      </c>
      <c r="U45" s="213" t="s">
        <v>71</v>
      </c>
      <c r="V45" s="215" t="s">
        <v>71</v>
      </c>
      <c r="W45" s="87"/>
    </row>
    <row r="46" customFormat="false" ht="16.5" hidden="false" customHeight="false" outlineLevel="0" collapsed="false">
      <c r="B46" s="226"/>
      <c r="C46" s="227"/>
      <c r="D46" s="237" t="s">
        <v>75</v>
      </c>
      <c r="E46" s="217"/>
      <c r="F46" s="218"/>
      <c r="G46" s="219" t="n">
        <f aca="false">SUM(G36:G45)</f>
        <v>0</v>
      </c>
      <c r="H46" s="220" t="n">
        <f aca="false">SUM(H36:H45)</f>
        <v>0</v>
      </c>
      <c r="I46" s="221" t="e">
        <f aca="false">J46/G46</f>
        <v>#DIV/0!</v>
      </c>
      <c r="J46" s="222" t="n">
        <f aca="false">SUM(J36:J45)</f>
        <v>0</v>
      </c>
      <c r="K46" s="221" t="e">
        <f aca="false">L46/G46</f>
        <v>#DIV/0!</v>
      </c>
      <c r="L46" s="222" t="n">
        <f aca="false">SUM(L36:L45)</f>
        <v>0</v>
      </c>
      <c r="M46" s="221" t="e">
        <f aca="false">N46/L46</f>
        <v>#DIV/0!</v>
      </c>
      <c r="N46" s="222" t="n">
        <f aca="false">SUM(N36:N45)</f>
        <v>0</v>
      </c>
      <c r="O46" s="223" t="n">
        <f aca="false">SUM(O36:O45)</f>
        <v>0</v>
      </c>
      <c r="P46" s="224" t="n">
        <f aca="false">SUM(P36:P45)</f>
        <v>0</v>
      </c>
      <c r="Q46" s="223" t="n">
        <f aca="false">SUM(Q36:Q45)</f>
        <v>0</v>
      </c>
      <c r="R46" s="224" t="n">
        <f aca="false">SUM(R36:R45)</f>
        <v>0</v>
      </c>
      <c r="S46" s="223" t="n">
        <f aca="false">SUM(S36:S45)</f>
        <v>0</v>
      </c>
      <c r="T46" s="224" t="n">
        <f aca="false">SUM(T36:T45)</f>
        <v>0</v>
      </c>
      <c r="U46" s="223" t="n">
        <f aca="false">SUM(U36:U45)</f>
        <v>0</v>
      </c>
      <c r="V46" s="225" t="n">
        <f aca="false">SUM(V36:V45)</f>
        <v>0</v>
      </c>
      <c r="W46" s="87"/>
    </row>
    <row r="47" s="251" customFormat="true" ht="21" hidden="false" customHeight="true" outlineLevel="0" collapsed="false">
      <c r="A47" s="22"/>
      <c r="B47" s="238" t="s">
        <v>95</v>
      </c>
      <c r="C47" s="239"/>
      <c r="D47" s="239" t="n">
        <f aca="false">SUM(D5:D45)</f>
        <v>40</v>
      </c>
      <c r="E47" s="240" t="n">
        <f aca="false">COUNT(G5:G34,G36:G45)</f>
        <v>17</v>
      </c>
      <c r="F47" s="241" t="n">
        <f aca="false">COUNT(J5:J45)</f>
        <v>18</v>
      </c>
      <c r="G47" s="242" t="n">
        <f aca="false">G5+G35+G46</f>
        <v>0</v>
      </c>
      <c r="H47" s="243" t="n">
        <f aca="false">H5+H35+H46</f>
        <v>0</v>
      </c>
      <c r="I47" s="244" t="e">
        <f aca="false">J47/G47</f>
        <v>#DIV/0!</v>
      </c>
      <c r="J47" s="245" t="n">
        <f aca="false">J5+J35+J46</f>
        <v>0</v>
      </c>
      <c r="K47" s="246" t="e">
        <f aca="false">L47/G47</f>
        <v>#DIV/0!</v>
      </c>
      <c r="L47" s="245" t="n">
        <f aca="false">L5+L35+L46</f>
        <v>0</v>
      </c>
      <c r="M47" s="244" t="e">
        <f aca="false">N47/(L5+SUM(L36:L45))</f>
        <v>#DIV/0!</v>
      </c>
      <c r="N47" s="245" t="n">
        <f aca="false">N5+N35+N46</f>
        <v>0</v>
      </c>
      <c r="O47" s="247"/>
      <c r="P47" s="248"/>
      <c r="Q47" s="247"/>
      <c r="R47" s="248"/>
      <c r="S47" s="247"/>
      <c r="T47" s="248"/>
      <c r="U47" s="247"/>
      <c r="V47" s="249"/>
      <c r="W47" s="250"/>
      <c r="Y47" s="1"/>
    </row>
    <row r="48" customFormat="false" ht="15" hidden="false" customHeight="true" outlineLevel="0" collapsed="false">
      <c r="B48" s="71" t="s">
        <v>96</v>
      </c>
      <c r="C48" s="72" t="s">
        <v>97</v>
      </c>
      <c r="D48" s="252" t="n">
        <v>6</v>
      </c>
      <c r="E48" s="253" t="s">
        <v>98</v>
      </c>
      <c r="F48" s="254" t="s">
        <v>70</v>
      </c>
      <c r="G48" s="228"/>
      <c r="H48" s="229"/>
      <c r="I48" s="176" t="e">
        <f aca="false">J48/G48</f>
        <v>#DIV/0!</v>
      </c>
      <c r="J48" s="230"/>
      <c r="K48" s="176" t="e">
        <f aca="false">L48/G48</f>
        <v>#DIV/0!</v>
      </c>
      <c r="L48" s="230"/>
      <c r="M48" s="176" t="e">
        <f aca="false">IF(N48="-","-",N48/L48)</f>
        <v>#DIV/0!</v>
      </c>
      <c r="N48" s="177"/>
      <c r="O48" s="178"/>
      <c r="P48" s="179"/>
      <c r="Q48" s="178"/>
      <c r="R48" s="179"/>
      <c r="S48" s="180"/>
      <c r="T48" s="181"/>
      <c r="U48" s="180"/>
      <c r="V48" s="182"/>
      <c r="W48" s="255"/>
    </row>
    <row r="49" customFormat="false" ht="15" hidden="false" customHeight="true" outlineLevel="0" collapsed="false">
      <c r="B49" s="71"/>
      <c r="C49" s="72"/>
      <c r="D49" s="252"/>
      <c r="E49" s="256" t="s">
        <v>99</v>
      </c>
      <c r="F49" s="257" t="s">
        <v>70</v>
      </c>
      <c r="G49" s="231"/>
      <c r="H49" s="232"/>
      <c r="I49" s="187" t="e">
        <f aca="false">J49/G49</f>
        <v>#DIV/0!</v>
      </c>
      <c r="J49" s="233"/>
      <c r="K49" s="187" t="e">
        <f aca="false">L49/G49</f>
        <v>#DIV/0!</v>
      </c>
      <c r="L49" s="233"/>
      <c r="M49" s="187" t="e">
        <f aca="false">IF(N49="-","-",N49/L49)</f>
        <v>#DIV/0!</v>
      </c>
      <c r="N49" s="188"/>
      <c r="O49" s="189"/>
      <c r="P49" s="190"/>
      <c r="Q49" s="189"/>
      <c r="R49" s="190"/>
      <c r="S49" s="191"/>
      <c r="T49" s="192"/>
      <c r="U49" s="191"/>
      <c r="V49" s="193"/>
      <c r="W49" s="255"/>
    </row>
    <row r="50" customFormat="false" ht="15" hidden="false" customHeight="true" outlineLevel="0" collapsed="false">
      <c r="B50" s="71"/>
      <c r="C50" s="72"/>
      <c r="D50" s="252"/>
      <c r="E50" s="256" t="s">
        <v>100</v>
      </c>
      <c r="F50" s="257" t="s">
        <v>70</v>
      </c>
      <c r="G50" s="231"/>
      <c r="H50" s="232"/>
      <c r="I50" s="187" t="e">
        <f aca="false">J50/G50</f>
        <v>#DIV/0!</v>
      </c>
      <c r="J50" s="233"/>
      <c r="K50" s="187" t="e">
        <f aca="false">L50/G50</f>
        <v>#DIV/0!</v>
      </c>
      <c r="L50" s="233"/>
      <c r="M50" s="187" t="e">
        <f aca="false">IF(N50="-","-",N50/L50)</f>
        <v>#DIV/0!</v>
      </c>
      <c r="N50" s="188"/>
      <c r="O50" s="189"/>
      <c r="P50" s="190"/>
      <c r="Q50" s="189"/>
      <c r="R50" s="190"/>
      <c r="S50" s="191" t="s">
        <v>71</v>
      </c>
      <c r="T50" s="192" t="s">
        <v>71</v>
      </c>
      <c r="U50" s="191" t="s">
        <v>71</v>
      </c>
      <c r="V50" s="193" t="s">
        <v>71</v>
      </c>
      <c r="W50" s="255"/>
    </row>
    <row r="51" customFormat="false" ht="15" hidden="false" customHeight="true" outlineLevel="0" collapsed="false">
      <c r="B51" s="71"/>
      <c r="C51" s="72"/>
      <c r="D51" s="252"/>
      <c r="E51" s="256" t="s">
        <v>101</v>
      </c>
      <c r="F51" s="257" t="s">
        <v>102</v>
      </c>
      <c r="G51" s="231"/>
      <c r="H51" s="232"/>
      <c r="I51" s="187" t="e">
        <f aca="false">J51/G51</f>
        <v>#DIV/0!</v>
      </c>
      <c r="J51" s="233"/>
      <c r="K51" s="187" t="e">
        <f aca="false">L51/G51</f>
        <v>#DIV/0!</v>
      </c>
      <c r="L51" s="233"/>
      <c r="M51" s="187" t="e">
        <f aca="false">IF(N51="-","-",N51/L51)</f>
        <v>#DIV/0!</v>
      </c>
      <c r="N51" s="188"/>
      <c r="O51" s="189"/>
      <c r="P51" s="190"/>
      <c r="Q51" s="189"/>
      <c r="R51" s="190"/>
      <c r="S51" s="191"/>
      <c r="T51" s="192"/>
      <c r="U51" s="191"/>
      <c r="V51" s="193"/>
      <c r="W51" s="255"/>
    </row>
    <row r="52" customFormat="false" ht="15" hidden="false" customHeight="true" outlineLevel="0" collapsed="false">
      <c r="B52" s="71"/>
      <c r="C52" s="72"/>
      <c r="D52" s="252"/>
      <c r="E52" s="256" t="s">
        <v>103</v>
      </c>
      <c r="F52" s="257" t="s">
        <v>70</v>
      </c>
      <c r="G52" s="231"/>
      <c r="H52" s="232"/>
      <c r="I52" s="187" t="e">
        <f aca="false">J52/G52</f>
        <v>#DIV/0!</v>
      </c>
      <c r="J52" s="233"/>
      <c r="K52" s="187" t="e">
        <f aca="false">L52/G52</f>
        <v>#DIV/0!</v>
      </c>
      <c r="L52" s="233"/>
      <c r="M52" s="187" t="e">
        <f aca="false">IF(N52="-","-",N52/L52)</f>
        <v>#DIV/0!</v>
      </c>
      <c r="N52" s="188"/>
      <c r="O52" s="189"/>
      <c r="P52" s="190"/>
      <c r="Q52" s="189"/>
      <c r="R52" s="190"/>
      <c r="S52" s="191" t="s">
        <v>71</v>
      </c>
      <c r="T52" s="192" t="s">
        <v>71</v>
      </c>
      <c r="U52" s="191" t="s">
        <v>71</v>
      </c>
      <c r="V52" s="193" t="s">
        <v>71</v>
      </c>
      <c r="W52" s="255"/>
    </row>
    <row r="53" customFormat="false" ht="15" hidden="false" customHeight="true" outlineLevel="0" collapsed="false">
      <c r="B53" s="71"/>
      <c r="C53" s="72"/>
      <c r="D53" s="252"/>
      <c r="E53" s="258"/>
      <c r="F53" s="259"/>
      <c r="G53" s="234"/>
      <c r="H53" s="235"/>
      <c r="I53" s="187" t="e">
        <f aca="false">J53/G53</f>
        <v>#DIV/0!</v>
      </c>
      <c r="J53" s="236"/>
      <c r="K53" s="187" t="e">
        <f aca="false">L53/G53</f>
        <v>#DIV/0!</v>
      </c>
      <c r="L53" s="236"/>
      <c r="M53" s="187" t="e">
        <f aca="false">IF(N53="-","-",N53/L53)</f>
        <v>#DIV/0!</v>
      </c>
      <c r="N53" s="199"/>
      <c r="O53" s="200"/>
      <c r="P53" s="201"/>
      <c r="Q53" s="200"/>
      <c r="R53" s="201"/>
      <c r="S53" s="202"/>
      <c r="T53" s="203"/>
      <c r="U53" s="202"/>
      <c r="V53" s="204"/>
      <c r="W53" s="255"/>
    </row>
    <row r="54" customFormat="false" ht="15" hidden="false" customHeight="true" outlineLevel="0" collapsed="false">
      <c r="B54" s="71"/>
      <c r="C54" s="72"/>
      <c r="D54" s="252"/>
      <c r="E54" s="258"/>
      <c r="F54" s="259"/>
      <c r="G54" s="234"/>
      <c r="H54" s="235"/>
      <c r="I54" s="187" t="e">
        <f aca="false">J54/G54</f>
        <v>#DIV/0!</v>
      </c>
      <c r="J54" s="236"/>
      <c r="K54" s="187" t="e">
        <f aca="false">L54/G54</f>
        <v>#DIV/0!</v>
      </c>
      <c r="L54" s="236"/>
      <c r="M54" s="187" t="e">
        <f aca="false">IF(N54="-","-",N54/L54)</f>
        <v>#DIV/0!</v>
      </c>
      <c r="N54" s="199"/>
      <c r="O54" s="200"/>
      <c r="P54" s="201"/>
      <c r="Q54" s="200"/>
      <c r="R54" s="201"/>
      <c r="S54" s="202"/>
      <c r="T54" s="203"/>
      <c r="U54" s="202"/>
      <c r="V54" s="204"/>
      <c r="W54" s="255"/>
    </row>
    <row r="55" customFormat="false" ht="15" hidden="false" customHeight="true" outlineLevel="0" collapsed="false">
      <c r="B55" s="71"/>
      <c r="C55" s="72"/>
      <c r="D55" s="252"/>
      <c r="E55" s="260" t="s">
        <v>104</v>
      </c>
      <c r="F55" s="261" t="s">
        <v>102</v>
      </c>
      <c r="G55" s="205"/>
      <c r="H55" s="206"/>
      <c r="I55" s="209" t="e">
        <f aca="false">J55/G55</f>
        <v>#DIV/0!</v>
      </c>
      <c r="J55" s="208"/>
      <c r="K55" s="209" t="e">
        <f aca="false">L55/G55</f>
        <v>#DIV/0!</v>
      </c>
      <c r="L55" s="208"/>
      <c r="M55" s="209" t="e">
        <f aca="false">IF(N55="-","-",N55/L55)</f>
        <v>#DIV/0!</v>
      </c>
      <c r="N55" s="210"/>
      <c r="O55" s="211"/>
      <c r="P55" s="212"/>
      <c r="Q55" s="211"/>
      <c r="R55" s="212"/>
      <c r="S55" s="213"/>
      <c r="T55" s="214"/>
      <c r="U55" s="213"/>
      <c r="V55" s="215"/>
      <c r="W55" s="255"/>
    </row>
    <row r="56" customFormat="false" ht="15.75" hidden="false" customHeight="false" outlineLevel="0" collapsed="false">
      <c r="B56" s="71"/>
      <c r="C56" s="72"/>
      <c r="D56" s="89" t="s">
        <v>75</v>
      </c>
      <c r="E56" s="262"/>
      <c r="F56" s="263"/>
      <c r="G56" s="219" t="n">
        <f aca="false">SUM(G48:G55)</f>
        <v>0</v>
      </c>
      <c r="H56" s="220" t="n">
        <f aca="false">SUM(H48:H55)</f>
        <v>0</v>
      </c>
      <c r="I56" s="221" t="e">
        <f aca="false">J56/G56</f>
        <v>#DIV/0!</v>
      </c>
      <c r="J56" s="222" t="n">
        <f aca="false">SUM(J48:J55)</f>
        <v>0</v>
      </c>
      <c r="K56" s="97" t="e">
        <f aca="false">L56/G56</f>
        <v>#DIV/0!</v>
      </c>
      <c r="L56" s="222" t="n">
        <f aca="false">SUM(L48:L55)</f>
        <v>0</v>
      </c>
      <c r="M56" s="221" t="e">
        <f aca="false">N56/L56</f>
        <v>#DIV/0!</v>
      </c>
      <c r="N56" s="222" t="n">
        <f aca="false">SUM(N48:N55)</f>
        <v>0</v>
      </c>
      <c r="O56" s="101" t="n">
        <f aca="false">SUM(O48:O55)</f>
        <v>0</v>
      </c>
      <c r="P56" s="102" t="n">
        <f aca="false">SUM(P48:P55)</f>
        <v>0</v>
      </c>
      <c r="Q56" s="101" t="n">
        <f aca="false">SUM(Q48:Q55)</f>
        <v>0</v>
      </c>
      <c r="R56" s="102" t="n">
        <f aca="false">SUM(R48:R55)</f>
        <v>0</v>
      </c>
      <c r="S56" s="101" t="n">
        <f aca="false">SUM(S48:S55)</f>
        <v>0</v>
      </c>
      <c r="T56" s="102" t="n">
        <f aca="false">SUM(T48:T55)</f>
        <v>0</v>
      </c>
      <c r="U56" s="101" t="n">
        <f aca="false">SUM(U48:U55)</f>
        <v>0</v>
      </c>
      <c r="V56" s="103" t="n">
        <f aca="false">SUM(V48:V55)</f>
        <v>0</v>
      </c>
      <c r="W56" s="87"/>
    </row>
    <row r="57" customFormat="false" ht="15" hidden="false" customHeight="false" outlineLevel="0" collapsed="false">
      <c r="B57" s="264" t="s">
        <v>105</v>
      </c>
      <c r="C57" s="265" t="s">
        <v>97</v>
      </c>
      <c r="D57" s="90" t="n">
        <v>11</v>
      </c>
      <c r="E57" s="266" t="s">
        <v>106</v>
      </c>
      <c r="F57" s="267" t="s">
        <v>102</v>
      </c>
      <c r="G57" s="268"/>
      <c r="H57" s="269"/>
      <c r="I57" s="270" t="e">
        <f aca="false">J57/G57</f>
        <v>#DIV/0!</v>
      </c>
      <c r="J57" s="271"/>
      <c r="K57" s="270" t="e">
        <f aca="false">L57/G57</f>
        <v>#DIV/0!</v>
      </c>
      <c r="L57" s="271"/>
      <c r="M57" s="270" t="e">
        <f aca="false">IF(N57="-","-",N57/L57)</f>
        <v>#DIV/0!</v>
      </c>
      <c r="N57" s="272"/>
      <c r="O57" s="273"/>
      <c r="P57" s="274"/>
      <c r="Q57" s="273"/>
      <c r="R57" s="274"/>
      <c r="S57" s="275"/>
      <c r="T57" s="276"/>
      <c r="U57" s="275"/>
      <c r="V57" s="277"/>
      <c r="W57" s="87"/>
    </row>
    <row r="58" customFormat="false" ht="15" hidden="false" customHeight="false" outlineLevel="0" collapsed="false">
      <c r="B58" s="264"/>
      <c r="C58" s="265"/>
      <c r="D58" s="90"/>
      <c r="E58" s="278" t="s">
        <v>106</v>
      </c>
      <c r="F58" s="279" t="s">
        <v>102</v>
      </c>
      <c r="G58" s="280"/>
      <c r="H58" s="281"/>
      <c r="I58" s="282" t="e">
        <f aca="false">J58/G58</f>
        <v>#DIV/0!</v>
      </c>
      <c r="J58" s="283"/>
      <c r="K58" s="282" t="e">
        <f aca="false">L58/G58</f>
        <v>#DIV/0!</v>
      </c>
      <c r="L58" s="283"/>
      <c r="M58" s="282" t="e">
        <f aca="false">IF(N58="-","-",N58/L58)</f>
        <v>#DIV/0!</v>
      </c>
      <c r="N58" s="284"/>
      <c r="O58" s="285"/>
      <c r="P58" s="286"/>
      <c r="Q58" s="285"/>
      <c r="R58" s="286"/>
      <c r="S58" s="287"/>
      <c r="T58" s="288"/>
      <c r="U58" s="287"/>
      <c r="V58" s="289"/>
      <c r="W58" s="87"/>
    </row>
    <row r="59" customFormat="false" ht="15" hidden="false" customHeight="false" outlineLevel="0" collapsed="false">
      <c r="B59" s="264"/>
      <c r="C59" s="265"/>
      <c r="D59" s="90"/>
      <c r="E59" s="278" t="s">
        <v>106</v>
      </c>
      <c r="F59" s="279" t="s">
        <v>102</v>
      </c>
      <c r="G59" s="280"/>
      <c r="H59" s="281"/>
      <c r="I59" s="282" t="e">
        <f aca="false">J59/G59</f>
        <v>#DIV/0!</v>
      </c>
      <c r="J59" s="283"/>
      <c r="K59" s="282" t="e">
        <f aca="false">L59/G59</f>
        <v>#DIV/0!</v>
      </c>
      <c r="L59" s="283"/>
      <c r="M59" s="282" t="e">
        <f aca="false">IF(N59="-","-",N59/L59)</f>
        <v>#DIV/0!</v>
      </c>
      <c r="N59" s="284"/>
      <c r="O59" s="285"/>
      <c r="P59" s="286"/>
      <c r="Q59" s="285"/>
      <c r="R59" s="286"/>
      <c r="S59" s="287"/>
      <c r="T59" s="288"/>
      <c r="U59" s="287"/>
      <c r="V59" s="289"/>
      <c r="W59" s="87"/>
    </row>
    <row r="60" customFormat="false" ht="15" hidden="false" customHeight="false" outlineLevel="0" collapsed="false">
      <c r="B60" s="264"/>
      <c r="C60" s="265"/>
      <c r="D60" s="90"/>
      <c r="E60" s="278" t="s">
        <v>106</v>
      </c>
      <c r="F60" s="279" t="s">
        <v>102</v>
      </c>
      <c r="G60" s="280"/>
      <c r="H60" s="281"/>
      <c r="I60" s="282" t="e">
        <f aca="false">J60/G60</f>
        <v>#DIV/0!</v>
      </c>
      <c r="J60" s="283"/>
      <c r="K60" s="282" t="e">
        <f aca="false">L60/G60</f>
        <v>#DIV/0!</v>
      </c>
      <c r="L60" s="283"/>
      <c r="M60" s="282" t="e">
        <f aca="false">IF(N60="-","-",N60/L60)</f>
        <v>#DIV/0!</v>
      </c>
      <c r="N60" s="284"/>
      <c r="O60" s="285"/>
      <c r="P60" s="286"/>
      <c r="Q60" s="285"/>
      <c r="R60" s="286"/>
      <c r="S60" s="287"/>
      <c r="T60" s="288"/>
      <c r="U60" s="287"/>
      <c r="V60" s="289"/>
      <c r="W60" s="87"/>
    </row>
    <row r="61" customFormat="false" ht="15" hidden="false" customHeight="false" outlineLevel="0" collapsed="false">
      <c r="B61" s="264"/>
      <c r="C61" s="265"/>
      <c r="D61" s="90"/>
      <c r="E61" s="290" t="s">
        <v>106</v>
      </c>
      <c r="F61" s="291"/>
      <c r="G61" s="292"/>
      <c r="H61" s="293"/>
      <c r="I61" s="282" t="e">
        <f aca="false">J61/G61</f>
        <v>#DIV/0!</v>
      </c>
      <c r="J61" s="283"/>
      <c r="K61" s="282" t="e">
        <f aca="false">L61/G61</f>
        <v>#DIV/0!</v>
      </c>
      <c r="L61" s="283"/>
      <c r="M61" s="282" t="e">
        <f aca="false">IF(N61="-","-",N61/L61)</f>
        <v>#DIV/0!</v>
      </c>
      <c r="N61" s="284"/>
      <c r="O61" s="294"/>
      <c r="P61" s="295"/>
      <c r="Q61" s="294"/>
      <c r="R61" s="295"/>
      <c r="S61" s="296"/>
      <c r="T61" s="297"/>
      <c r="U61" s="296"/>
      <c r="V61" s="298"/>
      <c r="W61" s="87"/>
    </row>
    <row r="62" customFormat="false" ht="15" hidden="false" customHeight="false" outlineLevel="0" collapsed="false">
      <c r="B62" s="264"/>
      <c r="C62" s="265"/>
      <c r="D62" s="90"/>
      <c r="E62" s="290" t="s">
        <v>106</v>
      </c>
      <c r="F62" s="291"/>
      <c r="G62" s="292"/>
      <c r="H62" s="293"/>
      <c r="I62" s="282" t="e">
        <f aca="false">J62/G62</f>
        <v>#DIV/0!</v>
      </c>
      <c r="J62" s="283"/>
      <c r="K62" s="282" t="e">
        <f aca="false">L62/G62</f>
        <v>#DIV/0!</v>
      </c>
      <c r="L62" s="283"/>
      <c r="M62" s="282" t="e">
        <f aca="false">IF(N62="-","-",N62/L62)</f>
        <v>#DIV/0!</v>
      </c>
      <c r="N62" s="284"/>
      <c r="O62" s="294"/>
      <c r="P62" s="295"/>
      <c r="Q62" s="294"/>
      <c r="R62" s="295"/>
      <c r="S62" s="296"/>
      <c r="T62" s="297"/>
      <c r="U62" s="296"/>
      <c r="V62" s="298"/>
      <c r="W62" s="87"/>
    </row>
    <row r="63" customFormat="false" ht="15" hidden="false" customHeight="false" outlineLevel="0" collapsed="false">
      <c r="B63" s="264"/>
      <c r="C63" s="265"/>
      <c r="D63" s="90"/>
      <c r="E63" s="299" t="s">
        <v>106</v>
      </c>
      <c r="F63" s="300" t="s">
        <v>102</v>
      </c>
      <c r="G63" s="301"/>
      <c r="H63" s="302"/>
      <c r="I63" s="303" t="e">
        <f aca="false">J63/G63</f>
        <v>#DIV/0!</v>
      </c>
      <c r="J63" s="304"/>
      <c r="K63" s="303" t="e">
        <f aca="false">L63/G63</f>
        <v>#DIV/0!</v>
      </c>
      <c r="L63" s="304"/>
      <c r="M63" s="303" t="e">
        <f aca="false">IF(N63="-","-",N63/L63)</f>
        <v>#DIV/0!</v>
      </c>
      <c r="N63" s="305"/>
      <c r="O63" s="306"/>
      <c r="P63" s="307"/>
      <c r="Q63" s="306"/>
      <c r="R63" s="307"/>
      <c r="S63" s="308"/>
      <c r="T63" s="309"/>
      <c r="U63" s="308"/>
      <c r="V63" s="310"/>
      <c r="W63" s="87"/>
      <c r="X63" s="311" t="s">
        <v>107</v>
      </c>
    </row>
    <row r="64" customFormat="false" ht="15.75" hidden="false" customHeight="false" outlineLevel="0" collapsed="false">
      <c r="B64" s="264"/>
      <c r="C64" s="265"/>
      <c r="D64" s="89" t="s">
        <v>75</v>
      </c>
      <c r="E64" s="312"/>
      <c r="F64" s="313"/>
      <c r="G64" s="219" t="n">
        <f aca="false">SUM(G57:G63)</f>
        <v>0</v>
      </c>
      <c r="H64" s="220" t="n">
        <f aca="false">SUM(H57:H63)</f>
        <v>0</v>
      </c>
      <c r="I64" s="221" t="e">
        <f aca="false">J64/G64</f>
        <v>#DIV/0!</v>
      </c>
      <c r="J64" s="222" t="n">
        <f aca="false">SUM(J57:J63)</f>
        <v>0</v>
      </c>
      <c r="K64" s="97" t="e">
        <f aca="false">L64/G64</f>
        <v>#DIV/0!</v>
      </c>
      <c r="L64" s="222" t="n">
        <f aca="false">SUM(L57:L63)</f>
        <v>0</v>
      </c>
      <c r="M64" s="221" t="e">
        <f aca="false">N64/L64</f>
        <v>#DIV/0!</v>
      </c>
      <c r="N64" s="222" t="n">
        <f aca="false">SUM(N57:N63)</f>
        <v>0</v>
      </c>
      <c r="O64" s="101" t="n">
        <f aca="false">SUM(O57:O63)</f>
        <v>0</v>
      </c>
      <c r="P64" s="102" t="n">
        <f aca="false">SUM(P57:P63)</f>
        <v>0</v>
      </c>
      <c r="Q64" s="101" t="n">
        <f aca="false">SUM(Q57:Q63)</f>
        <v>0</v>
      </c>
      <c r="R64" s="102" t="n">
        <f aca="false">SUM(R57:R63)</f>
        <v>0</v>
      </c>
      <c r="S64" s="101" t="n">
        <f aca="false">SUM(S57:S63)</f>
        <v>0</v>
      </c>
      <c r="T64" s="102" t="n">
        <f aca="false">SUM(T57:T63)</f>
        <v>0</v>
      </c>
      <c r="U64" s="101" t="n">
        <f aca="false">SUM(U57:U63)</f>
        <v>0</v>
      </c>
      <c r="V64" s="103" t="n">
        <f aca="false">SUM(V57:V63)</f>
        <v>0</v>
      </c>
      <c r="W64" s="87"/>
      <c r="X64" s="311"/>
    </row>
    <row r="65" customFormat="false" ht="15" hidden="false" customHeight="false" outlineLevel="0" collapsed="false">
      <c r="B65" s="264" t="s">
        <v>108</v>
      </c>
      <c r="C65" s="265" t="s">
        <v>97</v>
      </c>
      <c r="D65" s="90" t="n">
        <v>11</v>
      </c>
      <c r="E65" s="266" t="s">
        <v>109</v>
      </c>
      <c r="F65" s="267" t="s">
        <v>102</v>
      </c>
      <c r="G65" s="268"/>
      <c r="H65" s="269"/>
      <c r="I65" s="270" t="e">
        <f aca="false">J65/G65</f>
        <v>#DIV/0!</v>
      </c>
      <c r="J65" s="271"/>
      <c r="K65" s="270" t="e">
        <f aca="false">L65/G65</f>
        <v>#DIV/0!</v>
      </c>
      <c r="L65" s="271"/>
      <c r="M65" s="270" t="e">
        <f aca="false">IF(N65="-","-",N65/L65)</f>
        <v>#DIV/0!</v>
      </c>
      <c r="N65" s="272"/>
      <c r="O65" s="273"/>
      <c r="P65" s="274"/>
      <c r="Q65" s="273"/>
      <c r="R65" s="274"/>
      <c r="S65" s="275"/>
      <c r="T65" s="276"/>
      <c r="U65" s="275"/>
      <c r="V65" s="277"/>
      <c r="W65" s="87"/>
    </row>
    <row r="66" customFormat="false" ht="15" hidden="false" customHeight="false" outlineLevel="0" collapsed="false">
      <c r="B66" s="264"/>
      <c r="C66" s="265"/>
      <c r="D66" s="90"/>
      <c r="E66" s="278" t="s">
        <v>110</v>
      </c>
      <c r="F66" s="279" t="s">
        <v>102</v>
      </c>
      <c r="G66" s="280"/>
      <c r="H66" s="281"/>
      <c r="I66" s="282" t="e">
        <f aca="false">J66/G66</f>
        <v>#DIV/0!</v>
      </c>
      <c r="J66" s="283"/>
      <c r="K66" s="282" t="e">
        <f aca="false">L66/G66</f>
        <v>#DIV/0!</v>
      </c>
      <c r="L66" s="283"/>
      <c r="M66" s="282" t="e">
        <f aca="false">IF(N66="-","-",N66/L66)</f>
        <v>#DIV/0!</v>
      </c>
      <c r="N66" s="284"/>
      <c r="O66" s="285"/>
      <c r="P66" s="286"/>
      <c r="Q66" s="285"/>
      <c r="R66" s="286"/>
      <c r="S66" s="287"/>
      <c r="T66" s="288"/>
      <c r="U66" s="287"/>
      <c r="V66" s="289"/>
      <c r="W66" s="87"/>
    </row>
    <row r="67" customFormat="false" ht="15" hidden="false" customHeight="false" outlineLevel="0" collapsed="false">
      <c r="B67" s="264"/>
      <c r="C67" s="265"/>
      <c r="D67" s="90"/>
      <c r="E67" s="278" t="s">
        <v>111</v>
      </c>
      <c r="F67" s="279" t="s">
        <v>102</v>
      </c>
      <c r="G67" s="280"/>
      <c r="H67" s="281"/>
      <c r="I67" s="282" t="e">
        <f aca="false">J67/G67</f>
        <v>#DIV/0!</v>
      </c>
      <c r="J67" s="283"/>
      <c r="K67" s="282" t="e">
        <f aca="false">L67/G67</f>
        <v>#DIV/0!</v>
      </c>
      <c r="L67" s="283"/>
      <c r="M67" s="282" t="e">
        <f aca="false">IF(N67="-","-",N67/L67)</f>
        <v>#DIV/0!</v>
      </c>
      <c r="N67" s="284"/>
      <c r="O67" s="285"/>
      <c r="P67" s="286"/>
      <c r="Q67" s="285"/>
      <c r="R67" s="286"/>
      <c r="S67" s="287"/>
      <c r="T67" s="288"/>
      <c r="U67" s="287"/>
      <c r="V67" s="289"/>
      <c r="W67" s="87"/>
    </row>
    <row r="68" customFormat="false" ht="15" hidden="false" customHeight="false" outlineLevel="0" collapsed="false">
      <c r="B68" s="264"/>
      <c r="C68" s="265"/>
      <c r="D68" s="90"/>
      <c r="E68" s="278" t="s">
        <v>112</v>
      </c>
      <c r="F68" s="279" t="s">
        <v>102</v>
      </c>
      <c r="G68" s="280"/>
      <c r="H68" s="281"/>
      <c r="I68" s="282" t="e">
        <f aca="false">J68/G68</f>
        <v>#DIV/0!</v>
      </c>
      <c r="J68" s="283"/>
      <c r="K68" s="282" t="e">
        <f aca="false">L68/G68</f>
        <v>#DIV/0!</v>
      </c>
      <c r="L68" s="283"/>
      <c r="M68" s="282" t="e">
        <f aca="false">IF(N68="-","-",N68/L68)</f>
        <v>#DIV/0!</v>
      </c>
      <c r="N68" s="284"/>
      <c r="O68" s="285"/>
      <c r="P68" s="286"/>
      <c r="Q68" s="285"/>
      <c r="R68" s="286"/>
      <c r="S68" s="287"/>
      <c r="T68" s="288"/>
      <c r="U68" s="287"/>
      <c r="V68" s="289"/>
      <c r="W68" s="87"/>
    </row>
    <row r="69" customFormat="false" ht="15" hidden="false" customHeight="false" outlineLevel="0" collapsed="false">
      <c r="B69" s="264"/>
      <c r="C69" s="265"/>
      <c r="D69" s="90"/>
      <c r="E69" s="290"/>
      <c r="F69" s="291"/>
      <c r="G69" s="292"/>
      <c r="H69" s="293"/>
      <c r="I69" s="282" t="e">
        <f aca="false">J69/G69</f>
        <v>#DIV/0!</v>
      </c>
      <c r="J69" s="314"/>
      <c r="K69" s="282" t="e">
        <f aca="false">L69/G69</f>
        <v>#DIV/0!</v>
      </c>
      <c r="L69" s="314"/>
      <c r="M69" s="282" t="e">
        <f aca="false">IF(N69="-","-",N69/L69)</f>
        <v>#DIV/0!</v>
      </c>
      <c r="N69" s="315"/>
      <c r="O69" s="294"/>
      <c r="P69" s="295"/>
      <c r="Q69" s="294"/>
      <c r="R69" s="295"/>
      <c r="S69" s="296"/>
      <c r="T69" s="297"/>
      <c r="U69" s="296"/>
      <c r="V69" s="298"/>
      <c r="W69" s="87"/>
    </row>
    <row r="70" customFormat="false" ht="15" hidden="false" customHeight="false" outlineLevel="0" collapsed="false">
      <c r="B70" s="264"/>
      <c r="C70" s="265"/>
      <c r="D70" s="90"/>
      <c r="E70" s="290"/>
      <c r="F70" s="291"/>
      <c r="G70" s="292"/>
      <c r="H70" s="293"/>
      <c r="I70" s="282" t="e">
        <f aca="false">J70/G70</f>
        <v>#DIV/0!</v>
      </c>
      <c r="J70" s="314"/>
      <c r="K70" s="282" t="e">
        <f aca="false">L70/G70</f>
        <v>#DIV/0!</v>
      </c>
      <c r="L70" s="314"/>
      <c r="M70" s="282" t="e">
        <f aca="false">IF(N70="-","-",N70/L70)</f>
        <v>#DIV/0!</v>
      </c>
      <c r="N70" s="315"/>
      <c r="O70" s="294"/>
      <c r="P70" s="295"/>
      <c r="Q70" s="294"/>
      <c r="R70" s="295"/>
      <c r="S70" s="296"/>
      <c r="T70" s="297"/>
      <c r="U70" s="296"/>
      <c r="V70" s="298"/>
      <c r="W70" s="87"/>
    </row>
    <row r="71" customFormat="false" ht="15" hidden="false" customHeight="false" outlineLevel="0" collapsed="false">
      <c r="B71" s="264"/>
      <c r="C71" s="265"/>
      <c r="D71" s="90"/>
      <c r="E71" s="299" t="s">
        <v>113</v>
      </c>
      <c r="F71" s="300" t="s">
        <v>102</v>
      </c>
      <c r="G71" s="301"/>
      <c r="H71" s="302"/>
      <c r="I71" s="303" t="e">
        <f aca="false">J71/G71</f>
        <v>#DIV/0!</v>
      </c>
      <c r="J71" s="304"/>
      <c r="K71" s="303" t="e">
        <f aca="false">L71/G71</f>
        <v>#DIV/0!</v>
      </c>
      <c r="L71" s="304"/>
      <c r="M71" s="303" t="e">
        <f aca="false">IF(N71="-","-",N71/L71)</f>
        <v>#DIV/0!</v>
      </c>
      <c r="N71" s="305"/>
      <c r="O71" s="306"/>
      <c r="P71" s="307"/>
      <c r="Q71" s="306"/>
      <c r="R71" s="307"/>
      <c r="S71" s="308"/>
      <c r="T71" s="309"/>
      <c r="U71" s="308"/>
      <c r="V71" s="310"/>
      <c r="W71" s="87"/>
      <c r="X71" s="311" t="s">
        <v>107</v>
      </c>
    </row>
    <row r="72" customFormat="false" ht="15.75" hidden="false" customHeight="false" outlineLevel="0" collapsed="false">
      <c r="B72" s="264"/>
      <c r="C72" s="265"/>
      <c r="D72" s="89" t="s">
        <v>75</v>
      </c>
      <c r="E72" s="312"/>
      <c r="F72" s="313"/>
      <c r="G72" s="219" t="n">
        <f aca="false">SUM(G65:G71)</f>
        <v>0</v>
      </c>
      <c r="H72" s="220" t="n">
        <f aca="false">SUM(H65:H71)</f>
        <v>0</v>
      </c>
      <c r="I72" s="221" t="e">
        <f aca="false">J72/G72</f>
        <v>#DIV/0!</v>
      </c>
      <c r="J72" s="222" t="n">
        <f aca="false">SUM(J65:J71)</f>
        <v>0</v>
      </c>
      <c r="K72" s="97" t="e">
        <f aca="false">L72/G72</f>
        <v>#DIV/0!</v>
      </c>
      <c r="L72" s="222" t="n">
        <f aca="false">SUM(L65:L71)</f>
        <v>0</v>
      </c>
      <c r="M72" s="221" t="e">
        <f aca="false">N72/L72</f>
        <v>#DIV/0!</v>
      </c>
      <c r="N72" s="222" t="n">
        <f aca="false">SUM(N65:N71)</f>
        <v>0</v>
      </c>
      <c r="O72" s="101" t="n">
        <f aca="false">SUM(O65:O71)</f>
        <v>0</v>
      </c>
      <c r="P72" s="102" t="n">
        <f aca="false">SUM(P65:P71)</f>
        <v>0</v>
      </c>
      <c r="Q72" s="101" t="n">
        <f aca="false">SUM(Q65:Q71)</f>
        <v>0</v>
      </c>
      <c r="R72" s="102" t="n">
        <f aca="false">SUM(R65:R71)</f>
        <v>0</v>
      </c>
      <c r="S72" s="101" t="n">
        <f aca="false">SUM(S65:S71)</f>
        <v>0</v>
      </c>
      <c r="T72" s="102" t="n">
        <f aca="false">SUM(T65:T71)</f>
        <v>0</v>
      </c>
      <c r="U72" s="101" t="n">
        <f aca="false">SUM(U65:U71)</f>
        <v>0</v>
      </c>
      <c r="V72" s="103" t="n">
        <f aca="false">SUM(V65:V71)</f>
        <v>0</v>
      </c>
      <c r="W72" s="87"/>
      <c r="X72" s="311"/>
    </row>
    <row r="73" customFormat="false" ht="15" hidden="false" customHeight="true" outlineLevel="0" collapsed="false">
      <c r="B73" s="88" t="s">
        <v>114</v>
      </c>
      <c r="C73" s="170" t="s">
        <v>97</v>
      </c>
      <c r="D73" s="316" t="n">
        <v>17</v>
      </c>
      <c r="E73" s="253" t="s">
        <v>115</v>
      </c>
      <c r="F73" s="317" t="s">
        <v>102</v>
      </c>
      <c r="G73" s="228"/>
      <c r="H73" s="229"/>
      <c r="I73" s="176" t="e">
        <f aca="false">J73/G73</f>
        <v>#DIV/0!</v>
      </c>
      <c r="J73" s="230"/>
      <c r="K73" s="176" t="e">
        <f aca="false">L73/G73</f>
        <v>#DIV/0!</v>
      </c>
      <c r="L73" s="230"/>
      <c r="M73" s="176" t="e">
        <f aca="false">IF(N73="-","-",N73/L73)</f>
        <v>#DIV/0!</v>
      </c>
      <c r="N73" s="177"/>
      <c r="O73" s="178"/>
      <c r="P73" s="179"/>
      <c r="Q73" s="178"/>
      <c r="R73" s="179"/>
      <c r="S73" s="318"/>
      <c r="T73" s="319"/>
      <c r="U73" s="318"/>
      <c r="V73" s="320"/>
      <c r="W73" s="87"/>
      <c r="X73" s="311"/>
    </row>
    <row r="74" customFormat="false" ht="15" hidden="false" customHeight="true" outlineLevel="0" collapsed="false">
      <c r="B74" s="88"/>
      <c r="C74" s="170"/>
      <c r="D74" s="316"/>
      <c r="E74" s="256" t="s">
        <v>116</v>
      </c>
      <c r="F74" s="321" t="s">
        <v>102</v>
      </c>
      <c r="G74" s="231"/>
      <c r="H74" s="232"/>
      <c r="I74" s="187" t="e">
        <f aca="false">J74/G74</f>
        <v>#DIV/0!</v>
      </c>
      <c r="J74" s="233"/>
      <c r="K74" s="187" t="e">
        <f aca="false">L74/G74</f>
        <v>#DIV/0!</v>
      </c>
      <c r="L74" s="233"/>
      <c r="M74" s="187" t="e">
        <f aca="false">IF(N74="-","-",N74/L74)</f>
        <v>#DIV/0!</v>
      </c>
      <c r="N74" s="188"/>
      <c r="O74" s="189"/>
      <c r="P74" s="190"/>
      <c r="Q74" s="189"/>
      <c r="R74" s="190"/>
      <c r="S74" s="322"/>
      <c r="T74" s="323"/>
      <c r="U74" s="322"/>
      <c r="V74" s="324"/>
      <c r="W74" s="87"/>
      <c r="X74" s="311"/>
    </row>
    <row r="75" customFormat="false" ht="15" hidden="false" customHeight="true" outlineLevel="0" collapsed="false">
      <c r="B75" s="88"/>
      <c r="C75" s="170"/>
      <c r="D75" s="316"/>
      <c r="E75" s="256" t="s">
        <v>117</v>
      </c>
      <c r="F75" s="321" t="s">
        <v>102</v>
      </c>
      <c r="G75" s="231"/>
      <c r="H75" s="232"/>
      <c r="I75" s="187" t="e">
        <f aca="false">J75/G75</f>
        <v>#DIV/0!</v>
      </c>
      <c r="J75" s="233"/>
      <c r="K75" s="187" t="e">
        <f aca="false">L75/G75</f>
        <v>#DIV/0!</v>
      </c>
      <c r="L75" s="233"/>
      <c r="M75" s="187" t="e">
        <f aca="false">IF(N75="-","-",N75/L75)</f>
        <v>#DIV/0!</v>
      </c>
      <c r="N75" s="188"/>
      <c r="O75" s="189"/>
      <c r="P75" s="190"/>
      <c r="Q75" s="189"/>
      <c r="R75" s="190"/>
      <c r="S75" s="322"/>
      <c r="T75" s="323"/>
      <c r="U75" s="322"/>
      <c r="V75" s="324"/>
      <c r="W75" s="87"/>
      <c r="X75" s="311"/>
    </row>
    <row r="76" customFormat="false" ht="15" hidden="false" customHeight="true" outlineLevel="0" collapsed="false">
      <c r="B76" s="88"/>
      <c r="C76" s="170"/>
      <c r="D76" s="316"/>
      <c r="E76" s="256" t="s">
        <v>118</v>
      </c>
      <c r="F76" s="321" t="s">
        <v>102</v>
      </c>
      <c r="G76" s="231"/>
      <c r="H76" s="232"/>
      <c r="I76" s="187" t="e">
        <f aca="false">J76/G76</f>
        <v>#DIV/0!</v>
      </c>
      <c r="J76" s="233"/>
      <c r="K76" s="187" t="e">
        <f aca="false">L76/G76</f>
        <v>#DIV/0!</v>
      </c>
      <c r="L76" s="233"/>
      <c r="M76" s="187" t="str">
        <f aca="false">IF(N76=0,"-",N76/L76)</f>
        <v>-</v>
      </c>
      <c r="N76" s="188"/>
      <c r="O76" s="189"/>
      <c r="P76" s="190"/>
      <c r="Q76" s="189"/>
      <c r="R76" s="190"/>
      <c r="S76" s="322"/>
      <c r="T76" s="323"/>
      <c r="U76" s="322"/>
      <c r="V76" s="324"/>
      <c r="W76" s="87"/>
      <c r="X76" s="311"/>
    </row>
    <row r="77" customFormat="false" ht="15" hidden="false" customHeight="true" outlineLevel="0" collapsed="false">
      <c r="B77" s="88"/>
      <c r="C77" s="170"/>
      <c r="D77" s="316"/>
      <c r="E77" s="256" t="s">
        <v>119</v>
      </c>
      <c r="F77" s="321" t="s">
        <v>102</v>
      </c>
      <c r="G77" s="231"/>
      <c r="H77" s="232"/>
      <c r="I77" s="187" t="e">
        <f aca="false">J77/G77</f>
        <v>#DIV/0!</v>
      </c>
      <c r="J77" s="233"/>
      <c r="K77" s="187" t="e">
        <f aca="false">L77/G77</f>
        <v>#DIV/0!</v>
      </c>
      <c r="L77" s="233"/>
      <c r="M77" s="187" t="e">
        <f aca="false">IF(N77="-","-",N77/L77)</f>
        <v>#DIV/0!</v>
      </c>
      <c r="N77" s="188"/>
      <c r="O77" s="189"/>
      <c r="P77" s="190"/>
      <c r="Q77" s="189"/>
      <c r="R77" s="190"/>
      <c r="S77" s="322"/>
      <c r="T77" s="323"/>
      <c r="U77" s="322"/>
      <c r="V77" s="324"/>
      <c r="W77" s="87"/>
      <c r="X77" s="311"/>
    </row>
    <row r="78" customFormat="false" ht="15" hidden="false" customHeight="true" outlineLevel="0" collapsed="false">
      <c r="B78" s="88"/>
      <c r="C78" s="170"/>
      <c r="D78" s="316"/>
      <c r="E78" s="256" t="s">
        <v>120</v>
      </c>
      <c r="F78" s="321" t="s">
        <v>102</v>
      </c>
      <c r="G78" s="231"/>
      <c r="H78" s="232"/>
      <c r="I78" s="187" t="e">
        <f aca="false">J78/G78</f>
        <v>#DIV/0!</v>
      </c>
      <c r="J78" s="233"/>
      <c r="K78" s="187" t="e">
        <f aca="false">L78/G78</f>
        <v>#DIV/0!</v>
      </c>
      <c r="L78" s="233"/>
      <c r="M78" s="187" t="e">
        <f aca="false">IF(N78="-","-",N78/L78)</f>
        <v>#DIV/0!</v>
      </c>
      <c r="N78" s="188"/>
      <c r="O78" s="189"/>
      <c r="P78" s="190"/>
      <c r="Q78" s="189"/>
      <c r="R78" s="190"/>
      <c r="S78" s="322"/>
      <c r="T78" s="323"/>
      <c r="U78" s="322"/>
      <c r="V78" s="324"/>
      <c r="W78" s="87"/>
      <c r="X78" s="311"/>
    </row>
    <row r="79" customFormat="false" ht="15.75" hidden="false" customHeight="true" outlineLevel="0" collapsed="false">
      <c r="B79" s="88"/>
      <c r="C79" s="170"/>
      <c r="D79" s="316"/>
      <c r="E79" s="256" t="s">
        <v>121</v>
      </c>
      <c r="F79" s="321"/>
      <c r="G79" s="231"/>
      <c r="H79" s="232"/>
      <c r="I79" s="187" t="e">
        <f aca="false">J79/G79</f>
        <v>#DIV/0!</v>
      </c>
      <c r="J79" s="233"/>
      <c r="K79" s="187" t="e">
        <f aca="false">L79/G79</f>
        <v>#DIV/0!</v>
      </c>
      <c r="L79" s="233"/>
      <c r="M79" s="187" t="e">
        <f aca="false">IF(N79="-","-",N79/L79)</f>
        <v>#DIV/0!</v>
      </c>
      <c r="N79" s="188"/>
      <c r="O79" s="189"/>
      <c r="P79" s="190"/>
      <c r="Q79" s="189"/>
      <c r="R79" s="190"/>
      <c r="S79" s="322"/>
      <c r="T79" s="323"/>
      <c r="U79" s="322"/>
      <c r="V79" s="324"/>
      <c r="W79" s="87"/>
      <c r="X79" s="311"/>
    </row>
    <row r="80" customFormat="false" ht="15.75" hidden="false" customHeight="true" outlineLevel="0" collapsed="false">
      <c r="B80" s="88"/>
      <c r="C80" s="170"/>
      <c r="D80" s="316"/>
      <c r="E80" s="258"/>
      <c r="F80" s="325"/>
      <c r="G80" s="234"/>
      <c r="H80" s="235"/>
      <c r="I80" s="187" t="e">
        <f aca="false">J80/G80</f>
        <v>#DIV/0!</v>
      </c>
      <c r="J80" s="236"/>
      <c r="K80" s="187" t="e">
        <f aca="false">L80/G80</f>
        <v>#DIV/0!</v>
      </c>
      <c r="L80" s="236"/>
      <c r="M80" s="187" t="e">
        <f aca="false">IF(N80="-","-",N80/L80)</f>
        <v>#DIV/0!</v>
      </c>
      <c r="N80" s="199"/>
      <c r="O80" s="200"/>
      <c r="P80" s="201"/>
      <c r="Q80" s="200"/>
      <c r="R80" s="201"/>
      <c r="S80" s="326"/>
      <c r="T80" s="327"/>
      <c r="U80" s="326"/>
      <c r="V80" s="328"/>
      <c r="W80" s="87"/>
      <c r="X80" s="311"/>
    </row>
    <row r="81" customFormat="false" ht="15.75" hidden="false" customHeight="true" outlineLevel="0" collapsed="false">
      <c r="B81" s="88"/>
      <c r="C81" s="170"/>
      <c r="D81" s="316"/>
      <c r="E81" s="258"/>
      <c r="F81" s="325"/>
      <c r="G81" s="234"/>
      <c r="H81" s="235"/>
      <c r="I81" s="187" t="e">
        <f aca="false">J81/G81</f>
        <v>#DIV/0!</v>
      </c>
      <c r="J81" s="236"/>
      <c r="K81" s="187" t="e">
        <f aca="false">L81/G81</f>
        <v>#DIV/0!</v>
      </c>
      <c r="L81" s="236"/>
      <c r="M81" s="187" t="e">
        <f aca="false">IF(N81="-","-",N81/L81)</f>
        <v>#DIV/0!</v>
      </c>
      <c r="N81" s="199"/>
      <c r="O81" s="200"/>
      <c r="P81" s="201"/>
      <c r="Q81" s="200"/>
      <c r="R81" s="201"/>
      <c r="S81" s="326"/>
      <c r="T81" s="327"/>
      <c r="U81" s="326"/>
      <c r="V81" s="328"/>
      <c r="W81" s="87"/>
      <c r="X81" s="311"/>
    </row>
    <row r="82" customFormat="false" ht="15.75" hidden="false" customHeight="true" outlineLevel="0" collapsed="false">
      <c r="B82" s="88"/>
      <c r="C82" s="170"/>
      <c r="D82" s="316"/>
      <c r="E82" s="260" t="s">
        <v>122</v>
      </c>
      <c r="F82" s="329"/>
      <c r="G82" s="205"/>
      <c r="H82" s="206"/>
      <c r="I82" s="209" t="e">
        <f aca="false">J82/G82</f>
        <v>#DIV/0!</v>
      </c>
      <c r="J82" s="208"/>
      <c r="K82" s="209" t="e">
        <f aca="false">L82/G82</f>
        <v>#DIV/0!</v>
      </c>
      <c r="L82" s="208"/>
      <c r="M82" s="209" t="e">
        <f aca="false">IF(N82="-","-",N82/L82)</f>
        <v>#DIV/0!</v>
      </c>
      <c r="N82" s="210"/>
      <c r="O82" s="211"/>
      <c r="P82" s="212"/>
      <c r="Q82" s="211"/>
      <c r="R82" s="212"/>
      <c r="S82" s="330"/>
      <c r="T82" s="331"/>
      <c r="U82" s="330"/>
      <c r="V82" s="332"/>
      <c r="W82" s="87"/>
      <c r="X82" s="311"/>
    </row>
    <row r="83" customFormat="false" ht="15.75" hidden="false" customHeight="false" outlineLevel="0" collapsed="false">
      <c r="B83" s="88"/>
      <c r="C83" s="170"/>
      <c r="D83" s="170" t="s">
        <v>75</v>
      </c>
      <c r="E83" s="333"/>
      <c r="F83" s="313"/>
      <c r="G83" s="219" t="n">
        <f aca="false">SUM(G73:G82)</f>
        <v>0</v>
      </c>
      <c r="H83" s="220" t="n">
        <f aca="false">SUM(H73:H82)</f>
        <v>0</v>
      </c>
      <c r="I83" s="221" t="e">
        <f aca="false">J83/G83</f>
        <v>#DIV/0!</v>
      </c>
      <c r="J83" s="222" t="n">
        <f aca="false">SUM(J73:J82)</f>
        <v>0</v>
      </c>
      <c r="K83" s="97" t="e">
        <f aca="false">L83/G83</f>
        <v>#DIV/0!</v>
      </c>
      <c r="L83" s="222" t="n">
        <f aca="false">SUM(L73:L82)</f>
        <v>0</v>
      </c>
      <c r="M83" s="221" t="e">
        <f aca="false">N83/L83</f>
        <v>#DIV/0!</v>
      </c>
      <c r="N83" s="222" t="n">
        <f aca="false">SUM(N73:N82)</f>
        <v>0</v>
      </c>
      <c r="O83" s="101" t="n">
        <f aca="false">SUM(O73:O82)</f>
        <v>0</v>
      </c>
      <c r="P83" s="102" t="n">
        <f aca="false">SUM(P73:P82)</f>
        <v>0</v>
      </c>
      <c r="Q83" s="101" t="n">
        <f aca="false">SUM(Q73:Q82)</f>
        <v>0</v>
      </c>
      <c r="R83" s="102" t="n">
        <f aca="false">SUM(R73:R82)</f>
        <v>0</v>
      </c>
      <c r="S83" s="101" t="n">
        <f aca="false">SUM(S73:S82)</f>
        <v>0</v>
      </c>
      <c r="T83" s="102" t="n">
        <f aca="false">SUM(T73:T82)</f>
        <v>0</v>
      </c>
      <c r="U83" s="101" t="n">
        <f aca="false">SUM(U73:U82)</f>
        <v>0</v>
      </c>
      <c r="V83" s="103" t="n">
        <f aca="false">SUM(V73:V82)</f>
        <v>0</v>
      </c>
      <c r="W83" s="87"/>
      <c r="X83" s="311"/>
    </row>
    <row r="84" customFormat="false" ht="15" hidden="false" customHeight="true" outlineLevel="0" collapsed="false">
      <c r="B84" s="169" t="s">
        <v>123</v>
      </c>
      <c r="C84" s="89" t="s">
        <v>97</v>
      </c>
      <c r="D84" s="334" t="n">
        <v>17</v>
      </c>
      <c r="E84" s="253" t="s">
        <v>124</v>
      </c>
      <c r="F84" s="317"/>
      <c r="G84" s="172"/>
      <c r="H84" s="173"/>
      <c r="I84" s="335"/>
      <c r="J84" s="230"/>
      <c r="K84" s="176"/>
      <c r="L84" s="230"/>
      <c r="M84" s="335"/>
      <c r="N84" s="177"/>
      <c r="O84" s="178"/>
      <c r="P84" s="179"/>
      <c r="Q84" s="178"/>
      <c r="R84" s="179"/>
      <c r="S84" s="318"/>
      <c r="T84" s="319"/>
      <c r="U84" s="318"/>
      <c r="V84" s="320"/>
      <c r="W84" s="336"/>
      <c r="X84" s="337"/>
    </row>
    <row r="85" customFormat="false" ht="15.75" hidden="false" customHeight="true" outlineLevel="0" collapsed="false">
      <c r="B85" s="169"/>
      <c r="C85" s="89"/>
      <c r="D85" s="334"/>
      <c r="E85" s="256" t="s">
        <v>125</v>
      </c>
      <c r="F85" s="321"/>
      <c r="G85" s="183"/>
      <c r="H85" s="184"/>
      <c r="I85" s="338"/>
      <c r="J85" s="233"/>
      <c r="K85" s="187"/>
      <c r="L85" s="233"/>
      <c r="M85" s="338"/>
      <c r="N85" s="188"/>
      <c r="O85" s="189"/>
      <c r="P85" s="190"/>
      <c r="Q85" s="189"/>
      <c r="R85" s="190"/>
      <c r="S85" s="322"/>
      <c r="T85" s="323"/>
      <c r="U85" s="322"/>
      <c r="V85" s="324"/>
      <c r="W85" s="339"/>
      <c r="X85" s="340"/>
    </row>
    <row r="86" customFormat="false" ht="15.75" hidden="false" customHeight="true" outlineLevel="0" collapsed="false">
      <c r="B86" s="169"/>
      <c r="C86" s="89"/>
      <c r="D86" s="334"/>
      <c r="E86" s="256" t="s">
        <v>126</v>
      </c>
      <c r="F86" s="321"/>
      <c r="G86" s="183"/>
      <c r="H86" s="184"/>
      <c r="I86" s="338"/>
      <c r="J86" s="233"/>
      <c r="K86" s="187"/>
      <c r="L86" s="233"/>
      <c r="M86" s="338"/>
      <c r="N86" s="188"/>
      <c r="O86" s="189"/>
      <c r="P86" s="190"/>
      <c r="Q86" s="189"/>
      <c r="R86" s="190"/>
      <c r="S86" s="322"/>
      <c r="T86" s="323"/>
      <c r="U86" s="322"/>
      <c r="V86" s="324"/>
      <c r="W86" s="339"/>
      <c r="X86" s="340"/>
    </row>
    <row r="87" customFormat="false" ht="15" hidden="false" customHeight="true" outlineLevel="0" collapsed="false">
      <c r="B87" s="169"/>
      <c r="C87" s="89"/>
      <c r="D87" s="334"/>
      <c r="E87" s="256" t="s">
        <v>127</v>
      </c>
      <c r="F87" s="257" t="s">
        <v>70</v>
      </c>
      <c r="G87" s="231"/>
      <c r="H87" s="232"/>
      <c r="I87" s="187" t="e">
        <f aca="false">J87/G87</f>
        <v>#DIV/0!</v>
      </c>
      <c r="J87" s="233"/>
      <c r="K87" s="187" t="e">
        <f aca="false">L87/G87</f>
        <v>#DIV/0!</v>
      </c>
      <c r="L87" s="233"/>
      <c r="M87" s="187" t="e">
        <f aca="false">IF(N87="-","-",N87/L87)</f>
        <v>#DIV/0!</v>
      </c>
      <c r="N87" s="188"/>
      <c r="O87" s="189"/>
      <c r="P87" s="190"/>
      <c r="Q87" s="189"/>
      <c r="R87" s="190"/>
      <c r="S87" s="322"/>
      <c r="T87" s="323"/>
      <c r="U87" s="322"/>
      <c r="V87" s="324"/>
      <c r="W87" s="339"/>
      <c r="X87" s="340"/>
    </row>
    <row r="88" customFormat="false" ht="15" hidden="false" customHeight="true" outlineLevel="0" collapsed="false">
      <c r="B88" s="169"/>
      <c r="C88" s="89"/>
      <c r="D88" s="334"/>
      <c r="E88" s="256" t="s">
        <v>128</v>
      </c>
      <c r="F88" s="257" t="s">
        <v>102</v>
      </c>
      <c r="G88" s="231"/>
      <c r="H88" s="232"/>
      <c r="I88" s="187" t="e">
        <f aca="false">J88/G88</f>
        <v>#DIV/0!</v>
      </c>
      <c r="J88" s="233"/>
      <c r="K88" s="187" t="e">
        <f aca="false">L88/G88</f>
        <v>#DIV/0!</v>
      </c>
      <c r="L88" s="233"/>
      <c r="M88" s="187" t="e">
        <f aca="false">IF(N88="-","-",N88/L88)</f>
        <v>#DIV/0!</v>
      </c>
      <c r="N88" s="188"/>
      <c r="O88" s="189"/>
      <c r="P88" s="190"/>
      <c r="Q88" s="189"/>
      <c r="R88" s="190"/>
      <c r="S88" s="322"/>
      <c r="T88" s="323"/>
      <c r="U88" s="322"/>
      <c r="V88" s="324"/>
      <c r="W88" s="339"/>
      <c r="X88" s="340"/>
    </row>
    <row r="89" customFormat="false" ht="15" hidden="false" customHeight="true" outlineLevel="0" collapsed="false">
      <c r="B89" s="169"/>
      <c r="C89" s="89"/>
      <c r="D89" s="334"/>
      <c r="E89" s="256" t="s">
        <v>129</v>
      </c>
      <c r="F89" s="257" t="s">
        <v>102</v>
      </c>
      <c r="G89" s="231"/>
      <c r="H89" s="232"/>
      <c r="I89" s="187" t="e">
        <f aca="false">J89/G89</f>
        <v>#DIV/0!</v>
      </c>
      <c r="J89" s="233"/>
      <c r="K89" s="187" t="e">
        <f aca="false">L89/G89</f>
        <v>#DIV/0!</v>
      </c>
      <c r="L89" s="233"/>
      <c r="M89" s="187" t="e">
        <f aca="false">IF(N89="-","-",N89/L89)</f>
        <v>#DIV/0!</v>
      </c>
      <c r="N89" s="188"/>
      <c r="O89" s="189"/>
      <c r="P89" s="190"/>
      <c r="Q89" s="189"/>
      <c r="R89" s="190"/>
      <c r="S89" s="322"/>
      <c r="T89" s="323"/>
      <c r="U89" s="322"/>
      <c r="V89" s="324"/>
      <c r="W89" s="339"/>
      <c r="X89" s="340"/>
    </row>
    <row r="90" customFormat="false" ht="15" hidden="false" customHeight="true" outlineLevel="0" collapsed="false">
      <c r="B90" s="169"/>
      <c r="C90" s="89"/>
      <c r="D90" s="334"/>
      <c r="E90" s="256" t="s">
        <v>130</v>
      </c>
      <c r="F90" s="257"/>
      <c r="G90" s="231"/>
      <c r="H90" s="232"/>
      <c r="I90" s="187" t="e">
        <f aca="false">J90/G90</f>
        <v>#DIV/0!</v>
      </c>
      <c r="J90" s="233"/>
      <c r="K90" s="187" t="e">
        <f aca="false">L90/G90</f>
        <v>#DIV/0!</v>
      </c>
      <c r="L90" s="233"/>
      <c r="M90" s="187" t="e">
        <f aca="false">IF(N90="-","-",N90/L90)</f>
        <v>#DIV/0!</v>
      </c>
      <c r="N90" s="188"/>
      <c r="O90" s="189"/>
      <c r="P90" s="190"/>
      <c r="Q90" s="189"/>
      <c r="R90" s="190"/>
      <c r="S90" s="322"/>
      <c r="T90" s="323"/>
      <c r="U90" s="322"/>
      <c r="V90" s="324"/>
      <c r="W90" s="339"/>
      <c r="X90" s="340"/>
    </row>
    <row r="91" customFormat="false" ht="15" hidden="false" customHeight="true" outlineLevel="0" collapsed="false">
      <c r="B91" s="169"/>
      <c r="C91" s="89"/>
      <c r="D91" s="334"/>
      <c r="E91" s="256" t="s">
        <v>131</v>
      </c>
      <c r="F91" s="257"/>
      <c r="G91" s="231"/>
      <c r="H91" s="232"/>
      <c r="I91" s="187" t="e">
        <f aca="false">J91/G91</f>
        <v>#DIV/0!</v>
      </c>
      <c r="J91" s="233"/>
      <c r="K91" s="187" t="e">
        <f aca="false">L91/G91</f>
        <v>#DIV/0!</v>
      </c>
      <c r="L91" s="233"/>
      <c r="M91" s="187" t="e">
        <f aca="false">IF(N91="-","-",N91/L91)</f>
        <v>#DIV/0!</v>
      </c>
      <c r="N91" s="188"/>
      <c r="O91" s="189"/>
      <c r="P91" s="190"/>
      <c r="Q91" s="189"/>
      <c r="R91" s="190"/>
      <c r="S91" s="322"/>
      <c r="T91" s="323"/>
      <c r="U91" s="322"/>
      <c r="V91" s="324"/>
      <c r="W91" s="339"/>
      <c r="X91" s="340"/>
    </row>
    <row r="92" customFormat="false" ht="15" hidden="false" customHeight="true" outlineLevel="0" collapsed="false">
      <c r="B92" s="169"/>
      <c r="C92" s="89"/>
      <c r="D92" s="334"/>
      <c r="E92" s="256" t="s">
        <v>132</v>
      </c>
      <c r="F92" s="257"/>
      <c r="G92" s="231"/>
      <c r="H92" s="232"/>
      <c r="I92" s="187" t="e">
        <f aca="false">J92/G92</f>
        <v>#DIV/0!</v>
      </c>
      <c r="J92" s="233"/>
      <c r="K92" s="187" t="e">
        <f aca="false">L92/G92</f>
        <v>#DIV/0!</v>
      </c>
      <c r="L92" s="233"/>
      <c r="M92" s="187" t="e">
        <f aca="false">IF(N92="-","-",N92/L92)</f>
        <v>#DIV/0!</v>
      </c>
      <c r="N92" s="188"/>
      <c r="O92" s="189"/>
      <c r="P92" s="190"/>
      <c r="Q92" s="189"/>
      <c r="R92" s="190"/>
      <c r="S92" s="322"/>
      <c r="T92" s="323"/>
      <c r="U92" s="322"/>
      <c r="V92" s="324"/>
      <c r="W92" s="339"/>
      <c r="X92" s="340"/>
    </row>
    <row r="93" customFormat="false" ht="15" hidden="false" customHeight="true" outlineLevel="0" collapsed="false">
      <c r="B93" s="169"/>
      <c r="C93" s="89"/>
      <c r="D93" s="334"/>
      <c r="E93" s="256"/>
      <c r="F93" s="257"/>
      <c r="G93" s="231"/>
      <c r="H93" s="232"/>
      <c r="I93" s="187" t="e">
        <f aca="false">J93/G93</f>
        <v>#DIV/0!</v>
      </c>
      <c r="J93" s="233"/>
      <c r="K93" s="187" t="e">
        <f aca="false">L93/G93</f>
        <v>#DIV/0!</v>
      </c>
      <c r="L93" s="233"/>
      <c r="M93" s="187" t="e">
        <f aca="false">IF(N93="-","-",N93/L93)</f>
        <v>#DIV/0!</v>
      </c>
      <c r="N93" s="188"/>
      <c r="O93" s="189"/>
      <c r="P93" s="190"/>
      <c r="Q93" s="189"/>
      <c r="R93" s="190"/>
      <c r="S93" s="322"/>
      <c r="T93" s="323"/>
      <c r="U93" s="322"/>
      <c r="V93" s="324"/>
      <c r="W93" s="339"/>
      <c r="X93" s="340"/>
    </row>
    <row r="94" customFormat="false" ht="15" hidden="false" customHeight="true" outlineLevel="0" collapsed="false">
      <c r="B94" s="169"/>
      <c r="C94" s="89"/>
      <c r="D94" s="334"/>
      <c r="E94" s="256"/>
      <c r="F94" s="257"/>
      <c r="G94" s="231"/>
      <c r="H94" s="232"/>
      <c r="I94" s="187" t="e">
        <f aca="false">J94/G94</f>
        <v>#DIV/0!</v>
      </c>
      <c r="J94" s="233"/>
      <c r="K94" s="187" t="e">
        <f aca="false">L94/G94</f>
        <v>#DIV/0!</v>
      </c>
      <c r="L94" s="233"/>
      <c r="M94" s="187" t="e">
        <f aca="false">IF(N94="-","-",N94/L94)</f>
        <v>#DIV/0!</v>
      </c>
      <c r="N94" s="188"/>
      <c r="O94" s="189"/>
      <c r="P94" s="190"/>
      <c r="Q94" s="189"/>
      <c r="R94" s="190"/>
      <c r="S94" s="322"/>
      <c r="T94" s="323"/>
      <c r="U94" s="322"/>
      <c r="V94" s="324"/>
      <c r="W94" s="339"/>
      <c r="X94" s="340"/>
    </row>
    <row r="95" customFormat="false" ht="15" hidden="false" customHeight="true" outlineLevel="0" collapsed="false">
      <c r="B95" s="169"/>
      <c r="C95" s="89"/>
      <c r="D95" s="334"/>
      <c r="E95" s="256" t="s">
        <v>133</v>
      </c>
      <c r="F95" s="257"/>
      <c r="G95" s="231"/>
      <c r="H95" s="232"/>
      <c r="I95" s="187" t="e">
        <f aca="false">J95/G95</f>
        <v>#DIV/0!</v>
      </c>
      <c r="J95" s="233"/>
      <c r="K95" s="187" t="e">
        <f aca="false">L95/G95</f>
        <v>#DIV/0!</v>
      </c>
      <c r="L95" s="233"/>
      <c r="M95" s="187" t="e">
        <f aca="false">IF(N95="-","-",N95/L95)</f>
        <v>#DIV/0!</v>
      </c>
      <c r="N95" s="188"/>
      <c r="O95" s="189"/>
      <c r="P95" s="190"/>
      <c r="Q95" s="189"/>
      <c r="R95" s="190"/>
      <c r="S95" s="322"/>
      <c r="T95" s="323"/>
      <c r="U95" s="322"/>
      <c r="V95" s="324"/>
      <c r="W95" s="339"/>
      <c r="X95" s="340"/>
    </row>
    <row r="96" customFormat="false" ht="15.75" hidden="false" customHeight="false" outlineLevel="0" collapsed="false">
      <c r="B96" s="169"/>
      <c r="C96" s="89"/>
      <c r="D96" s="341" t="s">
        <v>75</v>
      </c>
      <c r="E96" s="342"/>
      <c r="F96" s="343"/>
      <c r="G96" s="344" t="n">
        <f aca="false">SUM(G87:G95)</f>
        <v>0</v>
      </c>
      <c r="H96" s="345" t="n">
        <f aca="false">SUM(H87:H95)</f>
        <v>0</v>
      </c>
      <c r="I96" s="346" t="e">
        <f aca="false">J96/G96</f>
        <v>#DIV/0!</v>
      </c>
      <c r="J96" s="347" t="n">
        <f aca="false">SUM(J87:J95)</f>
        <v>0</v>
      </c>
      <c r="K96" s="209" t="e">
        <f aca="false">L96/G96</f>
        <v>#DIV/0!</v>
      </c>
      <c r="L96" s="347" t="n">
        <f aca="false">SUM(L87:L95)</f>
        <v>0</v>
      </c>
      <c r="M96" s="346" t="e">
        <f aca="false">N96/L96</f>
        <v>#DIV/0!</v>
      </c>
      <c r="N96" s="347" t="n">
        <f aca="false">SUM(N87:N95)</f>
        <v>0</v>
      </c>
      <c r="O96" s="213" t="n">
        <f aca="false">SUM(O87:O95)</f>
        <v>0</v>
      </c>
      <c r="P96" s="214" t="n">
        <f aca="false">SUM(P87:P95)</f>
        <v>0</v>
      </c>
      <c r="Q96" s="213" t="n">
        <f aca="false">SUM(Q87:Q95)</f>
        <v>0</v>
      </c>
      <c r="R96" s="214" t="n">
        <f aca="false">SUM(R87:R95)</f>
        <v>0</v>
      </c>
      <c r="S96" s="213" t="n">
        <f aca="false">SUM(S87:S95)</f>
        <v>0</v>
      </c>
      <c r="T96" s="214" t="n">
        <f aca="false">SUM(T87:T95)</f>
        <v>0</v>
      </c>
      <c r="U96" s="213" t="n">
        <f aca="false">SUM(U87:U95)</f>
        <v>0</v>
      </c>
      <c r="V96" s="215" t="n">
        <f aca="false">SUM(V87:V95)</f>
        <v>0</v>
      </c>
      <c r="W96" s="348"/>
      <c r="X96" s="349"/>
    </row>
    <row r="97" customFormat="false" ht="15.75" hidden="false" customHeight="true" outlineLevel="0" collapsed="false">
      <c r="B97" s="350" t="s">
        <v>134</v>
      </c>
      <c r="C97" s="89" t="s">
        <v>97</v>
      </c>
      <c r="D97" s="351" t="n">
        <v>5</v>
      </c>
      <c r="E97" s="253" t="s">
        <v>135</v>
      </c>
      <c r="F97" s="254" t="s">
        <v>102</v>
      </c>
      <c r="G97" s="228"/>
      <c r="H97" s="229"/>
      <c r="I97" s="176" t="e">
        <f aca="false">J97/G97</f>
        <v>#DIV/0!</v>
      </c>
      <c r="J97" s="230"/>
      <c r="K97" s="176" t="e">
        <f aca="false">L97/G97</f>
        <v>#DIV/0!</v>
      </c>
      <c r="L97" s="230"/>
      <c r="M97" s="176" t="e">
        <f aca="false">IF(N97="-","-",N97/L97)</f>
        <v>#DIV/0!</v>
      </c>
      <c r="N97" s="177"/>
      <c r="O97" s="178"/>
      <c r="P97" s="179"/>
      <c r="Q97" s="178"/>
      <c r="R97" s="179"/>
      <c r="S97" s="318"/>
      <c r="T97" s="319"/>
      <c r="U97" s="318"/>
      <c r="V97" s="320"/>
      <c r="W97" s="87"/>
      <c r="X97" s="311"/>
    </row>
    <row r="98" customFormat="false" ht="15.75" hidden="false" customHeight="true" outlineLevel="0" collapsed="false">
      <c r="B98" s="350"/>
      <c r="C98" s="89"/>
      <c r="D98" s="351"/>
      <c r="E98" s="256" t="s">
        <v>136</v>
      </c>
      <c r="F98" s="257"/>
      <c r="G98" s="231"/>
      <c r="H98" s="232"/>
      <c r="I98" s="187" t="e">
        <f aca="false">J98/G98</f>
        <v>#DIV/0!</v>
      </c>
      <c r="J98" s="233"/>
      <c r="K98" s="187" t="e">
        <f aca="false">L98/G98</f>
        <v>#DIV/0!</v>
      </c>
      <c r="L98" s="233"/>
      <c r="M98" s="187" t="e">
        <f aca="false">IF(N98="-","-",N98/L98)</f>
        <v>#DIV/0!</v>
      </c>
      <c r="N98" s="188"/>
      <c r="O98" s="189"/>
      <c r="P98" s="190"/>
      <c r="Q98" s="189"/>
      <c r="R98" s="190"/>
      <c r="S98" s="322"/>
      <c r="T98" s="323"/>
      <c r="U98" s="322"/>
      <c r="V98" s="324"/>
      <c r="W98" s="87"/>
      <c r="X98" s="311"/>
    </row>
    <row r="99" customFormat="false" ht="15.75" hidden="false" customHeight="true" outlineLevel="0" collapsed="false">
      <c r="B99" s="350"/>
      <c r="C99" s="89"/>
      <c r="D99" s="351"/>
      <c r="E99" s="258"/>
      <c r="F99" s="259"/>
      <c r="G99" s="234"/>
      <c r="H99" s="235"/>
      <c r="I99" s="187" t="e">
        <f aca="false">J99/G99</f>
        <v>#DIV/0!</v>
      </c>
      <c r="J99" s="236"/>
      <c r="K99" s="187" t="e">
        <f aca="false">L99/G99</f>
        <v>#DIV/0!</v>
      </c>
      <c r="L99" s="236"/>
      <c r="M99" s="187" t="e">
        <f aca="false">IF(N99="-","-",N99/L99)</f>
        <v>#DIV/0!</v>
      </c>
      <c r="N99" s="199"/>
      <c r="O99" s="200"/>
      <c r="P99" s="201"/>
      <c r="Q99" s="200"/>
      <c r="R99" s="201"/>
      <c r="S99" s="326"/>
      <c r="T99" s="327"/>
      <c r="U99" s="326"/>
      <c r="V99" s="328"/>
      <c r="W99" s="87"/>
      <c r="X99" s="311"/>
    </row>
    <row r="100" customFormat="false" ht="15.75" hidden="false" customHeight="true" outlineLevel="0" collapsed="false">
      <c r="B100" s="350"/>
      <c r="C100" s="89"/>
      <c r="D100" s="351"/>
      <c r="E100" s="258"/>
      <c r="F100" s="259"/>
      <c r="G100" s="234"/>
      <c r="H100" s="235"/>
      <c r="I100" s="187" t="e">
        <f aca="false">J100/G100</f>
        <v>#DIV/0!</v>
      </c>
      <c r="J100" s="236"/>
      <c r="K100" s="187" t="e">
        <f aca="false">L100/G100</f>
        <v>#DIV/0!</v>
      </c>
      <c r="L100" s="236"/>
      <c r="M100" s="187" t="e">
        <f aca="false">IF(N100="-","-",N100/L100)</f>
        <v>#DIV/0!</v>
      </c>
      <c r="N100" s="199"/>
      <c r="O100" s="200"/>
      <c r="P100" s="201"/>
      <c r="Q100" s="200"/>
      <c r="R100" s="201"/>
      <c r="S100" s="326"/>
      <c r="T100" s="327"/>
      <c r="U100" s="326"/>
      <c r="V100" s="328"/>
      <c r="W100" s="87"/>
      <c r="X100" s="311"/>
    </row>
    <row r="101" customFormat="false" ht="15.75" hidden="false" customHeight="true" outlineLevel="0" collapsed="false">
      <c r="B101" s="350"/>
      <c r="C101" s="89"/>
      <c r="D101" s="351"/>
      <c r="E101" s="260" t="s">
        <v>137</v>
      </c>
      <c r="F101" s="261"/>
      <c r="G101" s="205"/>
      <c r="H101" s="206"/>
      <c r="I101" s="209" t="e">
        <f aca="false">J101/G101</f>
        <v>#DIV/0!</v>
      </c>
      <c r="J101" s="208"/>
      <c r="K101" s="209" t="e">
        <f aca="false">L101/G101</f>
        <v>#DIV/0!</v>
      </c>
      <c r="L101" s="208"/>
      <c r="M101" s="209" t="e">
        <f aca="false">IF(N101="-","-",N101/L101)</f>
        <v>#DIV/0!</v>
      </c>
      <c r="N101" s="210"/>
      <c r="O101" s="211"/>
      <c r="P101" s="212"/>
      <c r="Q101" s="211"/>
      <c r="R101" s="212"/>
      <c r="S101" s="330"/>
      <c r="T101" s="331"/>
      <c r="U101" s="330"/>
      <c r="V101" s="332"/>
      <c r="W101" s="87"/>
      <c r="X101" s="311"/>
    </row>
    <row r="102" customFormat="false" ht="15.75" hidden="false" customHeight="true" outlineLevel="0" collapsed="false">
      <c r="B102" s="350"/>
      <c r="C102" s="89"/>
      <c r="D102" s="352" t="s">
        <v>75</v>
      </c>
      <c r="E102" s="333"/>
      <c r="F102" s="353"/>
      <c r="G102" s="219" t="n">
        <f aca="false">SUM(G97:G101)</f>
        <v>0</v>
      </c>
      <c r="H102" s="220" t="n">
        <f aca="false">SUM(H97:H101)</f>
        <v>0</v>
      </c>
      <c r="I102" s="221" t="e">
        <f aca="false">J102/G102</f>
        <v>#DIV/0!</v>
      </c>
      <c r="J102" s="222" t="n">
        <f aca="false">SUM(J97:J101)</f>
        <v>0</v>
      </c>
      <c r="K102" s="97" t="e">
        <f aca="false">L102/G102</f>
        <v>#DIV/0!</v>
      </c>
      <c r="L102" s="222" t="n">
        <f aca="false">SUM(L97:L101)</f>
        <v>0</v>
      </c>
      <c r="M102" s="221" t="e">
        <f aca="false">N102/L102</f>
        <v>#DIV/0!</v>
      </c>
      <c r="N102" s="222" t="n">
        <f aca="false">SUM(N97:N101)</f>
        <v>0</v>
      </c>
      <c r="O102" s="101" t="n">
        <f aca="false">SUM(O97:O101)</f>
        <v>0</v>
      </c>
      <c r="P102" s="102" t="n">
        <f aca="false">SUM(P97:P101)</f>
        <v>0</v>
      </c>
      <c r="Q102" s="101" t="n">
        <f aca="false">SUM(Q97:Q101)</f>
        <v>0</v>
      </c>
      <c r="R102" s="102" t="n">
        <f aca="false">SUM(R97:R101)</f>
        <v>0</v>
      </c>
      <c r="S102" s="101" t="n">
        <f aca="false">SUM(S97:S101)</f>
        <v>0</v>
      </c>
      <c r="T102" s="102" t="n">
        <f aca="false">SUM(T97:T101)</f>
        <v>0</v>
      </c>
      <c r="U102" s="101" t="n">
        <f aca="false">SUM(U97:U101)</f>
        <v>0</v>
      </c>
      <c r="V102" s="103" t="n">
        <f aca="false">SUM(V97:V101)</f>
        <v>0</v>
      </c>
      <c r="W102" s="87"/>
      <c r="X102" s="311"/>
    </row>
    <row r="103" customFormat="false" ht="15.75" hidden="false" customHeight="true" outlineLevel="0" collapsed="false">
      <c r="B103" s="354" t="s">
        <v>138</v>
      </c>
      <c r="C103" s="355" t="s">
        <v>97</v>
      </c>
      <c r="D103" s="90" t="n">
        <v>11</v>
      </c>
      <c r="E103" s="108" t="s">
        <v>139</v>
      </c>
      <c r="F103" s="109" t="s">
        <v>140</v>
      </c>
      <c r="G103" s="228"/>
      <c r="H103" s="229"/>
      <c r="I103" s="176"/>
      <c r="J103" s="230"/>
      <c r="K103" s="176"/>
      <c r="L103" s="230"/>
      <c r="M103" s="176"/>
      <c r="N103" s="177"/>
      <c r="O103" s="178" t="s">
        <v>71</v>
      </c>
      <c r="P103" s="179" t="s">
        <v>71</v>
      </c>
      <c r="Q103" s="178" t="s">
        <v>71</v>
      </c>
      <c r="R103" s="179" t="s">
        <v>71</v>
      </c>
      <c r="S103" s="180"/>
      <c r="T103" s="181"/>
      <c r="U103" s="180"/>
      <c r="V103" s="182"/>
      <c r="W103" s="87"/>
      <c r="X103" s="311"/>
    </row>
    <row r="104" customFormat="false" ht="15.75" hidden="false" customHeight="true" outlineLevel="0" collapsed="false">
      <c r="B104" s="354"/>
      <c r="C104" s="355"/>
      <c r="D104" s="90"/>
      <c r="E104" s="123" t="s">
        <v>141</v>
      </c>
      <c r="F104" s="136" t="s">
        <v>140</v>
      </c>
      <c r="G104" s="231"/>
      <c r="H104" s="232"/>
      <c r="I104" s="187"/>
      <c r="J104" s="233"/>
      <c r="K104" s="187"/>
      <c r="L104" s="233"/>
      <c r="M104" s="187"/>
      <c r="N104" s="188"/>
      <c r="O104" s="189" t="s">
        <v>71</v>
      </c>
      <c r="P104" s="190" t="s">
        <v>71</v>
      </c>
      <c r="Q104" s="189" t="s">
        <v>71</v>
      </c>
      <c r="R104" s="190" t="s">
        <v>71</v>
      </c>
      <c r="S104" s="191"/>
      <c r="T104" s="192"/>
      <c r="U104" s="191"/>
      <c r="V104" s="193"/>
      <c r="W104" s="87"/>
      <c r="X104" s="311"/>
    </row>
    <row r="105" customFormat="false" ht="15.75" hidden="false" customHeight="true" outlineLevel="0" collapsed="false">
      <c r="B105" s="354"/>
      <c r="C105" s="355"/>
      <c r="D105" s="90"/>
      <c r="E105" s="123" t="s">
        <v>142</v>
      </c>
      <c r="F105" s="136" t="s">
        <v>140</v>
      </c>
      <c r="G105" s="231"/>
      <c r="H105" s="232"/>
      <c r="I105" s="187"/>
      <c r="J105" s="233"/>
      <c r="K105" s="187"/>
      <c r="L105" s="233"/>
      <c r="M105" s="187"/>
      <c r="N105" s="188"/>
      <c r="O105" s="189" t="s">
        <v>71</v>
      </c>
      <c r="P105" s="190" t="s">
        <v>71</v>
      </c>
      <c r="Q105" s="189" t="s">
        <v>71</v>
      </c>
      <c r="R105" s="190" t="s">
        <v>71</v>
      </c>
      <c r="S105" s="191"/>
      <c r="T105" s="192"/>
      <c r="U105" s="191"/>
      <c r="V105" s="193"/>
      <c r="W105" s="87"/>
      <c r="X105" s="311"/>
    </row>
    <row r="106" customFormat="false" ht="15.75" hidden="false" customHeight="true" outlineLevel="0" collapsed="false">
      <c r="B106" s="354"/>
      <c r="C106" s="355"/>
      <c r="D106" s="90"/>
      <c r="E106" s="123" t="s">
        <v>143</v>
      </c>
      <c r="F106" s="136" t="s">
        <v>140</v>
      </c>
      <c r="G106" s="231"/>
      <c r="H106" s="232"/>
      <c r="I106" s="187"/>
      <c r="J106" s="233"/>
      <c r="K106" s="187"/>
      <c r="L106" s="233"/>
      <c r="M106" s="187"/>
      <c r="N106" s="188"/>
      <c r="O106" s="189" t="s">
        <v>71</v>
      </c>
      <c r="P106" s="190" t="s">
        <v>71</v>
      </c>
      <c r="Q106" s="189" t="s">
        <v>71</v>
      </c>
      <c r="R106" s="190" t="s">
        <v>71</v>
      </c>
      <c r="S106" s="191"/>
      <c r="T106" s="192"/>
      <c r="U106" s="191"/>
      <c r="V106" s="193"/>
      <c r="W106" s="87"/>
      <c r="X106" s="311"/>
    </row>
    <row r="107" customFormat="false" ht="15.75" hidden="false" customHeight="true" outlineLevel="0" collapsed="false">
      <c r="B107" s="354"/>
      <c r="C107" s="355"/>
      <c r="D107" s="90"/>
      <c r="E107" s="123" t="s">
        <v>144</v>
      </c>
      <c r="F107" s="136" t="s">
        <v>140</v>
      </c>
      <c r="G107" s="231"/>
      <c r="H107" s="232"/>
      <c r="I107" s="187"/>
      <c r="J107" s="233"/>
      <c r="K107" s="187"/>
      <c r="L107" s="233"/>
      <c r="M107" s="187"/>
      <c r="N107" s="188"/>
      <c r="O107" s="189" t="s">
        <v>71</v>
      </c>
      <c r="P107" s="190" t="s">
        <v>71</v>
      </c>
      <c r="Q107" s="189" t="s">
        <v>71</v>
      </c>
      <c r="R107" s="190" t="s">
        <v>71</v>
      </c>
      <c r="S107" s="191"/>
      <c r="T107" s="192"/>
      <c r="U107" s="191"/>
      <c r="V107" s="193"/>
      <c r="W107" s="87"/>
      <c r="X107" s="311"/>
    </row>
    <row r="108" customFormat="false" ht="15.75" hidden="false" customHeight="true" outlineLevel="0" collapsed="false">
      <c r="B108" s="354"/>
      <c r="C108" s="355"/>
      <c r="D108" s="90"/>
      <c r="E108" s="123" t="s">
        <v>145</v>
      </c>
      <c r="F108" s="136"/>
      <c r="G108" s="231"/>
      <c r="H108" s="232"/>
      <c r="I108" s="187" t="e">
        <f aca="false">J108/G108</f>
        <v>#DIV/0!</v>
      </c>
      <c r="J108" s="233"/>
      <c r="K108" s="187" t="e">
        <f aca="false">L108/G108</f>
        <v>#DIV/0!</v>
      </c>
      <c r="L108" s="233"/>
      <c r="M108" s="187" t="e">
        <f aca="false">IF(N108="-","-",N108/L108)</f>
        <v>#DIV/0!</v>
      </c>
      <c r="N108" s="188"/>
      <c r="O108" s="189" t="s">
        <v>71</v>
      </c>
      <c r="P108" s="190" t="s">
        <v>71</v>
      </c>
      <c r="Q108" s="189" t="s">
        <v>71</v>
      </c>
      <c r="R108" s="190" t="s">
        <v>71</v>
      </c>
      <c r="S108" s="191"/>
      <c r="T108" s="192"/>
      <c r="U108" s="191"/>
      <c r="V108" s="193"/>
      <c r="W108" s="87"/>
      <c r="X108" s="311"/>
    </row>
    <row r="109" customFormat="false" ht="15.75" hidden="false" customHeight="true" outlineLevel="0" collapsed="false">
      <c r="B109" s="354"/>
      <c r="C109" s="355"/>
      <c r="D109" s="90"/>
      <c r="E109" s="123" t="s">
        <v>146</v>
      </c>
      <c r="F109" s="136"/>
      <c r="G109" s="231"/>
      <c r="H109" s="232"/>
      <c r="I109" s="187" t="e">
        <f aca="false">J109/G109</f>
        <v>#DIV/0!</v>
      </c>
      <c r="J109" s="233"/>
      <c r="K109" s="187" t="e">
        <f aca="false">L109/G109</f>
        <v>#DIV/0!</v>
      </c>
      <c r="L109" s="233"/>
      <c r="M109" s="187" t="e">
        <f aca="false">IF(N109="-","-",N109/L109)</f>
        <v>#DIV/0!</v>
      </c>
      <c r="N109" s="188"/>
      <c r="O109" s="189" t="s">
        <v>71</v>
      </c>
      <c r="P109" s="190" t="s">
        <v>71</v>
      </c>
      <c r="Q109" s="189" t="s">
        <v>71</v>
      </c>
      <c r="R109" s="190" t="s">
        <v>71</v>
      </c>
      <c r="S109" s="191"/>
      <c r="T109" s="192"/>
      <c r="U109" s="191"/>
      <c r="V109" s="193"/>
      <c r="W109" s="87"/>
      <c r="X109" s="311"/>
    </row>
    <row r="110" customFormat="false" ht="15.75" hidden="false" customHeight="true" outlineLevel="0" collapsed="false">
      <c r="B110" s="354"/>
      <c r="C110" s="355"/>
      <c r="D110" s="90"/>
      <c r="E110" s="123" t="s">
        <v>147</v>
      </c>
      <c r="F110" s="136" t="s">
        <v>140</v>
      </c>
      <c r="G110" s="231"/>
      <c r="H110" s="232"/>
      <c r="I110" s="187" t="e">
        <f aca="false">J110/G110</f>
        <v>#DIV/0!</v>
      </c>
      <c r="J110" s="233"/>
      <c r="K110" s="187" t="e">
        <f aca="false">L110/G110</f>
        <v>#DIV/0!</v>
      </c>
      <c r="L110" s="233"/>
      <c r="M110" s="187" t="e">
        <f aca="false">IF(N110="-","-",N110/L110)</f>
        <v>#DIV/0!</v>
      </c>
      <c r="N110" s="188"/>
      <c r="O110" s="189" t="s">
        <v>71</v>
      </c>
      <c r="P110" s="190" t="s">
        <v>71</v>
      </c>
      <c r="Q110" s="189" t="s">
        <v>71</v>
      </c>
      <c r="R110" s="190" t="s">
        <v>71</v>
      </c>
      <c r="S110" s="191"/>
      <c r="T110" s="192"/>
      <c r="U110" s="191"/>
      <c r="V110" s="193"/>
      <c r="W110" s="87"/>
      <c r="X110" s="311"/>
    </row>
    <row r="111" customFormat="false" ht="15.75" hidden="false" customHeight="true" outlineLevel="0" collapsed="false">
      <c r="B111" s="354"/>
      <c r="C111" s="355"/>
      <c r="D111" s="90"/>
      <c r="E111" s="123" t="s">
        <v>148</v>
      </c>
      <c r="F111" s="136" t="s">
        <v>140</v>
      </c>
      <c r="G111" s="231"/>
      <c r="H111" s="232"/>
      <c r="I111" s="187" t="e">
        <f aca="false">J111/G111</f>
        <v>#DIV/0!</v>
      </c>
      <c r="J111" s="233"/>
      <c r="K111" s="187" t="e">
        <f aca="false">L111/G111</f>
        <v>#DIV/0!</v>
      </c>
      <c r="L111" s="233"/>
      <c r="M111" s="187" t="e">
        <f aca="false">IF(N111="-","-",N111/L111)</f>
        <v>#DIV/0!</v>
      </c>
      <c r="N111" s="188"/>
      <c r="O111" s="189" t="s">
        <v>71</v>
      </c>
      <c r="P111" s="190" t="s">
        <v>71</v>
      </c>
      <c r="Q111" s="189" t="s">
        <v>71</v>
      </c>
      <c r="R111" s="190" t="s">
        <v>71</v>
      </c>
      <c r="S111" s="191"/>
      <c r="T111" s="192"/>
      <c r="U111" s="191"/>
      <c r="V111" s="193"/>
      <c r="W111" s="87"/>
      <c r="X111" s="311"/>
    </row>
    <row r="112" customFormat="false" ht="15.75" hidden="false" customHeight="true" outlineLevel="0" collapsed="false">
      <c r="B112" s="354"/>
      <c r="C112" s="355"/>
      <c r="D112" s="90"/>
      <c r="E112" s="194"/>
      <c r="F112" s="195"/>
      <c r="G112" s="234"/>
      <c r="H112" s="235"/>
      <c r="I112" s="187" t="e">
        <f aca="false">J112/G112</f>
        <v>#DIV/0!</v>
      </c>
      <c r="J112" s="236"/>
      <c r="K112" s="187" t="e">
        <f aca="false">L112/G112</f>
        <v>#DIV/0!</v>
      </c>
      <c r="L112" s="236"/>
      <c r="M112" s="187" t="e">
        <f aca="false">IF(N112="-","-",N112/L112)</f>
        <v>#DIV/0!</v>
      </c>
      <c r="N112" s="199"/>
      <c r="O112" s="200"/>
      <c r="P112" s="201"/>
      <c r="Q112" s="200"/>
      <c r="R112" s="201"/>
      <c r="S112" s="202"/>
      <c r="T112" s="203"/>
      <c r="U112" s="202"/>
      <c r="V112" s="204"/>
      <c r="W112" s="87"/>
      <c r="X112" s="311"/>
    </row>
    <row r="113" customFormat="false" ht="15.75" hidden="false" customHeight="true" outlineLevel="0" collapsed="false">
      <c r="B113" s="354"/>
      <c r="C113" s="355"/>
      <c r="D113" s="90"/>
      <c r="E113" s="194"/>
      <c r="F113" s="195"/>
      <c r="G113" s="234"/>
      <c r="H113" s="235"/>
      <c r="I113" s="187" t="e">
        <f aca="false">J113/G113</f>
        <v>#DIV/0!</v>
      </c>
      <c r="J113" s="236"/>
      <c r="K113" s="187" t="e">
        <f aca="false">L113/G113</f>
        <v>#DIV/0!</v>
      </c>
      <c r="L113" s="236"/>
      <c r="M113" s="187" t="e">
        <f aca="false">IF(N113="-","-",N113/L113)</f>
        <v>#DIV/0!</v>
      </c>
      <c r="N113" s="199"/>
      <c r="O113" s="200"/>
      <c r="P113" s="201"/>
      <c r="Q113" s="200"/>
      <c r="R113" s="201"/>
      <c r="S113" s="202"/>
      <c r="T113" s="203"/>
      <c r="U113" s="202"/>
      <c r="V113" s="204"/>
      <c r="W113" s="87"/>
      <c r="X113" s="311"/>
    </row>
    <row r="114" customFormat="false" ht="15.75" hidden="false" customHeight="true" outlineLevel="0" collapsed="false">
      <c r="B114" s="354"/>
      <c r="C114" s="355"/>
      <c r="D114" s="90"/>
      <c r="E114" s="149" t="s">
        <v>149</v>
      </c>
      <c r="F114" s="150" t="s">
        <v>140</v>
      </c>
      <c r="G114" s="205"/>
      <c r="H114" s="206"/>
      <c r="I114" s="209"/>
      <c r="J114" s="208"/>
      <c r="K114" s="209"/>
      <c r="L114" s="208"/>
      <c r="M114" s="209"/>
      <c r="N114" s="210"/>
      <c r="O114" s="211" t="s">
        <v>71</v>
      </c>
      <c r="P114" s="212" t="s">
        <v>71</v>
      </c>
      <c r="Q114" s="211" t="s">
        <v>71</v>
      </c>
      <c r="R114" s="212" t="s">
        <v>71</v>
      </c>
      <c r="S114" s="213"/>
      <c r="T114" s="214"/>
      <c r="U114" s="213"/>
      <c r="V114" s="215"/>
      <c r="W114" s="87"/>
      <c r="X114" s="311"/>
    </row>
    <row r="115" customFormat="false" ht="16.5" hidden="false" customHeight="false" outlineLevel="0" collapsed="false">
      <c r="B115" s="354"/>
      <c r="C115" s="355"/>
      <c r="D115" s="355" t="s">
        <v>75</v>
      </c>
      <c r="E115" s="356"/>
      <c r="F115" s="357"/>
      <c r="G115" s="358" t="n">
        <f aca="false">SUM(G103:G114)</f>
        <v>0</v>
      </c>
      <c r="H115" s="359" t="n">
        <f aca="false">SUM(H103:H114)</f>
        <v>0</v>
      </c>
      <c r="I115" s="221" t="e">
        <f aca="false">J115/G115</f>
        <v>#DIV/0!</v>
      </c>
      <c r="J115" s="360" t="n">
        <f aca="false">SUM(J103:J114)</f>
        <v>0</v>
      </c>
      <c r="K115" s="97" t="e">
        <f aca="false">L115/G115</f>
        <v>#DIV/0!</v>
      </c>
      <c r="L115" s="360" t="n">
        <f aca="false">SUM(L103:L114)</f>
        <v>0</v>
      </c>
      <c r="M115" s="221" t="e">
        <f aca="false">N115/L115</f>
        <v>#DIV/0!</v>
      </c>
      <c r="N115" s="360" t="n">
        <f aca="false">SUM(N103:N114)</f>
        <v>0</v>
      </c>
      <c r="O115" s="361"/>
      <c r="P115" s="362"/>
      <c r="Q115" s="361"/>
      <c r="R115" s="362"/>
      <c r="S115" s="361"/>
      <c r="T115" s="362"/>
      <c r="U115" s="361"/>
      <c r="V115" s="363"/>
      <c r="W115" s="87"/>
      <c r="X115" s="311"/>
      <c r="Y115" s="311"/>
    </row>
    <row r="116" s="251" customFormat="true" ht="21" hidden="false" customHeight="true" outlineLevel="0" collapsed="false">
      <c r="A116" s="22"/>
      <c r="B116" s="238" t="s">
        <v>150</v>
      </c>
      <c r="C116" s="239"/>
      <c r="D116" s="239" t="n">
        <f aca="false">SUM(D48:D114)</f>
        <v>78</v>
      </c>
      <c r="E116" s="240" t="n">
        <f aca="false">COUNT(G48:G55,G65:G71,G73:G82,G87:G95,G97:G101,G103:G114)</f>
        <v>0</v>
      </c>
      <c r="F116" s="241" t="n">
        <f aca="false">COUNT(J48:J114)</f>
        <v>6</v>
      </c>
      <c r="G116" s="364" t="n">
        <f aca="false">G56+G72+G83+G96+G102+G115</f>
        <v>0</v>
      </c>
      <c r="H116" s="248" t="n">
        <f aca="false">H56+H72+H83+H96+H102+H115</f>
        <v>0</v>
      </c>
      <c r="I116" s="365" t="e">
        <f aca="false">J116/G116</f>
        <v>#DIV/0!</v>
      </c>
      <c r="J116" s="366" t="n">
        <f aca="false">J56+J72+J83+J96+J102+J115</f>
        <v>0</v>
      </c>
      <c r="K116" s="365" t="e">
        <f aca="false">L116/G116</f>
        <v>#DIV/0!</v>
      </c>
      <c r="L116" s="366" t="n">
        <f aca="false">L56+L72+L83+L96+L102+L115</f>
        <v>0</v>
      </c>
      <c r="M116" s="367" t="e">
        <f aca="false">N116/L116</f>
        <v>#DIV/0!</v>
      </c>
      <c r="N116" s="366" t="n">
        <f aca="false">N56+N72+N83+N96+N102+N115</f>
        <v>0</v>
      </c>
      <c r="O116" s="247"/>
      <c r="P116" s="248"/>
      <c r="Q116" s="247"/>
      <c r="R116" s="248"/>
      <c r="S116" s="247" t="n">
        <f aca="false">S56+S72+S83+S96+S102</f>
        <v>0</v>
      </c>
      <c r="T116" s="248" t="n">
        <f aca="false">T56+T72+T83+T96+T102</f>
        <v>0</v>
      </c>
      <c r="U116" s="247" t="n">
        <f aca="false">U56+U72+U83+U96+U102</f>
        <v>0</v>
      </c>
      <c r="V116" s="249" t="n">
        <f aca="false">V56+V72+V83+V96+V102</f>
        <v>0</v>
      </c>
      <c r="W116" s="368"/>
      <c r="X116" s="369"/>
      <c r="Y116" s="369"/>
    </row>
    <row r="117" s="251" customFormat="true" ht="21" hidden="false" customHeight="true" outlineLevel="0" collapsed="false">
      <c r="A117" s="22"/>
      <c r="B117" s="238" t="s">
        <v>151</v>
      </c>
      <c r="C117" s="239"/>
      <c r="D117" s="239" t="n">
        <f aca="false">D116+D47</f>
        <v>118</v>
      </c>
      <c r="E117" s="240" t="n">
        <f aca="false">E47+E116</f>
        <v>17</v>
      </c>
      <c r="F117" s="241" t="n">
        <f aca="false">F116+F47</f>
        <v>24</v>
      </c>
      <c r="G117" s="364" t="n">
        <f aca="false">G47+G116</f>
        <v>0</v>
      </c>
      <c r="H117" s="248" t="n">
        <f aca="false">H47+H116</f>
        <v>0</v>
      </c>
      <c r="I117" s="365" t="e">
        <f aca="false">J117/G117</f>
        <v>#DIV/0!</v>
      </c>
      <c r="J117" s="366" t="n">
        <f aca="false">J47+J116</f>
        <v>0</v>
      </c>
      <c r="K117" s="365" t="e">
        <f aca="false">L117/G117</f>
        <v>#DIV/0!</v>
      </c>
      <c r="L117" s="366" t="n">
        <f aca="false">L47+L116</f>
        <v>0</v>
      </c>
      <c r="M117" s="367" t="e">
        <f aca="false">N117/L117</f>
        <v>#DIV/0!</v>
      </c>
      <c r="N117" s="366" t="n">
        <f aca="false">N47+N116</f>
        <v>0</v>
      </c>
      <c r="O117" s="247"/>
      <c r="P117" s="248"/>
      <c r="Q117" s="247"/>
      <c r="R117" s="248"/>
      <c r="S117" s="247" t="n">
        <f aca="false">S116</f>
        <v>0</v>
      </c>
      <c r="T117" s="248" t="n">
        <f aca="false">T116</f>
        <v>0</v>
      </c>
      <c r="U117" s="247" t="n">
        <f aca="false">U116</f>
        <v>0</v>
      </c>
      <c r="V117" s="249" t="n">
        <f aca="false">V116</f>
        <v>0</v>
      </c>
      <c r="W117" s="368"/>
    </row>
    <row r="118" customFormat="false" ht="15" hidden="false" customHeight="false" outlineLevel="0" collapsed="false">
      <c r="B118" s="370"/>
      <c r="C118" s="371"/>
      <c r="D118" s="371"/>
      <c r="E118" s="370"/>
      <c r="F118" s="371"/>
      <c r="G118" s="372"/>
      <c r="H118" s="372"/>
      <c r="I118" s="373"/>
      <c r="J118" s="373"/>
      <c r="K118" s="373"/>
      <c r="L118" s="373"/>
      <c r="M118" s="374" t="s">
        <v>152</v>
      </c>
      <c r="N118" s="374"/>
      <c r="O118" s="372"/>
      <c r="P118" s="372"/>
      <c r="Q118" s="372"/>
      <c r="R118" s="372"/>
      <c r="S118" s="372"/>
      <c r="T118" s="372"/>
      <c r="U118" s="372"/>
      <c r="V118" s="372"/>
    </row>
    <row r="119" customFormat="false" ht="15" hidden="false" customHeight="false" outlineLevel="0" collapsed="false">
      <c r="E119" s="375" t="s">
        <v>153</v>
      </c>
      <c r="F119" s="376"/>
    </row>
    <row r="120" customFormat="false" ht="15" hidden="false" customHeight="false" outlineLevel="0" collapsed="false">
      <c r="E120" s="1" t="s">
        <v>70</v>
      </c>
      <c r="F120" s="2" t="n">
        <f aca="false">COUNTIF(F$5:F$114,E120)</f>
        <v>33</v>
      </c>
    </row>
    <row r="121" customFormat="false" ht="15" hidden="false" customHeight="false" outlineLevel="0" collapsed="false">
      <c r="E121" s="1" t="s">
        <v>140</v>
      </c>
      <c r="F121" s="2" t="n">
        <f aca="false">COUNTIF(F$5:F$114,E121)</f>
        <v>8</v>
      </c>
    </row>
    <row r="122" customFormat="false" ht="15" hidden="false" customHeight="false" outlineLevel="0" collapsed="false">
      <c r="E122" s="1" t="s">
        <v>102</v>
      </c>
      <c r="F122" s="2" t="n">
        <f aca="false">COUNTIF(F$5:F$114,E122)</f>
        <v>21</v>
      </c>
    </row>
    <row r="123" customFormat="false" ht="15" hidden="false" customHeight="fals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048576" customFormat="false" ht="15" hidden="false" customHeight="false" outlineLevel="0" collapsed="false"/>
  </sheetData>
  <mergeCells count="47">
    <mergeCell ref="B2:B4"/>
    <mergeCell ref="C2:C4"/>
    <mergeCell ref="D2:D4"/>
    <mergeCell ref="E2:E4"/>
    <mergeCell ref="F2:F4"/>
    <mergeCell ref="G2:H2"/>
    <mergeCell ref="I2:I4"/>
    <mergeCell ref="J2:J4"/>
    <mergeCell ref="K2:K4"/>
    <mergeCell ref="L2:L4"/>
    <mergeCell ref="M2:M4"/>
    <mergeCell ref="N2:N4"/>
    <mergeCell ref="O2:P2"/>
    <mergeCell ref="Q2:R2"/>
    <mergeCell ref="S2:T2"/>
    <mergeCell ref="U2:V2"/>
    <mergeCell ref="B7:B23"/>
    <mergeCell ref="C7:C23"/>
    <mergeCell ref="D7:D22"/>
    <mergeCell ref="B24:B35"/>
    <mergeCell ref="C24:C35"/>
    <mergeCell ref="D24:D34"/>
    <mergeCell ref="B36:B46"/>
    <mergeCell ref="C36:C46"/>
    <mergeCell ref="D36:D45"/>
    <mergeCell ref="B48:B56"/>
    <mergeCell ref="C48:C56"/>
    <mergeCell ref="D48:D55"/>
    <mergeCell ref="B57:B64"/>
    <mergeCell ref="C57:C64"/>
    <mergeCell ref="D57:D63"/>
    <mergeCell ref="B65:B72"/>
    <mergeCell ref="C65:C72"/>
    <mergeCell ref="D65:D71"/>
    <mergeCell ref="B73:B83"/>
    <mergeCell ref="C73:C83"/>
    <mergeCell ref="D73:D82"/>
    <mergeCell ref="B84:B96"/>
    <mergeCell ref="C84:C96"/>
    <mergeCell ref="D84:D95"/>
    <mergeCell ref="B97:B102"/>
    <mergeCell ref="C97:C102"/>
    <mergeCell ref="D97:D101"/>
    <mergeCell ref="B103:B115"/>
    <mergeCell ref="C103:C115"/>
    <mergeCell ref="D103:D114"/>
    <mergeCell ref="M118:N11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48" activeCellId="0" sqref="A48"/>
    </sheetView>
  </sheetViews>
  <sheetFormatPr defaultRowHeight="12.8" zeroHeight="false" outlineLevelRow="0" outlineLevelCol="0"/>
  <cols>
    <col collapsed="false" customWidth="true" hidden="false" outlineLevel="0" max="1" min="1" style="0" width="47.21"/>
    <col collapsed="false" customWidth="true" hidden="false" outlineLevel="0" max="3" min="2" style="0" width="13.52"/>
    <col collapsed="false" customWidth="true" hidden="false" outlineLevel="0" max="4" min="4" style="0" width="16.3"/>
    <col collapsed="false" customWidth="true" hidden="false" outlineLevel="0" max="5" min="5" style="0" width="16.47"/>
    <col collapsed="false" customWidth="true" hidden="false" outlineLevel="0" max="6" min="6" style="0" width="14.76"/>
    <col collapsed="false" customWidth="true" hidden="false" outlineLevel="0" max="7" min="7" style="0" width="14.59"/>
    <col collapsed="false" customWidth="false" hidden="false" outlineLevel="0" max="1025" min="8" style="0" width="11.52"/>
  </cols>
  <sheetData>
    <row r="1" customFormat="false" ht="12.8" hidden="false" customHeight="false" outlineLevel="0" collapsed="false">
      <c r="A1" s="377"/>
      <c r="B1" s="378" t="s">
        <v>154</v>
      </c>
      <c r="C1" s="379"/>
      <c r="D1" s="379"/>
      <c r="E1" s="379"/>
      <c r="F1" s="379"/>
      <c r="G1" s="379"/>
      <c r="H1" s="379"/>
      <c r="I1" s="379"/>
      <c r="J1" s="380"/>
    </row>
    <row r="2" s="385" customFormat="true" ht="46.85" hidden="false" customHeight="false" outlineLevel="0" collapsed="false">
      <c r="A2" s="381" t="s">
        <v>155</v>
      </c>
      <c r="B2" s="382" t="s">
        <v>156</v>
      </c>
      <c r="C2" s="383" t="s">
        <v>157</v>
      </c>
      <c r="D2" s="383" t="s">
        <v>158</v>
      </c>
      <c r="E2" s="383" t="s">
        <v>159</v>
      </c>
      <c r="F2" s="383" t="s">
        <v>160</v>
      </c>
      <c r="G2" s="383" t="s">
        <v>161</v>
      </c>
      <c r="H2" s="383" t="s">
        <v>162</v>
      </c>
      <c r="I2" s="383" t="s">
        <v>163</v>
      </c>
      <c r="J2" s="384" t="s">
        <v>164</v>
      </c>
    </row>
    <row r="3" customFormat="false" ht="12.8" hidden="false" customHeight="false" outlineLevel="0" collapsed="false">
      <c r="A3" s="386" t="s">
        <v>165</v>
      </c>
      <c r="B3" s="387" t="n">
        <v>1</v>
      </c>
      <c r="C3" s="388" t="n">
        <v>11</v>
      </c>
      <c r="D3" s="388" t="n">
        <v>0</v>
      </c>
      <c r="E3" s="388" t="n">
        <v>10</v>
      </c>
      <c r="F3" s="388" t="n">
        <v>1</v>
      </c>
      <c r="G3" s="388" t="n">
        <v>0</v>
      </c>
      <c r="H3" s="388" t="n">
        <v>0</v>
      </c>
      <c r="I3" s="388" t="n">
        <v>0</v>
      </c>
      <c r="J3" s="389"/>
    </row>
    <row r="4" customFormat="false" ht="12.8" hidden="false" customHeight="false" outlineLevel="0" collapsed="false">
      <c r="A4" s="390" t="s">
        <v>166</v>
      </c>
      <c r="B4" s="391" t="n">
        <v>3</v>
      </c>
      <c r="C4" s="392" t="n">
        <v>11</v>
      </c>
      <c r="D4" s="392" t="n">
        <v>19</v>
      </c>
      <c r="E4" s="392" t="n">
        <v>7</v>
      </c>
      <c r="F4" s="392" t="n">
        <v>4</v>
      </c>
      <c r="G4" s="392" t="n">
        <v>3</v>
      </c>
      <c r="H4" s="392" t="n">
        <v>7</v>
      </c>
      <c r="I4" s="392" t="n">
        <v>4</v>
      </c>
      <c r="J4" s="393"/>
    </row>
    <row r="5" customFormat="false" ht="12.8" hidden="false" customHeight="false" outlineLevel="0" collapsed="false">
      <c r="A5" s="390" t="s">
        <v>167</v>
      </c>
      <c r="B5" s="391" t="n">
        <v>6</v>
      </c>
      <c r="C5" s="392" t="n">
        <v>6</v>
      </c>
      <c r="D5" s="392" t="n">
        <v>3</v>
      </c>
      <c r="E5" s="392" t="n">
        <v>3</v>
      </c>
      <c r="F5" s="392" t="n">
        <v>5</v>
      </c>
      <c r="G5" s="392" t="n">
        <v>3</v>
      </c>
      <c r="H5" s="392" t="n">
        <v>18</v>
      </c>
      <c r="I5" s="392" t="n">
        <v>10</v>
      </c>
      <c r="J5" s="393"/>
    </row>
    <row r="6" customFormat="false" ht="12.8" hidden="false" customHeight="false" outlineLevel="0" collapsed="false">
      <c r="A6" s="390" t="s">
        <v>168</v>
      </c>
      <c r="B6" s="391" t="n">
        <v>0</v>
      </c>
      <c r="C6" s="392" t="n">
        <v>9</v>
      </c>
      <c r="D6" s="392" t="n">
        <v>4</v>
      </c>
      <c r="E6" s="392" t="n">
        <v>2</v>
      </c>
      <c r="F6" s="392" t="n">
        <v>2</v>
      </c>
      <c r="G6" s="392" t="n">
        <v>3</v>
      </c>
      <c r="H6" s="392" t="n">
        <v>0</v>
      </c>
      <c r="I6" s="392" t="n">
        <v>0</v>
      </c>
      <c r="J6" s="393"/>
    </row>
    <row r="7" customFormat="false" ht="12.8" hidden="false" customHeight="false" outlineLevel="0" collapsed="false">
      <c r="A7" s="390" t="s">
        <v>169</v>
      </c>
      <c r="B7" s="391" t="n">
        <v>2</v>
      </c>
      <c r="C7" s="392" t="n">
        <v>5</v>
      </c>
      <c r="D7" s="392" t="n">
        <v>2</v>
      </c>
      <c r="E7" s="392" t="n">
        <v>0</v>
      </c>
      <c r="F7" s="392" t="n">
        <v>0</v>
      </c>
      <c r="G7" s="392" t="n">
        <v>4</v>
      </c>
      <c r="H7" s="392" t="n">
        <v>1</v>
      </c>
      <c r="I7" s="392" t="n">
        <v>1</v>
      </c>
      <c r="J7" s="393"/>
    </row>
    <row r="8" customFormat="false" ht="12.8" hidden="false" customHeight="false" outlineLevel="0" collapsed="false">
      <c r="A8" s="390" t="s">
        <v>170</v>
      </c>
      <c r="B8" s="391" t="n">
        <v>9</v>
      </c>
      <c r="C8" s="392" t="n">
        <v>38</v>
      </c>
      <c r="D8" s="392" t="n">
        <v>52</v>
      </c>
      <c r="E8" s="392" t="n">
        <v>13</v>
      </c>
      <c r="F8" s="392" t="n">
        <v>14</v>
      </c>
      <c r="G8" s="392" t="n">
        <v>49</v>
      </c>
      <c r="H8" s="394"/>
      <c r="I8" s="394"/>
      <c r="J8" s="393"/>
    </row>
    <row r="9" customFormat="false" ht="12.8" hidden="false" customHeight="false" outlineLevel="0" collapsed="false">
      <c r="A9" s="390" t="s">
        <v>171</v>
      </c>
      <c r="B9" s="391" t="n">
        <v>4</v>
      </c>
      <c r="C9" s="392" t="n">
        <v>17</v>
      </c>
      <c r="D9" s="392" t="n">
        <v>7</v>
      </c>
      <c r="E9" s="392" t="n">
        <v>2</v>
      </c>
      <c r="F9" s="392" t="n">
        <v>11</v>
      </c>
      <c r="G9" s="392" t="n">
        <v>5</v>
      </c>
      <c r="H9" s="392" t="n">
        <v>4</v>
      </c>
      <c r="I9" s="392" t="n">
        <v>4</v>
      </c>
      <c r="J9" s="393"/>
    </row>
    <row r="10" customFormat="false" ht="12.8" hidden="false" customHeight="false" outlineLevel="0" collapsed="false">
      <c r="A10" s="390" t="s">
        <v>172</v>
      </c>
      <c r="B10" s="391" t="n">
        <v>0</v>
      </c>
      <c r="C10" s="392" t="n">
        <v>32</v>
      </c>
      <c r="D10" s="392" t="n">
        <v>24</v>
      </c>
      <c r="E10" s="392" t="n">
        <v>3</v>
      </c>
      <c r="F10" s="392" t="n">
        <v>12</v>
      </c>
      <c r="G10" s="392" t="n">
        <v>13</v>
      </c>
      <c r="H10" s="392" t="n">
        <v>15</v>
      </c>
      <c r="I10" s="392" t="n">
        <v>4</v>
      </c>
      <c r="J10" s="393"/>
    </row>
    <row r="11" customFormat="false" ht="12.8" hidden="false" customHeight="false" outlineLevel="0" collapsed="false">
      <c r="A11" s="390" t="s">
        <v>173</v>
      </c>
      <c r="B11" s="391" t="n">
        <v>3</v>
      </c>
      <c r="C11" s="392" t="n">
        <v>47</v>
      </c>
      <c r="D11" s="392" t="n">
        <v>4</v>
      </c>
      <c r="E11" s="392" t="n">
        <v>6</v>
      </c>
      <c r="F11" s="392" t="n">
        <v>36</v>
      </c>
      <c r="G11" s="392" t="n">
        <v>15</v>
      </c>
      <c r="H11" s="392" t="n">
        <v>40</v>
      </c>
      <c r="I11" s="392" t="n">
        <v>2</v>
      </c>
      <c r="J11" s="393"/>
    </row>
    <row r="12" customFormat="false" ht="12.8" hidden="false" customHeight="false" outlineLevel="0" collapsed="false">
      <c r="A12" s="390" t="s">
        <v>174</v>
      </c>
      <c r="B12" s="391" t="n">
        <v>6</v>
      </c>
      <c r="C12" s="392" t="n">
        <v>40</v>
      </c>
      <c r="D12" s="392" t="n">
        <v>14</v>
      </c>
      <c r="E12" s="392" t="n">
        <v>5</v>
      </c>
      <c r="F12" s="392" t="n">
        <v>26</v>
      </c>
      <c r="G12" s="392" t="n">
        <v>6</v>
      </c>
      <c r="H12" s="392" t="n">
        <v>11</v>
      </c>
      <c r="I12" s="392" t="n">
        <v>7</v>
      </c>
      <c r="J12" s="393"/>
    </row>
    <row r="13" customFormat="false" ht="12.8" hidden="false" customHeight="false" outlineLevel="0" collapsed="false">
      <c r="A13" s="390" t="s">
        <v>175</v>
      </c>
      <c r="B13" s="391" t="n">
        <v>3</v>
      </c>
      <c r="C13" s="392" t="n">
        <v>10</v>
      </c>
      <c r="D13" s="392" t="n">
        <v>1</v>
      </c>
      <c r="E13" s="392" t="n">
        <v>1</v>
      </c>
      <c r="F13" s="392" t="n">
        <v>5</v>
      </c>
      <c r="G13" s="392" t="n">
        <v>2</v>
      </c>
      <c r="H13" s="392" t="n">
        <v>27</v>
      </c>
      <c r="I13" s="392" t="n">
        <v>6</v>
      </c>
      <c r="J13" s="393"/>
    </row>
    <row r="14" customFormat="false" ht="12.8" hidden="false" customHeight="false" outlineLevel="0" collapsed="false">
      <c r="A14" s="390" t="s">
        <v>176</v>
      </c>
      <c r="B14" s="391" t="n">
        <v>1</v>
      </c>
      <c r="C14" s="392" t="n">
        <v>10</v>
      </c>
      <c r="D14" s="392" t="n">
        <v>5</v>
      </c>
      <c r="E14" s="392" t="n">
        <v>6</v>
      </c>
      <c r="F14" s="392" t="n">
        <v>7</v>
      </c>
      <c r="G14" s="392" t="n">
        <v>6</v>
      </c>
      <c r="H14" s="392" t="n">
        <v>16</v>
      </c>
      <c r="I14" s="392" t="n">
        <v>5</v>
      </c>
      <c r="J14" s="393"/>
    </row>
    <row r="15" customFormat="false" ht="12.8" hidden="false" customHeight="false" outlineLevel="0" collapsed="false">
      <c r="A15" s="390" t="s">
        <v>177</v>
      </c>
      <c r="B15" s="391" t="n">
        <v>6</v>
      </c>
      <c r="C15" s="392" t="n">
        <v>55</v>
      </c>
      <c r="D15" s="392" t="n">
        <v>15</v>
      </c>
      <c r="E15" s="392" t="n">
        <v>9</v>
      </c>
      <c r="F15" s="392" t="n">
        <v>31</v>
      </c>
      <c r="G15" s="392" t="n">
        <v>19</v>
      </c>
      <c r="H15" s="392" t="n">
        <v>11</v>
      </c>
      <c r="I15" s="392" t="n">
        <v>4</v>
      </c>
      <c r="J15" s="393"/>
    </row>
    <row r="16" customFormat="false" ht="12.8" hidden="false" customHeight="false" outlineLevel="0" collapsed="false">
      <c r="A16" s="390" t="s">
        <v>178</v>
      </c>
      <c r="B16" s="391" t="n">
        <v>3</v>
      </c>
      <c r="C16" s="392" t="n">
        <v>16</v>
      </c>
      <c r="D16" s="392" t="n">
        <v>4</v>
      </c>
      <c r="E16" s="392" t="n">
        <v>4</v>
      </c>
      <c r="F16" s="392" t="n">
        <v>2</v>
      </c>
      <c r="G16" s="392" t="n">
        <v>0</v>
      </c>
      <c r="H16" s="392" t="n">
        <v>0</v>
      </c>
      <c r="I16" s="392" t="n">
        <v>0</v>
      </c>
      <c r="J16" s="393"/>
    </row>
    <row r="17" customFormat="false" ht="12.8" hidden="false" customHeight="false" outlineLevel="0" collapsed="false">
      <c r="A17" s="390" t="s">
        <v>179</v>
      </c>
      <c r="B17" s="391" t="n">
        <v>12</v>
      </c>
      <c r="C17" s="392" t="n">
        <v>23</v>
      </c>
      <c r="D17" s="392" t="n">
        <v>1</v>
      </c>
      <c r="E17" s="392" t="n">
        <v>6</v>
      </c>
      <c r="F17" s="392" t="n">
        <v>4</v>
      </c>
      <c r="G17" s="392" t="n">
        <v>3</v>
      </c>
      <c r="H17" s="392" t="n">
        <v>0</v>
      </c>
      <c r="I17" s="392" t="n">
        <v>0</v>
      </c>
      <c r="J17" s="393"/>
    </row>
    <row r="18" customFormat="false" ht="12.8" hidden="false" customHeight="false" outlineLevel="0" collapsed="false">
      <c r="A18" s="390" t="s">
        <v>180</v>
      </c>
      <c r="B18" s="395" t="n">
        <v>19</v>
      </c>
      <c r="C18" s="396" t="n">
        <v>19</v>
      </c>
      <c r="D18" s="396" t="n">
        <v>1</v>
      </c>
      <c r="E18" s="396" t="n">
        <v>16</v>
      </c>
      <c r="F18" s="396" t="n">
        <v>14</v>
      </c>
      <c r="G18" s="396" t="n">
        <v>0</v>
      </c>
      <c r="H18" s="396" t="n">
        <v>0</v>
      </c>
      <c r="I18" s="396" t="n">
        <v>0</v>
      </c>
      <c r="J18" s="397" t="n">
        <v>16</v>
      </c>
    </row>
    <row r="19" customFormat="false" ht="12.8" hidden="false" customHeight="false" outlineLevel="0" collapsed="false">
      <c r="A19" s="398" t="s">
        <v>181</v>
      </c>
      <c r="B19" s="399" t="n">
        <v>78</v>
      </c>
      <c r="C19" s="400" t="n">
        <v>349</v>
      </c>
      <c r="D19" s="400" t="n">
        <v>156</v>
      </c>
      <c r="E19" s="400" t="n">
        <v>93</v>
      </c>
      <c r="F19" s="400" t="n">
        <v>174</v>
      </c>
      <c r="G19" s="400" t="n">
        <v>131</v>
      </c>
      <c r="H19" s="400" t="n">
        <v>150</v>
      </c>
      <c r="I19" s="400" t="n">
        <v>47</v>
      </c>
      <c r="J19" s="401" t="n">
        <v>16</v>
      </c>
    </row>
    <row r="23" customFormat="false" ht="12.8" hidden="false" customHeight="false" outlineLevel="0" collapsed="false">
      <c r="A23" s="0" t="s">
        <v>182</v>
      </c>
    </row>
    <row r="24" customFormat="false" ht="12.8" hidden="false" customHeight="false" outlineLevel="0" collapsed="false">
      <c r="A24" s="377"/>
      <c r="B24" s="378" t="s">
        <v>154</v>
      </c>
      <c r="C24" s="379"/>
      <c r="D24" s="379"/>
      <c r="E24" s="380"/>
    </row>
    <row r="25" s="385" customFormat="true" ht="13.1" hidden="false" customHeight="false" outlineLevel="0" collapsed="false">
      <c r="A25" s="381" t="s">
        <v>155</v>
      </c>
      <c r="B25" s="382" t="s">
        <v>183</v>
      </c>
      <c r="C25" s="383" t="s">
        <v>184</v>
      </c>
      <c r="D25" s="383" t="s">
        <v>185</v>
      </c>
      <c r="E25" s="384" t="s">
        <v>186</v>
      </c>
    </row>
    <row r="26" customFormat="false" ht="12.8" hidden="false" customHeight="false" outlineLevel="0" collapsed="false">
      <c r="A26" s="386" t="s">
        <v>165</v>
      </c>
      <c r="B26" s="387" t="n">
        <v>11</v>
      </c>
      <c r="C26" s="388" t="n">
        <v>12</v>
      </c>
      <c r="D26" s="388" t="n">
        <v>12</v>
      </c>
      <c r="E26" s="402" t="n">
        <v>11</v>
      </c>
    </row>
    <row r="27" customFormat="false" ht="12.8" hidden="false" customHeight="false" outlineLevel="0" collapsed="false">
      <c r="A27" s="390" t="s">
        <v>166</v>
      </c>
      <c r="B27" s="391" t="n">
        <v>10</v>
      </c>
      <c r="C27" s="392" t="n">
        <v>15</v>
      </c>
      <c r="D27" s="392" t="n">
        <v>14</v>
      </c>
      <c r="E27" s="403" t="n">
        <v>11</v>
      </c>
    </row>
    <row r="28" customFormat="false" ht="12.8" hidden="false" customHeight="false" outlineLevel="0" collapsed="false">
      <c r="A28" s="390" t="s">
        <v>167</v>
      </c>
      <c r="B28" s="391" t="n">
        <v>9</v>
      </c>
      <c r="C28" s="392" t="n">
        <v>11</v>
      </c>
      <c r="D28" s="392" t="n">
        <v>12</v>
      </c>
      <c r="E28" s="403" t="n">
        <v>8</v>
      </c>
    </row>
    <row r="29" customFormat="false" ht="12.8" hidden="false" customHeight="false" outlineLevel="0" collapsed="false">
      <c r="A29" s="390" t="s">
        <v>168</v>
      </c>
      <c r="B29" s="391" t="n">
        <v>2</v>
      </c>
      <c r="C29" s="392" t="n">
        <v>11</v>
      </c>
      <c r="D29" s="392" t="n">
        <v>9</v>
      </c>
      <c r="E29" s="403" t="n">
        <v>4</v>
      </c>
    </row>
    <row r="30" customFormat="false" ht="12.8" hidden="false" customHeight="false" outlineLevel="0" collapsed="false">
      <c r="A30" s="390" t="s">
        <v>169</v>
      </c>
      <c r="B30" s="391" t="n">
        <v>2</v>
      </c>
      <c r="C30" s="392" t="n">
        <v>5</v>
      </c>
      <c r="D30" s="392" t="n">
        <v>7</v>
      </c>
      <c r="E30" s="403" t="n">
        <v>0</v>
      </c>
    </row>
    <row r="31" customFormat="false" ht="12.8" hidden="false" customHeight="false" outlineLevel="0" collapsed="false">
      <c r="A31" s="390" t="s">
        <v>170</v>
      </c>
      <c r="B31" s="391" t="n">
        <v>22</v>
      </c>
      <c r="C31" s="392" t="n">
        <v>52</v>
      </c>
      <c r="D31" s="392" t="n">
        <v>47</v>
      </c>
      <c r="E31" s="403" t="n">
        <v>27</v>
      </c>
    </row>
    <row r="32" customFormat="false" ht="12.8" hidden="false" customHeight="false" outlineLevel="0" collapsed="false">
      <c r="A32" s="390" t="s">
        <v>171</v>
      </c>
      <c r="B32" s="391" t="n">
        <v>6</v>
      </c>
      <c r="C32" s="392" t="n">
        <v>28</v>
      </c>
      <c r="D32" s="392" t="n">
        <v>21</v>
      </c>
      <c r="E32" s="403" t="n">
        <v>13</v>
      </c>
    </row>
    <row r="33" customFormat="false" ht="12.8" hidden="false" customHeight="false" outlineLevel="0" collapsed="false">
      <c r="A33" s="390" t="s">
        <v>172</v>
      </c>
      <c r="B33" s="391" t="n">
        <v>3</v>
      </c>
      <c r="C33" s="392" t="n">
        <v>44</v>
      </c>
      <c r="D33" s="392" t="n">
        <v>32</v>
      </c>
      <c r="E33" s="403" t="n">
        <v>15</v>
      </c>
    </row>
    <row r="34" customFormat="false" ht="12.8" hidden="false" customHeight="false" outlineLevel="0" collapsed="false">
      <c r="A34" s="390" t="s">
        <v>173</v>
      </c>
      <c r="B34" s="391" t="n">
        <v>9</v>
      </c>
      <c r="C34" s="392" t="n">
        <v>83</v>
      </c>
      <c r="D34" s="392" t="n">
        <v>50</v>
      </c>
      <c r="E34" s="403" t="n">
        <v>42</v>
      </c>
    </row>
    <row r="35" customFormat="false" ht="12.8" hidden="false" customHeight="false" outlineLevel="0" collapsed="false">
      <c r="A35" s="390" t="s">
        <v>174</v>
      </c>
      <c r="B35" s="391" t="n">
        <v>11</v>
      </c>
      <c r="C35" s="392" t="n">
        <v>66</v>
      </c>
      <c r="D35" s="392" t="n">
        <v>46</v>
      </c>
      <c r="E35" s="403" t="n">
        <v>31</v>
      </c>
    </row>
    <row r="36" customFormat="false" ht="12.8" hidden="false" customHeight="false" outlineLevel="0" collapsed="false">
      <c r="A36" s="390" t="s">
        <v>175</v>
      </c>
      <c r="B36" s="391" t="n">
        <v>4</v>
      </c>
      <c r="C36" s="392" t="n">
        <v>15</v>
      </c>
      <c r="D36" s="392" t="n">
        <v>13</v>
      </c>
      <c r="E36" s="403" t="n">
        <v>6</v>
      </c>
    </row>
    <row r="37" customFormat="false" ht="12.8" hidden="false" customHeight="false" outlineLevel="0" collapsed="false">
      <c r="A37" s="390" t="s">
        <v>176</v>
      </c>
      <c r="B37" s="391" t="n">
        <v>7</v>
      </c>
      <c r="C37" s="392" t="n">
        <v>17</v>
      </c>
      <c r="D37" s="392" t="n">
        <v>11</v>
      </c>
      <c r="E37" s="403" t="n">
        <v>13</v>
      </c>
    </row>
    <row r="38" customFormat="false" ht="12.8" hidden="false" customHeight="false" outlineLevel="0" collapsed="false">
      <c r="A38" s="390" t="s">
        <v>177</v>
      </c>
      <c r="B38" s="391" t="n">
        <v>15</v>
      </c>
      <c r="C38" s="392" t="n">
        <v>86</v>
      </c>
      <c r="D38" s="392" t="n">
        <v>61</v>
      </c>
      <c r="E38" s="403" t="n">
        <v>40</v>
      </c>
    </row>
    <row r="39" customFormat="false" ht="12.8" hidden="false" customHeight="false" outlineLevel="0" collapsed="false">
      <c r="A39" s="390" t="s">
        <v>178</v>
      </c>
      <c r="B39" s="391" t="n">
        <v>7</v>
      </c>
      <c r="C39" s="392" t="n">
        <v>18</v>
      </c>
      <c r="D39" s="392" t="n">
        <v>19</v>
      </c>
      <c r="E39" s="403" t="n">
        <v>6</v>
      </c>
    </row>
    <row r="40" customFormat="false" ht="12.8" hidden="false" customHeight="false" outlineLevel="0" collapsed="false">
      <c r="A40" s="390" t="s">
        <v>179</v>
      </c>
      <c r="B40" s="391" t="n">
        <v>18</v>
      </c>
      <c r="C40" s="392" t="n">
        <v>27</v>
      </c>
      <c r="D40" s="392" t="n">
        <v>35</v>
      </c>
      <c r="E40" s="403" t="n">
        <v>10</v>
      </c>
    </row>
    <row r="41" customFormat="false" ht="12.8" hidden="false" customHeight="false" outlineLevel="0" collapsed="false">
      <c r="A41" s="390" t="s">
        <v>180</v>
      </c>
      <c r="B41" s="395" t="n">
        <v>35</v>
      </c>
      <c r="C41" s="396" t="n">
        <v>33</v>
      </c>
      <c r="D41" s="396" t="n">
        <v>38</v>
      </c>
      <c r="E41" s="397" t="n">
        <v>30</v>
      </c>
    </row>
    <row r="42" customFormat="false" ht="12.8" hidden="false" customHeight="false" outlineLevel="0" collapsed="false">
      <c r="A42" s="398" t="s">
        <v>181</v>
      </c>
      <c r="B42" s="399" t="n">
        <v>171</v>
      </c>
      <c r="C42" s="400" t="n">
        <v>523</v>
      </c>
      <c r="D42" s="400" t="n">
        <v>427</v>
      </c>
      <c r="E42" s="401" t="n">
        <v>267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2022-05-31T10:37:54Z</dcterms:created>
  <dc:creator/>
  <dc:description/>
  <dc:language>fr-FR</dc:language>
  <cp:lastModifiedBy/>
  <dcterms:modified xsi:type="dcterms:W3CDTF">2022-06-03T12:26:16Z</dcterms:modified>
  <cp:revision>21</cp:revision>
  <dc:subject/>
  <dc:title/>
</cp:coreProperties>
</file>