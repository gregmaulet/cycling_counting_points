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1445" yWindow="45" windowWidth="12585" windowHeight="10080"/>
  </bookViews>
  <sheets>
    <sheet name="Comptage SV 16 juin" sheetId="1" r:id="rId1"/>
  </sheets>
  <definedNames>
    <definedName name="_xlnm._FilterDatabase" localSheetId="0" hidden="1">'Comptage SV 16 juin'!$B$2:$D$15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9" i="1" l="1"/>
  <c r="F39" i="1"/>
  <c r="E39" i="1"/>
  <c r="D39" i="1"/>
  <c r="C39" i="1"/>
  <c r="G39" i="1" s="1"/>
  <c r="I39" i="1" s="1"/>
  <c r="J38" i="1"/>
  <c r="F38" i="1"/>
  <c r="E38" i="1"/>
  <c r="D38" i="1"/>
  <c r="C38" i="1"/>
  <c r="G38" i="1" s="1"/>
  <c r="I38" i="1" s="1"/>
  <c r="J37" i="1"/>
  <c r="F37" i="1"/>
  <c r="E37" i="1"/>
  <c r="D37" i="1"/>
  <c r="C37" i="1"/>
  <c r="G37" i="1" s="1"/>
  <c r="I37" i="1" s="1"/>
  <c r="J36" i="1"/>
  <c r="F36" i="1"/>
  <c r="E36" i="1"/>
  <c r="D36" i="1"/>
  <c r="C36" i="1"/>
  <c r="G36" i="1" s="1"/>
  <c r="I36" i="1" s="1"/>
  <c r="J35" i="1"/>
  <c r="F35" i="1"/>
  <c r="E35" i="1"/>
  <c r="D35" i="1"/>
  <c r="C35" i="1"/>
  <c r="G35" i="1" s="1"/>
  <c r="I35" i="1" s="1"/>
  <c r="J34" i="1"/>
  <c r="F34" i="1"/>
  <c r="F41" i="1" s="1"/>
  <c r="E34" i="1"/>
  <c r="E41" i="1" s="1"/>
  <c r="D34" i="1"/>
  <c r="D41" i="1" s="1"/>
  <c r="C34" i="1"/>
  <c r="G34" i="1" s="1"/>
  <c r="G41" i="1" l="1"/>
  <c r="I34" i="1"/>
  <c r="H34" i="1"/>
  <c r="H35" i="1"/>
  <c r="H36" i="1"/>
  <c r="H37" i="1"/>
  <c r="H38" i="1"/>
  <c r="H39" i="1"/>
  <c r="C41" i="1"/>
  <c r="G27" i="1" l="1"/>
  <c r="G26" i="1"/>
  <c r="G25" i="1"/>
  <c r="G24" i="1"/>
  <c r="G23" i="1"/>
  <c r="G22" i="1"/>
  <c r="K29" i="1" l="1"/>
  <c r="J29" i="1"/>
  <c r="I29" i="1"/>
  <c r="H29" i="1"/>
  <c r="F29" i="1"/>
  <c r="E29" i="1"/>
  <c r="D29" i="1"/>
  <c r="C29" i="1"/>
  <c r="L27" i="1"/>
  <c r="L26" i="1"/>
  <c r="L25" i="1"/>
  <c r="L24" i="1"/>
  <c r="L23" i="1"/>
  <c r="L22" i="1"/>
  <c r="G29" i="1" l="1"/>
  <c r="L29" i="1"/>
</calcChain>
</file>

<file path=xl/sharedStrings.xml><?xml version="1.0" encoding="utf-8"?>
<sst xmlns="http://schemas.openxmlformats.org/spreadsheetml/2006/main" count="64" uniqueCount="39">
  <si>
    <t>Compteur</t>
  </si>
  <si>
    <t>Emplacement</t>
  </si>
  <si>
    <t>Type</t>
  </si>
  <si>
    <t>Douane</t>
  </si>
  <si>
    <t>16.06.2020
De 7h30 à 8h30</t>
  </si>
  <si>
    <t>VERS SUISSE</t>
  </si>
  <si>
    <t>VERS France</t>
  </si>
  <si>
    <t>VAE Homme</t>
  </si>
  <si>
    <t>Vélo Homme</t>
  </si>
  <si>
    <t>VAE Femme</t>
  </si>
  <si>
    <t>Vélo Femmes</t>
  </si>
  <si>
    <t>TOTAL VERS SUISSE</t>
  </si>
  <si>
    <t>TOTAL VERS France</t>
  </si>
  <si>
    <t>TOTAL</t>
  </si>
  <si>
    <t>Sylviane</t>
  </si>
  <si>
    <t>Mireille</t>
  </si>
  <si>
    <t>Perly</t>
  </si>
  <si>
    <t>Jean Louis</t>
  </si>
  <si>
    <t>Dorine</t>
  </si>
  <si>
    <t>chemin</t>
  </si>
  <si>
    <t>crottes</t>
  </si>
  <si>
    <t>paguette</t>
  </si>
  <si>
    <t>Véronique</t>
  </si>
  <si>
    <t>Monique</t>
  </si>
  <si>
    <t>Max</t>
  </si>
  <si>
    <t>Jean claude</t>
  </si>
  <si>
    <t>Pierre</t>
  </si>
  <si>
    <t>Soral 1</t>
  </si>
  <si>
    <t>Soral 2</t>
  </si>
  <si>
    <t>Gérard</t>
  </si>
  <si>
    <t xml:space="preserve">certoux </t>
  </si>
  <si>
    <t>Paguette</t>
  </si>
  <si>
    <t>certoux</t>
  </si>
  <si>
    <t>soral 1</t>
  </si>
  <si>
    <t>soral 2</t>
  </si>
  <si>
    <t>TOTAL DES 2 DIRECTIONS</t>
  </si>
  <si>
    <t>% VAE</t>
  </si>
  <si>
    <t>% femmes</t>
  </si>
  <si>
    <t>VAE chez les femmes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</si>
</sst>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9" fontId="0" fillId="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1"/>
  <sheetViews>
    <sheetView showGridLines="0" tabSelected="1" topLeftCell="A19" zoomScale="85" zoomScaleNormal="85" workbookViewId="0">
      <selection activeCell="G35" sqref="G35:G39"/>
    </sheetView>
  </sheetViews>
  <sheetFormatPr baseColWidth="10" defaultRowHeight="15" x14ac:dyDescent="0.25"/>
  <cols>
    <col min="2" max="2" width="20.5703125" bestFit="1" customWidth="1"/>
    <col min="3" max="3" width="13.5703125" bestFit="1" customWidth="1"/>
    <col min="5" max="5" width="10.7109375" bestFit="1" customWidth="1"/>
    <col min="6" max="6" width="11.85546875" bestFit="1" customWidth="1"/>
    <col min="7" max="7" width="17.7109375" style="2" bestFit="1" customWidth="1"/>
    <col min="8" max="8" width="11.140625" bestFit="1" customWidth="1"/>
    <col min="10" max="10" width="10.7109375" bestFit="1" customWidth="1"/>
    <col min="11" max="11" width="11.85546875" bestFit="1" customWidth="1"/>
    <col min="12" max="12" width="17.28515625" style="2" bestFit="1" customWidth="1"/>
  </cols>
  <sheetData>
    <row r="2" spans="2:6" ht="14.45" x14ac:dyDescent="0.3">
      <c r="B2" s="1" t="s">
        <v>0</v>
      </c>
      <c r="C2" s="1" t="s">
        <v>1</v>
      </c>
      <c r="D2" s="1" t="s">
        <v>2</v>
      </c>
    </row>
    <row r="3" spans="2:6" x14ac:dyDescent="0.25">
      <c r="B3" s="3" t="s">
        <v>14</v>
      </c>
      <c r="C3" s="22" t="s">
        <v>16</v>
      </c>
      <c r="D3" s="22" t="s">
        <v>3</v>
      </c>
    </row>
    <row r="4" spans="2:6" x14ac:dyDescent="0.25">
      <c r="B4" s="3" t="s">
        <v>15</v>
      </c>
      <c r="C4" s="22"/>
      <c r="D4" s="22"/>
      <c r="F4" s="5"/>
    </row>
    <row r="5" spans="2:6" x14ac:dyDescent="0.25">
      <c r="B5" s="3"/>
      <c r="C5" s="22"/>
      <c r="D5" s="22"/>
      <c r="F5" s="5"/>
    </row>
    <row r="6" spans="2:6" x14ac:dyDescent="0.25">
      <c r="B6" s="3" t="s">
        <v>17</v>
      </c>
      <c r="C6" s="22" t="s">
        <v>20</v>
      </c>
      <c r="D6" s="22" t="s">
        <v>19</v>
      </c>
    </row>
    <row r="7" spans="2:6" x14ac:dyDescent="0.25">
      <c r="B7" s="3" t="s">
        <v>18</v>
      </c>
      <c r="C7" s="22"/>
      <c r="D7" s="22"/>
    </row>
    <row r="8" spans="2:6" x14ac:dyDescent="0.25">
      <c r="B8" s="4" t="s">
        <v>22</v>
      </c>
      <c r="C8" s="4" t="s">
        <v>21</v>
      </c>
      <c r="D8" s="4" t="s">
        <v>19</v>
      </c>
    </row>
    <row r="9" spans="2:6" ht="14.45" x14ac:dyDescent="0.3">
      <c r="B9" s="6" t="s">
        <v>23</v>
      </c>
      <c r="C9" s="3" t="s">
        <v>21</v>
      </c>
      <c r="D9" s="3" t="s">
        <v>19</v>
      </c>
    </row>
    <row r="10" spans="2:6" x14ac:dyDescent="0.25">
      <c r="B10" s="3" t="s">
        <v>24</v>
      </c>
      <c r="C10" s="22" t="s">
        <v>30</v>
      </c>
      <c r="D10" s="22" t="s">
        <v>3</v>
      </c>
    </row>
    <row r="11" spans="2:6" x14ac:dyDescent="0.25">
      <c r="B11" s="3" t="s">
        <v>25</v>
      </c>
      <c r="C11" s="22"/>
      <c r="D11" s="22"/>
    </row>
    <row r="12" spans="2:6" x14ac:dyDescent="0.25">
      <c r="B12" s="3" t="s">
        <v>26</v>
      </c>
      <c r="C12" s="22" t="s">
        <v>27</v>
      </c>
      <c r="D12" s="22" t="s">
        <v>3</v>
      </c>
    </row>
    <row r="13" spans="2:6" x14ac:dyDescent="0.25">
      <c r="B13" s="3"/>
      <c r="C13" s="22"/>
      <c r="D13" s="22"/>
    </row>
    <row r="14" spans="2:6" x14ac:dyDescent="0.25">
      <c r="B14" s="3" t="s">
        <v>29</v>
      </c>
      <c r="C14" s="22" t="s">
        <v>28</v>
      </c>
      <c r="D14" s="22" t="s">
        <v>3</v>
      </c>
    </row>
    <row r="15" spans="2:6" x14ac:dyDescent="0.25">
      <c r="B15" s="6"/>
      <c r="C15" s="22"/>
      <c r="D15" s="22"/>
    </row>
    <row r="16" spans="2:6" ht="14.45" x14ac:dyDescent="0.3">
      <c r="D16" s="7"/>
    </row>
    <row r="17" spans="1:12" ht="14.45" x14ac:dyDescent="0.3">
      <c r="B17" s="8"/>
      <c r="C17" s="2"/>
      <c r="D17" s="8"/>
    </row>
    <row r="20" spans="1:12" x14ac:dyDescent="0.25">
      <c r="A20" s="9"/>
      <c r="B20" s="19" t="s">
        <v>4</v>
      </c>
      <c r="C20" s="21" t="s">
        <v>5</v>
      </c>
      <c r="D20" s="21"/>
      <c r="E20" s="21"/>
      <c r="F20" s="21"/>
      <c r="G20" s="21"/>
      <c r="H20" s="21" t="s">
        <v>6</v>
      </c>
      <c r="I20" s="21"/>
      <c r="J20" s="21"/>
      <c r="K20" s="21"/>
      <c r="L20" s="21"/>
    </row>
    <row r="21" spans="1:12" x14ac:dyDescent="0.25">
      <c r="A21" s="9"/>
      <c r="B21" s="20"/>
      <c r="C21" s="10" t="s">
        <v>7</v>
      </c>
      <c r="D21" s="10" t="s">
        <v>8</v>
      </c>
      <c r="E21" s="10" t="s">
        <v>9</v>
      </c>
      <c r="F21" s="10" t="s">
        <v>10</v>
      </c>
      <c r="G21" s="11" t="s">
        <v>11</v>
      </c>
      <c r="H21" s="10" t="s">
        <v>7</v>
      </c>
      <c r="I21" s="10" t="s">
        <v>8</v>
      </c>
      <c r="J21" s="10" t="s">
        <v>9</v>
      </c>
      <c r="K21" s="10" t="s">
        <v>10</v>
      </c>
      <c r="L21" s="11" t="s">
        <v>12</v>
      </c>
    </row>
    <row r="22" spans="1:12" x14ac:dyDescent="0.25">
      <c r="A22" s="23"/>
      <c r="B22" s="10" t="s">
        <v>16</v>
      </c>
      <c r="C22" s="10">
        <v>14</v>
      </c>
      <c r="D22" s="10">
        <v>19</v>
      </c>
      <c r="E22" s="10">
        <v>16</v>
      </c>
      <c r="F22" s="10">
        <v>9</v>
      </c>
      <c r="G22" s="11">
        <f t="shared" ref="G22:G27" si="0">SUM(C22:F22)</f>
        <v>58</v>
      </c>
      <c r="H22" s="10">
        <v>0</v>
      </c>
      <c r="I22" s="10">
        <v>0</v>
      </c>
      <c r="J22" s="10">
        <v>0</v>
      </c>
      <c r="K22" s="10">
        <v>1</v>
      </c>
      <c r="L22" s="11">
        <f>SUM(H22:K22)</f>
        <v>1</v>
      </c>
    </row>
    <row r="23" spans="1:12" x14ac:dyDescent="0.25">
      <c r="A23" s="24"/>
      <c r="B23" s="10" t="s">
        <v>20</v>
      </c>
      <c r="C23" s="10">
        <v>12</v>
      </c>
      <c r="D23" s="10">
        <v>12</v>
      </c>
      <c r="E23" s="10">
        <v>12</v>
      </c>
      <c r="F23" s="10">
        <v>7</v>
      </c>
      <c r="G23" s="11">
        <f t="shared" si="0"/>
        <v>43</v>
      </c>
      <c r="H23" s="10">
        <v>1</v>
      </c>
      <c r="I23" s="10">
        <v>0</v>
      </c>
      <c r="J23" s="10">
        <v>1</v>
      </c>
      <c r="K23" s="10">
        <v>0</v>
      </c>
      <c r="L23" s="11">
        <f t="shared" ref="L23:L26" si="1">SUM(H23:K23)</f>
        <v>2</v>
      </c>
    </row>
    <row r="24" spans="1:12" x14ac:dyDescent="0.25">
      <c r="A24" s="24"/>
      <c r="B24" s="10" t="s">
        <v>31</v>
      </c>
      <c r="C24" s="10">
        <v>5</v>
      </c>
      <c r="D24" s="10">
        <v>6</v>
      </c>
      <c r="E24" s="10">
        <v>2</v>
      </c>
      <c r="F24" s="10">
        <v>3</v>
      </c>
      <c r="G24" s="11">
        <f t="shared" si="0"/>
        <v>16</v>
      </c>
      <c r="H24" s="10">
        <v>0</v>
      </c>
      <c r="I24" s="10">
        <v>0</v>
      </c>
      <c r="J24" s="10">
        <v>0</v>
      </c>
      <c r="K24" s="10">
        <v>0</v>
      </c>
      <c r="L24" s="11">
        <f t="shared" si="1"/>
        <v>0</v>
      </c>
    </row>
    <row r="25" spans="1:12" x14ac:dyDescent="0.25">
      <c r="A25" s="24"/>
      <c r="B25" s="10" t="s">
        <v>32</v>
      </c>
      <c r="C25" s="10">
        <v>6</v>
      </c>
      <c r="D25" s="10">
        <v>15</v>
      </c>
      <c r="E25" s="10">
        <v>3</v>
      </c>
      <c r="F25" s="10">
        <v>7</v>
      </c>
      <c r="G25" s="11">
        <f t="shared" si="0"/>
        <v>31</v>
      </c>
      <c r="H25" s="10">
        <v>0</v>
      </c>
      <c r="I25" s="10">
        <v>0</v>
      </c>
      <c r="J25" s="10">
        <v>0</v>
      </c>
      <c r="K25" s="10">
        <v>0</v>
      </c>
      <c r="L25" s="11">
        <f t="shared" si="1"/>
        <v>0</v>
      </c>
    </row>
    <row r="26" spans="1:12" x14ac:dyDescent="0.25">
      <c r="A26" s="24"/>
      <c r="B26" s="10" t="s">
        <v>33</v>
      </c>
      <c r="C26" s="10">
        <v>0</v>
      </c>
      <c r="D26" s="10">
        <v>1</v>
      </c>
      <c r="E26" s="10">
        <v>0</v>
      </c>
      <c r="F26" s="10">
        <v>0</v>
      </c>
      <c r="G26" s="11">
        <f t="shared" si="0"/>
        <v>1</v>
      </c>
      <c r="H26" s="10">
        <v>0</v>
      </c>
      <c r="I26" s="10">
        <v>2</v>
      </c>
      <c r="J26" s="10">
        <v>0</v>
      </c>
      <c r="K26" s="10">
        <v>0</v>
      </c>
      <c r="L26" s="11">
        <f t="shared" si="1"/>
        <v>2</v>
      </c>
    </row>
    <row r="27" spans="1:12" x14ac:dyDescent="0.25">
      <c r="A27" s="24"/>
      <c r="B27" s="10" t="s">
        <v>34</v>
      </c>
      <c r="C27" s="10">
        <v>2</v>
      </c>
      <c r="D27" s="10">
        <v>7</v>
      </c>
      <c r="E27" s="10">
        <v>1</v>
      </c>
      <c r="F27" s="10">
        <v>1</v>
      </c>
      <c r="G27" s="11">
        <f t="shared" si="0"/>
        <v>11</v>
      </c>
      <c r="H27" s="10">
        <v>0</v>
      </c>
      <c r="I27" s="10">
        <v>2</v>
      </c>
      <c r="J27" s="10">
        <v>0</v>
      </c>
      <c r="K27" s="10">
        <v>0</v>
      </c>
      <c r="L27" s="11">
        <f>SUM(H27:K27)</f>
        <v>2</v>
      </c>
    </row>
    <row r="28" spans="1:12" ht="14.45" x14ac:dyDescent="0.3">
      <c r="A28" s="9"/>
    </row>
    <row r="29" spans="1:12" ht="14.45" x14ac:dyDescent="0.3">
      <c r="A29" s="9"/>
      <c r="B29" s="11" t="s">
        <v>13</v>
      </c>
      <c r="C29" s="11">
        <f>SUM(C22:C27)</f>
        <v>39</v>
      </c>
      <c r="D29" s="11">
        <f t="shared" ref="D29:L29" si="2">SUM(D22:D27)</f>
        <v>60</v>
      </c>
      <c r="E29" s="11">
        <f t="shared" si="2"/>
        <v>34</v>
      </c>
      <c r="F29" s="11">
        <f t="shared" si="2"/>
        <v>27</v>
      </c>
      <c r="G29" s="12">
        <f>SUM(G22:G27)</f>
        <v>160</v>
      </c>
      <c r="H29" s="11">
        <f t="shared" si="2"/>
        <v>1</v>
      </c>
      <c r="I29" s="11">
        <f t="shared" si="2"/>
        <v>4</v>
      </c>
      <c r="J29" s="11">
        <f t="shared" si="2"/>
        <v>1</v>
      </c>
      <c r="K29" s="11">
        <f t="shared" si="2"/>
        <v>1</v>
      </c>
      <c r="L29" s="12">
        <f t="shared" si="2"/>
        <v>7</v>
      </c>
    </row>
    <row r="32" spans="1:12" x14ac:dyDescent="0.25">
      <c r="B32" s="19" t="s">
        <v>4</v>
      </c>
      <c r="C32" s="21" t="s">
        <v>35</v>
      </c>
      <c r="D32" s="21"/>
      <c r="E32" s="21"/>
      <c r="F32" s="21"/>
      <c r="G32" s="21"/>
    </row>
    <row r="33" spans="2:10" x14ac:dyDescent="0.25">
      <c r="B33" s="20"/>
      <c r="C33" s="13" t="s">
        <v>7</v>
      </c>
      <c r="D33" s="13" t="s">
        <v>8</v>
      </c>
      <c r="E33" s="13" t="s">
        <v>9</v>
      </c>
      <c r="F33" s="13" t="s">
        <v>10</v>
      </c>
      <c r="G33" s="11" t="s">
        <v>13</v>
      </c>
      <c r="H33" s="15" t="s">
        <v>36</v>
      </c>
      <c r="I33" s="15" t="s">
        <v>37</v>
      </c>
      <c r="J33" s="16" t="s">
        <v>38</v>
      </c>
    </row>
    <row r="34" spans="2:10" x14ac:dyDescent="0.25">
      <c r="B34" s="14" t="s">
        <v>16</v>
      </c>
      <c r="C34" s="13">
        <f>C22+H22</f>
        <v>14</v>
      </c>
      <c r="D34" s="13">
        <f t="shared" ref="D34:F39" si="3">D22+I22</f>
        <v>19</v>
      </c>
      <c r="E34" s="13">
        <f t="shared" si="3"/>
        <v>16</v>
      </c>
      <c r="F34" s="13">
        <f t="shared" si="3"/>
        <v>10</v>
      </c>
      <c r="G34" s="11">
        <f>SUM(C34:F34)</f>
        <v>59</v>
      </c>
      <c r="H34" s="17">
        <f>(C34+E34)/G34</f>
        <v>0.50847457627118642</v>
      </c>
      <c r="I34" s="18">
        <f>(E34+F34)/G34</f>
        <v>0.44067796610169491</v>
      </c>
      <c r="J34" s="18">
        <f>E34/(E34+F34)</f>
        <v>0.61538461538461542</v>
      </c>
    </row>
    <row r="35" spans="2:10" x14ac:dyDescent="0.25">
      <c r="B35" s="14" t="s">
        <v>20</v>
      </c>
      <c r="C35" s="13">
        <f t="shared" ref="C35:C39" si="4">C23+H23</f>
        <v>13</v>
      </c>
      <c r="D35" s="13">
        <f t="shared" si="3"/>
        <v>12</v>
      </c>
      <c r="E35" s="13">
        <f t="shared" si="3"/>
        <v>13</v>
      </c>
      <c r="F35" s="13">
        <f t="shared" si="3"/>
        <v>7</v>
      </c>
      <c r="G35" s="11">
        <f t="shared" ref="G35:G38" si="5">SUM(C35:F35)</f>
        <v>45</v>
      </c>
      <c r="H35" s="17">
        <f t="shared" ref="H35:H39" si="6">(C35+E35)/G35</f>
        <v>0.57777777777777772</v>
      </c>
      <c r="I35" s="18">
        <f t="shared" ref="I35:I39" si="7">(E35+F35)/G35</f>
        <v>0.44444444444444442</v>
      </c>
      <c r="J35" s="18">
        <f t="shared" ref="J35:J39" si="8">E35/(E35+F35)</f>
        <v>0.65</v>
      </c>
    </row>
    <row r="36" spans="2:10" x14ac:dyDescent="0.25">
      <c r="B36" s="14" t="s">
        <v>31</v>
      </c>
      <c r="C36" s="13">
        <f t="shared" si="4"/>
        <v>5</v>
      </c>
      <c r="D36" s="13">
        <f t="shared" si="3"/>
        <v>6</v>
      </c>
      <c r="E36" s="13">
        <f t="shared" si="3"/>
        <v>2</v>
      </c>
      <c r="F36" s="13">
        <f t="shared" si="3"/>
        <v>3</v>
      </c>
      <c r="G36" s="11">
        <f t="shared" si="5"/>
        <v>16</v>
      </c>
      <c r="H36" s="17">
        <f t="shared" si="6"/>
        <v>0.4375</v>
      </c>
      <c r="I36" s="18">
        <f t="shared" si="7"/>
        <v>0.3125</v>
      </c>
      <c r="J36" s="18">
        <f t="shared" si="8"/>
        <v>0.4</v>
      </c>
    </row>
    <row r="37" spans="2:10" x14ac:dyDescent="0.25">
      <c r="B37" s="14" t="s">
        <v>32</v>
      </c>
      <c r="C37" s="13">
        <f t="shared" si="4"/>
        <v>6</v>
      </c>
      <c r="D37" s="13">
        <f t="shared" si="3"/>
        <v>15</v>
      </c>
      <c r="E37" s="13">
        <f t="shared" si="3"/>
        <v>3</v>
      </c>
      <c r="F37" s="13">
        <f t="shared" si="3"/>
        <v>7</v>
      </c>
      <c r="G37" s="11">
        <f t="shared" si="5"/>
        <v>31</v>
      </c>
      <c r="H37" s="17">
        <f t="shared" si="6"/>
        <v>0.29032258064516131</v>
      </c>
      <c r="I37" s="18">
        <f t="shared" si="7"/>
        <v>0.32258064516129031</v>
      </c>
      <c r="J37" s="18">
        <f t="shared" si="8"/>
        <v>0.3</v>
      </c>
    </row>
    <row r="38" spans="2:10" x14ac:dyDescent="0.25">
      <c r="B38" s="14" t="s">
        <v>33</v>
      </c>
      <c r="C38" s="13">
        <f t="shared" si="4"/>
        <v>0</v>
      </c>
      <c r="D38" s="13">
        <f t="shared" si="3"/>
        <v>3</v>
      </c>
      <c r="E38" s="13">
        <f t="shared" si="3"/>
        <v>0</v>
      </c>
      <c r="F38" s="13">
        <f t="shared" si="3"/>
        <v>0</v>
      </c>
      <c r="G38" s="11">
        <f t="shared" si="5"/>
        <v>3</v>
      </c>
      <c r="H38" s="17">
        <f t="shared" si="6"/>
        <v>0</v>
      </c>
      <c r="I38" s="18">
        <f t="shared" si="7"/>
        <v>0</v>
      </c>
      <c r="J38" s="18" t="e">
        <f t="shared" si="8"/>
        <v>#DIV/0!</v>
      </c>
    </row>
    <row r="39" spans="2:10" x14ac:dyDescent="0.25">
      <c r="B39" s="14" t="s">
        <v>34</v>
      </c>
      <c r="C39" s="13">
        <f t="shared" si="4"/>
        <v>2</v>
      </c>
      <c r="D39" s="13">
        <f t="shared" si="3"/>
        <v>9</v>
      </c>
      <c r="E39" s="13">
        <f t="shared" si="3"/>
        <v>1</v>
      </c>
      <c r="F39" s="13">
        <f t="shared" si="3"/>
        <v>1</v>
      </c>
      <c r="G39" s="11">
        <f>SUM(C39:F39)</f>
        <v>13</v>
      </c>
      <c r="H39" s="17">
        <f t="shared" si="6"/>
        <v>0.23076923076923078</v>
      </c>
      <c r="I39" s="18">
        <f t="shared" si="7"/>
        <v>0.15384615384615385</v>
      </c>
      <c r="J39" s="18">
        <f t="shared" si="8"/>
        <v>0.5</v>
      </c>
    </row>
    <row r="41" spans="2:10" x14ac:dyDescent="0.25">
      <c r="B41" s="11" t="s">
        <v>13</v>
      </c>
      <c r="C41" s="11">
        <f>SUM(C34:C39)</f>
        <v>40</v>
      </c>
      <c r="D41" s="11">
        <f t="shared" ref="D41:F41" si="9">SUM(D34:D39)</f>
        <v>64</v>
      </c>
      <c r="E41" s="11">
        <f t="shared" si="9"/>
        <v>35</v>
      </c>
      <c r="F41" s="11">
        <f t="shared" si="9"/>
        <v>28</v>
      </c>
      <c r="G41" s="12">
        <f>SUM(G34:G39)</f>
        <v>167</v>
      </c>
    </row>
  </sheetData>
  <mergeCells count="16">
    <mergeCell ref="H20:L20"/>
    <mergeCell ref="A22:A27"/>
    <mergeCell ref="C12:C13"/>
    <mergeCell ref="D12:D13"/>
    <mergeCell ref="C14:C15"/>
    <mergeCell ref="D14:D15"/>
    <mergeCell ref="B20:B21"/>
    <mergeCell ref="C20:G20"/>
    <mergeCell ref="B32:B33"/>
    <mergeCell ref="C32:G32"/>
    <mergeCell ref="C3:C5"/>
    <mergeCell ref="D3:D5"/>
    <mergeCell ref="C6:C7"/>
    <mergeCell ref="D6:D7"/>
    <mergeCell ref="C10:C11"/>
    <mergeCell ref="D10:D1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Comptage SV 16 juin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Josso</dc:creator>
  <cp:lastModifiedBy>Yannick ROGUET</cp:lastModifiedBy>
  <dcterms:created xsi:type="dcterms:W3CDTF">2020-06-19T17:43:55Z</dcterms:created>
  <dcterms:modified xsi:type="dcterms:W3CDTF">2020-06-24T09:15:41Z</dcterms:modified>
</cp:coreProperties>
</file>