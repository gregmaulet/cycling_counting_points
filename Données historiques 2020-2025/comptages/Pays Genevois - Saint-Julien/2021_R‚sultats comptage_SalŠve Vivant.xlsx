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Perso\Ecologie\Mobilité\CICLABLE\Comptage\Comptage 2021\"/>
    </mc:Choice>
  </mc:AlternateContent>
  <xr:revisionPtr revIDLastSave="0" documentId="13_ncr:1_{66E4FD96-0AEF-4FF7-BDAA-836EE2574BDA}" xr6:coauthVersionLast="47" xr6:coauthVersionMax="47" xr10:uidLastSave="{00000000-0000-0000-0000-000000000000}"/>
  <bookViews>
    <workbookView xWindow="-11475" yWindow="2955" windowWidth="21600" windowHeight="12735" xr2:uid="{D15249CC-2432-4E0E-AA9E-E2809BF00A39}"/>
  </bookViews>
  <sheets>
    <sheet name="Compil données 2021" sheetId="1" r:id="rId1"/>
    <sheet name="7h30-8h30" sheetId="2" r:id="rId2"/>
    <sheet name="7h-8h30" sheetId="3" r:id="rId3"/>
    <sheet name="Analyse détaillée" sheetId="4" r:id="rId4"/>
  </sheets>
  <definedNames>
    <definedName name="_xlnm._FilterDatabase" localSheetId="0" hidden="1">'Compil données 2021'!#REF!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1" l="1"/>
  <c r="P30" i="1"/>
  <c r="O30" i="1"/>
  <c r="N30" i="1"/>
  <c r="R30" i="1" s="1"/>
  <c r="Q29" i="1"/>
  <c r="P29" i="1"/>
  <c r="O29" i="1"/>
  <c r="N29" i="1"/>
  <c r="R29" i="1" s="1"/>
  <c r="Q28" i="1"/>
  <c r="P28" i="1"/>
  <c r="O28" i="1"/>
  <c r="N28" i="1"/>
  <c r="R28" i="1" s="1"/>
  <c r="Q27" i="1"/>
  <c r="P27" i="1"/>
  <c r="O27" i="1"/>
  <c r="O32" i="1" s="1"/>
  <c r="N27" i="1"/>
  <c r="R27" i="1" s="1"/>
  <c r="Q26" i="1"/>
  <c r="Q32" i="1" s="1"/>
  <c r="P26" i="1"/>
  <c r="P32" i="1" s="1"/>
  <c r="O26" i="1"/>
  <c r="N26" i="1"/>
  <c r="N32" i="1" s="1"/>
  <c r="Q20" i="1"/>
  <c r="P20" i="1"/>
  <c r="O20" i="1"/>
  <c r="N20" i="1"/>
  <c r="R20" i="1" s="1"/>
  <c r="Q19" i="1"/>
  <c r="P19" i="1"/>
  <c r="O19" i="1"/>
  <c r="N19" i="1"/>
  <c r="R19" i="1" s="1"/>
  <c r="Q18" i="1"/>
  <c r="P18" i="1"/>
  <c r="O18" i="1"/>
  <c r="N18" i="1"/>
  <c r="R18" i="1" s="1"/>
  <c r="Q17" i="1"/>
  <c r="P17" i="1"/>
  <c r="O17" i="1"/>
  <c r="O22" i="1" s="1"/>
  <c r="N17" i="1"/>
  <c r="R17" i="1" s="1"/>
  <c r="Q16" i="1"/>
  <c r="Q22" i="1" s="1"/>
  <c r="P16" i="1"/>
  <c r="P22" i="1" s="1"/>
  <c r="O16" i="1"/>
  <c r="N16" i="1"/>
  <c r="N22" i="1" s="1"/>
  <c r="O6" i="1"/>
  <c r="P6" i="1"/>
  <c r="Q6" i="1"/>
  <c r="O7" i="1"/>
  <c r="O12" i="1" s="1"/>
  <c r="P7" i="1"/>
  <c r="Q7" i="1"/>
  <c r="O8" i="1"/>
  <c r="P8" i="1"/>
  <c r="R8" i="1" s="1"/>
  <c r="Q8" i="1"/>
  <c r="O9" i="1"/>
  <c r="P9" i="1"/>
  <c r="Q9" i="1"/>
  <c r="Q12" i="1" s="1"/>
  <c r="O10" i="1"/>
  <c r="P10" i="1"/>
  <c r="Q10" i="1"/>
  <c r="N7" i="1"/>
  <c r="N8" i="1"/>
  <c r="N9" i="1"/>
  <c r="N10" i="1"/>
  <c r="R10" i="1" s="1"/>
  <c r="N6" i="1"/>
  <c r="R6" i="1"/>
  <c r="P12" i="1"/>
  <c r="N12" i="1"/>
  <c r="D20" i="4"/>
  <c r="C29" i="4"/>
  <c r="D29" i="4"/>
  <c r="C20" i="4"/>
  <c r="R26" i="1" l="1"/>
  <c r="R32" i="1" s="1"/>
  <c r="R16" i="1"/>
  <c r="R22" i="1" s="1"/>
  <c r="R7" i="1"/>
  <c r="R9" i="1"/>
  <c r="R12" i="1"/>
  <c r="E10" i="4"/>
  <c r="D10" i="4"/>
  <c r="F10" i="4"/>
  <c r="C10" i="4"/>
  <c r="H5" i="4"/>
  <c r="D14" i="4" s="1"/>
  <c r="H6" i="4"/>
  <c r="C15" i="4" s="1"/>
  <c r="D26" i="1"/>
  <c r="E26" i="1"/>
  <c r="F26" i="1"/>
  <c r="G26" i="1"/>
  <c r="H26" i="1"/>
  <c r="I26" i="1"/>
  <c r="J26" i="1"/>
  <c r="K26" i="1"/>
  <c r="L26" i="1"/>
  <c r="D27" i="1"/>
  <c r="E27" i="1"/>
  <c r="F27" i="1"/>
  <c r="G27" i="1"/>
  <c r="H27" i="1"/>
  <c r="I27" i="1"/>
  <c r="J27" i="1"/>
  <c r="J32" i="1" s="1"/>
  <c r="K27" i="1"/>
  <c r="L27" i="1"/>
  <c r="D28" i="1"/>
  <c r="E28" i="1"/>
  <c r="E32" i="1" s="1"/>
  <c r="F28" i="1"/>
  <c r="G28" i="1"/>
  <c r="H28" i="1"/>
  <c r="I28" i="1"/>
  <c r="I32" i="1" s="1"/>
  <c r="J28" i="1"/>
  <c r="K28" i="1"/>
  <c r="L28" i="1"/>
  <c r="D29" i="1"/>
  <c r="D32" i="1" s="1"/>
  <c r="E29" i="1"/>
  <c r="F29" i="1"/>
  <c r="G29" i="1"/>
  <c r="H29" i="1"/>
  <c r="H32" i="1" s="1"/>
  <c r="I29" i="1"/>
  <c r="J29" i="1"/>
  <c r="K29" i="1"/>
  <c r="L29" i="1"/>
  <c r="L32" i="1" s="1"/>
  <c r="D30" i="1"/>
  <c r="E30" i="1"/>
  <c r="F30" i="1"/>
  <c r="G30" i="1"/>
  <c r="H30" i="1"/>
  <c r="I30" i="1"/>
  <c r="J30" i="1"/>
  <c r="K30" i="1"/>
  <c r="L30" i="1"/>
  <c r="C27" i="1"/>
  <c r="C28" i="1"/>
  <c r="C29" i="1"/>
  <c r="C30" i="1"/>
  <c r="C32" i="1" s="1"/>
  <c r="C26" i="1"/>
  <c r="K32" i="1"/>
  <c r="F32" i="1"/>
  <c r="E10" i="2"/>
  <c r="H9" i="4"/>
  <c r="F18" i="4" s="1"/>
  <c r="H8" i="4"/>
  <c r="E17" i="4" s="1"/>
  <c r="H7" i="4"/>
  <c r="C16" i="4" s="1"/>
  <c r="E9" i="3"/>
  <c r="E9" i="2"/>
  <c r="E22" i="1"/>
  <c r="D12" i="1"/>
  <c r="E12" i="1"/>
  <c r="F12" i="1"/>
  <c r="H12" i="1"/>
  <c r="I12" i="1"/>
  <c r="J12" i="1"/>
  <c r="K12" i="1"/>
  <c r="C12" i="1"/>
  <c r="K22" i="1"/>
  <c r="J22" i="1"/>
  <c r="I22" i="1"/>
  <c r="H22" i="1"/>
  <c r="C22" i="1"/>
  <c r="D22" i="1"/>
  <c r="F22" i="1"/>
  <c r="L16" i="1"/>
  <c r="G16" i="1"/>
  <c r="L20" i="1"/>
  <c r="G20" i="1"/>
  <c r="L19" i="1"/>
  <c r="G19" i="1"/>
  <c r="L17" i="1"/>
  <c r="G17" i="1"/>
  <c r="L18" i="1"/>
  <c r="G18" i="1"/>
  <c r="D9" i="2"/>
  <c r="C9" i="2"/>
  <c r="D27" i="4" l="1"/>
  <c r="D33" i="4"/>
  <c r="H10" i="4"/>
  <c r="D18" i="4"/>
  <c r="C36" i="4" s="1"/>
  <c r="D34" i="4"/>
  <c r="E16" i="4"/>
  <c r="D15" i="4"/>
  <c r="E15" i="4"/>
  <c r="E14" i="4"/>
  <c r="F14" i="4"/>
  <c r="C14" i="4"/>
  <c r="F15" i="4"/>
  <c r="D24" i="4" s="1"/>
  <c r="D16" i="4"/>
  <c r="C17" i="4"/>
  <c r="G32" i="1"/>
  <c r="D10" i="2"/>
  <c r="E18" i="4"/>
  <c r="F16" i="4"/>
  <c r="D25" i="4" s="1"/>
  <c r="D17" i="4"/>
  <c r="C35" i="4" s="1"/>
  <c r="C18" i="4"/>
  <c r="F17" i="4"/>
  <c r="D26" i="4" s="1"/>
  <c r="G22" i="1"/>
  <c r="L22" i="1"/>
  <c r="D32" i="4" l="1"/>
  <c r="C23" i="4"/>
  <c r="D38" i="4"/>
  <c r="C33" i="4"/>
  <c r="C27" i="4"/>
  <c r="H27" i="4" s="1"/>
  <c r="D36" i="4"/>
  <c r="H36" i="4" s="1"/>
  <c r="D35" i="4"/>
  <c r="C26" i="4"/>
  <c r="D23" i="4"/>
  <c r="C32" i="4"/>
  <c r="C34" i="4"/>
  <c r="H34" i="4" s="1"/>
  <c r="C24" i="4"/>
  <c r="C25" i="4"/>
  <c r="H14" i="4"/>
  <c r="E20" i="4"/>
  <c r="F20" i="4"/>
  <c r="H25" i="4"/>
  <c r="H16" i="4"/>
  <c r="H17" i="4"/>
  <c r="H15" i="4"/>
  <c r="H18" i="4"/>
  <c r="H35" i="4"/>
  <c r="H26" i="4"/>
  <c r="C38" i="4" l="1"/>
  <c r="H33" i="4"/>
  <c r="H20" i="4"/>
  <c r="H29" i="4" l="1"/>
  <c r="H38" i="4"/>
  <c r="L6" i="1"/>
  <c r="G6" i="1"/>
  <c r="L10" i="1"/>
  <c r="G10" i="1"/>
  <c r="L9" i="1"/>
  <c r="G9" i="1"/>
  <c r="L7" i="1"/>
  <c r="G7" i="1"/>
  <c r="L8" i="1"/>
  <c r="G8" i="1"/>
  <c r="G12" i="1" l="1"/>
  <c r="L12" i="1"/>
</calcChain>
</file>

<file path=xl/sharedStrings.xml><?xml version="1.0" encoding="utf-8"?>
<sst xmlns="http://schemas.openxmlformats.org/spreadsheetml/2006/main" count="151" uniqueCount="37">
  <si>
    <t>Croix de Rozon</t>
  </si>
  <si>
    <t>Landecy</t>
  </si>
  <si>
    <t>Pierre-Grand</t>
  </si>
  <si>
    <t>Troinex/Bossey</t>
  </si>
  <si>
    <t>VERS SUISSE</t>
  </si>
  <si>
    <t>VERS France</t>
  </si>
  <si>
    <t>VAE Homme</t>
  </si>
  <si>
    <t>Vélo Homme</t>
  </si>
  <si>
    <t>VAE Femme</t>
  </si>
  <si>
    <t>Vélo Femmes</t>
  </si>
  <si>
    <t>TOTAL VERS SUISSE</t>
  </si>
  <si>
    <t>TOTAL VERS France</t>
  </si>
  <si>
    <t>TOTAL</t>
  </si>
  <si>
    <t>juin 2020</t>
  </si>
  <si>
    <t>Croix-de-Rozon</t>
  </si>
  <si>
    <t>Bossey/Troinex</t>
  </si>
  <si>
    <t>Nombre de vélo total</t>
  </si>
  <si>
    <t>Hommes</t>
  </si>
  <si>
    <t>Femmes</t>
  </si>
  <si>
    <t>MOYENNE</t>
  </si>
  <si>
    <t>Vélo</t>
  </si>
  <si>
    <t>VAE</t>
  </si>
  <si>
    <t>7h-7h30</t>
  </si>
  <si>
    <t>7h30-8h30</t>
  </si>
  <si>
    <t>juin 2021</t>
  </si>
  <si>
    <t>-</t>
  </si>
  <si>
    <t>Charot</t>
  </si>
  <si>
    <t>Ajout charot</t>
  </si>
  <si>
    <t>juin 2019</t>
  </si>
  <si>
    <t>TOTAL 7h30-8h30</t>
  </si>
  <si>
    <t>TOTAL 7h-7h30</t>
  </si>
  <si>
    <t>TOTAL 7h-8h30</t>
  </si>
  <si>
    <t>7h30-8h30, vers la suisse</t>
  </si>
  <si>
    <t>7h-8h30</t>
  </si>
  <si>
    <t>7h-8h30, vers la suisse</t>
  </si>
  <si>
    <t>DOUBLE DIRECTION</t>
  </si>
  <si>
    <t>TOTAL double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</si>
</sst>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9" fontId="5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9" fontId="2" fillId="0" borderId="0" xfId="1" applyFont="1" applyAlignment="1">
      <alignment horizontal="center"/>
    </xf>
    <xf numFmtId="9" fontId="2" fillId="2" borderId="0" xfId="0" applyNumberFormat="1" applyFont="1" applyFill="1" applyAlignment="1">
      <alignment horizontal="center"/>
    </xf>
    <xf numFmtId="9" fontId="0" fillId="0" borderId="1" xfId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9" fontId="7" fillId="0" borderId="0" xfId="1" applyFont="1" applyBorder="1" applyAlignment="1">
      <alignment horizontal="center"/>
    </xf>
    <xf numFmtId="0" fontId="8" fillId="0" borderId="0" xfId="0" applyFont="1"/>
    <xf numFmtId="0" fontId="0" fillId="0" borderId="1" xfId="0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4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14" fontId="0" fillId="4" borderId="2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Comptage vélo</a:t>
            </a:r>
            <a:r>
              <a:rPr lang="fr-CH" baseline="0"/>
              <a:t> aux douanes, vers la Suisse,  7h30-8h30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'7h30-8h30'!$C$3</c:f>
              <c:strCache>
                <c:ptCount val="1"/>
                <c:pt idx="0">
                  <c:v>juin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CC-46B0-9A46-837B5F4367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'7h30-8h30'!$B$4:$B$8</c:f>
              <c:strCache>
                <c:ptCount val="5"/>
                <c:pt idx="0">
                  <c:v>Charot</c:v>
                </c:pt>
                <c:pt idx="1">
                  <c:v>Landecy</c:v>
                </c:pt>
                <c:pt idx="2">
                  <c:v>Croix-de-Rozon</c:v>
                </c:pt>
                <c:pt idx="3">
                  <c:v>Pierre-Grand</c:v>
                </c:pt>
                <c:pt idx="4">
                  <c:v>Bossey/Troinex</c:v>
                </c:pt>
              </c:strCache>
            </c:strRef>
          </c:cat>
          <c:val>
            <c:numRef>
              <c:f>'7h30-8h30'!$C$4:$C$8</c:f>
              <c:numCache>
                <c:formatCode>General</c:formatCode>
                <c:ptCount val="5"/>
                <c:pt idx="0" formatCode="@">
                  <c:v>0</c:v>
                </c:pt>
                <c:pt idx="1">
                  <c:v>41</c:v>
                </c:pt>
                <c:pt idx="2">
                  <c:v>79</c:v>
                </c:pt>
                <c:pt idx="3">
                  <c:v>25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B-4FB2-8C38-80E2C7CDF069}"/>
            </c:ext>
          </c:extLst>
        </c:ser>
        <c:ser>
          <c:idx val="1"/>
          <c:order val="1"/>
          <c:tx>
            <c:strRef>
              <c:f>'7h30-8h30'!$D$3</c:f>
              <c:strCache>
                <c:ptCount val="1"/>
                <c:pt idx="0">
                  <c:v>juin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CC-46B0-9A46-837B5F4367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'7h30-8h30'!$B$4:$B$8</c:f>
              <c:strCache>
                <c:ptCount val="5"/>
                <c:pt idx="0">
                  <c:v>Charot</c:v>
                </c:pt>
                <c:pt idx="1">
                  <c:v>Landecy</c:v>
                </c:pt>
                <c:pt idx="2">
                  <c:v>Croix-de-Rozon</c:v>
                </c:pt>
                <c:pt idx="3">
                  <c:v>Pierre-Grand</c:v>
                </c:pt>
                <c:pt idx="4">
                  <c:v>Bossey/Troinex</c:v>
                </c:pt>
              </c:strCache>
            </c:strRef>
          </c:cat>
          <c:val>
            <c:numRef>
              <c:f>'7h30-8h30'!$D$4:$D$8</c:f>
              <c:numCache>
                <c:formatCode>General</c:formatCode>
                <c:ptCount val="5"/>
                <c:pt idx="0" formatCode="@">
                  <c:v>0</c:v>
                </c:pt>
                <c:pt idx="1">
                  <c:v>33</c:v>
                </c:pt>
                <c:pt idx="2">
                  <c:v>78</c:v>
                </c:pt>
                <c:pt idx="3">
                  <c:v>14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B-4FB2-8C38-80E2C7CDF069}"/>
            </c:ext>
          </c:extLst>
        </c:ser>
        <c:ser>
          <c:idx val="2"/>
          <c:order val="2"/>
          <c:tx>
            <c:strRef>
              <c:f>'7h30-8h30'!$E$3</c:f>
              <c:strCache>
                <c:ptCount val="1"/>
                <c:pt idx="0">
                  <c:v>juin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'7h30-8h30'!$B$4:$B$8</c:f>
              <c:strCache>
                <c:ptCount val="5"/>
                <c:pt idx="0">
                  <c:v>Charot</c:v>
                </c:pt>
                <c:pt idx="1">
                  <c:v>Landecy</c:v>
                </c:pt>
                <c:pt idx="2">
                  <c:v>Croix-de-Rozon</c:v>
                </c:pt>
                <c:pt idx="3">
                  <c:v>Pierre-Grand</c:v>
                </c:pt>
                <c:pt idx="4">
                  <c:v>Bossey/Troinex</c:v>
                </c:pt>
              </c:strCache>
            </c:strRef>
          </c:cat>
          <c:val>
            <c:numRef>
              <c:f>'7h30-8h30'!$E$4:$E$8</c:f>
              <c:numCache>
                <c:formatCode>General</c:formatCode>
                <c:ptCount val="5"/>
                <c:pt idx="0" formatCode="@">
                  <c:v>4</c:v>
                </c:pt>
                <c:pt idx="1">
                  <c:v>36</c:v>
                </c:pt>
                <c:pt idx="2">
                  <c:v>82</c:v>
                </c:pt>
                <c:pt idx="3">
                  <c:v>20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7B-4FB2-8C38-80E2C7CDF0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94681807"/>
        <c:axId val="1596270671"/>
      </c:barChart>
      <c:catAx>
        <c:axId val="159468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270671"/>
        <c:crosses val="autoZero"/>
        <c:auto val="1"/>
        <c:lblAlgn val="ctr"/>
        <c:lblOffset val="100"/>
        <c:noMultiLvlLbl val="0"/>
      </c:catAx>
      <c:valAx>
        <c:axId val="1596270671"/>
        <c:scaling>
          <c:orientation val="minMax"/>
        </c:scaling>
        <c:delete val="1"/>
        <c:axPos val="l"/>
        <c:numFmt formatCode="@" sourceLinked="1"/>
        <c:majorTickMark val="none"/>
        <c:minorTickMark val="none"/>
        <c:tickLblPos val="nextTo"/>
        <c:crossAx val="159468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551716765351412"/>
          <c:y val="0.22643016991297138"/>
          <c:w val="0.14488845061327074"/>
          <c:h val="0.16789523414836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Comptage vélo</a:t>
            </a:r>
            <a:r>
              <a:rPr lang="fr-CH" baseline="0"/>
              <a:t> aux douanes, vers la Suisse,  7h30-8h30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4034948506650392"/>
          <c:y val="0.2519052735974005"/>
          <c:w val="0.6358404935166484"/>
          <c:h val="0.6334713482582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'7h30-8h30'!$C$3</c:f>
              <c:strCache>
                <c:ptCount val="1"/>
                <c:pt idx="0">
                  <c:v>juin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DB-476F-902C-8D4FAB0C3B3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DB-476F-902C-8D4FAB0C3B30}"/>
              </c:ext>
            </c:extLst>
          </c:dPt>
          <c:dLbls>
            <c:dLbl>
              <c:idx val="0"/>
              <c:layout>
                <c:manualLayout>
                  <c:x val="-5.9926672495673938E-17"/>
                  <c:y val="0.279473695792527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89CAB0-34FC-46FB-B528-615B26F88D22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 sz="1300" b="1"/>
                      </a:pPr>
                      <a:t>[VALEUR]</a:t>
                    </a:fld>
                    <a:endParaRPr lang="fr-CH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CDB-476F-902C-8D4FAB0C3B30}"/>
                </c:ext>
              </c:extLst>
            </c:dLbl>
            <c:dLbl>
              <c:idx val="1"/>
              <c:layout>
                <c:manualLayout>
                  <c:x val="0"/>
                  <c:y val="0.270000011189391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DB-476F-902C-8D4FAB0C3B30}"/>
                </c:ext>
              </c:extLst>
            </c:dLbl>
            <c:dLbl>
              <c:idx val="2"/>
              <c:layout>
                <c:manualLayout>
                  <c:x val="0"/>
                  <c:y val="0.277894736842105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DB-476F-902C-8D4FAB0C3B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'7h30-8h30'!$C$3:$E$3</c:f>
              <c:strCache>
                <c:ptCount val="3"/>
                <c:pt idx="0">
                  <c:v>juin 2019</c:v>
                </c:pt>
                <c:pt idx="1">
                  <c:v>juin 2020</c:v>
                </c:pt>
                <c:pt idx="2">
                  <c:v>juin 2021</c:v>
                </c:pt>
              </c:strCache>
            </c:strRef>
          </c:cat>
          <c:val>
            <c:numRef>
              <c:f>'7h30-8h30'!$C$9:$E$9</c:f>
              <c:numCache>
                <c:formatCode>General</c:formatCode>
                <c:ptCount val="3"/>
                <c:pt idx="0">
                  <c:v>172</c:v>
                </c:pt>
                <c:pt idx="1">
                  <c:v>145</c:v>
                </c:pt>
                <c:pt idx="2" formatCode="@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B-476F-902C-8D4FAB0C3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4681807"/>
        <c:axId val="1596270671"/>
      </c:barChart>
      <c:catAx>
        <c:axId val="159468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270671"/>
        <c:crosses val="autoZero"/>
        <c:auto val="1"/>
        <c:lblAlgn val="ctr"/>
        <c:lblOffset val="100"/>
        <c:noMultiLvlLbl val="0"/>
      </c:catAx>
      <c:valAx>
        <c:axId val="1596270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total de vélos</a:t>
                </a:r>
              </a:p>
            </c:rich>
          </c:tx>
          <c:layout>
            <c:manualLayout>
              <c:xMode val="edge"/>
              <c:yMode val="edge"/>
              <c:x val="6.4705081437299292E-2"/>
              <c:y val="0.29277900094401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46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Comptage vélo</a:t>
            </a:r>
            <a:r>
              <a:rPr lang="fr-CH" baseline="0"/>
              <a:t> aux douanes, vers la Suisse,  7h-8h30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'7h-8h30'!$E$3</c:f>
              <c:strCache>
                <c:ptCount val="1"/>
                <c:pt idx="0">
                  <c:v>juin 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'7h-8h30'!$B$4:$B$9</c:f>
              <c:strCache>
                <c:ptCount val="6"/>
                <c:pt idx="0">
                  <c:v>Charot</c:v>
                </c:pt>
                <c:pt idx="1">
                  <c:v>Landecy</c:v>
                </c:pt>
                <c:pt idx="2">
                  <c:v>Croix-de-Rozon</c:v>
                </c:pt>
                <c:pt idx="3">
                  <c:v>Pierre-Grand</c:v>
                </c:pt>
                <c:pt idx="4">
                  <c:v>Bossey/Troinex</c:v>
                </c:pt>
                <c:pt idx="5">
                  <c:v>TOTAL</c:v>
                </c:pt>
              </c:strCache>
            </c:strRef>
          </c:cat>
          <c:val>
            <c:numRef>
              <c:f>'7h-8h30'!$E$4:$E$9</c:f>
              <c:numCache>
                <c:formatCode>General</c:formatCode>
                <c:ptCount val="6"/>
                <c:pt idx="0" formatCode="@">
                  <c:v>5</c:v>
                </c:pt>
                <c:pt idx="1">
                  <c:v>51</c:v>
                </c:pt>
                <c:pt idx="2">
                  <c:v>112</c:v>
                </c:pt>
                <c:pt idx="3">
                  <c:v>22</c:v>
                </c:pt>
                <c:pt idx="4">
                  <c:v>46</c:v>
                </c:pt>
                <c:pt idx="5" formatCode="@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33-4AB5-9FF7-42E718CA12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94681807"/>
        <c:axId val="1596270671"/>
      </c:barChart>
      <c:catAx>
        <c:axId val="159468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6270671"/>
        <c:crosses val="autoZero"/>
        <c:auto val="1"/>
        <c:lblAlgn val="ctr"/>
        <c:lblOffset val="100"/>
        <c:noMultiLvlLbl val="0"/>
      </c:catAx>
      <c:valAx>
        <c:axId val="1596270671"/>
        <c:scaling>
          <c:orientation val="minMax"/>
        </c:scaling>
        <c:delete val="1"/>
        <c:axPos val="l"/>
        <c:numFmt formatCode="@" sourceLinked="1"/>
        <c:majorTickMark val="none"/>
        <c:minorTickMark val="none"/>
        <c:tickLblPos val="nextTo"/>
        <c:crossAx val="159468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1844358825557099"/>
          <c:y val="0.15064069622876086"/>
          <c:w val="0.14488845061327074"/>
          <c:h val="0.16789523414836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200" b="0" i="0" baseline="0">
                <a:effectLst/>
              </a:rPr>
              <a:t>Comptage vélo aux douanes, vers la Suisse,  7h-8h30, 06.2021</a:t>
            </a:r>
            <a:endParaRPr lang="fr-CH" sz="1200">
              <a:effectLst/>
            </a:endParaRPr>
          </a:p>
        </c:rich>
      </c:tx>
      <c:layout>
        <c:manualLayout>
          <c:xMode val="edge"/>
          <c:yMode val="edge"/>
          <c:x val="0.10963807155684487"/>
          <c:y val="3.1565656565656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09521964410112"/>
          <c:y val="0.19425644087184732"/>
          <c:w val="0.60508442671041551"/>
          <c:h val="0.77690403455549184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F-4EF9-B948-986DE02B4B15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F-4EF9-B948-986DE02B4B1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F-4EF9-B948-986DE02B4B1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4F-4EF9-B948-986DE02B4B15}"/>
              </c:ext>
            </c:extLst>
          </c:dPt>
          <c:dLbls>
            <c:dLbl>
              <c:idx val="0"/>
              <c:layout>
                <c:manualLayout>
                  <c:x val="-0.22748563472052488"/>
                  <c:y val="5.5456366446844901E-2"/>
                </c:manualLayout>
              </c:layout>
              <c:tx>
                <c:rich>
                  <a:bodyPr/>
                  <a:lstStyle/>
                  <a:p>
                    <a:fld id="{0E7C5DC8-DC7E-4E49-9175-9C384CFC1116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AFC0A612-A182-42F6-B0E3-849F4BB339D5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[POURCENTAGE]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24F-4EF9-B948-986DE02B4B15}"/>
                </c:ext>
              </c:extLst>
            </c:dLbl>
            <c:dLbl>
              <c:idx val="1"/>
              <c:layout>
                <c:manualLayout>
                  <c:x val="3.5943623312861703E-2"/>
                  <c:y val="-0.1720640379520294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4F-4EF9-B948-986DE02B4B15}"/>
                </c:ext>
              </c:extLst>
            </c:dLbl>
            <c:dLbl>
              <c:idx val="2"/>
              <c:layout>
                <c:manualLayout>
                  <c:x val="0.15492304712474439"/>
                  <c:y val="2.274743668309994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4F-4EF9-B948-986DE02B4B15}"/>
                </c:ext>
              </c:extLst>
            </c:dLbl>
            <c:dLbl>
              <c:idx val="3"/>
              <c:layout>
                <c:manualLayout>
                  <c:x val="0.11726678882224992"/>
                  <c:y val="0.183646602214071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63668986883106"/>
                      <c:h val="0.189299472055343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24F-4EF9-B948-986DE02B4B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détaillée'!$C$4:$F$4</c:f>
              <c:strCache>
                <c:ptCount val="4"/>
                <c:pt idx="0">
                  <c:v>VAE Homme</c:v>
                </c:pt>
                <c:pt idx="1">
                  <c:v>Vélo Homme</c:v>
                </c:pt>
                <c:pt idx="2">
                  <c:v>VAE Femme</c:v>
                </c:pt>
                <c:pt idx="3">
                  <c:v>Vélo Femmes</c:v>
                </c:pt>
              </c:strCache>
            </c:strRef>
          </c:cat>
          <c:val>
            <c:numRef>
              <c:f>'Analyse détaillée'!$C$10:$F$10</c:f>
              <c:numCache>
                <c:formatCode>General</c:formatCode>
                <c:ptCount val="4"/>
                <c:pt idx="0">
                  <c:v>93</c:v>
                </c:pt>
                <c:pt idx="1">
                  <c:v>53</c:v>
                </c:pt>
                <c:pt idx="2">
                  <c:v>68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4F-4EF9-B948-986DE02B4B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200" b="0" i="0" baseline="0">
                <a:effectLst/>
              </a:rPr>
              <a:t>Comptage vélo aux douanes, vers la Suisse,  7h-8h30, 06.2021</a:t>
            </a:r>
            <a:endParaRPr lang="fr-CH" sz="1200">
              <a:effectLst/>
            </a:endParaRPr>
          </a:p>
        </c:rich>
      </c:tx>
      <c:layout>
        <c:manualLayout>
          <c:xMode val="edge"/>
          <c:yMode val="edge"/>
          <c:x val="0.10963807155684487"/>
          <c:y val="3.1565656565656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09521964410112"/>
          <c:y val="0.19425644087184732"/>
          <c:w val="0.60508442671041551"/>
          <c:h val="0.776904034555491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AA-449F-8166-CA2E4FA15F0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AA-449F-8166-CA2E4FA15F0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AA-449F-8166-CA2E4FA15F0B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AA-449F-8166-CA2E4FA15F0B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9A-4A71-8B76-B24A48663489}"/>
              </c:ext>
            </c:extLst>
          </c:dPt>
          <c:dLbls>
            <c:dLbl>
              <c:idx val="1"/>
              <c:layout>
                <c:manualLayout>
                  <c:x val="-0.16643256571199436"/>
                  <c:y val="0.1351353989432604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AA-449F-8166-CA2E4FA15F0B}"/>
                </c:ext>
              </c:extLst>
            </c:dLbl>
            <c:dLbl>
              <c:idx val="2"/>
              <c:layout>
                <c:manualLayout>
                  <c:x val="-0.11531439614592277"/>
                  <c:y val="-0.1954815570832720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AA-449F-8166-CA2E4FA15F0B}"/>
                </c:ext>
              </c:extLst>
            </c:dLbl>
            <c:dLbl>
              <c:idx val="3"/>
              <c:layout>
                <c:manualLayout>
                  <c:x val="0.13202116157734065"/>
                  <c:y val="2.225332831460351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AA-449F-8166-CA2E4FA15F0B}"/>
                </c:ext>
              </c:extLst>
            </c:dLbl>
            <c:dLbl>
              <c:idx val="4"/>
              <c:layout>
                <c:manualLayout>
                  <c:x val="0.14407491919926557"/>
                  <c:y val="0.138020965194458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9A-4A71-8B76-B24A486634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'Analyse détaillée'!$B$5:$B$9</c:f>
              <c:strCache>
                <c:ptCount val="5"/>
                <c:pt idx="0">
                  <c:v>Charot</c:v>
                </c:pt>
                <c:pt idx="1">
                  <c:v>Landecy</c:v>
                </c:pt>
                <c:pt idx="2">
                  <c:v>Croix-de-Rozon</c:v>
                </c:pt>
                <c:pt idx="3">
                  <c:v>Pierre-Grand</c:v>
                </c:pt>
                <c:pt idx="4">
                  <c:v>Troinex/Bossey</c:v>
                </c:pt>
              </c:strCache>
            </c:strRef>
          </c:cat>
          <c:val>
            <c:numRef>
              <c:f>'Analyse détaillée'!$H$5:$H$9</c:f>
              <c:numCache>
                <c:formatCode>General</c:formatCode>
                <c:ptCount val="5"/>
                <c:pt idx="0">
                  <c:v>5</c:v>
                </c:pt>
                <c:pt idx="1">
                  <c:v>51</c:v>
                </c:pt>
                <c:pt idx="2">
                  <c:v>112</c:v>
                </c:pt>
                <c:pt idx="3">
                  <c:v>22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AA-449F-8166-CA2E4FA15F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93266</xdr:colOff>
      <xdr:row>1</xdr:row>
      <xdr:rowOff>16669</xdr:rowOff>
    </xdr:from>
    <xdr:to>
      <xdr:col>13</xdr:col>
      <xdr:colOff>58182</xdr:colOff>
      <xdr:row>17</xdr:row>
      <xdr:rowOff>16669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99F4487-1381-4C7B-9521-629183CDB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238052</xdr:colOff>
      <xdr:row>0</xdr:row>
      <xdr:rowOff>185429</xdr:rowOff>
    </xdr:from>
    <xdr:to>
      <xdr:col>18</xdr:col>
      <xdr:colOff>172200</xdr:colOff>
      <xdr:row>16</xdr:row>
      <xdr:rowOff>185429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337C88E-1809-420B-9397-608A118D3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738187</xdr:colOff>
      <xdr:row>1</xdr:row>
      <xdr:rowOff>135732</xdr:rowOff>
    </xdr:from>
    <xdr:to>
      <xdr:col>12</xdr:col>
      <xdr:colOff>673337</xdr:colOff>
      <xdr:row>17</xdr:row>
      <xdr:rowOff>135732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BC47F6-EA72-4A67-B139-F552F41BB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664051</xdr:colOff>
      <xdr:row>0</xdr:row>
      <xdr:rowOff>130730</xdr:rowOff>
    </xdr:from>
    <xdr:to>
      <xdr:col>15</xdr:col>
      <xdr:colOff>344584</xdr:colOff>
      <xdr:row>18</xdr:row>
      <xdr:rowOff>17379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01E5DEF-21CB-4AC9-801D-BE3B73D02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682625</xdr:colOff>
      <xdr:row>18</xdr:row>
      <xdr:rowOff>93046</xdr:rowOff>
    </xdr:from>
    <xdr:to>
      <xdr:col>15</xdr:col>
      <xdr:colOff>344108</xdr:colOff>
      <xdr:row>37</xdr:row>
      <xdr:rowOff>7916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9077660-1035-4211-819B-8593758FA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1B0D-33CF-4079-95C9-F06C46ADD791}">
  <dimension ref="A2:R32"/>
  <sheetViews>
    <sheetView showGridLines="0" tabSelected="1" topLeftCell="E1" workbookViewId="0">
      <selection activeCell="L26" sqref="L26:L30"/>
    </sheetView>
  </sheetViews>
  <sheetFormatPr baseColWidth="10" defaultRowHeight="15" x14ac:dyDescent="0.25"/>
  <cols>
    <col min="2" max="2" width="16.140625" bestFit="1" customWidth="1"/>
    <col min="3" max="3" width="12" bestFit="1" customWidth="1"/>
    <col min="4" max="4" width="12.5703125" bestFit="1" customWidth="1"/>
    <col min="5" max="5" width="11.7109375" bestFit="1" customWidth="1"/>
    <col min="6" max="6" width="13.140625" bestFit="1" customWidth="1"/>
    <col min="7" max="7" width="18" style="1" bestFit="1" customWidth="1"/>
    <col min="8" max="8" width="12" bestFit="1" customWidth="1"/>
    <col min="9" max="9" width="12.5703125" bestFit="1" customWidth="1"/>
    <col min="10" max="10" width="11.7109375" bestFit="1" customWidth="1"/>
    <col min="11" max="11" width="13.140625" bestFit="1" customWidth="1"/>
    <col min="12" max="12" width="17.85546875" style="1" bestFit="1" customWidth="1"/>
    <col min="13" max="13" width="3.5703125" customWidth="1"/>
    <col min="14" max="14" width="12" bestFit="1" customWidth="1"/>
    <col min="15" max="15" width="12.5703125" bestFit="1" customWidth="1"/>
    <col min="16" max="16" width="11.7109375" bestFit="1" customWidth="1"/>
    <col min="17" max="17" width="13.140625" bestFit="1" customWidth="1"/>
    <col min="18" max="18" width="22" bestFit="1" customWidth="1"/>
  </cols>
  <sheetData>
    <row r="2" spans="1:18" ht="21" x14ac:dyDescent="0.35">
      <c r="B2" s="23">
        <v>44348</v>
      </c>
    </row>
    <row r="4" spans="1:18" x14ac:dyDescent="0.25">
      <c r="A4" s="4"/>
      <c r="B4" s="35" t="s">
        <v>22</v>
      </c>
      <c r="C4" s="37" t="s">
        <v>4</v>
      </c>
      <c r="D4" s="37"/>
      <c r="E4" s="37"/>
      <c r="F4" s="37"/>
      <c r="G4" s="37"/>
      <c r="H4" s="37" t="s">
        <v>5</v>
      </c>
      <c r="I4" s="37"/>
      <c r="J4" s="37"/>
      <c r="K4" s="37"/>
      <c r="L4" s="37"/>
      <c r="N4" s="37" t="s">
        <v>35</v>
      </c>
      <c r="O4" s="37"/>
      <c r="P4" s="37"/>
      <c r="Q4" s="37"/>
      <c r="R4" s="37"/>
    </row>
    <row r="5" spans="1:18" x14ac:dyDescent="0.25">
      <c r="A5" s="4"/>
      <c r="B5" s="36"/>
      <c r="C5" s="5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5" t="s">
        <v>6</v>
      </c>
      <c r="I5" s="5" t="s">
        <v>7</v>
      </c>
      <c r="J5" s="5" t="s">
        <v>8</v>
      </c>
      <c r="K5" s="5" t="s">
        <v>9</v>
      </c>
      <c r="L5" s="6" t="s">
        <v>11</v>
      </c>
      <c r="N5" s="26" t="s">
        <v>6</v>
      </c>
      <c r="O5" s="26" t="s">
        <v>7</v>
      </c>
      <c r="P5" s="26" t="s">
        <v>8</v>
      </c>
      <c r="Q5" s="26" t="s">
        <v>9</v>
      </c>
      <c r="R5" s="6" t="s">
        <v>36</v>
      </c>
    </row>
    <row r="6" spans="1:18" x14ac:dyDescent="0.25">
      <c r="A6" s="4"/>
      <c r="B6" s="5" t="s">
        <v>26</v>
      </c>
      <c r="C6" s="22">
        <v>0</v>
      </c>
      <c r="D6" s="22">
        <v>0</v>
      </c>
      <c r="E6" s="22">
        <v>0</v>
      </c>
      <c r="F6" s="22">
        <v>1</v>
      </c>
      <c r="G6" s="6">
        <f>SUM(C6:F6)</f>
        <v>1</v>
      </c>
      <c r="H6" s="22">
        <v>0</v>
      </c>
      <c r="I6" s="22">
        <v>0</v>
      </c>
      <c r="J6" s="22">
        <v>0</v>
      </c>
      <c r="K6" s="22">
        <v>0</v>
      </c>
      <c r="L6" s="6">
        <f>SUM(H6:K6)</f>
        <v>0</v>
      </c>
      <c r="N6" s="22">
        <f>C6+H6</f>
        <v>0</v>
      </c>
      <c r="O6" s="22">
        <f t="shared" ref="O6:Q10" si="0">D6+I6</f>
        <v>0</v>
      </c>
      <c r="P6" s="22">
        <f t="shared" si="0"/>
        <v>0</v>
      </c>
      <c r="Q6" s="22">
        <f t="shared" si="0"/>
        <v>1</v>
      </c>
      <c r="R6" s="6">
        <f>SUM(N6:Q6)</f>
        <v>1</v>
      </c>
    </row>
    <row r="7" spans="1:18" x14ac:dyDescent="0.25">
      <c r="A7" s="4"/>
      <c r="B7" s="5" t="s">
        <v>1</v>
      </c>
      <c r="C7" s="22">
        <v>8</v>
      </c>
      <c r="D7" s="22">
        <v>4</v>
      </c>
      <c r="E7" s="22">
        <v>3</v>
      </c>
      <c r="F7" s="22">
        <v>0</v>
      </c>
      <c r="G7" s="6">
        <f>SUM(C7:F7)</f>
        <v>15</v>
      </c>
      <c r="H7" s="22">
        <v>0</v>
      </c>
      <c r="I7" s="22">
        <v>0</v>
      </c>
      <c r="J7" s="22">
        <v>0</v>
      </c>
      <c r="K7" s="22">
        <v>0</v>
      </c>
      <c r="L7" s="6">
        <f>SUM(H7:K7)</f>
        <v>0</v>
      </c>
      <c r="N7" s="22">
        <f t="shared" ref="N7:N10" si="1">C7+H7</f>
        <v>8</v>
      </c>
      <c r="O7" s="22">
        <f t="shared" si="0"/>
        <v>4</v>
      </c>
      <c r="P7" s="22">
        <f t="shared" si="0"/>
        <v>3</v>
      </c>
      <c r="Q7" s="22">
        <f t="shared" si="0"/>
        <v>0</v>
      </c>
      <c r="R7" s="6">
        <f>SUM(N7:Q7)</f>
        <v>15</v>
      </c>
    </row>
    <row r="8" spans="1:18" ht="14.25" customHeight="1" x14ac:dyDescent="0.25">
      <c r="A8" s="38"/>
      <c r="B8" s="5" t="s">
        <v>0</v>
      </c>
      <c r="C8" s="22">
        <v>14</v>
      </c>
      <c r="D8" s="22">
        <v>5</v>
      </c>
      <c r="E8" s="22">
        <v>3</v>
      </c>
      <c r="F8" s="22">
        <v>8</v>
      </c>
      <c r="G8" s="6">
        <f>SUM(C8:F8)</f>
        <v>30</v>
      </c>
      <c r="H8" s="22">
        <v>0</v>
      </c>
      <c r="I8" s="22">
        <v>1</v>
      </c>
      <c r="J8" s="22">
        <v>0</v>
      </c>
      <c r="K8" s="22">
        <v>0</v>
      </c>
      <c r="L8" s="6">
        <f>SUM(H8:K8)</f>
        <v>1</v>
      </c>
      <c r="N8" s="22">
        <f t="shared" si="1"/>
        <v>14</v>
      </c>
      <c r="O8" s="22">
        <f t="shared" si="0"/>
        <v>6</v>
      </c>
      <c r="P8" s="22">
        <f t="shared" si="0"/>
        <v>3</v>
      </c>
      <c r="Q8" s="22">
        <f t="shared" si="0"/>
        <v>8</v>
      </c>
      <c r="R8" s="6">
        <f>SUM(N8:Q8)</f>
        <v>31</v>
      </c>
    </row>
    <row r="9" spans="1:18" x14ac:dyDescent="0.25">
      <c r="A9" s="39"/>
      <c r="B9" s="5" t="s">
        <v>2</v>
      </c>
      <c r="C9" s="22">
        <v>0</v>
      </c>
      <c r="D9" s="22">
        <v>1</v>
      </c>
      <c r="E9" s="22">
        <v>1</v>
      </c>
      <c r="F9" s="22">
        <v>0</v>
      </c>
      <c r="G9" s="6">
        <f t="shared" ref="G9:G10" si="2">SUM(C9:F9)</f>
        <v>2</v>
      </c>
      <c r="H9" s="22">
        <v>0</v>
      </c>
      <c r="I9" s="22">
        <v>0</v>
      </c>
      <c r="J9" s="22">
        <v>0</v>
      </c>
      <c r="K9" s="22">
        <v>0</v>
      </c>
      <c r="L9" s="6">
        <f t="shared" ref="L9:L10" si="3">SUM(H9:K9)</f>
        <v>0</v>
      </c>
      <c r="N9" s="22">
        <f t="shared" si="1"/>
        <v>0</v>
      </c>
      <c r="O9" s="22">
        <f t="shared" si="0"/>
        <v>1</v>
      </c>
      <c r="P9" s="22">
        <f t="shared" si="0"/>
        <v>1</v>
      </c>
      <c r="Q9" s="22">
        <f t="shared" si="0"/>
        <v>0</v>
      </c>
      <c r="R9" s="6">
        <f t="shared" ref="R9:R10" si="4">SUM(N9:Q9)</f>
        <v>2</v>
      </c>
    </row>
    <row r="10" spans="1:18" x14ac:dyDescent="0.25">
      <c r="A10" s="39"/>
      <c r="B10" s="5" t="s">
        <v>3</v>
      </c>
      <c r="C10" s="22">
        <v>5</v>
      </c>
      <c r="D10" s="22">
        <v>2</v>
      </c>
      <c r="E10" s="22">
        <v>5</v>
      </c>
      <c r="F10" s="22">
        <v>3</v>
      </c>
      <c r="G10" s="6">
        <f t="shared" si="2"/>
        <v>15</v>
      </c>
      <c r="H10" s="22">
        <v>1</v>
      </c>
      <c r="I10" s="22">
        <v>0</v>
      </c>
      <c r="J10" s="22">
        <v>0</v>
      </c>
      <c r="K10" s="22">
        <v>0</v>
      </c>
      <c r="L10" s="6">
        <f t="shared" si="3"/>
        <v>1</v>
      </c>
      <c r="N10" s="22">
        <f t="shared" si="1"/>
        <v>6</v>
      </c>
      <c r="O10" s="22">
        <f t="shared" si="0"/>
        <v>2</v>
      </c>
      <c r="P10" s="22">
        <f t="shared" si="0"/>
        <v>5</v>
      </c>
      <c r="Q10" s="22">
        <f t="shared" si="0"/>
        <v>3</v>
      </c>
      <c r="R10" s="6">
        <f t="shared" si="4"/>
        <v>16</v>
      </c>
    </row>
    <row r="11" spans="1:18" x14ac:dyDescent="0.25">
      <c r="A11" s="4"/>
      <c r="R11" s="1"/>
    </row>
    <row r="12" spans="1:18" x14ac:dyDescent="0.25">
      <c r="B12" s="6" t="s">
        <v>30</v>
      </c>
      <c r="C12" s="6">
        <f>SUM(C6:C10)</f>
        <v>27</v>
      </c>
      <c r="D12" s="6">
        <f t="shared" ref="D12:L12" si="5">SUM(D6:D10)</f>
        <v>12</v>
      </c>
      <c r="E12" s="6">
        <f t="shared" si="5"/>
        <v>12</v>
      </c>
      <c r="F12" s="6">
        <f t="shared" si="5"/>
        <v>12</v>
      </c>
      <c r="G12" s="7">
        <f>SUM(G6:G10)</f>
        <v>63</v>
      </c>
      <c r="H12" s="6">
        <f t="shared" si="5"/>
        <v>1</v>
      </c>
      <c r="I12" s="6">
        <f t="shared" si="5"/>
        <v>1</v>
      </c>
      <c r="J12" s="6">
        <f t="shared" si="5"/>
        <v>0</v>
      </c>
      <c r="K12" s="6">
        <f t="shared" si="5"/>
        <v>0</v>
      </c>
      <c r="L12" s="7">
        <f t="shared" si="5"/>
        <v>2</v>
      </c>
      <c r="N12" s="6">
        <f>SUM(N6:N10)</f>
        <v>28</v>
      </c>
      <c r="O12" s="6">
        <f t="shared" ref="O12:R12" si="6">SUM(O6:O10)</f>
        <v>13</v>
      </c>
      <c r="P12" s="6">
        <f t="shared" si="6"/>
        <v>12</v>
      </c>
      <c r="Q12" s="6">
        <f>SUM(Q6:Q10)</f>
        <v>12</v>
      </c>
      <c r="R12" s="7">
        <f>SUM(R6:R10)</f>
        <v>65</v>
      </c>
    </row>
    <row r="14" spans="1:18" x14ac:dyDescent="0.25">
      <c r="B14" s="35" t="s">
        <v>23</v>
      </c>
      <c r="C14" s="37" t="s">
        <v>4</v>
      </c>
      <c r="D14" s="37"/>
      <c r="E14" s="37"/>
      <c r="F14" s="37"/>
      <c r="G14" s="37"/>
      <c r="H14" s="37" t="s">
        <v>5</v>
      </c>
      <c r="I14" s="37"/>
      <c r="J14" s="37"/>
      <c r="K14" s="37"/>
      <c r="L14" s="37"/>
      <c r="N14" s="37" t="s">
        <v>35</v>
      </c>
      <c r="O14" s="37"/>
      <c r="P14" s="37"/>
      <c r="Q14" s="37"/>
      <c r="R14" s="37"/>
    </row>
    <row r="15" spans="1:18" x14ac:dyDescent="0.25">
      <c r="B15" s="36"/>
      <c r="C15" s="5" t="s">
        <v>6</v>
      </c>
      <c r="D15" s="5" t="s">
        <v>7</v>
      </c>
      <c r="E15" s="5" t="s">
        <v>8</v>
      </c>
      <c r="F15" s="5" t="s">
        <v>9</v>
      </c>
      <c r="G15" s="6" t="s">
        <v>10</v>
      </c>
      <c r="H15" s="5" t="s">
        <v>6</v>
      </c>
      <c r="I15" s="5" t="s">
        <v>7</v>
      </c>
      <c r="J15" s="5" t="s">
        <v>8</v>
      </c>
      <c r="K15" s="5" t="s">
        <v>9</v>
      </c>
      <c r="L15" s="6" t="s">
        <v>11</v>
      </c>
      <c r="N15" s="26" t="s">
        <v>6</v>
      </c>
      <c r="O15" s="26" t="s">
        <v>7</v>
      </c>
      <c r="P15" s="26" t="s">
        <v>8</v>
      </c>
      <c r="Q15" s="26" t="s">
        <v>9</v>
      </c>
      <c r="R15" s="6" t="s">
        <v>36</v>
      </c>
    </row>
    <row r="16" spans="1:18" x14ac:dyDescent="0.25">
      <c r="B16" s="5" t="s">
        <v>26</v>
      </c>
      <c r="C16" s="22">
        <v>2</v>
      </c>
      <c r="D16" s="22">
        <v>2</v>
      </c>
      <c r="E16" s="22">
        <v>0</v>
      </c>
      <c r="F16" s="22">
        <v>0</v>
      </c>
      <c r="G16" s="6">
        <f>SUM(C16:F16)</f>
        <v>4</v>
      </c>
      <c r="H16" s="22">
        <v>0</v>
      </c>
      <c r="I16" s="22">
        <v>0</v>
      </c>
      <c r="J16" s="22">
        <v>0</v>
      </c>
      <c r="K16" s="22">
        <v>0</v>
      </c>
      <c r="L16" s="6">
        <f>SUM(H16:K16)</f>
        <v>0</v>
      </c>
      <c r="N16" s="22">
        <f>C16+H16</f>
        <v>2</v>
      </c>
      <c r="O16" s="22">
        <f t="shared" ref="O16:O20" si="7">D16+I16</f>
        <v>2</v>
      </c>
      <c r="P16" s="22">
        <f t="shared" ref="P16:P20" si="8">E16+J16</f>
        <v>0</v>
      </c>
      <c r="Q16" s="22">
        <f t="shared" ref="Q16:Q20" si="9">F16+K16</f>
        <v>0</v>
      </c>
      <c r="R16" s="6">
        <f>SUM(N16:Q16)</f>
        <v>4</v>
      </c>
    </row>
    <row r="17" spans="2:18" x14ac:dyDescent="0.25">
      <c r="B17" s="5" t="s">
        <v>1</v>
      </c>
      <c r="C17" s="22">
        <v>13</v>
      </c>
      <c r="D17" s="22">
        <v>15</v>
      </c>
      <c r="E17" s="22">
        <v>7</v>
      </c>
      <c r="F17" s="22">
        <v>1</v>
      </c>
      <c r="G17" s="6">
        <f>SUM(C17:F17)</f>
        <v>36</v>
      </c>
      <c r="H17" s="22">
        <v>1</v>
      </c>
      <c r="I17" s="22">
        <v>0</v>
      </c>
      <c r="J17" s="22">
        <v>0</v>
      </c>
      <c r="K17" s="22">
        <v>1</v>
      </c>
      <c r="L17" s="6">
        <f>SUM(H17:K17)</f>
        <v>2</v>
      </c>
      <c r="N17" s="22">
        <f t="shared" ref="N17:N20" si="10">C17+H17</f>
        <v>14</v>
      </c>
      <c r="O17" s="22">
        <f t="shared" si="7"/>
        <v>15</v>
      </c>
      <c r="P17" s="22">
        <f t="shared" si="8"/>
        <v>7</v>
      </c>
      <c r="Q17" s="22">
        <f t="shared" si="9"/>
        <v>2</v>
      </c>
      <c r="R17" s="6">
        <f>SUM(N17:Q17)</f>
        <v>38</v>
      </c>
    </row>
    <row r="18" spans="2:18" x14ac:dyDescent="0.25">
      <c r="B18" s="5" t="s">
        <v>0</v>
      </c>
      <c r="C18" s="22">
        <v>33</v>
      </c>
      <c r="D18" s="22">
        <v>14</v>
      </c>
      <c r="E18" s="22">
        <v>29</v>
      </c>
      <c r="F18" s="22">
        <v>6</v>
      </c>
      <c r="G18" s="6">
        <f>SUM(C18:F18)</f>
        <v>82</v>
      </c>
      <c r="H18" s="22">
        <v>1</v>
      </c>
      <c r="I18" s="22">
        <v>2</v>
      </c>
      <c r="J18" s="22">
        <v>1</v>
      </c>
      <c r="K18" s="22">
        <v>0</v>
      </c>
      <c r="L18" s="6">
        <f>SUM(H18:K18)</f>
        <v>4</v>
      </c>
      <c r="N18" s="22">
        <f t="shared" si="10"/>
        <v>34</v>
      </c>
      <c r="O18" s="22">
        <f t="shared" si="7"/>
        <v>16</v>
      </c>
      <c r="P18" s="22">
        <f t="shared" si="8"/>
        <v>30</v>
      </c>
      <c r="Q18" s="22">
        <f t="shared" si="9"/>
        <v>6</v>
      </c>
      <c r="R18" s="6">
        <f>SUM(N18:Q18)</f>
        <v>86</v>
      </c>
    </row>
    <row r="19" spans="2:18" x14ac:dyDescent="0.25">
      <c r="B19" s="5" t="s">
        <v>2</v>
      </c>
      <c r="C19" s="22">
        <v>7</v>
      </c>
      <c r="D19" s="22">
        <v>2</v>
      </c>
      <c r="E19" s="22">
        <v>8</v>
      </c>
      <c r="F19" s="22">
        <v>3</v>
      </c>
      <c r="G19" s="6">
        <f t="shared" ref="G19:G20" si="11">SUM(C19:F19)</f>
        <v>20</v>
      </c>
      <c r="H19" s="22">
        <v>0</v>
      </c>
      <c r="I19" s="22">
        <v>0</v>
      </c>
      <c r="J19" s="22">
        <v>0</v>
      </c>
      <c r="K19" s="22">
        <v>0</v>
      </c>
      <c r="L19" s="6">
        <f t="shared" ref="L19:L20" si="12">SUM(H19:K19)</f>
        <v>0</v>
      </c>
      <c r="N19" s="22">
        <f t="shared" si="10"/>
        <v>7</v>
      </c>
      <c r="O19" s="22">
        <f t="shared" si="7"/>
        <v>2</v>
      </c>
      <c r="P19" s="22">
        <f t="shared" si="8"/>
        <v>8</v>
      </c>
      <c r="Q19" s="22">
        <f t="shared" si="9"/>
        <v>3</v>
      </c>
      <c r="R19" s="6">
        <f t="shared" ref="R19:R20" si="13">SUM(N19:Q19)</f>
        <v>20</v>
      </c>
    </row>
    <row r="20" spans="2:18" x14ac:dyDescent="0.25">
      <c r="B20" s="5" t="s">
        <v>3</v>
      </c>
      <c r="C20" s="22">
        <v>11</v>
      </c>
      <c r="D20" s="22">
        <v>8</v>
      </c>
      <c r="E20" s="22">
        <v>12</v>
      </c>
      <c r="F20" s="22">
        <v>0</v>
      </c>
      <c r="G20" s="6">
        <f t="shared" si="11"/>
        <v>31</v>
      </c>
      <c r="H20" s="22">
        <v>1</v>
      </c>
      <c r="I20" s="22">
        <v>1</v>
      </c>
      <c r="J20" s="22">
        <v>0</v>
      </c>
      <c r="K20" s="22">
        <v>0</v>
      </c>
      <c r="L20" s="6">
        <f t="shared" si="12"/>
        <v>2</v>
      </c>
      <c r="N20" s="22">
        <f t="shared" si="10"/>
        <v>12</v>
      </c>
      <c r="O20" s="22">
        <f t="shared" si="7"/>
        <v>9</v>
      </c>
      <c r="P20" s="22">
        <f t="shared" si="8"/>
        <v>12</v>
      </c>
      <c r="Q20" s="22">
        <f t="shared" si="9"/>
        <v>0</v>
      </c>
      <c r="R20" s="6">
        <f t="shared" si="13"/>
        <v>33</v>
      </c>
    </row>
    <row r="21" spans="2:18" x14ac:dyDescent="0.25">
      <c r="R21" s="1"/>
    </row>
    <row r="22" spans="2:18" x14ac:dyDescent="0.25">
      <c r="B22" s="6" t="s">
        <v>29</v>
      </c>
      <c r="C22" s="6">
        <f t="shared" ref="C22:L22" si="14">SUM(C16:C20)</f>
        <v>66</v>
      </c>
      <c r="D22" s="6">
        <f t="shared" si="14"/>
        <v>41</v>
      </c>
      <c r="E22" s="6">
        <f t="shared" si="14"/>
        <v>56</v>
      </c>
      <c r="F22" s="6">
        <f t="shared" si="14"/>
        <v>10</v>
      </c>
      <c r="G22" s="7">
        <f t="shared" si="14"/>
        <v>173</v>
      </c>
      <c r="H22" s="6">
        <f t="shared" si="14"/>
        <v>3</v>
      </c>
      <c r="I22" s="6">
        <f t="shared" si="14"/>
        <v>3</v>
      </c>
      <c r="J22" s="6">
        <f t="shared" si="14"/>
        <v>1</v>
      </c>
      <c r="K22" s="6">
        <f t="shared" si="14"/>
        <v>1</v>
      </c>
      <c r="L22" s="7">
        <f t="shared" si="14"/>
        <v>8</v>
      </c>
      <c r="N22" s="6">
        <f>SUM(N16:N20)</f>
        <v>69</v>
      </c>
      <c r="O22" s="6">
        <f t="shared" ref="O22:R22" si="15">SUM(O16:O20)</f>
        <v>44</v>
      </c>
      <c r="P22" s="6">
        <f t="shared" si="15"/>
        <v>57</v>
      </c>
      <c r="Q22" s="6">
        <f>SUM(Q16:Q20)</f>
        <v>11</v>
      </c>
      <c r="R22" s="7">
        <f>SUM(R16:R20)</f>
        <v>181</v>
      </c>
    </row>
    <row r="24" spans="2:18" x14ac:dyDescent="0.25">
      <c r="B24" s="35" t="s">
        <v>33</v>
      </c>
      <c r="C24" s="37" t="s">
        <v>4</v>
      </c>
      <c r="D24" s="37"/>
      <c r="E24" s="37"/>
      <c r="F24" s="37"/>
      <c r="G24" s="37"/>
      <c r="H24" s="37" t="s">
        <v>5</v>
      </c>
      <c r="I24" s="37"/>
      <c r="J24" s="37"/>
      <c r="K24" s="37"/>
      <c r="L24" s="37"/>
      <c r="N24" s="37" t="s">
        <v>35</v>
      </c>
      <c r="O24" s="37"/>
      <c r="P24" s="37"/>
      <c r="Q24" s="37"/>
      <c r="R24" s="37"/>
    </row>
    <row r="25" spans="2:18" x14ac:dyDescent="0.25">
      <c r="B25" s="36"/>
      <c r="C25" s="5" t="s">
        <v>6</v>
      </c>
      <c r="D25" s="5" t="s">
        <v>7</v>
      </c>
      <c r="E25" s="5" t="s">
        <v>8</v>
      </c>
      <c r="F25" s="5" t="s">
        <v>9</v>
      </c>
      <c r="G25" s="6" t="s">
        <v>10</v>
      </c>
      <c r="H25" s="5" t="s">
        <v>6</v>
      </c>
      <c r="I25" s="5" t="s">
        <v>7</v>
      </c>
      <c r="J25" s="5" t="s">
        <v>8</v>
      </c>
      <c r="K25" s="5" t="s">
        <v>9</v>
      </c>
      <c r="L25" s="6" t="s">
        <v>11</v>
      </c>
      <c r="N25" s="26" t="s">
        <v>6</v>
      </c>
      <c r="O25" s="26" t="s">
        <v>7</v>
      </c>
      <c r="P25" s="26" t="s">
        <v>8</v>
      </c>
      <c r="Q25" s="26" t="s">
        <v>9</v>
      </c>
      <c r="R25" s="6" t="s">
        <v>36</v>
      </c>
    </row>
    <row r="26" spans="2:18" x14ac:dyDescent="0.25">
      <c r="B26" s="5" t="s">
        <v>26</v>
      </c>
      <c r="C26" s="22">
        <f>C6+C16</f>
        <v>2</v>
      </c>
      <c r="D26" s="22">
        <f t="shared" ref="D26:L26" si="16">D6+D16</f>
        <v>2</v>
      </c>
      <c r="E26" s="22">
        <f t="shared" si="16"/>
        <v>0</v>
      </c>
      <c r="F26" s="22">
        <f t="shared" si="16"/>
        <v>1</v>
      </c>
      <c r="G26" s="6">
        <f t="shared" si="16"/>
        <v>5</v>
      </c>
      <c r="H26" s="22">
        <f t="shared" si="16"/>
        <v>0</v>
      </c>
      <c r="I26" s="22">
        <f t="shared" si="16"/>
        <v>0</v>
      </c>
      <c r="J26" s="22">
        <f t="shared" si="16"/>
        <v>0</v>
      </c>
      <c r="K26" s="22">
        <f t="shared" si="16"/>
        <v>0</v>
      </c>
      <c r="L26" s="6">
        <f t="shared" si="16"/>
        <v>0</v>
      </c>
      <c r="N26" s="22">
        <f>C26+H26</f>
        <v>2</v>
      </c>
      <c r="O26" s="22">
        <f t="shared" ref="O26:O30" si="17">D26+I26</f>
        <v>2</v>
      </c>
      <c r="P26" s="22">
        <f t="shared" ref="P26:P30" si="18">E26+J26</f>
        <v>0</v>
      </c>
      <c r="Q26" s="22">
        <f t="shared" ref="Q26:Q30" si="19">F26+K26</f>
        <v>1</v>
      </c>
      <c r="R26" s="6">
        <f>SUM(N26:Q26)</f>
        <v>5</v>
      </c>
    </row>
    <row r="27" spans="2:18" x14ac:dyDescent="0.25">
      <c r="B27" s="5" t="s">
        <v>1</v>
      </c>
      <c r="C27" s="22">
        <f t="shared" ref="C27:L30" si="20">C7+C17</f>
        <v>21</v>
      </c>
      <c r="D27" s="22">
        <f t="shared" si="20"/>
        <v>19</v>
      </c>
      <c r="E27" s="22">
        <f t="shared" si="20"/>
        <v>10</v>
      </c>
      <c r="F27" s="22">
        <f t="shared" si="20"/>
        <v>1</v>
      </c>
      <c r="G27" s="6">
        <f t="shared" si="20"/>
        <v>51</v>
      </c>
      <c r="H27" s="22">
        <f t="shared" si="20"/>
        <v>1</v>
      </c>
      <c r="I27" s="22">
        <f t="shared" si="20"/>
        <v>0</v>
      </c>
      <c r="J27" s="22">
        <f t="shared" si="20"/>
        <v>0</v>
      </c>
      <c r="K27" s="22">
        <f t="shared" si="20"/>
        <v>1</v>
      </c>
      <c r="L27" s="6">
        <f t="shared" si="20"/>
        <v>2</v>
      </c>
      <c r="N27" s="22">
        <f t="shared" ref="N27:N30" si="21">C27+H27</f>
        <v>22</v>
      </c>
      <c r="O27" s="22">
        <f t="shared" si="17"/>
        <v>19</v>
      </c>
      <c r="P27" s="22">
        <f t="shared" si="18"/>
        <v>10</v>
      </c>
      <c r="Q27" s="22">
        <f t="shared" si="19"/>
        <v>2</v>
      </c>
      <c r="R27" s="6">
        <f>SUM(N27:Q27)</f>
        <v>53</v>
      </c>
    </row>
    <row r="28" spans="2:18" x14ac:dyDescent="0.25">
      <c r="B28" s="5" t="s">
        <v>0</v>
      </c>
      <c r="C28" s="22">
        <f t="shared" si="20"/>
        <v>47</v>
      </c>
      <c r="D28" s="22">
        <f t="shared" si="20"/>
        <v>19</v>
      </c>
      <c r="E28" s="22">
        <f t="shared" si="20"/>
        <v>32</v>
      </c>
      <c r="F28" s="22">
        <f t="shared" si="20"/>
        <v>14</v>
      </c>
      <c r="G28" s="6">
        <f t="shared" si="20"/>
        <v>112</v>
      </c>
      <c r="H28" s="22">
        <f t="shared" si="20"/>
        <v>1</v>
      </c>
      <c r="I28" s="22">
        <f t="shared" si="20"/>
        <v>3</v>
      </c>
      <c r="J28" s="22">
        <f t="shared" si="20"/>
        <v>1</v>
      </c>
      <c r="K28" s="22">
        <f t="shared" si="20"/>
        <v>0</v>
      </c>
      <c r="L28" s="6">
        <f t="shared" si="20"/>
        <v>5</v>
      </c>
      <c r="N28" s="22">
        <f t="shared" si="21"/>
        <v>48</v>
      </c>
      <c r="O28" s="22">
        <f t="shared" si="17"/>
        <v>22</v>
      </c>
      <c r="P28" s="22">
        <f t="shared" si="18"/>
        <v>33</v>
      </c>
      <c r="Q28" s="22">
        <f t="shared" si="19"/>
        <v>14</v>
      </c>
      <c r="R28" s="6">
        <f>SUM(N28:Q28)</f>
        <v>117</v>
      </c>
    </row>
    <row r="29" spans="2:18" x14ac:dyDescent="0.25">
      <c r="B29" s="5" t="s">
        <v>2</v>
      </c>
      <c r="C29" s="22">
        <f t="shared" si="20"/>
        <v>7</v>
      </c>
      <c r="D29" s="22">
        <f t="shared" si="20"/>
        <v>3</v>
      </c>
      <c r="E29" s="22">
        <f t="shared" si="20"/>
        <v>9</v>
      </c>
      <c r="F29" s="22">
        <f t="shared" si="20"/>
        <v>3</v>
      </c>
      <c r="G29" s="6">
        <f t="shared" si="20"/>
        <v>22</v>
      </c>
      <c r="H29" s="22">
        <f t="shared" si="20"/>
        <v>0</v>
      </c>
      <c r="I29" s="22">
        <f t="shared" si="20"/>
        <v>0</v>
      </c>
      <c r="J29" s="22">
        <f t="shared" si="20"/>
        <v>0</v>
      </c>
      <c r="K29" s="22">
        <f t="shared" si="20"/>
        <v>0</v>
      </c>
      <c r="L29" s="6">
        <f t="shared" si="20"/>
        <v>0</v>
      </c>
      <c r="N29" s="22">
        <f t="shared" si="21"/>
        <v>7</v>
      </c>
      <c r="O29" s="22">
        <f t="shared" si="17"/>
        <v>3</v>
      </c>
      <c r="P29" s="22">
        <f t="shared" si="18"/>
        <v>9</v>
      </c>
      <c r="Q29" s="22">
        <f t="shared" si="19"/>
        <v>3</v>
      </c>
      <c r="R29" s="6">
        <f t="shared" ref="R29:R30" si="22">SUM(N29:Q29)</f>
        <v>22</v>
      </c>
    </row>
    <row r="30" spans="2:18" x14ac:dyDescent="0.25">
      <c r="B30" s="5" t="s">
        <v>3</v>
      </c>
      <c r="C30" s="22">
        <f t="shared" si="20"/>
        <v>16</v>
      </c>
      <c r="D30" s="22">
        <f t="shared" si="20"/>
        <v>10</v>
      </c>
      <c r="E30" s="22">
        <f t="shared" si="20"/>
        <v>17</v>
      </c>
      <c r="F30" s="22">
        <f t="shared" si="20"/>
        <v>3</v>
      </c>
      <c r="G30" s="6">
        <f t="shared" si="20"/>
        <v>46</v>
      </c>
      <c r="H30" s="22">
        <f t="shared" si="20"/>
        <v>2</v>
      </c>
      <c r="I30" s="22">
        <f t="shared" si="20"/>
        <v>1</v>
      </c>
      <c r="J30" s="22">
        <f t="shared" si="20"/>
        <v>0</v>
      </c>
      <c r="K30" s="22">
        <f t="shared" si="20"/>
        <v>0</v>
      </c>
      <c r="L30" s="6">
        <f t="shared" si="20"/>
        <v>3</v>
      </c>
      <c r="N30" s="22">
        <f t="shared" si="21"/>
        <v>18</v>
      </c>
      <c r="O30" s="22">
        <f t="shared" si="17"/>
        <v>11</v>
      </c>
      <c r="P30" s="22">
        <f t="shared" si="18"/>
        <v>17</v>
      </c>
      <c r="Q30" s="22">
        <f t="shared" si="19"/>
        <v>3</v>
      </c>
      <c r="R30" s="6">
        <f t="shared" si="22"/>
        <v>49</v>
      </c>
    </row>
    <row r="31" spans="2:18" x14ac:dyDescent="0.25">
      <c r="R31" s="1"/>
    </row>
    <row r="32" spans="2:18" x14ac:dyDescent="0.25">
      <c r="B32" s="6" t="s">
        <v>31</v>
      </c>
      <c r="C32" s="6">
        <f t="shared" ref="C32:L32" si="23">SUM(C26:C30)</f>
        <v>93</v>
      </c>
      <c r="D32" s="6">
        <f t="shared" si="23"/>
        <v>53</v>
      </c>
      <c r="E32" s="6">
        <f t="shared" si="23"/>
        <v>68</v>
      </c>
      <c r="F32" s="6">
        <f t="shared" si="23"/>
        <v>22</v>
      </c>
      <c r="G32" s="7">
        <f t="shared" si="23"/>
        <v>236</v>
      </c>
      <c r="H32" s="6">
        <f t="shared" si="23"/>
        <v>4</v>
      </c>
      <c r="I32" s="6">
        <f t="shared" si="23"/>
        <v>4</v>
      </c>
      <c r="J32" s="6">
        <f t="shared" si="23"/>
        <v>1</v>
      </c>
      <c r="K32" s="6">
        <f t="shared" si="23"/>
        <v>1</v>
      </c>
      <c r="L32" s="7">
        <f t="shared" si="23"/>
        <v>10</v>
      </c>
      <c r="N32" s="6">
        <f>SUM(N26:N30)</f>
        <v>97</v>
      </c>
      <c r="O32" s="6">
        <f t="shared" ref="O32:R32" si="24">SUM(O26:O30)</f>
        <v>57</v>
      </c>
      <c r="P32" s="6">
        <f t="shared" si="24"/>
        <v>69</v>
      </c>
      <c r="Q32" s="6">
        <f>SUM(Q26:Q30)</f>
        <v>23</v>
      </c>
      <c r="R32" s="7">
        <f>SUM(R26:R30)</f>
        <v>246</v>
      </c>
    </row>
  </sheetData>
  <mergeCells count="13">
    <mergeCell ref="N4:R4"/>
    <mergeCell ref="N14:R14"/>
    <mergeCell ref="N24:R24"/>
    <mergeCell ref="B24:B25"/>
    <mergeCell ref="C24:G24"/>
    <mergeCell ref="H24:L24"/>
    <mergeCell ref="H4:L4"/>
    <mergeCell ref="A8:A10"/>
    <mergeCell ref="B14:B15"/>
    <mergeCell ref="C14:G14"/>
    <mergeCell ref="H14:L14"/>
    <mergeCell ref="B4:B5"/>
    <mergeCell ref="C4:G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E3BC-D608-4247-94AF-CA2E52F4F0C0}">
  <dimension ref="B1:F10"/>
  <sheetViews>
    <sheetView showGridLines="0" zoomScale="96" zoomScaleNormal="96" workbookViewId="0">
      <selection activeCell="E4" sqref="E4:E8"/>
    </sheetView>
  </sheetViews>
  <sheetFormatPr baseColWidth="10" defaultRowHeight="15" x14ac:dyDescent="0.25"/>
  <cols>
    <col min="2" max="2" width="28.28515625" bestFit="1" customWidth="1"/>
    <col min="3" max="3" width="11.140625" bestFit="1" customWidth="1"/>
    <col min="4" max="4" width="11.5703125" bestFit="1" customWidth="1"/>
    <col min="5" max="5" width="13.140625" bestFit="1" customWidth="1"/>
    <col min="6" max="6" width="11.85546875" bestFit="1" customWidth="1"/>
    <col min="7" max="7" width="17.7109375" bestFit="1" customWidth="1"/>
  </cols>
  <sheetData>
    <row r="1" spans="2:6" x14ac:dyDescent="0.25">
      <c r="B1" s="1"/>
      <c r="C1" s="1"/>
      <c r="D1" s="1"/>
      <c r="E1" s="1"/>
    </row>
    <row r="2" spans="2:6" x14ac:dyDescent="0.25">
      <c r="B2" s="27" t="s">
        <v>32</v>
      </c>
      <c r="C2" s="1"/>
      <c r="D2" s="1"/>
      <c r="E2" s="1"/>
    </row>
    <row r="3" spans="2:6" x14ac:dyDescent="0.25">
      <c r="B3" s="8"/>
      <c r="C3" s="9" t="s">
        <v>28</v>
      </c>
      <c r="D3" s="9" t="s">
        <v>13</v>
      </c>
      <c r="E3" s="9" t="s">
        <v>24</v>
      </c>
    </row>
    <row r="4" spans="2:6" x14ac:dyDescent="0.25">
      <c r="B4" s="10" t="s">
        <v>26</v>
      </c>
      <c r="C4" s="9" t="s">
        <v>25</v>
      </c>
      <c r="D4" s="9" t="s">
        <v>25</v>
      </c>
      <c r="E4" s="9">
        <v>4</v>
      </c>
    </row>
    <row r="5" spans="2:6" x14ac:dyDescent="0.25">
      <c r="B5" s="10" t="s">
        <v>1</v>
      </c>
      <c r="C5" s="11">
        <v>41</v>
      </c>
      <c r="D5" s="11">
        <v>33</v>
      </c>
      <c r="E5" s="11">
        <v>36</v>
      </c>
    </row>
    <row r="6" spans="2:6" x14ac:dyDescent="0.25">
      <c r="B6" s="12" t="s">
        <v>14</v>
      </c>
      <c r="C6" s="2">
        <v>79</v>
      </c>
      <c r="D6" s="2">
        <v>78</v>
      </c>
      <c r="E6" s="2">
        <v>82</v>
      </c>
    </row>
    <row r="7" spans="2:6" x14ac:dyDescent="0.25">
      <c r="B7" s="10" t="s">
        <v>2</v>
      </c>
      <c r="C7" s="2">
        <v>25</v>
      </c>
      <c r="D7" s="2">
        <v>14</v>
      </c>
      <c r="E7" s="2">
        <v>20</v>
      </c>
    </row>
    <row r="8" spans="2:6" x14ac:dyDescent="0.25">
      <c r="B8" s="10" t="s">
        <v>15</v>
      </c>
      <c r="C8" s="2">
        <v>27</v>
      </c>
      <c r="D8" s="2">
        <v>20</v>
      </c>
      <c r="E8" s="2">
        <v>31</v>
      </c>
    </row>
    <row r="9" spans="2:6" s="1" customFormat="1" x14ac:dyDescent="0.25">
      <c r="B9" s="13" t="s">
        <v>16</v>
      </c>
      <c r="C9" s="14">
        <f>SUM(C5:C8)</f>
        <v>172</v>
      </c>
      <c r="D9" s="14">
        <f>SUM(D5:D8)</f>
        <v>145</v>
      </c>
      <c r="E9" s="9">
        <f>SUM(E4:E8)</f>
        <v>173</v>
      </c>
    </row>
    <row r="10" spans="2:6" x14ac:dyDescent="0.25">
      <c r="B10" s="1"/>
      <c r="C10" s="1"/>
      <c r="D10" s="15">
        <f>(D9-C9)/C9</f>
        <v>-0.15697674418604651</v>
      </c>
      <c r="E10" s="24">
        <f>(E9-D9)/D9</f>
        <v>0.19310344827586207</v>
      </c>
      <c r="F10" s="25" t="s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E20F-AF43-449D-98B2-D693B30D8DBB}">
  <dimension ref="B1:F10"/>
  <sheetViews>
    <sheetView showGridLines="0" zoomScale="96" zoomScaleNormal="96" workbookViewId="0">
      <selection activeCell="E4" sqref="E4:E8"/>
    </sheetView>
  </sheetViews>
  <sheetFormatPr baseColWidth="10" defaultRowHeight="15" x14ac:dyDescent="0.25"/>
  <cols>
    <col min="2" max="2" width="28.28515625" bestFit="1" customWidth="1"/>
    <col min="3" max="3" width="11.140625" bestFit="1" customWidth="1"/>
    <col min="4" max="4" width="11.5703125" bestFit="1" customWidth="1"/>
    <col min="5" max="5" width="13.140625" bestFit="1" customWidth="1"/>
    <col min="6" max="6" width="11.85546875" bestFit="1" customWidth="1"/>
    <col min="7" max="7" width="17.7109375" bestFit="1" customWidth="1"/>
  </cols>
  <sheetData>
    <row r="1" spans="2:6" x14ac:dyDescent="0.25">
      <c r="B1" s="1"/>
      <c r="C1" s="1"/>
      <c r="D1" s="1"/>
      <c r="E1" s="1"/>
    </row>
    <row r="2" spans="2:6" x14ac:dyDescent="0.25">
      <c r="B2" s="27" t="s">
        <v>34</v>
      </c>
      <c r="C2" s="1"/>
      <c r="D2" s="1"/>
      <c r="E2" s="1"/>
    </row>
    <row r="3" spans="2:6" x14ac:dyDescent="0.25">
      <c r="B3" s="8"/>
      <c r="C3" s="9" t="s">
        <v>28</v>
      </c>
      <c r="D3" s="9" t="s">
        <v>13</v>
      </c>
      <c r="E3" s="9" t="s">
        <v>24</v>
      </c>
    </row>
    <row r="4" spans="2:6" x14ac:dyDescent="0.25">
      <c r="B4" s="10" t="s">
        <v>26</v>
      </c>
      <c r="C4" s="9" t="s">
        <v>25</v>
      </c>
      <c r="D4" s="9" t="s">
        <v>25</v>
      </c>
      <c r="E4" s="9">
        <v>5</v>
      </c>
    </row>
    <row r="5" spans="2:6" x14ac:dyDescent="0.25">
      <c r="B5" s="10" t="s">
        <v>1</v>
      </c>
      <c r="C5" s="9" t="s">
        <v>25</v>
      </c>
      <c r="D5" s="9" t="s">
        <v>25</v>
      </c>
      <c r="E5" s="11">
        <v>51</v>
      </c>
    </row>
    <row r="6" spans="2:6" x14ac:dyDescent="0.25">
      <c r="B6" s="12" t="s">
        <v>14</v>
      </c>
      <c r="C6" s="9" t="s">
        <v>25</v>
      </c>
      <c r="D6" s="9" t="s">
        <v>25</v>
      </c>
      <c r="E6" s="2">
        <v>112</v>
      </c>
    </row>
    <row r="7" spans="2:6" x14ac:dyDescent="0.25">
      <c r="B7" s="10" t="s">
        <v>2</v>
      </c>
      <c r="C7" s="9" t="s">
        <v>25</v>
      </c>
      <c r="D7" s="9" t="s">
        <v>25</v>
      </c>
      <c r="E7" s="2">
        <v>22</v>
      </c>
    </row>
    <row r="8" spans="2:6" x14ac:dyDescent="0.25">
      <c r="B8" s="10" t="s">
        <v>15</v>
      </c>
      <c r="C8" s="9" t="s">
        <v>25</v>
      </c>
      <c r="D8" s="9" t="s">
        <v>25</v>
      </c>
      <c r="E8" s="2">
        <v>46</v>
      </c>
    </row>
    <row r="9" spans="2:6" s="1" customFormat="1" x14ac:dyDescent="0.25">
      <c r="B9" s="13" t="s">
        <v>12</v>
      </c>
      <c r="C9" s="9" t="s">
        <v>25</v>
      </c>
      <c r="D9" s="9" t="s">
        <v>25</v>
      </c>
      <c r="E9" s="9">
        <f>SUM(E4:E8)</f>
        <v>236</v>
      </c>
    </row>
    <row r="10" spans="2:6" x14ac:dyDescent="0.25">
      <c r="B10" s="1"/>
      <c r="C10" s="1"/>
      <c r="D10" s="15"/>
      <c r="E10" s="24"/>
      <c r="F10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D9A9-58D3-43F2-8ABE-CA9BC10EDC40}">
  <dimension ref="B2:J38"/>
  <sheetViews>
    <sheetView showGridLines="0" zoomScale="96" zoomScaleNormal="96" workbookViewId="0">
      <selection activeCell="E5" sqref="E5:E9"/>
    </sheetView>
  </sheetViews>
  <sheetFormatPr baseColWidth="10" defaultRowHeight="15" x14ac:dyDescent="0.25"/>
  <cols>
    <col min="2" max="2" width="14.7109375" bestFit="1" customWidth="1"/>
    <col min="3" max="3" width="11.140625" bestFit="1" customWidth="1"/>
    <col min="4" max="4" width="11.5703125" bestFit="1" customWidth="1"/>
    <col min="5" max="5" width="11.5703125" customWidth="1"/>
    <col min="6" max="6" width="13.140625" bestFit="1" customWidth="1"/>
    <col min="7" max="7" width="4.85546875" customWidth="1"/>
    <col min="8" max="8" width="17.7109375" bestFit="1" customWidth="1"/>
  </cols>
  <sheetData>
    <row r="2" spans="2:10" x14ac:dyDescent="0.25">
      <c r="C2" s="41" t="s">
        <v>34</v>
      </c>
      <c r="D2" s="41"/>
      <c r="E2" s="41"/>
      <c r="F2" s="41"/>
      <c r="G2" s="41"/>
      <c r="H2" s="41"/>
    </row>
    <row r="3" spans="2:10" x14ac:dyDescent="0.25">
      <c r="C3" s="40"/>
      <c r="D3" s="40"/>
      <c r="E3" s="40"/>
      <c r="F3" s="40"/>
      <c r="G3" s="40"/>
      <c r="H3" s="40"/>
    </row>
    <row r="4" spans="2:10" x14ac:dyDescent="0.25">
      <c r="B4" s="16"/>
      <c r="C4" s="16" t="s">
        <v>6</v>
      </c>
      <c r="D4" s="16" t="s">
        <v>7</v>
      </c>
      <c r="E4" s="16" t="s">
        <v>8</v>
      </c>
      <c r="F4" s="16" t="s">
        <v>9</v>
      </c>
      <c r="H4" s="3" t="s">
        <v>10</v>
      </c>
      <c r="J4" s="16"/>
    </row>
    <row r="5" spans="2:10" x14ac:dyDescent="0.25">
      <c r="B5" s="16" t="s">
        <v>26</v>
      </c>
      <c r="C5" s="29">
        <v>2</v>
      </c>
      <c r="D5" s="29">
        <v>2</v>
      </c>
      <c r="E5" s="29">
        <v>0</v>
      </c>
      <c r="F5" s="29">
        <v>1</v>
      </c>
      <c r="H5" s="3">
        <f t="shared" ref="H5:H10" si="0">SUM(C5:F5)</f>
        <v>5</v>
      </c>
      <c r="J5" s="16"/>
    </row>
    <row r="6" spans="2:10" x14ac:dyDescent="0.25">
      <c r="B6" s="16" t="s">
        <v>1</v>
      </c>
      <c r="C6" s="28">
        <v>21</v>
      </c>
      <c r="D6" s="28">
        <v>19</v>
      </c>
      <c r="E6" s="28">
        <v>10</v>
      </c>
      <c r="F6" s="28">
        <v>1</v>
      </c>
      <c r="H6" s="3">
        <f t="shared" si="0"/>
        <v>51</v>
      </c>
    </row>
    <row r="7" spans="2:10" x14ac:dyDescent="0.25">
      <c r="B7" s="16" t="s">
        <v>14</v>
      </c>
      <c r="C7" s="28">
        <v>47</v>
      </c>
      <c r="D7" s="28">
        <v>19</v>
      </c>
      <c r="E7" s="28">
        <v>32</v>
      </c>
      <c r="F7" s="28">
        <v>14</v>
      </c>
      <c r="H7" s="3">
        <f t="shared" si="0"/>
        <v>112</v>
      </c>
    </row>
    <row r="8" spans="2:10" x14ac:dyDescent="0.25">
      <c r="B8" s="16" t="s">
        <v>2</v>
      </c>
      <c r="C8" s="28">
        <v>7</v>
      </c>
      <c r="D8" s="28">
        <v>3</v>
      </c>
      <c r="E8" s="28">
        <v>9</v>
      </c>
      <c r="F8" s="28">
        <v>3</v>
      </c>
      <c r="H8" s="3">
        <f t="shared" si="0"/>
        <v>22</v>
      </c>
    </row>
    <row r="9" spans="2:10" x14ac:dyDescent="0.25">
      <c r="B9" s="16" t="s">
        <v>3</v>
      </c>
      <c r="C9" s="28">
        <v>16</v>
      </c>
      <c r="D9" s="28">
        <v>10</v>
      </c>
      <c r="E9" s="28">
        <v>17</v>
      </c>
      <c r="F9" s="28">
        <v>3</v>
      </c>
      <c r="H9" s="3">
        <f t="shared" si="0"/>
        <v>46</v>
      </c>
    </row>
    <row r="10" spans="2:10" x14ac:dyDescent="0.25">
      <c r="B10" s="3" t="s">
        <v>12</v>
      </c>
      <c r="C10" s="3">
        <f>SUM(C5:C9)</f>
        <v>93</v>
      </c>
      <c r="D10" s="3">
        <f t="shared" ref="D10:F10" si="1">SUM(D5:D9)</f>
        <v>53</v>
      </c>
      <c r="E10" s="3">
        <f>SUM(E5:E9)</f>
        <v>68</v>
      </c>
      <c r="F10" s="3">
        <f t="shared" si="1"/>
        <v>22</v>
      </c>
      <c r="H10" s="17">
        <f t="shared" si="0"/>
        <v>236</v>
      </c>
    </row>
    <row r="13" spans="2:10" x14ac:dyDescent="0.25">
      <c r="B13" s="16"/>
      <c r="C13" s="16" t="s">
        <v>6</v>
      </c>
      <c r="D13" s="16" t="s">
        <v>7</v>
      </c>
      <c r="E13" s="16" t="s">
        <v>8</v>
      </c>
      <c r="F13" s="16" t="s">
        <v>9</v>
      </c>
      <c r="H13" s="3" t="s">
        <v>10</v>
      </c>
    </row>
    <row r="14" spans="2:10" x14ac:dyDescent="0.25">
      <c r="B14" s="16" t="s">
        <v>26</v>
      </c>
      <c r="C14" s="18">
        <f t="shared" ref="C14:F18" si="2">C5/$H5</f>
        <v>0.4</v>
      </c>
      <c r="D14" s="18">
        <f t="shared" si="2"/>
        <v>0.4</v>
      </c>
      <c r="E14" s="18">
        <f t="shared" si="2"/>
        <v>0</v>
      </c>
      <c r="F14" s="18">
        <f t="shared" si="2"/>
        <v>0.2</v>
      </c>
      <c r="H14" s="19">
        <f>SUM(C14:F14)</f>
        <v>1</v>
      </c>
    </row>
    <row r="15" spans="2:10" x14ac:dyDescent="0.25">
      <c r="B15" s="16" t="s">
        <v>1</v>
      </c>
      <c r="C15" s="18">
        <f t="shared" si="2"/>
        <v>0.41176470588235292</v>
      </c>
      <c r="D15" s="18">
        <f t="shared" si="2"/>
        <v>0.37254901960784315</v>
      </c>
      <c r="E15" s="18">
        <f t="shared" si="2"/>
        <v>0.19607843137254902</v>
      </c>
      <c r="F15" s="18">
        <f t="shared" si="2"/>
        <v>1.9607843137254902E-2</v>
      </c>
      <c r="H15" s="19">
        <f>SUM(C15:F15)</f>
        <v>1</v>
      </c>
    </row>
    <row r="16" spans="2:10" x14ac:dyDescent="0.25">
      <c r="B16" s="16" t="s">
        <v>14</v>
      </c>
      <c r="C16" s="18">
        <f t="shared" si="2"/>
        <v>0.41964285714285715</v>
      </c>
      <c r="D16" s="18">
        <f t="shared" si="2"/>
        <v>0.16964285714285715</v>
      </c>
      <c r="E16" s="18">
        <f t="shared" si="2"/>
        <v>0.2857142857142857</v>
      </c>
      <c r="F16" s="18">
        <f t="shared" si="2"/>
        <v>0.125</v>
      </c>
      <c r="H16" s="19">
        <f>SUM(C16:F16)</f>
        <v>1</v>
      </c>
    </row>
    <row r="17" spans="2:8" x14ac:dyDescent="0.25">
      <c r="B17" s="16" t="s">
        <v>2</v>
      </c>
      <c r="C17" s="18">
        <f t="shared" si="2"/>
        <v>0.31818181818181818</v>
      </c>
      <c r="D17" s="18">
        <f t="shared" si="2"/>
        <v>0.13636363636363635</v>
      </c>
      <c r="E17" s="18">
        <f t="shared" si="2"/>
        <v>0.40909090909090912</v>
      </c>
      <c r="F17" s="18">
        <f t="shared" si="2"/>
        <v>0.13636363636363635</v>
      </c>
      <c r="H17" s="19">
        <f>SUM(C17:F17)</f>
        <v>1</v>
      </c>
    </row>
    <row r="18" spans="2:8" x14ac:dyDescent="0.25">
      <c r="B18" s="16" t="s">
        <v>3</v>
      </c>
      <c r="C18" s="18">
        <f t="shared" si="2"/>
        <v>0.34782608695652173</v>
      </c>
      <c r="D18" s="18">
        <f t="shared" si="2"/>
        <v>0.21739130434782608</v>
      </c>
      <c r="E18" s="18">
        <f t="shared" si="2"/>
        <v>0.36956521739130432</v>
      </c>
      <c r="F18" s="18">
        <f t="shared" si="2"/>
        <v>6.5217391304347824E-2</v>
      </c>
      <c r="H18" s="19">
        <f>SUM(C18:F18)</f>
        <v>0.99999999999999989</v>
      </c>
    </row>
    <row r="20" spans="2:8" x14ac:dyDescent="0.25">
      <c r="B20" s="3" t="s">
        <v>12</v>
      </c>
      <c r="C20" s="18">
        <f>C10/$H10</f>
        <v>0.3940677966101695</v>
      </c>
      <c r="D20" s="18">
        <f>D10/$H10</f>
        <v>0.22457627118644069</v>
      </c>
      <c r="E20" s="18">
        <f>E10/$H10</f>
        <v>0.28813559322033899</v>
      </c>
      <c r="F20" s="18">
        <f>F10/$H10</f>
        <v>9.3220338983050849E-2</v>
      </c>
      <c r="H20" s="20">
        <f>SUM(C20:F20)</f>
        <v>1</v>
      </c>
    </row>
    <row r="22" spans="2:8" x14ac:dyDescent="0.25">
      <c r="B22" s="16"/>
      <c r="C22" s="30" t="s">
        <v>17</v>
      </c>
      <c r="D22" s="30" t="s">
        <v>18</v>
      </c>
      <c r="E22" s="32"/>
      <c r="H22" s="3" t="s">
        <v>10</v>
      </c>
    </row>
    <row r="23" spans="2:8" x14ac:dyDescent="0.25">
      <c r="B23" s="5" t="s">
        <v>26</v>
      </c>
      <c r="C23" s="31">
        <f>C14+D14</f>
        <v>0.8</v>
      </c>
      <c r="D23" s="31">
        <f>F14+E14</f>
        <v>0.2</v>
      </c>
      <c r="E23" s="33"/>
      <c r="H23" s="3"/>
    </row>
    <row r="24" spans="2:8" x14ac:dyDescent="0.25">
      <c r="B24" s="5" t="s">
        <v>1</v>
      </c>
      <c r="C24" s="31">
        <f t="shared" ref="C24:C27" si="3">C15+D15</f>
        <v>0.78431372549019607</v>
      </c>
      <c r="D24" s="31">
        <f t="shared" ref="D24:D27" si="4">F15+E15</f>
        <v>0.21568627450980393</v>
      </c>
      <c r="E24" s="34"/>
      <c r="H24" s="3"/>
    </row>
    <row r="25" spans="2:8" x14ac:dyDescent="0.25">
      <c r="B25" s="5" t="s">
        <v>14</v>
      </c>
      <c r="C25" s="31">
        <f t="shared" si="3"/>
        <v>0.5892857142857143</v>
      </c>
      <c r="D25" s="31">
        <f t="shared" si="4"/>
        <v>0.4107142857142857</v>
      </c>
      <c r="E25" s="34"/>
      <c r="H25" s="19">
        <f>SUM(C25:G25)</f>
        <v>1</v>
      </c>
    </row>
    <row r="26" spans="2:8" x14ac:dyDescent="0.25">
      <c r="B26" s="5" t="s">
        <v>2</v>
      </c>
      <c r="C26" s="31">
        <f t="shared" si="3"/>
        <v>0.45454545454545453</v>
      </c>
      <c r="D26" s="31">
        <f t="shared" si="4"/>
        <v>0.54545454545454541</v>
      </c>
      <c r="E26" s="34"/>
      <c r="H26" s="19">
        <f>SUM(C26:G26)</f>
        <v>1</v>
      </c>
    </row>
    <row r="27" spans="2:8" x14ac:dyDescent="0.25">
      <c r="B27" s="5" t="s">
        <v>3</v>
      </c>
      <c r="C27" s="31">
        <f t="shared" si="3"/>
        <v>0.56521739130434778</v>
      </c>
      <c r="D27" s="31">
        <f t="shared" si="4"/>
        <v>0.43478260869565216</v>
      </c>
      <c r="E27" s="34"/>
      <c r="H27" s="19">
        <f>SUM(C27:G27)</f>
        <v>1</v>
      </c>
    </row>
    <row r="28" spans="2:8" ht="6" customHeight="1" x14ac:dyDescent="0.25">
      <c r="C28" s="18"/>
    </row>
    <row r="29" spans="2:8" x14ac:dyDescent="0.25">
      <c r="B29" s="6" t="s">
        <v>19</v>
      </c>
      <c r="C29" s="21">
        <f>C20+D20</f>
        <v>0.61864406779661019</v>
      </c>
      <c r="D29" s="21">
        <f>F20+E20</f>
        <v>0.38135593220338981</v>
      </c>
      <c r="E29" s="34"/>
      <c r="H29" s="20">
        <f>SUM(C29:G29)</f>
        <v>1</v>
      </c>
    </row>
    <row r="31" spans="2:8" x14ac:dyDescent="0.25">
      <c r="B31" s="16"/>
      <c r="C31" s="30" t="s">
        <v>20</v>
      </c>
      <c r="D31" s="30" t="s">
        <v>21</v>
      </c>
      <c r="F31" s="16"/>
      <c r="G31" s="16"/>
      <c r="H31" s="3" t="s">
        <v>10</v>
      </c>
    </row>
    <row r="32" spans="2:8" x14ac:dyDescent="0.25">
      <c r="B32" s="5" t="s">
        <v>26</v>
      </c>
      <c r="C32" s="31">
        <f>D14+F14</f>
        <v>0.60000000000000009</v>
      </c>
      <c r="D32" s="31">
        <f>C14+E14</f>
        <v>0.4</v>
      </c>
      <c r="F32" s="16"/>
      <c r="G32" s="16"/>
      <c r="H32" s="3"/>
    </row>
    <row r="33" spans="2:8" x14ac:dyDescent="0.25">
      <c r="B33" s="5" t="s">
        <v>1</v>
      </c>
      <c r="C33" s="31">
        <f>D15+F15</f>
        <v>0.39215686274509803</v>
      </c>
      <c r="D33" s="31">
        <f>C15+E15</f>
        <v>0.60784313725490191</v>
      </c>
      <c r="F33" s="18"/>
      <c r="G33" s="18"/>
      <c r="H33" s="19">
        <f>SUM(C33:G33)</f>
        <v>1</v>
      </c>
    </row>
    <row r="34" spans="2:8" x14ac:dyDescent="0.25">
      <c r="B34" s="5" t="s">
        <v>14</v>
      </c>
      <c r="C34" s="31">
        <f>D16+F16</f>
        <v>0.29464285714285715</v>
      </c>
      <c r="D34" s="31">
        <f>C16+E16</f>
        <v>0.70535714285714279</v>
      </c>
      <c r="F34" s="18"/>
      <c r="G34" s="18"/>
      <c r="H34" s="19">
        <f>SUM(C34:G34)</f>
        <v>1</v>
      </c>
    </row>
    <row r="35" spans="2:8" x14ac:dyDescent="0.25">
      <c r="B35" s="5" t="s">
        <v>2</v>
      </c>
      <c r="C35" s="31">
        <f>D17+F17</f>
        <v>0.27272727272727271</v>
      </c>
      <c r="D35" s="31">
        <f>C17+E17</f>
        <v>0.72727272727272729</v>
      </c>
      <c r="F35" s="18"/>
      <c r="G35" s="18"/>
      <c r="H35" s="19">
        <f>SUM(C35:G35)</f>
        <v>1</v>
      </c>
    </row>
    <row r="36" spans="2:8" x14ac:dyDescent="0.25">
      <c r="B36" s="5" t="s">
        <v>3</v>
      </c>
      <c r="C36" s="31">
        <f>D18+F18</f>
        <v>0.28260869565217389</v>
      </c>
      <c r="D36" s="31">
        <f>C18+E18</f>
        <v>0.71739130434782605</v>
      </c>
      <c r="F36" s="18"/>
      <c r="G36" s="18"/>
      <c r="H36" s="19">
        <f>SUM(C36:G36)</f>
        <v>1</v>
      </c>
    </row>
    <row r="37" spans="2:8" ht="6" customHeight="1" x14ac:dyDescent="0.25">
      <c r="C37" s="18"/>
    </row>
    <row r="38" spans="2:8" x14ac:dyDescent="0.25">
      <c r="B38" s="6" t="s">
        <v>19</v>
      </c>
      <c r="C38" s="21">
        <f>D20+F20</f>
        <v>0.31779661016949157</v>
      </c>
      <c r="D38" s="21">
        <f>C20+E20</f>
        <v>0.68220338983050843</v>
      </c>
      <c r="F38" s="18"/>
      <c r="G38" s="18"/>
      <c r="H38" s="20">
        <f>SUM(C38:G38)</f>
        <v>1</v>
      </c>
    </row>
  </sheetData>
  <mergeCells count="2">
    <mergeCell ref="C3:H3"/>
    <mergeCell ref="C2:H2"/>
  </mergeCells>
  <conditionalFormatting sqref="C14:F14">
    <cfRule type="colorScale" priority="6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C15:F20 C21:G30 F31:G38 C31:D38">
    <cfRule type="colorScale" priority="7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Compil données 2021</vt:lpstr>
      <vt:lpstr>7h30-8h30</vt:lpstr>
      <vt:lpstr>7h-8h30</vt:lpstr>
      <vt:lpstr>Analyse détaillée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Martin Josso</cp:lastModifiedBy>
  <dcterms:created xsi:type="dcterms:W3CDTF">2021-06-02T06:42:21Z</dcterms:created>
  <dcterms:modified xsi:type="dcterms:W3CDTF">2021-06-02T11:27:56Z</dcterms:modified>
</cp:coreProperties>
</file>