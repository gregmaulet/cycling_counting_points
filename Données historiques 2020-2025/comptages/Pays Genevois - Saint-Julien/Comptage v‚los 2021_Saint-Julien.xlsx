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2cb1d6e82a77df/Documents/"/>
    </mc:Choice>
  </mc:AlternateContent>
  <xr:revisionPtr revIDLastSave="239" documentId="8_{25E5ABCC-CD47-456E-8B3A-6FAE8D15E073}" xr6:coauthVersionLast="47" xr6:coauthVersionMax="47" xr10:uidLastSave="{BE5959FE-4992-49AE-AAE4-16664CB3EA5F}"/>
  <bookViews>
    <workbookView xWindow="-15" yWindow="-16320" windowWidth="29040" windowHeight="15840" xr2:uid="{00000000-000D-0000-FFFF-FFFF00000000}"/>
  </bookViews>
  <sheets>
    <sheet name="Comptage 1er juin 2021" sheetId="2" r:id="rId1"/>
    <sheet name="Comptage 16 juin 2020" sheetId="1" r:id="rId2"/>
  </sheets>
  <definedNames>
    <definedName name="_xlnm._FilterDatabase" localSheetId="1" hidden="1">'Comptage 16 juin 2020'!$A$2:$C$15</definedName>
    <definedName name="_xlnm._FilterDatabase" localSheetId="0" hidden="1">'Comptage 1er juin 2021'!$A$2:$C$19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2" l="1"/>
  <c r="D47" i="2"/>
  <c r="E47" i="2"/>
  <c r="F47" i="2"/>
  <c r="G47" i="2"/>
  <c r="L47" i="2" s="1"/>
  <c r="C46" i="2"/>
  <c r="D46" i="2"/>
  <c r="E46" i="2"/>
  <c r="L46" i="2" s="1"/>
  <c r="F46" i="2"/>
  <c r="G46" i="2"/>
  <c r="C45" i="2"/>
  <c r="D45" i="2"/>
  <c r="E45" i="2"/>
  <c r="F45" i="2"/>
  <c r="G45" i="2"/>
  <c r="C44" i="2"/>
  <c r="D44" i="2"/>
  <c r="E44" i="2"/>
  <c r="L44" i="2" s="1"/>
  <c r="F44" i="2"/>
  <c r="G44" i="2"/>
  <c r="C43" i="2"/>
  <c r="D43" i="2"/>
  <c r="E43" i="2"/>
  <c r="F43" i="2"/>
  <c r="G43" i="2"/>
  <c r="C42" i="2"/>
  <c r="D42" i="2"/>
  <c r="E42" i="2"/>
  <c r="F42" i="2"/>
  <c r="G42" i="2"/>
  <c r="C41" i="2"/>
  <c r="D41" i="2"/>
  <c r="E41" i="2"/>
  <c r="L41" i="2" s="1"/>
  <c r="F41" i="2"/>
  <c r="G41" i="2"/>
  <c r="C40" i="2"/>
  <c r="D40" i="2"/>
  <c r="E40" i="2"/>
  <c r="L40" i="2" s="1"/>
  <c r="F40" i="2"/>
  <c r="F49" i="2" s="1"/>
  <c r="G40" i="2"/>
  <c r="O27" i="2"/>
  <c r="O28" i="2"/>
  <c r="O29" i="2"/>
  <c r="O30" i="2"/>
  <c r="O31" i="2"/>
  <c r="O32" i="2"/>
  <c r="O33" i="2"/>
  <c r="O26" i="2"/>
  <c r="O35" i="2" s="1"/>
  <c r="H27" i="2"/>
  <c r="H28" i="2"/>
  <c r="H29" i="2"/>
  <c r="H30" i="2"/>
  <c r="H31" i="2"/>
  <c r="H32" i="2"/>
  <c r="H33" i="2"/>
  <c r="H26" i="2"/>
  <c r="I35" i="2"/>
  <c r="C35" i="2"/>
  <c r="D35" i="2"/>
  <c r="E35" i="2"/>
  <c r="F35" i="2"/>
  <c r="G35" i="2"/>
  <c r="B35" i="2"/>
  <c r="B45" i="2"/>
  <c r="B44" i="2"/>
  <c r="N35" i="2"/>
  <c r="M35" i="2"/>
  <c r="L35" i="2"/>
  <c r="K35" i="2"/>
  <c r="J35" i="2"/>
  <c r="B47" i="2"/>
  <c r="H47" i="2" s="1"/>
  <c r="B46" i="2"/>
  <c r="H46" i="2" s="1"/>
  <c r="B43" i="2"/>
  <c r="H43" i="2" s="1"/>
  <c r="B42" i="2"/>
  <c r="B41" i="2"/>
  <c r="B40" i="2"/>
  <c r="B49" i="2" s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I35" i="1"/>
  <c r="E35" i="1"/>
  <c r="D35" i="1"/>
  <c r="C35" i="1"/>
  <c r="B35" i="1"/>
  <c r="F35" i="1" s="1"/>
  <c r="H35" i="1" s="1"/>
  <c r="E34" i="1"/>
  <c r="D34" i="1"/>
  <c r="C34" i="1"/>
  <c r="C41" i="1" s="1"/>
  <c r="B34" i="1"/>
  <c r="J41" i="2" l="1"/>
  <c r="J45" i="2"/>
  <c r="J44" i="2"/>
  <c r="K43" i="2"/>
  <c r="K46" i="2"/>
  <c r="H35" i="2"/>
  <c r="H41" i="2"/>
  <c r="J46" i="2"/>
  <c r="J43" i="2"/>
  <c r="H40" i="2"/>
  <c r="J40" i="2" s="1"/>
  <c r="H44" i="2"/>
  <c r="K40" i="2"/>
  <c r="J47" i="2"/>
  <c r="L45" i="2"/>
  <c r="K44" i="2"/>
  <c r="L42" i="2"/>
  <c r="K41" i="2"/>
  <c r="H45" i="2"/>
  <c r="K45" i="2" s="1"/>
  <c r="K47" i="2"/>
  <c r="H42" i="2"/>
  <c r="K42" i="2" s="1"/>
  <c r="I41" i="2"/>
  <c r="E41" i="1"/>
  <c r="I36" i="1"/>
  <c r="I37" i="1"/>
  <c r="I39" i="1"/>
  <c r="C49" i="2"/>
  <c r="G49" i="2"/>
  <c r="D49" i="2"/>
  <c r="E49" i="2"/>
  <c r="F39" i="1"/>
  <c r="D41" i="1"/>
  <c r="F36" i="1"/>
  <c r="F37" i="1"/>
  <c r="F34" i="1"/>
  <c r="I40" i="2" s="1"/>
  <c r="I34" i="1"/>
  <c r="F38" i="1"/>
  <c r="G34" i="1"/>
  <c r="G35" i="1"/>
  <c r="G36" i="1"/>
  <c r="G39" i="1"/>
  <c r="B41" i="1"/>
  <c r="J42" i="2" l="1"/>
  <c r="E5" i="2"/>
  <c r="H49" i="2"/>
  <c r="H39" i="1"/>
  <c r="I45" i="2"/>
  <c r="H34" i="1"/>
  <c r="H37" i="1"/>
  <c r="I43" i="2"/>
  <c r="H38" i="1"/>
  <c r="I44" i="2"/>
  <c r="H36" i="1"/>
  <c r="I42" i="2"/>
  <c r="F41" i="1"/>
  <c r="G38" i="1"/>
  <c r="G37" i="1"/>
  <c r="F27" i="1"/>
  <c r="F26" i="1"/>
  <c r="F25" i="1"/>
  <c r="F24" i="1"/>
  <c r="F23" i="1"/>
  <c r="F22" i="1"/>
  <c r="F5" i="2" l="1"/>
  <c r="G5" i="2" s="1"/>
  <c r="J29" i="1"/>
  <c r="I29" i="1"/>
  <c r="H29" i="1"/>
  <c r="G29" i="1"/>
  <c r="E29" i="1"/>
  <c r="D29" i="1"/>
  <c r="C29" i="1"/>
  <c r="B29" i="1"/>
  <c r="K27" i="1"/>
  <c r="K26" i="1"/>
  <c r="K25" i="1"/>
  <c r="K24" i="1"/>
  <c r="K23" i="1"/>
  <c r="K22" i="1"/>
  <c r="F29" i="1" l="1"/>
  <c r="K29" i="1"/>
</calcChain>
</file>

<file path=xl/sharedStrings.xml><?xml version="1.0" encoding="utf-8"?>
<sst xmlns="http://schemas.openxmlformats.org/spreadsheetml/2006/main" count="150" uniqueCount="65">
  <si>
    <t>Compteur</t>
  </si>
  <si>
    <t>Emplacement</t>
  </si>
  <si>
    <t>Type</t>
  </si>
  <si>
    <t>Douane</t>
  </si>
  <si>
    <t>16.06.2020
De 7h30 à 8h30</t>
  </si>
  <si>
    <t>VERS SUISSE</t>
  </si>
  <si>
    <t>VERS France</t>
  </si>
  <si>
    <t>VAE Homme</t>
  </si>
  <si>
    <t>Vélo Homme</t>
  </si>
  <si>
    <t>VAE Femme</t>
  </si>
  <si>
    <t>Vélo Femmes</t>
  </si>
  <si>
    <t>TOTAL VERS SUISSE</t>
  </si>
  <si>
    <t>TOTAL VERS France</t>
  </si>
  <si>
    <t>TOTAL</t>
  </si>
  <si>
    <t>Sylviane</t>
  </si>
  <si>
    <t>Mireille</t>
  </si>
  <si>
    <t>Perly</t>
  </si>
  <si>
    <t>Jean Louis</t>
  </si>
  <si>
    <t>Dorine</t>
  </si>
  <si>
    <t>chemin</t>
  </si>
  <si>
    <t>crottes</t>
  </si>
  <si>
    <t>paguette</t>
  </si>
  <si>
    <t>Véronique</t>
  </si>
  <si>
    <t>Monique</t>
  </si>
  <si>
    <t>Max</t>
  </si>
  <si>
    <t>Jean claude</t>
  </si>
  <si>
    <t>Pierre</t>
  </si>
  <si>
    <t>Soral 1</t>
  </si>
  <si>
    <t>Soral 2</t>
  </si>
  <si>
    <t>Gérard</t>
  </si>
  <si>
    <t xml:space="preserve">certoux </t>
  </si>
  <si>
    <t>Paguette</t>
  </si>
  <si>
    <t>certoux</t>
  </si>
  <si>
    <t>soral 1</t>
  </si>
  <si>
    <t>soral 2</t>
  </si>
  <si>
    <t>TOTAL DES 2 DIRECTIONS</t>
  </si>
  <si>
    <t>% VAE</t>
  </si>
  <si>
    <t>% femmes</t>
  </si>
  <si>
    <t>VAE chez les femmes</t>
  </si>
  <si>
    <t>01.06.2021
De 7h30 à 8h30</t>
  </si>
  <si>
    <t>Crottes</t>
  </si>
  <si>
    <t>Chemin</t>
  </si>
  <si>
    <t xml:space="preserve">Certoux </t>
  </si>
  <si>
    <t>Malagny</t>
  </si>
  <si>
    <t>La Joux</t>
  </si>
  <si>
    <t>Dominique</t>
  </si>
  <si>
    <t>André</t>
  </si>
  <si>
    <t>Jérôme</t>
  </si>
  <si>
    <t>Jean-Pierre</t>
  </si>
  <si>
    <t>Bernard</t>
  </si>
  <si>
    <t>Jean-Louis</t>
  </si>
  <si>
    <t>Jean-Michel</t>
  </si>
  <si>
    <t>Gilbert</t>
  </si>
  <si>
    <t>Cédric</t>
  </si>
  <si>
    <t>Didier</t>
  </si>
  <si>
    <t>Gérard T.</t>
  </si>
  <si>
    <t>Gérard B.</t>
  </si>
  <si>
    <t>Certoux</t>
  </si>
  <si>
    <t>Autre Homme</t>
  </si>
  <si>
    <t>Autre Femmes</t>
  </si>
  <si>
    <t>Année -1</t>
  </si>
  <si>
    <t xml:space="preserve">Comparaison année -1 sur les 6 postes communs: </t>
  </si>
  <si>
    <t>Croissance</t>
  </si>
  <si>
    <t>TOTAL VERS FRANCE</t>
  </si>
  <si>
    <t>Jean-Pierre 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</si>
</sst>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9" fontId="0" fillId="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4" xfId="0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9" fontId="1" fillId="4" borderId="1" xfId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1476-2245-48B8-86D0-5494517C6034}">
  <sheetPr>
    <pageSetUpPr fitToPage="1"/>
  </sheetPr>
  <dimension ref="A2:O50"/>
  <sheetViews>
    <sheetView showGridLines="0" tabSelected="1" zoomScale="85" zoomScaleNormal="85" workbookViewId="0">
      <selection activeCell="G18" sqref="G18"/>
    </sheetView>
  </sheetViews>
  <sheetFormatPr baseColWidth="10" defaultRowHeight="14.5" x14ac:dyDescent="0.35"/>
  <cols>
    <col min="1" max="1" width="20.54296875" bestFit="1" customWidth="1"/>
    <col min="2" max="5" width="12.6328125" customWidth="1"/>
    <col min="6" max="6" width="12.6328125" style="2" customWidth="1"/>
    <col min="7" max="7" width="12.6328125" customWidth="1"/>
    <col min="8" max="8" width="16.6328125" customWidth="1"/>
    <col min="9" max="10" width="12.6328125" customWidth="1"/>
    <col min="11" max="11" width="12.6328125" style="2" customWidth="1"/>
    <col min="12" max="14" width="12.6328125" customWidth="1"/>
    <col min="15" max="15" width="17.6328125" customWidth="1"/>
  </cols>
  <sheetData>
    <row r="2" spans="1:7" x14ac:dyDescent="0.35">
      <c r="A2" s="1" t="s">
        <v>0</v>
      </c>
      <c r="B2" s="1" t="s">
        <v>1</v>
      </c>
      <c r="C2" s="1" t="s">
        <v>2</v>
      </c>
      <c r="E2" s="2" t="s">
        <v>61</v>
      </c>
      <c r="G2" s="2"/>
    </row>
    <row r="3" spans="1:7" x14ac:dyDescent="0.35">
      <c r="A3" s="19" t="s">
        <v>14</v>
      </c>
      <c r="B3" s="25" t="s">
        <v>16</v>
      </c>
      <c r="C3" s="25" t="s">
        <v>3</v>
      </c>
      <c r="F3"/>
    </row>
    <row r="4" spans="1:7" x14ac:dyDescent="0.35">
      <c r="A4" s="19" t="s">
        <v>15</v>
      </c>
      <c r="B4" s="25"/>
      <c r="C4" s="25"/>
      <c r="E4" s="10">
        <v>2021</v>
      </c>
      <c r="F4" s="10">
        <v>2020</v>
      </c>
      <c r="G4" s="10" t="s">
        <v>62</v>
      </c>
    </row>
    <row r="5" spans="1:7" x14ac:dyDescent="0.35">
      <c r="A5" s="19" t="s">
        <v>64</v>
      </c>
      <c r="B5" s="25"/>
      <c r="C5" s="25"/>
      <c r="E5" s="18">
        <f>SUM(H40:H45)</f>
        <v>219</v>
      </c>
      <c r="F5" s="18">
        <f>SUM(I40:I45)</f>
        <v>167</v>
      </c>
      <c r="G5" s="23">
        <f>(E5-F5)/F5</f>
        <v>0.31137724550898205</v>
      </c>
    </row>
    <row r="6" spans="1:7" x14ac:dyDescent="0.35">
      <c r="A6" s="19" t="s">
        <v>51</v>
      </c>
      <c r="B6" s="25" t="s">
        <v>40</v>
      </c>
      <c r="C6" s="25" t="s">
        <v>41</v>
      </c>
    </row>
    <row r="7" spans="1:7" x14ac:dyDescent="0.35">
      <c r="A7" s="19" t="s">
        <v>52</v>
      </c>
      <c r="B7" s="25"/>
      <c r="C7" s="25"/>
    </row>
    <row r="8" spans="1:7" x14ac:dyDescent="0.35">
      <c r="A8" s="19" t="s">
        <v>22</v>
      </c>
      <c r="B8" s="29" t="s">
        <v>31</v>
      </c>
      <c r="C8" s="29" t="s">
        <v>19</v>
      </c>
    </row>
    <row r="9" spans="1:7" x14ac:dyDescent="0.35">
      <c r="A9" s="19" t="s">
        <v>45</v>
      </c>
      <c r="B9" s="30"/>
      <c r="C9" s="30"/>
    </row>
    <row r="10" spans="1:7" x14ac:dyDescent="0.35">
      <c r="A10" s="19" t="s">
        <v>54</v>
      </c>
      <c r="B10" s="25" t="s">
        <v>42</v>
      </c>
      <c r="C10" s="25" t="s">
        <v>3</v>
      </c>
    </row>
    <row r="11" spans="1:7" x14ac:dyDescent="0.35">
      <c r="A11" s="19" t="s">
        <v>55</v>
      </c>
      <c r="B11" s="25"/>
      <c r="C11" s="25"/>
    </row>
    <row r="12" spans="1:7" x14ac:dyDescent="0.35">
      <c r="A12" s="19" t="s">
        <v>26</v>
      </c>
      <c r="B12" s="25" t="s">
        <v>27</v>
      </c>
      <c r="C12" s="25" t="s">
        <v>3</v>
      </c>
    </row>
    <row r="13" spans="1:7" x14ac:dyDescent="0.35">
      <c r="A13" s="19" t="s">
        <v>50</v>
      </c>
      <c r="B13" s="25"/>
      <c r="C13" s="25"/>
    </row>
    <row r="14" spans="1:7" x14ac:dyDescent="0.35">
      <c r="A14" s="19" t="s">
        <v>56</v>
      </c>
      <c r="B14" s="29" t="s">
        <v>28</v>
      </c>
      <c r="C14" s="29" t="s">
        <v>3</v>
      </c>
    </row>
    <row r="15" spans="1:7" x14ac:dyDescent="0.35">
      <c r="A15" s="19" t="s">
        <v>53</v>
      </c>
      <c r="B15" s="30"/>
      <c r="C15" s="30"/>
    </row>
    <row r="16" spans="1:7" x14ac:dyDescent="0.35">
      <c r="A16" s="19" t="s">
        <v>48</v>
      </c>
      <c r="B16" s="29" t="s">
        <v>43</v>
      </c>
      <c r="C16" s="29" t="s">
        <v>3</v>
      </c>
    </row>
    <row r="17" spans="1:15" x14ac:dyDescent="0.35">
      <c r="A17" s="19" t="s">
        <v>49</v>
      </c>
      <c r="B17" s="30"/>
      <c r="C17" s="30"/>
    </row>
    <row r="18" spans="1:15" x14ac:dyDescent="0.35">
      <c r="A18" s="19" t="s">
        <v>46</v>
      </c>
      <c r="B18" s="29" t="s">
        <v>44</v>
      </c>
      <c r="C18" s="29" t="s">
        <v>3</v>
      </c>
    </row>
    <row r="19" spans="1:15" x14ac:dyDescent="0.35">
      <c r="A19" s="19" t="s">
        <v>47</v>
      </c>
      <c r="B19" s="30"/>
      <c r="C19" s="30"/>
    </row>
    <row r="20" spans="1:15" x14ac:dyDescent="0.35">
      <c r="C20" s="7"/>
    </row>
    <row r="21" spans="1:15" x14ac:dyDescent="0.35">
      <c r="A21" s="8"/>
      <c r="B21" s="2"/>
      <c r="C21" s="8"/>
    </row>
    <row r="22" spans="1:15" x14ac:dyDescent="0.35">
      <c r="A22" s="20"/>
    </row>
    <row r="23" spans="1:15" x14ac:dyDescent="0.35">
      <c r="A23" s="20"/>
    </row>
    <row r="24" spans="1:15" x14ac:dyDescent="0.35">
      <c r="A24" s="31" t="s">
        <v>39</v>
      </c>
      <c r="B24" s="26" t="s">
        <v>5</v>
      </c>
      <c r="C24" s="27"/>
      <c r="D24" s="27"/>
      <c r="E24" s="27"/>
      <c r="F24" s="27"/>
      <c r="G24" s="27"/>
      <c r="H24" s="28"/>
      <c r="I24" s="26" t="s">
        <v>6</v>
      </c>
      <c r="J24" s="27"/>
      <c r="K24" s="27"/>
      <c r="L24" s="27"/>
      <c r="M24" s="27"/>
      <c r="N24" s="27"/>
      <c r="O24" s="28"/>
    </row>
    <row r="25" spans="1:15" x14ac:dyDescent="0.35">
      <c r="A25" s="31"/>
      <c r="B25" s="18" t="s">
        <v>7</v>
      </c>
      <c r="C25" s="18" t="s">
        <v>8</v>
      </c>
      <c r="D25" s="18" t="s">
        <v>58</v>
      </c>
      <c r="E25" s="18" t="s">
        <v>9</v>
      </c>
      <c r="F25" s="18" t="s">
        <v>10</v>
      </c>
      <c r="G25" s="18" t="s">
        <v>59</v>
      </c>
      <c r="H25" s="10" t="s">
        <v>11</v>
      </c>
      <c r="I25" s="18" t="s">
        <v>7</v>
      </c>
      <c r="J25" s="18" t="s">
        <v>8</v>
      </c>
      <c r="K25" s="18" t="s">
        <v>58</v>
      </c>
      <c r="L25" s="18" t="s">
        <v>9</v>
      </c>
      <c r="M25" s="18" t="s">
        <v>10</v>
      </c>
      <c r="N25" s="18" t="s">
        <v>59</v>
      </c>
      <c r="O25" s="10" t="s">
        <v>63</v>
      </c>
    </row>
    <row r="26" spans="1:15" x14ac:dyDescent="0.35">
      <c r="A26" s="18" t="s">
        <v>16</v>
      </c>
      <c r="B26" s="18">
        <v>17</v>
      </c>
      <c r="C26" s="18">
        <v>26</v>
      </c>
      <c r="D26" s="18">
        <v>4</v>
      </c>
      <c r="E26" s="18">
        <v>20</v>
      </c>
      <c r="F26" s="18">
        <v>8</v>
      </c>
      <c r="G26" s="18"/>
      <c r="H26" s="10">
        <f>SUM(B26:G26)</f>
        <v>75</v>
      </c>
      <c r="I26" s="18"/>
      <c r="J26" s="18"/>
      <c r="K26" s="18"/>
      <c r="L26" s="18">
        <v>1</v>
      </c>
      <c r="M26" s="18"/>
      <c r="N26" s="18"/>
      <c r="O26" s="10">
        <f>SUM(I26:N26)</f>
        <v>1</v>
      </c>
    </row>
    <row r="27" spans="1:15" x14ac:dyDescent="0.35">
      <c r="A27" s="18" t="s">
        <v>40</v>
      </c>
      <c r="B27" s="18">
        <v>23</v>
      </c>
      <c r="C27" s="18">
        <v>12</v>
      </c>
      <c r="D27" s="18"/>
      <c r="E27" s="18">
        <v>26</v>
      </c>
      <c r="F27" s="18">
        <v>10</v>
      </c>
      <c r="G27" s="18">
        <v>3</v>
      </c>
      <c r="H27" s="10">
        <f t="shared" ref="H27:H33" si="0">SUM(B27:G27)</f>
        <v>74</v>
      </c>
      <c r="I27" s="18">
        <v>2</v>
      </c>
      <c r="J27" s="18">
        <v>3</v>
      </c>
      <c r="K27" s="18"/>
      <c r="L27" s="18"/>
      <c r="M27" s="18">
        <v>1</v>
      </c>
      <c r="N27" s="18"/>
      <c r="O27" s="10">
        <f t="shared" ref="O27:O33" si="1">SUM(I27:N27)</f>
        <v>6</v>
      </c>
    </row>
    <row r="28" spans="1:15" x14ac:dyDescent="0.35">
      <c r="A28" s="18" t="s">
        <v>31</v>
      </c>
      <c r="B28" s="18">
        <v>5</v>
      </c>
      <c r="C28" s="18">
        <v>15</v>
      </c>
      <c r="D28" s="18"/>
      <c r="E28" s="18">
        <v>5</v>
      </c>
      <c r="F28" s="18">
        <v>6</v>
      </c>
      <c r="G28" s="18"/>
      <c r="H28" s="10">
        <f t="shared" si="0"/>
        <v>31</v>
      </c>
      <c r="I28" s="18"/>
      <c r="J28" s="18"/>
      <c r="K28" s="18"/>
      <c r="L28" s="18"/>
      <c r="M28" s="18"/>
      <c r="N28" s="18"/>
      <c r="O28" s="10">
        <f t="shared" si="1"/>
        <v>0</v>
      </c>
    </row>
    <row r="29" spans="1:15" x14ac:dyDescent="0.35">
      <c r="A29" s="18" t="s">
        <v>57</v>
      </c>
      <c r="B29" s="18">
        <v>5</v>
      </c>
      <c r="C29" s="18">
        <v>9</v>
      </c>
      <c r="D29" s="18">
        <v>1</v>
      </c>
      <c r="E29" s="18"/>
      <c r="F29" s="18"/>
      <c r="G29" s="18"/>
      <c r="H29" s="10">
        <f t="shared" si="0"/>
        <v>15</v>
      </c>
      <c r="I29" s="18"/>
      <c r="J29" s="18"/>
      <c r="K29" s="18"/>
      <c r="L29" s="18"/>
      <c r="M29" s="18"/>
      <c r="N29" s="18"/>
      <c r="O29" s="10">
        <f t="shared" si="1"/>
        <v>0</v>
      </c>
    </row>
    <row r="30" spans="1:15" x14ac:dyDescent="0.35">
      <c r="A30" s="18" t="s">
        <v>27</v>
      </c>
      <c r="B30" s="18"/>
      <c r="C30" s="18"/>
      <c r="D30" s="18"/>
      <c r="E30" s="18">
        <v>1</v>
      </c>
      <c r="F30" s="18"/>
      <c r="G30" s="18"/>
      <c r="H30" s="10">
        <f t="shared" si="0"/>
        <v>1</v>
      </c>
      <c r="I30" s="18"/>
      <c r="J30" s="18">
        <v>1</v>
      </c>
      <c r="K30" s="18"/>
      <c r="L30" s="18"/>
      <c r="M30" s="18"/>
      <c r="N30" s="18"/>
      <c r="O30" s="10">
        <f t="shared" si="1"/>
        <v>1</v>
      </c>
    </row>
    <row r="31" spans="1:15" x14ac:dyDescent="0.35">
      <c r="A31" s="18" t="s">
        <v>28</v>
      </c>
      <c r="B31" s="18">
        <v>6</v>
      </c>
      <c r="C31" s="18">
        <v>4</v>
      </c>
      <c r="D31" s="18"/>
      <c r="E31" s="18">
        <v>1</v>
      </c>
      <c r="F31" s="18">
        <v>2</v>
      </c>
      <c r="G31" s="18"/>
      <c r="H31" s="10">
        <f t="shared" si="0"/>
        <v>13</v>
      </c>
      <c r="I31" s="18"/>
      <c r="J31" s="18">
        <v>1</v>
      </c>
      <c r="K31" s="18"/>
      <c r="L31" s="18">
        <v>1</v>
      </c>
      <c r="M31" s="18"/>
      <c r="N31" s="18"/>
      <c r="O31" s="10">
        <f t="shared" si="1"/>
        <v>2</v>
      </c>
    </row>
    <row r="32" spans="1:15" x14ac:dyDescent="0.35">
      <c r="A32" s="18" t="s">
        <v>43</v>
      </c>
      <c r="B32" s="18">
        <v>3</v>
      </c>
      <c r="C32" s="18">
        <v>2</v>
      </c>
      <c r="D32" s="18"/>
      <c r="E32" s="18">
        <v>7</v>
      </c>
      <c r="F32" s="18"/>
      <c r="G32" s="18"/>
      <c r="H32" s="10">
        <f t="shared" si="0"/>
        <v>12</v>
      </c>
      <c r="I32" s="18"/>
      <c r="J32" s="18"/>
      <c r="K32" s="18"/>
      <c r="L32" s="18"/>
      <c r="M32" s="18"/>
      <c r="N32" s="18"/>
      <c r="O32" s="10">
        <f t="shared" si="1"/>
        <v>0</v>
      </c>
    </row>
    <row r="33" spans="1:15" x14ac:dyDescent="0.35">
      <c r="A33" s="18" t="s">
        <v>44</v>
      </c>
      <c r="B33" s="18">
        <v>9</v>
      </c>
      <c r="C33" s="18"/>
      <c r="D33" s="18"/>
      <c r="E33" s="18">
        <v>5</v>
      </c>
      <c r="F33" s="18"/>
      <c r="G33" s="18"/>
      <c r="H33" s="10">
        <f t="shared" si="0"/>
        <v>14</v>
      </c>
      <c r="I33" s="18"/>
      <c r="J33" s="18"/>
      <c r="K33" s="18"/>
      <c r="L33" s="18"/>
      <c r="M33" s="18"/>
      <c r="N33" s="18"/>
      <c r="O33" s="10">
        <f t="shared" si="1"/>
        <v>0</v>
      </c>
    </row>
    <row r="34" spans="1:15" x14ac:dyDescent="0.35">
      <c r="F34"/>
      <c r="H34" s="2"/>
      <c r="K34"/>
      <c r="O34" s="2"/>
    </row>
    <row r="35" spans="1:15" x14ac:dyDescent="0.35">
      <c r="A35" s="10" t="s">
        <v>13</v>
      </c>
      <c r="B35" s="10">
        <f>SUM(B26:B33)</f>
        <v>68</v>
      </c>
      <c r="C35" s="10">
        <f t="shared" ref="C35:G35" si="2">SUM(C26:C33)</f>
        <v>68</v>
      </c>
      <c r="D35" s="10">
        <f t="shared" si="2"/>
        <v>5</v>
      </c>
      <c r="E35" s="10">
        <f t="shared" si="2"/>
        <v>65</v>
      </c>
      <c r="F35" s="10">
        <f t="shared" si="2"/>
        <v>26</v>
      </c>
      <c r="G35" s="10">
        <f t="shared" si="2"/>
        <v>3</v>
      </c>
      <c r="H35" s="24">
        <f>SUM(H26:H33)</f>
        <v>235</v>
      </c>
      <c r="I35" s="10">
        <f>SUM(I26:I33)</f>
        <v>2</v>
      </c>
      <c r="J35" s="10">
        <f t="shared" ref="J35" si="3">SUM(J26:J33)</f>
        <v>5</v>
      </c>
      <c r="K35" s="10">
        <f>SUM(K26:K33)</f>
        <v>0</v>
      </c>
      <c r="L35" s="10">
        <f>SUM(L26:L33)</f>
        <v>2</v>
      </c>
      <c r="M35" s="10">
        <f>SUM(M26:M33)</f>
        <v>1</v>
      </c>
      <c r="N35" s="10">
        <f>SUM(N26:N33)</f>
        <v>0</v>
      </c>
      <c r="O35" s="24">
        <f>SUM(O26:O33)</f>
        <v>10</v>
      </c>
    </row>
    <row r="36" spans="1:15" x14ac:dyDescent="0.35">
      <c r="F36"/>
      <c r="H36" s="2"/>
      <c r="K36"/>
      <c r="M36" s="2"/>
    </row>
    <row r="37" spans="1:15" x14ac:dyDescent="0.35">
      <c r="F37"/>
      <c r="H37" s="2"/>
      <c r="K37"/>
      <c r="M37" s="2"/>
    </row>
    <row r="38" spans="1:15" x14ac:dyDescent="0.35">
      <c r="A38" s="31" t="s">
        <v>39</v>
      </c>
      <c r="B38" s="32" t="s">
        <v>35</v>
      </c>
      <c r="C38" s="32"/>
      <c r="D38" s="32"/>
      <c r="E38" s="32"/>
      <c r="F38" s="32"/>
      <c r="G38" s="32"/>
      <c r="H38" s="32"/>
      <c r="I38" s="20"/>
      <c r="J38" s="20"/>
      <c r="K38" s="20"/>
      <c r="M38" s="2"/>
    </row>
    <row r="39" spans="1:15" x14ac:dyDescent="0.35">
      <c r="A39" s="31"/>
      <c r="B39" s="18" t="s">
        <v>7</v>
      </c>
      <c r="C39" s="18" t="s">
        <v>8</v>
      </c>
      <c r="D39" s="18" t="s">
        <v>58</v>
      </c>
      <c r="E39" s="18" t="s">
        <v>9</v>
      </c>
      <c r="F39" s="18" t="s">
        <v>10</v>
      </c>
      <c r="G39" s="18" t="s">
        <v>59</v>
      </c>
      <c r="H39" s="10" t="s">
        <v>13</v>
      </c>
      <c r="I39" s="22" t="s">
        <v>60</v>
      </c>
      <c r="J39" s="14" t="s">
        <v>36</v>
      </c>
      <c r="K39" s="14" t="s">
        <v>37</v>
      </c>
      <c r="L39" s="15" t="s">
        <v>38</v>
      </c>
      <c r="M39" s="2"/>
    </row>
    <row r="40" spans="1:15" x14ac:dyDescent="0.35">
      <c r="A40" s="18" t="s">
        <v>16</v>
      </c>
      <c r="B40" s="18">
        <f t="shared" ref="B40:B47" si="4">B26+I26</f>
        <v>17</v>
      </c>
      <c r="C40" s="18">
        <f t="shared" ref="C40:G40" si="5">C26+J26</f>
        <v>26</v>
      </c>
      <c r="D40" s="18">
        <f t="shared" si="5"/>
        <v>4</v>
      </c>
      <c r="E40" s="18">
        <f t="shared" si="5"/>
        <v>21</v>
      </c>
      <c r="F40" s="18">
        <f t="shared" si="5"/>
        <v>8</v>
      </c>
      <c r="G40" s="18">
        <f t="shared" si="5"/>
        <v>0</v>
      </c>
      <c r="H40" s="10">
        <f>SUM(B40:G40)</f>
        <v>76</v>
      </c>
      <c r="I40" s="21">
        <f>'Comptage 16 juin 2020'!F34</f>
        <v>59</v>
      </c>
      <c r="J40" s="16">
        <f t="shared" ref="J40:J47" si="6">(B40+E40)/H40</f>
        <v>0.5</v>
      </c>
      <c r="K40" s="17">
        <f t="shared" ref="K40:K47" si="7">(E40+F40+G40)/H40</f>
        <v>0.38157894736842107</v>
      </c>
      <c r="L40" s="17">
        <f>E40/(E40+F40+G40)</f>
        <v>0.72413793103448276</v>
      </c>
      <c r="M40" s="2"/>
    </row>
    <row r="41" spans="1:15" x14ac:dyDescent="0.35">
      <c r="A41" s="18" t="s">
        <v>40</v>
      </c>
      <c r="B41" s="18">
        <f t="shared" si="4"/>
        <v>25</v>
      </c>
      <c r="C41" s="18">
        <f t="shared" ref="C41:G41" si="8">C27+J27</f>
        <v>15</v>
      </c>
      <c r="D41" s="18">
        <f t="shared" si="8"/>
        <v>0</v>
      </c>
      <c r="E41" s="18">
        <f t="shared" si="8"/>
        <v>26</v>
      </c>
      <c r="F41" s="18">
        <f t="shared" si="8"/>
        <v>11</v>
      </c>
      <c r="G41" s="18">
        <f t="shared" si="8"/>
        <v>3</v>
      </c>
      <c r="H41" s="10">
        <f t="shared" ref="H41:H47" si="9">SUM(B41:G41)</f>
        <v>80</v>
      </c>
      <c r="I41" s="21">
        <f>'Comptage 16 juin 2020'!F35</f>
        <v>45</v>
      </c>
      <c r="J41" s="16">
        <f t="shared" si="6"/>
        <v>0.63749999999999996</v>
      </c>
      <c r="K41" s="17">
        <f t="shared" si="7"/>
        <v>0.5</v>
      </c>
      <c r="L41" s="17">
        <f>E41/(E41+F41+G41)</f>
        <v>0.65</v>
      </c>
      <c r="M41" s="2"/>
    </row>
    <row r="42" spans="1:15" x14ac:dyDescent="0.35">
      <c r="A42" s="18" t="s">
        <v>31</v>
      </c>
      <c r="B42" s="18">
        <f t="shared" si="4"/>
        <v>5</v>
      </c>
      <c r="C42" s="18">
        <f t="shared" ref="C42:G42" si="10">C28+J28</f>
        <v>15</v>
      </c>
      <c r="D42" s="18">
        <f t="shared" si="10"/>
        <v>0</v>
      </c>
      <c r="E42" s="18">
        <f t="shared" si="10"/>
        <v>5</v>
      </c>
      <c r="F42" s="18">
        <f t="shared" si="10"/>
        <v>6</v>
      </c>
      <c r="G42" s="18">
        <f t="shared" si="10"/>
        <v>0</v>
      </c>
      <c r="H42" s="10">
        <f t="shared" si="9"/>
        <v>31</v>
      </c>
      <c r="I42" s="21">
        <f>'Comptage 16 juin 2020'!F36</f>
        <v>16</v>
      </c>
      <c r="J42" s="16">
        <f t="shared" si="6"/>
        <v>0.32258064516129031</v>
      </c>
      <c r="K42" s="17">
        <f t="shared" si="7"/>
        <v>0.35483870967741937</v>
      </c>
      <c r="L42" s="17">
        <f>E42/(E42+F42+G42)</f>
        <v>0.45454545454545453</v>
      </c>
      <c r="M42" s="2"/>
    </row>
    <row r="43" spans="1:15" x14ac:dyDescent="0.35">
      <c r="A43" s="18" t="s">
        <v>57</v>
      </c>
      <c r="B43" s="18">
        <f t="shared" si="4"/>
        <v>5</v>
      </c>
      <c r="C43" s="18">
        <f t="shared" ref="C43:G43" si="11">C29+J29</f>
        <v>9</v>
      </c>
      <c r="D43" s="18">
        <f t="shared" si="11"/>
        <v>1</v>
      </c>
      <c r="E43" s="18">
        <f t="shared" si="11"/>
        <v>0</v>
      </c>
      <c r="F43" s="18">
        <f t="shared" si="11"/>
        <v>0</v>
      </c>
      <c r="G43" s="18">
        <f t="shared" si="11"/>
        <v>0</v>
      </c>
      <c r="H43" s="10">
        <f t="shared" si="9"/>
        <v>15</v>
      </c>
      <c r="I43" s="21">
        <f>'Comptage 16 juin 2020'!F37</f>
        <v>31</v>
      </c>
      <c r="J43" s="16">
        <f t="shared" si="6"/>
        <v>0.33333333333333331</v>
      </c>
      <c r="K43" s="17">
        <f t="shared" si="7"/>
        <v>0</v>
      </c>
      <c r="L43" s="17"/>
      <c r="M43" s="2"/>
    </row>
    <row r="44" spans="1:15" x14ac:dyDescent="0.35">
      <c r="A44" s="18" t="s">
        <v>27</v>
      </c>
      <c r="B44" s="18">
        <f t="shared" si="4"/>
        <v>0</v>
      </c>
      <c r="C44" s="18">
        <f t="shared" ref="C44:G44" si="12">C30+J30</f>
        <v>1</v>
      </c>
      <c r="D44" s="18">
        <f t="shared" si="12"/>
        <v>0</v>
      </c>
      <c r="E44" s="18">
        <f t="shared" si="12"/>
        <v>1</v>
      </c>
      <c r="F44" s="18">
        <f t="shared" si="12"/>
        <v>0</v>
      </c>
      <c r="G44" s="18">
        <f t="shared" si="12"/>
        <v>0</v>
      </c>
      <c r="H44" s="10">
        <f t="shared" si="9"/>
        <v>2</v>
      </c>
      <c r="I44" s="21">
        <f>'Comptage 16 juin 2020'!F38</f>
        <v>3</v>
      </c>
      <c r="J44" s="16">
        <f t="shared" si="6"/>
        <v>0.5</v>
      </c>
      <c r="K44" s="17">
        <f t="shared" si="7"/>
        <v>0.5</v>
      </c>
      <c r="L44" s="17">
        <f>E44/(E44+F44+G44)</f>
        <v>1</v>
      </c>
      <c r="M44" s="2"/>
    </row>
    <row r="45" spans="1:15" x14ac:dyDescent="0.35">
      <c r="A45" s="18" t="s">
        <v>28</v>
      </c>
      <c r="B45" s="18">
        <f t="shared" si="4"/>
        <v>6</v>
      </c>
      <c r="C45" s="18">
        <f t="shared" ref="C45:G45" si="13">C31+J31</f>
        <v>5</v>
      </c>
      <c r="D45" s="18">
        <f t="shared" si="13"/>
        <v>0</v>
      </c>
      <c r="E45" s="18">
        <f t="shared" si="13"/>
        <v>2</v>
      </c>
      <c r="F45" s="18">
        <f t="shared" si="13"/>
        <v>2</v>
      </c>
      <c r="G45" s="18">
        <f t="shared" si="13"/>
        <v>0</v>
      </c>
      <c r="H45" s="10">
        <f t="shared" si="9"/>
        <v>15</v>
      </c>
      <c r="I45" s="21">
        <f>'Comptage 16 juin 2020'!F39</f>
        <v>13</v>
      </c>
      <c r="J45" s="16">
        <f t="shared" si="6"/>
        <v>0.53333333333333333</v>
      </c>
      <c r="K45" s="17">
        <f t="shared" si="7"/>
        <v>0.26666666666666666</v>
      </c>
      <c r="L45" s="17">
        <f>E45/(E45+F45+G45)</f>
        <v>0.5</v>
      </c>
      <c r="M45" s="2"/>
    </row>
    <row r="46" spans="1:15" x14ac:dyDescent="0.35">
      <c r="A46" s="18" t="s">
        <v>43</v>
      </c>
      <c r="B46" s="18">
        <f t="shared" si="4"/>
        <v>3</v>
      </c>
      <c r="C46" s="18">
        <f t="shared" ref="C46:G46" si="14">C32+J32</f>
        <v>2</v>
      </c>
      <c r="D46" s="18">
        <f t="shared" si="14"/>
        <v>0</v>
      </c>
      <c r="E46" s="18">
        <f t="shared" si="14"/>
        <v>7</v>
      </c>
      <c r="F46" s="18">
        <f t="shared" si="14"/>
        <v>0</v>
      </c>
      <c r="G46" s="18">
        <f t="shared" si="14"/>
        <v>0</v>
      </c>
      <c r="H46" s="10">
        <f t="shared" si="9"/>
        <v>12</v>
      </c>
      <c r="I46" s="21"/>
      <c r="J46" s="16">
        <f t="shared" si="6"/>
        <v>0.83333333333333337</v>
      </c>
      <c r="K46" s="17">
        <f t="shared" si="7"/>
        <v>0.58333333333333337</v>
      </c>
      <c r="L46" s="17">
        <f>E46/(E46+F46+G46)</f>
        <v>1</v>
      </c>
      <c r="M46" s="2"/>
    </row>
    <row r="47" spans="1:15" x14ac:dyDescent="0.35">
      <c r="A47" s="18" t="s">
        <v>44</v>
      </c>
      <c r="B47" s="18">
        <f t="shared" si="4"/>
        <v>9</v>
      </c>
      <c r="C47" s="18">
        <f t="shared" ref="C47:G47" si="15">C33+J33</f>
        <v>0</v>
      </c>
      <c r="D47" s="18">
        <f t="shared" si="15"/>
        <v>0</v>
      </c>
      <c r="E47" s="18">
        <f t="shared" si="15"/>
        <v>5</v>
      </c>
      <c r="F47" s="18">
        <f t="shared" si="15"/>
        <v>0</v>
      </c>
      <c r="G47" s="18">
        <f t="shared" si="15"/>
        <v>0</v>
      </c>
      <c r="H47" s="10">
        <f t="shared" si="9"/>
        <v>14</v>
      </c>
      <c r="I47" s="21"/>
      <c r="J47" s="16">
        <f t="shared" si="6"/>
        <v>1</v>
      </c>
      <c r="K47" s="17">
        <f t="shared" si="7"/>
        <v>0.35714285714285715</v>
      </c>
      <c r="L47" s="17">
        <f>E47/(E47+F47+G47)</f>
        <v>1</v>
      </c>
      <c r="M47" s="2"/>
    </row>
    <row r="48" spans="1:15" x14ac:dyDescent="0.35">
      <c r="F48"/>
      <c r="H48" s="2"/>
      <c r="I48" s="20"/>
      <c r="J48" s="20"/>
      <c r="K48" s="20"/>
      <c r="M48" s="2"/>
    </row>
    <row r="49" spans="1:13" x14ac:dyDescent="0.35">
      <c r="A49" s="10" t="s">
        <v>13</v>
      </c>
      <c r="B49" s="10">
        <f>SUM(B40:B47)</f>
        <v>70</v>
      </c>
      <c r="C49" s="10">
        <f t="shared" ref="C49" si="16">SUM(C40:C47)</f>
        <v>73</v>
      </c>
      <c r="D49" s="10">
        <f>SUM(D40:D47)</f>
        <v>5</v>
      </c>
      <c r="E49" s="10">
        <f>SUM(E40:E47)</f>
        <v>67</v>
      </c>
      <c r="F49" s="10">
        <f>SUM(F40:F47)</f>
        <v>27</v>
      </c>
      <c r="G49" s="10">
        <f>SUM(G40:G47)</f>
        <v>3</v>
      </c>
      <c r="H49" s="24">
        <f>SUM(H40:H47)</f>
        <v>245</v>
      </c>
      <c r="I49" s="20"/>
      <c r="J49" s="20"/>
      <c r="K49" s="20"/>
      <c r="M49" s="2"/>
    </row>
    <row r="50" spans="1:13" x14ac:dyDescent="0.35">
      <c r="F50"/>
      <c r="H50" s="2"/>
    </row>
  </sheetData>
  <mergeCells count="21">
    <mergeCell ref="A38:A39"/>
    <mergeCell ref="B8:B9"/>
    <mergeCell ref="C8:C9"/>
    <mergeCell ref="B38:H38"/>
    <mergeCell ref="A24:A25"/>
    <mergeCell ref="B14:B15"/>
    <mergeCell ref="C14:C15"/>
    <mergeCell ref="B16:B17"/>
    <mergeCell ref="C16:C17"/>
    <mergeCell ref="B24:H24"/>
    <mergeCell ref="I24:O24"/>
    <mergeCell ref="B12:B13"/>
    <mergeCell ref="C12:C13"/>
    <mergeCell ref="B18:B19"/>
    <mergeCell ref="C18:C19"/>
    <mergeCell ref="B3:B5"/>
    <mergeCell ref="C3:C5"/>
    <mergeCell ref="B6:B7"/>
    <mergeCell ref="C6:C7"/>
    <mergeCell ref="B10:B11"/>
    <mergeCell ref="C10:C11"/>
  </mergeCells>
  <pageMargins left="0.7" right="0.7" top="0.75" bottom="0.75" header="0.3" footer="0.3"/>
  <pageSetup paperSize="9" scale="5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41"/>
  <sheetViews>
    <sheetView showGridLines="0" zoomScale="85" zoomScaleNormal="85" workbookViewId="0">
      <selection activeCell="K10" sqref="K10"/>
    </sheetView>
  </sheetViews>
  <sheetFormatPr baseColWidth="10" defaultRowHeight="14.5" x14ac:dyDescent="0.35"/>
  <cols>
    <col min="1" max="1" width="20.54296875" bestFit="1" customWidth="1"/>
    <col min="2" max="2" width="13.54296875" bestFit="1" customWidth="1"/>
    <col min="4" max="4" width="10.7265625" bestFit="1" customWidth="1"/>
    <col min="5" max="5" width="11.81640625" bestFit="1" customWidth="1"/>
    <col min="6" max="6" width="17.7265625" style="2" bestFit="1" customWidth="1"/>
    <col min="7" max="7" width="11.1796875" bestFit="1" customWidth="1"/>
    <col min="9" max="9" width="10.7265625" bestFit="1" customWidth="1"/>
    <col min="10" max="10" width="11.81640625" bestFit="1" customWidth="1"/>
    <col min="11" max="11" width="17.26953125" style="2" bestFit="1" customWidth="1"/>
  </cols>
  <sheetData>
    <row r="2" spans="1:5" x14ac:dyDescent="0.35">
      <c r="A2" s="1" t="s">
        <v>0</v>
      </c>
      <c r="B2" s="1" t="s">
        <v>1</v>
      </c>
      <c r="C2" s="1" t="s">
        <v>2</v>
      </c>
    </row>
    <row r="3" spans="1:5" x14ac:dyDescent="0.35">
      <c r="A3" s="3" t="s">
        <v>14</v>
      </c>
      <c r="B3" s="25" t="s">
        <v>16</v>
      </c>
      <c r="C3" s="25" t="s">
        <v>3</v>
      </c>
    </row>
    <row r="4" spans="1:5" x14ac:dyDescent="0.35">
      <c r="A4" s="3" t="s">
        <v>15</v>
      </c>
      <c r="B4" s="25"/>
      <c r="C4" s="25"/>
      <c r="E4" s="5"/>
    </row>
    <row r="5" spans="1:5" x14ac:dyDescent="0.35">
      <c r="A5" s="3"/>
      <c r="B5" s="25"/>
      <c r="C5" s="25"/>
      <c r="E5" s="5"/>
    </row>
    <row r="6" spans="1:5" x14ac:dyDescent="0.35">
      <c r="A6" s="3" t="s">
        <v>17</v>
      </c>
      <c r="B6" s="25" t="s">
        <v>20</v>
      </c>
      <c r="C6" s="25" t="s">
        <v>19</v>
      </c>
    </row>
    <row r="7" spans="1:5" x14ac:dyDescent="0.35">
      <c r="A7" s="3" t="s">
        <v>18</v>
      </c>
      <c r="B7" s="25"/>
      <c r="C7" s="25"/>
    </row>
    <row r="8" spans="1:5" x14ac:dyDescent="0.35">
      <c r="A8" s="4" t="s">
        <v>22</v>
      </c>
      <c r="B8" s="4" t="s">
        <v>21</v>
      </c>
      <c r="C8" s="4" t="s">
        <v>19</v>
      </c>
    </row>
    <row r="9" spans="1:5" x14ac:dyDescent="0.35">
      <c r="A9" s="6" t="s">
        <v>23</v>
      </c>
      <c r="B9" s="3" t="s">
        <v>21</v>
      </c>
      <c r="C9" s="3" t="s">
        <v>19</v>
      </c>
    </row>
    <row r="10" spans="1:5" x14ac:dyDescent="0.35">
      <c r="A10" s="3" t="s">
        <v>24</v>
      </c>
      <c r="B10" s="25" t="s">
        <v>30</v>
      </c>
      <c r="C10" s="25" t="s">
        <v>3</v>
      </c>
    </row>
    <row r="11" spans="1:5" x14ac:dyDescent="0.35">
      <c r="A11" s="3" t="s">
        <v>25</v>
      </c>
      <c r="B11" s="25"/>
      <c r="C11" s="25"/>
    </row>
    <row r="12" spans="1:5" x14ac:dyDescent="0.35">
      <c r="A12" s="3" t="s">
        <v>26</v>
      </c>
      <c r="B12" s="25" t="s">
        <v>27</v>
      </c>
      <c r="C12" s="25" t="s">
        <v>3</v>
      </c>
    </row>
    <row r="13" spans="1:5" x14ac:dyDescent="0.35">
      <c r="A13" s="3"/>
      <c r="B13" s="25"/>
      <c r="C13" s="25"/>
    </row>
    <row r="14" spans="1:5" x14ac:dyDescent="0.35">
      <c r="A14" s="3" t="s">
        <v>29</v>
      </c>
      <c r="B14" s="25" t="s">
        <v>28</v>
      </c>
      <c r="C14" s="25" t="s">
        <v>3</v>
      </c>
    </row>
    <row r="15" spans="1:5" x14ac:dyDescent="0.35">
      <c r="A15" s="6"/>
      <c r="B15" s="25"/>
      <c r="C15" s="25"/>
    </row>
    <row r="16" spans="1:5" x14ac:dyDescent="0.35">
      <c r="C16" s="7"/>
    </row>
    <row r="17" spans="1:11" x14ac:dyDescent="0.35">
      <c r="A17" s="8"/>
      <c r="B17" s="2"/>
      <c r="C17" s="8"/>
    </row>
    <row r="20" spans="1:11" x14ac:dyDescent="0.35">
      <c r="A20" s="31" t="s">
        <v>4</v>
      </c>
      <c r="B20" s="32" t="s">
        <v>5</v>
      </c>
      <c r="C20" s="32"/>
      <c r="D20" s="32"/>
      <c r="E20" s="32"/>
      <c r="F20" s="32"/>
      <c r="G20" s="32" t="s">
        <v>6</v>
      </c>
      <c r="H20" s="32"/>
      <c r="I20" s="32"/>
      <c r="J20" s="32"/>
      <c r="K20" s="32"/>
    </row>
    <row r="21" spans="1:11" x14ac:dyDescent="0.35">
      <c r="A21" s="31"/>
      <c r="B21" s="9" t="s">
        <v>7</v>
      </c>
      <c r="C21" s="9" t="s">
        <v>8</v>
      </c>
      <c r="D21" s="9" t="s">
        <v>9</v>
      </c>
      <c r="E21" s="9" t="s">
        <v>10</v>
      </c>
      <c r="F21" s="10" t="s">
        <v>11</v>
      </c>
      <c r="G21" s="9" t="s">
        <v>7</v>
      </c>
      <c r="H21" s="9" t="s">
        <v>8</v>
      </c>
      <c r="I21" s="9" t="s">
        <v>9</v>
      </c>
      <c r="J21" s="9" t="s">
        <v>10</v>
      </c>
      <c r="K21" s="10" t="s">
        <v>12</v>
      </c>
    </row>
    <row r="22" spans="1:11" x14ac:dyDescent="0.35">
      <c r="A22" s="9" t="s">
        <v>16</v>
      </c>
      <c r="B22" s="9">
        <v>14</v>
      </c>
      <c r="C22" s="9">
        <v>19</v>
      </c>
      <c r="D22" s="9">
        <v>16</v>
      </c>
      <c r="E22" s="9">
        <v>9</v>
      </c>
      <c r="F22" s="10">
        <f t="shared" ref="F22:F27" si="0">SUM(B22:E22)</f>
        <v>58</v>
      </c>
      <c r="G22" s="9">
        <v>0</v>
      </c>
      <c r="H22" s="9">
        <v>0</v>
      </c>
      <c r="I22" s="9">
        <v>0</v>
      </c>
      <c r="J22" s="9">
        <v>1</v>
      </c>
      <c r="K22" s="10">
        <f>SUM(G22:J22)</f>
        <v>1</v>
      </c>
    </row>
    <row r="23" spans="1:11" x14ac:dyDescent="0.35">
      <c r="A23" s="9" t="s">
        <v>20</v>
      </c>
      <c r="B23" s="9">
        <v>12</v>
      </c>
      <c r="C23" s="9">
        <v>12</v>
      </c>
      <c r="D23" s="9">
        <v>12</v>
      </c>
      <c r="E23" s="9">
        <v>7</v>
      </c>
      <c r="F23" s="10">
        <f t="shared" si="0"/>
        <v>43</v>
      </c>
      <c r="G23" s="9">
        <v>1</v>
      </c>
      <c r="H23" s="9">
        <v>0</v>
      </c>
      <c r="I23" s="9">
        <v>1</v>
      </c>
      <c r="J23" s="9">
        <v>0</v>
      </c>
      <c r="K23" s="10">
        <f t="shared" ref="K23:K26" si="1">SUM(G23:J23)</f>
        <v>2</v>
      </c>
    </row>
    <row r="24" spans="1:11" x14ac:dyDescent="0.35">
      <c r="A24" s="9" t="s">
        <v>31</v>
      </c>
      <c r="B24" s="9">
        <v>5</v>
      </c>
      <c r="C24" s="9">
        <v>6</v>
      </c>
      <c r="D24" s="9">
        <v>2</v>
      </c>
      <c r="E24" s="9">
        <v>3</v>
      </c>
      <c r="F24" s="10">
        <f t="shared" si="0"/>
        <v>16</v>
      </c>
      <c r="G24" s="9">
        <v>0</v>
      </c>
      <c r="H24" s="9">
        <v>0</v>
      </c>
      <c r="I24" s="9">
        <v>0</v>
      </c>
      <c r="J24" s="9">
        <v>0</v>
      </c>
      <c r="K24" s="10">
        <f t="shared" si="1"/>
        <v>0</v>
      </c>
    </row>
    <row r="25" spans="1:11" x14ac:dyDescent="0.35">
      <c r="A25" s="9" t="s">
        <v>32</v>
      </c>
      <c r="B25" s="9">
        <v>6</v>
      </c>
      <c r="C25" s="9">
        <v>15</v>
      </c>
      <c r="D25" s="9">
        <v>3</v>
      </c>
      <c r="E25" s="9">
        <v>7</v>
      </c>
      <c r="F25" s="10">
        <f t="shared" si="0"/>
        <v>31</v>
      </c>
      <c r="G25" s="9">
        <v>0</v>
      </c>
      <c r="H25" s="9">
        <v>0</v>
      </c>
      <c r="I25" s="9">
        <v>0</v>
      </c>
      <c r="J25" s="9">
        <v>0</v>
      </c>
      <c r="K25" s="10">
        <f t="shared" si="1"/>
        <v>0</v>
      </c>
    </row>
    <row r="26" spans="1:11" x14ac:dyDescent="0.35">
      <c r="A26" s="9" t="s">
        <v>33</v>
      </c>
      <c r="B26" s="9">
        <v>0</v>
      </c>
      <c r="C26" s="9">
        <v>1</v>
      </c>
      <c r="D26" s="9">
        <v>0</v>
      </c>
      <c r="E26" s="9">
        <v>0</v>
      </c>
      <c r="F26" s="10">
        <f t="shared" si="0"/>
        <v>1</v>
      </c>
      <c r="G26" s="9">
        <v>0</v>
      </c>
      <c r="H26" s="9">
        <v>2</v>
      </c>
      <c r="I26" s="9">
        <v>0</v>
      </c>
      <c r="J26" s="9">
        <v>0</v>
      </c>
      <c r="K26" s="10">
        <f t="shared" si="1"/>
        <v>2</v>
      </c>
    </row>
    <row r="27" spans="1:11" x14ac:dyDescent="0.35">
      <c r="A27" s="9" t="s">
        <v>34</v>
      </c>
      <c r="B27" s="9">
        <v>2</v>
      </c>
      <c r="C27" s="9">
        <v>7</v>
      </c>
      <c r="D27" s="9">
        <v>1</v>
      </c>
      <c r="E27" s="9">
        <v>1</v>
      </c>
      <c r="F27" s="10">
        <f t="shared" si="0"/>
        <v>11</v>
      </c>
      <c r="G27" s="9">
        <v>0</v>
      </c>
      <c r="H27" s="9">
        <v>2</v>
      </c>
      <c r="I27" s="9">
        <v>0</v>
      </c>
      <c r="J27" s="9">
        <v>0</v>
      </c>
      <c r="K27" s="10">
        <f>SUM(G27:J27)</f>
        <v>2</v>
      </c>
    </row>
    <row r="29" spans="1:11" x14ac:dyDescent="0.35">
      <c r="A29" s="10" t="s">
        <v>13</v>
      </c>
      <c r="B29" s="10">
        <f>SUM(B22:B27)</f>
        <v>39</v>
      </c>
      <c r="C29" s="10">
        <f t="shared" ref="C29:K29" si="2">SUM(C22:C27)</f>
        <v>60</v>
      </c>
      <c r="D29" s="10">
        <f t="shared" si="2"/>
        <v>34</v>
      </c>
      <c r="E29" s="10">
        <f t="shared" si="2"/>
        <v>27</v>
      </c>
      <c r="F29" s="11">
        <f>SUM(F22:F27)</f>
        <v>160</v>
      </c>
      <c r="G29" s="10">
        <f t="shared" si="2"/>
        <v>1</v>
      </c>
      <c r="H29" s="10">
        <f t="shared" si="2"/>
        <v>4</v>
      </c>
      <c r="I29" s="10">
        <f t="shared" si="2"/>
        <v>1</v>
      </c>
      <c r="J29" s="10">
        <f t="shared" si="2"/>
        <v>1</v>
      </c>
      <c r="K29" s="11">
        <f t="shared" si="2"/>
        <v>7</v>
      </c>
    </row>
    <row r="32" spans="1:11" x14ac:dyDescent="0.35">
      <c r="A32" s="31" t="s">
        <v>4</v>
      </c>
      <c r="B32" s="32" t="s">
        <v>35</v>
      </c>
      <c r="C32" s="32"/>
      <c r="D32" s="32"/>
      <c r="E32" s="32"/>
      <c r="F32" s="32"/>
    </row>
    <row r="33" spans="1:9" x14ac:dyDescent="0.35">
      <c r="A33" s="31"/>
      <c r="B33" s="12" t="s">
        <v>7</v>
      </c>
      <c r="C33" s="12" t="s">
        <v>8</v>
      </c>
      <c r="D33" s="12" t="s">
        <v>9</v>
      </c>
      <c r="E33" s="12" t="s">
        <v>10</v>
      </c>
      <c r="F33" s="10" t="s">
        <v>13</v>
      </c>
      <c r="G33" s="14" t="s">
        <v>36</v>
      </c>
      <c r="H33" s="14" t="s">
        <v>37</v>
      </c>
      <c r="I33" s="15" t="s">
        <v>38</v>
      </c>
    </row>
    <row r="34" spans="1:9" x14ac:dyDescent="0.35">
      <c r="A34" s="13" t="s">
        <v>16</v>
      </c>
      <c r="B34" s="12">
        <f>B22+G22</f>
        <v>14</v>
      </c>
      <c r="C34" s="12">
        <f t="shared" ref="C34:E39" si="3">C22+H22</f>
        <v>19</v>
      </c>
      <c r="D34" s="12">
        <f t="shared" si="3"/>
        <v>16</v>
      </c>
      <c r="E34" s="12">
        <f t="shared" si="3"/>
        <v>10</v>
      </c>
      <c r="F34" s="10">
        <f>SUM(B34:E34)</f>
        <v>59</v>
      </c>
      <c r="G34" s="16">
        <f>(B34+D34)/F34</f>
        <v>0.50847457627118642</v>
      </c>
      <c r="H34" s="17">
        <f>(D34+E34)/F34</f>
        <v>0.44067796610169491</v>
      </c>
      <c r="I34" s="17">
        <f>D34/(D34+E34)</f>
        <v>0.61538461538461542</v>
      </c>
    </row>
    <row r="35" spans="1:9" x14ac:dyDescent="0.35">
      <c r="A35" s="13" t="s">
        <v>20</v>
      </c>
      <c r="B35" s="12">
        <f t="shared" ref="B35:B39" si="4">B23+G23</f>
        <v>13</v>
      </c>
      <c r="C35" s="12">
        <f t="shared" si="3"/>
        <v>12</v>
      </c>
      <c r="D35" s="12">
        <f t="shared" si="3"/>
        <v>13</v>
      </c>
      <c r="E35" s="12">
        <f t="shared" si="3"/>
        <v>7</v>
      </c>
      <c r="F35" s="10">
        <f t="shared" ref="F35:F38" si="5">SUM(B35:E35)</f>
        <v>45</v>
      </c>
      <c r="G35" s="16">
        <f t="shared" ref="G35:G39" si="6">(B35+D35)/F35</f>
        <v>0.57777777777777772</v>
      </c>
      <c r="H35" s="17">
        <f t="shared" ref="H35:H39" si="7">(D35+E35)/F35</f>
        <v>0.44444444444444442</v>
      </c>
      <c r="I35" s="17">
        <f t="shared" ref="I35:I39" si="8">D35/(D35+E35)</f>
        <v>0.65</v>
      </c>
    </row>
    <row r="36" spans="1:9" x14ac:dyDescent="0.35">
      <c r="A36" s="13" t="s">
        <v>31</v>
      </c>
      <c r="B36" s="12">
        <f t="shared" si="4"/>
        <v>5</v>
      </c>
      <c r="C36" s="12">
        <f t="shared" si="3"/>
        <v>6</v>
      </c>
      <c r="D36" s="12">
        <f t="shared" si="3"/>
        <v>2</v>
      </c>
      <c r="E36" s="12">
        <f t="shared" si="3"/>
        <v>3</v>
      </c>
      <c r="F36" s="10">
        <f t="shared" si="5"/>
        <v>16</v>
      </c>
      <c r="G36" s="16">
        <f t="shared" si="6"/>
        <v>0.4375</v>
      </c>
      <c r="H36" s="17">
        <f t="shared" si="7"/>
        <v>0.3125</v>
      </c>
      <c r="I36" s="17">
        <f t="shared" si="8"/>
        <v>0.4</v>
      </c>
    </row>
    <row r="37" spans="1:9" x14ac:dyDescent="0.35">
      <c r="A37" s="13" t="s">
        <v>32</v>
      </c>
      <c r="B37" s="12">
        <f t="shared" si="4"/>
        <v>6</v>
      </c>
      <c r="C37" s="12">
        <f t="shared" si="3"/>
        <v>15</v>
      </c>
      <c r="D37" s="12">
        <f t="shared" si="3"/>
        <v>3</v>
      </c>
      <c r="E37" s="12">
        <f t="shared" si="3"/>
        <v>7</v>
      </c>
      <c r="F37" s="10">
        <f t="shared" si="5"/>
        <v>31</v>
      </c>
      <c r="G37" s="16">
        <f t="shared" si="6"/>
        <v>0.29032258064516131</v>
      </c>
      <c r="H37" s="17">
        <f t="shared" si="7"/>
        <v>0.32258064516129031</v>
      </c>
      <c r="I37" s="17">
        <f t="shared" si="8"/>
        <v>0.3</v>
      </c>
    </row>
    <row r="38" spans="1:9" x14ac:dyDescent="0.35">
      <c r="A38" s="13" t="s">
        <v>33</v>
      </c>
      <c r="B38" s="12">
        <f t="shared" si="4"/>
        <v>0</v>
      </c>
      <c r="C38" s="12">
        <f t="shared" si="3"/>
        <v>3</v>
      </c>
      <c r="D38" s="12">
        <f t="shared" si="3"/>
        <v>0</v>
      </c>
      <c r="E38" s="12">
        <f t="shared" si="3"/>
        <v>0</v>
      </c>
      <c r="F38" s="10">
        <f t="shared" si="5"/>
        <v>3</v>
      </c>
      <c r="G38" s="16">
        <f t="shared" si="6"/>
        <v>0</v>
      </c>
      <c r="H38" s="17">
        <f t="shared" si="7"/>
        <v>0</v>
      </c>
      <c r="I38" s="17"/>
    </row>
    <row r="39" spans="1:9" x14ac:dyDescent="0.35">
      <c r="A39" s="13" t="s">
        <v>34</v>
      </c>
      <c r="B39" s="12">
        <f t="shared" si="4"/>
        <v>2</v>
      </c>
      <c r="C39" s="12">
        <f t="shared" si="3"/>
        <v>9</v>
      </c>
      <c r="D39" s="12">
        <f t="shared" si="3"/>
        <v>1</v>
      </c>
      <c r="E39" s="12">
        <f t="shared" si="3"/>
        <v>1</v>
      </c>
      <c r="F39" s="10">
        <f>SUM(B39:E39)</f>
        <v>13</v>
      </c>
      <c r="G39" s="16">
        <f t="shared" si="6"/>
        <v>0.23076923076923078</v>
      </c>
      <c r="H39" s="17">
        <f t="shared" si="7"/>
        <v>0.15384615384615385</v>
      </c>
      <c r="I39" s="17">
        <f t="shared" si="8"/>
        <v>0.5</v>
      </c>
    </row>
    <row r="41" spans="1:9" x14ac:dyDescent="0.35">
      <c r="A41" s="10" t="s">
        <v>13</v>
      </c>
      <c r="B41" s="10">
        <f>SUM(B34:B39)</f>
        <v>40</v>
      </c>
      <c r="C41" s="10">
        <f t="shared" ref="C41:E41" si="9">SUM(C34:C39)</f>
        <v>64</v>
      </c>
      <c r="D41" s="10">
        <f t="shared" si="9"/>
        <v>35</v>
      </c>
      <c r="E41" s="10">
        <f t="shared" si="9"/>
        <v>28</v>
      </c>
      <c r="F41" s="11">
        <f>SUM(F34:F39)</f>
        <v>167</v>
      </c>
    </row>
  </sheetData>
  <mergeCells count="15">
    <mergeCell ref="A32:A33"/>
    <mergeCell ref="B32:F32"/>
    <mergeCell ref="B3:B5"/>
    <mergeCell ref="C3:C5"/>
    <mergeCell ref="B6:B7"/>
    <mergeCell ref="C6:C7"/>
    <mergeCell ref="B10:B11"/>
    <mergeCell ref="C10:C11"/>
    <mergeCell ref="A20:A21"/>
    <mergeCell ref="G20:K20"/>
    <mergeCell ref="B12:B13"/>
    <mergeCell ref="C12:C13"/>
    <mergeCell ref="B14:B15"/>
    <mergeCell ref="C14:C15"/>
    <mergeCell ref="B20:F20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Comptage 1er juin 2021</vt:lpstr>
      <vt:lpstr>Comptage 16 juin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Josso</dc:creator>
  <cp:lastModifiedBy>Dominique Pittet</cp:lastModifiedBy>
  <dcterms:created xsi:type="dcterms:W3CDTF">2020-06-19T17:43:55Z</dcterms:created>
  <dcterms:modified xsi:type="dcterms:W3CDTF">2021-06-01T14:03:17Z</dcterms:modified>
</cp:coreProperties>
</file>