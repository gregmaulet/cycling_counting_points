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32cb1d6e82a77df/Documents/"/>
    </mc:Choice>
  </mc:AlternateContent>
  <xr:revisionPtr revIDLastSave="153" documentId="8_{0731CCC7-483E-4C24-B39A-8690518C3B96}" xr6:coauthVersionLast="47" xr6:coauthVersionMax="47" xr10:uidLastSave="{E37CFBEA-5787-47F7-9E64-792EA22C9237}"/>
  <bookViews>
    <workbookView xWindow="-15" yWindow="-16320" windowWidth="29040" windowHeight="15720" activeTab="4" xr2:uid="{00000000-000D-0000-FFFF-FFFF00000000}"/>
  </bookViews>
  <sheets>
    <sheet name="Index" sheetId="5" r:id="rId1"/>
    <sheet name="2020" sheetId="1" state="hidden" r:id="rId2"/>
    <sheet name="2021" sheetId="3" state="hidden" r:id="rId3"/>
    <sheet name="2022" sheetId="9" r:id="rId4"/>
    <sheet name="SYNTHESE" sheetId="8" r:id="rId5"/>
    <sheet name="2021-2020" sheetId="6" state="hidden" r:id="rId6"/>
  </sheets>
  <definedNames>
    <definedName name="_xlnm._FilterDatabase" localSheetId="1" hidden="1">'2020'!$A$1:$V$130</definedName>
    <definedName name="_xlnm._FilterDatabase" localSheetId="2" hidden="1">'2021'!$A$1:$V$130</definedName>
    <definedName name="_xlnm._FilterDatabase" localSheetId="5" hidden="1">'2021-2020'!$G$4:$X$4</definedName>
    <definedName name="_xlnm._FilterDatabase" localSheetId="3" hidden="1">'2022'!$A$1:$V$130</definedName>
    <definedName name="_xlnm._FilterDatabase" localSheetId="4" hidden="1">SYNTHESE!$A$1:$AQ$130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80" i="9" l="1"/>
  <c r="S80" i="9"/>
  <c r="J80" i="9"/>
  <c r="H80" i="9"/>
  <c r="G80" i="9"/>
  <c r="V76" i="9"/>
  <c r="U76" i="9"/>
  <c r="T76" i="9"/>
  <c r="S76" i="9"/>
  <c r="P76" i="9"/>
  <c r="O76" i="9"/>
  <c r="N76" i="9"/>
  <c r="L76" i="9"/>
  <c r="J76" i="9"/>
  <c r="H76" i="9"/>
  <c r="G76" i="9"/>
  <c r="AB76" i="9" s="1"/>
  <c r="T83" i="9"/>
  <c r="S83" i="9"/>
  <c r="J83" i="9"/>
  <c r="H83" i="9"/>
  <c r="G83" i="9"/>
  <c r="T75" i="9"/>
  <c r="S75" i="9"/>
  <c r="P75" i="9"/>
  <c r="O75" i="9"/>
  <c r="L75" i="9"/>
  <c r="J75" i="9"/>
  <c r="H75" i="9"/>
  <c r="G75" i="9"/>
  <c r="U77" i="9"/>
  <c r="T77" i="9"/>
  <c r="S77" i="9"/>
  <c r="L77" i="9"/>
  <c r="J77" i="9"/>
  <c r="H77" i="9"/>
  <c r="G77" i="9"/>
  <c r="AB77" i="9" s="1"/>
  <c r="T79" i="9"/>
  <c r="S79" i="9"/>
  <c r="L79" i="9"/>
  <c r="J79" i="9"/>
  <c r="H79" i="9"/>
  <c r="G79" i="9"/>
  <c r="V74" i="9"/>
  <c r="U74" i="9"/>
  <c r="T74" i="9"/>
  <c r="P74" i="9"/>
  <c r="O74" i="9"/>
  <c r="L74" i="9"/>
  <c r="G74" i="9"/>
  <c r="H74" i="9"/>
  <c r="S74" i="9"/>
  <c r="N74" i="9"/>
  <c r="J74" i="9"/>
  <c r="AB79" i="9"/>
  <c r="AB75" i="9"/>
  <c r="AH45" i="8"/>
  <c r="AG45" i="8"/>
  <c r="AB45" i="8"/>
  <c r="AE45" i="8" s="1"/>
  <c r="AA45" i="8"/>
  <c r="AD45" i="8" s="1"/>
  <c r="V45" i="8"/>
  <c r="U45" i="8"/>
  <c r="P45" i="8"/>
  <c r="O45" i="8"/>
  <c r="M45" i="8"/>
  <c r="L45" i="8"/>
  <c r="R45" i="8" s="1"/>
  <c r="J38" i="8"/>
  <c r="BA38" i="8" s="1"/>
  <c r="BA43" i="8"/>
  <c r="AY47" i="8"/>
  <c r="AZ47" i="8"/>
  <c r="BA47" i="8"/>
  <c r="AY57" i="8"/>
  <c r="AZ57" i="8"/>
  <c r="BA57" i="8"/>
  <c r="AY65" i="8"/>
  <c r="AZ65" i="8"/>
  <c r="BA65" i="8"/>
  <c r="AY73" i="8"/>
  <c r="AZ73" i="8"/>
  <c r="BA73" i="8"/>
  <c r="AY84" i="8"/>
  <c r="AZ84" i="8"/>
  <c r="BA84" i="8"/>
  <c r="AY97" i="8"/>
  <c r="AZ97" i="8"/>
  <c r="BA97" i="8"/>
  <c r="AY103" i="8"/>
  <c r="AZ103" i="8"/>
  <c r="BA103" i="8"/>
  <c r="AY23" i="8"/>
  <c r="AZ23" i="8"/>
  <c r="BA23" i="8"/>
  <c r="AY35" i="8"/>
  <c r="AZ35" i="8"/>
  <c r="BA35" i="8"/>
  <c r="H43" i="8"/>
  <c r="AY43" i="8" s="1"/>
  <c r="I43" i="8"/>
  <c r="AZ43" i="8" s="1"/>
  <c r="J43" i="8"/>
  <c r="H44" i="8"/>
  <c r="AY44" i="8" s="1"/>
  <c r="I44" i="8"/>
  <c r="AZ44" i="8" s="1"/>
  <c r="J44" i="8"/>
  <c r="BA44" i="8" s="1"/>
  <c r="H45" i="8"/>
  <c r="AY45" i="8" s="1"/>
  <c r="AB6" i="9"/>
  <c r="AB7" i="9"/>
  <c r="AB8" i="9"/>
  <c r="AB9" i="9"/>
  <c r="AB10" i="9"/>
  <c r="AB11" i="9"/>
  <c r="AB12" i="9"/>
  <c r="AB13" i="9"/>
  <c r="AB14" i="9"/>
  <c r="AB15" i="9"/>
  <c r="AB16" i="9"/>
  <c r="AB17" i="9"/>
  <c r="AB18" i="9"/>
  <c r="AB19" i="9"/>
  <c r="AB20" i="9"/>
  <c r="AB21" i="9"/>
  <c r="AB22" i="9"/>
  <c r="AB24" i="9"/>
  <c r="AB25" i="9"/>
  <c r="AB26" i="9"/>
  <c r="AB27" i="9"/>
  <c r="AB28" i="9"/>
  <c r="AB29" i="9"/>
  <c r="AB30" i="9"/>
  <c r="AB31" i="9"/>
  <c r="AB32" i="9"/>
  <c r="AB33" i="9"/>
  <c r="AB34" i="9"/>
  <c r="AB49" i="9"/>
  <c r="AB50" i="9"/>
  <c r="AB51" i="9"/>
  <c r="AB52" i="9"/>
  <c r="AB53" i="9"/>
  <c r="AB54" i="9"/>
  <c r="AB55" i="9"/>
  <c r="AB56" i="9"/>
  <c r="AB58" i="9"/>
  <c r="AB59" i="9"/>
  <c r="AB60" i="9"/>
  <c r="AB61" i="9"/>
  <c r="AB62" i="9"/>
  <c r="AB63" i="9"/>
  <c r="AB64" i="9"/>
  <c r="AB66" i="9"/>
  <c r="AB67" i="9"/>
  <c r="AB68" i="9"/>
  <c r="AB69" i="9"/>
  <c r="AB70" i="9"/>
  <c r="AB71" i="9"/>
  <c r="AB72" i="9"/>
  <c r="AB78" i="9"/>
  <c r="AB80" i="9"/>
  <c r="AB81" i="9"/>
  <c r="AB82" i="9"/>
  <c r="AB83" i="9"/>
  <c r="AB85" i="9"/>
  <c r="AB86" i="9"/>
  <c r="AB87" i="9"/>
  <c r="AB88" i="9"/>
  <c r="AB89" i="9"/>
  <c r="AB90" i="9"/>
  <c r="AB91" i="9"/>
  <c r="AB92" i="9"/>
  <c r="AB93" i="9"/>
  <c r="AB94" i="9"/>
  <c r="AB95" i="9"/>
  <c r="AB96" i="9"/>
  <c r="AB98" i="9"/>
  <c r="AB99" i="9"/>
  <c r="AB100" i="9"/>
  <c r="AB101" i="9"/>
  <c r="AB102" i="9"/>
  <c r="AB104" i="9"/>
  <c r="AB105" i="9"/>
  <c r="AB106" i="9"/>
  <c r="AB107" i="9"/>
  <c r="AB108" i="9"/>
  <c r="AB109" i="9"/>
  <c r="AB110" i="9"/>
  <c r="AB111" i="9"/>
  <c r="AB112" i="9"/>
  <c r="AB113" i="9"/>
  <c r="AB114" i="9"/>
  <c r="AB115" i="9"/>
  <c r="AB116" i="9"/>
  <c r="AB117" i="9"/>
  <c r="AB118" i="9"/>
  <c r="AB119" i="9"/>
  <c r="AB120" i="9"/>
  <c r="AB121" i="9"/>
  <c r="AB5" i="9"/>
  <c r="AB125" i="9"/>
  <c r="AB125" i="3"/>
  <c r="AB121" i="3"/>
  <c r="AB120" i="3"/>
  <c r="AB119" i="3"/>
  <c r="AB118" i="3"/>
  <c r="AB117" i="3"/>
  <c r="AB116" i="3"/>
  <c r="AB115" i="3"/>
  <c r="AB114" i="3"/>
  <c r="AB113" i="3"/>
  <c r="AB112" i="3"/>
  <c r="AB111" i="3"/>
  <c r="AB110" i="3"/>
  <c r="AB109" i="3"/>
  <c r="AB108" i="3"/>
  <c r="AB107" i="3"/>
  <c r="AB106" i="3"/>
  <c r="AB105" i="3"/>
  <c r="AB104" i="3"/>
  <c r="AB102" i="3"/>
  <c r="AB101" i="3"/>
  <c r="AB100" i="3"/>
  <c r="AB99" i="3"/>
  <c r="AB98" i="3"/>
  <c r="AB96" i="3"/>
  <c r="AB95" i="3"/>
  <c r="AB94" i="3"/>
  <c r="AB93" i="3"/>
  <c r="AB92" i="3"/>
  <c r="AB91" i="3"/>
  <c r="AB90" i="3"/>
  <c r="AB89" i="3"/>
  <c r="AB88" i="3"/>
  <c r="AB87" i="3"/>
  <c r="AB86" i="3"/>
  <c r="AB85" i="3"/>
  <c r="AB83" i="3"/>
  <c r="AB82" i="3"/>
  <c r="AB81" i="3"/>
  <c r="AB80" i="3"/>
  <c r="AB79" i="3"/>
  <c r="AB78" i="3"/>
  <c r="AB77" i="3"/>
  <c r="AB76" i="3"/>
  <c r="AB75" i="3"/>
  <c r="AB74" i="3"/>
  <c r="AB72" i="3"/>
  <c r="AB71" i="3"/>
  <c r="AB70" i="3"/>
  <c r="AB69" i="3"/>
  <c r="AB68" i="3"/>
  <c r="AB67" i="3"/>
  <c r="AB66" i="3"/>
  <c r="AB64" i="3"/>
  <c r="AB63" i="3"/>
  <c r="AB62" i="3"/>
  <c r="AB61" i="3"/>
  <c r="AB60" i="3"/>
  <c r="AB59" i="3"/>
  <c r="AB58" i="3"/>
  <c r="AB56" i="3"/>
  <c r="AB55" i="3"/>
  <c r="AB54" i="3"/>
  <c r="AB53" i="3"/>
  <c r="AB52" i="3"/>
  <c r="AB51" i="3"/>
  <c r="AB50" i="3"/>
  <c r="AB49" i="3"/>
  <c r="AB46" i="3"/>
  <c r="AB45" i="3"/>
  <c r="AB44" i="3"/>
  <c r="AB43" i="3"/>
  <c r="AB42" i="3"/>
  <c r="AB41" i="3"/>
  <c r="AB40" i="3"/>
  <c r="AB39" i="3"/>
  <c r="AB38" i="3"/>
  <c r="AB37" i="3"/>
  <c r="AB36" i="3"/>
  <c r="AB34" i="3"/>
  <c r="AB33" i="3"/>
  <c r="AB32" i="3"/>
  <c r="AB31" i="3"/>
  <c r="AB30" i="3"/>
  <c r="AB29" i="3"/>
  <c r="AB28" i="3"/>
  <c r="AB27" i="3"/>
  <c r="AB26" i="3"/>
  <c r="AB25" i="3"/>
  <c r="AB24" i="3"/>
  <c r="AB22" i="3"/>
  <c r="AB21" i="3"/>
  <c r="AB20" i="3"/>
  <c r="AB19" i="3"/>
  <c r="AB18" i="3"/>
  <c r="AB17" i="3"/>
  <c r="AB16" i="3"/>
  <c r="AB15" i="3"/>
  <c r="AB14" i="3"/>
  <c r="AB13" i="3"/>
  <c r="AB12" i="3"/>
  <c r="AB11" i="3"/>
  <c r="AB10" i="3"/>
  <c r="AB9" i="3"/>
  <c r="AB8" i="3"/>
  <c r="AB7" i="3"/>
  <c r="AB6" i="3"/>
  <c r="AB5" i="3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4" i="1"/>
  <c r="AB25" i="1"/>
  <c r="AB26" i="1"/>
  <c r="AB27" i="1"/>
  <c r="AB28" i="1"/>
  <c r="AB29" i="1"/>
  <c r="AB30" i="1"/>
  <c r="AB31" i="1"/>
  <c r="AB32" i="1"/>
  <c r="AB33" i="1"/>
  <c r="AB34" i="1"/>
  <c r="AB36" i="1"/>
  <c r="AB37" i="1"/>
  <c r="AB38" i="1"/>
  <c r="AB39" i="1"/>
  <c r="AB40" i="1"/>
  <c r="AB41" i="1"/>
  <c r="AB42" i="1"/>
  <c r="AB43" i="1"/>
  <c r="AB44" i="1"/>
  <c r="AB45" i="1"/>
  <c r="AB46" i="1"/>
  <c r="AB49" i="1"/>
  <c r="AB50" i="1"/>
  <c r="AB51" i="1"/>
  <c r="AB52" i="1"/>
  <c r="AB53" i="1"/>
  <c r="AB54" i="1"/>
  <c r="AB55" i="1"/>
  <c r="AB56" i="1"/>
  <c r="AB58" i="1"/>
  <c r="AB59" i="1"/>
  <c r="AB60" i="1"/>
  <c r="AB61" i="1"/>
  <c r="AB62" i="1"/>
  <c r="AB63" i="1"/>
  <c r="AB64" i="1"/>
  <c r="AB66" i="1"/>
  <c r="AB67" i="1"/>
  <c r="AB68" i="1"/>
  <c r="AB69" i="1"/>
  <c r="AB70" i="1"/>
  <c r="AB71" i="1"/>
  <c r="AB72" i="1"/>
  <c r="AB74" i="1"/>
  <c r="AB75" i="1"/>
  <c r="AB76" i="1"/>
  <c r="AB77" i="1"/>
  <c r="AB78" i="1"/>
  <c r="AB79" i="1"/>
  <c r="AB80" i="1"/>
  <c r="AB81" i="1"/>
  <c r="AB82" i="1"/>
  <c r="AB83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8" i="1"/>
  <c r="AB99" i="1"/>
  <c r="AB100" i="1"/>
  <c r="AB101" i="1"/>
  <c r="AB102" i="1"/>
  <c r="AB109" i="1"/>
  <c r="AB110" i="1"/>
  <c r="AB111" i="1"/>
  <c r="AB112" i="1"/>
  <c r="AB113" i="1"/>
  <c r="AB114" i="1"/>
  <c r="AB115" i="1"/>
  <c r="AB116" i="1"/>
  <c r="AB119" i="1"/>
  <c r="AB120" i="1"/>
  <c r="AB125" i="1"/>
  <c r="AB6" i="1"/>
  <c r="AB7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5" i="1"/>
  <c r="A5" i="3"/>
  <c r="A5" i="9"/>
  <c r="A130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5" i="8"/>
  <c r="A26" i="8"/>
  <c r="A27" i="8"/>
  <c r="A28" i="8"/>
  <c r="A29" i="8"/>
  <c r="A30" i="8"/>
  <c r="A31" i="8"/>
  <c r="A32" i="8"/>
  <c r="A33" i="8"/>
  <c r="A34" i="8"/>
  <c r="A35" i="8"/>
  <c r="A37" i="8"/>
  <c r="A38" i="8"/>
  <c r="A39" i="8"/>
  <c r="A40" i="8"/>
  <c r="A41" i="8"/>
  <c r="A42" i="8"/>
  <c r="A43" i="8"/>
  <c r="A44" i="8"/>
  <c r="A45" i="8"/>
  <c r="A46" i="8"/>
  <c r="A47" i="8"/>
  <c r="A50" i="8"/>
  <c r="A51" i="8"/>
  <c r="A52" i="8"/>
  <c r="A53" i="8"/>
  <c r="A54" i="8"/>
  <c r="A55" i="8"/>
  <c r="A56" i="8"/>
  <c r="A57" i="8"/>
  <c r="A59" i="8"/>
  <c r="A60" i="8"/>
  <c r="A61" i="8"/>
  <c r="A62" i="8"/>
  <c r="A63" i="8"/>
  <c r="A64" i="8"/>
  <c r="A65" i="8"/>
  <c r="A67" i="8"/>
  <c r="A68" i="8"/>
  <c r="A69" i="8"/>
  <c r="A70" i="8"/>
  <c r="A71" i="8"/>
  <c r="A72" i="8"/>
  <c r="A73" i="8"/>
  <c r="A75" i="8"/>
  <c r="A76" i="8"/>
  <c r="A77" i="8"/>
  <c r="A78" i="8"/>
  <c r="A79" i="8"/>
  <c r="A80" i="8"/>
  <c r="A81" i="8"/>
  <c r="A82" i="8"/>
  <c r="A83" i="8"/>
  <c r="A84" i="8"/>
  <c r="A86" i="8"/>
  <c r="A87" i="8"/>
  <c r="A88" i="8"/>
  <c r="A89" i="8"/>
  <c r="A90" i="8"/>
  <c r="A91" i="8"/>
  <c r="A92" i="8"/>
  <c r="A93" i="8"/>
  <c r="A94" i="8"/>
  <c r="A95" i="8"/>
  <c r="A96" i="8"/>
  <c r="A97" i="8"/>
  <c r="A99" i="8"/>
  <c r="A100" i="8"/>
  <c r="A101" i="8"/>
  <c r="A102" i="8"/>
  <c r="A103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6" i="8"/>
  <c r="A127" i="8"/>
  <c r="A128" i="8"/>
  <c r="A129" i="8"/>
  <c r="AB74" i="9" l="1"/>
  <c r="S45" i="8"/>
  <c r="X45" i="8"/>
  <c r="Y45" i="8"/>
  <c r="I45" i="8"/>
  <c r="F5" i="8"/>
  <c r="E5" i="8"/>
  <c r="D5" i="8"/>
  <c r="A5" i="8" s="1"/>
  <c r="F6" i="8"/>
  <c r="E6" i="8"/>
  <c r="D6" i="8"/>
  <c r="A6" i="8" s="1"/>
  <c r="F7" i="8"/>
  <c r="E7" i="8"/>
  <c r="D7" i="8"/>
  <c r="A7" i="8" s="1"/>
  <c r="F24" i="8"/>
  <c r="E24" i="8"/>
  <c r="D24" i="8"/>
  <c r="A24" i="8" s="1"/>
  <c r="F36" i="8"/>
  <c r="E36" i="8"/>
  <c r="D36" i="8"/>
  <c r="A36" i="8" s="1"/>
  <c r="F49" i="8"/>
  <c r="E49" i="8"/>
  <c r="D49" i="8"/>
  <c r="A49" i="8" s="1"/>
  <c r="F58" i="8"/>
  <c r="E58" i="8"/>
  <c r="D58" i="8"/>
  <c r="A58" i="8" s="1"/>
  <c r="E66" i="8"/>
  <c r="F66" i="8"/>
  <c r="D66" i="8"/>
  <c r="A66" i="8" s="1"/>
  <c r="F74" i="8"/>
  <c r="E74" i="8"/>
  <c r="D74" i="8"/>
  <c r="A74" i="8" s="1"/>
  <c r="F85" i="8"/>
  <c r="E85" i="8"/>
  <c r="D85" i="8"/>
  <c r="A85" i="8" s="1"/>
  <c r="F98" i="8"/>
  <c r="E98" i="8"/>
  <c r="D98" i="8"/>
  <c r="A98" i="8" s="1"/>
  <c r="F104" i="8"/>
  <c r="E104" i="8"/>
  <c r="D104" i="8"/>
  <c r="A104" i="8" s="1"/>
  <c r="AQ122" i="8"/>
  <c r="AP122" i="8"/>
  <c r="AO122" i="8"/>
  <c r="AN122" i="8"/>
  <c r="AM122" i="8"/>
  <c r="AL122" i="8"/>
  <c r="AK122" i="8"/>
  <c r="AJ122" i="8"/>
  <c r="AQ103" i="8"/>
  <c r="AP103" i="8"/>
  <c r="AO103" i="8"/>
  <c r="AN103" i="8"/>
  <c r="AM103" i="8"/>
  <c r="AL103" i="8"/>
  <c r="AK103" i="8"/>
  <c r="AJ103" i="8"/>
  <c r="AQ57" i="8"/>
  <c r="AP57" i="8"/>
  <c r="AO57" i="8"/>
  <c r="AN57" i="8"/>
  <c r="AM57" i="8"/>
  <c r="AL57" i="8"/>
  <c r="AK57" i="8"/>
  <c r="AJ57" i="8"/>
  <c r="AQ65" i="8"/>
  <c r="AP65" i="8"/>
  <c r="AO65" i="8"/>
  <c r="AN65" i="8"/>
  <c r="AM65" i="8"/>
  <c r="AL65" i="8"/>
  <c r="AK65" i="8"/>
  <c r="AJ65" i="8"/>
  <c r="AQ73" i="8"/>
  <c r="AP73" i="8"/>
  <c r="AO73" i="8"/>
  <c r="AN73" i="8"/>
  <c r="AM73" i="8"/>
  <c r="AL73" i="8"/>
  <c r="AK73" i="8"/>
  <c r="AJ73" i="8"/>
  <c r="AQ84" i="8"/>
  <c r="AP84" i="8"/>
  <c r="AO84" i="8"/>
  <c r="AN84" i="8"/>
  <c r="AM84" i="8"/>
  <c r="AL84" i="8"/>
  <c r="AK84" i="8"/>
  <c r="AJ84" i="8"/>
  <c r="AQ97" i="8"/>
  <c r="AP97" i="8"/>
  <c r="AO97" i="8"/>
  <c r="AN97" i="8"/>
  <c r="AM97" i="8"/>
  <c r="AL97" i="8"/>
  <c r="AK97" i="8"/>
  <c r="AJ97" i="8"/>
  <c r="R23" i="1"/>
  <c r="Q23" i="1"/>
  <c r="P23" i="1"/>
  <c r="O23" i="1"/>
  <c r="R23" i="9"/>
  <c r="Q23" i="9"/>
  <c r="P23" i="9"/>
  <c r="O23" i="9"/>
  <c r="R23" i="3"/>
  <c r="Q23" i="3"/>
  <c r="P23" i="3"/>
  <c r="O23" i="3"/>
  <c r="R35" i="1"/>
  <c r="Q35" i="1"/>
  <c r="P35" i="1"/>
  <c r="O35" i="1"/>
  <c r="R35" i="9"/>
  <c r="Q35" i="9"/>
  <c r="P35" i="9"/>
  <c r="O35" i="9"/>
  <c r="R35" i="3"/>
  <c r="Q35" i="3"/>
  <c r="P35" i="3"/>
  <c r="O35" i="3"/>
  <c r="R47" i="1"/>
  <c r="Q47" i="1"/>
  <c r="P47" i="1"/>
  <c r="O47" i="1"/>
  <c r="R47" i="9"/>
  <c r="Q47" i="9"/>
  <c r="P47" i="9"/>
  <c r="O47" i="9"/>
  <c r="R47" i="3"/>
  <c r="Q47" i="3"/>
  <c r="P47" i="3"/>
  <c r="O47" i="3"/>
  <c r="V48" i="1"/>
  <c r="U48" i="1"/>
  <c r="T48" i="1"/>
  <c r="S48" i="1"/>
  <c r="V48" i="3"/>
  <c r="U48" i="3"/>
  <c r="T48" i="3"/>
  <c r="S48" i="3"/>
  <c r="AI121" i="8"/>
  <c r="AH121" i="8"/>
  <c r="AG121" i="8"/>
  <c r="AC121" i="8"/>
  <c r="AF121" i="8" s="1"/>
  <c r="AB121" i="8"/>
  <c r="AE121" i="8" s="1"/>
  <c r="W121" i="8"/>
  <c r="V121" i="8"/>
  <c r="Q121" i="8"/>
  <c r="P121" i="8"/>
  <c r="N121" i="8"/>
  <c r="M121" i="8"/>
  <c r="I121" i="8" s="1"/>
  <c r="AZ121" i="8" s="1"/>
  <c r="AI120" i="8"/>
  <c r="AH120" i="8"/>
  <c r="AG120" i="8"/>
  <c r="AC120" i="8"/>
  <c r="AF120" i="8" s="1"/>
  <c r="AB120" i="8"/>
  <c r="AE120" i="8" s="1"/>
  <c r="AA120" i="8"/>
  <c r="AD120" i="8" s="1"/>
  <c r="W120" i="8"/>
  <c r="V120" i="8"/>
  <c r="U120" i="8"/>
  <c r="Q120" i="8"/>
  <c r="P120" i="8"/>
  <c r="O120" i="8"/>
  <c r="N120" i="8"/>
  <c r="M120" i="8"/>
  <c r="I120" i="8" s="1"/>
  <c r="AZ120" i="8" s="1"/>
  <c r="L120" i="8"/>
  <c r="H120" i="8" s="1"/>
  <c r="AY120" i="8" s="1"/>
  <c r="AI119" i="8"/>
  <c r="AH119" i="8"/>
  <c r="AG119" i="8"/>
  <c r="AC119" i="8"/>
  <c r="AF119" i="8" s="1"/>
  <c r="AB119" i="8"/>
  <c r="AE119" i="8" s="1"/>
  <c r="AA119" i="8"/>
  <c r="AD119" i="8" s="1"/>
  <c r="W119" i="8"/>
  <c r="V119" i="8"/>
  <c r="U119" i="8"/>
  <c r="Q119" i="8"/>
  <c r="P119" i="8"/>
  <c r="O119" i="8"/>
  <c r="N119" i="8"/>
  <c r="M119" i="8"/>
  <c r="I119" i="8" s="1"/>
  <c r="AZ119" i="8" s="1"/>
  <c r="L119" i="8"/>
  <c r="H119" i="8" s="1"/>
  <c r="AY119" i="8" s="1"/>
  <c r="AH118" i="8"/>
  <c r="AG118" i="8"/>
  <c r="AC118" i="8"/>
  <c r="AB118" i="8"/>
  <c r="W118" i="8"/>
  <c r="V118" i="8"/>
  <c r="Q118" i="8"/>
  <c r="N118" i="8"/>
  <c r="J118" i="8" s="1"/>
  <c r="BA118" i="8" s="1"/>
  <c r="M118" i="8"/>
  <c r="I118" i="8" s="1"/>
  <c r="AZ118" i="8" s="1"/>
  <c r="AH117" i="8"/>
  <c r="AG117" i="8"/>
  <c r="AC117" i="8"/>
  <c r="AB117" i="8"/>
  <c r="W117" i="8"/>
  <c r="V117" i="8"/>
  <c r="Q117" i="8"/>
  <c r="N117" i="8"/>
  <c r="J117" i="8" s="1"/>
  <c r="BA117" i="8" s="1"/>
  <c r="M117" i="8"/>
  <c r="I117" i="8" s="1"/>
  <c r="AZ117" i="8" s="1"/>
  <c r="AI116" i="8"/>
  <c r="AH116" i="8"/>
  <c r="AG116" i="8"/>
  <c r="AC116" i="8"/>
  <c r="AB116" i="8"/>
  <c r="AE116" i="8" s="1"/>
  <c r="AA116" i="8"/>
  <c r="AD116" i="8" s="1"/>
  <c r="W116" i="8"/>
  <c r="V116" i="8"/>
  <c r="U116" i="8"/>
  <c r="Q116" i="8"/>
  <c r="P116" i="8"/>
  <c r="O116" i="8"/>
  <c r="N116" i="8"/>
  <c r="J116" i="8" s="1"/>
  <c r="BA116" i="8" s="1"/>
  <c r="M116" i="8"/>
  <c r="I116" i="8" s="1"/>
  <c r="AZ116" i="8" s="1"/>
  <c r="L116" i="8"/>
  <c r="H116" i="8" s="1"/>
  <c r="AY116" i="8" s="1"/>
  <c r="AI115" i="8"/>
  <c r="AH115" i="8"/>
  <c r="AG115" i="8"/>
  <c r="AC115" i="8"/>
  <c r="AB115" i="8"/>
  <c r="AE115" i="8" s="1"/>
  <c r="AA115" i="8"/>
  <c r="AD115" i="8" s="1"/>
  <c r="W115" i="8"/>
  <c r="V115" i="8"/>
  <c r="U115" i="8"/>
  <c r="Q115" i="8"/>
  <c r="P115" i="8"/>
  <c r="O115" i="8"/>
  <c r="N115" i="8"/>
  <c r="M115" i="8"/>
  <c r="I115" i="8" s="1"/>
  <c r="AZ115" i="8" s="1"/>
  <c r="L115" i="8"/>
  <c r="H115" i="8" s="1"/>
  <c r="AY115" i="8" s="1"/>
  <c r="AH114" i="8"/>
  <c r="AG114" i="8"/>
  <c r="AC114" i="8"/>
  <c r="AB114" i="8"/>
  <c r="AE114" i="8" s="1"/>
  <c r="AA114" i="8"/>
  <c r="AD114" i="8" s="1"/>
  <c r="W114" i="8"/>
  <c r="V114" i="8"/>
  <c r="U114" i="8"/>
  <c r="Q114" i="8"/>
  <c r="P114" i="8"/>
  <c r="O114" i="8"/>
  <c r="N114" i="8"/>
  <c r="J114" i="8" s="1"/>
  <c r="BA114" i="8" s="1"/>
  <c r="M114" i="8"/>
  <c r="I114" i="8" s="1"/>
  <c r="AZ114" i="8" s="1"/>
  <c r="L114" i="8"/>
  <c r="H114" i="8" s="1"/>
  <c r="AY114" i="8" s="1"/>
  <c r="AI113" i="8"/>
  <c r="AH113" i="8"/>
  <c r="AG113" i="8"/>
  <c r="AC113" i="8"/>
  <c r="AF113" i="8" s="1"/>
  <c r="AB113" i="8"/>
  <c r="AE113" i="8" s="1"/>
  <c r="AA113" i="8"/>
  <c r="AD113" i="8" s="1"/>
  <c r="W113" i="8"/>
  <c r="V113" i="8"/>
  <c r="U113" i="8"/>
  <c r="Q113" i="8"/>
  <c r="P113" i="8"/>
  <c r="O113" i="8"/>
  <c r="N113" i="8"/>
  <c r="M113" i="8"/>
  <c r="I113" i="8" s="1"/>
  <c r="AZ113" i="8" s="1"/>
  <c r="L113" i="8"/>
  <c r="H113" i="8" s="1"/>
  <c r="AY113" i="8" s="1"/>
  <c r="AH112" i="8"/>
  <c r="AG112" i="8"/>
  <c r="AC112" i="8"/>
  <c r="AB112" i="8"/>
  <c r="AE112" i="8" s="1"/>
  <c r="AA112" i="8"/>
  <c r="AD112" i="8" s="1"/>
  <c r="W112" i="8"/>
  <c r="V112" i="8"/>
  <c r="U112" i="8"/>
  <c r="Q112" i="8"/>
  <c r="P112" i="8"/>
  <c r="O112" i="8"/>
  <c r="N112" i="8"/>
  <c r="J112" i="8" s="1"/>
  <c r="BA112" i="8" s="1"/>
  <c r="M112" i="8"/>
  <c r="I112" i="8" s="1"/>
  <c r="AZ112" i="8" s="1"/>
  <c r="L112" i="8"/>
  <c r="H112" i="8" s="1"/>
  <c r="AY112" i="8" s="1"/>
  <c r="AH111" i="8"/>
  <c r="AG111" i="8"/>
  <c r="AC111" i="8"/>
  <c r="AB111" i="8"/>
  <c r="AE111" i="8" s="1"/>
  <c r="AA111" i="8"/>
  <c r="AD111" i="8" s="1"/>
  <c r="W111" i="8"/>
  <c r="V111" i="8"/>
  <c r="U111" i="8"/>
  <c r="Q111" i="8"/>
  <c r="P111" i="8"/>
  <c r="O111" i="8"/>
  <c r="N111" i="8"/>
  <c r="J111" i="8" s="1"/>
  <c r="BA111" i="8" s="1"/>
  <c r="M111" i="8"/>
  <c r="I111" i="8" s="1"/>
  <c r="AZ111" i="8" s="1"/>
  <c r="L111" i="8"/>
  <c r="H111" i="8" s="1"/>
  <c r="AY111" i="8" s="1"/>
  <c r="AI110" i="8"/>
  <c r="AH110" i="8"/>
  <c r="AG110" i="8"/>
  <c r="AC110" i="8"/>
  <c r="AF110" i="8" s="1"/>
  <c r="AB110" i="8"/>
  <c r="AE110" i="8" s="1"/>
  <c r="AA110" i="8"/>
  <c r="AD110" i="8" s="1"/>
  <c r="W110" i="8"/>
  <c r="V110" i="8"/>
  <c r="U110" i="8"/>
  <c r="Q110" i="8"/>
  <c r="P110" i="8"/>
  <c r="O110" i="8"/>
  <c r="N110" i="8"/>
  <c r="M110" i="8"/>
  <c r="I110" i="8" s="1"/>
  <c r="AZ110" i="8" s="1"/>
  <c r="L110" i="8"/>
  <c r="H110" i="8" s="1"/>
  <c r="AY110" i="8" s="1"/>
  <c r="AI109" i="8"/>
  <c r="AH109" i="8"/>
  <c r="AG109" i="8"/>
  <c r="AC109" i="8"/>
  <c r="AF109" i="8" s="1"/>
  <c r="AB109" i="8"/>
  <c r="AA109" i="8"/>
  <c r="AD109" i="8" s="1"/>
  <c r="W109" i="8"/>
  <c r="V109" i="8"/>
  <c r="U109" i="8"/>
  <c r="Q109" i="8"/>
  <c r="P109" i="8"/>
  <c r="O109" i="8"/>
  <c r="N109" i="8"/>
  <c r="M109" i="8"/>
  <c r="I109" i="8" s="1"/>
  <c r="AZ109" i="8" s="1"/>
  <c r="L109" i="8"/>
  <c r="H109" i="8" s="1"/>
  <c r="AY109" i="8" s="1"/>
  <c r="AI108" i="8"/>
  <c r="AH108" i="8"/>
  <c r="AG108" i="8"/>
  <c r="AC108" i="8"/>
  <c r="AF108" i="8" s="1"/>
  <c r="AB108" i="8"/>
  <c r="AE108" i="8" s="1"/>
  <c r="W108" i="8"/>
  <c r="V108" i="8"/>
  <c r="Q108" i="8"/>
  <c r="P108" i="8"/>
  <c r="N108" i="8"/>
  <c r="J108" i="8" s="1"/>
  <c r="BA108" i="8" s="1"/>
  <c r="M108" i="8"/>
  <c r="I108" i="8" s="1"/>
  <c r="AZ108" i="8" s="1"/>
  <c r="AI107" i="8"/>
  <c r="AH107" i="8"/>
  <c r="AG107" i="8"/>
  <c r="AC107" i="8"/>
  <c r="AF107" i="8" s="1"/>
  <c r="AB107" i="8"/>
  <c r="W107" i="8"/>
  <c r="V107" i="8"/>
  <c r="Q107" i="8"/>
  <c r="P107" i="8"/>
  <c r="N107" i="8"/>
  <c r="M107" i="8"/>
  <c r="I107" i="8" s="1"/>
  <c r="AZ107" i="8" s="1"/>
  <c r="AI106" i="8"/>
  <c r="AH106" i="8"/>
  <c r="AG106" i="8"/>
  <c r="AC106" i="8"/>
  <c r="AF106" i="8" s="1"/>
  <c r="AB106" i="8"/>
  <c r="AE106" i="8" s="1"/>
  <c r="W106" i="8"/>
  <c r="V106" i="8"/>
  <c r="Q106" i="8"/>
  <c r="P106" i="8"/>
  <c r="N106" i="8"/>
  <c r="M106" i="8"/>
  <c r="I106" i="8" s="1"/>
  <c r="AZ106" i="8" s="1"/>
  <c r="AI105" i="8"/>
  <c r="AH105" i="8"/>
  <c r="AG105" i="8"/>
  <c r="AC105" i="8"/>
  <c r="AF105" i="8" s="1"/>
  <c r="AB105" i="8"/>
  <c r="AE105" i="8" s="1"/>
  <c r="W105" i="8"/>
  <c r="V105" i="8"/>
  <c r="Q105" i="8"/>
  <c r="P105" i="8"/>
  <c r="N105" i="8"/>
  <c r="M105" i="8"/>
  <c r="I105" i="8" s="1"/>
  <c r="AZ105" i="8" s="1"/>
  <c r="AI104" i="8"/>
  <c r="AH104" i="8"/>
  <c r="AG104" i="8"/>
  <c r="AC104" i="8"/>
  <c r="AF104" i="8" s="1"/>
  <c r="AB104" i="8"/>
  <c r="AE104" i="8" s="1"/>
  <c r="W104" i="8"/>
  <c r="V104" i="8"/>
  <c r="Q104" i="8"/>
  <c r="P104" i="8"/>
  <c r="N104" i="8"/>
  <c r="M104" i="8"/>
  <c r="I104" i="8" s="1"/>
  <c r="AZ104" i="8" s="1"/>
  <c r="AI102" i="8"/>
  <c r="AH102" i="8"/>
  <c r="AG102" i="8"/>
  <c r="AC102" i="8"/>
  <c r="AF102" i="8" s="1"/>
  <c r="AB102" i="8"/>
  <c r="AA102" i="8"/>
  <c r="AD102" i="8" s="1"/>
  <c r="W102" i="8"/>
  <c r="V102" i="8"/>
  <c r="U102" i="8"/>
  <c r="Q102" i="8"/>
  <c r="P102" i="8"/>
  <c r="O102" i="8"/>
  <c r="N102" i="8"/>
  <c r="J102" i="8" s="1"/>
  <c r="BA102" i="8" s="1"/>
  <c r="M102" i="8"/>
  <c r="I102" i="8" s="1"/>
  <c r="AZ102" i="8" s="1"/>
  <c r="L102" i="8"/>
  <c r="H102" i="8" s="1"/>
  <c r="AY102" i="8" s="1"/>
  <c r="AI101" i="8"/>
  <c r="AH101" i="8"/>
  <c r="AG101" i="8"/>
  <c r="AC101" i="8"/>
  <c r="AF101" i="8" s="1"/>
  <c r="AB101" i="8"/>
  <c r="AE101" i="8" s="1"/>
  <c r="AA101" i="8"/>
  <c r="AD101" i="8" s="1"/>
  <c r="W101" i="8"/>
  <c r="V101" i="8"/>
  <c r="U101" i="8"/>
  <c r="Q101" i="8"/>
  <c r="P101" i="8"/>
  <c r="O101" i="8"/>
  <c r="N101" i="8"/>
  <c r="M101" i="8"/>
  <c r="I101" i="8" s="1"/>
  <c r="AZ101" i="8" s="1"/>
  <c r="L101" i="8"/>
  <c r="H101" i="8" s="1"/>
  <c r="AY101" i="8" s="1"/>
  <c r="AI100" i="8"/>
  <c r="AH100" i="8"/>
  <c r="AG100" i="8"/>
  <c r="AC100" i="8"/>
  <c r="AF100" i="8" s="1"/>
  <c r="AB100" i="8"/>
  <c r="AE100" i="8" s="1"/>
  <c r="AA100" i="8"/>
  <c r="AD100" i="8" s="1"/>
  <c r="W100" i="8"/>
  <c r="V100" i="8"/>
  <c r="U100" i="8"/>
  <c r="Q100" i="8"/>
  <c r="P100" i="8"/>
  <c r="O100" i="8"/>
  <c r="N100" i="8"/>
  <c r="M100" i="8"/>
  <c r="I100" i="8" s="1"/>
  <c r="AZ100" i="8" s="1"/>
  <c r="L100" i="8"/>
  <c r="H100" i="8" s="1"/>
  <c r="AY100" i="8" s="1"/>
  <c r="AI99" i="8"/>
  <c r="AH99" i="8"/>
  <c r="AG99" i="8"/>
  <c r="AC99" i="8"/>
  <c r="AF99" i="8" s="1"/>
  <c r="AB99" i="8"/>
  <c r="AA99" i="8"/>
  <c r="AD99" i="8" s="1"/>
  <c r="W99" i="8"/>
  <c r="V99" i="8"/>
  <c r="U99" i="8"/>
  <c r="Q99" i="8"/>
  <c r="P99" i="8"/>
  <c r="O99" i="8"/>
  <c r="N99" i="8"/>
  <c r="M99" i="8"/>
  <c r="I99" i="8" s="1"/>
  <c r="AZ99" i="8" s="1"/>
  <c r="L99" i="8"/>
  <c r="H99" i="8" s="1"/>
  <c r="AY99" i="8" s="1"/>
  <c r="AI98" i="8"/>
  <c r="AH98" i="8"/>
  <c r="AG98" i="8"/>
  <c r="AC98" i="8"/>
  <c r="AB98" i="8"/>
  <c r="W98" i="8"/>
  <c r="V98" i="8"/>
  <c r="Q98" i="8"/>
  <c r="P98" i="8"/>
  <c r="O98" i="8"/>
  <c r="N98" i="8"/>
  <c r="M98" i="8"/>
  <c r="I98" i="8" s="1"/>
  <c r="AZ98" i="8" s="1"/>
  <c r="L98" i="8"/>
  <c r="H98" i="8" s="1"/>
  <c r="AY98" i="8" s="1"/>
  <c r="AI96" i="8"/>
  <c r="AH96" i="8"/>
  <c r="AG96" i="8"/>
  <c r="AC96" i="8"/>
  <c r="AF96" i="8" s="1"/>
  <c r="AB96" i="8"/>
  <c r="AA96" i="8"/>
  <c r="AD96" i="8" s="1"/>
  <c r="W96" i="8"/>
  <c r="V96" i="8"/>
  <c r="U96" i="8"/>
  <c r="Q96" i="8"/>
  <c r="P96" i="8"/>
  <c r="O96" i="8"/>
  <c r="N96" i="8"/>
  <c r="J96" i="8" s="1"/>
  <c r="BA96" i="8" s="1"/>
  <c r="M96" i="8"/>
  <c r="I96" i="8" s="1"/>
  <c r="AZ96" i="8" s="1"/>
  <c r="L96" i="8"/>
  <c r="H96" i="8" s="1"/>
  <c r="AY96" i="8" s="1"/>
  <c r="AI95" i="8"/>
  <c r="AH95" i="8"/>
  <c r="AG95" i="8"/>
  <c r="AC95" i="8"/>
  <c r="AF95" i="8" s="1"/>
  <c r="AB95" i="8"/>
  <c r="AE95" i="8" s="1"/>
  <c r="AA95" i="8"/>
  <c r="AD95" i="8" s="1"/>
  <c r="W95" i="8"/>
  <c r="V95" i="8"/>
  <c r="U95" i="8"/>
  <c r="Q95" i="8"/>
  <c r="P95" i="8"/>
  <c r="O95" i="8"/>
  <c r="N95" i="8"/>
  <c r="M95" i="8"/>
  <c r="I95" i="8" s="1"/>
  <c r="AZ95" i="8" s="1"/>
  <c r="L95" i="8"/>
  <c r="H95" i="8" s="1"/>
  <c r="AY95" i="8" s="1"/>
  <c r="AI94" i="8"/>
  <c r="AH94" i="8"/>
  <c r="AG94" i="8"/>
  <c r="AC94" i="8"/>
  <c r="AF94" i="8" s="1"/>
  <c r="AB94" i="8"/>
  <c r="AE94" i="8" s="1"/>
  <c r="AA94" i="8"/>
  <c r="AD94" i="8" s="1"/>
  <c r="W94" i="8"/>
  <c r="V94" i="8"/>
  <c r="U94" i="8"/>
  <c r="Q94" i="8"/>
  <c r="P94" i="8"/>
  <c r="O94" i="8"/>
  <c r="N94" i="8"/>
  <c r="M94" i="8"/>
  <c r="I94" i="8" s="1"/>
  <c r="AZ94" i="8" s="1"/>
  <c r="L94" i="8"/>
  <c r="H94" i="8" s="1"/>
  <c r="AY94" i="8" s="1"/>
  <c r="AI93" i="8"/>
  <c r="AH93" i="8"/>
  <c r="AG93" i="8"/>
  <c r="AC93" i="8"/>
  <c r="AF93" i="8" s="1"/>
  <c r="AB93" i="8"/>
  <c r="AA93" i="8"/>
  <c r="AD93" i="8" s="1"/>
  <c r="W93" i="8"/>
  <c r="V93" i="8"/>
  <c r="U93" i="8"/>
  <c r="Q93" i="8"/>
  <c r="P93" i="8"/>
  <c r="O93" i="8"/>
  <c r="N93" i="8"/>
  <c r="M93" i="8"/>
  <c r="I93" i="8" s="1"/>
  <c r="AZ93" i="8" s="1"/>
  <c r="L93" i="8"/>
  <c r="H93" i="8" s="1"/>
  <c r="AY93" i="8" s="1"/>
  <c r="AI92" i="8"/>
  <c r="AH92" i="8"/>
  <c r="AG92" i="8"/>
  <c r="AC92" i="8"/>
  <c r="AF92" i="8" s="1"/>
  <c r="AB92" i="8"/>
  <c r="AA92" i="8"/>
  <c r="AD92" i="8" s="1"/>
  <c r="W92" i="8"/>
  <c r="V92" i="8"/>
  <c r="U92" i="8"/>
  <c r="Q92" i="8"/>
  <c r="P92" i="8"/>
  <c r="O92" i="8"/>
  <c r="N92" i="8"/>
  <c r="M92" i="8"/>
  <c r="I92" i="8" s="1"/>
  <c r="AZ92" i="8" s="1"/>
  <c r="L92" i="8"/>
  <c r="H92" i="8" s="1"/>
  <c r="AY92" i="8" s="1"/>
  <c r="AI91" i="8"/>
  <c r="AH91" i="8"/>
  <c r="AG91" i="8"/>
  <c r="AC91" i="8"/>
  <c r="AF91" i="8" s="1"/>
  <c r="AB91" i="8"/>
  <c r="AE91" i="8" s="1"/>
  <c r="AA91" i="8"/>
  <c r="AD91" i="8" s="1"/>
  <c r="W91" i="8"/>
  <c r="V91" i="8"/>
  <c r="U91" i="8"/>
  <c r="Q91" i="8"/>
  <c r="P91" i="8"/>
  <c r="O91" i="8"/>
  <c r="N91" i="8"/>
  <c r="M91" i="8"/>
  <c r="I91" i="8" s="1"/>
  <c r="AZ91" i="8" s="1"/>
  <c r="L91" i="8"/>
  <c r="H91" i="8" s="1"/>
  <c r="AY91" i="8" s="1"/>
  <c r="AI90" i="8"/>
  <c r="AH90" i="8"/>
  <c r="AC90" i="8"/>
  <c r="AF90" i="8" s="1"/>
  <c r="AB90" i="8"/>
  <c r="AA90" i="8"/>
  <c r="W90" i="8"/>
  <c r="V90" i="8"/>
  <c r="Q90" i="8"/>
  <c r="P90" i="8"/>
  <c r="O90" i="8"/>
  <c r="N90" i="8"/>
  <c r="M90" i="8"/>
  <c r="I90" i="8" s="1"/>
  <c r="AZ90" i="8" s="1"/>
  <c r="L90" i="8"/>
  <c r="H90" i="8" s="1"/>
  <c r="AY90" i="8" s="1"/>
  <c r="AI89" i="8"/>
  <c r="AH89" i="8"/>
  <c r="AC89" i="8"/>
  <c r="AF89" i="8" s="1"/>
  <c r="AB89" i="8"/>
  <c r="AA89" i="8"/>
  <c r="W89" i="8"/>
  <c r="V89" i="8"/>
  <c r="Q89" i="8"/>
  <c r="P89" i="8"/>
  <c r="O89" i="8"/>
  <c r="N89" i="8"/>
  <c r="M89" i="8"/>
  <c r="I89" i="8" s="1"/>
  <c r="AZ89" i="8" s="1"/>
  <c r="L89" i="8"/>
  <c r="H89" i="8" s="1"/>
  <c r="AY89" i="8" s="1"/>
  <c r="AI88" i="8"/>
  <c r="AH88" i="8"/>
  <c r="AC88" i="8"/>
  <c r="AF88" i="8" s="1"/>
  <c r="AB88" i="8"/>
  <c r="AA88" i="8"/>
  <c r="W88" i="8"/>
  <c r="V88" i="8"/>
  <c r="Q88" i="8"/>
  <c r="P88" i="8"/>
  <c r="O88" i="8"/>
  <c r="N88" i="8"/>
  <c r="M88" i="8"/>
  <c r="I88" i="8" s="1"/>
  <c r="AZ88" i="8" s="1"/>
  <c r="L88" i="8"/>
  <c r="H88" i="8" s="1"/>
  <c r="AY88" i="8" s="1"/>
  <c r="AI87" i="8"/>
  <c r="AH87" i="8"/>
  <c r="AG87" i="8"/>
  <c r="AC87" i="8"/>
  <c r="AF87" i="8" s="1"/>
  <c r="AB87" i="8"/>
  <c r="AE87" i="8" s="1"/>
  <c r="AA87" i="8"/>
  <c r="AD87" i="8" s="1"/>
  <c r="W87" i="8"/>
  <c r="V87" i="8"/>
  <c r="U87" i="8"/>
  <c r="Q87" i="8"/>
  <c r="P87" i="8"/>
  <c r="O87" i="8"/>
  <c r="N87" i="8"/>
  <c r="M87" i="8"/>
  <c r="I87" i="8" s="1"/>
  <c r="AZ87" i="8" s="1"/>
  <c r="L87" i="8"/>
  <c r="H87" i="8" s="1"/>
  <c r="AY87" i="8" s="1"/>
  <c r="AI86" i="8"/>
  <c r="AH86" i="8"/>
  <c r="AG86" i="8"/>
  <c r="AC86" i="8"/>
  <c r="AF86" i="8" s="1"/>
  <c r="AB86" i="8"/>
  <c r="AE86" i="8" s="1"/>
  <c r="AA86" i="8"/>
  <c r="AD86" i="8" s="1"/>
  <c r="W86" i="8"/>
  <c r="V86" i="8"/>
  <c r="U86" i="8"/>
  <c r="Q86" i="8"/>
  <c r="P86" i="8"/>
  <c r="O86" i="8"/>
  <c r="N86" i="8"/>
  <c r="M86" i="8"/>
  <c r="I86" i="8" s="1"/>
  <c r="AZ86" i="8" s="1"/>
  <c r="L86" i="8"/>
  <c r="H86" i="8" s="1"/>
  <c r="AY86" i="8" s="1"/>
  <c r="AI85" i="8"/>
  <c r="AH85" i="8"/>
  <c r="AG85" i="8"/>
  <c r="AC85" i="8"/>
  <c r="AF85" i="8" s="1"/>
  <c r="AB85" i="8"/>
  <c r="AE85" i="8" s="1"/>
  <c r="AA85" i="8"/>
  <c r="W85" i="8"/>
  <c r="V85" i="8"/>
  <c r="U85" i="8"/>
  <c r="Q85" i="8"/>
  <c r="P85" i="8"/>
  <c r="O85" i="8"/>
  <c r="N85" i="8"/>
  <c r="M85" i="8"/>
  <c r="I85" i="8" s="1"/>
  <c r="AZ85" i="8" s="1"/>
  <c r="L85" i="8"/>
  <c r="H85" i="8" s="1"/>
  <c r="AY85" i="8" s="1"/>
  <c r="AI83" i="8"/>
  <c r="AH83" i="8"/>
  <c r="AG83" i="8"/>
  <c r="AC83" i="8"/>
  <c r="AF83" i="8" s="1"/>
  <c r="AB83" i="8"/>
  <c r="AA83" i="8"/>
  <c r="AD83" i="8" s="1"/>
  <c r="W83" i="8"/>
  <c r="U83" i="8"/>
  <c r="Q83" i="8"/>
  <c r="O83" i="8"/>
  <c r="N83" i="8"/>
  <c r="J83" i="8" s="1"/>
  <c r="BA83" i="8" s="1"/>
  <c r="M83" i="8"/>
  <c r="I83" i="8" s="1"/>
  <c r="AZ83" i="8" s="1"/>
  <c r="L83" i="8"/>
  <c r="AI82" i="8"/>
  <c r="AH82" i="8"/>
  <c r="AG82" i="8"/>
  <c r="AC82" i="8"/>
  <c r="AF82" i="8" s="1"/>
  <c r="AB82" i="8"/>
  <c r="AE82" i="8" s="1"/>
  <c r="AA82" i="8"/>
  <c r="AD82" i="8" s="1"/>
  <c r="W82" i="8"/>
  <c r="V82" i="8"/>
  <c r="U82" i="8"/>
  <c r="Q82" i="8"/>
  <c r="P82" i="8"/>
  <c r="O82" i="8"/>
  <c r="N82" i="8"/>
  <c r="M82" i="8"/>
  <c r="I82" i="8" s="1"/>
  <c r="AZ82" i="8" s="1"/>
  <c r="L82" i="8"/>
  <c r="H82" i="8" s="1"/>
  <c r="AY82" i="8" s="1"/>
  <c r="AI81" i="8"/>
  <c r="AH81" i="8"/>
  <c r="AG81" i="8"/>
  <c r="AC81" i="8"/>
  <c r="AF81" i="8" s="1"/>
  <c r="AB81" i="8"/>
  <c r="AE81" i="8" s="1"/>
  <c r="AA81" i="8"/>
  <c r="AD81" i="8" s="1"/>
  <c r="W81" i="8"/>
  <c r="V81" i="8"/>
  <c r="U81" i="8"/>
  <c r="Q81" i="8"/>
  <c r="P81" i="8"/>
  <c r="O81" i="8"/>
  <c r="N81" i="8"/>
  <c r="M81" i="8"/>
  <c r="L81" i="8"/>
  <c r="AI80" i="8"/>
  <c r="AH80" i="8"/>
  <c r="AG80" i="8"/>
  <c r="AC80" i="8"/>
  <c r="AB80" i="8"/>
  <c r="AA80" i="8"/>
  <c r="AD80" i="8" s="1"/>
  <c r="W80" i="8"/>
  <c r="U80" i="8"/>
  <c r="Q80" i="8"/>
  <c r="O80" i="8"/>
  <c r="N80" i="8"/>
  <c r="J80" i="8" s="1"/>
  <c r="BA80" i="8" s="1"/>
  <c r="M80" i="8"/>
  <c r="I80" i="8" s="1"/>
  <c r="AZ80" i="8" s="1"/>
  <c r="L80" i="8"/>
  <c r="AI79" i="8"/>
  <c r="AH79" i="8"/>
  <c r="AC79" i="8"/>
  <c r="AB79" i="8"/>
  <c r="W79" i="8"/>
  <c r="Q79" i="8"/>
  <c r="N79" i="8"/>
  <c r="J79" i="8" s="1"/>
  <c r="BA79" i="8" s="1"/>
  <c r="M79" i="8"/>
  <c r="I79" i="8" s="1"/>
  <c r="AZ79" i="8" s="1"/>
  <c r="L79" i="8"/>
  <c r="H79" i="8" s="1"/>
  <c r="AY79" i="8" s="1"/>
  <c r="AI78" i="8"/>
  <c r="AH78" i="8"/>
  <c r="AC78" i="8"/>
  <c r="AF78" i="8" s="1"/>
  <c r="AB78" i="8"/>
  <c r="W78" i="8"/>
  <c r="Q78" i="8"/>
  <c r="N78" i="8"/>
  <c r="M78" i="8"/>
  <c r="I78" i="8" s="1"/>
  <c r="AZ78" i="8" s="1"/>
  <c r="L78" i="8"/>
  <c r="H78" i="8" s="1"/>
  <c r="AY78" i="8" s="1"/>
  <c r="AI77" i="8"/>
  <c r="AH77" i="8"/>
  <c r="AC77" i="8"/>
  <c r="AF77" i="8" s="1"/>
  <c r="AB77" i="8"/>
  <c r="W77" i="8"/>
  <c r="Q77" i="8"/>
  <c r="N77" i="8"/>
  <c r="J77" i="8" s="1"/>
  <c r="BA77" i="8" s="1"/>
  <c r="M77" i="8"/>
  <c r="I77" i="8" s="1"/>
  <c r="AZ77" i="8" s="1"/>
  <c r="L77" i="8"/>
  <c r="H77" i="8" s="1"/>
  <c r="AY77" i="8" s="1"/>
  <c r="AI76" i="8"/>
  <c r="AH76" i="8"/>
  <c r="AC76" i="8"/>
  <c r="AB76" i="8"/>
  <c r="W76" i="8"/>
  <c r="Q76" i="8"/>
  <c r="N76" i="8"/>
  <c r="M76" i="8"/>
  <c r="I76" i="8" s="1"/>
  <c r="AZ76" i="8" s="1"/>
  <c r="L76" i="8"/>
  <c r="H76" i="8" s="1"/>
  <c r="AY76" i="8" s="1"/>
  <c r="AI75" i="8"/>
  <c r="AH75" i="8"/>
  <c r="AC75" i="8"/>
  <c r="AB75" i="8"/>
  <c r="W75" i="8"/>
  <c r="Q75" i="8"/>
  <c r="N75" i="8"/>
  <c r="M75" i="8"/>
  <c r="I75" i="8" s="1"/>
  <c r="AZ75" i="8" s="1"/>
  <c r="L75" i="8"/>
  <c r="H75" i="8" s="1"/>
  <c r="AY75" i="8" s="1"/>
  <c r="AI74" i="8"/>
  <c r="AH74" i="8"/>
  <c r="AC74" i="8"/>
  <c r="AB74" i="8"/>
  <c r="W74" i="8"/>
  <c r="Q74" i="8"/>
  <c r="N74" i="8"/>
  <c r="M74" i="8"/>
  <c r="I74" i="8" s="1"/>
  <c r="AZ74" i="8" s="1"/>
  <c r="L74" i="8"/>
  <c r="H74" i="8" s="1"/>
  <c r="AY74" i="8" s="1"/>
  <c r="AI72" i="8"/>
  <c r="AH72" i="8"/>
  <c r="AC72" i="8"/>
  <c r="AF72" i="8" s="1"/>
  <c r="AB72" i="8"/>
  <c r="W72" i="8"/>
  <c r="V72" i="8"/>
  <c r="Q72" i="8"/>
  <c r="P72" i="8"/>
  <c r="O72" i="8"/>
  <c r="N72" i="8"/>
  <c r="J72" i="8" s="1"/>
  <c r="BA72" i="8" s="1"/>
  <c r="M72" i="8"/>
  <c r="I72" i="8" s="1"/>
  <c r="AZ72" i="8" s="1"/>
  <c r="L72" i="8"/>
  <c r="AI71" i="8"/>
  <c r="AH71" i="8"/>
  <c r="AG71" i="8"/>
  <c r="AC71" i="8"/>
  <c r="AF71" i="8" s="1"/>
  <c r="AB71" i="8"/>
  <c r="AE71" i="8" s="1"/>
  <c r="AA71" i="8"/>
  <c r="AD71" i="8" s="1"/>
  <c r="W71" i="8"/>
  <c r="V71" i="8"/>
  <c r="U71" i="8"/>
  <c r="Q71" i="8"/>
  <c r="P71" i="8"/>
  <c r="O71" i="8"/>
  <c r="N71" i="8"/>
  <c r="M71" i="8"/>
  <c r="I71" i="8" s="1"/>
  <c r="AZ71" i="8" s="1"/>
  <c r="L71" i="8"/>
  <c r="AI70" i="8"/>
  <c r="AH70" i="8"/>
  <c r="AG70" i="8"/>
  <c r="AC70" i="8"/>
  <c r="AB70" i="8"/>
  <c r="AE70" i="8" s="1"/>
  <c r="AA70" i="8"/>
  <c r="AD70" i="8" s="1"/>
  <c r="W70" i="8"/>
  <c r="V70" i="8"/>
  <c r="U70" i="8"/>
  <c r="Q70" i="8"/>
  <c r="P70" i="8"/>
  <c r="O70" i="8"/>
  <c r="N70" i="8"/>
  <c r="J70" i="8" s="1"/>
  <c r="BA70" i="8" s="1"/>
  <c r="M70" i="8"/>
  <c r="I70" i="8" s="1"/>
  <c r="AZ70" i="8" s="1"/>
  <c r="L70" i="8"/>
  <c r="AI69" i="8"/>
  <c r="AH69" i="8"/>
  <c r="AC69" i="8"/>
  <c r="AB69" i="8"/>
  <c r="W69" i="8"/>
  <c r="V69" i="8"/>
  <c r="Q69" i="8"/>
  <c r="P69" i="8"/>
  <c r="O69" i="8"/>
  <c r="N69" i="8"/>
  <c r="M69" i="8"/>
  <c r="I69" i="8" s="1"/>
  <c r="AZ69" i="8" s="1"/>
  <c r="L69" i="8"/>
  <c r="H69" i="8" s="1"/>
  <c r="AY69" i="8" s="1"/>
  <c r="AI68" i="8"/>
  <c r="AH68" i="8"/>
  <c r="AC68" i="8"/>
  <c r="AB68" i="8"/>
  <c r="W68" i="8"/>
  <c r="V68" i="8"/>
  <c r="Q68" i="8"/>
  <c r="P68" i="8"/>
  <c r="O68" i="8"/>
  <c r="N68" i="8"/>
  <c r="J68" i="8" s="1"/>
  <c r="BA68" i="8" s="1"/>
  <c r="M68" i="8"/>
  <c r="I68" i="8" s="1"/>
  <c r="AZ68" i="8" s="1"/>
  <c r="L68" i="8"/>
  <c r="H68" i="8" s="1"/>
  <c r="AY68" i="8" s="1"/>
  <c r="AI67" i="8"/>
  <c r="AH67" i="8"/>
  <c r="AC67" i="8"/>
  <c r="AB67" i="8"/>
  <c r="W67" i="8"/>
  <c r="V67" i="8"/>
  <c r="Q67" i="8"/>
  <c r="P67" i="8"/>
  <c r="O67" i="8"/>
  <c r="N67" i="8"/>
  <c r="J67" i="8" s="1"/>
  <c r="BA67" i="8" s="1"/>
  <c r="M67" i="8"/>
  <c r="I67" i="8" s="1"/>
  <c r="AZ67" i="8" s="1"/>
  <c r="L67" i="8"/>
  <c r="AI66" i="8"/>
  <c r="AH66" i="8"/>
  <c r="AC66" i="8"/>
  <c r="AB66" i="8"/>
  <c r="W66" i="8"/>
  <c r="V66" i="8"/>
  <c r="Q66" i="8"/>
  <c r="P66" i="8"/>
  <c r="O66" i="8"/>
  <c r="N66" i="8"/>
  <c r="M66" i="8"/>
  <c r="I66" i="8" s="1"/>
  <c r="AZ66" i="8" s="1"/>
  <c r="L66" i="8"/>
  <c r="H66" i="8" s="1"/>
  <c r="AY66" i="8" s="1"/>
  <c r="AI64" i="8"/>
  <c r="AH64" i="8"/>
  <c r="AG64" i="8"/>
  <c r="AC64" i="8"/>
  <c r="AF64" i="8" s="1"/>
  <c r="AB64" i="8"/>
  <c r="AE64" i="8" s="1"/>
  <c r="AA64" i="8"/>
  <c r="AD64" i="8" s="1"/>
  <c r="W64" i="8"/>
  <c r="V64" i="8"/>
  <c r="U64" i="8"/>
  <c r="Q64" i="8"/>
  <c r="P64" i="8"/>
  <c r="O64" i="8"/>
  <c r="N64" i="8"/>
  <c r="M64" i="8"/>
  <c r="I64" i="8" s="1"/>
  <c r="AZ64" i="8" s="1"/>
  <c r="L64" i="8"/>
  <c r="H64" i="8" s="1"/>
  <c r="AY64" i="8" s="1"/>
  <c r="AI63" i="8"/>
  <c r="AH63" i="8"/>
  <c r="AG63" i="8"/>
  <c r="AC63" i="8"/>
  <c r="AF63" i="8" s="1"/>
  <c r="AB63" i="8"/>
  <c r="AE63" i="8" s="1"/>
  <c r="AA63" i="8"/>
  <c r="AD63" i="8" s="1"/>
  <c r="W63" i="8"/>
  <c r="V63" i="8"/>
  <c r="U63" i="8"/>
  <c r="Q63" i="8"/>
  <c r="P63" i="8"/>
  <c r="O63" i="8"/>
  <c r="N63" i="8"/>
  <c r="M63" i="8"/>
  <c r="I63" i="8" s="1"/>
  <c r="AZ63" i="8" s="1"/>
  <c r="L63" i="8"/>
  <c r="H63" i="8" s="1"/>
  <c r="AY63" i="8" s="1"/>
  <c r="AI62" i="8"/>
  <c r="AH62" i="8"/>
  <c r="AG62" i="8"/>
  <c r="AC62" i="8"/>
  <c r="AF62" i="8" s="1"/>
  <c r="AB62" i="8"/>
  <c r="AE62" i="8" s="1"/>
  <c r="AA62" i="8"/>
  <c r="AD62" i="8" s="1"/>
  <c r="W62" i="8"/>
  <c r="V62" i="8"/>
  <c r="U62" i="8"/>
  <c r="Q62" i="8"/>
  <c r="P62" i="8"/>
  <c r="O62" i="8"/>
  <c r="N62" i="8"/>
  <c r="M62" i="8"/>
  <c r="I62" i="8" s="1"/>
  <c r="AZ62" i="8" s="1"/>
  <c r="L62" i="8"/>
  <c r="H62" i="8" s="1"/>
  <c r="AY62" i="8" s="1"/>
  <c r="AI61" i="8"/>
  <c r="AH61" i="8"/>
  <c r="AG61" i="8"/>
  <c r="AC61" i="8"/>
  <c r="AF61" i="8" s="1"/>
  <c r="AB61" i="8"/>
  <c r="AE61" i="8" s="1"/>
  <c r="AA61" i="8"/>
  <c r="AD61" i="8" s="1"/>
  <c r="W61" i="8"/>
  <c r="V61" i="8"/>
  <c r="U61" i="8"/>
  <c r="Q61" i="8"/>
  <c r="P61" i="8"/>
  <c r="O61" i="8"/>
  <c r="N61" i="8"/>
  <c r="M61" i="8"/>
  <c r="I61" i="8" s="1"/>
  <c r="AZ61" i="8" s="1"/>
  <c r="L61" i="8"/>
  <c r="H61" i="8" s="1"/>
  <c r="AY61" i="8" s="1"/>
  <c r="AI60" i="8"/>
  <c r="AH60" i="8"/>
  <c r="AG60" i="8"/>
  <c r="AC60" i="8"/>
  <c r="AF60" i="8" s="1"/>
  <c r="AB60" i="8"/>
  <c r="AE60" i="8" s="1"/>
  <c r="AA60" i="8"/>
  <c r="AD60" i="8" s="1"/>
  <c r="W60" i="8"/>
  <c r="V60" i="8"/>
  <c r="U60" i="8"/>
  <c r="Q60" i="8"/>
  <c r="P60" i="8"/>
  <c r="O60" i="8"/>
  <c r="N60" i="8"/>
  <c r="M60" i="8"/>
  <c r="I60" i="8" s="1"/>
  <c r="AZ60" i="8" s="1"/>
  <c r="L60" i="8"/>
  <c r="H60" i="8" s="1"/>
  <c r="AY60" i="8" s="1"/>
  <c r="AI59" i="8"/>
  <c r="AH59" i="8"/>
  <c r="AG59" i="8"/>
  <c r="AC59" i="8"/>
  <c r="AB59" i="8"/>
  <c r="AE59" i="8" s="1"/>
  <c r="AA59" i="8"/>
  <c r="AD59" i="8" s="1"/>
  <c r="W59" i="8"/>
  <c r="V59" i="8"/>
  <c r="U59" i="8"/>
  <c r="Q59" i="8"/>
  <c r="P59" i="8"/>
  <c r="O59" i="8"/>
  <c r="N59" i="8"/>
  <c r="J59" i="8" s="1"/>
  <c r="BA59" i="8" s="1"/>
  <c r="M59" i="8"/>
  <c r="I59" i="8" s="1"/>
  <c r="AZ59" i="8" s="1"/>
  <c r="L59" i="8"/>
  <c r="H59" i="8" s="1"/>
  <c r="AY59" i="8" s="1"/>
  <c r="AI58" i="8"/>
  <c r="AH58" i="8"/>
  <c r="AG58" i="8"/>
  <c r="AC58" i="8"/>
  <c r="AB58" i="8"/>
  <c r="AE58" i="8" s="1"/>
  <c r="AA58" i="8"/>
  <c r="AD58" i="8" s="1"/>
  <c r="W58" i="8"/>
  <c r="V58" i="8"/>
  <c r="U58" i="8"/>
  <c r="Q58" i="8"/>
  <c r="P58" i="8"/>
  <c r="O58" i="8"/>
  <c r="N58" i="8"/>
  <c r="J58" i="8" s="1"/>
  <c r="BA58" i="8" s="1"/>
  <c r="M58" i="8"/>
  <c r="I58" i="8" s="1"/>
  <c r="AZ58" i="8" s="1"/>
  <c r="L58" i="8"/>
  <c r="H58" i="8" s="1"/>
  <c r="AY58" i="8" s="1"/>
  <c r="AI56" i="8"/>
  <c r="AH56" i="8"/>
  <c r="AC56" i="8"/>
  <c r="AB56" i="8"/>
  <c r="AA56" i="8"/>
  <c r="W56" i="8"/>
  <c r="V56" i="8"/>
  <c r="U56" i="8"/>
  <c r="Q56" i="8"/>
  <c r="P56" i="8"/>
  <c r="O56" i="8"/>
  <c r="N56" i="8"/>
  <c r="J56" i="8" s="1"/>
  <c r="BA56" i="8" s="1"/>
  <c r="M56" i="8"/>
  <c r="I56" i="8" s="1"/>
  <c r="AZ56" i="8" s="1"/>
  <c r="L56" i="8"/>
  <c r="H56" i="8" s="1"/>
  <c r="AY56" i="8" s="1"/>
  <c r="AI55" i="8"/>
  <c r="AH55" i="8"/>
  <c r="AG55" i="8"/>
  <c r="AC55" i="8"/>
  <c r="AF55" i="8" s="1"/>
  <c r="AB55" i="8"/>
  <c r="AE55" i="8" s="1"/>
  <c r="AA55" i="8"/>
  <c r="AD55" i="8" s="1"/>
  <c r="W55" i="8"/>
  <c r="V55" i="8"/>
  <c r="U55" i="8"/>
  <c r="Q55" i="8"/>
  <c r="P55" i="8"/>
  <c r="O55" i="8"/>
  <c r="N55" i="8"/>
  <c r="M55" i="8"/>
  <c r="I55" i="8" s="1"/>
  <c r="AZ55" i="8" s="1"/>
  <c r="L55" i="8"/>
  <c r="H55" i="8" s="1"/>
  <c r="AY55" i="8" s="1"/>
  <c r="AI54" i="8"/>
  <c r="AH54" i="8"/>
  <c r="AG54" i="8"/>
  <c r="AC54" i="8"/>
  <c r="AF54" i="8" s="1"/>
  <c r="AB54" i="8"/>
  <c r="AE54" i="8" s="1"/>
  <c r="AA54" i="8"/>
  <c r="AD54" i="8" s="1"/>
  <c r="W54" i="8"/>
  <c r="V54" i="8"/>
  <c r="U54" i="8"/>
  <c r="Q54" i="8"/>
  <c r="P54" i="8"/>
  <c r="O54" i="8"/>
  <c r="N54" i="8"/>
  <c r="M54" i="8"/>
  <c r="I54" i="8" s="1"/>
  <c r="AZ54" i="8" s="1"/>
  <c r="L54" i="8"/>
  <c r="H54" i="8" s="1"/>
  <c r="AY54" i="8" s="1"/>
  <c r="AI53" i="8"/>
  <c r="AH53" i="8"/>
  <c r="AC53" i="8"/>
  <c r="AB53" i="8"/>
  <c r="AA53" i="8"/>
  <c r="W53" i="8"/>
  <c r="V53" i="8"/>
  <c r="U53" i="8"/>
  <c r="Q53" i="8"/>
  <c r="P53" i="8"/>
  <c r="O53" i="8"/>
  <c r="N53" i="8"/>
  <c r="J53" i="8" s="1"/>
  <c r="BA53" i="8" s="1"/>
  <c r="M53" i="8"/>
  <c r="I53" i="8" s="1"/>
  <c r="AZ53" i="8" s="1"/>
  <c r="L53" i="8"/>
  <c r="H53" i="8" s="1"/>
  <c r="AY53" i="8" s="1"/>
  <c r="AI52" i="8"/>
  <c r="AH52" i="8"/>
  <c r="AC52" i="8"/>
  <c r="AB52" i="8"/>
  <c r="AA52" i="8"/>
  <c r="W52" i="8"/>
  <c r="V52" i="8"/>
  <c r="U52" i="8"/>
  <c r="Q52" i="8"/>
  <c r="P52" i="8"/>
  <c r="O52" i="8"/>
  <c r="N52" i="8"/>
  <c r="J52" i="8" s="1"/>
  <c r="BA52" i="8" s="1"/>
  <c r="M52" i="8"/>
  <c r="I52" i="8" s="1"/>
  <c r="AZ52" i="8" s="1"/>
  <c r="L52" i="8"/>
  <c r="AI51" i="8"/>
  <c r="AH51" i="8"/>
  <c r="AC51" i="8"/>
  <c r="AB51" i="8"/>
  <c r="AA51" i="8"/>
  <c r="W51" i="8"/>
  <c r="V51" i="8"/>
  <c r="U51" i="8"/>
  <c r="Q51" i="8"/>
  <c r="P51" i="8"/>
  <c r="O51" i="8"/>
  <c r="N51" i="8"/>
  <c r="J51" i="8" s="1"/>
  <c r="BA51" i="8" s="1"/>
  <c r="M51" i="8"/>
  <c r="I51" i="8" s="1"/>
  <c r="AZ51" i="8" s="1"/>
  <c r="L51" i="8"/>
  <c r="H51" i="8" s="1"/>
  <c r="AY51" i="8" s="1"/>
  <c r="AI50" i="8"/>
  <c r="AH50" i="8"/>
  <c r="AC50" i="8"/>
  <c r="AB50" i="8"/>
  <c r="AE50" i="8" s="1"/>
  <c r="AA50" i="8"/>
  <c r="W50" i="8"/>
  <c r="V50" i="8"/>
  <c r="U50" i="8"/>
  <c r="Q50" i="8"/>
  <c r="P50" i="8"/>
  <c r="O50" i="8"/>
  <c r="N50" i="8"/>
  <c r="J50" i="8" s="1"/>
  <c r="BA50" i="8" s="1"/>
  <c r="M50" i="8"/>
  <c r="I50" i="8" s="1"/>
  <c r="AZ50" i="8" s="1"/>
  <c r="L50" i="8"/>
  <c r="H50" i="8" s="1"/>
  <c r="AY50" i="8" s="1"/>
  <c r="AF97" i="8"/>
  <c r="AE97" i="8"/>
  <c r="AI49" i="8"/>
  <c r="AH49" i="8"/>
  <c r="AH46" i="8"/>
  <c r="AH44" i="8"/>
  <c r="AG44" i="8"/>
  <c r="AH43" i="8"/>
  <c r="AG43" i="8"/>
  <c r="AH42" i="8"/>
  <c r="AH41" i="8"/>
  <c r="AH40" i="8"/>
  <c r="AH39" i="8"/>
  <c r="AH38" i="8"/>
  <c r="AH37" i="8"/>
  <c r="AH36" i="8"/>
  <c r="AI34" i="8"/>
  <c r="AH34" i="8"/>
  <c r="AG34" i="8"/>
  <c r="AI33" i="8"/>
  <c r="AH33" i="8"/>
  <c r="AG33" i="8"/>
  <c r="AI32" i="8"/>
  <c r="AH32" i="8"/>
  <c r="AG32" i="8"/>
  <c r="AI31" i="8"/>
  <c r="AH31" i="8"/>
  <c r="AG31" i="8"/>
  <c r="AI30" i="8"/>
  <c r="AH30" i="8"/>
  <c r="AG30" i="8"/>
  <c r="AI29" i="8"/>
  <c r="AH29" i="8"/>
  <c r="AG29" i="8"/>
  <c r="AI28" i="8"/>
  <c r="AH28" i="8"/>
  <c r="AG28" i="8"/>
  <c r="AI27" i="8"/>
  <c r="AH27" i="8"/>
  <c r="AG27" i="8"/>
  <c r="AI26" i="8"/>
  <c r="AH26" i="8"/>
  <c r="AG26" i="8"/>
  <c r="AI25" i="8"/>
  <c r="AH25" i="8"/>
  <c r="AG25" i="8"/>
  <c r="AI24" i="8"/>
  <c r="AH24" i="8"/>
  <c r="AG24" i="8"/>
  <c r="AI22" i="8"/>
  <c r="AH22" i="8"/>
  <c r="AG22" i="8"/>
  <c r="AI21" i="8"/>
  <c r="AH21" i="8"/>
  <c r="AG21" i="8"/>
  <c r="AI20" i="8"/>
  <c r="AH20" i="8"/>
  <c r="AG20" i="8"/>
  <c r="AI19" i="8"/>
  <c r="AH19" i="8"/>
  <c r="AG19" i="8"/>
  <c r="AI18" i="8"/>
  <c r="AH18" i="8"/>
  <c r="AG18" i="8"/>
  <c r="AI17" i="8"/>
  <c r="AH17" i="8"/>
  <c r="AG17" i="8"/>
  <c r="AI16" i="8"/>
  <c r="AH16" i="8"/>
  <c r="AG16" i="8"/>
  <c r="AI15" i="8"/>
  <c r="AH15" i="8"/>
  <c r="AG15" i="8"/>
  <c r="AI14" i="8"/>
  <c r="AH14" i="8"/>
  <c r="AG14" i="8"/>
  <c r="AI13" i="8"/>
  <c r="AH13" i="8"/>
  <c r="AG13" i="8"/>
  <c r="AI12" i="8"/>
  <c r="AH12" i="8"/>
  <c r="AG12" i="8"/>
  <c r="AI11" i="8"/>
  <c r="AH11" i="8"/>
  <c r="AG11" i="8"/>
  <c r="AI10" i="8"/>
  <c r="AH10" i="8"/>
  <c r="AG10" i="8"/>
  <c r="AI9" i="8"/>
  <c r="AH9" i="8"/>
  <c r="AG9" i="8"/>
  <c r="AI8" i="8"/>
  <c r="AH8" i="8"/>
  <c r="AG8" i="8"/>
  <c r="AI7" i="8"/>
  <c r="AH7" i="8"/>
  <c r="AG7" i="8"/>
  <c r="AI6" i="8"/>
  <c r="AH6" i="8"/>
  <c r="AG6" i="8"/>
  <c r="AI5" i="8"/>
  <c r="AH5" i="8"/>
  <c r="Z44" i="8"/>
  <c r="Y44" i="8"/>
  <c r="X44" i="8"/>
  <c r="Z43" i="8"/>
  <c r="Y43" i="8"/>
  <c r="X43" i="8"/>
  <c r="AC49" i="8"/>
  <c r="AF49" i="8" s="1"/>
  <c r="AB49" i="8"/>
  <c r="AE49" i="8" s="1"/>
  <c r="AA49" i="8"/>
  <c r="AB46" i="8"/>
  <c r="AB44" i="8"/>
  <c r="AE44" i="8" s="1"/>
  <c r="AA44" i="8"/>
  <c r="AD44" i="8" s="1"/>
  <c r="AB43" i="8"/>
  <c r="AE43" i="8" s="1"/>
  <c r="AA43" i="8"/>
  <c r="AD43" i="8" s="1"/>
  <c r="AB42" i="8"/>
  <c r="AB41" i="8"/>
  <c r="AB40" i="8"/>
  <c r="AB39" i="8"/>
  <c r="AB38" i="8"/>
  <c r="AB37" i="8"/>
  <c r="AB36" i="8"/>
  <c r="AC34" i="8"/>
  <c r="AF34" i="8" s="1"/>
  <c r="AB34" i="8"/>
  <c r="AE34" i="8" s="1"/>
  <c r="AC33" i="8"/>
  <c r="AB33" i="8"/>
  <c r="AE33" i="8" s="1"/>
  <c r="AA33" i="8"/>
  <c r="AD33" i="8" s="1"/>
  <c r="AC32" i="8"/>
  <c r="AF32" i="8" s="1"/>
  <c r="AB32" i="8"/>
  <c r="AE32" i="8" s="1"/>
  <c r="AA32" i="8"/>
  <c r="AD32" i="8" s="1"/>
  <c r="AC31" i="8"/>
  <c r="AB31" i="8"/>
  <c r="AC30" i="8"/>
  <c r="AB30" i="8"/>
  <c r="AC29" i="8"/>
  <c r="AB29" i="8"/>
  <c r="AC28" i="8"/>
  <c r="AB28" i="8"/>
  <c r="AC27" i="8"/>
  <c r="AB27" i="8"/>
  <c r="AA27" i="8"/>
  <c r="AD27" i="8" s="1"/>
  <c r="AC26" i="8"/>
  <c r="AB26" i="8"/>
  <c r="AC25" i="8"/>
  <c r="AB25" i="8"/>
  <c r="AC24" i="8"/>
  <c r="AB24" i="8"/>
  <c r="AC22" i="8"/>
  <c r="AB22" i="8"/>
  <c r="AE22" i="8" s="1"/>
  <c r="AA22" i="8"/>
  <c r="AD22" i="8" s="1"/>
  <c r="AC21" i="8"/>
  <c r="AB21" i="8"/>
  <c r="AE21" i="8" s="1"/>
  <c r="AA21" i="8"/>
  <c r="AD21" i="8" s="1"/>
  <c r="AC20" i="8"/>
  <c r="AB20" i="8"/>
  <c r="AE20" i="8" s="1"/>
  <c r="AA20" i="8"/>
  <c r="AD20" i="8" s="1"/>
  <c r="AC19" i="8"/>
  <c r="AB19" i="8"/>
  <c r="AE19" i="8" s="1"/>
  <c r="AA19" i="8"/>
  <c r="AD19" i="8" s="1"/>
  <c r="AC18" i="8"/>
  <c r="AB18" i="8"/>
  <c r="AE18" i="8" s="1"/>
  <c r="AA18" i="8"/>
  <c r="AD18" i="8" s="1"/>
  <c r="AC17" i="8"/>
  <c r="AB17" i="8"/>
  <c r="AE17" i="8" s="1"/>
  <c r="AA17" i="8"/>
  <c r="AD17" i="8" s="1"/>
  <c r="AC16" i="8"/>
  <c r="AB16" i="8"/>
  <c r="AE16" i="8" s="1"/>
  <c r="AA16" i="8"/>
  <c r="AD16" i="8" s="1"/>
  <c r="AC15" i="8"/>
  <c r="AB15" i="8"/>
  <c r="AE15" i="8" s="1"/>
  <c r="AA15" i="8"/>
  <c r="AD15" i="8" s="1"/>
  <c r="AC14" i="8"/>
  <c r="AB14" i="8"/>
  <c r="AE14" i="8" s="1"/>
  <c r="AA14" i="8"/>
  <c r="AD14" i="8" s="1"/>
  <c r="AC13" i="8"/>
  <c r="AB13" i="8"/>
  <c r="AE13" i="8" s="1"/>
  <c r="AA13" i="8"/>
  <c r="AD13" i="8" s="1"/>
  <c r="AC12" i="8"/>
  <c r="AB12" i="8"/>
  <c r="AE12" i="8" s="1"/>
  <c r="AA12" i="8"/>
  <c r="AD12" i="8" s="1"/>
  <c r="AC11" i="8"/>
  <c r="AF11" i="8" s="1"/>
  <c r="AB11" i="8"/>
  <c r="AE11" i="8" s="1"/>
  <c r="AA11" i="8"/>
  <c r="AD11" i="8" s="1"/>
  <c r="AC10" i="8"/>
  <c r="AB10" i="8"/>
  <c r="AE10" i="8" s="1"/>
  <c r="AA10" i="8"/>
  <c r="AD10" i="8" s="1"/>
  <c r="AC9" i="8"/>
  <c r="AB9" i="8"/>
  <c r="AE9" i="8" s="1"/>
  <c r="AA9" i="8"/>
  <c r="AD9" i="8" s="1"/>
  <c r="AC8" i="8"/>
  <c r="AB8" i="8"/>
  <c r="AE8" i="8" s="1"/>
  <c r="AA8" i="8"/>
  <c r="AD8" i="8" s="1"/>
  <c r="AC7" i="8"/>
  <c r="AB7" i="8"/>
  <c r="AE7" i="8" s="1"/>
  <c r="AA7" i="8"/>
  <c r="AC6" i="8"/>
  <c r="AB6" i="8"/>
  <c r="AE6" i="8" s="1"/>
  <c r="AA6" i="8"/>
  <c r="AD6" i="8" s="1"/>
  <c r="AC5" i="8"/>
  <c r="AF5" i="8" s="1"/>
  <c r="AB5" i="8"/>
  <c r="W34" i="8"/>
  <c r="V34" i="8"/>
  <c r="Q34" i="8"/>
  <c r="P34" i="8"/>
  <c r="O34" i="8"/>
  <c r="N34" i="8"/>
  <c r="M34" i="8"/>
  <c r="L34" i="8"/>
  <c r="H34" i="8" s="1"/>
  <c r="AY34" i="8" s="1"/>
  <c r="W33" i="8"/>
  <c r="V33" i="8"/>
  <c r="U33" i="8"/>
  <c r="Q33" i="8"/>
  <c r="P33" i="8"/>
  <c r="O33" i="8"/>
  <c r="N33" i="8"/>
  <c r="J33" i="8" s="1"/>
  <c r="BA33" i="8" s="1"/>
  <c r="M33" i="8"/>
  <c r="L33" i="8"/>
  <c r="W32" i="8"/>
  <c r="V32" i="8"/>
  <c r="U32" i="8"/>
  <c r="Q32" i="8"/>
  <c r="P32" i="8"/>
  <c r="O32" i="8"/>
  <c r="N32" i="8"/>
  <c r="J32" i="8" s="1"/>
  <c r="BA32" i="8" s="1"/>
  <c r="M32" i="8"/>
  <c r="L32" i="8"/>
  <c r="W31" i="8"/>
  <c r="V31" i="8"/>
  <c r="Q31" i="8"/>
  <c r="P31" i="8"/>
  <c r="O31" i="8"/>
  <c r="N31" i="8"/>
  <c r="J31" i="8" s="1"/>
  <c r="BA31" i="8" s="1"/>
  <c r="M31" i="8"/>
  <c r="I31" i="8" s="1"/>
  <c r="AZ31" i="8" s="1"/>
  <c r="L31" i="8"/>
  <c r="H31" i="8" s="1"/>
  <c r="AY31" i="8" s="1"/>
  <c r="W30" i="8"/>
  <c r="V30" i="8"/>
  <c r="Q30" i="8"/>
  <c r="P30" i="8"/>
  <c r="O30" i="8"/>
  <c r="N30" i="8"/>
  <c r="J30" i="8" s="1"/>
  <c r="BA30" i="8" s="1"/>
  <c r="M30" i="8"/>
  <c r="I30" i="8" s="1"/>
  <c r="AZ30" i="8" s="1"/>
  <c r="L30" i="8"/>
  <c r="H30" i="8" s="1"/>
  <c r="AY30" i="8" s="1"/>
  <c r="W29" i="8"/>
  <c r="V29" i="8"/>
  <c r="Q29" i="8"/>
  <c r="P29" i="8"/>
  <c r="O29" i="8"/>
  <c r="N29" i="8"/>
  <c r="J29" i="8" s="1"/>
  <c r="BA29" i="8" s="1"/>
  <c r="M29" i="8"/>
  <c r="I29" i="8" s="1"/>
  <c r="AZ29" i="8" s="1"/>
  <c r="L29" i="8"/>
  <c r="H29" i="8" s="1"/>
  <c r="AY29" i="8" s="1"/>
  <c r="W28" i="8"/>
  <c r="V28" i="8"/>
  <c r="Q28" i="8"/>
  <c r="P28" i="8"/>
  <c r="O28" i="8"/>
  <c r="N28" i="8"/>
  <c r="J28" i="8" s="1"/>
  <c r="BA28" i="8" s="1"/>
  <c r="M28" i="8"/>
  <c r="I28" i="8" s="1"/>
  <c r="AZ28" i="8" s="1"/>
  <c r="L28" i="8"/>
  <c r="H28" i="8" s="1"/>
  <c r="AY28" i="8" s="1"/>
  <c r="W27" i="8"/>
  <c r="V27" i="8"/>
  <c r="U27" i="8"/>
  <c r="Q27" i="8"/>
  <c r="P27" i="8"/>
  <c r="O27" i="8"/>
  <c r="N27" i="8"/>
  <c r="J27" i="8" s="1"/>
  <c r="BA27" i="8" s="1"/>
  <c r="M27" i="8"/>
  <c r="I27" i="8" s="1"/>
  <c r="AZ27" i="8" s="1"/>
  <c r="L27" i="8"/>
  <c r="W26" i="8"/>
  <c r="V26" i="8"/>
  <c r="Q26" i="8"/>
  <c r="P26" i="8"/>
  <c r="O26" i="8"/>
  <c r="N26" i="8"/>
  <c r="J26" i="8" s="1"/>
  <c r="BA26" i="8" s="1"/>
  <c r="M26" i="8"/>
  <c r="L26" i="8"/>
  <c r="H26" i="8" s="1"/>
  <c r="AY26" i="8" s="1"/>
  <c r="W25" i="8"/>
  <c r="V25" i="8"/>
  <c r="Q25" i="8"/>
  <c r="P25" i="8"/>
  <c r="O25" i="8"/>
  <c r="N25" i="8"/>
  <c r="J25" i="8" s="1"/>
  <c r="BA25" i="8" s="1"/>
  <c r="M25" i="8"/>
  <c r="I25" i="8" s="1"/>
  <c r="AZ25" i="8" s="1"/>
  <c r="L25" i="8"/>
  <c r="H25" i="8" s="1"/>
  <c r="AY25" i="8" s="1"/>
  <c r="W22" i="8"/>
  <c r="V22" i="8"/>
  <c r="U22" i="8"/>
  <c r="W21" i="8"/>
  <c r="V21" i="8"/>
  <c r="U21" i="8"/>
  <c r="W20" i="8"/>
  <c r="V20" i="8"/>
  <c r="U20" i="8"/>
  <c r="W19" i="8"/>
  <c r="V19" i="8"/>
  <c r="U19" i="8"/>
  <c r="W18" i="8"/>
  <c r="V18" i="8"/>
  <c r="U18" i="8"/>
  <c r="W17" i="8"/>
  <c r="V17" i="8"/>
  <c r="U17" i="8"/>
  <c r="W16" i="8"/>
  <c r="V16" i="8"/>
  <c r="U16" i="8"/>
  <c r="W15" i="8"/>
  <c r="V15" i="8"/>
  <c r="U15" i="8"/>
  <c r="W14" i="8"/>
  <c r="V14" i="8"/>
  <c r="U14" i="8"/>
  <c r="W13" i="8"/>
  <c r="V13" i="8"/>
  <c r="U13" i="8"/>
  <c r="W12" i="8"/>
  <c r="V12" i="8"/>
  <c r="U12" i="8"/>
  <c r="W11" i="8"/>
  <c r="V11" i="8"/>
  <c r="U11" i="8"/>
  <c r="W10" i="8"/>
  <c r="V10" i="8"/>
  <c r="U10" i="8"/>
  <c r="W9" i="8"/>
  <c r="V9" i="8"/>
  <c r="U9" i="8"/>
  <c r="W8" i="8"/>
  <c r="V8" i="8"/>
  <c r="U8" i="8"/>
  <c r="P22" i="8"/>
  <c r="O22" i="8"/>
  <c r="P21" i="8"/>
  <c r="O21" i="8"/>
  <c r="P20" i="8"/>
  <c r="O20" i="8"/>
  <c r="P19" i="8"/>
  <c r="O19" i="8"/>
  <c r="P18" i="8"/>
  <c r="O18" i="8"/>
  <c r="P17" i="8"/>
  <c r="O17" i="8"/>
  <c r="P16" i="8"/>
  <c r="O16" i="8"/>
  <c r="P15" i="8"/>
  <c r="O15" i="8"/>
  <c r="P14" i="8"/>
  <c r="O14" i="8"/>
  <c r="P13" i="8"/>
  <c r="O13" i="8"/>
  <c r="P12" i="8"/>
  <c r="O12" i="8"/>
  <c r="P11" i="8"/>
  <c r="O11" i="8"/>
  <c r="P10" i="8"/>
  <c r="O10" i="8"/>
  <c r="P9" i="8"/>
  <c r="O9" i="8"/>
  <c r="P8" i="8"/>
  <c r="O8" i="8"/>
  <c r="N22" i="8"/>
  <c r="M22" i="8"/>
  <c r="I22" i="8" s="1"/>
  <c r="AZ22" i="8" s="1"/>
  <c r="L22" i="8"/>
  <c r="N21" i="8"/>
  <c r="J21" i="8" s="1"/>
  <c r="BA21" i="8" s="1"/>
  <c r="M21" i="8"/>
  <c r="L21" i="8"/>
  <c r="N20" i="8"/>
  <c r="J20" i="8" s="1"/>
  <c r="BA20" i="8" s="1"/>
  <c r="M20" i="8"/>
  <c r="L20" i="8"/>
  <c r="N19" i="8"/>
  <c r="J19" i="8" s="1"/>
  <c r="BA19" i="8" s="1"/>
  <c r="M19" i="8"/>
  <c r="L19" i="8"/>
  <c r="N18" i="8"/>
  <c r="J18" i="8" s="1"/>
  <c r="BA18" i="8" s="1"/>
  <c r="M18" i="8"/>
  <c r="I18" i="8" s="1"/>
  <c r="AZ18" i="8" s="1"/>
  <c r="L18" i="8"/>
  <c r="N17" i="8"/>
  <c r="J17" i="8" s="1"/>
  <c r="BA17" i="8" s="1"/>
  <c r="M17" i="8"/>
  <c r="L17" i="8"/>
  <c r="H17" i="8" s="1"/>
  <c r="AY17" i="8" s="1"/>
  <c r="N16" i="8"/>
  <c r="J16" i="8" s="1"/>
  <c r="BA16" i="8" s="1"/>
  <c r="M16" i="8"/>
  <c r="L16" i="8"/>
  <c r="N15" i="8"/>
  <c r="J15" i="8" s="1"/>
  <c r="BA15" i="8" s="1"/>
  <c r="M15" i="8"/>
  <c r="L15" i="8"/>
  <c r="N14" i="8"/>
  <c r="M14" i="8"/>
  <c r="I14" i="8" s="1"/>
  <c r="AZ14" i="8" s="1"/>
  <c r="L14" i="8"/>
  <c r="N13" i="8"/>
  <c r="J13" i="8" s="1"/>
  <c r="BA13" i="8" s="1"/>
  <c r="M13" i="8"/>
  <c r="L13" i="8"/>
  <c r="N12" i="8"/>
  <c r="J12" i="8" s="1"/>
  <c r="BA12" i="8" s="1"/>
  <c r="M12" i="8"/>
  <c r="L12" i="8"/>
  <c r="N11" i="8"/>
  <c r="J11" i="8" s="1"/>
  <c r="BA11" i="8" s="1"/>
  <c r="M11" i="8"/>
  <c r="L11" i="8"/>
  <c r="N10" i="8"/>
  <c r="J10" i="8" s="1"/>
  <c r="BA10" i="8" s="1"/>
  <c r="M10" i="8"/>
  <c r="L10" i="8"/>
  <c r="N9" i="8"/>
  <c r="J9" i="8" s="1"/>
  <c r="BA9" i="8" s="1"/>
  <c r="M9" i="8"/>
  <c r="L9" i="8"/>
  <c r="N8" i="8"/>
  <c r="J8" i="8" s="1"/>
  <c r="BA8" i="8" s="1"/>
  <c r="M8" i="8"/>
  <c r="L8" i="8"/>
  <c r="T44" i="8"/>
  <c r="S44" i="8"/>
  <c r="R44" i="8"/>
  <c r="T43" i="8"/>
  <c r="S43" i="8"/>
  <c r="R43" i="8"/>
  <c r="M121" i="9"/>
  <c r="M120" i="9"/>
  <c r="M119" i="9"/>
  <c r="M116" i="9"/>
  <c r="M115" i="9"/>
  <c r="M113" i="9"/>
  <c r="M110" i="9"/>
  <c r="M109" i="9"/>
  <c r="M108" i="9"/>
  <c r="M107" i="9"/>
  <c r="M106" i="9"/>
  <c r="M105" i="9"/>
  <c r="M104" i="9"/>
  <c r="M102" i="9"/>
  <c r="M101" i="9"/>
  <c r="M100" i="9"/>
  <c r="M99" i="9"/>
  <c r="M98" i="9"/>
  <c r="M96" i="9"/>
  <c r="M95" i="9"/>
  <c r="M94" i="9"/>
  <c r="M93" i="9"/>
  <c r="M92" i="9"/>
  <c r="M91" i="9"/>
  <c r="M90" i="9"/>
  <c r="M89" i="9"/>
  <c r="M88" i="9"/>
  <c r="M87" i="9"/>
  <c r="M86" i="9"/>
  <c r="M85" i="9"/>
  <c r="M83" i="9"/>
  <c r="M82" i="9"/>
  <c r="M81" i="9"/>
  <c r="M80" i="9"/>
  <c r="M79" i="9"/>
  <c r="M78" i="9"/>
  <c r="M77" i="9"/>
  <c r="M76" i="9"/>
  <c r="M74" i="9"/>
  <c r="M72" i="9"/>
  <c r="M71" i="9"/>
  <c r="M70" i="9"/>
  <c r="M69" i="9"/>
  <c r="M68" i="9"/>
  <c r="M67" i="9"/>
  <c r="M66" i="9"/>
  <c r="M64" i="9"/>
  <c r="M63" i="9"/>
  <c r="M62" i="9"/>
  <c r="M61" i="9"/>
  <c r="M60" i="9"/>
  <c r="M59" i="9"/>
  <c r="M58" i="9"/>
  <c r="M56" i="9"/>
  <c r="M55" i="9"/>
  <c r="M54" i="9"/>
  <c r="M53" i="9"/>
  <c r="M52" i="9"/>
  <c r="M51" i="9"/>
  <c r="M50" i="9"/>
  <c r="M49" i="9"/>
  <c r="K121" i="9"/>
  <c r="K120" i="9"/>
  <c r="K119" i="9"/>
  <c r="K118" i="9"/>
  <c r="K117" i="9"/>
  <c r="K116" i="9"/>
  <c r="K115" i="9"/>
  <c r="K114" i="9"/>
  <c r="K113" i="9"/>
  <c r="K112" i="9"/>
  <c r="K111" i="9"/>
  <c r="K110" i="9"/>
  <c r="K109" i="9"/>
  <c r="K108" i="9"/>
  <c r="K107" i="9"/>
  <c r="K106" i="9"/>
  <c r="K105" i="9"/>
  <c r="K104" i="9"/>
  <c r="K102" i="9"/>
  <c r="K101" i="9"/>
  <c r="K100" i="9"/>
  <c r="K99" i="9"/>
  <c r="K98" i="9"/>
  <c r="K96" i="9"/>
  <c r="K95" i="9"/>
  <c r="K94" i="9"/>
  <c r="K93" i="9"/>
  <c r="K92" i="9"/>
  <c r="K91" i="9"/>
  <c r="K90" i="9"/>
  <c r="K89" i="9"/>
  <c r="K88" i="9"/>
  <c r="K87" i="9"/>
  <c r="K86" i="9"/>
  <c r="K85" i="9"/>
  <c r="K83" i="9"/>
  <c r="K82" i="9"/>
  <c r="K81" i="9"/>
  <c r="K80" i="9"/>
  <c r="K79" i="9"/>
  <c r="K78" i="9"/>
  <c r="K77" i="9"/>
  <c r="K76" i="9"/>
  <c r="K75" i="9"/>
  <c r="K74" i="9"/>
  <c r="K72" i="9"/>
  <c r="K71" i="9"/>
  <c r="K70" i="9"/>
  <c r="K69" i="9"/>
  <c r="K68" i="9"/>
  <c r="K67" i="9"/>
  <c r="K66" i="9"/>
  <c r="K64" i="9"/>
  <c r="K63" i="9"/>
  <c r="K62" i="9"/>
  <c r="K61" i="9"/>
  <c r="K60" i="9"/>
  <c r="K59" i="9"/>
  <c r="K58" i="9"/>
  <c r="K56" i="9"/>
  <c r="K55" i="9"/>
  <c r="K54" i="9"/>
  <c r="K53" i="9"/>
  <c r="K52" i="9"/>
  <c r="K51" i="9"/>
  <c r="K50" i="9"/>
  <c r="K49" i="9"/>
  <c r="I121" i="9"/>
  <c r="I120" i="9"/>
  <c r="I119" i="9"/>
  <c r="I118" i="9"/>
  <c r="I117" i="9"/>
  <c r="I116" i="9"/>
  <c r="I115" i="9"/>
  <c r="I114" i="9"/>
  <c r="I113" i="9"/>
  <c r="I112" i="9"/>
  <c r="I111" i="9"/>
  <c r="I110" i="9"/>
  <c r="I109" i="9"/>
  <c r="I108" i="9"/>
  <c r="I107" i="9"/>
  <c r="I106" i="9"/>
  <c r="I105" i="9"/>
  <c r="I104" i="9"/>
  <c r="I102" i="9"/>
  <c r="I101" i="9"/>
  <c r="I100" i="9"/>
  <c r="I99" i="9"/>
  <c r="I98" i="9"/>
  <c r="I96" i="9"/>
  <c r="I95" i="9"/>
  <c r="I94" i="9"/>
  <c r="I93" i="9"/>
  <c r="I92" i="9"/>
  <c r="I91" i="9"/>
  <c r="I90" i="9"/>
  <c r="I89" i="9"/>
  <c r="I88" i="9"/>
  <c r="I87" i="9"/>
  <c r="I86" i="9"/>
  <c r="I85" i="9"/>
  <c r="I83" i="9"/>
  <c r="I82" i="9"/>
  <c r="I81" i="9"/>
  <c r="I80" i="9"/>
  <c r="I79" i="9"/>
  <c r="I78" i="9"/>
  <c r="I77" i="9"/>
  <c r="I76" i="9"/>
  <c r="I75" i="9"/>
  <c r="I74" i="9"/>
  <c r="I72" i="9"/>
  <c r="I71" i="9"/>
  <c r="I70" i="9"/>
  <c r="I69" i="9"/>
  <c r="I68" i="9"/>
  <c r="I67" i="9"/>
  <c r="I66" i="9"/>
  <c r="I64" i="9"/>
  <c r="I63" i="9"/>
  <c r="I62" i="9"/>
  <c r="I61" i="9"/>
  <c r="I60" i="9"/>
  <c r="I59" i="9"/>
  <c r="I58" i="9"/>
  <c r="I56" i="9"/>
  <c r="I55" i="9"/>
  <c r="I54" i="9"/>
  <c r="I53" i="9"/>
  <c r="I52" i="9"/>
  <c r="I51" i="9"/>
  <c r="I50" i="9"/>
  <c r="I49" i="9"/>
  <c r="M34" i="9"/>
  <c r="M33" i="9"/>
  <c r="M32" i="9"/>
  <c r="M31" i="9"/>
  <c r="M30" i="9"/>
  <c r="M29" i="9"/>
  <c r="M28" i="9"/>
  <c r="M27" i="9"/>
  <c r="M26" i="9"/>
  <c r="M25" i="9"/>
  <c r="M24" i="9"/>
  <c r="M22" i="9"/>
  <c r="M21" i="9"/>
  <c r="M20" i="9"/>
  <c r="M19" i="9"/>
  <c r="M18" i="9"/>
  <c r="M17" i="9"/>
  <c r="M16" i="9"/>
  <c r="M15" i="9"/>
  <c r="M14" i="9"/>
  <c r="M13" i="9"/>
  <c r="M12" i="9"/>
  <c r="M11" i="9"/>
  <c r="M10" i="9"/>
  <c r="M9" i="9"/>
  <c r="M8" i="9"/>
  <c r="M7" i="9"/>
  <c r="M6" i="9"/>
  <c r="M5" i="9"/>
  <c r="K34" i="9"/>
  <c r="K33" i="9"/>
  <c r="K32" i="9"/>
  <c r="K31" i="9"/>
  <c r="K30" i="9"/>
  <c r="K29" i="9"/>
  <c r="K28" i="9"/>
  <c r="K27" i="9"/>
  <c r="K26" i="9"/>
  <c r="K25" i="9"/>
  <c r="K24" i="9"/>
  <c r="K22" i="9"/>
  <c r="K21" i="9"/>
  <c r="K20" i="9"/>
  <c r="K19" i="9"/>
  <c r="K18" i="9"/>
  <c r="K17" i="9"/>
  <c r="K16" i="9"/>
  <c r="K15" i="9"/>
  <c r="K14" i="9"/>
  <c r="K13" i="9"/>
  <c r="K12" i="9"/>
  <c r="K11" i="9"/>
  <c r="K10" i="9"/>
  <c r="K9" i="9"/>
  <c r="K8" i="9"/>
  <c r="K7" i="9"/>
  <c r="K6" i="9"/>
  <c r="K5" i="9"/>
  <c r="I34" i="9"/>
  <c r="I33" i="9"/>
  <c r="I32" i="9"/>
  <c r="I31" i="9"/>
  <c r="I30" i="9"/>
  <c r="I29" i="9"/>
  <c r="I28" i="9"/>
  <c r="I27" i="9"/>
  <c r="I26" i="9"/>
  <c r="I25" i="9"/>
  <c r="I24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M44" i="3"/>
  <c r="K44" i="3"/>
  <c r="I44" i="3"/>
  <c r="AF80" i="8" l="1"/>
  <c r="AF76" i="8"/>
  <c r="AF75" i="8"/>
  <c r="AF79" i="8"/>
  <c r="AF74" i="8"/>
  <c r="F48" i="8"/>
  <c r="AE40" i="8"/>
  <c r="E48" i="8"/>
  <c r="AZ45" i="8"/>
  <c r="R48" i="1"/>
  <c r="O48" i="3"/>
  <c r="O48" i="1"/>
  <c r="R48" i="3"/>
  <c r="Q48" i="9"/>
  <c r="P48" i="3"/>
  <c r="P48" i="1"/>
  <c r="T87" i="8"/>
  <c r="AE39" i="8"/>
  <c r="T105" i="8"/>
  <c r="T78" i="8"/>
  <c r="I122" i="8"/>
  <c r="X22" i="8"/>
  <c r="H22" i="8"/>
  <c r="AY22" i="8" s="1"/>
  <c r="Z94" i="8"/>
  <c r="J94" i="8"/>
  <c r="BA94" i="8" s="1"/>
  <c r="Z120" i="8"/>
  <c r="J120" i="8"/>
  <c r="BA120" i="8" s="1"/>
  <c r="X9" i="8"/>
  <c r="H9" i="8"/>
  <c r="AY9" i="8" s="1"/>
  <c r="Z55" i="8"/>
  <c r="J55" i="8"/>
  <c r="BA55" i="8" s="1"/>
  <c r="Z64" i="8"/>
  <c r="J64" i="8"/>
  <c r="BA64" i="8" s="1"/>
  <c r="AF66" i="8"/>
  <c r="X71" i="8"/>
  <c r="H71" i="8"/>
  <c r="AY71" i="8" s="1"/>
  <c r="Z74" i="8"/>
  <c r="J74" i="8"/>
  <c r="BA74" i="8" s="1"/>
  <c r="X81" i="8"/>
  <c r="H81" i="8"/>
  <c r="AY81" i="8" s="1"/>
  <c r="Z93" i="8"/>
  <c r="J93" i="8"/>
  <c r="BA93" i="8" s="1"/>
  <c r="AE93" i="8"/>
  <c r="Z119" i="8"/>
  <c r="J119" i="8"/>
  <c r="BA119" i="8" s="1"/>
  <c r="D48" i="8"/>
  <c r="X14" i="8"/>
  <c r="H14" i="8"/>
  <c r="AY14" i="8" s="1"/>
  <c r="H72" i="8"/>
  <c r="AY72" i="8" s="1"/>
  <c r="Z75" i="8"/>
  <c r="J75" i="8"/>
  <c r="BA75" i="8" s="1"/>
  <c r="Z104" i="8"/>
  <c r="J104" i="8"/>
  <c r="BA104" i="8" s="1"/>
  <c r="Y9" i="8"/>
  <c r="I9" i="8"/>
  <c r="AZ9" i="8" s="1"/>
  <c r="X12" i="8"/>
  <c r="H12" i="8"/>
  <c r="AY12" i="8" s="1"/>
  <c r="Z14" i="8"/>
  <c r="J14" i="8"/>
  <c r="BA14" i="8" s="1"/>
  <c r="Y17" i="8"/>
  <c r="I17" i="8"/>
  <c r="AZ17" i="8" s="1"/>
  <c r="X20" i="8"/>
  <c r="H20" i="8"/>
  <c r="AY20" i="8" s="1"/>
  <c r="Z22" i="8"/>
  <c r="J22" i="8"/>
  <c r="BA22" i="8" s="1"/>
  <c r="R52" i="8"/>
  <c r="H52" i="8"/>
  <c r="AY52" i="8" s="1"/>
  <c r="T52" i="8"/>
  <c r="Z54" i="8"/>
  <c r="J54" i="8"/>
  <c r="BA54" i="8" s="1"/>
  <c r="Z63" i="8"/>
  <c r="J63" i="8"/>
  <c r="BA63" i="8" s="1"/>
  <c r="X70" i="8"/>
  <c r="H70" i="8"/>
  <c r="AY70" i="8" s="1"/>
  <c r="X80" i="8"/>
  <c r="H80" i="8"/>
  <c r="AY80" i="8" s="1"/>
  <c r="Y81" i="8"/>
  <c r="I81" i="8"/>
  <c r="AZ81" i="8" s="1"/>
  <c r="Z82" i="8"/>
  <c r="J82" i="8"/>
  <c r="BA82" i="8" s="1"/>
  <c r="Z92" i="8"/>
  <c r="J92" i="8"/>
  <c r="BA92" i="8" s="1"/>
  <c r="Z101" i="8"/>
  <c r="J101" i="8"/>
  <c r="BA101" i="8" s="1"/>
  <c r="Z110" i="8"/>
  <c r="J110" i="8"/>
  <c r="BA110" i="8" s="1"/>
  <c r="Z62" i="8"/>
  <c r="J62" i="8"/>
  <c r="BA62" i="8" s="1"/>
  <c r="Z71" i="8"/>
  <c r="J71" i="8"/>
  <c r="BA71" i="8" s="1"/>
  <c r="Z81" i="8"/>
  <c r="J81" i="8"/>
  <c r="BA81" i="8" s="1"/>
  <c r="Z91" i="8"/>
  <c r="J91" i="8"/>
  <c r="BA91" i="8" s="1"/>
  <c r="Z100" i="8"/>
  <c r="J100" i="8"/>
  <c r="BA100" i="8" s="1"/>
  <c r="Z109" i="8"/>
  <c r="J109" i="8"/>
  <c r="BA109" i="8" s="1"/>
  <c r="Z60" i="8"/>
  <c r="J60" i="8"/>
  <c r="BA60" i="8" s="1"/>
  <c r="H67" i="8"/>
  <c r="AY67" i="8" s="1"/>
  <c r="T69" i="8"/>
  <c r="J69" i="8"/>
  <c r="BA69" i="8" s="1"/>
  <c r="Z78" i="8"/>
  <c r="J78" i="8"/>
  <c r="BA78" i="8" s="1"/>
  <c r="Z89" i="8"/>
  <c r="J89" i="8"/>
  <c r="BA89" i="8" s="1"/>
  <c r="Z98" i="8"/>
  <c r="J98" i="8"/>
  <c r="BA98" i="8" s="1"/>
  <c r="Z107" i="8"/>
  <c r="J107" i="8"/>
  <c r="BA107" i="8" s="1"/>
  <c r="T115" i="8"/>
  <c r="J115" i="8"/>
  <c r="BA115" i="8" s="1"/>
  <c r="Y11" i="8"/>
  <c r="I11" i="8"/>
  <c r="AZ11" i="8" s="1"/>
  <c r="Y19" i="8"/>
  <c r="I19" i="8"/>
  <c r="AZ19" i="8" s="1"/>
  <c r="Z85" i="8"/>
  <c r="J85" i="8"/>
  <c r="BA85" i="8" s="1"/>
  <c r="Y15" i="8"/>
  <c r="I15" i="8"/>
  <c r="AZ15" i="8" s="1"/>
  <c r="X18" i="8"/>
  <c r="H18" i="8"/>
  <c r="AY18" i="8" s="1"/>
  <c r="X32" i="8"/>
  <c r="H32" i="8"/>
  <c r="AY32" i="8" s="1"/>
  <c r="Z90" i="8"/>
  <c r="J90" i="8"/>
  <c r="BA90" i="8" s="1"/>
  <c r="Z99" i="8"/>
  <c r="J99" i="8"/>
  <c r="BA99" i="8" s="1"/>
  <c r="X13" i="8"/>
  <c r="H13" i="8"/>
  <c r="AY13" i="8" s="1"/>
  <c r="X21" i="8"/>
  <c r="H21" i="8"/>
  <c r="AY21" i="8" s="1"/>
  <c r="X33" i="8"/>
  <c r="H33" i="8"/>
  <c r="AY33" i="8" s="1"/>
  <c r="X8" i="8"/>
  <c r="H8" i="8"/>
  <c r="AY8" i="8" s="1"/>
  <c r="Y13" i="8"/>
  <c r="I13" i="8"/>
  <c r="AZ13" i="8" s="1"/>
  <c r="X16" i="8"/>
  <c r="H16" i="8"/>
  <c r="AY16" i="8" s="1"/>
  <c r="Y21" i="8"/>
  <c r="I21" i="8"/>
  <c r="AZ21" i="8" s="1"/>
  <c r="Y33" i="8"/>
  <c r="I33" i="8"/>
  <c r="AZ33" i="8" s="1"/>
  <c r="AF51" i="8"/>
  <c r="Z87" i="8"/>
  <c r="J87" i="8"/>
  <c r="BA87" i="8" s="1"/>
  <c r="Z88" i="8"/>
  <c r="J88" i="8"/>
  <c r="BA88" i="8" s="1"/>
  <c r="Z106" i="8"/>
  <c r="J106" i="8"/>
  <c r="BA106" i="8" s="1"/>
  <c r="Z34" i="8"/>
  <c r="J34" i="8"/>
  <c r="BA34" i="8" s="1"/>
  <c r="T66" i="8"/>
  <c r="J66" i="8"/>
  <c r="BA66" i="8" s="1"/>
  <c r="Y12" i="8"/>
  <c r="I12" i="8"/>
  <c r="AZ12" i="8" s="1"/>
  <c r="X15" i="8"/>
  <c r="H15" i="8"/>
  <c r="AY15" i="8" s="1"/>
  <c r="Y20" i="8"/>
  <c r="I20" i="8"/>
  <c r="AZ20" i="8" s="1"/>
  <c r="X10" i="8"/>
  <c r="H10" i="8"/>
  <c r="AY10" i="8" s="1"/>
  <c r="Z61" i="8"/>
  <c r="J61" i="8"/>
  <c r="BA61" i="8" s="1"/>
  <c r="Y10" i="8"/>
  <c r="I10" i="8"/>
  <c r="AZ10" i="8" s="1"/>
  <c r="Y32" i="8"/>
  <c r="I32" i="8"/>
  <c r="AZ32" i="8" s="1"/>
  <c r="Y8" i="8"/>
  <c r="I8" i="8"/>
  <c r="AZ8" i="8" s="1"/>
  <c r="X11" i="8"/>
  <c r="H11" i="8"/>
  <c r="AY11" i="8" s="1"/>
  <c r="Y16" i="8"/>
  <c r="I16" i="8"/>
  <c r="AZ16" i="8" s="1"/>
  <c r="X19" i="8"/>
  <c r="H19" i="8"/>
  <c r="AY19" i="8" s="1"/>
  <c r="Y26" i="8"/>
  <c r="I26" i="8"/>
  <c r="AZ26" i="8" s="1"/>
  <c r="X27" i="8"/>
  <c r="H27" i="8"/>
  <c r="AY27" i="8" s="1"/>
  <c r="Y34" i="8"/>
  <c r="I34" i="8"/>
  <c r="AZ34" i="8" s="1"/>
  <c r="AE52" i="8"/>
  <c r="Z76" i="8"/>
  <c r="J76" i="8"/>
  <c r="BA76" i="8" s="1"/>
  <c r="X83" i="8"/>
  <c r="H83" i="8"/>
  <c r="AY83" i="8" s="1"/>
  <c r="Z86" i="8"/>
  <c r="J86" i="8"/>
  <c r="BA86" i="8" s="1"/>
  <c r="Z95" i="8"/>
  <c r="J95" i="8"/>
  <c r="BA95" i="8" s="1"/>
  <c r="Z105" i="8"/>
  <c r="J105" i="8"/>
  <c r="BA105" i="8" s="1"/>
  <c r="Z113" i="8"/>
  <c r="J113" i="8"/>
  <c r="BA113" i="8" s="1"/>
  <c r="Z121" i="8"/>
  <c r="J121" i="8"/>
  <c r="BA121" i="8" s="1"/>
  <c r="AF29" i="8"/>
  <c r="AE41" i="8"/>
  <c r="S58" i="8"/>
  <c r="T86" i="8"/>
  <c r="AF15" i="8"/>
  <c r="AF10" i="8"/>
  <c r="AF18" i="8"/>
  <c r="S67" i="8"/>
  <c r="T114" i="8"/>
  <c r="AF7" i="8"/>
  <c r="AF24" i="8"/>
  <c r="AE27" i="8"/>
  <c r="AE36" i="8"/>
  <c r="AF13" i="8"/>
  <c r="AF21" i="8"/>
  <c r="AE25" i="8"/>
  <c r="AF30" i="8"/>
  <c r="R53" i="8"/>
  <c r="R63" i="8"/>
  <c r="S64" i="8"/>
  <c r="AF58" i="8"/>
  <c r="AF59" i="8"/>
  <c r="T116" i="8"/>
  <c r="Z31" i="8"/>
  <c r="S51" i="8"/>
  <c r="Z66" i="8"/>
  <c r="Z67" i="8"/>
  <c r="Y25" i="8"/>
  <c r="Z32" i="8"/>
  <c r="AF12" i="8"/>
  <c r="AF20" i="8"/>
  <c r="AI103" i="8"/>
  <c r="T104" i="8"/>
  <c r="AE26" i="8"/>
  <c r="AF31" i="8"/>
  <c r="AE92" i="8"/>
  <c r="T99" i="8"/>
  <c r="T113" i="8"/>
  <c r="AF8" i="8"/>
  <c r="AF16" i="8"/>
  <c r="AF25" i="8"/>
  <c r="AE99" i="8"/>
  <c r="AE31" i="8"/>
  <c r="AE51" i="8"/>
  <c r="AF68" i="8"/>
  <c r="AF69" i="8"/>
  <c r="AE89" i="8"/>
  <c r="AB103" i="8"/>
  <c r="T107" i="8"/>
  <c r="AF33" i="8"/>
  <c r="Z30" i="8"/>
  <c r="AF27" i="8"/>
  <c r="AE30" i="8"/>
  <c r="AE96" i="8"/>
  <c r="AE28" i="8"/>
  <c r="S66" i="8"/>
  <c r="AF9" i="8"/>
  <c r="AF17" i="8"/>
  <c r="AE29" i="8"/>
  <c r="AH47" i="8"/>
  <c r="T58" i="8"/>
  <c r="T77" i="8"/>
  <c r="R64" i="8"/>
  <c r="T64" i="8"/>
  <c r="D123" i="8"/>
  <c r="F123" i="8"/>
  <c r="F124" i="8" s="1"/>
  <c r="E123" i="8"/>
  <c r="Z13" i="8"/>
  <c r="Z21" i="8"/>
  <c r="T59" i="8"/>
  <c r="T62" i="8"/>
  <c r="T63" i="8"/>
  <c r="AH73" i="8"/>
  <c r="T74" i="8"/>
  <c r="T75" i="8"/>
  <c r="AG103" i="8"/>
  <c r="T112" i="8"/>
  <c r="AE5" i="8"/>
  <c r="S56" i="8"/>
  <c r="S60" i="8"/>
  <c r="AI73" i="8"/>
  <c r="T71" i="8"/>
  <c r="AH97" i="8"/>
  <c r="T89" i="8"/>
  <c r="AH103" i="8"/>
  <c r="T110" i="8"/>
  <c r="Z29" i="8"/>
  <c r="AF19" i="8"/>
  <c r="AF28" i="8"/>
  <c r="S52" i="8"/>
  <c r="Y66" i="8"/>
  <c r="AF115" i="8"/>
  <c r="T121" i="8"/>
  <c r="AE42" i="8"/>
  <c r="AE37" i="8"/>
  <c r="Y76" i="8"/>
  <c r="AH23" i="8"/>
  <c r="AG65" i="8"/>
  <c r="Y67" i="8"/>
  <c r="Y68" i="8"/>
  <c r="AF70" i="8"/>
  <c r="S85" i="8"/>
  <c r="AE90" i="8"/>
  <c r="AB84" i="8"/>
  <c r="Z59" i="8"/>
  <c r="Z15" i="8"/>
  <c r="Z26" i="8"/>
  <c r="AE38" i="8"/>
  <c r="AE46" i="8"/>
  <c r="AI57" i="8"/>
  <c r="Z50" i="8"/>
  <c r="AI65" i="8"/>
  <c r="Y79" i="8"/>
  <c r="Y80" i="8"/>
  <c r="AG122" i="8"/>
  <c r="Y53" i="8"/>
  <c r="AE53" i="8"/>
  <c r="S63" i="8"/>
  <c r="Y63" i="8"/>
  <c r="Z96" i="8"/>
  <c r="T96" i="8"/>
  <c r="AE107" i="8"/>
  <c r="AB122" i="8"/>
  <c r="AG23" i="8"/>
  <c r="AG35" i="8"/>
  <c r="AF50" i="8"/>
  <c r="Z52" i="8"/>
  <c r="AF52" i="8"/>
  <c r="AF53" i="8"/>
  <c r="AH65" i="8"/>
  <c r="Z72" i="8"/>
  <c r="T72" i="8"/>
  <c r="AF98" i="8"/>
  <c r="AC103" i="8"/>
  <c r="AF103" i="8" s="1"/>
  <c r="AC23" i="8"/>
  <c r="AF6" i="8"/>
  <c r="AF14" i="8"/>
  <c r="AF22" i="8"/>
  <c r="AH57" i="8"/>
  <c r="R58" i="8"/>
  <c r="AC84" i="8"/>
  <c r="AI97" i="8"/>
  <c r="AH122" i="8"/>
  <c r="AI23" i="8"/>
  <c r="AB65" i="8"/>
  <c r="AE65" i="8" s="1"/>
  <c r="AC35" i="8"/>
  <c r="AF26" i="8"/>
  <c r="S55" i="8"/>
  <c r="S61" i="8"/>
  <c r="Y61" i="8"/>
  <c r="AF67" i="8"/>
  <c r="AH84" i="8"/>
  <c r="T79" i="8"/>
  <c r="Z79" i="8"/>
  <c r="T80" i="8"/>
  <c r="Z80" i="8"/>
  <c r="AA97" i="8"/>
  <c r="AD85" i="8"/>
  <c r="AC57" i="8"/>
  <c r="AI35" i="8"/>
  <c r="AB35" i="8"/>
  <c r="Y60" i="8"/>
  <c r="AB57" i="8"/>
  <c r="T53" i="8"/>
  <c r="S54" i="8"/>
  <c r="AI84" i="8"/>
  <c r="T83" i="8"/>
  <c r="Z111" i="8"/>
  <c r="T111" i="8"/>
  <c r="AC65" i="8"/>
  <c r="AD7" i="8"/>
  <c r="AA23" i="8"/>
  <c r="AD23" i="8" s="1"/>
  <c r="Z68" i="8"/>
  <c r="T68" i="8"/>
  <c r="AH35" i="8"/>
  <c r="AB23" i="8"/>
  <c r="AE23" i="8" s="1"/>
  <c r="AC73" i="8"/>
  <c r="Y51" i="8"/>
  <c r="Z102" i="8"/>
  <c r="T102" i="8"/>
  <c r="Z108" i="8"/>
  <c r="T108" i="8"/>
  <c r="R80" i="8"/>
  <c r="T100" i="8"/>
  <c r="T101" i="8"/>
  <c r="Z117" i="8"/>
  <c r="Z118" i="8"/>
  <c r="Z12" i="8"/>
  <c r="Z20" i="8"/>
  <c r="AE24" i="8"/>
  <c r="Z51" i="8"/>
  <c r="Y52" i="8"/>
  <c r="S53" i="8"/>
  <c r="R54" i="8"/>
  <c r="T54" i="8"/>
  <c r="R56" i="8"/>
  <c r="T56" i="8"/>
  <c r="R61" i="8"/>
  <c r="T61" i="8"/>
  <c r="S68" i="8"/>
  <c r="Y72" i="8"/>
  <c r="T76" i="8"/>
  <c r="Z77" i="8"/>
  <c r="Z83" i="8"/>
  <c r="T88" i="8"/>
  <c r="AE98" i="8"/>
  <c r="T106" i="8"/>
  <c r="AE109" i="8"/>
  <c r="AF116" i="8"/>
  <c r="AE117" i="8"/>
  <c r="AE118" i="8"/>
  <c r="AC122" i="8"/>
  <c r="Y74" i="8"/>
  <c r="Z25" i="8"/>
  <c r="Z33" i="8"/>
  <c r="R50" i="8"/>
  <c r="T50" i="8"/>
  <c r="Z56" i="8"/>
  <c r="R59" i="8"/>
  <c r="R62" i="8"/>
  <c r="T67" i="8"/>
  <c r="Z69" i="8"/>
  <c r="T98" i="8"/>
  <c r="T109" i="8"/>
  <c r="T117" i="8"/>
  <c r="T118" i="8"/>
  <c r="T120" i="8"/>
  <c r="AB47" i="8"/>
  <c r="Y56" i="8"/>
  <c r="S69" i="8"/>
  <c r="S50" i="8"/>
  <c r="Y50" i="8"/>
  <c r="AE56" i="8"/>
  <c r="S59" i="8"/>
  <c r="Y59" i="8"/>
  <c r="S62" i="8"/>
  <c r="Y62" i="8"/>
  <c r="S70" i="8"/>
  <c r="S71" i="8"/>
  <c r="Y75" i="8"/>
  <c r="R82" i="8"/>
  <c r="T82" i="8"/>
  <c r="Z114" i="8"/>
  <c r="Z53" i="8"/>
  <c r="Y58" i="8"/>
  <c r="Y77" i="8"/>
  <c r="Y83" i="8"/>
  <c r="AE102" i="8"/>
  <c r="AB73" i="8"/>
  <c r="Y28" i="8"/>
  <c r="X51" i="8"/>
  <c r="T51" i="8"/>
  <c r="AF56" i="8"/>
  <c r="Z58" i="8"/>
  <c r="R60" i="8"/>
  <c r="T60" i="8"/>
  <c r="Y69" i="8"/>
  <c r="Z70" i="8"/>
  <c r="S72" i="8"/>
  <c r="Y78" i="8"/>
  <c r="S82" i="8"/>
  <c r="X82" i="8"/>
  <c r="R83" i="8"/>
  <c r="AE88" i="8"/>
  <c r="T119" i="8"/>
  <c r="R48" i="9"/>
  <c r="Q48" i="3"/>
  <c r="Q48" i="1"/>
  <c r="O48" i="9"/>
  <c r="P48" i="9"/>
  <c r="T95" i="8"/>
  <c r="T94" i="8"/>
  <c r="Y71" i="8"/>
  <c r="R81" i="8"/>
  <c r="Y82" i="8"/>
  <c r="T81" i="8"/>
  <c r="T70" i="8"/>
  <c r="R70" i="8"/>
  <c r="S81" i="8"/>
  <c r="Y70" i="8"/>
  <c r="R71" i="8"/>
  <c r="Y54" i="8"/>
  <c r="R55" i="8"/>
  <c r="T55" i="8"/>
  <c r="Y55" i="8"/>
  <c r="R86" i="8"/>
  <c r="X86" i="8"/>
  <c r="S102" i="8"/>
  <c r="Y102" i="8"/>
  <c r="R112" i="8"/>
  <c r="X112" i="8"/>
  <c r="S86" i="8"/>
  <c r="Y86" i="8"/>
  <c r="R87" i="8"/>
  <c r="X87" i="8"/>
  <c r="S94" i="8"/>
  <c r="Y94" i="8"/>
  <c r="R95" i="8"/>
  <c r="X95" i="8"/>
  <c r="S104" i="8"/>
  <c r="Y104" i="8"/>
  <c r="S112" i="8"/>
  <c r="Y112" i="8"/>
  <c r="R113" i="8"/>
  <c r="X113" i="8"/>
  <c r="S87" i="8"/>
  <c r="Y87" i="8"/>
  <c r="X88" i="8"/>
  <c r="T90" i="8"/>
  <c r="S95" i="8"/>
  <c r="Y95" i="8"/>
  <c r="R96" i="8"/>
  <c r="X96" i="8"/>
  <c r="S105" i="8"/>
  <c r="Y105" i="8"/>
  <c r="Z112" i="8"/>
  <c r="S113" i="8"/>
  <c r="Y113" i="8"/>
  <c r="R114" i="8"/>
  <c r="X114" i="8"/>
  <c r="R102" i="8"/>
  <c r="X102" i="8"/>
  <c r="S110" i="8"/>
  <c r="Y110" i="8"/>
  <c r="Y85" i="8"/>
  <c r="R94" i="8"/>
  <c r="X94" i="8"/>
  <c r="S121" i="8"/>
  <c r="Y121" i="8"/>
  <c r="S106" i="8"/>
  <c r="Y106" i="8"/>
  <c r="T85" i="8"/>
  <c r="S89" i="8"/>
  <c r="Y89" i="8"/>
  <c r="X90" i="8"/>
  <c r="T92" i="8"/>
  <c r="S98" i="8"/>
  <c r="Y98" i="8"/>
  <c r="R99" i="8"/>
  <c r="X99" i="8"/>
  <c r="S107" i="8"/>
  <c r="Y107" i="8"/>
  <c r="S115" i="8"/>
  <c r="Y115" i="8"/>
  <c r="R116" i="8"/>
  <c r="X116" i="8"/>
  <c r="R93" i="8"/>
  <c r="X93" i="8"/>
  <c r="R111" i="8"/>
  <c r="X111" i="8"/>
  <c r="S120" i="8"/>
  <c r="Y120" i="8"/>
  <c r="S88" i="8"/>
  <c r="Y88" i="8"/>
  <c r="S96" i="8"/>
  <c r="Y96" i="8"/>
  <c r="S114" i="8"/>
  <c r="Y114" i="8"/>
  <c r="S90" i="8"/>
  <c r="Y90" i="8"/>
  <c r="R91" i="8"/>
  <c r="X91" i="8"/>
  <c r="T93" i="8"/>
  <c r="S99" i="8"/>
  <c r="Y99" i="8"/>
  <c r="R100" i="8"/>
  <c r="X100" i="8"/>
  <c r="S108" i="8"/>
  <c r="Y108" i="8"/>
  <c r="R109" i="8"/>
  <c r="X109" i="8"/>
  <c r="Z115" i="8"/>
  <c r="S116" i="8"/>
  <c r="Y116" i="8"/>
  <c r="R119" i="8"/>
  <c r="X119" i="8"/>
  <c r="S92" i="8"/>
  <c r="Y92" i="8"/>
  <c r="S101" i="8"/>
  <c r="Y101" i="8"/>
  <c r="S93" i="8"/>
  <c r="Y93" i="8"/>
  <c r="S111" i="8"/>
  <c r="Y111" i="8"/>
  <c r="X89" i="8"/>
  <c r="T91" i="8"/>
  <c r="R115" i="8"/>
  <c r="X115" i="8"/>
  <c r="R85" i="8"/>
  <c r="X85" i="8"/>
  <c r="S91" i="8"/>
  <c r="Y91" i="8"/>
  <c r="R92" i="8"/>
  <c r="X92" i="8"/>
  <c r="S100" i="8"/>
  <c r="Y100" i="8"/>
  <c r="R101" i="8"/>
  <c r="X101" i="8"/>
  <c r="S109" i="8"/>
  <c r="Y109" i="8"/>
  <c r="R110" i="8"/>
  <c r="X110" i="8"/>
  <c r="Z116" i="8"/>
  <c r="S117" i="8"/>
  <c r="Y117" i="8"/>
  <c r="S118" i="8"/>
  <c r="Y118" i="8"/>
  <c r="S119" i="8"/>
  <c r="Y119" i="8"/>
  <c r="R120" i="8"/>
  <c r="X120" i="8"/>
  <c r="AE66" i="8"/>
  <c r="AE67" i="8"/>
  <c r="AE68" i="8"/>
  <c r="AE69" i="8"/>
  <c r="AE72" i="8"/>
  <c r="AE74" i="8"/>
  <c r="AE75" i="8"/>
  <c r="AE76" i="8"/>
  <c r="AE77" i="8"/>
  <c r="AE78" i="8"/>
  <c r="AE79" i="8"/>
  <c r="AE80" i="8"/>
  <c r="AE83" i="8"/>
  <c r="X50" i="8"/>
  <c r="X52" i="8"/>
  <c r="X53" i="8"/>
  <c r="X54" i="8"/>
  <c r="X55" i="8"/>
  <c r="X56" i="8"/>
  <c r="X58" i="8"/>
  <c r="X59" i="8"/>
  <c r="X60" i="8"/>
  <c r="X61" i="8"/>
  <c r="X62" i="8"/>
  <c r="X63" i="8"/>
  <c r="X64" i="8"/>
  <c r="R51" i="8"/>
  <c r="Y64" i="8"/>
  <c r="S29" i="8"/>
  <c r="S30" i="8"/>
  <c r="Z11" i="8"/>
  <c r="Z16" i="8"/>
  <c r="S28" i="8"/>
  <c r="Y31" i="8"/>
  <c r="Z8" i="8"/>
  <c r="Z9" i="8"/>
  <c r="Z17" i="8"/>
  <c r="T11" i="8"/>
  <c r="Y30" i="8"/>
  <c r="Z27" i="8"/>
  <c r="S18" i="8"/>
  <c r="Y18" i="8"/>
  <c r="S27" i="8"/>
  <c r="Y27" i="8"/>
  <c r="T28" i="8"/>
  <c r="Z28" i="8"/>
  <c r="Z10" i="8"/>
  <c r="Z18" i="8"/>
  <c r="Y29" i="8"/>
  <c r="S14" i="8"/>
  <c r="R17" i="8"/>
  <c r="T19" i="8"/>
  <c r="S22" i="8"/>
  <c r="Y14" i="8"/>
  <c r="X17" i="8"/>
  <c r="Z19" i="8"/>
  <c r="Y22" i="8"/>
  <c r="R32" i="8"/>
  <c r="R33" i="8"/>
  <c r="R9" i="8"/>
  <c r="S10" i="8"/>
  <c r="T33" i="8"/>
  <c r="R13" i="8"/>
  <c r="S34" i="8"/>
  <c r="R21" i="8"/>
  <c r="S26" i="8"/>
  <c r="S9" i="8"/>
  <c r="T14" i="8"/>
  <c r="S17" i="8"/>
  <c r="R20" i="8"/>
  <c r="T22" i="8"/>
  <c r="S11" i="8"/>
  <c r="R14" i="8"/>
  <c r="T16" i="8"/>
  <c r="S19" i="8"/>
  <c r="R22" i="8"/>
  <c r="T15" i="8"/>
  <c r="T31" i="8"/>
  <c r="S25" i="8"/>
  <c r="S31" i="8"/>
  <c r="T8" i="8"/>
  <c r="R12" i="8"/>
  <c r="T27" i="8"/>
  <c r="T25" i="8"/>
  <c r="T32" i="8"/>
  <c r="T30" i="8"/>
  <c r="S33" i="8"/>
  <c r="T26" i="8"/>
  <c r="R10" i="8"/>
  <c r="T12" i="8"/>
  <c r="S15" i="8"/>
  <c r="R18" i="8"/>
  <c r="T20" i="8"/>
  <c r="R27" i="8"/>
  <c r="T29" i="8"/>
  <c r="S32" i="8"/>
  <c r="T34" i="8"/>
  <c r="T10" i="8"/>
  <c r="S13" i="8"/>
  <c r="T18" i="8"/>
  <c r="S21" i="8"/>
  <c r="S8" i="8"/>
  <c r="T13" i="8"/>
  <c r="S16" i="8"/>
  <c r="T21" i="8"/>
  <c r="T9" i="8"/>
  <c r="S12" i="8"/>
  <c r="R15" i="8"/>
  <c r="T17" i="8"/>
  <c r="S20" i="8"/>
  <c r="R8" i="8"/>
  <c r="R16" i="8"/>
  <c r="R11" i="8"/>
  <c r="R19" i="8"/>
  <c r="AF84" i="8" l="1"/>
  <c r="E124" i="8"/>
  <c r="J122" i="8"/>
  <c r="AE103" i="8"/>
  <c r="AF57" i="8"/>
  <c r="AF73" i="8"/>
  <c r="AF65" i="8"/>
  <c r="AE73" i="8"/>
  <c r="AB123" i="8"/>
  <c r="AE84" i="8"/>
  <c r="AE122" i="8"/>
  <c r="AE57" i="8"/>
  <c r="AF23" i="8"/>
  <c r="AC123" i="8"/>
  <c r="AB48" i="8"/>
  <c r="AE47" i="8"/>
  <c r="AE35" i="8"/>
  <c r="AF35" i="8"/>
  <c r="AB124" i="8" l="1"/>
  <c r="N118" i="9" l="1"/>
  <c r="N117" i="9"/>
  <c r="N114" i="9"/>
  <c r="N112" i="9"/>
  <c r="N111" i="9"/>
  <c r="E48" i="3" l="1"/>
  <c r="AI111" i="8"/>
  <c r="M111" i="9"/>
  <c r="M112" i="9"/>
  <c r="AI112" i="8"/>
  <c r="AF112" i="8" s="1"/>
  <c r="AI118" i="8"/>
  <c r="AF118" i="8" s="1"/>
  <c r="M118" i="9"/>
  <c r="AI114" i="8"/>
  <c r="AF114" i="8" s="1"/>
  <c r="M114" i="9"/>
  <c r="AI117" i="8"/>
  <c r="AF117" i="8" s="1"/>
  <c r="M117" i="9"/>
  <c r="G48" i="8"/>
  <c r="E123" i="3"/>
  <c r="G123" i="8"/>
  <c r="E123" i="9"/>
  <c r="AF111" i="8" l="1"/>
  <c r="AI122" i="8"/>
  <c r="AF122" i="8" s="1"/>
  <c r="A123" i="8"/>
  <c r="A48" i="8"/>
  <c r="G124" i="8"/>
  <c r="I9" i="3"/>
  <c r="K9" i="3"/>
  <c r="M9" i="3"/>
  <c r="I10" i="3"/>
  <c r="K10" i="3"/>
  <c r="M10" i="3"/>
  <c r="I11" i="3"/>
  <c r="K11" i="3"/>
  <c r="M11" i="3"/>
  <c r="I12" i="3"/>
  <c r="K12" i="3"/>
  <c r="M12" i="3"/>
  <c r="I13" i="3"/>
  <c r="K13" i="3"/>
  <c r="M13" i="3"/>
  <c r="I14" i="3"/>
  <c r="K14" i="3"/>
  <c r="M14" i="3"/>
  <c r="I15" i="3"/>
  <c r="K15" i="3"/>
  <c r="M15" i="3"/>
  <c r="I16" i="3"/>
  <c r="K16" i="3"/>
  <c r="M16" i="3"/>
  <c r="I17" i="3"/>
  <c r="K17" i="3"/>
  <c r="M17" i="3"/>
  <c r="I18" i="3"/>
  <c r="K18" i="3"/>
  <c r="M18" i="3"/>
  <c r="I19" i="3"/>
  <c r="K19" i="3"/>
  <c r="M19" i="3"/>
  <c r="I20" i="3"/>
  <c r="K20" i="3"/>
  <c r="M20" i="3"/>
  <c r="I21" i="3"/>
  <c r="K21" i="3"/>
  <c r="M21" i="3"/>
  <c r="H9" i="9"/>
  <c r="Q9" i="8" s="1"/>
  <c r="H17" i="9"/>
  <c r="Q17" i="8" s="1"/>
  <c r="H20" i="9"/>
  <c r="Q20" i="8" s="1"/>
  <c r="H18" i="9"/>
  <c r="Q18" i="8" s="1"/>
  <c r="H16" i="9"/>
  <c r="Q16" i="8" s="1"/>
  <c r="H12" i="9"/>
  <c r="Q12" i="8" s="1"/>
  <c r="H10" i="9"/>
  <c r="Q10" i="8" s="1"/>
  <c r="H8" i="9"/>
  <c r="Q8" i="8" s="1"/>
  <c r="W6" i="8"/>
  <c r="V6" i="8"/>
  <c r="U6" i="8"/>
  <c r="Q6" i="8"/>
  <c r="P6" i="8"/>
  <c r="O6" i="8"/>
  <c r="N6" i="8"/>
  <c r="J6" i="8" s="1"/>
  <c r="BA6" i="8" s="1"/>
  <c r="M6" i="8"/>
  <c r="L6" i="8"/>
  <c r="Y6" i="8" l="1"/>
  <c r="I6" i="8"/>
  <c r="AZ6" i="8" s="1"/>
  <c r="Z6" i="8"/>
  <c r="X6" i="8"/>
  <c r="H6" i="8"/>
  <c r="AY6" i="8" s="1"/>
  <c r="R6" i="8"/>
  <c r="S6" i="8"/>
  <c r="T6" i="8"/>
  <c r="H14" i="9"/>
  <c r="Q14" i="8" s="1"/>
  <c r="H22" i="9"/>
  <c r="Q22" i="8" s="1"/>
  <c r="H13" i="9"/>
  <c r="Q13" i="8" s="1"/>
  <c r="H21" i="9"/>
  <c r="Q21" i="8" s="1"/>
  <c r="H7" i="9"/>
  <c r="H11" i="9"/>
  <c r="Q11" i="8" s="1"/>
  <c r="H15" i="9"/>
  <c r="Q15" i="8" s="1"/>
  <c r="H19" i="9"/>
  <c r="Q19" i="8" s="1"/>
  <c r="E48" i="9" l="1"/>
  <c r="G58" i="6" l="1"/>
  <c r="H58" i="6"/>
  <c r="I58" i="6"/>
  <c r="J58" i="6" s="1"/>
  <c r="L58" i="6"/>
  <c r="M58" i="6"/>
  <c r="N58" i="6"/>
  <c r="P58" i="6"/>
  <c r="U58" i="6"/>
  <c r="V58" i="6"/>
  <c r="W58" i="6"/>
  <c r="X58" i="6"/>
  <c r="G59" i="6"/>
  <c r="H59" i="6"/>
  <c r="I59" i="6"/>
  <c r="J59" i="6" s="1"/>
  <c r="L59" i="6"/>
  <c r="N59" i="6"/>
  <c r="P59" i="6"/>
  <c r="U59" i="6"/>
  <c r="V59" i="6"/>
  <c r="W59" i="6"/>
  <c r="X59" i="6"/>
  <c r="O58" i="6"/>
  <c r="O59" i="6"/>
  <c r="K59" i="6"/>
  <c r="V65" i="3"/>
  <c r="U65" i="3"/>
  <c r="T65" i="3"/>
  <c r="S65" i="3"/>
  <c r="R65" i="3"/>
  <c r="Q65" i="3"/>
  <c r="P65" i="3"/>
  <c r="O65" i="3"/>
  <c r="N65" i="3"/>
  <c r="L65" i="3"/>
  <c r="J65" i="3"/>
  <c r="H65" i="3"/>
  <c r="G65" i="3"/>
  <c r="AB65" i="3" s="1"/>
  <c r="M64" i="3"/>
  <c r="K64" i="3"/>
  <c r="I64" i="3"/>
  <c r="M63" i="3"/>
  <c r="K63" i="3"/>
  <c r="I63" i="3"/>
  <c r="M62" i="3"/>
  <c r="K62" i="3"/>
  <c r="I62" i="3"/>
  <c r="M61" i="3"/>
  <c r="K61" i="3"/>
  <c r="I61" i="3"/>
  <c r="M60" i="3"/>
  <c r="K60" i="3"/>
  <c r="I60" i="3"/>
  <c r="M59" i="3"/>
  <c r="K59" i="3"/>
  <c r="I59" i="3"/>
  <c r="M58" i="3"/>
  <c r="K58" i="3"/>
  <c r="I58" i="3"/>
  <c r="V65" i="9"/>
  <c r="U65" i="9"/>
  <c r="T65" i="9"/>
  <c r="S65" i="9"/>
  <c r="R65" i="9"/>
  <c r="Q65" i="9"/>
  <c r="P65" i="9"/>
  <c r="O65" i="9"/>
  <c r="N65" i="9"/>
  <c r="L65" i="9"/>
  <c r="J65" i="9"/>
  <c r="H65" i="9"/>
  <c r="G65" i="9"/>
  <c r="AB65" i="9" s="1"/>
  <c r="AA65" i="8"/>
  <c r="AD65" i="8" s="1"/>
  <c r="X60" i="6"/>
  <c r="W60" i="6"/>
  <c r="V60" i="6"/>
  <c r="U60" i="6"/>
  <c r="I60" i="6"/>
  <c r="J60" i="6" s="1"/>
  <c r="H60" i="6"/>
  <c r="G60" i="6"/>
  <c r="X57" i="6"/>
  <c r="W57" i="6"/>
  <c r="V57" i="6"/>
  <c r="U57" i="6"/>
  <c r="I57" i="6"/>
  <c r="J57" i="6" s="1"/>
  <c r="H57" i="6"/>
  <c r="G57" i="6"/>
  <c r="X56" i="6"/>
  <c r="W56" i="6"/>
  <c r="V56" i="6"/>
  <c r="U56" i="6"/>
  <c r="I56" i="6"/>
  <c r="J56" i="6" s="1"/>
  <c r="H56" i="6"/>
  <c r="G56" i="6"/>
  <c r="X55" i="6"/>
  <c r="W55" i="6"/>
  <c r="V55" i="6"/>
  <c r="U55" i="6"/>
  <c r="I55" i="6"/>
  <c r="J55" i="6" s="1"/>
  <c r="H55" i="6"/>
  <c r="G55" i="6"/>
  <c r="X54" i="6"/>
  <c r="W54" i="6"/>
  <c r="V54" i="6"/>
  <c r="U54" i="6"/>
  <c r="N54" i="6"/>
  <c r="L54" i="6"/>
  <c r="I54" i="6"/>
  <c r="H54" i="6"/>
  <c r="G54" i="6"/>
  <c r="D54" i="6"/>
  <c r="V65" i="1"/>
  <c r="U65" i="1"/>
  <c r="T65" i="1"/>
  <c r="S65" i="1"/>
  <c r="H65" i="1"/>
  <c r="G65" i="1"/>
  <c r="AB65" i="1" s="1"/>
  <c r="L60" i="6"/>
  <c r="M57" i="6"/>
  <c r="L57" i="6"/>
  <c r="N55" i="6"/>
  <c r="L55" i="6"/>
  <c r="M54" i="6"/>
  <c r="I65" i="3" l="1"/>
  <c r="K65" i="9"/>
  <c r="M65" i="9"/>
  <c r="K65" i="3"/>
  <c r="I65" i="9"/>
  <c r="M65" i="3"/>
  <c r="W61" i="6"/>
  <c r="K58" i="6"/>
  <c r="M59" i="6"/>
  <c r="M56" i="6"/>
  <c r="N57" i="6"/>
  <c r="G61" i="6"/>
  <c r="H61" i="6" s="1"/>
  <c r="M65" i="8"/>
  <c r="Y65" i="8" s="1"/>
  <c r="V65" i="8"/>
  <c r="P65" i="8"/>
  <c r="W65" i="8"/>
  <c r="Q65" i="8"/>
  <c r="I61" i="6"/>
  <c r="J61" i="6" s="1"/>
  <c r="N65" i="8"/>
  <c r="Z65" i="8" s="1"/>
  <c r="O65" i="8"/>
  <c r="U61" i="6"/>
  <c r="P55" i="6"/>
  <c r="K55" i="6"/>
  <c r="L56" i="6"/>
  <c r="P56" i="6"/>
  <c r="O56" i="6"/>
  <c r="P60" i="6"/>
  <c r="O60" i="6"/>
  <c r="J65" i="1"/>
  <c r="O55" i="6"/>
  <c r="K57" i="6"/>
  <c r="M60" i="6"/>
  <c r="J54" i="6"/>
  <c r="N56" i="6"/>
  <c r="K54" i="6"/>
  <c r="M55" i="6"/>
  <c r="K60" i="6"/>
  <c r="N60" i="6"/>
  <c r="L65" i="8"/>
  <c r="X65" i="8" s="1"/>
  <c r="L65" i="1"/>
  <c r="K56" i="6"/>
  <c r="V23" i="9"/>
  <c r="U23" i="9"/>
  <c r="T23" i="9"/>
  <c r="S23" i="9"/>
  <c r="V35" i="9"/>
  <c r="U35" i="9"/>
  <c r="T35" i="9"/>
  <c r="S35" i="9"/>
  <c r="V47" i="9"/>
  <c r="U47" i="9"/>
  <c r="T47" i="9"/>
  <c r="S47" i="9"/>
  <c r="M19" i="6"/>
  <c r="K19" i="6"/>
  <c r="I19" i="6"/>
  <c r="J19" i="6" s="1"/>
  <c r="H19" i="6"/>
  <c r="G19" i="6"/>
  <c r="M16" i="6"/>
  <c r="K16" i="6"/>
  <c r="I16" i="6"/>
  <c r="J16" i="6" s="1"/>
  <c r="H16" i="6"/>
  <c r="G16" i="6"/>
  <c r="M15" i="6"/>
  <c r="K15" i="6"/>
  <c r="I15" i="6"/>
  <c r="J15" i="6" s="1"/>
  <c r="H15" i="6"/>
  <c r="G15" i="6"/>
  <c r="M14" i="6"/>
  <c r="K14" i="6"/>
  <c r="I14" i="6"/>
  <c r="J14" i="6" s="1"/>
  <c r="H14" i="6"/>
  <c r="G14" i="6"/>
  <c r="M13" i="6"/>
  <c r="K13" i="6"/>
  <c r="I13" i="6"/>
  <c r="J13" i="6" s="1"/>
  <c r="H13" i="6"/>
  <c r="G13" i="6"/>
  <c r="M12" i="6"/>
  <c r="K12" i="6"/>
  <c r="I12" i="6"/>
  <c r="J12" i="6" s="1"/>
  <c r="H12" i="6"/>
  <c r="G12" i="6"/>
  <c r="M11" i="6"/>
  <c r="K11" i="6"/>
  <c r="I11" i="6"/>
  <c r="J11" i="6" s="1"/>
  <c r="H11" i="6"/>
  <c r="G11" i="6"/>
  <c r="M10" i="6"/>
  <c r="K10" i="6"/>
  <c r="I10" i="6"/>
  <c r="J10" i="6" s="1"/>
  <c r="H10" i="6"/>
  <c r="G10" i="6"/>
  <c r="M9" i="6"/>
  <c r="K9" i="6"/>
  <c r="I9" i="6"/>
  <c r="J9" i="6" s="1"/>
  <c r="H9" i="6"/>
  <c r="G9" i="6"/>
  <c r="M8" i="6"/>
  <c r="K8" i="6"/>
  <c r="I8" i="6"/>
  <c r="J8" i="6" s="1"/>
  <c r="H8" i="6"/>
  <c r="G8" i="6"/>
  <c r="M7" i="6"/>
  <c r="K7" i="6"/>
  <c r="J7" i="6"/>
  <c r="I7" i="6"/>
  <c r="H7" i="6"/>
  <c r="G7" i="6"/>
  <c r="W7" i="8"/>
  <c r="V7" i="8"/>
  <c r="U7" i="8"/>
  <c r="Q7" i="8"/>
  <c r="P7" i="8"/>
  <c r="O7" i="8"/>
  <c r="N7" i="8"/>
  <c r="M7" i="8"/>
  <c r="L7" i="8"/>
  <c r="L15" i="6"/>
  <c r="N15" i="6"/>
  <c r="L16" i="6"/>
  <c r="N16" i="6"/>
  <c r="H23" i="1"/>
  <c r="G23" i="1"/>
  <c r="AB23" i="1" s="1"/>
  <c r="N23" i="9"/>
  <c r="L23" i="9"/>
  <c r="J23" i="9"/>
  <c r="H23" i="9"/>
  <c r="G23" i="9"/>
  <c r="AB23" i="9" s="1"/>
  <c r="N23" i="3"/>
  <c r="L23" i="3"/>
  <c r="J23" i="3"/>
  <c r="H23" i="3"/>
  <c r="G23" i="3"/>
  <c r="AB23" i="3" s="1"/>
  <c r="M22" i="3"/>
  <c r="K22" i="3"/>
  <c r="N19" i="6" s="1"/>
  <c r="I22" i="3"/>
  <c r="L19" i="6" s="1"/>
  <c r="N14" i="6"/>
  <c r="L14" i="6"/>
  <c r="N13" i="6"/>
  <c r="L13" i="6"/>
  <c r="N12" i="6"/>
  <c r="L12" i="6"/>
  <c r="N11" i="6"/>
  <c r="L11" i="6"/>
  <c r="N10" i="6"/>
  <c r="L10" i="6"/>
  <c r="N9" i="6"/>
  <c r="L9" i="6"/>
  <c r="M8" i="3"/>
  <c r="K8" i="3"/>
  <c r="N8" i="6" s="1"/>
  <c r="I8" i="3"/>
  <c r="L8" i="6" s="1"/>
  <c r="M7" i="3"/>
  <c r="K7" i="3"/>
  <c r="N7" i="6" s="1"/>
  <c r="I7" i="3"/>
  <c r="L7" i="6" s="1"/>
  <c r="M119" i="3"/>
  <c r="M120" i="3"/>
  <c r="M110" i="3"/>
  <c r="K119" i="1"/>
  <c r="K120" i="1"/>
  <c r="K119" i="3"/>
  <c r="K120" i="3"/>
  <c r="I110" i="3"/>
  <c r="I117" i="3"/>
  <c r="I118" i="3"/>
  <c r="I119" i="3"/>
  <c r="I120" i="3"/>
  <c r="M100" i="3"/>
  <c r="M101" i="3"/>
  <c r="K100" i="3"/>
  <c r="K101" i="3"/>
  <c r="I100" i="3"/>
  <c r="I101" i="3"/>
  <c r="M91" i="3"/>
  <c r="M92" i="3"/>
  <c r="M93" i="3"/>
  <c r="M94" i="3"/>
  <c r="M95" i="3"/>
  <c r="K91" i="3"/>
  <c r="K92" i="3"/>
  <c r="K93" i="3"/>
  <c r="K94" i="3"/>
  <c r="K95" i="3"/>
  <c r="I91" i="3"/>
  <c r="I92" i="3"/>
  <c r="I93" i="3"/>
  <c r="I94" i="3"/>
  <c r="I95" i="3"/>
  <c r="M81" i="3"/>
  <c r="M82" i="3"/>
  <c r="K81" i="3"/>
  <c r="K82" i="3"/>
  <c r="I81" i="3"/>
  <c r="I82" i="3"/>
  <c r="M70" i="3"/>
  <c r="M71" i="3"/>
  <c r="K70" i="3"/>
  <c r="K71" i="3"/>
  <c r="I70" i="3"/>
  <c r="I71" i="3"/>
  <c r="M54" i="3"/>
  <c r="M55" i="3"/>
  <c r="K54" i="3"/>
  <c r="K55" i="3"/>
  <c r="I54" i="3"/>
  <c r="I55" i="3"/>
  <c r="M43" i="3"/>
  <c r="M45" i="3"/>
  <c r="K43" i="3"/>
  <c r="K45" i="3"/>
  <c r="I43" i="3"/>
  <c r="I45" i="3"/>
  <c r="M32" i="3"/>
  <c r="M33" i="3"/>
  <c r="M27" i="3"/>
  <c r="I27" i="3"/>
  <c r="K27" i="3"/>
  <c r="K32" i="3"/>
  <c r="K33" i="3"/>
  <c r="I32" i="3"/>
  <c r="I33" i="3"/>
  <c r="M6" i="1"/>
  <c r="K6" i="1"/>
  <c r="M6" i="3"/>
  <c r="K6" i="3"/>
  <c r="I6" i="3"/>
  <c r="O6" i="6"/>
  <c r="J6" i="6"/>
  <c r="I6" i="6"/>
  <c r="H6" i="6"/>
  <c r="G6" i="6"/>
  <c r="D6" i="6"/>
  <c r="I23" i="9" l="1"/>
  <c r="S48" i="9"/>
  <c r="T48" i="9"/>
  <c r="U48" i="9"/>
  <c r="V48" i="9"/>
  <c r="X7" i="8"/>
  <c r="H7" i="8"/>
  <c r="AY7" i="8" s="1"/>
  <c r="Z7" i="8"/>
  <c r="J7" i="8"/>
  <c r="BA7" i="8" s="1"/>
  <c r="Y7" i="8"/>
  <c r="I7" i="8"/>
  <c r="AZ7" i="8" s="1"/>
  <c r="K65" i="1"/>
  <c r="I65" i="1"/>
  <c r="T7" i="8"/>
  <c r="R7" i="8"/>
  <c r="S65" i="8"/>
  <c r="S7" i="8"/>
  <c r="T65" i="8"/>
  <c r="K23" i="9"/>
  <c r="M23" i="9"/>
  <c r="K23" i="3"/>
  <c r="U65" i="8"/>
  <c r="R65" i="8" s="1"/>
  <c r="K61" i="6"/>
  <c r="L61" i="6" s="1"/>
  <c r="P57" i="6"/>
  <c r="O57" i="6"/>
  <c r="M61" i="6"/>
  <c r="N61" i="6" s="1"/>
  <c r="N65" i="1"/>
  <c r="O54" i="6"/>
  <c r="O61" i="6" s="1"/>
  <c r="P61" i="6" s="1"/>
  <c r="P54" i="6"/>
  <c r="P23" i="8"/>
  <c r="V23" i="8"/>
  <c r="O23" i="8"/>
  <c r="W23" i="8"/>
  <c r="N23" i="8"/>
  <c r="Z23" i="8" s="1"/>
  <c r="Q23" i="8"/>
  <c r="M20" i="6"/>
  <c r="N20" i="6" s="1"/>
  <c r="G20" i="6"/>
  <c r="H20" i="6" s="1"/>
  <c r="K20" i="6"/>
  <c r="L20" i="6" s="1"/>
  <c r="I20" i="6"/>
  <c r="J20" i="6" s="1"/>
  <c r="M23" i="8"/>
  <c r="Y23" i="8" s="1"/>
  <c r="L23" i="8"/>
  <c r="X23" i="8" s="1"/>
  <c r="M23" i="3"/>
  <c r="I23" i="3"/>
  <c r="L23" i="1"/>
  <c r="K23" i="1" s="1"/>
  <c r="N23" i="1"/>
  <c r="J23" i="1"/>
  <c r="I6" i="1"/>
  <c r="W49" i="8"/>
  <c r="V49" i="8"/>
  <c r="U49" i="8"/>
  <c r="V46" i="8"/>
  <c r="V42" i="8"/>
  <c r="V41" i="8"/>
  <c r="V40" i="8"/>
  <c r="V39" i="8"/>
  <c r="V38" i="8"/>
  <c r="V37" i="8"/>
  <c r="V36" i="8"/>
  <c r="W24" i="8"/>
  <c r="V24" i="8"/>
  <c r="W5" i="8"/>
  <c r="V5" i="8"/>
  <c r="N5" i="8"/>
  <c r="Q49" i="8"/>
  <c r="P49" i="8"/>
  <c r="O49" i="8"/>
  <c r="P46" i="8"/>
  <c r="O46" i="8"/>
  <c r="P42" i="8"/>
  <c r="O42" i="8"/>
  <c r="P41" i="8"/>
  <c r="O41" i="8"/>
  <c r="P40" i="8"/>
  <c r="O40" i="8"/>
  <c r="P39" i="8"/>
  <c r="O39" i="8"/>
  <c r="P38" i="8"/>
  <c r="O38" i="8"/>
  <c r="P37" i="8"/>
  <c r="O37" i="8"/>
  <c r="P36" i="8"/>
  <c r="O36" i="8"/>
  <c r="Q24" i="8"/>
  <c r="P24" i="8"/>
  <c r="O24" i="8"/>
  <c r="Q5" i="8"/>
  <c r="P5" i="8"/>
  <c r="O5" i="8"/>
  <c r="N49" i="8"/>
  <c r="J46" i="8"/>
  <c r="BA46" i="8" s="1"/>
  <c r="J41" i="8"/>
  <c r="N24" i="8"/>
  <c r="D123" i="9"/>
  <c r="A123" i="9" s="1"/>
  <c r="N122" i="9"/>
  <c r="L122" i="9"/>
  <c r="J122" i="9"/>
  <c r="H122" i="9"/>
  <c r="G122" i="9"/>
  <c r="V103" i="9"/>
  <c r="U103" i="9"/>
  <c r="T103" i="9"/>
  <c r="S103" i="9"/>
  <c r="R103" i="9"/>
  <c r="Q103" i="9"/>
  <c r="P103" i="9"/>
  <c r="O103" i="9"/>
  <c r="N103" i="9"/>
  <c r="L103" i="9"/>
  <c r="J103" i="9"/>
  <c r="H103" i="9"/>
  <c r="G103" i="9"/>
  <c r="AB103" i="9" s="1"/>
  <c r="V97" i="9"/>
  <c r="U97" i="9"/>
  <c r="T97" i="9"/>
  <c r="S97" i="9"/>
  <c r="R97" i="9"/>
  <c r="Q97" i="9"/>
  <c r="P97" i="9"/>
  <c r="O97" i="9"/>
  <c r="N97" i="9"/>
  <c r="L97" i="9"/>
  <c r="J97" i="9"/>
  <c r="H97" i="9"/>
  <c r="G97" i="9"/>
  <c r="AB97" i="9" s="1"/>
  <c r="V84" i="9"/>
  <c r="U84" i="9"/>
  <c r="T84" i="9"/>
  <c r="S84" i="9"/>
  <c r="R84" i="9"/>
  <c r="Q84" i="9"/>
  <c r="P84" i="9"/>
  <c r="O84" i="9"/>
  <c r="N84" i="9"/>
  <c r="L84" i="9"/>
  <c r="G84" i="9"/>
  <c r="AB84" i="9" s="1"/>
  <c r="J84" i="9"/>
  <c r="H84" i="9"/>
  <c r="V73" i="9"/>
  <c r="U73" i="9"/>
  <c r="T73" i="9"/>
  <c r="S73" i="9"/>
  <c r="R73" i="9"/>
  <c r="Q73" i="9"/>
  <c r="P73" i="9"/>
  <c r="O73" i="9"/>
  <c r="N73" i="9"/>
  <c r="L73" i="9"/>
  <c r="J73" i="9"/>
  <c r="H73" i="9"/>
  <c r="G73" i="9"/>
  <c r="AB73" i="9" s="1"/>
  <c r="V57" i="9"/>
  <c r="U57" i="9"/>
  <c r="T57" i="9"/>
  <c r="S57" i="9"/>
  <c r="R57" i="9"/>
  <c r="Q57" i="9"/>
  <c r="P57" i="9"/>
  <c r="O57" i="9"/>
  <c r="N57" i="9"/>
  <c r="L57" i="9"/>
  <c r="J57" i="9"/>
  <c r="H57" i="9"/>
  <c r="G57" i="9"/>
  <c r="AB57" i="9" s="1"/>
  <c r="D48" i="9"/>
  <c r="A48" i="9" s="1"/>
  <c r="N35" i="9"/>
  <c r="L35" i="9"/>
  <c r="J35" i="9"/>
  <c r="H35" i="9"/>
  <c r="G35" i="9"/>
  <c r="AB35" i="9" s="1"/>
  <c r="M49" i="8"/>
  <c r="I49" i="8" s="1"/>
  <c r="AZ49" i="8" s="1"/>
  <c r="M46" i="8"/>
  <c r="M42" i="8"/>
  <c r="M41" i="8"/>
  <c r="M40" i="8"/>
  <c r="I40" i="8" s="1"/>
  <c r="AZ40" i="8" s="1"/>
  <c r="M39" i="8"/>
  <c r="I39" i="8" s="1"/>
  <c r="AZ39" i="8" s="1"/>
  <c r="M38" i="8"/>
  <c r="I38" i="8" s="1"/>
  <c r="AZ38" i="8" s="1"/>
  <c r="M37" i="8"/>
  <c r="M36" i="8"/>
  <c r="I36" i="8" s="1"/>
  <c r="AZ36" i="8" s="1"/>
  <c r="M24" i="8"/>
  <c r="M5" i="8"/>
  <c r="I5" i="8" s="1"/>
  <c r="L49" i="8"/>
  <c r="L46" i="8"/>
  <c r="L42" i="8"/>
  <c r="L41" i="8"/>
  <c r="L40" i="8"/>
  <c r="L39" i="8"/>
  <c r="L38" i="8"/>
  <c r="L37" i="8"/>
  <c r="L36" i="8"/>
  <c r="L24" i="8"/>
  <c r="AA57" i="8"/>
  <c r="AZ5" i="8" l="1"/>
  <c r="BA41" i="8"/>
  <c r="R123" i="9"/>
  <c r="K35" i="9"/>
  <c r="G123" i="9"/>
  <c r="K97" i="9"/>
  <c r="I84" i="9"/>
  <c r="K84" i="9"/>
  <c r="K103" i="9"/>
  <c r="S123" i="9"/>
  <c r="S124" i="9" s="1"/>
  <c r="T123" i="9"/>
  <c r="T124" i="9" s="1"/>
  <c r="K57" i="9"/>
  <c r="L123" i="9"/>
  <c r="U123" i="9"/>
  <c r="I122" i="9"/>
  <c r="N123" i="9"/>
  <c r="V123" i="9"/>
  <c r="V124" i="9" s="1"/>
  <c r="K122" i="9"/>
  <c r="M35" i="9"/>
  <c r="I57" i="9"/>
  <c r="J123" i="9"/>
  <c r="O123" i="9"/>
  <c r="P123" i="9"/>
  <c r="I103" i="9"/>
  <c r="H123" i="9"/>
  <c r="Q123" i="9"/>
  <c r="I123" i="8"/>
  <c r="Z24" i="8"/>
  <c r="J24" i="8"/>
  <c r="BA24" i="8" s="1"/>
  <c r="H24" i="8"/>
  <c r="AY24" i="8" s="1"/>
  <c r="Z49" i="8"/>
  <c r="J49" i="8"/>
  <c r="BA49" i="8" s="1"/>
  <c r="H36" i="8"/>
  <c r="AY36" i="8" s="1"/>
  <c r="H37" i="8"/>
  <c r="AY37" i="8" s="1"/>
  <c r="Y42" i="8"/>
  <c r="I42" i="8"/>
  <c r="AZ42" i="8" s="1"/>
  <c r="H38" i="8"/>
  <c r="AY38" i="8" s="1"/>
  <c r="H42" i="8"/>
  <c r="AY42" i="8" s="1"/>
  <c r="H46" i="8"/>
  <c r="AY46" i="8" s="1"/>
  <c r="X49" i="8"/>
  <c r="H49" i="8"/>
  <c r="AY49" i="8" s="1"/>
  <c r="Y46" i="8"/>
  <c r="I46" i="8"/>
  <c r="AZ46" i="8" s="1"/>
  <c r="H40" i="8"/>
  <c r="AY40" i="8" s="1"/>
  <c r="Y37" i="8"/>
  <c r="I37" i="8"/>
  <c r="AZ37" i="8" s="1"/>
  <c r="Y41" i="8"/>
  <c r="I41" i="8"/>
  <c r="AZ41" i="8" s="1"/>
  <c r="Z5" i="8"/>
  <c r="J5" i="8"/>
  <c r="BA5" i="8" s="1"/>
  <c r="Y24" i="8"/>
  <c r="I24" i="8"/>
  <c r="AZ24" i="8" s="1"/>
  <c r="H39" i="8"/>
  <c r="AY39" i="8" s="1"/>
  <c r="H41" i="8"/>
  <c r="AY41" i="8" s="1"/>
  <c r="Y5" i="8"/>
  <c r="M97" i="9"/>
  <c r="M122" i="9"/>
  <c r="M103" i="9"/>
  <c r="I97" i="9"/>
  <c r="M84" i="9"/>
  <c r="I73" i="9"/>
  <c r="K73" i="9"/>
  <c r="M73" i="9"/>
  <c r="M57" i="9"/>
  <c r="M65" i="1"/>
  <c r="S49" i="8"/>
  <c r="Y49" i="8"/>
  <c r="S38" i="8"/>
  <c r="Y38" i="8"/>
  <c r="T41" i="8"/>
  <c r="Z41" i="8"/>
  <c r="S36" i="8"/>
  <c r="Y36" i="8"/>
  <c r="S39" i="8"/>
  <c r="Y39" i="8"/>
  <c r="S40" i="8"/>
  <c r="Y40" i="8"/>
  <c r="T46" i="8"/>
  <c r="Z46" i="8"/>
  <c r="T38" i="8"/>
  <c r="Z38" i="8"/>
  <c r="S5" i="8"/>
  <c r="S42" i="8"/>
  <c r="S24" i="8"/>
  <c r="S46" i="8"/>
  <c r="T5" i="8"/>
  <c r="R49" i="8"/>
  <c r="T24" i="8"/>
  <c r="T49" i="8"/>
  <c r="S41" i="8"/>
  <c r="S37" i="8"/>
  <c r="T23" i="8"/>
  <c r="S23" i="8"/>
  <c r="I23" i="1"/>
  <c r="M23" i="1"/>
  <c r="D124" i="9"/>
  <c r="E124" i="9"/>
  <c r="V103" i="8"/>
  <c r="W57" i="8"/>
  <c r="O97" i="8"/>
  <c r="L97" i="8"/>
  <c r="X97" i="8" s="1"/>
  <c r="M97" i="8"/>
  <c r="Y97" i="8" s="1"/>
  <c r="N97" i="8"/>
  <c r="P73" i="8"/>
  <c r="Q97" i="8"/>
  <c r="V35" i="8"/>
  <c r="W35" i="8"/>
  <c r="W84" i="8"/>
  <c r="V97" i="8"/>
  <c r="P97" i="8"/>
  <c r="O103" i="8"/>
  <c r="V47" i="8"/>
  <c r="V57" i="8"/>
  <c r="W103" i="8"/>
  <c r="V122" i="8"/>
  <c r="V73" i="8"/>
  <c r="W97" i="8"/>
  <c r="W122" i="8"/>
  <c r="W73" i="8"/>
  <c r="O57" i="8"/>
  <c r="P57" i="8"/>
  <c r="U57" i="8"/>
  <c r="O47" i="8"/>
  <c r="Q57" i="8"/>
  <c r="Q103" i="8"/>
  <c r="O73" i="8"/>
  <c r="M103" i="8"/>
  <c r="Y103" i="8" s="1"/>
  <c r="M73" i="8"/>
  <c r="L73" i="8"/>
  <c r="L47" i="8"/>
  <c r="L35" i="8"/>
  <c r="M57" i="8"/>
  <c r="Q35" i="8"/>
  <c r="Q73" i="8"/>
  <c r="P47" i="8"/>
  <c r="M35" i="8"/>
  <c r="M47" i="8"/>
  <c r="M84" i="8"/>
  <c r="Y84" i="8" s="1"/>
  <c r="M122" i="8"/>
  <c r="Y122" i="8" s="1"/>
  <c r="N35" i="8"/>
  <c r="Z35" i="8" s="1"/>
  <c r="N57" i="8"/>
  <c r="N84" i="8"/>
  <c r="Z84" i="8" s="1"/>
  <c r="Q84" i="8"/>
  <c r="O35" i="8"/>
  <c r="P35" i="8"/>
  <c r="P103" i="8"/>
  <c r="Q122" i="8"/>
  <c r="N122" i="8"/>
  <c r="Z122" i="8" s="1"/>
  <c r="N103" i="8"/>
  <c r="U124" i="9"/>
  <c r="N73" i="8"/>
  <c r="Z73" i="8" s="1"/>
  <c r="I35" i="9"/>
  <c r="L84" i="8"/>
  <c r="L103" i="8"/>
  <c r="L57" i="8"/>
  <c r="AN123" i="8"/>
  <c r="AN124" i="8" s="1"/>
  <c r="AP123" i="8"/>
  <c r="AP124" i="8" s="1"/>
  <c r="AQ123" i="8"/>
  <c r="AQ124" i="8" s="1"/>
  <c r="AO123" i="8"/>
  <c r="AO124" i="8" s="1"/>
  <c r="D124" i="8"/>
  <c r="A124" i="8" s="1"/>
  <c r="E113" i="6"/>
  <c r="E44" i="6"/>
  <c r="D5" i="6"/>
  <c r="D33" i="6"/>
  <c r="D21" i="6"/>
  <c r="R99" i="6"/>
  <c r="S99" i="6"/>
  <c r="T99" i="6"/>
  <c r="Q99" i="6"/>
  <c r="R93" i="6"/>
  <c r="S93" i="6"/>
  <c r="T93" i="6"/>
  <c r="Q93" i="6"/>
  <c r="N24" i="6"/>
  <c r="L24" i="6"/>
  <c r="R84" i="3"/>
  <c r="Q84" i="3"/>
  <c r="P84" i="3"/>
  <c r="O84" i="3"/>
  <c r="R73" i="3"/>
  <c r="Q73" i="3"/>
  <c r="P73" i="3"/>
  <c r="O73" i="3"/>
  <c r="R57" i="3"/>
  <c r="Q57" i="3"/>
  <c r="P57" i="3"/>
  <c r="O57" i="3"/>
  <c r="L57" i="3"/>
  <c r="G57" i="3"/>
  <c r="AB57" i="3" s="1"/>
  <c r="N122" i="3"/>
  <c r="G122" i="3"/>
  <c r="G94" i="6"/>
  <c r="G99" i="6" s="1"/>
  <c r="H99" i="6" s="1"/>
  <c r="M99" i="3"/>
  <c r="M102" i="3"/>
  <c r="K99" i="3"/>
  <c r="K102" i="3"/>
  <c r="I99" i="3"/>
  <c r="I102" i="3"/>
  <c r="M89" i="3"/>
  <c r="M90" i="3"/>
  <c r="M96" i="3"/>
  <c r="K89" i="3"/>
  <c r="K90" i="3"/>
  <c r="K96" i="3"/>
  <c r="I89" i="3"/>
  <c r="I90" i="3"/>
  <c r="I96" i="3"/>
  <c r="M88" i="3"/>
  <c r="K88" i="3"/>
  <c r="I88" i="3"/>
  <c r="P103" i="3"/>
  <c r="Q103" i="3"/>
  <c r="R103" i="3"/>
  <c r="S103" i="3"/>
  <c r="T103" i="3"/>
  <c r="U103" i="3"/>
  <c r="V103" i="3"/>
  <c r="P103" i="1"/>
  <c r="Q103" i="1"/>
  <c r="R103" i="1"/>
  <c r="S103" i="1"/>
  <c r="T103" i="1"/>
  <c r="U103" i="1"/>
  <c r="V103" i="1"/>
  <c r="O103" i="3"/>
  <c r="O103" i="1"/>
  <c r="N103" i="3"/>
  <c r="N103" i="1"/>
  <c r="L103" i="3"/>
  <c r="J103" i="3"/>
  <c r="H103" i="3"/>
  <c r="H103" i="1"/>
  <c r="G103" i="3"/>
  <c r="AB103" i="3" s="1"/>
  <c r="G103" i="1"/>
  <c r="AB103" i="1" s="1"/>
  <c r="H97" i="3"/>
  <c r="H97" i="1"/>
  <c r="Q97" i="3"/>
  <c r="R97" i="3"/>
  <c r="S97" i="3"/>
  <c r="T97" i="3"/>
  <c r="U97" i="3"/>
  <c r="V97" i="3"/>
  <c r="Q97" i="1"/>
  <c r="Q123" i="1" s="1"/>
  <c r="R97" i="1"/>
  <c r="R123" i="1" s="1"/>
  <c r="S97" i="1"/>
  <c r="T97" i="1"/>
  <c r="U97" i="1"/>
  <c r="V97" i="1"/>
  <c r="P97" i="3"/>
  <c r="P97" i="1"/>
  <c r="P123" i="1" s="1"/>
  <c r="O97" i="3"/>
  <c r="O97" i="1"/>
  <c r="N97" i="3"/>
  <c r="L97" i="3"/>
  <c r="L97" i="1"/>
  <c r="J97" i="3"/>
  <c r="G97" i="3"/>
  <c r="AB97" i="3" s="1"/>
  <c r="G97" i="1"/>
  <c r="AB97" i="1" s="1"/>
  <c r="A124" i="9" l="1"/>
  <c r="I48" i="8"/>
  <c r="AZ48" i="8" s="1"/>
  <c r="I127" i="8" s="1"/>
  <c r="K123" i="9"/>
  <c r="O123" i="1"/>
  <c r="O123" i="3"/>
  <c r="P123" i="3"/>
  <c r="Q123" i="3"/>
  <c r="R123" i="3"/>
  <c r="I129" i="8"/>
  <c r="J123" i="8"/>
  <c r="AZ123" i="8"/>
  <c r="V48" i="8"/>
  <c r="O48" i="8"/>
  <c r="P48" i="8"/>
  <c r="M48" i="8"/>
  <c r="Y48" i="8" s="1"/>
  <c r="W123" i="8"/>
  <c r="AI123" i="8"/>
  <c r="Q123" i="8"/>
  <c r="M123" i="9"/>
  <c r="X57" i="8"/>
  <c r="I123" i="9"/>
  <c r="Z57" i="8"/>
  <c r="N123" i="8"/>
  <c r="Z123" i="8" s="1"/>
  <c r="Y57" i="8"/>
  <c r="M123" i="8"/>
  <c r="Y123" i="8" s="1"/>
  <c r="T103" i="8"/>
  <c r="Z103" i="8"/>
  <c r="S73" i="8"/>
  <c r="Y73" i="8"/>
  <c r="S47" i="8"/>
  <c r="Y47" i="8"/>
  <c r="S35" i="8"/>
  <c r="Y35" i="8"/>
  <c r="T97" i="8"/>
  <c r="Z97" i="8"/>
  <c r="S57" i="8"/>
  <c r="S103" i="8"/>
  <c r="T84" i="8"/>
  <c r="S97" i="8"/>
  <c r="R57" i="8"/>
  <c r="S122" i="8"/>
  <c r="T57" i="8"/>
  <c r="T122" i="8"/>
  <c r="T73" i="8"/>
  <c r="T35" i="8"/>
  <c r="V93" i="6"/>
  <c r="V99" i="6"/>
  <c r="X99" i="6"/>
  <c r="X93" i="6"/>
  <c r="K57" i="3"/>
  <c r="K97" i="1"/>
  <c r="E124" i="3"/>
  <c r="E114" i="6"/>
  <c r="K103" i="3"/>
  <c r="M97" i="3"/>
  <c r="K97" i="3"/>
  <c r="I97" i="3"/>
  <c r="M103" i="3"/>
  <c r="I103" i="3"/>
  <c r="I124" i="8" l="1"/>
  <c r="AZ124" i="8" s="1"/>
  <c r="I128" i="8"/>
  <c r="I130" i="8" s="1"/>
  <c r="BA123" i="8"/>
  <c r="M124" i="8"/>
  <c r="Y124" i="8" s="1"/>
  <c r="AF123" i="8"/>
  <c r="S48" i="8"/>
  <c r="T123" i="8"/>
  <c r="D100" i="6"/>
  <c r="D94" i="6"/>
  <c r="D81" i="6"/>
  <c r="D70" i="6"/>
  <c r="D62" i="6"/>
  <c r="D45" i="6"/>
  <c r="D113" i="6" l="1"/>
  <c r="G73" i="3"/>
  <c r="AB73" i="3" s="1"/>
  <c r="N84" i="3" l="1"/>
  <c r="L84" i="3"/>
  <c r="M80" i="3"/>
  <c r="M83" i="3"/>
  <c r="M77" i="3"/>
  <c r="K80" i="3"/>
  <c r="K83" i="3"/>
  <c r="J83" i="3"/>
  <c r="V83" i="8" s="1"/>
  <c r="S83" i="8" s="1"/>
  <c r="J80" i="3"/>
  <c r="V80" i="8" s="1"/>
  <c r="S80" i="8" s="1"/>
  <c r="J79" i="3"/>
  <c r="V79" i="8" s="1"/>
  <c r="S79" i="8" s="1"/>
  <c r="J78" i="3"/>
  <c r="V78" i="8" s="1"/>
  <c r="S78" i="8" s="1"/>
  <c r="J77" i="3"/>
  <c r="V77" i="8" s="1"/>
  <c r="S77" i="8" s="1"/>
  <c r="J76" i="3"/>
  <c r="V76" i="8" s="1"/>
  <c r="S76" i="8" s="1"/>
  <c r="J75" i="3"/>
  <c r="V75" i="8" s="1"/>
  <c r="S75" i="8" s="1"/>
  <c r="J74" i="3"/>
  <c r="V74" i="8" s="1"/>
  <c r="S74" i="8" s="1"/>
  <c r="G84" i="3"/>
  <c r="H83" i="3"/>
  <c r="P83" i="8" s="1"/>
  <c r="H80" i="3"/>
  <c r="P80" i="8" s="1"/>
  <c r="S57" i="3"/>
  <c r="T84" i="3"/>
  <c r="U84" i="3"/>
  <c r="X80" i="6" s="1"/>
  <c r="V84" i="3"/>
  <c r="S84" i="3"/>
  <c r="V80" i="6" s="1"/>
  <c r="V57" i="3"/>
  <c r="U57" i="3"/>
  <c r="T57" i="3"/>
  <c r="W94" i="6"/>
  <c r="U94" i="6"/>
  <c r="X94" i="6"/>
  <c r="V94" i="6"/>
  <c r="X86" i="6"/>
  <c r="W86" i="6"/>
  <c r="V86" i="6"/>
  <c r="U86" i="6"/>
  <c r="X85" i="6"/>
  <c r="W85" i="6"/>
  <c r="V85" i="6"/>
  <c r="U85" i="6"/>
  <c r="X84" i="6"/>
  <c r="W84" i="6"/>
  <c r="V84" i="6"/>
  <c r="U84" i="6"/>
  <c r="U74" i="6"/>
  <c r="V74" i="6"/>
  <c r="W74" i="6"/>
  <c r="X74" i="6"/>
  <c r="U75" i="6"/>
  <c r="V75" i="6"/>
  <c r="W75" i="6"/>
  <c r="X75" i="6"/>
  <c r="X73" i="6"/>
  <c r="W73" i="6"/>
  <c r="V73" i="6"/>
  <c r="U73" i="6"/>
  <c r="X72" i="6"/>
  <c r="W72" i="6"/>
  <c r="V72" i="6"/>
  <c r="U72" i="6"/>
  <c r="X71" i="6"/>
  <c r="W71" i="6"/>
  <c r="V71" i="6"/>
  <c r="U71" i="6"/>
  <c r="X70" i="6"/>
  <c r="W70" i="6"/>
  <c r="V70" i="6"/>
  <c r="U70" i="6"/>
  <c r="G123" i="3" l="1"/>
  <c r="AB84" i="3"/>
  <c r="V61" i="6"/>
  <c r="X61" i="6"/>
  <c r="V84" i="8"/>
  <c r="J84" i="3"/>
  <c r="I83" i="3"/>
  <c r="I80" i="3"/>
  <c r="W80" i="6"/>
  <c r="W93" i="6" s="1"/>
  <c r="W99" i="6" s="1"/>
  <c r="U80" i="6"/>
  <c r="U93" i="6" s="1"/>
  <c r="U99" i="6" s="1"/>
  <c r="N122" i="1"/>
  <c r="P107" i="6"/>
  <c r="P108" i="6"/>
  <c r="G68" i="6"/>
  <c r="H68" i="6"/>
  <c r="I68" i="6"/>
  <c r="J68" i="6" s="1"/>
  <c r="U68" i="6"/>
  <c r="V68" i="6"/>
  <c r="W68" i="6"/>
  <c r="X68" i="6"/>
  <c r="O108" i="6"/>
  <c r="O107" i="6"/>
  <c r="M109" i="3"/>
  <c r="K109" i="3"/>
  <c r="I109" i="3"/>
  <c r="S84" i="8" l="1"/>
  <c r="V123" i="8"/>
  <c r="V124" i="8" s="1"/>
  <c r="O112" i="6"/>
  <c r="P112" i="6" s="1"/>
  <c r="K110" i="3"/>
  <c r="H118" i="3"/>
  <c r="P118" i="8" s="1"/>
  <c r="H117" i="3"/>
  <c r="P117" i="8" s="1"/>
  <c r="M72" i="3"/>
  <c r="K72" i="3"/>
  <c r="I72" i="3"/>
  <c r="S123" i="8" l="1"/>
  <c r="P122" i="8"/>
  <c r="S124" i="8"/>
  <c r="V62" i="6"/>
  <c r="V64" i="6"/>
  <c r="V65" i="6"/>
  <c r="X62" i="6"/>
  <c r="X64" i="6"/>
  <c r="X65" i="6"/>
  <c r="X63" i="6"/>
  <c r="V63" i="6"/>
  <c r="W65" i="6"/>
  <c r="W64" i="6"/>
  <c r="W62" i="6"/>
  <c r="W63" i="6"/>
  <c r="U62" i="6"/>
  <c r="U64" i="6"/>
  <c r="U65" i="6"/>
  <c r="U63" i="6"/>
  <c r="V73" i="1"/>
  <c r="V123" i="1" s="1"/>
  <c r="U73" i="1"/>
  <c r="U123" i="1" s="1"/>
  <c r="T73" i="1"/>
  <c r="T123" i="1" s="1"/>
  <c r="S73" i="1"/>
  <c r="S123" i="1" s="1"/>
  <c r="U69" i="6" l="1"/>
  <c r="W69" i="6"/>
  <c r="V73" i="3"/>
  <c r="V123" i="3" s="1"/>
  <c r="U73" i="3"/>
  <c r="U123" i="3" s="1"/>
  <c r="T73" i="3"/>
  <c r="T123" i="3" s="1"/>
  <c r="S73" i="3"/>
  <c r="S123" i="3" s="1"/>
  <c r="M69" i="3"/>
  <c r="K69" i="3"/>
  <c r="I69" i="3"/>
  <c r="M68" i="3"/>
  <c r="K68" i="3"/>
  <c r="I68" i="3"/>
  <c r="M66" i="3"/>
  <c r="K66" i="3"/>
  <c r="I66" i="3"/>
  <c r="M67" i="3"/>
  <c r="K67" i="3"/>
  <c r="I67" i="3"/>
  <c r="T124" i="3" l="1"/>
  <c r="V124" i="3"/>
  <c r="V69" i="6"/>
  <c r="S124" i="3"/>
  <c r="X69" i="6"/>
  <c r="U124" i="3"/>
  <c r="G63" i="6"/>
  <c r="H63" i="6"/>
  <c r="I63" i="6"/>
  <c r="J63" i="6" s="1"/>
  <c r="G62" i="6"/>
  <c r="H62" i="6"/>
  <c r="I62" i="6"/>
  <c r="G64" i="6"/>
  <c r="H64" i="6"/>
  <c r="I64" i="6"/>
  <c r="J64" i="6" s="1"/>
  <c r="G65" i="6"/>
  <c r="H65" i="6"/>
  <c r="I65" i="6"/>
  <c r="J65" i="6" s="1"/>
  <c r="G70" i="6"/>
  <c r="H70" i="6"/>
  <c r="G71" i="6"/>
  <c r="H71" i="6"/>
  <c r="G72" i="6"/>
  <c r="H72" i="6"/>
  <c r="G73" i="6"/>
  <c r="H73" i="6"/>
  <c r="G74" i="6"/>
  <c r="H74" i="6"/>
  <c r="G75" i="6"/>
  <c r="H75" i="6"/>
  <c r="G84" i="6"/>
  <c r="H84" i="6"/>
  <c r="I84" i="6"/>
  <c r="G85" i="6"/>
  <c r="H85" i="6"/>
  <c r="I85" i="6"/>
  <c r="J85" i="6" s="1"/>
  <c r="G86" i="6"/>
  <c r="H86" i="6"/>
  <c r="I86" i="6"/>
  <c r="J86" i="6" s="1"/>
  <c r="H94" i="6"/>
  <c r="I94" i="6"/>
  <c r="L122" i="3"/>
  <c r="J122" i="3"/>
  <c r="H122" i="3"/>
  <c r="K84" i="3"/>
  <c r="N73" i="3"/>
  <c r="L73" i="3"/>
  <c r="J73" i="3"/>
  <c r="H73" i="3"/>
  <c r="N57" i="3"/>
  <c r="J57" i="3"/>
  <c r="H57" i="3"/>
  <c r="G84" i="1"/>
  <c r="AB84" i="1" s="1"/>
  <c r="H73" i="1"/>
  <c r="G73" i="1"/>
  <c r="AB73" i="1" s="1"/>
  <c r="H57" i="1"/>
  <c r="G57" i="1"/>
  <c r="AB57" i="1" s="1"/>
  <c r="I52" i="6"/>
  <c r="J52" i="6" s="1"/>
  <c r="H52" i="6"/>
  <c r="G52" i="6"/>
  <c r="I49" i="6"/>
  <c r="J49" i="6" s="1"/>
  <c r="H49" i="6"/>
  <c r="G49" i="6"/>
  <c r="I48" i="6"/>
  <c r="J48" i="6" s="1"/>
  <c r="H48" i="6"/>
  <c r="G48" i="6"/>
  <c r="I47" i="6"/>
  <c r="H47" i="6"/>
  <c r="G47" i="6"/>
  <c r="I28" i="6"/>
  <c r="J28" i="6" s="1"/>
  <c r="H28" i="6"/>
  <c r="G28" i="6"/>
  <c r="I27" i="6"/>
  <c r="J27" i="6" s="1"/>
  <c r="H27" i="6"/>
  <c r="G27" i="6"/>
  <c r="I26" i="6"/>
  <c r="J26" i="6" s="1"/>
  <c r="H26" i="6"/>
  <c r="G26" i="6"/>
  <c r="I25" i="6"/>
  <c r="J25" i="6" s="1"/>
  <c r="H25" i="6"/>
  <c r="G25" i="6"/>
  <c r="I23" i="6"/>
  <c r="J23" i="6" s="1"/>
  <c r="H23" i="6"/>
  <c r="G23" i="6"/>
  <c r="I22" i="6"/>
  <c r="J22" i="6" s="1"/>
  <c r="H22" i="6"/>
  <c r="G22" i="6"/>
  <c r="J21" i="6"/>
  <c r="I21" i="6"/>
  <c r="H21" i="6"/>
  <c r="G21" i="6"/>
  <c r="J5" i="6"/>
  <c r="I5" i="6"/>
  <c r="L123" i="3" l="1"/>
  <c r="J123" i="3"/>
  <c r="N123" i="3"/>
  <c r="AH123" i="8"/>
  <c r="AE123" i="8" s="1"/>
  <c r="I57" i="3"/>
  <c r="G93" i="6"/>
  <c r="H93" i="6" s="1"/>
  <c r="G53" i="6"/>
  <c r="H53" i="6" s="1"/>
  <c r="J62" i="6"/>
  <c r="I69" i="6"/>
  <c r="J69" i="6" s="1"/>
  <c r="G32" i="6"/>
  <c r="H32" i="6" s="1"/>
  <c r="J47" i="6"/>
  <c r="I53" i="6"/>
  <c r="J53" i="6" s="1"/>
  <c r="G80" i="6"/>
  <c r="H80" i="6" s="1"/>
  <c r="G69" i="6"/>
  <c r="H69" i="6" s="1"/>
  <c r="I32" i="6"/>
  <c r="J32" i="6" s="1"/>
  <c r="J94" i="6"/>
  <c r="I99" i="6"/>
  <c r="J99" i="6" s="1"/>
  <c r="J84" i="6"/>
  <c r="I93" i="6"/>
  <c r="J93" i="6" s="1"/>
  <c r="M57" i="3"/>
  <c r="M84" i="3"/>
  <c r="K122" i="3"/>
  <c r="I122" i="3"/>
  <c r="K73" i="3"/>
  <c r="I73" i="3"/>
  <c r="M73" i="3"/>
  <c r="M122" i="3"/>
  <c r="I84" i="3"/>
  <c r="N35" i="3"/>
  <c r="L35" i="3"/>
  <c r="J35" i="3"/>
  <c r="H35" i="3"/>
  <c r="G35" i="3"/>
  <c r="AB35" i="3" s="1"/>
  <c r="G47" i="3"/>
  <c r="AB47" i="3" s="1"/>
  <c r="N47" i="3"/>
  <c r="AH48" i="8" s="1"/>
  <c r="L47" i="3"/>
  <c r="J47" i="3"/>
  <c r="H47" i="3"/>
  <c r="H47" i="1"/>
  <c r="G47" i="1"/>
  <c r="AB47" i="1" s="1"/>
  <c r="H35" i="1"/>
  <c r="G35" i="1"/>
  <c r="AB35" i="1" s="1"/>
  <c r="H34" i="6"/>
  <c r="H35" i="6"/>
  <c r="H36" i="6"/>
  <c r="H37" i="6"/>
  <c r="H38" i="6"/>
  <c r="H39" i="6"/>
  <c r="H42" i="6"/>
  <c r="H33" i="6"/>
  <c r="J33" i="6"/>
  <c r="F128" i="3" l="1"/>
  <c r="L48" i="3"/>
  <c r="N48" i="3"/>
  <c r="H48" i="1"/>
  <c r="G48" i="3"/>
  <c r="AB48" i="3" s="1"/>
  <c r="F129" i="3" s="1"/>
  <c r="H48" i="3"/>
  <c r="J48" i="3"/>
  <c r="AH124" i="8"/>
  <c r="AE124" i="8" s="1"/>
  <c r="AE48" i="8"/>
  <c r="M123" i="3"/>
  <c r="M47" i="3"/>
  <c r="M35" i="3"/>
  <c r="K47" i="3"/>
  <c r="I47" i="3"/>
  <c r="K35" i="3"/>
  <c r="I35" i="3"/>
  <c r="I33" i="6"/>
  <c r="I34" i="6"/>
  <c r="J34" i="6" s="1"/>
  <c r="I35" i="6"/>
  <c r="J35" i="6" s="1"/>
  <c r="I36" i="6"/>
  <c r="J36" i="6" s="1"/>
  <c r="I37" i="6"/>
  <c r="J37" i="6" s="1"/>
  <c r="I38" i="6"/>
  <c r="J38" i="6" s="1"/>
  <c r="I39" i="6"/>
  <c r="J39" i="6" s="1"/>
  <c r="I42" i="6"/>
  <c r="J42" i="6" s="1"/>
  <c r="G34" i="6"/>
  <c r="G35" i="6"/>
  <c r="G36" i="6"/>
  <c r="G37" i="6"/>
  <c r="G38" i="6"/>
  <c r="G39" i="6"/>
  <c r="G42" i="6"/>
  <c r="G33" i="6"/>
  <c r="D44" i="6"/>
  <c r="D114" i="6" s="1"/>
  <c r="L38" i="1"/>
  <c r="J38" i="1"/>
  <c r="U38" i="8" s="1"/>
  <c r="R38" i="8" s="1"/>
  <c r="M38" i="3"/>
  <c r="P35" i="6" s="1"/>
  <c r="K38" i="3"/>
  <c r="N35" i="6" s="1"/>
  <c r="I38" i="3"/>
  <c r="L35" i="6" s="1"/>
  <c r="F127" i="3" l="1"/>
  <c r="F130" i="3" s="1"/>
  <c r="N38" i="1"/>
  <c r="AA38" i="8"/>
  <c r="M48" i="3"/>
  <c r="N124" i="3"/>
  <c r="G43" i="6"/>
  <c r="H43" i="6" s="1"/>
  <c r="I43" i="6"/>
  <c r="J43" i="6" s="1"/>
  <c r="K48" i="3"/>
  <c r="I48" i="3"/>
  <c r="M35" i="6"/>
  <c r="K35" i="6"/>
  <c r="M50" i="3"/>
  <c r="M51" i="3"/>
  <c r="M52" i="3"/>
  <c r="M53" i="3"/>
  <c r="M56" i="3"/>
  <c r="M74" i="3"/>
  <c r="M75" i="3"/>
  <c r="M76" i="3"/>
  <c r="M78" i="3"/>
  <c r="M79" i="3"/>
  <c r="M98" i="3"/>
  <c r="M117" i="3"/>
  <c r="M118" i="3"/>
  <c r="M5" i="3"/>
  <c r="M25" i="3"/>
  <c r="M26" i="3"/>
  <c r="M28" i="3"/>
  <c r="M29" i="3"/>
  <c r="M30" i="3"/>
  <c r="M31" i="3"/>
  <c r="M34" i="3"/>
  <c r="M36" i="3"/>
  <c r="P33" i="6" s="1"/>
  <c r="M37" i="3"/>
  <c r="P34" i="6" s="1"/>
  <c r="M39" i="3"/>
  <c r="P36" i="6" s="1"/>
  <c r="M40" i="3"/>
  <c r="P37" i="6" s="1"/>
  <c r="M41" i="3"/>
  <c r="P38" i="6" s="1"/>
  <c r="M42" i="3"/>
  <c r="P39" i="6" s="1"/>
  <c r="M46" i="3"/>
  <c r="P42" i="6" s="1"/>
  <c r="M24" i="3"/>
  <c r="P6" i="6" s="1"/>
  <c r="I50" i="3"/>
  <c r="I51" i="3"/>
  <c r="I52" i="3"/>
  <c r="I53" i="3"/>
  <c r="I56" i="3"/>
  <c r="I74" i="3"/>
  <c r="I75" i="3"/>
  <c r="I76" i="3"/>
  <c r="I77" i="3"/>
  <c r="I78" i="3"/>
  <c r="I79" i="3"/>
  <c r="I98" i="3"/>
  <c r="I49" i="3"/>
  <c r="K50" i="3"/>
  <c r="K51" i="3"/>
  <c r="K52" i="3"/>
  <c r="K53" i="3"/>
  <c r="K56" i="3"/>
  <c r="K74" i="3"/>
  <c r="K75" i="3"/>
  <c r="K76" i="3"/>
  <c r="K77" i="3"/>
  <c r="K78" i="3"/>
  <c r="K79" i="3"/>
  <c r="K98" i="3"/>
  <c r="K118" i="3"/>
  <c r="K49" i="3"/>
  <c r="K24" i="3"/>
  <c r="K25" i="3"/>
  <c r="N22" i="6" s="1"/>
  <c r="K26" i="3"/>
  <c r="N23" i="6" s="1"/>
  <c r="K28" i="3"/>
  <c r="N25" i="6" s="1"/>
  <c r="K29" i="3"/>
  <c r="N26" i="6" s="1"/>
  <c r="K30" i="3"/>
  <c r="N27" i="6" s="1"/>
  <c r="K31" i="3"/>
  <c r="N28" i="6" s="1"/>
  <c r="K34" i="3"/>
  <c r="K36" i="3"/>
  <c r="N33" i="6" s="1"/>
  <c r="K37" i="3"/>
  <c r="N34" i="6" s="1"/>
  <c r="K39" i="3"/>
  <c r="N36" i="6" s="1"/>
  <c r="K40" i="3"/>
  <c r="N37" i="6" s="1"/>
  <c r="K41" i="3"/>
  <c r="N38" i="6" s="1"/>
  <c r="K42" i="3"/>
  <c r="N39" i="6" s="1"/>
  <c r="K46" i="3"/>
  <c r="N42" i="6" s="1"/>
  <c r="K5" i="3"/>
  <c r="I24" i="3"/>
  <c r="I25" i="3"/>
  <c r="L22" i="6" s="1"/>
  <c r="I26" i="3"/>
  <c r="L23" i="6" s="1"/>
  <c r="I28" i="3"/>
  <c r="L25" i="6" s="1"/>
  <c r="I29" i="3"/>
  <c r="L26" i="6" s="1"/>
  <c r="I30" i="3"/>
  <c r="L27" i="6" s="1"/>
  <c r="I31" i="3"/>
  <c r="L28" i="6" s="1"/>
  <c r="I34" i="3"/>
  <c r="I36" i="3"/>
  <c r="L33" i="6" s="1"/>
  <c r="I37" i="3"/>
  <c r="L34" i="6" s="1"/>
  <c r="I39" i="3"/>
  <c r="L36" i="6" s="1"/>
  <c r="I40" i="3"/>
  <c r="L37" i="6" s="1"/>
  <c r="I41" i="3"/>
  <c r="L38" i="6" s="1"/>
  <c r="I42" i="3"/>
  <c r="L39" i="6" s="1"/>
  <c r="I46" i="3"/>
  <c r="L42" i="6" s="1"/>
  <c r="D123" i="3"/>
  <c r="A123" i="3" s="1"/>
  <c r="K117" i="3"/>
  <c r="H79" i="3"/>
  <c r="P79" i="8" s="1"/>
  <c r="H78" i="3"/>
  <c r="P78" i="8" s="1"/>
  <c r="H77" i="3"/>
  <c r="P77" i="8" s="1"/>
  <c r="H76" i="3"/>
  <c r="P76" i="8" s="1"/>
  <c r="H75" i="3"/>
  <c r="P75" i="8" s="1"/>
  <c r="H74" i="3"/>
  <c r="P74" i="8" s="1"/>
  <c r="D48" i="3"/>
  <c r="A48" i="3" s="1"/>
  <c r="AD38" i="8" l="1"/>
  <c r="X38" i="8"/>
  <c r="O35" i="6"/>
  <c r="AG38" i="8"/>
  <c r="L21" i="6"/>
  <c r="L6" i="6"/>
  <c r="N21" i="6"/>
  <c r="N6" i="6"/>
  <c r="P84" i="8"/>
  <c r="P123" i="8" s="1"/>
  <c r="P124" i="8" s="1"/>
  <c r="I44" i="6"/>
  <c r="J44" i="6" s="1"/>
  <c r="H84" i="3"/>
  <c r="H123" i="3" s="1"/>
  <c r="D124" i="3"/>
  <c r="A124" i="3" s="1"/>
  <c r="G5" i="1"/>
  <c r="M5" i="1"/>
  <c r="P5" i="6" s="1"/>
  <c r="J24" i="1"/>
  <c r="L24" i="1"/>
  <c r="J25" i="1"/>
  <c r="U25" i="8" s="1"/>
  <c r="R25" i="8" s="1"/>
  <c r="L25" i="1"/>
  <c r="AA25" i="8" s="1"/>
  <c r="J26" i="1"/>
  <c r="U26" i="8" s="1"/>
  <c r="R26" i="8" s="1"/>
  <c r="L26" i="1"/>
  <c r="AA26" i="8" s="1"/>
  <c r="J28" i="1"/>
  <c r="U28" i="8" s="1"/>
  <c r="R28" i="8" s="1"/>
  <c r="L28" i="1"/>
  <c r="AA28" i="8" s="1"/>
  <c r="L29" i="1"/>
  <c r="AA29" i="8" s="1"/>
  <c r="J30" i="1"/>
  <c r="U30" i="8" s="1"/>
  <c r="R30" i="8" s="1"/>
  <c r="L30" i="1"/>
  <c r="AA30" i="8" s="1"/>
  <c r="J31" i="1"/>
  <c r="U31" i="8" s="1"/>
  <c r="R31" i="8" s="1"/>
  <c r="L31" i="1"/>
  <c r="AA31" i="8" s="1"/>
  <c r="J34" i="1"/>
  <c r="U34" i="8" s="1"/>
  <c r="R34" i="8" s="1"/>
  <c r="L34" i="1"/>
  <c r="AA34" i="8" s="1"/>
  <c r="J36" i="1"/>
  <c r="U36" i="8" s="1"/>
  <c r="R36" i="8" s="1"/>
  <c r="L36" i="1"/>
  <c r="AA36" i="8" s="1"/>
  <c r="J37" i="1"/>
  <c r="U37" i="8" s="1"/>
  <c r="R37" i="8" s="1"/>
  <c r="L37" i="1"/>
  <c r="AA37" i="8" s="1"/>
  <c r="J39" i="1"/>
  <c r="U39" i="8" s="1"/>
  <c r="R39" i="8" s="1"/>
  <c r="L39" i="1"/>
  <c r="AA39" i="8" s="1"/>
  <c r="J40" i="1"/>
  <c r="U40" i="8" s="1"/>
  <c r="R40" i="8" s="1"/>
  <c r="L40" i="1"/>
  <c r="J41" i="1"/>
  <c r="U41" i="8" s="1"/>
  <c r="R41" i="8" s="1"/>
  <c r="L41" i="1"/>
  <c r="AA41" i="8" s="1"/>
  <c r="J42" i="1"/>
  <c r="U42" i="8" s="1"/>
  <c r="R42" i="8" s="1"/>
  <c r="L42" i="1"/>
  <c r="J46" i="1"/>
  <c r="U46" i="8" s="1"/>
  <c r="R46" i="8" s="1"/>
  <c r="L46" i="1"/>
  <c r="AA46" i="8" s="1"/>
  <c r="AB5" i="1" l="1"/>
  <c r="AD29" i="8"/>
  <c r="X29" i="8"/>
  <c r="M6" i="6"/>
  <c r="AA24" i="8"/>
  <c r="X36" i="8"/>
  <c r="AD34" i="8"/>
  <c r="X34" i="8"/>
  <c r="X39" i="8"/>
  <c r="AD31" i="8"/>
  <c r="X31" i="8"/>
  <c r="X41" i="8"/>
  <c r="AD28" i="8"/>
  <c r="X28" i="8"/>
  <c r="N40" i="1"/>
  <c r="AA40" i="8"/>
  <c r="L5" i="8"/>
  <c r="H5" i="8" s="1"/>
  <c r="G48" i="1"/>
  <c r="AB48" i="1" s="1"/>
  <c r="E48" i="1"/>
  <c r="X26" i="8"/>
  <c r="AD26" i="8"/>
  <c r="X46" i="8"/>
  <c r="AD25" i="8"/>
  <c r="X25" i="8"/>
  <c r="N42" i="1"/>
  <c r="AA42" i="8"/>
  <c r="X37" i="8"/>
  <c r="X30" i="8"/>
  <c r="AD30" i="8"/>
  <c r="U23" i="8"/>
  <c r="R23" i="8" s="1"/>
  <c r="U24" i="8"/>
  <c r="R24" i="8" s="1"/>
  <c r="K6" i="6"/>
  <c r="U47" i="8"/>
  <c r="K27" i="6"/>
  <c r="I5" i="1"/>
  <c r="J5" i="1" s="1"/>
  <c r="H5" i="6"/>
  <c r="G5" i="6"/>
  <c r="G44" i="6" s="1"/>
  <c r="H124" i="3"/>
  <c r="K123" i="3"/>
  <c r="K21" i="6"/>
  <c r="N41" i="1"/>
  <c r="AG41" i="8" s="1"/>
  <c r="AD41" i="8" s="1"/>
  <c r="M38" i="6"/>
  <c r="K38" i="6"/>
  <c r="M23" i="6"/>
  <c r="N46" i="1"/>
  <c r="AG46" i="8" s="1"/>
  <c r="AD46" i="8" s="1"/>
  <c r="M42" i="6"/>
  <c r="N39" i="1"/>
  <c r="AG39" i="8" s="1"/>
  <c r="AD39" i="8" s="1"/>
  <c r="M36" i="6"/>
  <c r="M26" i="6"/>
  <c r="M22" i="6"/>
  <c r="M27" i="6"/>
  <c r="K23" i="6"/>
  <c r="K37" i="6"/>
  <c r="K42" i="6"/>
  <c r="K36" i="6"/>
  <c r="K22" i="6"/>
  <c r="M39" i="6"/>
  <c r="N37" i="1"/>
  <c r="AG37" i="8" s="1"/>
  <c r="AD37" i="8" s="1"/>
  <c r="M34" i="6"/>
  <c r="M28" i="6"/>
  <c r="M25" i="6"/>
  <c r="N35" i="1"/>
  <c r="N36" i="1"/>
  <c r="AG36" i="8" s="1"/>
  <c r="AD36" i="8" s="1"/>
  <c r="L47" i="1"/>
  <c r="M33" i="6"/>
  <c r="J47" i="1"/>
  <c r="K33" i="6"/>
  <c r="M37" i="6"/>
  <c r="K39" i="6"/>
  <c r="K34" i="6"/>
  <c r="K28" i="6"/>
  <c r="K25" i="6"/>
  <c r="M21" i="6"/>
  <c r="L35" i="1"/>
  <c r="K5" i="1"/>
  <c r="I123" i="3"/>
  <c r="G124" i="3"/>
  <c r="L124" i="3"/>
  <c r="M124" i="3" s="1"/>
  <c r="G117" i="1"/>
  <c r="AB117" i="1" s="1"/>
  <c r="G106" i="1"/>
  <c r="AB106" i="1" s="1"/>
  <c r="AY5" i="8" l="1"/>
  <c r="H48" i="8"/>
  <c r="AY48" i="8" s="1"/>
  <c r="L48" i="8"/>
  <c r="AA47" i="8"/>
  <c r="X47" i="8" s="1"/>
  <c r="L106" i="8"/>
  <c r="O39" i="6"/>
  <c r="AG42" i="8"/>
  <c r="AA35" i="8"/>
  <c r="AD24" i="8"/>
  <c r="X24" i="8"/>
  <c r="O37" i="6"/>
  <c r="AG40" i="8"/>
  <c r="U5" i="8"/>
  <c r="R5" i="8" s="1"/>
  <c r="AD42" i="8"/>
  <c r="X42" i="8"/>
  <c r="X40" i="8"/>
  <c r="L117" i="8"/>
  <c r="R47" i="8"/>
  <c r="H106" i="1"/>
  <c r="O106" i="8" s="1"/>
  <c r="H117" i="1"/>
  <c r="O117" i="8" s="1"/>
  <c r="H44" i="6"/>
  <c r="L5" i="1"/>
  <c r="N5" i="6"/>
  <c r="K43" i="6"/>
  <c r="L43" i="6" s="1"/>
  <c r="M32" i="6"/>
  <c r="N32" i="6" s="1"/>
  <c r="M43" i="6"/>
  <c r="N43" i="6" s="1"/>
  <c r="G107" i="6"/>
  <c r="H107" i="6"/>
  <c r="J117" i="1"/>
  <c r="U117" i="8" s="1"/>
  <c r="K117" i="1"/>
  <c r="L117" i="1" s="1"/>
  <c r="AA117" i="8" s="1"/>
  <c r="AD117" i="8" s="1"/>
  <c r="I106" i="1"/>
  <c r="J106" i="1" s="1"/>
  <c r="U106" i="8" s="1"/>
  <c r="K5" i="6"/>
  <c r="K124" i="3"/>
  <c r="M35" i="1"/>
  <c r="O34" i="6"/>
  <c r="K35" i="1"/>
  <c r="I47" i="1"/>
  <c r="O42" i="6"/>
  <c r="O38" i="6"/>
  <c r="K47" i="1"/>
  <c r="O33" i="6"/>
  <c r="N47" i="1"/>
  <c r="O36" i="6"/>
  <c r="K106" i="1"/>
  <c r="L106" i="1" s="1"/>
  <c r="AA106" i="8" s="1"/>
  <c r="AD106" i="8" s="1"/>
  <c r="AG47" i="8" l="1"/>
  <c r="AD47" i="8" s="1"/>
  <c r="M5" i="6"/>
  <c r="L48" i="1"/>
  <c r="AA5" i="8"/>
  <c r="AD40" i="8"/>
  <c r="AD35" i="8"/>
  <c r="X35" i="8"/>
  <c r="H117" i="8"/>
  <c r="AY117" i="8" s="1"/>
  <c r="X117" i="8"/>
  <c r="R117" i="8"/>
  <c r="H106" i="8"/>
  <c r="AY106" i="8" s="1"/>
  <c r="R106" i="8"/>
  <c r="X106" i="8"/>
  <c r="I107" i="6"/>
  <c r="J107" i="6" s="1"/>
  <c r="N5" i="1"/>
  <c r="O43" i="6"/>
  <c r="P43" i="6" s="1"/>
  <c r="K107" i="6"/>
  <c r="L107" i="6"/>
  <c r="N107" i="6"/>
  <c r="M107" i="6"/>
  <c r="M44" i="6"/>
  <c r="M47" i="1"/>
  <c r="N48" i="1" l="1"/>
  <c r="AG5" i="8"/>
  <c r="AG48" i="8" s="1"/>
  <c r="AD5" i="8"/>
  <c r="AA48" i="8"/>
  <c r="AD48" i="8" s="1"/>
  <c r="X5" i="8"/>
  <c r="N44" i="6"/>
  <c r="O5" i="6"/>
  <c r="O44" i="6" s="1"/>
  <c r="D48" i="1"/>
  <c r="A48" i="1" s="1"/>
  <c r="D123" i="1"/>
  <c r="G107" i="1"/>
  <c r="AB107" i="1" s="1"/>
  <c r="X48" i="8" l="1"/>
  <c r="L107" i="8"/>
  <c r="K107" i="1"/>
  <c r="P44" i="6"/>
  <c r="D124" i="1"/>
  <c r="A124" i="1" s="1"/>
  <c r="K48" i="1"/>
  <c r="I107" i="1"/>
  <c r="H107" i="8" l="1"/>
  <c r="AY107" i="8" s="1"/>
  <c r="H79" i="1"/>
  <c r="O79" i="8" s="1"/>
  <c r="H76" i="1"/>
  <c r="O76" i="8" s="1"/>
  <c r="H77" i="1"/>
  <c r="O77" i="8" s="1"/>
  <c r="H78" i="1"/>
  <c r="O78" i="8" s="1"/>
  <c r="H75" i="1"/>
  <c r="O75" i="8" s="1"/>
  <c r="H74" i="1"/>
  <c r="O74" i="8" s="1"/>
  <c r="I74" i="6" l="1"/>
  <c r="J74" i="6" s="1"/>
  <c r="I73" i="6"/>
  <c r="J73" i="6" s="1"/>
  <c r="I72" i="6"/>
  <c r="J72" i="6" s="1"/>
  <c r="I75" i="6"/>
  <c r="J75" i="6" s="1"/>
  <c r="I71" i="6"/>
  <c r="J71" i="6" s="1"/>
  <c r="H84" i="1"/>
  <c r="I70" i="6"/>
  <c r="N49" i="1"/>
  <c r="AG49" i="8" s="1"/>
  <c r="N50" i="1"/>
  <c r="AG50" i="8" s="1"/>
  <c r="AD50" i="8" s="1"/>
  <c r="N51" i="1"/>
  <c r="AG51" i="8" s="1"/>
  <c r="AD51" i="8" s="1"/>
  <c r="N52" i="1"/>
  <c r="AG52" i="8" s="1"/>
  <c r="AD52" i="8" s="1"/>
  <c r="N53" i="1"/>
  <c r="AG53" i="8" s="1"/>
  <c r="AD53" i="8" s="1"/>
  <c r="N56" i="1"/>
  <c r="AG56" i="8" s="1"/>
  <c r="AD56" i="8" s="1"/>
  <c r="N78" i="1"/>
  <c r="AG78" i="8" s="1"/>
  <c r="N88" i="1"/>
  <c r="AG88" i="8" s="1"/>
  <c r="N89" i="1"/>
  <c r="AG89" i="8" s="1"/>
  <c r="AD89" i="8" s="1"/>
  <c r="N90" i="1"/>
  <c r="AG90" i="8" s="1"/>
  <c r="AD90" i="8" s="1"/>
  <c r="L67" i="1"/>
  <c r="AA67" i="8" s="1"/>
  <c r="L66" i="1"/>
  <c r="AA66" i="8" s="1"/>
  <c r="L68" i="1"/>
  <c r="AA68" i="8" s="1"/>
  <c r="L69" i="1"/>
  <c r="L72" i="1"/>
  <c r="AA72" i="8" s="1"/>
  <c r="L74" i="1"/>
  <c r="AA74" i="8" s="1"/>
  <c r="L75" i="1"/>
  <c r="AA75" i="8" s="1"/>
  <c r="L76" i="1"/>
  <c r="AA76" i="8" s="1"/>
  <c r="L77" i="1"/>
  <c r="AA77" i="8" s="1"/>
  <c r="L78" i="1"/>
  <c r="AA78" i="8" s="1"/>
  <c r="L79" i="1"/>
  <c r="AA79" i="8" s="1"/>
  <c r="L98" i="1"/>
  <c r="L107" i="1"/>
  <c r="AA107" i="8" s="1"/>
  <c r="J67" i="1"/>
  <c r="U67" i="8" s="1"/>
  <c r="R67" i="8" s="1"/>
  <c r="J66" i="1"/>
  <c r="U66" i="8" s="1"/>
  <c r="R66" i="8" s="1"/>
  <c r="J68" i="1"/>
  <c r="U68" i="8" s="1"/>
  <c r="R68" i="8" s="1"/>
  <c r="J69" i="1"/>
  <c r="U69" i="8" s="1"/>
  <c r="R69" i="8" s="1"/>
  <c r="J72" i="1"/>
  <c r="U72" i="8" s="1"/>
  <c r="R72" i="8" s="1"/>
  <c r="J74" i="1"/>
  <c r="U74" i="8" s="1"/>
  <c r="R74" i="8" s="1"/>
  <c r="J75" i="1"/>
  <c r="U75" i="8" s="1"/>
  <c r="R75" i="8" s="1"/>
  <c r="J76" i="1"/>
  <c r="U76" i="8" s="1"/>
  <c r="R76" i="8" s="1"/>
  <c r="J77" i="1"/>
  <c r="U77" i="8" s="1"/>
  <c r="R77" i="8" s="1"/>
  <c r="J78" i="1"/>
  <c r="U78" i="8" s="1"/>
  <c r="R78" i="8" s="1"/>
  <c r="J79" i="1"/>
  <c r="U79" i="8" s="1"/>
  <c r="R79" i="8" s="1"/>
  <c r="J88" i="1"/>
  <c r="U88" i="8" s="1"/>
  <c r="R88" i="8" s="1"/>
  <c r="J89" i="1"/>
  <c r="U89" i="8" s="1"/>
  <c r="R89" i="8" s="1"/>
  <c r="J90" i="1"/>
  <c r="U90" i="8" s="1"/>
  <c r="R90" i="8" s="1"/>
  <c r="J98" i="1"/>
  <c r="U98" i="8" s="1"/>
  <c r="R98" i="8" s="1"/>
  <c r="J107" i="1"/>
  <c r="U107" i="8" s="1"/>
  <c r="R107" i="8" s="1"/>
  <c r="X75" i="8" l="1"/>
  <c r="L103" i="1"/>
  <c r="K103" i="1" s="1"/>
  <c r="AA98" i="8"/>
  <c r="N69" i="1"/>
  <c r="AG69" i="8" s="1"/>
  <c r="AA69" i="8"/>
  <c r="AA73" i="8" s="1"/>
  <c r="AD49" i="8"/>
  <c r="AG57" i="8"/>
  <c r="X74" i="8"/>
  <c r="AA84" i="8"/>
  <c r="AD107" i="8"/>
  <c r="X107" i="8"/>
  <c r="AD78" i="8"/>
  <c r="X78" i="8"/>
  <c r="X66" i="8"/>
  <c r="X79" i="8"/>
  <c r="X68" i="8"/>
  <c r="X77" i="8"/>
  <c r="X67" i="8"/>
  <c r="AG97" i="8"/>
  <c r="AD88" i="8"/>
  <c r="X72" i="8"/>
  <c r="X76" i="8"/>
  <c r="O84" i="8"/>
  <c r="L85" i="6"/>
  <c r="U73" i="8"/>
  <c r="J103" i="1"/>
  <c r="I103" i="1" s="1"/>
  <c r="L86" i="6"/>
  <c r="U84" i="8"/>
  <c r="R84" i="8" s="1"/>
  <c r="M103" i="1"/>
  <c r="L84" i="6"/>
  <c r="J97" i="1"/>
  <c r="I97" i="1" s="1"/>
  <c r="N97" i="1"/>
  <c r="J70" i="6"/>
  <c r="I80" i="6"/>
  <c r="J80" i="6" s="1"/>
  <c r="M74" i="6"/>
  <c r="N74" i="6"/>
  <c r="K74" i="6"/>
  <c r="L74" i="6"/>
  <c r="M68" i="6"/>
  <c r="N68" i="6"/>
  <c r="L57" i="1"/>
  <c r="K68" i="6"/>
  <c r="L68" i="6"/>
  <c r="K72" i="6"/>
  <c r="L72" i="6"/>
  <c r="J73" i="1"/>
  <c r="K63" i="6"/>
  <c r="L63" i="6"/>
  <c r="M94" i="6"/>
  <c r="M99" i="6" s="1"/>
  <c r="N99" i="6" s="1"/>
  <c r="N94" i="6"/>
  <c r="N71" i="6"/>
  <c r="M71" i="6"/>
  <c r="O74" i="6"/>
  <c r="P74" i="6"/>
  <c r="K71" i="6"/>
  <c r="L71" i="6"/>
  <c r="M86" i="6"/>
  <c r="N86" i="6"/>
  <c r="L70" i="6"/>
  <c r="K70" i="6"/>
  <c r="J84" i="1"/>
  <c r="O86" i="6"/>
  <c r="P86" i="6"/>
  <c r="K94" i="6"/>
  <c r="K99" i="6" s="1"/>
  <c r="L99" i="6" s="1"/>
  <c r="L94" i="6"/>
  <c r="M70" i="6"/>
  <c r="N70" i="6"/>
  <c r="L84" i="1"/>
  <c r="K86" i="6"/>
  <c r="N85" i="6"/>
  <c r="M85" i="6"/>
  <c r="M75" i="6"/>
  <c r="N75" i="6"/>
  <c r="N65" i="6"/>
  <c r="M65" i="6"/>
  <c r="J57" i="1"/>
  <c r="O85" i="6"/>
  <c r="P85" i="6"/>
  <c r="K85" i="6"/>
  <c r="M84" i="6"/>
  <c r="N84" i="6"/>
  <c r="K84" i="6"/>
  <c r="O94" i="6"/>
  <c r="O99" i="6" s="1"/>
  <c r="P99" i="6" s="1"/>
  <c r="P94" i="6"/>
  <c r="K75" i="6"/>
  <c r="L75" i="6"/>
  <c r="K65" i="6"/>
  <c r="L65" i="6"/>
  <c r="M64" i="6"/>
  <c r="N64" i="6"/>
  <c r="K64" i="6"/>
  <c r="L64" i="6"/>
  <c r="M73" i="6"/>
  <c r="N73" i="6"/>
  <c r="M62" i="6"/>
  <c r="N62" i="6"/>
  <c r="K73" i="6"/>
  <c r="L73" i="6"/>
  <c r="L62" i="6"/>
  <c r="K62" i="6"/>
  <c r="N72" i="6"/>
  <c r="M72" i="6"/>
  <c r="M63" i="6"/>
  <c r="L73" i="1"/>
  <c r="N63" i="6"/>
  <c r="P84" i="6"/>
  <c r="O84" i="6"/>
  <c r="N57" i="1"/>
  <c r="L49" i="6"/>
  <c r="K49" i="6"/>
  <c r="N75" i="1"/>
  <c r="AG75" i="8" s="1"/>
  <c r="AD75" i="8" s="1"/>
  <c r="N52" i="6"/>
  <c r="M52" i="6"/>
  <c r="L52" i="6"/>
  <c r="K52" i="6"/>
  <c r="N74" i="1"/>
  <c r="AG74" i="8" s="1"/>
  <c r="AD74" i="8" s="1"/>
  <c r="N48" i="6"/>
  <c r="M48" i="6"/>
  <c r="P52" i="6"/>
  <c r="O52" i="6"/>
  <c r="L48" i="6"/>
  <c r="K48" i="6"/>
  <c r="N72" i="1"/>
  <c r="AG72" i="8" s="1"/>
  <c r="AD72" i="8" s="1"/>
  <c r="N47" i="6"/>
  <c r="M47" i="6"/>
  <c r="P49" i="6"/>
  <c r="O49" i="6"/>
  <c r="L47" i="6"/>
  <c r="K47" i="6"/>
  <c r="N79" i="1"/>
  <c r="AG79" i="8" s="1"/>
  <c r="AD79" i="8" s="1"/>
  <c r="O48" i="6"/>
  <c r="P48" i="6"/>
  <c r="N68" i="1"/>
  <c r="AG68" i="8" s="1"/>
  <c r="AD68" i="8" s="1"/>
  <c r="O47" i="6"/>
  <c r="P47" i="6"/>
  <c r="N77" i="1"/>
  <c r="AG77" i="8" s="1"/>
  <c r="AD77" i="8" s="1"/>
  <c r="N66" i="1"/>
  <c r="AG66" i="8" s="1"/>
  <c r="N49" i="6"/>
  <c r="M49" i="6"/>
  <c r="N76" i="1"/>
  <c r="AG76" i="8" s="1"/>
  <c r="AD76" i="8" s="1"/>
  <c r="N67" i="1"/>
  <c r="AG67" i="8" s="1"/>
  <c r="AD67" i="8" s="1"/>
  <c r="G108" i="1"/>
  <c r="AB108" i="1" s="1"/>
  <c r="G105" i="1"/>
  <c r="AB105" i="1" s="1"/>
  <c r="G121" i="1"/>
  <c r="AB121" i="1" s="1"/>
  <c r="G118" i="1"/>
  <c r="AB118" i="1" s="1"/>
  <c r="H107" i="1"/>
  <c r="O107" i="8" s="1"/>
  <c r="G104" i="1"/>
  <c r="P65" i="6" l="1"/>
  <c r="AB104" i="1"/>
  <c r="G127" i="1"/>
  <c r="O65" i="6"/>
  <c r="AG73" i="8"/>
  <c r="X73" i="8"/>
  <c r="L121" i="8"/>
  <c r="L105" i="8"/>
  <c r="K57" i="1"/>
  <c r="AA103" i="8"/>
  <c r="AD98" i="8"/>
  <c r="X98" i="8"/>
  <c r="L108" i="8"/>
  <c r="X84" i="8"/>
  <c r="AG84" i="8"/>
  <c r="AD84" i="8" s="1"/>
  <c r="AD66" i="8"/>
  <c r="L118" i="8"/>
  <c r="AD69" i="8"/>
  <c r="X69" i="8"/>
  <c r="L104" i="8"/>
  <c r="M97" i="1"/>
  <c r="AD97" i="8"/>
  <c r="R73" i="8"/>
  <c r="AD57" i="8"/>
  <c r="M93" i="6"/>
  <c r="N93" i="6" s="1"/>
  <c r="G116" i="6"/>
  <c r="U97" i="8"/>
  <c r="R97" i="8" s="1"/>
  <c r="K121" i="1"/>
  <c r="L121" i="1" s="1"/>
  <c r="AA121" i="8" s="1"/>
  <c r="AD121" i="8" s="1"/>
  <c r="H105" i="1"/>
  <c r="O105" i="8" s="1"/>
  <c r="I108" i="1"/>
  <c r="J108" i="1" s="1"/>
  <c r="U108" i="8" s="1"/>
  <c r="U103" i="8"/>
  <c r="R103" i="8" s="1"/>
  <c r="M69" i="6"/>
  <c r="N69" i="6" s="1"/>
  <c r="O53" i="6"/>
  <c r="M53" i="6"/>
  <c r="N53" i="6" s="1"/>
  <c r="K69" i="6"/>
  <c r="L69" i="6" s="1"/>
  <c r="K80" i="6"/>
  <c r="L80" i="6" s="1"/>
  <c r="O93" i="6"/>
  <c r="P93" i="6" s="1"/>
  <c r="K93" i="6"/>
  <c r="L93" i="6" s="1"/>
  <c r="M80" i="6"/>
  <c r="N80" i="6" s="1"/>
  <c r="K53" i="6"/>
  <c r="L53" i="6" s="1"/>
  <c r="G122" i="1"/>
  <c r="K118" i="1"/>
  <c r="L118" i="1" s="1"/>
  <c r="H108" i="6"/>
  <c r="G108" i="6"/>
  <c r="G112" i="6" s="1"/>
  <c r="H112" i="6" s="1"/>
  <c r="O68" i="6"/>
  <c r="P68" i="6"/>
  <c r="O72" i="6"/>
  <c r="P72" i="6"/>
  <c r="P75" i="6"/>
  <c r="O75" i="6"/>
  <c r="O73" i="6"/>
  <c r="P73" i="6"/>
  <c r="P62" i="6"/>
  <c r="O62" i="6"/>
  <c r="P64" i="6"/>
  <c r="O64" i="6"/>
  <c r="O63" i="6"/>
  <c r="P63" i="6"/>
  <c r="N73" i="1"/>
  <c r="P71" i="6"/>
  <c r="O71" i="6"/>
  <c r="N84" i="1"/>
  <c r="M84" i="1" s="1"/>
  <c r="O70" i="6"/>
  <c r="P70" i="6"/>
  <c r="M57" i="1"/>
  <c r="I57" i="1"/>
  <c r="I84" i="1"/>
  <c r="I73" i="1"/>
  <c r="K73" i="1"/>
  <c r="K84" i="1"/>
  <c r="K104" i="1"/>
  <c r="L104" i="1" s="1"/>
  <c r="AA104" i="8" s="1"/>
  <c r="H118" i="1"/>
  <c r="O118" i="8" s="1"/>
  <c r="K108" i="1"/>
  <c r="L108" i="1" s="1"/>
  <c r="AA108" i="8" s="1"/>
  <c r="AD108" i="8" s="1"/>
  <c r="H108" i="1"/>
  <c r="O108" i="8" s="1"/>
  <c r="H121" i="1"/>
  <c r="O121" i="8" s="1"/>
  <c r="I121" i="1"/>
  <c r="J121" i="1" s="1"/>
  <c r="U121" i="8" s="1"/>
  <c r="I105" i="1"/>
  <c r="J105" i="1" s="1"/>
  <c r="U105" i="8" s="1"/>
  <c r="K105" i="1"/>
  <c r="L105" i="1" s="1"/>
  <c r="AA105" i="8" s="1"/>
  <c r="AD105" i="8" s="1"/>
  <c r="J118" i="1"/>
  <c r="U118" i="8" s="1"/>
  <c r="I104" i="1"/>
  <c r="J104" i="1" s="1"/>
  <c r="U104" i="8" s="1"/>
  <c r="H104" i="1"/>
  <c r="O104" i="8" s="1"/>
  <c r="F127" i="1" l="1"/>
  <c r="F128" i="1"/>
  <c r="F129" i="1"/>
  <c r="AD73" i="8"/>
  <c r="G123" i="1"/>
  <c r="H104" i="8"/>
  <c r="AY104" i="8" s="1"/>
  <c r="R104" i="8"/>
  <c r="X104" i="8"/>
  <c r="H105" i="8"/>
  <c r="AY105" i="8" s="1"/>
  <c r="R105" i="8"/>
  <c r="X105" i="8"/>
  <c r="AD104" i="8"/>
  <c r="H108" i="8"/>
  <c r="AY108" i="8" s="1"/>
  <c r="R108" i="8"/>
  <c r="X108" i="8"/>
  <c r="H121" i="8"/>
  <c r="AY121" i="8" s="1"/>
  <c r="X121" i="8"/>
  <c r="R121" i="8"/>
  <c r="N108" i="6"/>
  <c r="AA118" i="8"/>
  <c r="AD118" i="8" s="1"/>
  <c r="H118" i="8"/>
  <c r="AY118" i="8" s="1"/>
  <c r="R118" i="8"/>
  <c r="E123" i="1"/>
  <c r="A123" i="1" s="1"/>
  <c r="N123" i="1"/>
  <c r="P113" i="6" s="1"/>
  <c r="AD103" i="8"/>
  <c r="X103" i="8"/>
  <c r="AG123" i="8"/>
  <c r="AG124" i="8" s="1"/>
  <c r="I108" i="6"/>
  <c r="J108" i="6" s="1"/>
  <c r="O122" i="8"/>
  <c r="O123" i="8" s="1"/>
  <c r="O124" i="8" s="1"/>
  <c r="L122" i="8"/>
  <c r="U122" i="8"/>
  <c r="U123" i="8" s="1"/>
  <c r="P53" i="6"/>
  <c r="O80" i="6"/>
  <c r="P80" i="6" s="1"/>
  <c r="O69" i="6"/>
  <c r="P69" i="6" s="1"/>
  <c r="M108" i="6"/>
  <c r="M112" i="6" s="1"/>
  <c r="N112" i="6" s="1"/>
  <c r="H122" i="1"/>
  <c r="H123" i="1" s="1"/>
  <c r="G113" i="6"/>
  <c r="K108" i="6"/>
  <c r="K112" i="6" s="1"/>
  <c r="L112" i="6" s="1"/>
  <c r="L108" i="6"/>
  <c r="L122" i="1"/>
  <c r="L123" i="1" s="1"/>
  <c r="M73" i="1"/>
  <c r="J122" i="1"/>
  <c r="J123" i="1" s="1"/>
  <c r="N124" i="1"/>
  <c r="P114" i="6" s="1"/>
  <c r="M48" i="1"/>
  <c r="I5" i="3"/>
  <c r="L5" i="6" s="1"/>
  <c r="J124" i="3"/>
  <c r="I124" i="3" s="1"/>
  <c r="F130" i="1" l="1"/>
  <c r="AA122" i="8"/>
  <c r="X118" i="8"/>
  <c r="H122" i="8"/>
  <c r="H123" i="8"/>
  <c r="X122" i="8"/>
  <c r="L123" i="8"/>
  <c r="L124" i="8" s="1"/>
  <c r="R122" i="8"/>
  <c r="I112" i="6"/>
  <c r="J112" i="6" s="1"/>
  <c r="G114" i="6"/>
  <c r="H113" i="6"/>
  <c r="O113" i="6"/>
  <c r="O114" i="6" s="1"/>
  <c r="M123" i="1"/>
  <c r="G124" i="1"/>
  <c r="H124" i="1"/>
  <c r="M124" i="1"/>
  <c r="K122" i="1"/>
  <c r="M113" i="6"/>
  <c r="K123" i="1"/>
  <c r="M122" i="1"/>
  <c r="K113" i="6"/>
  <c r="I122" i="1"/>
  <c r="F113" i="6"/>
  <c r="M49" i="3"/>
  <c r="J29" i="1"/>
  <c r="U29" i="8" s="1"/>
  <c r="R29" i="8" s="1"/>
  <c r="H124" i="8" l="1"/>
  <c r="AY124" i="8" s="1"/>
  <c r="AY123" i="8"/>
  <c r="H127" i="8"/>
  <c r="H128" i="8"/>
  <c r="H129" i="8"/>
  <c r="AD122" i="8"/>
  <c r="AA123" i="8"/>
  <c r="R123" i="8"/>
  <c r="U35" i="8"/>
  <c r="L113" i="6"/>
  <c r="H114" i="6"/>
  <c r="M114" i="6"/>
  <c r="N113" i="6"/>
  <c r="L124" i="1"/>
  <c r="I123" i="1"/>
  <c r="K26" i="6"/>
  <c r="K32" i="6" s="1"/>
  <c r="L32" i="6" s="1"/>
  <c r="J35" i="1"/>
  <c r="J48" i="1" s="1"/>
  <c r="AA124" i="8" l="1"/>
  <c r="AD123" i="8"/>
  <c r="H130" i="8"/>
  <c r="X123" i="8"/>
  <c r="R35" i="8"/>
  <c r="U48" i="8"/>
  <c r="U124" i="8" s="1"/>
  <c r="N114" i="6"/>
  <c r="K124" i="1"/>
  <c r="I35" i="1"/>
  <c r="K44" i="6"/>
  <c r="R48" i="8" l="1"/>
  <c r="AD124" i="8"/>
  <c r="X124" i="8"/>
  <c r="R124" i="8"/>
  <c r="K114" i="6"/>
  <c r="L44" i="6"/>
  <c r="J124" i="1"/>
  <c r="I48" i="1"/>
  <c r="F44" i="6"/>
  <c r="L114" i="6" l="1"/>
  <c r="I124" i="1"/>
  <c r="F117" i="6"/>
  <c r="F114" i="6"/>
  <c r="F119" i="6"/>
  <c r="F118" i="6"/>
  <c r="I113" i="6"/>
  <c r="J113" i="6" s="1"/>
  <c r="I114" i="6" l="1"/>
  <c r="J114" i="6" s="1"/>
  <c r="AB46" i="9" l="1"/>
  <c r="Q46" i="8"/>
  <c r="Q45" i="8"/>
  <c r="Q42" i="8"/>
  <c r="Q41" i="8"/>
  <c r="Q40" i="8"/>
  <c r="Q39" i="8"/>
  <c r="Q38" i="8"/>
  <c r="Q37" i="8"/>
  <c r="AB43" i="9"/>
  <c r="AB38" i="9"/>
  <c r="H47" i="9" l="1"/>
  <c r="H48" i="9" s="1"/>
  <c r="H124" i="9" s="1"/>
  <c r="Q36" i="8"/>
  <c r="Q47" i="8" s="1"/>
  <c r="Q48" i="8" s="1"/>
  <c r="Q124" i="8" s="1"/>
  <c r="AB40" i="9"/>
  <c r="N40" i="8"/>
  <c r="AB41" i="9"/>
  <c r="I44" i="9"/>
  <c r="AB44" i="9"/>
  <c r="AI41" i="8"/>
  <c r="M41" i="9"/>
  <c r="K41" i="9"/>
  <c r="AC41" i="8"/>
  <c r="AB39" i="9"/>
  <c r="N39" i="8"/>
  <c r="I43" i="9"/>
  <c r="AF41" i="8" l="1"/>
  <c r="AC45" i="8"/>
  <c r="K45" i="9"/>
  <c r="AB36" i="9"/>
  <c r="N36" i="8"/>
  <c r="G47" i="9"/>
  <c r="J40" i="8"/>
  <c r="BA40" i="8" s="1"/>
  <c r="AI44" i="8"/>
  <c r="M44" i="9"/>
  <c r="I41" i="9"/>
  <c r="W41" i="8"/>
  <c r="AB42" i="9"/>
  <c r="N42" i="8"/>
  <c r="AB37" i="9"/>
  <c r="N37" i="8"/>
  <c r="K44" i="9"/>
  <c r="AC44" i="8"/>
  <c r="I38" i="9"/>
  <c r="W38" i="8"/>
  <c r="J39" i="8"/>
  <c r="BA39" i="8" s="1"/>
  <c r="N45" i="8"/>
  <c r="AB45" i="9"/>
  <c r="AF44" i="8" l="1"/>
  <c r="M38" i="9"/>
  <c r="AI38" i="8"/>
  <c r="AC43" i="8"/>
  <c r="K43" i="9"/>
  <c r="AB47" i="9"/>
  <c r="G48" i="9"/>
  <c r="Z45" i="8"/>
  <c r="J45" i="8"/>
  <c r="BA45" i="8" s="1"/>
  <c r="J37" i="8"/>
  <c r="BA37" i="8" s="1"/>
  <c r="J42" i="8"/>
  <c r="BA42" i="8" s="1"/>
  <c r="AI45" i="8"/>
  <c r="AF45" i="8" s="1"/>
  <c r="M45" i="9"/>
  <c r="K38" i="9"/>
  <c r="AC38" i="8"/>
  <c r="J36" i="8"/>
  <c r="N47" i="8"/>
  <c r="M43" i="9"/>
  <c r="AI43" i="8"/>
  <c r="AF38" i="8" l="1"/>
  <c r="AF43" i="8"/>
  <c r="N48" i="8"/>
  <c r="AB48" i="9"/>
  <c r="F128" i="9" s="1"/>
  <c r="G124" i="9"/>
  <c r="BA36" i="8"/>
  <c r="J48" i="8"/>
  <c r="N124" i="8" l="1"/>
  <c r="F127" i="9"/>
  <c r="BA48" i="8"/>
  <c r="J127" i="8" s="1"/>
  <c r="J124" i="8"/>
  <c r="BA124" i="8" s="1"/>
  <c r="J129" i="8"/>
  <c r="J128" i="8"/>
  <c r="F129" i="9"/>
  <c r="F130" i="9" l="1"/>
  <c r="J130" i="8"/>
  <c r="I42" i="9" l="1"/>
  <c r="W42" i="8"/>
  <c r="T42" i="8" s="1"/>
  <c r="AC42" i="8" l="1"/>
  <c r="K42" i="9"/>
  <c r="AI42" i="8"/>
  <c r="M42" i="9"/>
  <c r="I45" i="9"/>
  <c r="W45" i="8"/>
  <c r="T45" i="8" s="1"/>
  <c r="AF42" i="8" l="1"/>
  <c r="Z42" i="8"/>
  <c r="I40" i="9" l="1"/>
  <c r="W40" i="8"/>
  <c r="T40" i="8" s="1"/>
  <c r="AI40" i="8"/>
  <c r="M40" i="9" l="1"/>
  <c r="K40" i="9"/>
  <c r="AC40" i="8"/>
  <c r="AF40" i="8" l="1"/>
  <c r="Z40" i="8"/>
  <c r="I39" i="9"/>
  <c r="W39" i="8"/>
  <c r="T39" i="8" s="1"/>
  <c r="AI39" i="8" l="1"/>
  <c r="M39" i="9"/>
  <c r="I46" i="9"/>
  <c r="W46" i="8"/>
  <c r="K39" i="9"/>
  <c r="AC39" i="8"/>
  <c r="K36" i="9" l="1"/>
  <c r="AC36" i="8"/>
  <c r="M46" i="9"/>
  <c r="AI46" i="8"/>
  <c r="I36" i="9"/>
  <c r="W36" i="8"/>
  <c r="AF39" i="8"/>
  <c r="Z39" i="8"/>
  <c r="K46" i="9"/>
  <c r="AC46" i="8"/>
  <c r="AF46" i="8" l="1"/>
  <c r="T36" i="8"/>
  <c r="Z36" i="8"/>
  <c r="AI36" i="8"/>
  <c r="AF36" i="8" s="1"/>
  <c r="M36" i="9"/>
  <c r="I37" i="9" l="1"/>
  <c r="W37" i="8"/>
  <c r="J47" i="9"/>
  <c r="K37" i="9"/>
  <c r="AC37" i="8"/>
  <c r="L47" i="9"/>
  <c r="AI37" i="8" l="1"/>
  <c r="AI47" i="8" s="1"/>
  <c r="AI48" i="8" s="1"/>
  <c r="AI124" i="8" s="1"/>
  <c r="M37" i="9"/>
  <c r="N47" i="9"/>
  <c r="K47" i="9"/>
  <c r="L48" i="9"/>
  <c r="I47" i="9"/>
  <c r="J48" i="9"/>
  <c r="T37" i="8"/>
  <c r="W47" i="8"/>
  <c r="AF37" i="8"/>
  <c r="Z37" i="8"/>
  <c r="AC47" i="8"/>
  <c r="I48" i="9" l="1"/>
  <c r="J124" i="9"/>
  <c r="I124" i="9" s="1"/>
  <c r="M47" i="9"/>
  <c r="N48" i="9"/>
  <c r="K48" i="9"/>
  <c r="L124" i="9"/>
  <c r="K124" i="9" s="1"/>
  <c r="AC48" i="8"/>
  <c r="AF47" i="8"/>
  <c r="Z47" i="8"/>
  <c r="W48" i="8"/>
  <c r="T47" i="8"/>
  <c r="AC124" i="8" l="1"/>
  <c r="AF48" i="8"/>
  <c r="Z48" i="8"/>
  <c r="M48" i="9"/>
  <c r="N124" i="9"/>
  <c r="M124" i="9" s="1"/>
  <c r="W124" i="8"/>
  <c r="T124" i="8" s="1"/>
  <c r="T48" i="8"/>
  <c r="Z124" i="8" l="1"/>
  <c r="AF124" i="8"/>
</calcChain>
</file>

<file path=xl/sharedStrings.xml><?xml version="1.0" encoding="utf-8"?>
<sst xmlns="http://schemas.openxmlformats.org/spreadsheetml/2006/main" count="2836" uniqueCount="214">
  <si>
    <t>AERE</t>
  </si>
  <si>
    <t>Salève Vivant</t>
  </si>
  <si>
    <t>APICY</t>
  </si>
  <si>
    <t>ProVélo GE</t>
  </si>
  <si>
    <t>EVAV</t>
  </si>
  <si>
    <t>AMANCY_Giratoire Coriandre</t>
  </si>
  <si>
    <t>PERS-JUSSY_Giratoire Casino</t>
  </si>
  <si>
    <t>REIGNIER_Giratoire église</t>
  </si>
  <si>
    <t>REIGNIER_Giratoire La Forge</t>
  </si>
  <si>
    <t>ARTHAZ_Giratoire lavage auto</t>
  </si>
  <si>
    <t>ETREMBIERES_Giratoire ex PN93</t>
  </si>
  <si>
    <t>ETREMBIERES_Carrefour sous Château</t>
  </si>
  <si>
    <t>SCIENTRIER_Carrefour Tour de Bellecombe</t>
  </si>
  <si>
    <t>LA ROCHE_Carrefour Biocoop</t>
  </si>
  <si>
    <t>LA ROCHE_Giratoire La Poste</t>
  </si>
  <si>
    <t>LA ROCHE_Giratoire ENILV</t>
  </si>
  <si>
    <t>ARENTHON_La Papeterie</t>
  </si>
  <si>
    <t>ST-PIERRE_Franchissement Borne-Dessy</t>
  </si>
  <si>
    <t>BONNEVILLE_Franchissement Borne-Tucinge</t>
  </si>
  <si>
    <t>ST-PIERRE_Pont principal sur le Borne</t>
  </si>
  <si>
    <t>NatEnv &amp; Fabrique à Biclou</t>
  </si>
  <si>
    <t>-</t>
  </si>
  <si>
    <t>GAILLARD_Douane de Moïllesullaz</t>
  </si>
  <si>
    <t>ANNEMASSE_Clos Fleury</t>
  </si>
  <si>
    <t>GAILLARD_Douane de Fossard</t>
  </si>
  <si>
    <t>AMBILLY_Voie verte Pont Noir</t>
  </si>
  <si>
    <t>ANNEMASSE_Voie verte Jura</t>
  </si>
  <si>
    <t>ARCHAMPS_Douane de Landecy</t>
  </si>
  <si>
    <t>COLLONGES_Douane de Croix de Rozon</t>
  </si>
  <si>
    <t>BOSSEY_Douane de Pierre-Grand</t>
  </si>
  <si>
    <t>BOSSEY_Douane de Troinex/Bossey</t>
  </si>
  <si>
    <t>VEYRIER_Douane du Pas de l'Echelle</t>
  </si>
  <si>
    <t>ST-JULIEN_Douane de Perly</t>
  </si>
  <si>
    <t>ST-JULIEN_Passage douanier des Crottes</t>
  </si>
  <si>
    <t>VIRY_Douane de Soral 2</t>
  </si>
  <si>
    <t>ST-JULIEN_Douane de Soral 1</t>
  </si>
  <si>
    <t>DIVONNE_Douane de Crassy / Crassier</t>
  </si>
  <si>
    <t>ST-GENIS_Giratoire Porte de France</t>
  </si>
  <si>
    <t>FERNEY_Douane de Mategnin</t>
  </si>
  <si>
    <t>Autres modes</t>
  </si>
  <si>
    <t>Piétons</t>
  </si>
  <si>
    <t>&gt; Suisse</t>
  </si>
  <si>
    <t>&gt; France</t>
  </si>
  <si>
    <t>total</t>
  </si>
  <si>
    <t>HP</t>
  </si>
  <si>
    <t>Groupe St-Julien</t>
  </si>
  <si>
    <t>ST-JULIEN_Douane de Certoux (rte Thérens)</t>
  </si>
  <si>
    <t>ST-JULIEN_Paguette (chemin de l'Aire)</t>
  </si>
  <si>
    <t>GENEVE_Rue du XXXI Décembre</t>
  </si>
  <si>
    <t>GENEVE_Bd Georges Favon</t>
  </si>
  <si>
    <t>GENEVE_Av. Pictet de Rochemont</t>
  </si>
  <si>
    <t>GENEVE_Voie Verte / Av. Frank Thomas</t>
  </si>
  <si>
    <t>GENEVE_Bd des Tranchées</t>
  </si>
  <si>
    <t>Association(s)</t>
  </si>
  <si>
    <t>Nombre de vélos</t>
  </si>
  <si>
    <t>% VAE dans le total</t>
  </si>
  <si>
    <t>% femmes dans le total</t>
  </si>
  <si>
    <t>% de VAE chez les femmes</t>
  </si>
  <si>
    <t>ANNEMASSE_Devant l'agglo</t>
  </si>
  <si>
    <t>France / Suisse / Frontière</t>
  </si>
  <si>
    <t>France</t>
  </si>
  <si>
    <t>Suisse</t>
  </si>
  <si>
    <t>Frontière</t>
  </si>
  <si>
    <t>NB VAE dans le total</t>
  </si>
  <si>
    <t>NB de VAE chez les femmes</t>
  </si>
  <si>
    <t>NB de femmes dans le total</t>
  </si>
  <si>
    <t>TOTAL</t>
  </si>
  <si>
    <t>Localisation des postes de comptage :</t>
  </si>
  <si>
    <t>données partielles</t>
  </si>
  <si>
    <t>Nombre de bénévoles</t>
  </si>
  <si>
    <t>UP Cluses</t>
  </si>
  <si>
    <t>CLUSES_Passerelle de Messy</t>
  </si>
  <si>
    <t>ATE Vaud / ProVélo La Côte</t>
  </si>
  <si>
    <t>GENEVE_Rue Ferdinand Hodler</t>
  </si>
  <si>
    <t>Arrière-pays</t>
  </si>
  <si>
    <t>OUI</t>
  </si>
  <si>
    <t>NON</t>
  </si>
  <si>
    <t>Sous-total périmètre urbain</t>
  </si>
  <si>
    <t>Sous-total périmètre "arrière-pays"</t>
  </si>
  <si>
    <t>Postes de comptage</t>
  </si>
  <si>
    <t>GENEVE_Voie Verte / Av. Bel-Air</t>
  </si>
  <si>
    <t>GENEVE_Arquebuse</t>
  </si>
  <si>
    <t>NatEnv (Nature Environnement en Pays rochois)
Fabrique à Biclou
Pays rochois en Transition</t>
  </si>
  <si>
    <t>AERE (Association Environnement Reignier-Esery)</t>
  </si>
  <si>
    <t>EVAV (En Ville A Vélo)</t>
  </si>
  <si>
    <t>APiCy (Association des Piétons et Cyclistes du Pays de Gex)</t>
  </si>
  <si>
    <t>Université Populaire de Cluses</t>
  </si>
  <si>
    <t>nombre total de cyclistes comptés sur toute la période</t>
  </si>
  <si>
    <t>Colonne</t>
  </si>
  <si>
    <t>D</t>
  </si>
  <si>
    <t>G</t>
  </si>
  <si>
    <t>H</t>
  </si>
  <si>
    <t>nombre de bénévoles par poste de comptage</t>
  </si>
  <si>
    <t>E</t>
  </si>
  <si>
    <t>nom/localisation du poste de comptage</t>
  </si>
  <si>
    <t>F</t>
  </si>
  <si>
    <t>implantation : France / Suisse / Frontière</t>
  </si>
  <si>
    <t>I</t>
  </si>
  <si>
    <t>J</t>
  </si>
  <si>
    <t>K</t>
  </si>
  <si>
    <t>L</t>
  </si>
  <si>
    <t>M</t>
  </si>
  <si>
    <t>N</t>
  </si>
  <si>
    <t>nombre de VAE dans le total (référence à la colonne G)</t>
  </si>
  <si>
    <t>nombre de femmes dans le total (référence à la colonne G)</t>
  </si>
  <si>
    <t>nombre de cyclistes comptés sur l'heure de pointe (7h30 - 8h30) uniquement</t>
  </si>
  <si>
    <t>S</t>
  </si>
  <si>
    <t>T</t>
  </si>
  <si>
    <t>U</t>
  </si>
  <si>
    <t>V</t>
  </si>
  <si>
    <t>FRONTIERE</t>
  </si>
  <si>
    <t xml:space="preserve">Eléments obligatoires pour les postes frontières et carrefours proches frontière               </t>
  </si>
  <si>
    <t>nombre total de cyclistes comptés sur toute la période - Direction Suisse</t>
  </si>
  <si>
    <t>nombre de cyclistes comptés sur l'heure de pointe (7h30 - 8h30) uniquement - Direction Suisse</t>
  </si>
  <si>
    <t>nombre total de cyclistes comptés sur toute la période - Direction France</t>
  </si>
  <si>
    <t>nombre de cyclistes comptés sur l'heure de pointe (7h30 - 8h30) uniquement - Direction France</t>
  </si>
  <si>
    <t>Ce qu'il faut renseigner</t>
  </si>
  <si>
    <t>O</t>
  </si>
  <si>
    <t>P</t>
  </si>
  <si>
    <t>Q</t>
  </si>
  <si>
    <t>R</t>
  </si>
  <si>
    <t>calcul automatique (du nombre de femmes dans le total)</t>
  </si>
  <si>
    <t>calcul automatique (du nombre de VAE dans le total)</t>
  </si>
  <si>
    <t>nombre total de VAE chez les femmes (valeur spécifique à relever)</t>
  </si>
  <si>
    <t>calcul automatique (du nombre total de VAE chez les femmes)</t>
  </si>
  <si>
    <t>DONNEES GENERALES</t>
  </si>
  <si>
    <t>AUTRES DONNEES</t>
  </si>
  <si>
    <t>nombre total de personnes comptées sur toute la période en "autre mode" (trottinette, gyropode…)</t>
  </si>
  <si>
    <t>nombre total de piétons comptés sur toute la période</t>
  </si>
  <si>
    <t>nombre total de piétons comptés en HPM (7h30 - 8h30)</t>
  </si>
  <si>
    <t>nombre total de personnes comptées en HPM (7h30 - 8h30) en "autre mode" (trottinette, gyropode…)</t>
  </si>
  <si>
    <t>Toutes les cellules blanches ne sont pas à renseigner (formule de calcul ou NC)</t>
  </si>
  <si>
    <t>REIGNIER_Giratoire Foron</t>
  </si>
  <si>
    <t>#</t>
  </si>
  <si>
    <t>%</t>
  </si>
  <si>
    <t>Evolution des vélos 2020-2021</t>
  </si>
  <si>
    <t>Evolution des VAE 2020-2021</t>
  </si>
  <si>
    <t>Evolution des femmes  2020-2021</t>
  </si>
  <si>
    <t>Sous-total</t>
  </si>
  <si>
    <t>Evolution des VAE chez les femmes 2020-2021</t>
  </si>
  <si>
    <t>LA ROCHE_Gare Passage à niveau (new2021)</t>
  </si>
  <si>
    <t>LA ROCHE_Gare Passage à niveau (new 2021)</t>
  </si>
  <si>
    <t>en HP</t>
  </si>
  <si>
    <t>THÔNEX_Ch. de la Mousse/Rte de Jussy</t>
  </si>
  <si>
    <t>CHÊNE-BOURG_Ecole de Haller</t>
  </si>
  <si>
    <t>Compté par ProVélo en 2021 (Salève Vivant en 2020)</t>
  </si>
  <si>
    <t>VALLEIRY_La Joux</t>
  </si>
  <si>
    <t>VIRY_Malagny</t>
  </si>
  <si>
    <t>VERSONNEX_Douane de Collex-Bossy</t>
  </si>
  <si>
    <t>SAUVERNY_Douane de Sauverny</t>
  </si>
  <si>
    <t>DIVONNE_Douane de Chavanne</t>
  </si>
  <si>
    <t>APiCy (Association des Piétons et Cyclistes du Pays de Gex)
+ ProVélo La Côte et ATE Vaud</t>
  </si>
  <si>
    <t>GRILLY_Douane du Pont</t>
  </si>
  <si>
    <t>DIVONNE-CRASSIER_Voie verte</t>
  </si>
  <si>
    <t>STJEAN_Douane de Dardagny</t>
  </si>
  <si>
    <t>CHALLEX_Douane de La Plaine</t>
  </si>
  <si>
    <t>POUGNY_Douane de Chancy</t>
  </si>
  <si>
    <t>FERNEY_Douane du GdSaconnex</t>
  </si>
  <si>
    <t>FERNEY_Douane de Vireloup</t>
  </si>
  <si>
    <t>Total</t>
  </si>
  <si>
    <t>VAE dans le total</t>
  </si>
  <si>
    <t>[en %]</t>
  </si>
  <si>
    <t>[en valeur]</t>
  </si>
  <si>
    <t>Eléments à renseigner par chaque association dans l'onglet "2022"</t>
  </si>
  <si>
    <t>Eléments obligatoires &gt;&gt; cellules en vert dans l'onglet "2022"</t>
  </si>
  <si>
    <t>Eléments facultatifs &gt;&gt; cellules en rose dans l'onglet "2022"</t>
  </si>
  <si>
    <t>&gt;&gt; cellules en bleu dans l'onglet "2022"</t>
  </si>
  <si>
    <t>L'Abeille (Contamine)</t>
  </si>
  <si>
    <t>BONNE_Loëx (sous voie rapide)</t>
  </si>
  <si>
    <t>ACMB (Chablais)</t>
  </si>
  <si>
    <t>COMMUNE_Carrefour</t>
  </si>
  <si>
    <t>Le Préau</t>
  </si>
  <si>
    <t>AMDC (Chablais)</t>
  </si>
  <si>
    <t>AMANCY Sous-terrain Vozerier (new 2022)</t>
  </si>
  <si>
    <t>ST-PIERRE M. Bricolage</t>
  </si>
  <si>
    <t>ST-JULIEN_Douane piét. (chemin de Chécande)</t>
  </si>
  <si>
    <t>Compté par Salève Vivant en 2021 sous le nom Charrot</t>
  </si>
  <si>
    <t>ST-JULIEN_Douane piét. (chemin de Lathoy)</t>
  </si>
  <si>
    <t>Y compris comptage France-France carrefour Sous Lathoy</t>
  </si>
  <si>
    <t>COLLONGES_Passage parking du Marché</t>
  </si>
  <si>
    <t>GENEVE_Route de Lausanne</t>
  </si>
  <si>
    <t>GENEVE_Route de Chancy</t>
  </si>
  <si>
    <t>GENEVE_Rue de Lyon</t>
  </si>
  <si>
    <t>GENEVE_Rue de la Servette</t>
  </si>
  <si>
    <t>THONEX/GAILLARD_hameau de Fossard</t>
  </si>
  <si>
    <t>THONEX/GAILLARD_Pont de Souville</t>
  </si>
  <si>
    <t>ALLINGES_Rond point des Fleysets</t>
  </si>
  <si>
    <t>BONS_Gare</t>
  </si>
  <si>
    <t>DOUVAINE_Mairie</t>
  </si>
  <si>
    <t>EVIAN_Gare</t>
  </si>
  <si>
    <t>PERRIGNIER_Gare</t>
  </si>
  <si>
    <t>THONON_Embarcadère CGN</t>
  </si>
  <si>
    <t>THONON_Entrée côté place de Crête</t>
  </si>
  <si>
    <t>THONON_Parvis de la gare</t>
  </si>
  <si>
    <t>THONON_Avenue d’Evian</t>
  </si>
  <si>
    <t>THONON_Carrefour Libération</t>
  </si>
  <si>
    <t>THONON_Collège Champagne</t>
  </si>
  <si>
    <t>THONON_Ecole Jule Ferry</t>
  </si>
  <si>
    <t>THONON_Rond point J. Ferry G Andrier Pl des Arts Bld du Canal</t>
  </si>
  <si>
    <t>THONON/ANTHY_Pont de Marclaz</t>
  </si>
  <si>
    <t>THONON/MARIN_Pont de Dranse</t>
  </si>
  <si>
    <t>VEIGY_Douane</t>
  </si>
  <si>
    <t>REIGNIER_Carrefour Marsinge / Viaison</t>
  </si>
  <si>
    <t>Compté par Salève Vivant en 2020 (sinon ProVélo ou EVAV ?)</t>
  </si>
  <si>
    <t>Femmes dans le total</t>
  </si>
  <si>
    <t>VAE chez les femmes</t>
  </si>
  <si>
    <t>NB de bénévoles</t>
  </si>
  <si>
    <t/>
  </si>
  <si>
    <t>X</t>
  </si>
  <si>
    <t>NB postes</t>
  </si>
  <si>
    <t>Localisation des postes de comptage</t>
  </si>
  <si>
    <t>OK</t>
  </si>
  <si>
    <t>Point de comptage supprimé : 2 vélos l'an dernier…</t>
  </si>
  <si>
    <t>Défection des compteurs, repris les poucentages de l'an dernier par rapport aux autres postes de comptage, pour avoir un résultat cohérent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</si>
</sst>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\ _€_-;\-* #,##0\ _€_-;_-* &quot;-&quot;\ _€_-;_-@_-"/>
    <numFmt numFmtId="165" formatCode="0&quot; postes de comptages&quot;"/>
    <numFmt numFmtId="166" formatCode="0&quot; &quot;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indexed="8"/>
      <name val="Calibri"/>
      <family val="2"/>
      <scheme val="minor"/>
    </font>
    <font>
      <strike/>
      <sz val="1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DFF8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rgb="FFFFCCCC"/>
        <bgColor indexed="64"/>
      </patternFill>
    </fill>
    <fill>
      <patternFill patternType="solid">
        <fgColor theme="0"/>
        <bgColor rgb="FF92D050"/>
      </patternFill>
    </fill>
    <fill>
      <patternFill patternType="solid">
        <fgColor rgb="FF00B0F0"/>
        <bgColor indexed="64"/>
      </patternFill>
    </fill>
  </fills>
  <borders count="232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dotted">
        <color theme="1" tint="0.499984740745262"/>
      </bottom>
      <diagonal/>
    </border>
    <border>
      <left style="thin">
        <color auto="1"/>
      </left>
      <right style="medium">
        <color auto="1"/>
      </right>
      <top style="dotted">
        <color theme="1" tint="0.499984740745262"/>
      </top>
      <bottom style="dotted">
        <color theme="1" tint="0.499984740745262"/>
      </bottom>
      <diagonal/>
    </border>
    <border>
      <left style="thin">
        <color auto="1"/>
      </left>
      <right style="medium">
        <color auto="1"/>
      </right>
      <top style="dotted">
        <color theme="1" tint="0.499984740745262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theme="1" tint="0.499984740745262"/>
      </right>
      <top style="medium">
        <color auto="1"/>
      </top>
      <bottom/>
      <diagonal/>
    </border>
    <border>
      <left style="thin">
        <color auto="1"/>
      </left>
      <right style="dotted">
        <color theme="1" tint="0.499984740745262"/>
      </right>
      <top style="thin">
        <color auto="1"/>
      </top>
      <bottom style="dotted">
        <color theme="1" tint="0.499984740745262"/>
      </bottom>
      <diagonal/>
    </border>
    <border>
      <left style="dotted">
        <color theme="1" tint="0.499984740745262"/>
      </left>
      <right style="medium">
        <color auto="1"/>
      </right>
      <top style="thin">
        <color auto="1"/>
      </top>
      <bottom style="dotted">
        <color theme="1" tint="0.499984740745262"/>
      </bottom>
      <diagonal/>
    </border>
    <border>
      <left style="thin">
        <color auto="1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medium">
        <color auto="1"/>
      </right>
      <top style="dotted">
        <color theme="1" tint="0.499984740745262"/>
      </top>
      <bottom style="dotted">
        <color theme="1" tint="0.499984740745262"/>
      </bottom>
      <diagonal/>
    </border>
    <border>
      <left style="thin">
        <color auto="1"/>
      </left>
      <right style="dotted">
        <color theme="1" tint="0.499984740745262"/>
      </right>
      <top style="dotted">
        <color theme="1" tint="0.499984740745262"/>
      </top>
      <bottom style="thin">
        <color auto="1"/>
      </bottom>
      <diagonal/>
    </border>
    <border>
      <left style="dotted">
        <color theme="1" tint="0.499984740745262"/>
      </left>
      <right style="medium">
        <color auto="1"/>
      </right>
      <top style="dotted">
        <color theme="1" tint="0.499984740745262"/>
      </top>
      <bottom style="thin">
        <color auto="1"/>
      </bottom>
      <diagonal/>
    </border>
    <border>
      <left style="thin">
        <color auto="1"/>
      </left>
      <right style="dotted">
        <color theme="1" tint="0.499984740745262"/>
      </right>
      <top style="thin">
        <color auto="1"/>
      </top>
      <bottom style="thin">
        <color auto="1"/>
      </bottom>
      <diagonal/>
    </border>
    <border>
      <left style="dotted">
        <color theme="1" tint="0.499984740745262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otted">
        <color theme="1" tint="0.499984740745262"/>
      </left>
      <right style="thin">
        <color auto="1"/>
      </right>
      <top style="medium">
        <color auto="1"/>
      </top>
      <bottom/>
      <diagonal/>
    </border>
    <border>
      <left style="dotted">
        <color theme="1" tint="0.499984740745262"/>
      </left>
      <right style="thin">
        <color auto="1"/>
      </right>
      <top style="thin">
        <color auto="1"/>
      </top>
      <bottom style="dotted">
        <color theme="1" tint="0.499984740745262"/>
      </bottom>
      <diagonal/>
    </border>
    <border>
      <left style="dotted">
        <color theme="1" tint="0.499984740745262"/>
      </left>
      <right style="thin">
        <color auto="1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thin">
        <color auto="1"/>
      </right>
      <top style="dotted">
        <color theme="1" tint="0.499984740745262"/>
      </top>
      <bottom style="thin">
        <color auto="1"/>
      </bottom>
      <diagonal/>
    </border>
    <border>
      <left style="dotted">
        <color theme="1" tint="0.499984740745262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thin">
        <color auto="1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thin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 style="medium">
        <color auto="1"/>
      </top>
      <bottom/>
      <diagonal/>
    </border>
    <border>
      <left style="medium">
        <color auto="1"/>
      </left>
      <right style="dotted">
        <color theme="1" tint="0.499984740745262"/>
      </right>
      <top style="thin">
        <color auto="1"/>
      </top>
      <bottom style="dotted">
        <color theme="1" tint="0.499984740745262"/>
      </bottom>
      <diagonal/>
    </border>
    <border>
      <left style="medium">
        <color auto="1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medium">
        <color auto="1"/>
      </left>
      <right style="dotted">
        <color theme="1" tint="0.499984740745262"/>
      </right>
      <top style="dotted">
        <color theme="1" tint="0.499984740745262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/>
      <bottom style="medium">
        <color auto="1"/>
      </bottom>
      <diagonal/>
    </border>
    <border>
      <left style="dotted">
        <color theme="1" tint="0.499984740745262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dotted">
        <color theme="1" tint="0.499984740745262"/>
      </right>
      <top style="medium">
        <color auto="1"/>
      </top>
      <bottom style="thin">
        <color auto="1"/>
      </bottom>
      <diagonal/>
    </border>
    <border>
      <left style="dotted">
        <color theme="1" tint="0.499984740745262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tted">
        <color theme="1" tint="0.499984740745262"/>
      </right>
      <top style="medium">
        <color auto="1"/>
      </top>
      <bottom style="medium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medium">
        <color auto="1"/>
      </top>
      <bottom style="medium">
        <color auto="1"/>
      </bottom>
      <diagonal/>
    </border>
    <border>
      <left style="dotted">
        <color theme="1" tint="0.499984740745262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dotted">
        <color theme="1" tint="0.499984740745262"/>
      </right>
      <top style="medium">
        <color auto="1"/>
      </top>
      <bottom style="thin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tted">
        <color theme="1" tint="0.499984740745262"/>
      </right>
      <top/>
      <bottom style="medium">
        <color auto="1"/>
      </bottom>
      <diagonal/>
    </border>
    <border>
      <left style="dotted">
        <color theme="1" tint="0.499984740745262"/>
      </left>
      <right style="medium">
        <color auto="1"/>
      </right>
      <top/>
      <bottom style="medium">
        <color auto="1"/>
      </bottom>
      <diagonal/>
    </border>
    <border>
      <left style="dotted">
        <color theme="1" tint="0.499984740745262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 style="medium">
        <color auto="1"/>
      </top>
      <bottom style="medium">
        <color auto="1"/>
      </bottom>
      <diagonal/>
    </border>
    <border>
      <left style="dotted">
        <color theme="1" tint="0.499984740745262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theme="1" tint="0.499984740745262"/>
      </bottom>
      <diagonal/>
    </border>
    <border>
      <left/>
      <right style="thin">
        <color auto="1"/>
      </right>
      <top style="dotted">
        <color theme="1" tint="0.499984740745262"/>
      </top>
      <bottom style="dotted">
        <color theme="1" tint="0.499984740745262"/>
      </bottom>
      <diagonal/>
    </border>
    <border>
      <left/>
      <right style="thin">
        <color auto="1"/>
      </right>
      <top style="dotted">
        <color theme="1" tint="0.499984740745262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dotted">
        <color theme="1" tint="0.499984740745262"/>
      </bottom>
      <diagonal/>
    </border>
    <border>
      <left/>
      <right/>
      <top style="dotted">
        <color theme="1" tint="0.499984740745262"/>
      </top>
      <bottom style="dotted">
        <color theme="1" tint="0.499984740745262"/>
      </bottom>
      <diagonal/>
    </border>
    <border>
      <left/>
      <right/>
      <top style="dotted">
        <color theme="1" tint="0.499984740745262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ck">
        <color rgb="FF7030A0"/>
      </bottom>
      <diagonal/>
    </border>
    <border>
      <left/>
      <right/>
      <top style="thick">
        <color rgb="FF7030A0"/>
      </top>
      <bottom/>
      <diagonal/>
    </border>
    <border>
      <left/>
      <right style="thick">
        <color rgb="FF7030A0"/>
      </right>
      <top style="thick">
        <color rgb="FF7030A0"/>
      </top>
      <bottom/>
      <diagonal/>
    </border>
    <border>
      <left style="thick">
        <color rgb="FF7030A0"/>
      </left>
      <right/>
      <top/>
      <bottom/>
      <diagonal/>
    </border>
    <border>
      <left/>
      <right style="thick">
        <color rgb="FF7030A0"/>
      </right>
      <top/>
      <bottom/>
      <diagonal/>
    </border>
    <border>
      <left/>
      <right style="thick">
        <color rgb="FF7030A0"/>
      </right>
      <top/>
      <bottom style="thick">
        <color rgb="FF7030A0"/>
      </bottom>
      <diagonal/>
    </border>
    <border>
      <left style="thick">
        <color rgb="FF7030A0"/>
      </left>
      <right/>
      <top style="thick">
        <color rgb="FF7030A0"/>
      </top>
      <bottom/>
      <diagonal/>
    </border>
    <border>
      <left style="thick">
        <color rgb="FF7030A0"/>
      </left>
      <right/>
      <top/>
      <bottom style="thick">
        <color rgb="FF7030A0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dotted">
        <color theme="1" tint="0.499984740745262"/>
      </right>
      <top/>
      <bottom/>
      <diagonal/>
    </border>
    <border>
      <left style="dotted">
        <color theme="1" tint="0.499984740745262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 style="thin">
        <color auto="1"/>
      </right>
      <top/>
      <bottom/>
      <diagonal/>
    </border>
    <border>
      <left style="medium">
        <color auto="1"/>
      </left>
      <right style="dotted">
        <color theme="1" tint="0.499984740745262"/>
      </right>
      <top/>
      <bottom/>
      <diagonal/>
    </border>
    <border>
      <left style="medium">
        <color auto="1"/>
      </left>
      <right style="dotted">
        <color auto="1"/>
      </right>
      <top/>
      <bottom style="medium">
        <color auto="1"/>
      </bottom>
      <diagonal/>
    </border>
    <border>
      <left style="dotted">
        <color auto="1"/>
      </left>
      <right style="dotted">
        <color auto="1"/>
      </right>
      <top/>
      <bottom style="medium">
        <color auto="1"/>
      </bottom>
      <diagonal/>
    </border>
    <border>
      <left style="dotted">
        <color auto="1"/>
      </left>
      <right style="thin">
        <color auto="1"/>
      </right>
      <top/>
      <bottom style="medium">
        <color auto="1"/>
      </bottom>
      <diagonal/>
    </border>
    <border>
      <left style="dotted">
        <color theme="1" tint="0.499984740745262"/>
      </left>
      <right style="thin">
        <color auto="1"/>
      </right>
      <top style="medium">
        <color auto="1"/>
      </top>
      <bottom style="dotted">
        <color theme="1" tint="0.499984740745262"/>
      </bottom>
      <diagonal/>
    </border>
    <border>
      <left style="thin">
        <color auto="1"/>
      </left>
      <right style="dotted">
        <color theme="1" tint="0.499984740745262"/>
      </right>
      <top style="medium">
        <color auto="1"/>
      </top>
      <bottom style="dotted">
        <color theme="1" tint="0.499984740745262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dotted">
        <color auto="1"/>
      </right>
      <top/>
      <bottom style="medium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dotted">
        <color theme="1" tint="0.499984740745262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dotted">
        <color theme="1" tint="0.499984740745262"/>
      </left>
      <right style="dotted">
        <color auto="1"/>
      </right>
      <top style="medium">
        <color auto="1"/>
      </top>
      <bottom style="thin">
        <color auto="1"/>
      </bottom>
      <diagonal/>
    </border>
    <border>
      <left style="dotted">
        <color auto="1"/>
      </left>
      <right style="dotted">
        <color theme="1" tint="0.499984740745262"/>
      </right>
      <top style="medium">
        <color auto="1"/>
      </top>
      <bottom style="thin">
        <color auto="1"/>
      </bottom>
      <diagonal/>
    </border>
    <border>
      <left style="dotted">
        <color theme="1" tint="0.499984740745262"/>
      </left>
      <right style="dotted">
        <color auto="1"/>
      </right>
      <top style="thin">
        <color auto="1"/>
      </top>
      <bottom style="dotted">
        <color theme="1" tint="0.499984740745262"/>
      </bottom>
      <diagonal/>
    </border>
    <border>
      <left style="dotted">
        <color auto="1"/>
      </left>
      <right style="dotted">
        <color theme="1" tint="0.499984740745262"/>
      </right>
      <top style="thin">
        <color auto="1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auto="1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auto="1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auto="1"/>
      </right>
      <top style="dotted">
        <color theme="1" tint="0.499984740745262"/>
      </top>
      <bottom style="thin">
        <color auto="1"/>
      </bottom>
      <diagonal/>
    </border>
    <border>
      <left style="dotted">
        <color auto="1"/>
      </left>
      <right style="dotted">
        <color theme="1" tint="0.499984740745262"/>
      </right>
      <top style="dotted">
        <color theme="1" tint="0.499984740745262"/>
      </top>
      <bottom style="thin">
        <color auto="1"/>
      </bottom>
      <diagonal/>
    </border>
    <border>
      <left style="dotted">
        <color theme="1" tint="0.499984740745262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theme="1" tint="0.499984740745262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 style="thin">
        <color auto="1"/>
      </top>
      <bottom style="medium">
        <color auto="1"/>
      </bottom>
      <diagonal/>
    </border>
    <border>
      <left style="dotted">
        <color theme="1" tint="0.499984740745262"/>
      </left>
      <right style="dotted">
        <color auto="1"/>
      </right>
      <top style="thin">
        <color auto="1"/>
      </top>
      <bottom style="medium">
        <color auto="1"/>
      </bottom>
      <diagonal/>
    </border>
    <border>
      <left style="dotted">
        <color auto="1"/>
      </left>
      <right style="dotted">
        <color theme="1" tint="0.499984740745262"/>
      </right>
      <top style="thin">
        <color auto="1"/>
      </top>
      <bottom style="medium">
        <color auto="1"/>
      </bottom>
      <diagonal/>
    </border>
    <border>
      <left style="dotted">
        <color theme="1" tint="0.499984740745262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tted">
        <color theme="1" tint="0.499984740745262"/>
      </right>
      <top style="thin">
        <color auto="1"/>
      </top>
      <bottom style="medium">
        <color auto="1"/>
      </bottom>
      <diagonal/>
    </border>
    <border>
      <left style="dotted">
        <color theme="1" tint="0.499984740745262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otted">
        <color theme="1" tint="0.499984740745262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theme="1" tint="0.499984740745262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theme="1" tint="0.499984740745262"/>
      </right>
      <top style="medium">
        <color auto="1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 style="medium">
        <color auto="1"/>
      </top>
      <bottom style="dotted">
        <color theme="1" tint="0.499984740745262"/>
      </bottom>
      <diagonal/>
    </border>
    <border>
      <left style="dotted">
        <color theme="1" tint="0.499984740745262"/>
      </left>
      <right style="medium">
        <color auto="1"/>
      </right>
      <top style="medium">
        <color auto="1"/>
      </top>
      <bottom style="dotted">
        <color theme="1" tint="0.499984740745262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tted">
        <color auto="1"/>
      </right>
      <top/>
      <bottom/>
      <diagonal/>
    </border>
    <border>
      <left style="dotted">
        <color rgb="FF7F7F7F"/>
      </left>
      <right style="thin">
        <color rgb="FF000000"/>
      </right>
      <top style="thin">
        <color rgb="FF000000"/>
      </top>
      <bottom style="dotted">
        <color rgb="FF7F7F7F"/>
      </bottom>
      <diagonal/>
    </border>
    <border>
      <left style="dotted">
        <color rgb="FF7F7F7F"/>
      </left>
      <right style="thin">
        <color rgb="FF000000"/>
      </right>
      <top style="dotted">
        <color rgb="FF7F7F7F"/>
      </top>
      <bottom style="dotted">
        <color rgb="FF7F7F7F"/>
      </bottom>
      <diagonal/>
    </border>
    <border>
      <left style="medium">
        <color auto="1"/>
      </left>
      <right style="dotted">
        <color rgb="FF7F7F7F"/>
      </right>
      <top style="thin">
        <color rgb="FF000000"/>
      </top>
      <bottom style="dotted">
        <color rgb="FF7F7F7F"/>
      </bottom>
      <diagonal/>
    </border>
    <border>
      <left style="medium">
        <color auto="1"/>
      </left>
      <right style="dotted">
        <color rgb="FF7F7F7F"/>
      </right>
      <top style="dotted">
        <color rgb="FF7F7F7F"/>
      </top>
      <bottom style="dotted">
        <color rgb="FF7F7F7F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dotted">
        <color rgb="FF7F7F7F"/>
      </left>
      <right style="thin">
        <color auto="1"/>
      </right>
      <top style="thin">
        <color rgb="FF000000"/>
      </top>
      <bottom style="dotted">
        <color rgb="FF7F7F7F"/>
      </bottom>
      <diagonal/>
    </border>
    <border>
      <left style="dotted">
        <color rgb="FF7F7F7F"/>
      </left>
      <right style="thin">
        <color auto="1"/>
      </right>
      <top style="dotted">
        <color rgb="FF7F7F7F"/>
      </top>
      <bottom style="dotted">
        <color rgb="FF7F7F7F"/>
      </bottom>
      <diagonal/>
    </border>
    <border>
      <left/>
      <right/>
      <top/>
      <bottom style="dotted">
        <color theme="1" tint="0.499984740745262"/>
      </bottom>
      <diagonal/>
    </border>
    <border>
      <left/>
      <right style="thin">
        <color auto="1"/>
      </right>
      <top/>
      <bottom style="dotted">
        <color theme="1" tint="0.499984740745262"/>
      </bottom>
      <diagonal/>
    </border>
    <border>
      <left style="medium">
        <color auto="1"/>
      </left>
      <right/>
      <top/>
      <bottom style="dotted">
        <color theme="1" tint="0.499984740745262"/>
      </bottom>
      <diagonal/>
    </border>
    <border>
      <left style="medium">
        <color auto="1"/>
      </left>
      <right/>
      <top style="dotted">
        <color theme="1" tint="0.499984740745262"/>
      </top>
      <bottom style="dotted">
        <color theme="1" tint="0.499984740745262"/>
      </bottom>
      <diagonal/>
    </border>
    <border>
      <left style="medium">
        <color auto="1"/>
      </left>
      <right/>
      <top style="dotted">
        <color theme="1" tint="0.499984740745262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dotted">
        <color theme="1" tint="0.499984740745262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 style="medium">
        <color auto="1"/>
      </left>
      <right style="dotted">
        <color theme="1" tint="0.499984740745262"/>
      </right>
      <top style="thin">
        <color auto="1"/>
      </top>
      <bottom style="dotted">
        <color auto="1"/>
      </bottom>
      <diagonal/>
    </border>
    <border>
      <left style="dotted">
        <color theme="1" tint="0.499984740745262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theme="1" tint="0.499984740745262"/>
      </right>
      <top style="thin">
        <color auto="1"/>
      </top>
      <bottom style="dotted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thin">
        <color auto="1"/>
      </top>
      <bottom style="dotted">
        <color auto="1"/>
      </bottom>
      <diagonal/>
    </border>
    <border>
      <left style="dotted">
        <color theme="1" tint="0.499984740745262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theme="1" tint="0.499984740745262"/>
      </right>
      <top style="dotted">
        <color auto="1"/>
      </top>
      <bottom style="dotted">
        <color auto="1"/>
      </bottom>
      <diagonal/>
    </border>
    <border>
      <left style="dotted">
        <color theme="1" tint="0.499984740745262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theme="1" tint="0.499984740745262"/>
      </right>
      <top style="dotted">
        <color auto="1"/>
      </top>
      <bottom style="dotted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auto="1"/>
      </top>
      <bottom style="dotted">
        <color auto="1"/>
      </bottom>
      <diagonal/>
    </border>
    <border>
      <left style="dotted">
        <color theme="1" tint="0.499984740745262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 style="dotted">
        <color auto="1"/>
      </top>
      <bottom style="thin">
        <color auto="1"/>
      </bottom>
      <diagonal/>
    </border>
    <border>
      <left style="dotted">
        <color theme="1" tint="0.499984740745262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dotted">
        <color theme="1" tint="0.499984740745262"/>
      </right>
      <top style="dotted">
        <color auto="1"/>
      </top>
      <bottom style="thin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auto="1"/>
      </top>
      <bottom style="thin">
        <color auto="1"/>
      </bottom>
      <diagonal/>
    </border>
    <border>
      <left style="dotted">
        <color theme="1" tint="0.499984740745262"/>
      </left>
      <right style="medium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dotted">
        <color theme="1" tint="0.499984740745262"/>
      </top>
      <bottom/>
      <diagonal/>
    </border>
    <border>
      <left/>
      <right/>
      <top style="dotted">
        <color theme="1" tint="0.499984740745262"/>
      </top>
      <bottom/>
      <diagonal/>
    </border>
    <border>
      <left style="thin">
        <color auto="1"/>
      </left>
      <right style="dotted">
        <color theme="1" tint="0.499984740745262"/>
      </right>
      <top style="dotted">
        <color theme="1" tint="0.499984740745262"/>
      </top>
      <bottom/>
      <diagonal/>
    </border>
    <border>
      <left style="dotted">
        <color theme="1" tint="0.499984740745262"/>
      </left>
      <right style="medium">
        <color auto="1"/>
      </right>
      <top style="dotted">
        <color theme="1" tint="0.499984740745262"/>
      </top>
      <bottom/>
      <diagonal/>
    </border>
    <border>
      <left style="dotted">
        <color theme="1" tint="0.499984740745262"/>
      </left>
      <right style="dotted">
        <color theme="1" tint="0.499984740745262"/>
      </right>
      <top/>
      <bottom/>
      <diagonal/>
    </border>
    <border>
      <left style="dotted">
        <color theme="1" tint="0.499984740745262"/>
      </left>
      <right style="dotted">
        <color theme="1" tint="0.499984740745262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dotted">
        <color theme="1" tint="0.499984740745262"/>
      </top>
      <bottom/>
      <diagonal/>
    </border>
    <border>
      <left style="thin">
        <color auto="1"/>
      </left>
      <right style="medium">
        <color auto="1"/>
      </right>
      <top style="dotted">
        <color theme="1" tint="0.499984740745262"/>
      </top>
      <bottom/>
      <diagonal/>
    </border>
    <border>
      <left style="medium">
        <color auto="1"/>
      </left>
      <right style="dotted">
        <color theme="1" tint="0.499984740745262"/>
      </right>
      <top style="dotted">
        <color theme="1" tint="0.499984740745262"/>
      </top>
      <bottom/>
      <diagonal/>
    </border>
    <border>
      <left style="dotted">
        <color theme="1" tint="0.499984740745262"/>
      </left>
      <right style="dotted">
        <color auto="1"/>
      </right>
      <top style="dotted">
        <color theme="1" tint="0.499984740745262"/>
      </top>
      <bottom/>
      <diagonal/>
    </border>
    <border>
      <left style="dotted">
        <color auto="1"/>
      </left>
      <right style="dotted">
        <color theme="1" tint="0.499984740745262"/>
      </right>
      <top style="dotted">
        <color theme="1" tint="0.499984740745262"/>
      </top>
      <bottom/>
      <diagonal/>
    </border>
    <border>
      <left style="dotted">
        <color theme="1" tint="0.499984740745262"/>
      </left>
      <right style="thin">
        <color auto="1"/>
      </right>
      <top style="dotted">
        <color theme="1" tint="0.499984740745262"/>
      </top>
      <bottom/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/>
      <diagonal/>
    </border>
    <border>
      <left/>
      <right/>
      <top style="dotted">
        <color auto="1"/>
      </top>
      <bottom/>
      <diagonal/>
    </border>
    <border>
      <left/>
      <right style="thin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theme="1" tint="0.499984740745262"/>
      </right>
      <top style="dotted">
        <color auto="1"/>
      </top>
      <bottom/>
      <diagonal/>
    </border>
    <border>
      <left style="dotted">
        <color theme="1" tint="0.499984740745262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dotted">
        <color theme="1" tint="0.499984740745262"/>
      </right>
      <top style="dotted">
        <color auto="1"/>
      </top>
      <bottom/>
      <diagonal/>
    </border>
    <border>
      <left style="dotted">
        <color theme="1" tint="0.499984740745262"/>
      </left>
      <right style="medium">
        <color auto="1"/>
      </right>
      <top style="dotted">
        <color auto="1"/>
      </top>
      <bottom/>
      <diagonal/>
    </border>
    <border>
      <left style="dotted">
        <color theme="1" tint="0.499984740745262"/>
      </left>
      <right style="dotted">
        <color theme="1" tint="0.499984740745262"/>
      </right>
      <top style="dotted">
        <color auto="1"/>
      </top>
      <bottom/>
      <diagonal/>
    </border>
    <border>
      <left style="thin">
        <color auto="1"/>
      </left>
      <right style="dotted">
        <color auto="1"/>
      </right>
      <top style="medium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 style="thin">
        <color auto="1"/>
      </top>
      <bottom style="medium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tted">
        <color auto="1"/>
      </right>
      <top style="thin">
        <color auto="1"/>
      </top>
      <bottom style="medium">
        <color auto="1"/>
      </bottom>
      <diagonal/>
    </border>
    <border>
      <left/>
      <right style="dotted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dotted">
        <color theme="1" tint="0.499984740745262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tted">
        <color theme="1" tint="0.499984740745262"/>
      </right>
      <top style="thin">
        <color auto="1"/>
      </top>
      <bottom/>
      <diagonal/>
    </border>
    <border>
      <left style="dotted">
        <color theme="1" tint="0.499984740745262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dotted">
        <color theme="1" tint="0.499984740745262"/>
      </right>
      <top style="medium">
        <color auto="1"/>
      </top>
      <bottom style="dotted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medium">
        <color auto="1"/>
      </top>
      <bottom style="dotted">
        <color auto="1"/>
      </bottom>
      <diagonal/>
    </border>
    <border>
      <left style="dotted">
        <color theme="1" tint="0.499984740745262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dotted">
        <color theme="1" tint="0.499984740745262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theme="1" tint="0.499984740745262"/>
      </left>
      <right style="medium">
        <color auto="1"/>
      </right>
      <top style="medium">
        <color auto="1"/>
      </top>
      <bottom style="dotted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6" fontId="17" fillId="0" borderId="0" applyFont="0" applyBorder="0" applyProtection="0"/>
  </cellStyleXfs>
  <cellXfs count="119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2" fillId="0" borderId="0" xfId="1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0" borderId="0" xfId="0" applyFont="1" applyAlignment="1">
      <alignment vertical="center" wrapText="1"/>
    </xf>
    <xf numFmtId="0" fontId="0" fillId="3" borderId="2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9" fontId="0" fillId="3" borderId="9" xfId="1" applyFont="1" applyFill="1" applyBorder="1" applyAlignment="1">
      <alignment horizontal="center" vertical="center"/>
    </xf>
    <xf numFmtId="9" fontId="0" fillId="3" borderId="22" xfId="1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9" fontId="0" fillId="3" borderId="11" xfId="1" applyFont="1" applyFill="1" applyBorder="1" applyAlignment="1">
      <alignment horizontal="center" vertical="center"/>
    </xf>
    <xf numFmtId="9" fontId="0" fillId="3" borderId="23" xfId="1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9" fontId="0" fillId="3" borderId="13" xfId="1" applyFont="1" applyFill="1" applyBorder="1" applyAlignment="1">
      <alignment horizontal="center" vertical="center"/>
    </xf>
    <xf numFmtId="9" fontId="0" fillId="3" borderId="24" xfId="1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9" fontId="0" fillId="3" borderId="15" xfId="1" applyFont="1" applyFill="1" applyBorder="1" applyAlignment="1">
      <alignment horizontal="center" vertical="center"/>
    </xf>
    <xf numFmtId="9" fontId="0" fillId="3" borderId="25" xfId="1" applyFont="1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 wrapText="1"/>
    </xf>
    <xf numFmtId="0" fontId="3" fillId="2" borderId="42" xfId="0" applyFont="1" applyFill="1" applyBorder="1" applyAlignment="1">
      <alignment horizontal="center" vertical="center" wrapText="1"/>
    </xf>
    <xf numFmtId="0" fontId="3" fillId="2" borderId="4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3" fontId="2" fillId="3" borderId="18" xfId="1" applyNumberFormat="1" applyFont="1" applyFill="1" applyBorder="1" applyAlignment="1">
      <alignment horizontal="center" vertical="center"/>
    </xf>
    <xf numFmtId="3" fontId="2" fillId="3" borderId="19" xfId="1" applyNumberFormat="1" applyFont="1" applyFill="1" applyBorder="1" applyAlignment="1">
      <alignment horizontal="center" vertical="center"/>
    </xf>
    <xf numFmtId="3" fontId="2" fillId="3" borderId="20" xfId="1" applyNumberFormat="1" applyFont="1" applyFill="1" applyBorder="1" applyAlignment="1">
      <alignment horizontal="center" vertical="center"/>
    </xf>
    <xf numFmtId="3" fontId="2" fillId="3" borderId="21" xfId="1" applyNumberFormat="1" applyFont="1" applyFill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3" fontId="2" fillId="3" borderId="22" xfId="1" applyNumberFormat="1" applyFont="1" applyFill="1" applyBorder="1" applyAlignment="1">
      <alignment horizontal="center" vertical="center"/>
    </xf>
    <xf numFmtId="3" fontId="2" fillId="3" borderId="23" xfId="1" applyNumberFormat="1" applyFont="1" applyFill="1" applyBorder="1" applyAlignment="1">
      <alignment horizontal="center" vertical="center"/>
    </xf>
    <xf numFmtId="3" fontId="2" fillId="3" borderId="24" xfId="1" applyNumberFormat="1" applyFont="1" applyFill="1" applyBorder="1" applyAlignment="1">
      <alignment horizontal="center" vertical="center"/>
    </xf>
    <xf numFmtId="3" fontId="2" fillId="3" borderId="25" xfId="1" applyNumberFormat="1" applyFont="1" applyFill="1" applyBorder="1" applyAlignment="1">
      <alignment horizontal="center" vertical="center"/>
    </xf>
    <xf numFmtId="3" fontId="4" fillId="3" borderId="45" xfId="0" applyNumberFormat="1" applyFont="1" applyFill="1" applyBorder="1" applyAlignment="1">
      <alignment horizontal="center" vertical="center"/>
    </xf>
    <xf numFmtId="3" fontId="4" fillId="3" borderId="39" xfId="0" applyNumberFormat="1" applyFont="1" applyFill="1" applyBorder="1" applyAlignment="1">
      <alignment horizontal="center" vertical="center"/>
    </xf>
    <xf numFmtId="9" fontId="4" fillId="3" borderId="37" xfId="1" applyNumberFormat="1" applyFont="1" applyFill="1" applyBorder="1" applyAlignment="1">
      <alignment horizontal="center" vertical="center"/>
    </xf>
    <xf numFmtId="3" fontId="5" fillId="3" borderId="38" xfId="1" applyNumberFormat="1" applyFont="1" applyFill="1" applyBorder="1" applyAlignment="1">
      <alignment horizontal="center" vertical="center"/>
    </xf>
    <xf numFmtId="9" fontId="4" fillId="3" borderId="38" xfId="1" applyNumberFormat="1" applyFont="1" applyFill="1" applyBorder="1" applyAlignment="1">
      <alignment horizontal="center" vertical="center"/>
    </xf>
    <xf numFmtId="3" fontId="4" fillId="3" borderId="37" xfId="0" applyNumberFormat="1" applyFont="1" applyFill="1" applyBorder="1" applyAlignment="1">
      <alignment horizontal="center" vertical="center"/>
    </xf>
    <xf numFmtId="3" fontId="4" fillId="3" borderId="46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3" borderId="51" xfId="0" applyFill="1" applyBorder="1" applyAlignment="1">
      <alignment vertical="center"/>
    </xf>
    <xf numFmtId="0" fontId="0" fillId="3" borderId="52" xfId="0" applyFill="1" applyBorder="1" applyAlignment="1">
      <alignment vertical="center"/>
    </xf>
    <xf numFmtId="0" fontId="0" fillId="3" borderId="53" xfId="0" applyFill="1" applyBorder="1" applyAlignment="1">
      <alignment vertical="center"/>
    </xf>
    <xf numFmtId="0" fontId="0" fillId="3" borderId="52" xfId="0" applyFont="1" applyFill="1" applyBorder="1" applyAlignment="1">
      <alignment vertical="center"/>
    </xf>
    <xf numFmtId="0" fontId="0" fillId="3" borderId="54" xfId="0" applyFill="1" applyBorder="1" applyAlignment="1">
      <alignment vertical="center"/>
    </xf>
    <xf numFmtId="0" fontId="0" fillId="3" borderId="7" xfId="0" applyFill="1" applyBorder="1" applyAlignment="1">
      <alignment horizontal="center" vertical="center"/>
    </xf>
    <xf numFmtId="0" fontId="4" fillId="3" borderId="47" xfId="0" applyFont="1" applyFill="1" applyBorder="1" applyAlignment="1">
      <alignment vertical="center"/>
    </xf>
    <xf numFmtId="9" fontId="4" fillId="4" borderId="38" xfId="1" applyFont="1" applyFill="1" applyBorder="1" applyAlignment="1">
      <alignment horizontal="center" vertical="center"/>
    </xf>
    <xf numFmtId="3" fontId="5" fillId="4" borderId="39" xfId="1" applyNumberFormat="1" applyFont="1" applyFill="1" applyBorder="1" applyAlignment="1">
      <alignment horizontal="center" vertical="center"/>
    </xf>
    <xf numFmtId="0" fontId="6" fillId="3" borderId="51" xfId="0" applyFont="1" applyFill="1" applyBorder="1" applyAlignment="1">
      <alignment vertical="center"/>
    </xf>
    <xf numFmtId="0" fontId="6" fillId="3" borderId="52" xfId="0" applyFont="1" applyFill="1" applyBorder="1" applyAlignment="1">
      <alignment vertical="center"/>
    </xf>
    <xf numFmtId="0" fontId="6" fillId="3" borderId="53" xfId="0" applyFont="1" applyFill="1" applyBorder="1" applyAlignment="1">
      <alignment vertical="center"/>
    </xf>
    <xf numFmtId="0" fontId="4" fillId="5" borderId="32" xfId="0" applyFont="1" applyFill="1" applyBorder="1" applyAlignment="1">
      <alignment vertical="center"/>
    </xf>
    <xf numFmtId="0" fontId="4" fillId="5" borderId="57" xfId="0" applyFont="1" applyFill="1" applyBorder="1" applyAlignment="1">
      <alignment horizontal="center" vertical="center"/>
    </xf>
    <xf numFmtId="0" fontId="0" fillId="5" borderId="49" xfId="0" applyFill="1" applyBorder="1" applyAlignment="1">
      <alignment vertical="center"/>
    </xf>
    <xf numFmtId="0" fontId="0" fillId="5" borderId="50" xfId="0" applyFill="1" applyBorder="1" applyAlignment="1">
      <alignment horizontal="center" vertical="center"/>
    </xf>
    <xf numFmtId="0" fontId="0" fillId="5" borderId="35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9" fontId="0" fillId="5" borderId="40" xfId="1" applyFont="1" applyFill="1" applyBorder="1" applyAlignment="1">
      <alignment horizontal="center" vertical="center"/>
    </xf>
    <xf numFmtId="3" fontId="2" fillId="5" borderId="41" xfId="1" applyNumberFormat="1" applyFont="1" applyFill="1" applyBorder="1" applyAlignment="1">
      <alignment horizontal="center" vertical="center"/>
    </xf>
    <xf numFmtId="9" fontId="0" fillId="5" borderId="41" xfId="1" applyFont="1" applyFill="1" applyBorder="1" applyAlignment="1">
      <alignment horizontal="center" vertical="center"/>
    </xf>
    <xf numFmtId="3" fontId="2" fillId="5" borderId="36" xfId="1" applyNumberFormat="1" applyFont="1" applyFill="1" applyBorder="1" applyAlignment="1">
      <alignment horizontal="center" vertical="center"/>
    </xf>
    <xf numFmtId="0" fontId="0" fillId="5" borderId="40" xfId="0" applyFill="1" applyBorder="1" applyAlignment="1">
      <alignment horizontal="center" vertical="center"/>
    </xf>
    <xf numFmtId="0" fontId="0" fillId="5" borderId="44" xfId="0" applyFill="1" applyBorder="1" applyAlignment="1">
      <alignment horizontal="center" vertical="center"/>
    </xf>
    <xf numFmtId="0" fontId="0" fillId="5" borderId="51" xfId="0" applyFill="1" applyBorder="1" applyAlignment="1">
      <alignment vertical="center"/>
    </xf>
    <xf numFmtId="0" fontId="0" fillId="5" borderId="27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9" fontId="0" fillId="5" borderId="9" xfId="1" applyFont="1" applyFill="1" applyBorder="1" applyAlignment="1">
      <alignment horizontal="center" vertical="center"/>
    </xf>
    <xf numFmtId="3" fontId="2" fillId="5" borderId="22" xfId="1" applyNumberFormat="1" applyFont="1" applyFill="1" applyBorder="1" applyAlignment="1">
      <alignment horizontal="center" vertical="center"/>
    </xf>
    <xf numFmtId="9" fontId="0" fillId="5" borderId="22" xfId="1" applyFont="1" applyFill="1" applyBorder="1" applyAlignment="1">
      <alignment horizontal="center" vertical="center"/>
    </xf>
    <xf numFmtId="3" fontId="2" fillId="5" borderId="18" xfId="1" applyNumberFormat="1" applyFont="1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52" xfId="0" applyFill="1" applyBorder="1" applyAlignment="1">
      <alignment vertical="center"/>
    </xf>
    <xf numFmtId="0" fontId="0" fillId="5" borderId="28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9" fontId="0" fillId="5" borderId="11" xfId="1" applyFont="1" applyFill="1" applyBorder="1" applyAlignment="1">
      <alignment horizontal="center" vertical="center"/>
    </xf>
    <xf numFmtId="3" fontId="2" fillId="5" borderId="23" xfId="1" applyNumberFormat="1" applyFont="1" applyFill="1" applyBorder="1" applyAlignment="1">
      <alignment horizontal="center" vertical="center"/>
    </xf>
    <xf numFmtId="9" fontId="0" fillId="5" borderId="23" xfId="1" applyFont="1" applyFill="1" applyBorder="1" applyAlignment="1">
      <alignment horizontal="center" vertical="center"/>
    </xf>
    <xf numFmtId="3" fontId="2" fillId="5" borderId="19" xfId="1" applyNumberFormat="1" applyFont="1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53" xfId="0" applyFill="1" applyBorder="1" applyAlignment="1">
      <alignment vertical="center"/>
    </xf>
    <xf numFmtId="0" fontId="0" fillId="5" borderId="29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9" fontId="0" fillId="5" borderId="13" xfId="1" applyFont="1" applyFill="1" applyBorder="1" applyAlignment="1">
      <alignment horizontal="center" vertical="center"/>
    </xf>
    <xf numFmtId="3" fontId="2" fillId="5" borderId="24" xfId="1" applyNumberFormat="1" applyFont="1" applyFill="1" applyBorder="1" applyAlignment="1">
      <alignment horizontal="center" vertical="center"/>
    </xf>
    <xf numFmtId="9" fontId="0" fillId="5" borderId="24" xfId="1" applyFont="1" applyFill="1" applyBorder="1" applyAlignment="1">
      <alignment horizontal="center" vertical="center"/>
    </xf>
    <xf numFmtId="3" fontId="2" fillId="5" borderId="20" xfId="1" applyNumberFormat="1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4" fillId="0" borderId="64" xfId="0" applyFont="1" applyBorder="1" applyAlignment="1">
      <alignment vertical="center" wrapText="1"/>
    </xf>
    <xf numFmtId="0" fontId="0" fillId="0" borderId="64" xfId="0" applyBorder="1" applyAlignment="1">
      <alignment vertical="center"/>
    </xf>
    <xf numFmtId="0" fontId="4" fillId="0" borderId="64" xfId="0" applyFont="1" applyBorder="1" applyAlignment="1">
      <alignment vertical="center"/>
    </xf>
    <xf numFmtId="0" fontId="0" fillId="3" borderId="0" xfId="0" applyFill="1" applyAlignment="1">
      <alignment vertical="center"/>
    </xf>
    <xf numFmtId="0" fontId="4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/>
    </xf>
    <xf numFmtId="0" fontId="0" fillId="3" borderId="0" xfId="0" applyFill="1" applyAlignment="1">
      <alignment horizontal="center" vertical="center"/>
    </xf>
    <xf numFmtId="9" fontId="0" fillId="3" borderId="0" xfId="1" applyFont="1" applyFill="1" applyAlignment="1">
      <alignment horizontal="center" vertical="center"/>
    </xf>
    <xf numFmtId="9" fontId="2" fillId="3" borderId="0" xfId="1" applyFont="1" applyFill="1" applyAlignment="1">
      <alignment horizontal="center" vertical="center"/>
    </xf>
    <xf numFmtId="0" fontId="7" fillId="0" borderId="65" xfId="0" applyFont="1" applyBorder="1" applyAlignment="1">
      <alignment vertical="center"/>
    </xf>
    <xf numFmtId="0" fontId="0" fillId="0" borderId="65" xfId="0" applyBorder="1" applyAlignment="1">
      <alignment horizontal="center" vertical="center"/>
    </xf>
    <xf numFmtId="165" fontId="4" fillId="3" borderId="47" xfId="0" applyNumberFormat="1" applyFont="1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4" fillId="7" borderId="0" xfId="0" applyFont="1" applyFill="1" applyAlignment="1">
      <alignment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vertical="center"/>
    </xf>
    <xf numFmtId="0" fontId="7" fillId="0" borderId="0" xfId="0" applyFont="1" applyFill="1" applyAlignment="1">
      <alignment vertical="center"/>
    </xf>
    <xf numFmtId="9" fontId="13" fillId="3" borderId="37" xfId="1" applyNumberFormat="1" applyFont="1" applyFill="1" applyBorder="1" applyAlignment="1">
      <alignment horizontal="center" vertical="center"/>
    </xf>
    <xf numFmtId="3" fontId="13" fillId="3" borderId="39" xfId="1" applyNumberFormat="1" applyFont="1" applyFill="1" applyBorder="1" applyAlignment="1">
      <alignment horizontal="center" vertical="center"/>
    </xf>
    <xf numFmtId="3" fontId="13" fillId="3" borderId="37" xfId="0" applyNumberFormat="1" applyFont="1" applyFill="1" applyBorder="1" applyAlignment="1">
      <alignment horizontal="center" vertical="center"/>
    </xf>
    <xf numFmtId="3" fontId="13" fillId="3" borderId="39" xfId="0" applyNumberFormat="1" applyFont="1" applyFill="1" applyBorder="1" applyAlignment="1">
      <alignment horizontal="center" vertical="center"/>
    </xf>
    <xf numFmtId="3" fontId="13" fillId="3" borderId="46" xfId="0" applyNumberFormat="1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9" fontId="6" fillId="3" borderId="9" xfId="1" applyFont="1" applyFill="1" applyBorder="1" applyAlignment="1">
      <alignment horizontal="center" vertical="center"/>
    </xf>
    <xf numFmtId="9" fontId="6" fillId="3" borderId="22" xfId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9" fontId="6" fillId="3" borderId="11" xfId="1" applyFont="1" applyFill="1" applyBorder="1" applyAlignment="1">
      <alignment horizontal="center" vertical="center"/>
    </xf>
    <xf numFmtId="9" fontId="6" fillId="3" borderId="23" xfId="1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9" fontId="6" fillId="3" borderId="13" xfId="1" applyFont="1" applyFill="1" applyBorder="1" applyAlignment="1">
      <alignment horizontal="center" vertical="center"/>
    </xf>
    <xf numFmtId="9" fontId="6" fillId="3" borderId="24" xfId="1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6" fillId="6" borderId="20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9" fontId="6" fillId="3" borderId="15" xfId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21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3" fontId="13" fillId="3" borderId="45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9" fontId="6" fillId="0" borderId="1" xfId="1" applyFont="1" applyBorder="1" applyAlignment="1">
      <alignment horizontal="center" vertical="center"/>
    </xf>
    <xf numFmtId="0" fontId="4" fillId="6" borderId="57" xfId="0" applyFont="1" applyFill="1" applyBorder="1" applyAlignment="1">
      <alignment horizontal="center" vertical="center"/>
    </xf>
    <xf numFmtId="0" fontId="0" fillId="6" borderId="49" xfId="0" applyFill="1" applyBorder="1" applyAlignment="1">
      <alignment vertical="center"/>
    </xf>
    <xf numFmtId="0" fontId="0" fillId="6" borderId="50" xfId="0" applyFill="1" applyBorder="1" applyAlignment="1">
      <alignment horizontal="center" vertical="center"/>
    </xf>
    <xf numFmtId="0" fontId="6" fillId="6" borderId="35" xfId="0" applyFont="1" applyFill="1" applyBorder="1" applyAlignment="1">
      <alignment horizontal="center" vertical="center"/>
    </xf>
    <xf numFmtId="0" fontId="6" fillId="6" borderId="36" xfId="0" applyFont="1" applyFill="1" applyBorder="1" applyAlignment="1">
      <alignment horizontal="center" vertical="center"/>
    </xf>
    <xf numFmtId="0" fontId="0" fillId="6" borderId="51" xfId="0" applyFill="1" applyBorder="1" applyAlignment="1">
      <alignment vertical="center"/>
    </xf>
    <xf numFmtId="0" fontId="6" fillId="6" borderId="27" xfId="0" applyFont="1" applyFill="1" applyBorder="1" applyAlignment="1">
      <alignment horizontal="center" vertical="center"/>
    </xf>
    <xf numFmtId="0" fontId="0" fillId="6" borderId="52" xfId="0" applyFill="1" applyBorder="1" applyAlignment="1">
      <alignment vertical="center"/>
    </xf>
    <xf numFmtId="0" fontId="6" fillId="6" borderId="28" xfId="0" applyFont="1" applyFill="1" applyBorder="1" applyAlignment="1">
      <alignment horizontal="center" vertical="center"/>
    </xf>
    <xf numFmtId="0" fontId="0" fillId="6" borderId="53" xfId="0" applyFill="1" applyBorder="1" applyAlignment="1">
      <alignment vertical="center"/>
    </xf>
    <xf numFmtId="0" fontId="6" fillId="6" borderId="29" xfId="0" applyFont="1" applyFill="1" applyBorder="1" applyAlignment="1">
      <alignment horizontal="center" vertical="center"/>
    </xf>
    <xf numFmtId="0" fontId="6" fillId="6" borderId="51" xfId="0" applyFont="1" applyFill="1" applyBorder="1" applyAlignment="1">
      <alignment vertical="center"/>
    </xf>
    <xf numFmtId="0" fontId="6" fillId="6" borderId="52" xfId="0" applyFont="1" applyFill="1" applyBorder="1" applyAlignment="1">
      <alignment vertical="center"/>
    </xf>
    <xf numFmtId="0" fontId="6" fillId="6" borderId="53" xfId="0" applyFont="1" applyFill="1" applyBorder="1" applyAlignment="1">
      <alignment vertical="center"/>
    </xf>
    <xf numFmtId="0" fontId="4" fillId="3" borderId="32" xfId="0" applyFont="1" applyFill="1" applyBorder="1" applyAlignment="1">
      <alignment vertical="center"/>
    </xf>
    <xf numFmtId="9" fontId="6" fillId="3" borderId="41" xfId="1" applyFont="1" applyFill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/>
    </xf>
    <xf numFmtId="0" fontId="6" fillId="3" borderId="36" xfId="0" applyFont="1" applyFill="1" applyBorder="1" applyAlignment="1">
      <alignment horizontal="center" vertical="center"/>
    </xf>
    <xf numFmtId="0" fontId="6" fillId="3" borderId="44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3" fontId="6" fillId="8" borderId="36" xfId="1" applyNumberFormat="1" applyFont="1" applyFill="1" applyBorder="1" applyAlignment="1">
      <alignment horizontal="center" vertical="center"/>
    </xf>
    <xf numFmtId="3" fontId="6" fillId="8" borderId="18" xfId="1" applyNumberFormat="1" applyFont="1" applyFill="1" applyBorder="1" applyAlignment="1">
      <alignment horizontal="center" vertical="center"/>
    </xf>
    <xf numFmtId="3" fontId="6" fillId="8" borderId="19" xfId="1" applyNumberFormat="1" applyFont="1" applyFill="1" applyBorder="1" applyAlignment="1">
      <alignment horizontal="center" vertical="center"/>
    </xf>
    <xf numFmtId="3" fontId="6" fillId="8" borderId="20" xfId="1" applyNumberFormat="1" applyFont="1" applyFill="1" applyBorder="1" applyAlignment="1">
      <alignment horizontal="center" vertical="center"/>
    </xf>
    <xf numFmtId="0" fontId="6" fillId="8" borderId="40" xfId="0" applyFont="1" applyFill="1" applyBorder="1" applyAlignment="1">
      <alignment horizontal="center" vertical="center"/>
    </xf>
    <xf numFmtId="0" fontId="6" fillId="8" borderId="36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6" fillId="8" borderId="18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19" xfId="0" applyFont="1" applyFill="1" applyBorder="1" applyAlignment="1">
      <alignment horizontal="center" vertical="center"/>
    </xf>
    <xf numFmtId="0" fontId="6" fillId="8" borderId="13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0" fontId="6" fillId="8" borderId="15" xfId="0" applyFont="1" applyFill="1" applyBorder="1" applyAlignment="1">
      <alignment horizontal="center" vertical="center"/>
    </xf>
    <xf numFmtId="0" fontId="6" fillId="8" borderId="21" xfId="0" applyFont="1" applyFill="1" applyBorder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vertical="center"/>
    </xf>
    <xf numFmtId="0" fontId="14" fillId="0" borderId="0" xfId="0" applyFont="1" applyAlignment="1">
      <alignment vertical="center"/>
    </xf>
    <xf numFmtId="0" fontId="10" fillId="10" borderId="0" xfId="0" applyFont="1" applyFill="1" applyAlignment="1">
      <alignment vertical="center"/>
    </xf>
    <xf numFmtId="0" fontId="7" fillId="10" borderId="0" xfId="0" applyFont="1" applyFill="1" applyAlignment="1">
      <alignment vertical="center"/>
    </xf>
    <xf numFmtId="0" fontId="9" fillId="10" borderId="0" xfId="0" applyFont="1" applyFill="1" applyAlignment="1">
      <alignment vertical="center"/>
    </xf>
    <xf numFmtId="0" fontId="0" fillId="10" borderId="0" xfId="0" applyFill="1" applyAlignment="1">
      <alignment vertical="center"/>
    </xf>
    <xf numFmtId="0" fontId="14" fillId="10" borderId="0" xfId="0" applyFont="1" applyFill="1" applyAlignment="1">
      <alignment vertical="center"/>
    </xf>
    <xf numFmtId="0" fontId="15" fillId="10" borderId="0" xfId="0" applyFont="1" applyFill="1" applyAlignment="1">
      <alignment horizontal="center" vertical="center"/>
    </xf>
    <xf numFmtId="0" fontId="15" fillId="10" borderId="0" xfId="0" applyFont="1" applyFill="1" applyAlignment="1">
      <alignment vertical="center"/>
    </xf>
    <xf numFmtId="0" fontId="0" fillId="10" borderId="0" xfId="0" applyFill="1" applyAlignment="1">
      <alignment horizontal="center" vertical="center"/>
    </xf>
    <xf numFmtId="0" fontId="6" fillId="10" borderId="0" xfId="0" applyFont="1" applyFill="1" applyAlignment="1">
      <alignment vertical="center"/>
    </xf>
    <xf numFmtId="0" fontId="0" fillId="10" borderId="69" xfId="0" applyFill="1" applyBorder="1" applyAlignment="1">
      <alignment vertical="center"/>
    </xf>
    <xf numFmtId="0" fontId="0" fillId="10" borderId="69" xfId="0" applyFill="1" applyBorder="1" applyAlignment="1">
      <alignment horizontal="center" vertical="center"/>
    </xf>
    <xf numFmtId="0" fontId="0" fillId="10" borderId="70" xfId="0" applyFill="1" applyBorder="1" applyAlignment="1">
      <alignment vertical="center"/>
    </xf>
    <xf numFmtId="0" fontId="0" fillId="10" borderId="70" xfId="0" applyFill="1" applyBorder="1" applyAlignment="1">
      <alignment horizontal="center" vertical="center"/>
    </xf>
    <xf numFmtId="0" fontId="0" fillId="10" borderId="71" xfId="0" applyFill="1" applyBorder="1" applyAlignment="1">
      <alignment vertical="center"/>
    </xf>
    <xf numFmtId="0" fontId="0" fillId="10" borderId="72" xfId="0" applyFill="1" applyBorder="1" applyAlignment="1">
      <alignment vertical="center"/>
    </xf>
    <xf numFmtId="0" fontId="0" fillId="10" borderId="73" xfId="0" applyFill="1" applyBorder="1" applyAlignment="1">
      <alignment vertical="center"/>
    </xf>
    <xf numFmtId="0" fontId="7" fillId="10" borderId="73" xfId="0" applyFont="1" applyFill="1" applyBorder="1" applyAlignment="1">
      <alignment vertical="center"/>
    </xf>
    <xf numFmtId="0" fontId="7" fillId="10" borderId="72" xfId="0" applyFont="1" applyFill="1" applyBorder="1" applyAlignment="1">
      <alignment vertical="center"/>
    </xf>
    <xf numFmtId="0" fontId="14" fillId="10" borderId="73" xfId="0" applyFont="1" applyFill="1" applyBorder="1" applyAlignment="1">
      <alignment vertical="center"/>
    </xf>
    <xf numFmtId="0" fontId="14" fillId="10" borderId="72" xfId="0" applyFont="1" applyFill="1" applyBorder="1" applyAlignment="1">
      <alignment vertical="center"/>
    </xf>
    <xf numFmtId="0" fontId="0" fillId="10" borderId="74" xfId="0" applyFill="1" applyBorder="1" applyAlignment="1">
      <alignment vertical="center"/>
    </xf>
    <xf numFmtId="0" fontId="0" fillId="10" borderId="75" xfId="0" applyFill="1" applyBorder="1" applyAlignment="1">
      <alignment vertical="center"/>
    </xf>
    <xf numFmtId="0" fontId="0" fillId="10" borderId="76" xfId="0" applyFill="1" applyBorder="1" applyAlignment="1">
      <alignment vertical="center"/>
    </xf>
    <xf numFmtId="0" fontId="8" fillId="9" borderId="0" xfId="0" applyFont="1" applyFill="1" applyAlignment="1">
      <alignment vertical="center"/>
    </xf>
    <xf numFmtId="0" fontId="4" fillId="3" borderId="31" xfId="0" applyFont="1" applyFill="1" applyBorder="1" applyAlignment="1">
      <alignment vertical="center"/>
    </xf>
    <xf numFmtId="0" fontId="4" fillId="3" borderId="56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center" vertical="center"/>
    </xf>
    <xf numFmtId="0" fontId="3" fillId="2" borderId="82" xfId="0" applyFont="1" applyFill="1" applyBorder="1" applyAlignment="1">
      <alignment horizontal="center" vertical="center" wrapText="1"/>
    </xf>
    <xf numFmtId="0" fontId="3" fillId="2" borderId="83" xfId="0" applyFont="1" applyFill="1" applyBorder="1" applyAlignment="1">
      <alignment horizontal="center" vertical="center" wrapText="1"/>
    </xf>
    <xf numFmtId="0" fontId="3" fillId="2" borderId="84" xfId="0" applyFont="1" applyFill="1" applyBorder="1" applyAlignment="1">
      <alignment horizontal="center" vertical="center" wrapText="1"/>
    </xf>
    <xf numFmtId="0" fontId="3" fillId="2" borderId="85" xfId="0" applyFont="1" applyFill="1" applyBorder="1" applyAlignment="1">
      <alignment horizontal="center" vertical="center" wrapText="1"/>
    </xf>
    <xf numFmtId="0" fontId="3" fillId="2" borderId="89" xfId="0" applyFont="1" applyFill="1" applyBorder="1" applyAlignment="1">
      <alignment horizontal="center" vertical="center" wrapText="1"/>
    </xf>
    <xf numFmtId="0" fontId="3" fillId="2" borderId="88" xfId="0" applyFont="1" applyFill="1" applyBorder="1" applyAlignment="1">
      <alignment horizontal="center" vertical="center" wrapText="1"/>
    </xf>
    <xf numFmtId="0" fontId="3" fillId="2" borderId="90" xfId="0" applyFont="1" applyFill="1" applyBorder="1" applyAlignment="1">
      <alignment horizontal="center" vertical="center" wrapText="1"/>
    </xf>
    <xf numFmtId="0" fontId="3" fillId="2" borderId="91" xfId="0" applyFont="1" applyFill="1" applyBorder="1" applyAlignment="1">
      <alignment horizontal="center" vertical="center" wrapText="1"/>
    </xf>
    <xf numFmtId="0" fontId="3" fillId="2" borderId="92" xfId="0" applyFont="1" applyFill="1" applyBorder="1" applyAlignment="1">
      <alignment horizontal="center" vertical="center" wrapText="1"/>
    </xf>
    <xf numFmtId="0" fontId="6" fillId="6" borderId="93" xfId="0" applyFont="1" applyFill="1" applyBorder="1" applyAlignment="1">
      <alignment horizontal="center" vertical="center"/>
    </xf>
    <xf numFmtId="0" fontId="3" fillId="2" borderId="97" xfId="0" applyFont="1" applyFill="1" applyBorder="1" applyAlignment="1">
      <alignment horizontal="center" vertical="center" wrapText="1"/>
    </xf>
    <xf numFmtId="9" fontId="3" fillId="2" borderId="98" xfId="1" applyFont="1" applyFill="1" applyBorder="1" applyAlignment="1">
      <alignment horizontal="center" vertical="center" wrapText="1"/>
    </xf>
    <xf numFmtId="9" fontId="3" fillId="2" borderId="92" xfId="1" applyFont="1" applyFill="1" applyBorder="1" applyAlignment="1">
      <alignment horizontal="center" vertical="center" wrapText="1"/>
    </xf>
    <xf numFmtId="0" fontId="3" fillId="2" borderId="98" xfId="0" applyFont="1" applyFill="1" applyBorder="1" applyAlignment="1">
      <alignment horizontal="center" vertical="center" wrapText="1"/>
    </xf>
    <xf numFmtId="0" fontId="6" fillId="3" borderId="82" xfId="0" applyFont="1" applyFill="1" applyBorder="1" applyAlignment="1">
      <alignment horizontal="center" vertical="center"/>
    </xf>
    <xf numFmtId="0" fontId="6" fillId="3" borderId="83" xfId="0" applyFont="1" applyFill="1" applyBorder="1" applyAlignment="1">
      <alignment horizontal="center" vertical="center"/>
    </xf>
    <xf numFmtId="0" fontId="6" fillId="3" borderId="101" xfId="0" applyFont="1" applyFill="1" applyBorder="1" applyAlignment="1">
      <alignment horizontal="center" vertical="center"/>
    </xf>
    <xf numFmtId="0" fontId="0" fillId="5" borderId="81" xfId="0" applyFill="1" applyBorder="1" applyAlignment="1">
      <alignment vertical="center"/>
    </xf>
    <xf numFmtId="0" fontId="0" fillId="5" borderId="83" xfId="0" applyFill="1" applyBorder="1" applyAlignment="1">
      <alignment horizontal="center" vertical="center"/>
    </xf>
    <xf numFmtId="0" fontId="0" fillId="5" borderId="82" xfId="0" applyFill="1" applyBorder="1" applyAlignment="1">
      <alignment horizontal="center" vertical="center"/>
    </xf>
    <xf numFmtId="0" fontId="0" fillId="5" borderId="101" xfId="0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9" fontId="0" fillId="5" borderId="15" xfId="1" applyFont="1" applyFill="1" applyBorder="1" applyAlignment="1">
      <alignment horizontal="center" vertical="center"/>
    </xf>
    <xf numFmtId="3" fontId="2" fillId="5" borderId="25" xfId="1" applyNumberFormat="1" applyFont="1" applyFill="1" applyBorder="1" applyAlignment="1">
      <alignment horizontal="center" vertical="center"/>
    </xf>
    <xf numFmtId="9" fontId="0" fillId="5" borderId="25" xfId="1" applyFont="1" applyFill="1" applyBorder="1" applyAlignment="1">
      <alignment horizontal="center" vertical="center"/>
    </xf>
    <xf numFmtId="3" fontId="2" fillId="5" borderId="21" xfId="1" applyNumberFormat="1" applyFont="1" applyFill="1" applyBorder="1" applyAlignment="1">
      <alignment horizontal="center" vertical="center"/>
    </xf>
    <xf numFmtId="0" fontId="6" fillId="8" borderId="118" xfId="0" applyFont="1" applyFill="1" applyBorder="1" applyAlignment="1">
      <alignment horizontal="center" vertical="center"/>
    </xf>
    <xf numFmtId="3" fontId="6" fillId="8" borderId="9" xfId="1" applyNumberFormat="1" applyFont="1" applyFill="1" applyBorder="1" applyAlignment="1">
      <alignment horizontal="center" vertical="center"/>
    </xf>
    <xf numFmtId="3" fontId="6" fillId="8" borderId="11" xfId="1" applyNumberFormat="1" applyFont="1" applyFill="1" applyBorder="1" applyAlignment="1">
      <alignment horizontal="center" vertical="center"/>
    </xf>
    <xf numFmtId="3" fontId="6" fillId="8" borderId="13" xfId="1" applyNumberFormat="1" applyFont="1" applyFill="1" applyBorder="1" applyAlignment="1">
      <alignment horizontal="center" vertical="center"/>
    </xf>
    <xf numFmtId="3" fontId="6" fillId="8" borderId="118" xfId="1" applyNumberFormat="1" applyFont="1" applyFill="1" applyBorder="1" applyAlignment="1">
      <alignment horizontal="center" vertical="center"/>
    </xf>
    <xf numFmtId="3" fontId="6" fillId="8" borderId="40" xfId="1" applyNumberFormat="1" applyFont="1" applyFill="1" applyBorder="1" applyAlignment="1">
      <alignment horizontal="center" vertical="center"/>
    </xf>
    <xf numFmtId="3" fontId="6" fillId="8" borderId="15" xfId="1" applyNumberFormat="1" applyFont="1" applyFill="1" applyBorder="1" applyAlignment="1">
      <alignment horizontal="center" vertical="center"/>
    </xf>
    <xf numFmtId="0" fontId="6" fillId="8" borderId="117" xfId="0" applyFont="1" applyFill="1" applyBorder="1" applyAlignment="1">
      <alignment horizontal="center" vertical="center"/>
    </xf>
    <xf numFmtId="0" fontId="6" fillId="3" borderId="118" xfId="0" applyFont="1" applyFill="1" applyBorder="1" applyAlignment="1">
      <alignment horizontal="center" vertical="center"/>
    </xf>
    <xf numFmtId="0" fontId="6" fillId="3" borderId="117" xfId="0" applyFont="1" applyFill="1" applyBorder="1" applyAlignment="1">
      <alignment horizontal="center" vertical="center"/>
    </xf>
    <xf numFmtId="0" fontId="6" fillId="3" borderId="119" xfId="0" applyFont="1" applyFill="1" applyBorder="1" applyAlignment="1">
      <alignment horizontal="center" vertical="center"/>
    </xf>
    <xf numFmtId="3" fontId="16" fillId="8" borderId="37" xfId="1" applyNumberFormat="1" applyFont="1" applyFill="1" applyBorder="1" applyAlignment="1">
      <alignment horizontal="center" vertical="center"/>
    </xf>
    <xf numFmtId="0" fontId="16" fillId="8" borderId="37" xfId="0" applyFont="1" applyFill="1" applyBorder="1" applyAlignment="1">
      <alignment horizontal="center" vertical="center"/>
    </xf>
    <xf numFmtId="0" fontId="16" fillId="8" borderId="39" xfId="0" applyFont="1" applyFill="1" applyBorder="1" applyAlignment="1">
      <alignment horizontal="center" vertical="center"/>
    </xf>
    <xf numFmtId="0" fontId="16" fillId="3" borderId="37" xfId="0" applyFont="1" applyFill="1" applyBorder="1" applyAlignment="1">
      <alignment horizontal="center" vertical="center"/>
    </xf>
    <xf numFmtId="0" fontId="16" fillId="3" borderId="39" xfId="0" applyFont="1" applyFill="1" applyBorder="1" applyAlignment="1">
      <alignment horizontal="center" vertical="center"/>
    </xf>
    <xf numFmtId="0" fontId="16" fillId="3" borderId="46" xfId="0" applyFont="1" applyFill="1" applyBorder="1" applyAlignment="1">
      <alignment horizontal="center" vertical="center"/>
    </xf>
    <xf numFmtId="0" fontId="6" fillId="8" borderId="94" xfId="0" applyFont="1" applyFill="1" applyBorder="1" applyAlignment="1">
      <alignment horizontal="center" vertical="center"/>
    </xf>
    <xf numFmtId="0" fontId="6" fillId="8" borderId="93" xfId="0" applyFont="1" applyFill="1" applyBorder="1" applyAlignment="1">
      <alignment horizontal="center" vertical="center"/>
    </xf>
    <xf numFmtId="0" fontId="6" fillId="6" borderId="94" xfId="0" applyFont="1" applyFill="1" applyBorder="1" applyAlignment="1">
      <alignment horizontal="center" vertical="center"/>
    </xf>
    <xf numFmtId="0" fontId="6" fillId="6" borderId="124" xfId="0" applyFont="1" applyFill="1" applyBorder="1" applyAlignment="1">
      <alignment horizontal="center" vertical="center"/>
    </xf>
    <xf numFmtId="0" fontId="0" fillId="5" borderId="114" xfId="0" applyFill="1" applyBorder="1" applyAlignment="1">
      <alignment horizontal="center" vertical="center"/>
    </xf>
    <xf numFmtId="0" fontId="0" fillId="5" borderId="117" xfId="0" applyFill="1" applyBorder="1" applyAlignment="1">
      <alignment horizontal="center" vertical="center"/>
    </xf>
    <xf numFmtId="9" fontId="0" fillId="5" borderId="118" xfId="1" applyFont="1" applyFill="1" applyBorder="1" applyAlignment="1">
      <alignment horizontal="center" vertical="center"/>
    </xf>
    <xf numFmtId="3" fontId="2" fillId="5" borderId="99" xfId="1" applyNumberFormat="1" applyFont="1" applyFill="1" applyBorder="1" applyAlignment="1">
      <alignment horizontal="center" vertical="center"/>
    </xf>
    <xf numFmtId="9" fontId="0" fillId="5" borderId="99" xfId="1" applyFont="1" applyFill="1" applyBorder="1" applyAlignment="1">
      <alignment horizontal="center" vertical="center"/>
    </xf>
    <xf numFmtId="3" fontId="2" fillId="5" borderId="117" xfId="1" applyNumberFormat="1" applyFont="1" applyFill="1" applyBorder="1" applyAlignment="1">
      <alignment horizontal="center" vertical="center"/>
    </xf>
    <xf numFmtId="0" fontId="0" fillId="5" borderId="118" xfId="0" applyFill="1" applyBorder="1" applyAlignment="1">
      <alignment horizontal="center" vertical="center"/>
    </xf>
    <xf numFmtId="0" fontId="0" fillId="5" borderId="119" xfId="0" applyFill="1" applyBorder="1" applyAlignment="1">
      <alignment horizontal="center" vertical="center"/>
    </xf>
    <xf numFmtId="0" fontId="0" fillId="3" borderId="122" xfId="0" applyFill="1" applyBorder="1" applyAlignment="1">
      <alignment horizontal="center" vertical="center"/>
    </xf>
    <xf numFmtId="0" fontId="0" fillId="3" borderId="93" xfId="0" applyFill="1" applyBorder="1" applyAlignment="1">
      <alignment horizontal="center" vertical="center"/>
    </xf>
    <xf numFmtId="9" fontId="0" fillId="3" borderId="94" xfId="1" applyFont="1" applyFill="1" applyBorder="1" applyAlignment="1">
      <alignment horizontal="center" vertical="center"/>
    </xf>
    <xf numFmtId="3" fontId="2" fillId="3" borderId="123" xfId="1" applyNumberFormat="1" applyFont="1" applyFill="1" applyBorder="1" applyAlignment="1">
      <alignment horizontal="center" vertical="center"/>
    </xf>
    <xf numFmtId="9" fontId="0" fillId="3" borderId="123" xfId="1" applyFont="1" applyFill="1" applyBorder="1" applyAlignment="1">
      <alignment horizontal="center" vertical="center"/>
    </xf>
    <xf numFmtId="3" fontId="2" fillId="3" borderId="93" xfId="1" applyNumberFormat="1" applyFont="1" applyFill="1" applyBorder="1" applyAlignment="1">
      <alignment horizontal="center" vertical="center"/>
    </xf>
    <xf numFmtId="0" fontId="0" fillId="3" borderId="94" xfId="0" applyFill="1" applyBorder="1" applyAlignment="1">
      <alignment horizontal="center" vertical="center"/>
    </xf>
    <xf numFmtId="0" fontId="0" fillId="3" borderId="124" xfId="0" applyFill="1" applyBorder="1" applyAlignment="1">
      <alignment horizontal="center" vertical="center"/>
    </xf>
    <xf numFmtId="0" fontId="3" fillId="2" borderId="126" xfId="0" applyFont="1" applyFill="1" applyBorder="1" applyAlignment="1">
      <alignment horizontal="center" vertical="center" wrapText="1"/>
    </xf>
    <xf numFmtId="0" fontId="0" fillId="11" borderId="127" xfId="0" applyFill="1" applyBorder="1" applyAlignment="1">
      <alignment horizontal="center" vertical="center"/>
    </xf>
    <xf numFmtId="0" fontId="0" fillId="11" borderId="128" xfId="0" applyFill="1" applyBorder="1" applyAlignment="1">
      <alignment horizontal="center" vertical="center"/>
    </xf>
    <xf numFmtId="0" fontId="0" fillId="11" borderId="129" xfId="0" applyFill="1" applyBorder="1" applyAlignment="1">
      <alignment horizontal="center" vertical="center"/>
    </xf>
    <xf numFmtId="0" fontId="0" fillId="11" borderId="130" xfId="0" applyFill="1" applyBorder="1" applyAlignment="1">
      <alignment horizontal="center" vertical="center"/>
    </xf>
    <xf numFmtId="0" fontId="0" fillId="8" borderId="49" xfId="0" applyFill="1" applyBorder="1" applyAlignment="1">
      <alignment vertical="center"/>
    </xf>
    <xf numFmtId="0" fontId="0" fillId="8" borderId="50" xfId="0" applyFill="1" applyBorder="1" applyAlignment="1">
      <alignment horizontal="center" vertical="center"/>
    </xf>
    <xf numFmtId="0" fontId="6" fillId="8" borderId="35" xfId="0" applyFont="1" applyFill="1" applyBorder="1" applyAlignment="1">
      <alignment horizontal="center" vertical="center"/>
    </xf>
    <xf numFmtId="0" fontId="0" fillId="8" borderId="51" xfId="0" applyFill="1" applyBorder="1" applyAlignment="1">
      <alignment vertical="center"/>
    </xf>
    <xf numFmtId="0" fontId="0" fillId="8" borderId="4" xfId="0" applyFill="1" applyBorder="1" applyAlignment="1">
      <alignment horizontal="center" vertical="center"/>
    </xf>
    <xf numFmtId="0" fontId="6" fillId="8" borderId="27" xfId="0" applyFont="1" applyFill="1" applyBorder="1" applyAlignment="1">
      <alignment horizontal="center" vertical="center"/>
    </xf>
    <xf numFmtId="0" fontId="0" fillId="8" borderId="52" xfId="0" applyFill="1" applyBorder="1" applyAlignment="1">
      <alignment vertical="center"/>
    </xf>
    <xf numFmtId="0" fontId="0" fillId="8" borderId="5" xfId="0" applyFill="1" applyBorder="1" applyAlignment="1">
      <alignment horizontal="center" vertical="center"/>
    </xf>
    <xf numFmtId="0" fontId="6" fillId="8" borderId="28" xfId="0" applyFont="1" applyFill="1" applyBorder="1" applyAlignment="1">
      <alignment horizontal="center" vertical="center"/>
    </xf>
    <xf numFmtId="0" fontId="0" fillId="8" borderId="53" xfId="0" applyFill="1" applyBorder="1" applyAlignment="1">
      <alignment vertical="center"/>
    </xf>
    <xf numFmtId="0" fontId="0" fillId="8" borderId="6" xfId="0" applyFill="1" applyBorder="1" applyAlignment="1">
      <alignment horizontal="center" vertical="center"/>
    </xf>
    <xf numFmtId="0" fontId="6" fillId="8" borderId="29" xfId="0" applyFont="1" applyFill="1" applyBorder="1" applyAlignment="1">
      <alignment horizontal="center" vertical="center"/>
    </xf>
    <xf numFmtId="0" fontId="4" fillId="8" borderId="61" xfId="0" applyFont="1" applyFill="1" applyBorder="1" applyAlignment="1">
      <alignment horizontal="center" vertical="center" wrapText="1"/>
    </xf>
    <xf numFmtId="0" fontId="0" fillId="8" borderId="54" xfId="0" applyFill="1" applyBorder="1" applyAlignment="1">
      <alignment vertical="center"/>
    </xf>
    <xf numFmtId="0" fontId="0" fillId="8" borderId="7" xfId="0" applyFill="1" applyBorder="1" applyAlignment="1">
      <alignment horizontal="center" vertical="center"/>
    </xf>
    <xf numFmtId="0" fontId="6" fillId="8" borderId="30" xfId="0" applyFont="1" applyFill="1" applyBorder="1" applyAlignment="1">
      <alignment horizontal="center" vertical="center"/>
    </xf>
    <xf numFmtId="0" fontId="4" fillId="8" borderId="100" xfId="0" applyFont="1" applyFill="1" applyBorder="1" applyAlignment="1">
      <alignment horizontal="center" vertical="center"/>
    </xf>
    <xf numFmtId="0" fontId="0" fillId="8" borderId="102" xfId="0" applyFill="1" applyBorder="1" applyAlignment="1">
      <alignment vertical="center"/>
    </xf>
    <xf numFmtId="0" fontId="0" fillId="8" borderId="103" xfId="0" applyFill="1" applyBorder="1" applyAlignment="1">
      <alignment horizontal="center" vertical="center"/>
    </xf>
    <xf numFmtId="0" fontId="6" fillId="8" borderId="114" xfId="0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horizontal="center" vertical="center"/>
    </xf>
    <xf numFmtId="165" fontId="4" fillId="8" borderId="47" xfId="0" applyNumberFormat="1" applyFont="1" applyFill="1" applyBorder="1" applyAlignment="1">
      <alignment horizontal="left" vertical="center"/>
    </xf>
    <xf numFmtId="0" fontId="4" fillId="8" borderId="55" xfId="0" applyFont="1" applyFill="1" applyBorder="1" applyAlignment="1">
      <alignment horizontal="center" vertical="center"/>
    </xf>
    <xf numFmtId="0" fontId="16" fillId="8" borderId="45" xfId="0" applyFont="1" applyFill="1" applyBorder="1" applyAlignment="1">
      <alignment horizontal="center" vertical="center"/>
    </xf>
    <xf numFmtId="0" fontId="0" fillId="8" borderId="52" xfId="0" applyFont="1" applyFill="1" applyBorder="1" applyAlignment="1">
      <alignment vertical="center"/>
    </xf>
    <xf numFmtId="0" fontId="0" fillId="8" borderId="5" xfId="0" applyFont="1" applyFill="1" applyBorder="1" applyAlignment="1">
      <alignment horizontal="center" vertical="center"/>
    </xf>
    <xf numFmtId="0" fontId="0" fillId="8" borderId="6" xfId="0" applyFont="1" applyFill="1" applyBorder="1" applyAlignment="1">
      <alignment horizontal="center" vertical="center"/>
    </xf>
    <xf numFmtId="0" fontId="6" fillId="8" borderId="51" xfId="0" applyFont="1" applyFill="1" applyBorder="1" applyAlignment="1">
      <alignment vertical="center"/>
    </xf>
    <xf numFmtId="0" fontId="0" fillId="8" borderId="4" xfId="0" applyFont="1" applyFill="1" applyBorder="1" applyAlignment="1">
      <alignment horizontal="center" vertical="center"/>
    </xf>
    <xf numFmtId="0" fontId="6" fillId="8" borderId="52" xfId="0" applyFont="1" applyFill="1" applyBorder="1" applyAlignment="1">
      <alignment vertical="center"/>
    </xf>
    <xf numFmtId="0" fontId="6" fillId="8" borderId="53" xfId="0" applyFont="1" applyFill="1" applyBorder="1" applyAlignment="1">
      <alignment vertical="center"/>
    </xf>
    <xf numFmtId="0" fontId="4" fillId="8" borderId="61" xfId="0" applyFont="1" applyFill="1" applyBorder="1" applyAlignment="1">
      <alignment horizontal="center" vertical="center"/>
    </xf>
    <xf numFmtId="3" fontId="13" fillId="8" borderId="45" xfId="0" applyNumberFormat="1" applyFont="1" applyFill="1" applyBorder="1" applyAlignment="1">
      <alignment horizontal="center" vertical="center"/>
    </xf>
    <xf numFmtId="0" fontId="6" fillId="8" borderId="105" xfId="0" applyFont="1" applyFill="1" applyBorder="1" applyAlignment="1">
      <alignment horizontal="center" vertical="center"/>
    </xf>
    <xf numFmtId="0" fontId="6" fillId="8" borderId="107" xfId="0" applyFont="1" applyFill="1" applyBorder="1" applyAlignment="1">
      <alignment horizontal="center" vertical="center"/>
    </xf>
    <xf numFmtId="0" fontId="6" fillId="8" borderId="109" xfId="0" applyFont="1" applyFill="1" applyBorder="1" applyAlignment="1">
      <alignment horizontal="center" vertical="center"/>
    </xf>
    <xf numFmtId="0" fontId="6" fillId="8" borderId="111" xfId="0" applyFont="1" applyFill="1" applyBorder="1" applyAlignment="1">
      <alignment horizontal="center" vertical="center"/>
    </xf>
    <xf numFmtId="0" fontId="6" fillId="8" borderId="113" xfId="0" applyFont="1" applyFill="1" applyBorder="1" applyAlignment="1">
      <alignment horizontal="center" vertical="center"/>
    </xf>
    <xf numFmtId="0" fontId="6" fillId="8" borderId="116" xfId="0" applyFont="1" applyFill="1" applyBorder="1" applyAlignment="1">
      <alignment horizontal="center" vertical="center"/>
    </xf>
    <xf numFmtId="0" fontId="16" fillId="8" borderId="121" xfId="0" applyFont="1" applyFill="1" applyBorder="1" applyAlignment="1">
      <alignment horizontal="center" vertical="center"/>
    </xf>
    <xf numFmtId="3" fontId="13" fillId="8" borderId="38" xfId="0" applyNumberFormat="1" applyFont="1" applyFill="1" applyBorder="1" applyAlignment="1">
      <alignment horizontal="center" vertical="center"/>
    </xf>
    <xf numFmtId="3" fontId="13" fillId="8" borderId="37" xfId="1" applyNumberFormat="1" applyFont="1" applyFill="1" applyBorder="1" applyAlignment="1">
      <alignment horizontal="center" vertical="center"/>
    </xf>
    <xf numFmtId="9" fontId="6" fillId="12" borderId="104" xfId="1" applyFont="1" applyFill="1" applyBorder="1" applyAlignment="1">
      <alignment horizontal="center" vertical="center"/>
    </xf>
    <xf numFmtId="9" fontId="6" fillId="12" borderId="106" xfId="1" applyFont="1" applyFill="1" applyBorder="1" applyAlignment="1">
      <alignment horizontal="center" vertical="center"/>
    </xf>
    <xf numFmtId="9" fontId="6" fillId="12" borderId="108" xfId="1" applyFont="1" applyFill="1" applyBorder="1" applyAlignment="1">
      <alignment horizontal="center" vertical="center"/>
    </xf>
    <xf numFmtId="9" fontId="6" fillId="12" borderId="110" xfId="1" applyFont="1" applyFill="1" applyBorder="1" applyAlignment="1">
      <alignment horizontal="center" vertical="center"/>
    </xf>
    <xf numFmtId="9" fontId="6" fillId="12" borderId="112" xfId="1" applyFont="1" applyFill="1" applyBorder="1" applyAlignment="1">
      <alignment horizontal="center" vertical="center"/>
    </xf>
    <xf numFmtId="9" fontId="6" fillId="12" borderId="115" xfId="1" applyFont="1" applyFill="1" applyBorder="1" applyAlignment="1">
      <alignment horizontal="center" vertical="center"/>
    </xf>
    <xf numFmtId="9" fontId="16" fillId="12" borderId="120" xfId="1" applyFont="1" applyFill="1" applyBorder="1" applyAlignment="1">
      <alignment horizontal="center" vertical="center"/>
    </xf>
    <xf numFmtId="9" fontId="6" fillId="12" borderId="36" xfId="1" applyFont="1" applyFill="1" applyBorder="1" applyAlignment="1">
      <alignment horizontal="center" vertical="center"/>
    </xf>
    <xf numFmtId="9" fontId="6" fillId="12" borderId="18" xfId="1" applyFont="1" applyFill="1" applyBorder="1" applyAlignment="1">
      <alignment horizontal="center" vertical="center"/>
    </xf>
    <xf numFmtId="9" fontId="6" fillId="12" borderId="19" xfId="1" applyFont="1" applyFill="1" applyBorder="1" applyAlignment="1">
      <alignment horizontal="center" vertical="center"/>
    </xf>
    <xf numFmtId="9" fontId="6" fillId="12" borderId="20" xfId="1" applyFont="1" applyFill="1" applyBorder="1" applyAlignment="1">
      <alignment horizontal="center" vertical="center"/>
    </xf>
    <xf numFmtId="9" fontId="6" fillId="12" borderId="21" xfId="1" applyFont="1" applyFill="1" applyBorder="1" applyAlignment="1">
      <alignment horizontal="center" vertical="center"/>
    </xf>
    <xf numFmtId="9" fontId="6" fillId="12" borderId="117" xfId="1" applyFont="1" applyFill="1" applyBorder="1" applyAlignment="1">
      <alignment horizontal="center" vertical="center"/>
    </xf>
    <xf numFmtId="9" fontId="16" fillId="12" borderId="39" xfId="1" applyFont="1" applyFill="1" applyBorder="1" applyAlignment="1">
      <alignment horizontal="center" vertical="center"/>
    </xf>
    <xf numFmtId="0" fontId="0" fillId="3" borderId="81" xfId="0" applyFill="1" applyBorder="1" applyAlignment="1">
      <alignment vertical="center"/>
    </xf>
    <xf numFmtId="0" fontId="4" fillId="8" borderId="62" xfId="0" applyFont="1" applyFill="1" applyBorder="1" applyAlignment="1">
      <alignment horizontal="center" vertical="center"/>
    </xf>
    <xf numFmtId="0" fontId="0" fillId="8" borderId="131" xfId="0" applyFill="1" applyBorder="1" applyAlignment="1">
      <alignment vertical="center"/>
    </xf>
    <xf numFmtId="0" fontId="0" fillId="8" borderId="125" xfId="0" applyFill="1" applyBorder="1" applyAlignment="1">
      <alignment horizontal="center" vertical="center"/>
    </xf>
    <xf numFmtId="0" fontId="0" fillId="3" borderId="131" xfId="0" applyFill="1" applyBorder="1" applyAlignment="1">
      <alignment vertical="center"/>
    </xf>
    <xf numFmtId="0" fontId="0" fillId="3" borderId="125" xfId="0" applyFill="1" applyBorder="1" applyAlignment="1">
      <alignment horizontal="center" vertical="center"/>
    </xf>
    <xf numFmtId="0" fontId="0" fillId="3" borderId="114" xfId="0" applyFill="1" applyBorder="1" applyAlignment="1">
      <alignment horizontal="center" vertical="center"/>
    </xf>
    <xf numFmtId="0" fontId="0" fillId="3" borderId="117" xfId="0" applyFill="1" applyBorder="1" applyAlignment="1">
      <alignment horizontal="center" vertical="center"/>
    </xf>
    <xf numFmtId="3" fontId="2" fillId="3" borderId="99" xfId="1" applyNumberFormat="1" applyFont="1" applyFill="1" applyBorder="1" applyAlignment="1">
      <alignment horizontal="center" vertical="center"/>
    </xf>
    <xf numFmtId="3" fontId="2" fillId="3" borderId="117" xfId="1" applyNumberFormat="1" applyFont="1" applyFill="1" applyBorder="1" applyAlignment="1">
      <alignment horizontal="center" vertical="center"/>
    </xf>
    <xf numFmtId="0" fontId="0" fillId="3" borderId="118" xfId="0" applyFill="1" applyBorder="1" applyAlignment="1">
      <alignment horizontal="center" vertical="center"/>
    </xf>
    <xf numFmtId="0" fontId="0" fillId="3" borderId="119" xfId="0" applyFill="1" applyBorder="1" applyAlignment="1">
      <alignment horizontal="center" vertical="center"/>
    </xf>
    <xf numFmtId="0" fontId="0" fillId="8" borderId="54" xfId="0" applyFont="1" applyFill="1" applyBorder="1" applyAlignment="1">
      <alignment vertical="center"/>
    </xf>
    <xf numFmtId="0" fontId="0" fillId="8" borderId="7" xfId="0" applyFont="1" applyFill="1" applyBorder="1" applyAlignment="1">
      <alignment horizontal="center" vertical="center"/>
    </xf>
    <xf numFmtId="0" fontId="6" fillId="8" borderId="54" xfId="0" applyFont="1" applyFill="1" applyBorder="1" applyAlignment="1">
      <alignment vertical="center"/>
    </xf>
    <xf numFmtId="0" fontId="0" fillId="3" borderId="54" xfId="0" applyFont="1" applyFill="1" applyBorder="1" applyAlignment="1">
      <alignment vertical="center"/>
    </xf>
    <xf numFmtId="0" fontId="0" fillId="3" borderId="7" xfId="0" applyFont="1" applyFill="1" applyBorder="1" applyAlignment="1">
      <alignment horizontal="center" vertical="center"/>
    </xf>
    <xf numFmtId="0" fontId="6" fillId="3" borderId="54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4" fillId="0" borderId="0" xfId="0" applyFont="1" applyBorder="1" applyAlignment="1">
      <alignment vertical="center"/>
    </xf>
    <xf numFmtId="3" fontId="6" fillId="3" borderId="21" xfId="1" applyNumberFormat="1" applyFont="1" applyFill="1" applyBorder="1" applyAlignment="1">
      <alignment horizontal="center" vertical="center"/>
    </xf>
    <xf numFmtId="3" fontId="6" fillId="3" borderId="117" xfId="1" applyNumberFormat="1" applyFont="1" applyFill="1" applyBorder="1" applyAlignment="1">
      <alignment horizontal="center" vertical="center"/>
    </xf>
    <xf numFmtId="0" fontId="4" fillId="0" borderId="64" xfId="0" applyFont="1" applyBorder="1" applyAlignment="1">
      <alignment horizontal="center" vertical="center" wrapText="1"/>
    </xf>
    <xf numFmtId="0" fontId="0" fillId="0" borderId="64" xfId="0" applyBorder="1" applyAlignment="1">
      <alignment horizontal="center" vertical="center"/>
    </xf>
    <xf numFmtId="0" fontId="4" fillId="0" borderId="64" xfId="0" applyFont="1" applyBorder="1" applyAlignment="1">
      <alignment horizontal="center" vertical="center"/>
    </xf>
    <xf numFmtId="9" fontId="6" fillId="6" borderId="18" xfId="1" applyFont="1" applyFill="1" applyBorder="1" applyAlignment="1">
      <alignment horizontal="center" vertical="center"/>
    </xf>
    <xf numFmtId="9" fontId="6" fillId="6" borderId="10" xfId="1" applyFont="1" applyFill="1" applyBorder="1" applyAlignment="1">
      <alignment horizontal="center" vertical="center"/>
    </xf>
    <xf numFmtId="9" fontId="6" fillId="6" borderId="19" xfId="1" applyFont="1" applyFill="1" applyBorder="1" applyAlignment="1">
      <alignment horizontal="center" vertical="center"/>
    </xf>
    <xf numFmtId="9" fontId="6" fillId="6" borderId="20" xfId="1" applyFont="1" applyFill="1" applyBorder="1" applyAlignment="1">
      <alignment horizontal="center" vertical="center"/>
    </xf>
    <xf numFmtId="9" fontId="6" fillId="6" borderId="12" xfId="1" applyFont="1" applyFill="1" applyBorder="1" applyAlignment="1">
      <alignment horizontal="center" vertical="center"/>
    </xf>
    <xf numFmtId="9" fontId="6" fillId="6" borderId="14" xfId="1" applyFont="1" applyFill="1" applyBorder="1" applyAlignment="1">
      <alignment horizontal="center" vertical="center"/>
    </xf>
    <xf numFmtId="9" fontId="6" fillId="6" borderId="21" xfId="1" applyFont="1" applyFill="1" applyBorder="1" applyAlignment="1">
      <alignment horizontal="center" vertical="center"/>
    </xf>
    <xf numFmtId="9" fontId="6" fillId="6" borderId="16" xfId="1" applyFont="1" applyFill="1" applyBorder="1" applyAlignment="1">
      <alignment horizontal="center" vertical="center"/>
    </xf>
    <xf numFmtId="3" fontId="0" fillId="3" borderId="19" xfId="1" applyNumberFormat="1" applyFont="1" applyFill="1" applyBorder="1" applyAlignment="1">
      <alignment horizontal="center" vertical="center"/>
    </xf>
    <xf numFmtId="9" fontId="13" fillId="12" borderId="39" xfId="1" applyFont="1" applyFill="1" applyBorder="1" applyAlignment="1">
      <alignment horizontal="center" vertical="center"/>
    </xf>
    <xf numFmtId="9" fontId="13" fillId="12" borderId="56" xfId="1" applyFont="1" applyFill="1" applyBorder="1" applyAlignment="1">
      <alignment horizontal="center" vertical="center"/>
    </xf>
    <xf numFmtId="3" fontId="13" fillId="4" borderId="37" xfId="1" applyNumberFormat="1" applyFont="1" applyFill="1" applyBorder="1" applyAlignment="1">
      <alignment horizontal="center" vertical="center"/>
    </xf>
    <xf numFmtId="9" fontId="13" fillId="4" borderId="39" xfId="1" applyFont="1" applyFill="1" applyBorder="1" applyAlignment="1">
      <alignment horizontal="center" vertical="center"/>
    </xf>
    <xf numFmtId="3" fontId="6" fillId="6" borderId="36" xfId="1" applyNumberFormat="1" applyFont="1" applyFill="1" applyBorder="1" applyAlignment="1">
      <alignment horizontal="center" vertical="center"/>
    </xf>
    <xf numFmtId="9" fontId="6" fillId="3" borderId="40" xfId="1" applyFont="1" applyFill="1" applyBorder="1" applyAlignment="1">
      <alignment horizontal="center" vertical="center"/>
    </xf>
    <xf numFmtId="3" fontId="0" fillId="11" borderId="132" xfId="2" applyNumberFormat="1" applyFont="1" applyFill="1" applyBorder="1" applyAlignment="1" applyProtection="1">
      <alignment horizontal="center" vertical="center"/>
    </xf>
    <xf numFmtId="3" fontId="0" fillId="11" borderId="133" xfId="2" applyNumberFormat="1" applyFont="1" applyFill="1" applyBorder="1" applyAlignment="1" applyProtection="1">
      <alignment horizontal="center" vertical="center"/>
    </xf>
    <xf numFmtId="3" fontId="6" fillId="6" borderId="20" xfId="1" applyNumberFormat="1" applyFont="1" applyFill="1" applyBorder="1" applyAlignment="1">
      <alignment horizontal="center" vertical="center"/>
    </xf>
    <xf numFmtId="3" fontId="6" fillId="6" borderId="18" xfId="1" applyNumberFormat="1" applyFont="1" applyFill="1" applyBorder="1" applyAlignment="1">
      <alignment horizontal="center" vertical="center"/>
    </xf>
    <xf numFmtId="3" fontId="6" fillId="6" borderId="19" xfId="1" applyNumberFormat="1" applyFont="1" applyFill="1" applyBorder="1" applyAlignment="1">
      <alignment horizontal="center" vertical="center"/>
    </xf>
    <xf numFmtId="9" fontId="13" fillId="3" borderId="37" xfId="1" applyFont="1" applyFill="1" applyBorder="1" applyAlignment="1">
      <alignment horizontal="center" vertical="center"/>
    </xf>
    <xf numFmtId="0" fontId="0" fillId="3" borderId="103" xfId="0" applyFill="1" applyBorder="1" applyAlignment="1">
      <alignment horizontal="center" vertical="center"/>
    </xf>
    <xf numFmtId="0" fontId="0" fillId="3" borderId="135" xfId="0" applyFill="1" applyBorder="1" applyAlignment="1">
      <alignment vertical="center"/>
    </xf>
    <xf numFmtId="0" fontId="0" fillId="8" borderId="135" xfId="0" applyFill="1" applyBorder="1" applyAlignment="1">
      <alignment vertical="center"/>
    </xf>
    <xf numFmtId="0" fontId="0" fillId="0" borderId="136" xfId="0" applyBorder="1" applyAlignment="1">
      <alignment vertical="center"/>
    </xf>
    <xf numFmtId="0" fontId="0" fillId="0" borderId="134" xfId="0" applyBorder="1" applyAlignment="1">
      <alignment vertical="center"/>
    </xf>
    <xf numFmtId="0" fontId="0" fillId="0" borderId="137" xfId="0" applyBorder="1" applyAlignment="1">
      <alignment vertical="center"/>
    </xf>
    <xf numFmtId="0" fontId="0" fillId="0" borderId="59" xfId="0" applyBorder="1" applyAlignment="1">
      <alignment vertical="center"/>
    </xf>
    <xf numFmtId="0" fontId="0" fillId="0" borderId="138" xfId="0" applyBorder="1" applyAlignment="1">
      <alignment vertical="center"/>
    </xf>
    <xf numFmtId="0" fontId="0" fillId="0" borderId="60" xfId="0" applyBorder="1" applyAlignment="1">
      <alignment vertical="center"/>
    </xf>
    <xf numFmtId="0" fontId="0" fillId="0" borderId="66" xfId="0" applyBorder="1" applyAlignment="1">
      <alignment vertical="center"/>
    </xf>
    <xf numFmtId="0" fontId="0" fillId="0" borderId="100" xfId="0" applyBorder="1" applyAlignment="1">
      <alignment vertical="center"/>
    </xf>
    <xf numFmtId="0" fontId="0" fillId="0" borderId="139" xfId="0" applyBorder="1" applyAlignment="1">
      <alignment vertical="center"/>
    </xf>
    <xf numFmtId="0" fontId="0" fillId="0" borderId="58" xfId="0" applyBorder="1" applyAlignment="1">
      <alignment vertical="center"/>
    </xf>
    <xf numFmtId="0" fontId="4" fillId="8" borderId="61" xfId="0" applyFont="1" applyFill="1" applyBorder="1" applyAlignment="1">
      <alignment horizontal="center" vertical="center"/>
    </xf>
    <xf numFmtId="0" fontId="4" fillId="8" borderId="61" xfId="0" applyFont="1" applyFill="1" applyBorder="1" applyAlignment="1">
      <alignment horizontal="center" vertical="center" wrapText="1"/>
    </xf>
    <xf numFmtId="0" fontId="0" fillId="3" borderId="141" xfId="0" applyFill="1" applyBorder="1" applyAlignment="1">
      <alignment vertical="center"/>
    </xf>
    <xf numFmtId="0" fontId="0" fillId="3" borderId="142" xfId="0" applyFill="1" applyBorder="1" applyAlignment="1">
      <alignment horizontal="center" vertical="center"/>
    </xf>
    <xf numFmtId="0" fontId="0" fillId="3" borderId="143" xfId="0" applyFill="1" applyBorder="1" applyAlignment="1">
      <alignment horizontal="center" vertical="center"/>
    </xf>
    <xf numFmtId="0" fontId="0" fillId="3" borderId="144" xfId="0" applyFill="1" applyBorder="1" applyAlignment="1">
      <alignment horizontal="center" vertical="center"/>
    </xf>
    <xf numFmtId="9" fontId="0" fillId="3" borderId="145" xfId="1" applyFont="1" applyFill="1" applyBorder="1" applyAlignment="1">
      <alignment horizontal="center" vertical="center"/>
    </xf>
    <xf numFmtId="3" fontId="2" fillId="3" borderId="146" xfId="1" applyNumberFormat="1" applyFont="1" applyFill="1" applyBorder="1" applyAlignment="1">
      <alignment horizontal="center" vertical="center"/>
    </xf>
    <xf numFmtId="9" fontId="0" fillId="3" borderId="146" xfId="1" applyFont="1" applyFill="1" applyBorder="1" applyAlignment="1">
      <alignment horizontal="center" vertical="center"/>
    </xf>
    <xf numFmtId="3" fontId="2" fillId="3" borderId="144" xfId="1" applyNumberFormat="1" applyFont="1" applyFill="1" applyBorder="1" applyAlignment="1">
      <alignment horizontal="center" vertical="center"/>
    </xf>
    <xf numFmtId="0" fontId="0" fillId="3" borderId="145" xfId="0" applyFill="1" applyBorder="1" applyAlignment="1">
      <alignment horizontal="center" vertical="center"/>
    </xf>
    <xf numFmtId="0" fontId="0" fillId="3" borderId="147" xfId="0" applyFill="1" applyBorder="1" applyAlignment="1">
      <alignment horizontal="center" vertical="center"/>
    </xf>
    <xf numFmtId="0" fontId="0" fillId="3" borderId="149" xfId="0" applyFill="1" applyBorder="1" applyAlignment="1">
      <alignment vertical="center"/>
    </xf>
    <xf numFmtId="0" fontId="0" fillId="3" borderId="150" xfId="0" applyFill="1" applyBorder="1" applyAlignment="1">
      <alignment horizontal="center" vertical="center"/>
    </xf>
    <xf numFmtId="0" fontId="0" fillId="3" borderId="151" xfId="0" applyFill="1" applyBorder="1" applyAlignment="1">
      <alignment horizontal="center" vertical="center"/>
    </xf>
    <xf numFmtId="0" fontId="0" fillId="3" borderId="152" xfId="0" applyFill="1" applyBorder="1" applyAlignment="1">
      <alignment horizontal="center" vertical="center"/>
    </xf>
    <xf numFmtId="9" fontId="0" fillId="3" borderId="153" xfId="1" applyFont="1" applyFill="1" applyBorder="1" applyAlignment="1">
      <alignment horizontal="center" vertical="center"/>
    </xf>
    <xf numFmtId="3" fontId="2" fillId="3" borderId="154" xfId="1" applyNumberFormat="1" applyFont="1" applyFill="1" applyBorder="1" applyAlignment="1">
      <alignment horizontal="center" vertical="center"/>
    </xf>
    <xf numFmtId="9" fontId="0" fillId="3" borderId="154" xfId="1" applyFont="1" applyFill="1" applyBorder="1" applyAlignment="1">
      <alignment horizontal="center" vertical="center"/>
    </xf>
    <xf numFmtId="3" fontId="2" fillId="3" borderId="152" xfId="1" applyNumberFormat="1" applyFont="1" applyFill="1" applyBorder="1" applyAlignment="1">
      <alignment horizontal="center" vertical="center"/>
    </xf>
    <xf numFmtId="0" fontId="0" fillId="3" borderId="153" xfId="0" applyFill="1" applyBorder="1" applyAlignment="1">
      <alignment horizontal="center" vertical="center"/>
    </xf>
    <xf numFmtId="0" fontId="0" fillId="3" borderId="155" xfId="0" applyFill="1" applyBorder="1" applyAlignment="1">
      <alignment horizontal="center" vertical="center"/>
    </xf>
    <xf numFmtId="0" fontId="0" fillId="3" borderId="157" xfId="0" applyFont="1" applyFill="1" applyBorder="1" applyAlignment="1">
      <alignment vertical="center"/>
    </xf>
    <xf numFmtId="0" fontId="0" fillId="3" borderId="158" xfId="0" applyFont="1" applyFill="1" applyBorder="1" applyAlignment="1">
      <alignment horizontal="center" vertical="center"/>
    </xf>
    <xf numFmtId="0" fontId="0" fillId="3" borderId="159" xfId="0" applyFill="1" applyBorder="1" applyAlignment="1">
      <alignment horizontal="center" vertical="center"/>
    </xf>
    <xf numFmtId="0" fontId="0" fillId="3" borderId="160" xfId="0" applyFill="1" applyBorder="1" applyAlignment="1">
      <alignment horizontal="center" vertical="center"/>
    </xf>
    <xf numFmtId="9" fontId="0" fillId="3" borderId="161" xfId="1" applyFont="1" applyFill="1" applyBorder="1" applyAlignment="1">
      <alignment horizontal="center" vertical="center"/>
    </xf>
    <xf numFmtId="3" fontId="2" fillId="3" borderId="162" xfId="1" applyNumberFormat="1" applyFont="1" applyFill="1" applyBorder="1" applyAlignment="1">
      <alignment horizontal="center" vertical="center"/>
    </xf>
    <xf numFmtId="9" fontId="0" fillId="3" borderId="162" xfId="1" applyFont="1" applyFill="1" applyBorder="1" applyAlignment="1">
      <alignment horizontal="center" vertical="center"/>
    </xf>
    <xf numFmtId="3" fontId="2" fillId="3" borderId="160" xfId="1" applyNumberFormat="1" applyFont="1" applyFill="1" applyBorder="1" applyAlignment="1">
      <alignment horizontal="center" vertical="center"/>
    </xf>
    <xf numFmtId="0" fontId="0" fillId="3" borderId="161" xfId="0" applyFill="1" applyBorder="1" applyAlignment="1">
      <alignment horizontal="center" vertical="center"/>
    </xf>
    <xf numFmtId="0" fontId="0" fillId="3" borderId="163" xfId="0" applyFill="1" applyBorder="1" applyAlignment="1">
      <alignment horizontal="center" vertical="center"/>
    </xf>
    <xf numFmtId="0" fontId="6" fillId="8" borderId="145" xfId="0" applyFont="1" applyFill="1" applyBorder="1" applyAlignment="1">
      <alignment horizontal="center" vertical="center"/>
    </xf>
    <xf numFmtId="0" fontId="6" fillId="8" borderId="144" xfId="0" applyFont="1" applyFill="1" applyBorder="1" applyAlignment="1">
      <alignment horizontal="center" vertical="center"/>
    </xf>
    <xf numFmtId="0" fontId="6" fillId="8" borderId="153" xfId="0" applyFont="1" applyFill="1" applyBorder="1" applyAlignment="1">
      <alignment horizontal="center" vertical="center"/>
    </xf>
    <xf numFmtId="0" fontId="6" fillId="8" borderId="152" xfId="0" applyFont="1" applyFill="1" applyBorder="1" applyAlignment="1">
      <alignment horizontal="center" vertical="center"/>
    </xf>
    <xf numFmtId="0" fontId="6" fillId="8" borderId="161" xfId="0" applyFont="1" applyFill="1" applyBorder="1" applyAlignment="1">
      <alignment horizontal="center" vertical="center"/>
    </xf>
    <xf numFmtId="0" fontId="6" fillId="8" borderId="160" xfId="0" applyFont="1" applyFill="1" applyBorder="1" applyAlignment="1">
      <alignment horizontal="center" vertical="center"/>
    </xf>
    <xf numFmtId="0" fontId="0" fillId="6" borderId="141" xfId="0" applyFill="1" applyBorder="1" applyAlignment="1">
      <alignment vertical="center"/>
    </xf>
    <xf numFmtId="0" fontId="0" fillId="6" borderId="142" xfId="0" applyFill="1" applyBorder="1" applyAlignment="1">
      <alignment horizontal="center" vertical="center"/>
    </xf>
    <xf numFmtId="0" fontId="6" fillId="6" borderId="143" xfId="0" applyFont="1" applyFill="1" applyBorder="1" applyAlignment="1">
      <alignment horizontal="center" vertical="center"/>
    </xf>
    <xf numFmtId="0" fontId="6" fillId="6" borderId="144" xfId="0" applyFont="1" applyFill="1" applyBorder="1" applyAlignment="1">
      <alignment horizontal="center" vertical="center"/>
    </xf>
    <xf numFmtId="9" fontId="6" fillId="3" borderId="145" xfId="1" applyFont="1" applyFill="1" applyBorder="1" applyAlignment="1">
      <alignment horizontal="center" vertical="center"/>
    </xf>
    <xf numFmtId="3" fontId="6" fillId="6" borderId="144" xfId="1" applyNumberFormat="1" applyFont="1" applyFill="1" applyBorder="1" applyAlignment="1">
      <alignment horizontal="center" vertical="center"/>
    </xf>
    <xf numFmtId="3" fontId="6" fillId="8" borderId="144" xfId="1" applyNumberFormat="1" applyFont="1" applyFill="1" applyBorder="1" applyAlignment="1">
      <alignment horizontal="center" vertical="center"/>
    </xf>
    <xf numFmtId="0" fontId="0" fillId="6" borderId="149" xfId="0" applyFill="1" applyBorder="1" applyAlignment="1">
      <alignment vertical="center"/>
    </xf>
    <xf numFmtId="0" fontId="0" fillId="6" borderId="150" xfId="0" applyFill="1" applyBorder="1" applyAlignment="1">
      <alignment horizontal="center" vertical="center"/>
    </xf>
    <xf numFmtId="0" fontId="6" fillId="6" borderId="151" xfId="0" applyFont="1" applyFill="1" applyBorder="1" applyAlignment="1">
      <alignment horizontal="center" vertical="center"/>
    </xf>
    <xf numFmtId="0" fontId="6" fillId="6" borderId="152" xfId="0" applyFont="1" applyFill="1" applyBorder="1" applyAlignment="1">
      <alignment horizontal="center" vertical="center"/>
    </xf>
    <xf numFmtId="9" fontId="6" fillId="3" borderId="153" xfId="1" applyFont="1" applyFill="1" applyBorder="1" applyAlignment="1">
      <alignment horizontal="center" vertical="center"/>
    </xf>
    <xf numFmtId="3" fontId="6" fillId="6" borderId="152" xfId="1" applyNumberFormat="1" applyFont="1" applyFill="1" applyBorder="1" applyAlignment="1">
      <alignment horizontal="center" vertical="center"/>
    </xf>
    <xf numFmtId="3" fontId="6" fillId="8" borderId="152" xfId="1" applyNumberFormat="1" applyFont="1" applyFill="1" applyBorder="1" applyAlignment="1">
      <alignment horizontal="center" vertical="center"/>
    </xf>
    <xf numFmtId="0" fontId="0" fillId="6" borderId="157" xfId="0" applyFont="1" applyFill="1" applyBorder="1" applyAlignment="1">
      <alignment vertical="center"/>
    </xf>
    <xf numFmtId="0" fontId="0" fillId="6" borderId="158" xfId="0" applyFont="1" applyFill="1" applyBorder="1" applyAlignment="1">
      <alignment horizontal="center" vertical="center"/>
    </xf>
    <xf numFmtId="0" fontId="6" fillId="6" borderId="159" xfId="0" applyFont="1" applyFill="1" applyBorder="1" applyAlignment="1">
      <alignment horizontal="center" vertical="center"/>
    </xf>
    <xf numFmtId="0" fontId="6" fillId="6" borderId="160" xfId="0" applyFont="1" applyFill="1" applyBorder="1" applyAlignment="1">
      <alignment horizontal="center" vertical="center"/>
    </xf>
    <xf numFmtId="9" fontId="6" fillId="3" borderId="161" xfId="1" applyFont="1" applyFill="1" applyBorder="1" applyAlignment="1">
      <alignment horizontal="center" vertical="center"/>
    </xf>
    <xf numFmtId="3" fontId="6" fillId="6" borderId="160" xfId="1" applyNumberFormat="1" applyFont="1" applyFill="1" applyBorder="1" applyAlignment="1">
      <alignment horizontal="center" vertical="center"/>
    </xf>
    <xf numFmtId="3" fontId="6" fillId="8" borderId="160" xfId="1" applyNumberFormat="1" applyFont="1" applyFill="1" applyBorder="1" applyAlignment="1">
      <alignment horizontal="center" vertical="center"/>
    </xf>
    <xf numFmtId="0" fontId="6" fillId="0" borderId="64" xfId="0" applyFont="1" applyBorder="1" applyAlignment="1">
      <alignment horizontal="center" vertical="center"/>
    </xf>
    <xf numFmtId="0" fontId="0" fillId="8" borderId="164" xfId="0" applyFill="1" applyBorder="1" applyAlignment="1">
      <alignment vertical="center"/>
    </xf>
    <xf numFmtId="0" fontId="0" fillId="3" borderId="164" xfId="0" applyFill="1" applyBorder="1" applyAlignment="1">
      <alignment vertical="center"/>
    </xf>
    <xf numFmtId="0" fontId="0" fillId="0" borderId="165" xfId="0" applyBorder="1" applyAlignment="1">
      <alignment vertical="center"/>
    </xf>
    <xf numFmtId="0" fontId="0" fillId="0" borderId="166" xfId="0" applyBorder="1" applyAlignment="1">
      <alignment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3" fontId="6" fillId="3" borderId="23" xfId="1" applyNumberFormat="1" applyFont="1" applyFill="1" applyBorder="1" applyAlignment="1">
      <alignment horizontal="center" vertical="center"/>
    </xf>
    <xf numFmtId="3" fontId="6" fillId="3" borderId="19" xfId="1" applyNumberFormat="1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3" fontId="6" fillId="3" borderId="24" xfId="1" applyNumberFormat="1" applyFont="1" applyFill="1" applyBorder="1" applyAlignment="1">
      <alignment horizontal="center" vertical="center"/>
    </xf>
    <xf numFmtId="3" fontId="6" fillId="3" borderId="20" xfId="1" applyNumberFormat="1" applyFont="1" applyFill="1" applyBorder="1" applyAlignment="1">
      <alignment horizontal="center" vertical="center"/>
    </xf>
    <xf numFmtId="3" fontId="6" fillId="3" borderId="25" xfId="1" applyNumberFormat="1" applyFont="1" applyFill="1" applyBorder="1" applyAlignment="1">
      <alignment horizontal="center" vertical="center"/>
    </xf>
    <xf numFmtId="9" fontId="6" fillId="3" borderId="25" xfId="1" applyFont="1" applyFill="1" applyBorder="1" applyAlignment="1">
      <alignment horizontal="center" vertical="center"/>
    </xf>
    <xf numFmtId="0" fontId="6" fillId="6" borderId="167" xfId="0" applyFont="1" applyFill="1" applyBorder="1" applyAlignment="1">
      <alignment horizontal="center" vertical="center"/>
    </xf>
    <xf numFmtId="9" fontId="6" fillId="6" borderId="168" xfId="1" applyFont="1" applyFill="1" applyBorder="1" applyAlignment="1">
      <alignment horizontal="center" vertical="center"/>
    </xf>
    <xf numFmtId="0" fontId="4" fillId="8" borderId="61" xfId="0" applyFont="1" applyFill="1" applyBorder="1" applyAlignment="1">
      <alignment vertical="center"/>
    </xf>
    <xf numFmtId="9" fontId="16" fillId="12" borderId="39" xfId="1" applyNumberFormat="1" applyFont="1" applyFill="1" applyBorder="1" applyAlignment="1">
      <alignment horizontal="center" vertical="center"/>
    </xf>
    <xf numFmtId="0" fontId="0" fillId="8" borderId="53" xfId="0" applyFont="1" applyFill="1" applyBorder="1" applyAlignment="1">
      <alignment vertical="center"/>
    </xf>
    <xf numFmtId="0" fontId="0" fillId="0" borderId="0" xfId="0" quotePrefix="1" applyAlignment="1">
      <alignment vertical="center"/>
    </xf>
    <xf numFmtId="0" fontId="4" fillId="5" borderId="31" xfId="0" applyFont="1" applyFill="1" applyBorder="1" applyAlignment="1">
      <alignment vertical="center"/>
    </xf>
    <xf numFmtId="0" fontId="4" fillId="5" borderId="56" xfId="0" applyFont="1" applyFill="1" applyBorder="1" applyAlignment="1">
      <alignment horizontal="center" vertical="center"/>
    </xf>
    <xf numFmtId="165" fontId="4" fillId="5" borderId="47" xfId="0" applyNumberFormat="1" applyFont="1" applyFill="1" applyBorder="1" applyAlignment="1">
      <alignment horizontal="left" vertical="center"/>
    </xf>
    <xf numFmtId="3" fontId="4" fillId="5" borderId="37" xfId="0" applyNumberFormat="1" applyFont="1" applyFill="1" applyBorder="1" applyAlignment="1">
      <alignment horizontal="center" vertical="center"/>
    </xf>
    <xf numFmtId="3" fontId="4" fillId="5" borderId="39" xfId="0" applyNumberFormat="1" applyFont="1" applyFill="1" applyBorder="1" applyAlignment="1">
      <alignment horizontal="center" vertical="center"/>
    </xf>
    <xf numFmtId="0" fontId="3" fillId="2" borderId="84" xfId="0" applyFont="1" applyFill="1" applyBorder="1" applyAlignment="1">
      <alignment horizontal="center" vertical="center" wrapText="1"/>
    </xf>
    <xf numFmtId="0" fontId="3" fillId="2" borderId="85" xfId="0" applyFont="1" applyFill="1" applyBorder="1" applyAlignment="1">
      <alignment horizontal="center" vertical="center" wrapText="1"/>
    </xf>
    <xf numFmtId="0" fontId="13" fillId="8" borderId="60" xfId="0" applyFont="1" applyFill="1" applyBorder="1" applyAlignment="1">
      <alignment horizontal="center" vertical="center"/>
    </xf>
    <xf numFmtId="0" fontId="0" fillId="0" borderId="136" xfId="0" applyBorder="1" applyAlignment="1">
      <alignment horizontal="center" vertical="center"/>
    </xf>
    <xf numFmtId="0" fontId="0" fillId="0" borderId="137" xfId="0" applyBorder="1" applyAlignment="1">
      <alignment horizontal="center" vertical="center"/>
    </xf>
    <xf numFmtId="0" fontId="0" fillId="0" borderId="165" xfId="0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Continuous" vertical="center" wrapText="1"/>
    </xf>
    <xf numFmtId="0" fontId="3" fillId="2" borderId="170" xfId="0" applyFont="1" applyFill="1" applyBorder="1" applyAlignment="1">
      <alignment horizontal="centerContinuous" vertical="center" wrapText="1"/>
    </xf>
    <xf numFmtId="0" fontId="3" fillId="2" borderId="89" xfId="0" applyFont="1" applyFill="1" applyBorder="1" applyAlignment="1">
      <alignment horizontal="centerContinuous" vertical="center" wrapText="1"/>
    </xf>
    <xf numFmtId="0" fontId="3" fillId="2" borderId="169" xfId="0" applyFont="1" applyFill="1" applyBorder="1" applyAlignment="1">
      <alignment horizontal="centerContinuous" vertical="center" wrapText="1"/>
    </xf>
    <xf numFmtId="0" fontId="3" fillId="2" borderId="83" xfId="0" applyFont="1" applyFill="1" applyBorder="1" applyAlignment="1">
      <alignment horizontal="centerContinuous" vertical="center" wrapText="1"/>
    </xf>
    <xf numFmtId="0" fontId="3" fillId="2" borderId="34" xfId="0" applyFont="1" applyFill="1" applyBorder="1" applyAlignment="1">
      <alignment horizontal="centerContinuous" vertical="center" wrapText="1"/>
    </xf>
    <xf numFmtId="0" fontId="3" fillId="2" borderId="82" xfId="0" applyFont="1" applyFill="1" applyBorder="1" applyAlignment="1">
      <alignment horizontal="centerContinuous" vertical="center" wrapText="1"/>
    </xf>
    <xf numFmtId="0" fontId="3" fillId="2" borderId="42" xfId="0" applyFont="1" applyFill="1" applyBorder="1" applyAlignment="1">
      <alignment horizontal="centerContinuous" vertical="center" wrapText="1"/>
    </xf>
    <xf numFmtId="164" fontId="0" fillId="3" borderId="30" xfId="0" applyNumberFormat="1" applyFill="1" applyBorder="1" applyAlignment="1">
      <alignment horizontal="center" vertical="center"/>
    </xf>
    <xf numFmtId="164" fontId="0" fillId="3" borderId="25" xfId="0" applyNumberFormat="1" applyFill="1" applyBorder="1" applyAlignment="1">
      <alignment horizontal="center" vertical="center"/>
    </xf>
    <xf numFmtId="164" fontId="0" fillId="3" borderId="21" xfId="0" applyNumberFormat="1" applyFill="1" applyBorder="1" applyAlignment="1">
      <alignment horizontal="center" vertical="center"/>
    </xf>
    <xf numFmtId="164" fontId="0" fillId="3" borderId="15" xfId="0" applyNumberFormat="1" applyFill="1" applyBorder="1" applyAlignment="1">
      <alignment horizontal="center" vertical="center"/>
    </xf>
    <xf numFmtId="164" fontId="0" fillId="3" borderId="114" xfId="0" applyNumberFormat="1" applyFill="1" applyBorder="1" applyAlignment="1">
      <alignment horizontal="center" vertical="center"/>
    </xf>
    <xf numFmtId="164" fontId="0" fillId="3" borderId="99" xfId="0" applyNumberFormat="1" applyFill="1" applyBorder="1" applyAlignment="1">
      <alignment horizontal="center" vertical="center"/>
    </xf>
    <xf numFmtId="164" fontId="0" fillId="3" borderId="117" xfId="0" applyNumberFormat="1" applyFill="1" applyBorder="1" applyAlignment="1">
      <alignment horizontal="center" vertical="center"/>
    </xf>
    <xf numFmtId="164" fontId="0" fillId="3" borderId="118" xfId="0" applyNumberFormat="1" applyFill="1" applyBorder="1" applyAlignment="1">
      <alignment horizontal="center" vertical="center"/>
    </xf>
    <xf numFmtId="164" fontId="13" fillId="3" borderId="39" xfId="0" applyNumberFormat="1" applyFont="1" applyFill="1" applyBorder="1" applyAlignment="1">
      <alignment horizontal="center" vertical="center"/>
    </xf>
    <xf numFmtId="164" fontId="13" fillId="3" borderId="37" xfId="0" applyNumberFormat="1" applyFont="1" applyFill="1" applyBorder="1" applyAlignment="1">
      <alignment horizontal="center" vertical="center"/>
    </xf>
    <xf numFmtId="9" fontId="3" fillId="2" borderId="83" xfId="1" applyFont="1" applyFill="1" applyBorder="1" applyAlignment="1">
      <alignment horizontal="centerContinuous" vertical="center" wrapText="1"/>
    </xf>
    <xf numFmtId="0" fontId="3" fillId="2" borderId="78" xfId="0" applyFont="1" applyFill="1" applyBorder="1" applyAlignment="1">
      <alignment horizontal="centerContinuous" vertical="center" wrapText="1"/>
    </xf>
    <xf numFmtId="0" fontId="3" fillId="2" borderId="1" xfId="0" applyFont="1" applyFill="1" applyBorder="1" applyAlignment="1">
      <alignment horizontal="centerContinuous" vertical="center" wrapText="1"/>
    </xf>
    <xf numFmtId="0" fontId="3" fillId="2" borderId="79" xfId="0" applyFont="1" applyFill="1" applyBorder="1" applyAlignment="1">
      <alignment horizontal="centerContinuous" vertical="center" wrapText="1"/>
    </xf>
    <xf numFmtId="9" fontId="3" fillId="2" borderId="1" xfId="1" applyFont="1" applyFill="1" applyBorder="1" applyAlignment="1">
      <alignment horizontal="centerContinuous" vertical="center" wrapText="1"/>
    </xf>
    <xf numFmtId="9" fontId="3" fillId="2" borderId="79" xfId="1" applyFont="1" applyFill="1" applyBorder="1" applyAlignment="1">
      <alignment horizontal="centerContinuous" vertical="center" wrapText="1"/>
    </xf>
    <xf numFmtId="1" fontId="3" fillId="2" borderId="34" xfId="1" applyNumberFormat="1" applyFont="1" applyFill="1" applyBorder="1" applyAlignment="1">
      <alignment horizontal="centerContinuous" vertical="center" wrapText="1"/>
    </xf>
    <xf numFmtId="1" fontId="3" fillId="2" borderId="42" xfId="1" applyNumberFormat="1" applyFont="1" applyFill="1" applyBorder="1" applyAlignment="1">
      <alignment horizontal="centerContinuous" vertical="center" wrapText="1"/>
    </xf>
    <xf numFmtId="1" fontId="3" fillId="2" borderId="170" xfId="1" applyNumberFormat="1" applyFont="1" applyFill="1" applyBorder="1" applyAlignment="1">
      <alignment horizontal="centerContinuous" vertical="center" wrapText="1"/>
    </xf>
    <xf numFmtId="9" fontId="3" fillId="2" borderId="82" xfId="1" applyFont="1" applyFill="1" applyBorder="1" applyAlignment="1">
      <alignment horizontal="centerContinuous" vertical="center" wrapText="1"/>
    </xf>
    <xf numFmtId="9" fontId="3" fillId="2" borderId="169" xfId="1" applyFont="1" applyFill="1" applyBorder="1" applyAlignment="1">
      <alignment horizontal="centerContinuous" vertical="center" wrapText="1"/>
    </xf>
    <xf numFmtId="9" fontId="6" fillId="3" borderId="21" xfId="1" applyFont="1" applyFill="1" applyBorder="1" applyAlignment="1">
      <alignment horizontal="center" vertical="center"/>
    </xf>
    <xf numFmtId="9" fontId="6" fillId="3" borderId="118" xfId="1" applyFont="1" applyFill="1" applyBorder="1" applyAlignment="1">
      <alignment horizontal="center" vertical="center"/>
    </xf>
    <xf numFmtId="9" fontId="6" fillId="3" borderId="99" xfId="1" applyFont="1" applyFill="1" applyBorder="1" applyAlignment="1">
      <alignment horizontal="center" vertical="center"/>
    </xf>
    <xf numFmtId="9" fontId="6" fillId="3" borderId="117" xfId="1" applyFont="1" applyFill="1" applyBorder="1" applyAlignment="1">
      <alignment horizontal="center" vertical="center"/>
    </xf>
    <xf numFmtId="9" fontId="3" fillId="2" borderId="171" xfId="1" applyFont="1" applyFill="1" applyBorder="1" applyAlignment="1">
      <alignment horizontal="centerContinuous" vertical="center" wrapText="1"/>
    </xf>
    <xf numFmtId="0" fontId="4" fillId="3" borderId="61" xfId="0" applyFont="1" applyFill="1" applyBorder="1" applyAlignment="1">
      <alignment horizontal="center" vertical="center"/>
    </xf>
    <xf numFmtId="0" fontId="4" fillId="3" borderId="57" xfId="0" applyFont="1" applyFill="1" applyBorder="1" applyAlignment="1">
      <alignment horizontal="center" vertical="center"/>
    </xf>
    <xf numFmtId="0" fontId="4" fillId="6" borderId="61" xfId="0" applyFont="1" applyFill="1" applyBorder="1" applyAlignment="1">
      <alignment horizontal="center" vertical="center"/>
    </xf>
    <xf numFmtId="0" fontId="4" fillId="8" borderId="61" xfId="0" applyFont="1" applyFill="1" applyBorder="1" applyAlignment="1">
      <alignment horizontal="center" vertical="center" wrapText="1"/>
    </xf>
    <xf numFmtId="0" fontId="4" fillId="8" borderId="61" xfId="0" applyFont="1" applyFill="1" applyBorder="1" applyAlignment="1">
      <alignment horizontal="center" vertical="center"/>
    </xf>
    <xf numFmtId="0" fontId="4" fillId="8" borderId="57" xfId="0" applyFont="1" applyFill="1" applyBorder="1" applyAlignment="1">
      <alignment horizontal="center" vertical="center"/>
    </xf>
    <xf numFmtId="0" fontId="4" fillId="14" borderId="0" xfId="0" applyFont="1" applyFill="1" applyAlignment="1">
      <alignment vertical="center"/>
    </xf>
    <xf numFmtId="0" fontId="11" fillId="14" borderId="0" xfId="0" applyFont="1" applyFill="1" applyAlignment="1">
      <alignment vertical="center"/>
    </xf>
    <xf numFmtId="0" fontId="0" fillId="14" borderId="0" xfId="0" applyFill="1" applyAlignment="1">
      <alignment horizontal="center" vertical="center"/>
    </xf>
    <xf numFmtId="0" fontId="0" fillId="14" borderId="0" xfId="0" applyFill="1" applyAlignment="1">
      <alignment vertical="center"/>
    </xf>
    <xf numFmtId="0" fontId="6" fillId="14" borderId="9" xfId="0" applyFont="1" applyFill="1" applyBorder="1" applyAlignment="1">
      <alignment horizontal="center" vertical="center"/>
    </xf>
    <xf numFmtId="0" fontId="6" fillId="14" borderId="18" xfId="0" applyFont="1" applyFill="1" applyBorder="1" applyAlignment="1">
      <alignment horizontal="center" vertical="center"/>
    </xf>
    <xf numFmtId="0" fontId="6" fillId="14" borderId="10" xfId="0" applyFont="1" applyFill="1" applyBorder="1" applyAlignment="1">
      <alignment horizontal="center" vertical="center"/>
    </xf>
    <xf numFmtId="0" fontId="6" fillId="14" borderId="11" xfId="0" applyFont="1" applyFill="1" applyBorder="1" applyAlignment="1">
      <alignment horizontal="center" vertical="center"/>
    </xf>
    <xf numFmtId="0" fontId="6" fillId="14" borderId="19" xfId="0" applyFont="1" applyFill="1" applyBorder="1" applyAlignment="1">
      <alignment horizontal="center" vertical="center"/>
    </xf>
    <xf numFmtId="0" fontId="6" fillId="14" borderId="12" xfId="0" applyFont="1" applyFill="1" applyBorder="1" applyAlignment="1">
      <alignment horizontal="center" vertical="center"/>
    </xf>
    <xf numFmtId="0" fontId="6" fillId="14" borderId="13" xfId="0" applyFont="1" applyFill="1" applyBorder="1" applyAlignment="1">
      <alignment horizontal="center" vertical="center"/>
    </xf>
    <xf numFmtId="0" fontId="6" fillId="14" borderId="20" xfId="0" applyFont="1" applyFill="1" applyBorder="1" applyAlignment="1">
      <alignment horizontal="center" vertical="center"/>
    </xf>
    <xf numFmtId="0" fontId="6" fillId="14" borderId="14" xfId="0" applyFont="1" applyFill="1" applyBorder="1" applyAlignment="1">
      <alignment horizontal="center" vertical="center"/>
    </xf>
    <xf numFmtId="0" fontId="6" fillId="14" borderId="145" xfId="0" applyFont="1" applyFill="1" applyBorder="1" applyAlignment="1">
      <alignment horizontal="center" vertical="center"/>
    </xf>
    <xf numFmtId="0" fontId="6" fillId="14" borderId="144" xfId="0" applyFont="1" applyFill="1" applyBorder="1" applyAlignment="1">
      <alignment horizontal="center" vertical="center"/>
    </xf>
    <xf numFmtId="0" fontId="6" fillId="14" borderId="147" xfId="0" applyFont="1" applyFill="1" applyBorder="1" applyAlignment="1">
      <alignment horizontal="center" vertical="center"/>
    </xf>
    <xf numFmtId="0" fontId="6" fillId="14" borderId="153" xfId="0" applyFont="1" applyFill="1" applyBorder="1" applyAlignment="1">
      <alignment horizontal="center" vertical="center"/>
    </xf>
    <xf numFmtId="0" fontId="6" fillId="14" borderId="152" xfId="0" applyFont="1" applyFill="1" applyBorder="1" applyAlignment="1">
      <alignment horizontal="center" vertical="center"/>
    </xf>
    <xf numFmtId="0" fontId="6" fillId="14" borderId="155" xfId="0" applyFont="1" applyFill="1" applyBorder="1" applyAlignment="1">
      <alignment horizontal="center" vertical="center"/>
    </xf>
    <xf numFmtId="0" fontId="6" fillId="14" borderId="161" xfId="0" applyFont="1" applyFill="1" applyBorder="1" applyAlignment="1">
      <alignment horizontal="center" vertical="center"/>
    </xf>
    <xf numFmtId="0" fontId="6" fillId="14" borderId="160" xfId="0" applyFont="1" applyFill="1" applyBorder="1" applyAlignment="1">
      <alignment horizontal="center" vertical="center"/>
    </xf>
    <xf numFmtId="0" fontId="6" fillId="14" borderId="163" xfId="0" applyFont="1" applyFill="1" applyBorder="1" applyAlignment="1">
      <alignment horizontal="center" vertical="center"/>
    </xf>
    <xf numFmtId="0" fontId="0" fillId="8" borderId="172" xfId="0" applyFill="1" applyBorder="1" applyAlignment="1">
      <alignment vertical="center"/>
    </xf>
    <xf numFmtId="0" fontId="0" fillId="8" borderId="173" xfId="0" applyFill="1" applyBorder="1" applyAlignment="1">
      <alignment horizontal="center" vertical="center"/>
    </xf>
    <xf numFmtId="0" fontId="6" fillId="8" borderId="174" xfId="0" applyFont="1" applyFill="1" applyBorder="1" applyAlignment="1">
      <alignment horizontal="center" vertical="center"/>
    </xf>
    <xf numFmtId="9" fontId="6" fillId="12" borderId="175" xfId="1" applyFont="1" applyFill="1" applyBorder="1" applyAlignment="1">
      <alignment horizontal="center" vertical="center"/>
    </xf>
    <xf numFmtId="0" fontId="6" fillId="8" borderId="176" xfId="0" applyFont="1" applyFill="1" applyBorder="1" applyAlignment="1">
      <alignment horizontal="center" vertical="center"/>
    </xf>
    <xf numFmtId="9" fontId="6" fillId="12" borderId="177" xfId="1" applyFont="1" applyFill="1" applyBorder="1" applyAlignment="1">
      <alignment horizontal="center" vertical="center"/>
    </xf>
    <xf numFmtId="3" fontId="6" fillId="8" borderId="167" xfId="1" applyNumberFormat="1" applyFont="1" applyFill="1" applyBorder="1" applyAlignment="1">
      <alignment horizontal="center" vertical="center"/>
    </xf>
    <xf numFmtId="0" fontId="6" fillId="8" borderId="167" xfId="0" applyFont="1" applyFill="1" applyBorder="1" applyAlignment="1">
      <alignment horizontal="center" vertical="center"/>
    </xf>
    <xf numFmtId="0" fontId="6" fillId="8" borderId="177" xfId="0" applyFont="1" applyFill="1" applyBorder="1" applyAlignment="1">
      <alignment horizontal="center" vertical="center"/>
    </xf>
    <xf numFmtId="0" fontId="6" fillId="3" borderId="167" xfId="0" applyFont="1" applyFill="1" applyBorder="1" applyAlignment="1">
      <alignment horizontal="center" vertical="center"/>
    </xf>
    <xf numFmtId="0" fontId="6" fillId="3" borderId="177" xfId="0" applyFont="1" applyFill="1" applyBorder="1" applyAlignment="1">
      <alignment horizontal="center" vertical="center"/>
    </xf>
    <xf numFmtId="0" fontId="6" fillId="3" borderId="168" xfId="0" applyFont="1" applyFill="1" applyBorder="1" applyAlignment="1">
      <alignment horizontal="center" vertical="center"/>
    </xf>
    <xf numFmtId="0" fontId="0" fillId="6" borderId="172" xfId="0" applyFill="1" applyBorder="1" applyAlignment="1">
      <alignment vertical="center"/>
    </xf>
    <xf numFmtId="3" fontId="6" fillId="8" borderId="177" xfId="1" applyNumberFormat="1" applyFont="1" applyFill="1" applyBorder="1" applyAlignment="1">
      <alignment horizontal="center" vertical="center"/>
    </xf>
    <xf numFmtId="0" fontId="0" fillId="11" borderId="64" xfId="0" applyFill="1" applyBorder="1" applyAlignment="1">
      <alignment horizontal="center" vertical="center"/>
    </xf>
    <xf numFmtId="0" fontId="0" fillId="11" borderId="0" xfId="0" applyFill="1" applyBorder="1" applyAlignment="1">
      <alignment horizontal="center" vertical="center"/>
    </xf>
    <xf numFmtId="3" fontId="0" fillId="11" borderId="81" xfId="2" applyNumberFormat="1" applyFont="1" applyFill="1" applyBorder="1" applyAlignment="1" applyProtection="1">
      <alignment horizontal="center" vertical="center"/>
    </xf>
    <xf numFmtId="0" fontId="0" fillId="5" borderId="172" xfId="0" applyFill="1" applyBorder="1" applyAlignment="1">
      <alignment vertical="center"/>
    </xf>
    <xf numFmtId="0" fontId="0" fillId="5" borderId="174" xfId="0" applyFill="1" applyBorder="1" applyAlignment="1">
      <alignment horizontal="center" vertical="center"/>
    </xf>
    <xf numFmtId="0" fontId="0" fillId="5" borderId="177" xfId="0" applyFill="1" applyBorder="1" applyAlignment="1">
      <alignment horizontal="center" vertical="center"/>
    </xf>
    <xf numFmtId="3" fontId="2" fillId="5" borderId="178" xfId="1" applyNumberFormat="1" applyFont="1" applyFill="1" applyBorder="1" applyAlignment="1">
      <alignment horizontal="center" vertical="center"/>
    </xf>
    <xf numFmtId="3" fontId="2" fillId="5" borderId="177" xfId="1" applyNumberFormat="1" applyFont="1" applyFill="1" applyBorder="1" applyAlignment="1">
      <alignment horizontal="center" vertical="center"/>
    </xf>
    <xf numFmtId="0" fontId="0" fillId="5" borderId="167" xfId="0" applyFill="1" applyBorder="1" applyAlignment="1">
      <alignment horizontal="center" vertical="center"/>
    </xf>
    <xf numFmtId="0" fontId="0" fillId="5" borderId="168" xfId="0" applyFill="1" applyBorder="1" applyAlignment="1">
      <alignment horizontal="center" vertical="center"/>
    </xf>
    <xf numFmtId="3" fontId="6" fillId="6" borderId="177" xfId="1" applyNumberFormat="1" applyFont="1" applyFill="1" applyBorder="1" applyAlignment="1">
      <alignment horizontal="center" vertical="center"/>
    </xf>
    <xf numFmtId="0" fontId="6" fillId="6" borderId="174" xfId="0" applyFont="1" applyFill="1" applyBorder="1" applyAlignment="1">
      <alignment horizontal="center" vertical="center"/>
    </xf>
    <xf numFmtId="0" fontId="6" fillId="6" borderId="177" xfId="0" applyFont="1" applyFill="1" applyBorder="1" applyAlignment="1">
      <alignment horizontal="center" vertical="center"/>
    </xf>
    <xf numFmtId="0" fontId="6" fillId="6" borderId="172" xfId="0" applyFont="1" applyFill="1" applyBorder="1" applyAlignment="1">
      <alignment vertical="center"/>
    </xf>
    <xf numFmtId="0" fontId="0" fillId="3" borderId="172" xfId="0" applyFill="1" applyBorder="1" applyAlignment="1">
      <alignment vertical="center"/>
    </xf>
    <xf numFmtId="0" fontId="0" fillId="3" borderId="174" xfId="0" applyFill="1" applyBorder="1" applyAlignment="1">
      <alignment horizontal="center" vertical="center"/>
    </xf>
    <xf numFmtId="0" fontId="0" fillId="3" borderId="177" xfId="0" applyFill="1" applyBorder="1" applyAlignment="1">
      <alignment horizontal="center" vertical="center"/>
    </xf>
    <xf numFmtId="3" fontId="2" fillId="3" borderId="178" xfId="1" applyNumberFormat="1" applyFont="1" applyFill="1" applyBorder="1" applyAlignment="1">
      <alignment horizontal="center" vertical="center"/>
    </xf>
    <xf numFmtId="3" fontId="2" fillId="3" borderId="177" xfId="1" applyNumberFormat="1" applyFont="1" applyFill="1" applyBorder="1" applyAlignment="1">
      <alignment horizontal="center" vertical="center"/>
    </xf>
    <xf numFmtId="0" fontId="0" fillId="3" borderId="167" xfId="0" applyFill="1" applyBorder="1" applyAlignment="1">
      <alignment horizontal="center" vertical="center"/>
    </xf>
    <xf numFmtId="0" fontId="0" fillId="3" borderId="168" xfId="0" applyFill="1" applyBorder="1" applyAlignment="1">
      <alignment horizontal="center" vertical="center"/>
    </xf>
    <xf numFmtId="9" fontId="6" fillId="6" borderId="177" xfId="1" applyFont="1" applyFill="1" applyBorder="1" applyAlignment="1">
      <alignment horizontal="center" vertical="center"/>
    </xf>
    <xf numFmtId="0" fontId="6" fillId="14" borderId="167" xfId="0" applyFont="1" applyFill="1" applyBorder="1" applyAlignment="1">
      <alignment horizontal="center" vertical="center"/>
    </xf>
    <xf numFmtId="0" fontId="6" fillId="14" borderId="177" xfId="0" applyFont="1" applyFill="1" applyBorder="1" applyAlignment="1">
      <alignment horizontal="center" vertical="center"/>
    </xf>
    <xf numFmtId="0" fontId="6" fillId="14" borderId="168" xfId="0" applyFont="1" applyFill="1" applyBorder="1" applyAlignment="1">
      <alignment horizontal="center" vertical="center"/>
    </xf>
    <xf numFmtId="0" fontId="0" fillId="6" borderId="180" xfId="0" applyFill="1" applyBorder="1" applyAlignment="1">
      <alignment vertical="center"/>
    </xf>
    <xf numFmtId="0" fontId="6" fillId="6" borderId="181" xfId="0" applyFont="1" applyFill="1" applyBorder="1" applyAlignment="1">
      <alignment horizontal="center" vertical="center"/>
    </xf>
    <xf numFmtId="0" fontId="6" fillId="6" borderId="182" xfId="0" applyFont="1" applyFill="1" applyBorder="1" applyAlignment="1">
      <alignment horizontal="center" vertical="center"/>
    </xf>
    <xf numFmtId="3" fontId="6" fillId="6" borderId="182" xfId="1" applyNumberFormat="1" applyFont="1" applyFill="1" applyBorder="1" applyAlignment="1">
      <alignment horizontal="center" vertical="center"/>
    </xf>
    <xf numFmtId="3" fontId="6" fillId="8" borderId="182" xfId="1" applyNumberFormat="1" applyFont="1" applyFill="1" applyBorder="1" applyAlignment="1">
      <alignment horizontal="center" vertical="center"/>
    </xf>
    <xf numFmtId="0" fontId="6" fillId="8" borderId="183" xfId="0" applyFont="1" applyFill="1" applyBorder="1" applyAlignment="1">
      <alignment horizontal="center" vertical="center"/>
    </xf>
    <xf numFmtId="0" fontId="6" fillId="8" borderId="182" xfId="0" applyFont="1" applyFill="1" applyBorder="1" applyAlignment="1">
      <alignment horizontal="center" vertical="center"/>
    </xf>
    <xf numFmtId="0" fontId="6" fillId="14" borderId="183" xfId="0" applyFont="1" applyFill="1" applyBorder="1" applyAlignment="1">
      <alignment horizontal="center" vertical="center"/>
    </xf>
    <xf numFmtId="0" fontId="6" fillId="14" borderId="182" xfId="0" applyFont="1" applyFill="1" applyBorder="1" applyAlignment="1">
      <alignment horizontal="center" vertical="center"/>
    </xf>
    <xf numFmtId="0" fontId="6" fillId="14" borderId="184" xfId="0" applyFont="1" applyFill="1" applyBorder="1" applyAlignment="1">
      <alignment horizontal="center" vertical="center"/>
    </xf>
    <xf numFmtId="0" fontId="0" fillId="3" borderId="180" xfId="0" applyFill="1" applyBorder="1" applyAlignment="1">
      <alignment vertical="center"/>
    </xf>
    <xf numFmtId="0" fontId="0" fillId="3" borderId="181" xfId="0" applyFill="1" applyBorder="1" applyAlignment="1">
      <alignment horizontal="center" vertical="center"/>
    </xf>
    <xf numFmtId="0" fontId="0" fillId="3" borderId="182" xfId="0" applyFill="1" applyBorder="1" applyAlignment="1">
      <alignment horizontal="center" vertical="center"/>
    </xf>
    <xf numFmtId="3" fontId="2" fillId="3" borderId="185" xfId="1" applyNumberFormat="1" applyFont="1" applyFill="1" applyBorder="1" applyAlignment="1">
      <alignment horizontal="center" vertical="center"/>
    </xf>
    <xf numFmtId="3" fontId="2" fillId="3" borderId="182" xfId="1" applyNumberFormat="1" applyFont="1" applyFill="1" applyBorder="1" applyAlignment="1">
      <alignment horizontal="center" vertical="center"/>
    </xf>
    <xf numFmtId="0" fontId="0" fillId="3" borderId="183" xfId="0" applyFill="1" applyBorder="1" applyAlignment="1">
      <alignment horizontal="center" vertical="center"/>
    </xf>
    <xf numFmtId="0" fontId="0" fillId="3" borderId="184" xfId="0" applyFill="1" applyBorder="1" applyAlignment="1">
      <alignment horizontal="center" vertical="center"/>
    </xf>
    <xf numFmtId="0" fontId="6" fillId="8" borderId="172" xfId="0" applyFont="1" applyFill="1" applyBorder="1" applyAlignment="1">
      <alignment vertical="center"/>
    </xf>
    <xf numFmtId="0" fontId="0" fillId="8" borderId="173" xfId="0" applyFont="1" applyFill="1" applyBorder="1" applyAlignment="1">
      <alignment horizontal="center" vertical="center"/>
    </xf>
    <xf numFmtId="0" fontId="6" fillId="3" borderId="172" xfId="0" applyFont="1" applyFill="1" applyBorder="1" applyAlignment="1">
      <alignment vertical="center"/>
    </xf>
    <xf numFmtId="0" fontId="0" fillId="8" borderId="81" xfId="0" applyFill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0" fontId="4" fillId="5" borderId="61" xfId="0" applyFont="1" applyFill="1" applyBorder="1" applyAlignment="1">
      <alignment horizontal="center" vertical="center"/>
    </xf>
    <xf numFmtId="0" fontId="0" fillId="5" borderId="54" xfId="0" applyFill="1" applyBorder="1" applyAlignment="1">
      <alignment vertical="center"/>
    </xf>
    <xf numFmtId="0" fontId="0" fillId="5" borderId="7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0" fillId="6" borderId="54" xfId="0" applyFill="1" applyBorder="1" applyAlignment="1">
      <alignment vertical="center"/>
    </xf>
    <xf numFmtId="0" fontId="0" fillId="6" borderId="7" xfId="0" applyFill="1" applyBorder="1" applyAlignment="1">
      <alignment horizontal="center" vertical="center"/>
    </xf>
    <xf numFmtId="0" fontId="6" fillId="6" borderId="30" xfId="0" applyFont="1" applyFill="1" applyBorder="1" applyAlignment="1">
      <alignment horizontal="center" vertical="center"/>
    </xf>
    <xf numFmtId="3" fontId="6" fillId="6" borderId="21" xfId="1" applyNumberFormat="1" applyFont="1" applyFill="1" applyBorder="1" applyAlignment="1">
      <alignment horizontal="center" vertical="center"/>
    </xf>
    <xf numFmtId="3" fontId="6" fillId="8" borderId="21" xfId="1" applyNumberFormat="1" applyFont="1" applyFill="1" applyBorder="1" applyAlignment="1">
      <alignment horizontal="center" vertical="center"/>
    </xf>
    <xf numFmtId="164" fontId="6" fillId="6" borderId="35" xfId="0" applyNumberFormat="1" applyFont="1" applyFill="1" applyBorder="1" applyAlignment="1">
      <alignment horizontal="center" vertical="center"/>
    </xf>
    <xf numFmtId="164" fontId="6" fillId="6" borderId="41" xfId="0" applyNumberFormat="1" applyFont="1" applyFill="1" applyBorder="1" applyAlignment="1">
      <alignment horizontal="center" vertical="center"/>
    </xf>
    <xf numFmtId="164" fontId="6" fillId="6" borderId="36" xfId="0" applyNumberFormat="1" applyFont="1" applyFill="1" applyBorder="1" applyAlignment="1">
      <alignment horizontal="center" vertical="center"/>
    </xf>
    <xf numFmtId="164" fontId="6" fillId="6" borderId="40" xfId="0" applyNumberFormat="1" applyFont="1" applyFill="1" applyBorder="1" applyAlignment="1">
      <alignment horizontal="center" vertical="center"/>
    </xf>
    <xf numFmtId="9" fontId="6" fillId="3" borderId="36" xfId="1" applyFont="1" applyFill="1" applyBorder="1" applyAlignment="1">
      <alignment horizontal="center" vertical="center"/>
    </xf>
    <xf numFmtId="164" fontId="6" fillId="6" borderId="30" xfId="0" applyNumberFormat="1" applyFont="1" applyFill="1" applyBorder="1" applyAlignment="1">
      <alignment horizontal="center" vertical="center"/>
    </xf>
    <xf numFmtId="164" fontId="6" fillId="6" borderId="25" xfId="0" applyNumberFormat="1" applyFont="1" applyFill="1" applyBorder="1" applyAlignment="1">
      <alignment horizontal="center" vertical="center"/>
    </xf>
    <xf numFmtId="164" fontId="6" fillId="6" borderId="21" xfId="0" applyNumberFormat="1" applyFont="1" applyFill="1" applyBorder="1" applyAlignment="1">
      <alignment horizontal="center" vertical="center"/>
    </xf>
    <xf numFmtId="164" fontId="6" fillId="6" borderId="15" xfId="0" applyNumberFormat="1" applyFont="1" applyFill="1" applyBorder="1" applyAlignment="1">
      <alignment horizontal="center" vertical="center"/>
    </xf>
    <xf numFmtId="0" fontId="4" fillId="8" borderId="61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center" vertical="center"/>
    </xf>
    <xf numFmtId="3" fontId="6" fillId="6" borderId="27" xfId="0" applyNumberFormat="1" applyFont="1" applyFill="1" applyBorder="1" applyAlignment="1">
      <alignment horizontal="center" vertical="center"/>
    </xf>
    <xf numFmtId="3" fontId="6" fillId="6" borderId="28" xfId="0" applyNumberFormat="1" applyFont="1" applyFill="1" applyBorder="1" applyAlignment="1">
      <alignment horizontal="center" vertical="center"/>
    </xf>
    <xf numFmtId="0" fontId="4" fillId="3" borderId="61" xfId="0" applyFont="1" applyFill="1" applyBorder="1" applyAlignment="1">
      <alignment horizontal="left" vertical="center"/>
    </xf>
    <xf numFmtId="0" fontId="4" fillId="3" borderId="100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0" fontId="13" fillId="3" borderId="60" xfId="0" applyFont="1" applyFill="1" applyBorder="1" applyAlignment="1">
      <alignment horizontal="left" vertical="center"/>
    </xf>
    <xf numFmtId="0" fontId="13" fillId="3" borderId="61" xfId="0" applyFont="1" applyFill="1" applyBorder="1" applyAlignment="1">
      <alignment horizontal="left" vertical="center"/>
    </xf>
    <xf numFmtId="0" fontId="4" fillId="3" borderId="62" xfId="0" applyFont="1" applyFill="1" applyBorder="1" applyAlignment="1">
      <alignment horizontal="left" vertical="center"/>
    </xf>
    <xf numFmtId="0" fontId="4" fillId="5" borderId="0" xfId="0" applyFont="1" applyFill="1" applyBorder="1" applyAlignment="1">
      <alignment horizontal="left" vertical="center"/>
    </xf>
    <xf numFmtId="0" fontId="4" fillId="5" borderId="100" xfId="0" applyFont="1" applyFill="1" applyBorder="1" applyAlignment="1">
      <alignment horizontal="left" vertical="center"/>
    </xf>
    <xf numFmtId="1" fontId="3" fillId="2" borderId="98" xfId="1" applyNumberFormat="1" applyFont="1" applyFill="1" applyBorder="1" applyAlignment="1">
      <alignment horizontal="centerContinuous" vertical="center" wrapText="1"/>
    </xf>
    <xf numFmtId="1" fontId="3" fillId="2" borderId="91" xfId="1" applyNumberFormat="1" applyFont="1" applyFill="1" applyBorder="1" applyAlignment="1">
      <alignment horizontal="centerContinuous" vertical="center" wrapText="1"/>
    </xf>
    <xf numFmtId="0" fontId="3" fillId="2" borderId="91" xfId="0" applyFont="1" applyFill="1" applyBorder="1" applyAlignment="1">
      <alignment horizontal="centerContinuous" vertical="center" wrapText="1"/>
    </xf>
    <xf numFmtId="0" fontId="3" fillId="2" borderId="92" xfId="0" applyFont="1" applyFill="1" applyBorder="1" applyAlignment="1">
      <alignment horizontal="centerContinuous" vertical="center" wrapText="1"/>
    </xf>
    <xf numFmtId="9" fontId="6" fillId="3" borderId="186" xfId="1" applyFont="1" applyFill="1" applyBorder="1" applyAlignment="1">
      <alignment horizontal="center" vertical="center"/>
    </xf>
    <xf numFmtId="9" fontId="6" fillId="3" borderId="187" xfId="1" applyFont="1" applyFill="1" applyBorder="1" applyAlignment="1">
      <alignment horizontal="center" vertical="center"/>
    </xf>
    <xf numFmtId="9" fontId="6" fillId="3" borderId="189" xfId="1" applyFont="1" applyFill="1" applyBorder="1" applyAlignment="1">
      <alignment horizontal="center" vertical="center"/>
    </xf>
    <xf numFmtId="9" fontId="6" fillId="3" borderId="190" xfId="1" applyFont="1" applyFill="1" applyBorder="1" applyAlignment="1">
      <alignment horizontal="center" vertical="center"/>
    </xf>
    <xf numFmtId="9" fontId="0" fillId="3" borderId="189" xfId="1" applyFont="1" applyFill="1" applyBorder="1" applyAlignment="1">
      <alignment horizontal="center" vertical="center"/>
    </xf>
    <xf numFmtId="9" fontId="0" fillId="3" borderId="190" xfId="1" applyFont="1" applyFill="1" applyBorder="1" applyAlignment="1">
      <alignment horizontal="center" vertical="center"/>
    </xf>
    <xf numFmtId="9" fontId="0" fillId="3" borderId="195" xfId="1" applyFont="1" applyFill="1" applyBorder="1" applyAlignment="1">
      <alignment horizontal="center" vertical="center"/>
    </xf>
    <xf numFmtId="1" fontId="3" fillId="2" borderId="92" xfId="1" applyNumberFormat="1" applyFont="1" applyFill="1" applyBorder="1" applyAlignment="1">
      <alignment horizontal="centerContinuous" vertical="center" wrapText="1"/>
    </xf>
    <xf numFmtId="0" fontId="3" fillId="2" borderId="98" xfId="0" applyFont="1" applyFill="1" applyBorder="1" applyAlignment="1">
      <alignment horizontal="centerContinuous" vertical="center" wrapText="1"/>
    </xf>
    <xf numFmtId="9" fontId="6" fillId="3" borderId="188" xfId="1" applyFont="1" applyFill="1" applyBorder="1" applyAlignment="1">
      <alignment horizontal="center" vertical="center"/>
    </xf>
    <xf numFmtId="9" fontId="6" fillId="3" borderId="191" xfId="1" applyFont="1" applyFill="1" applyBorder="1" applyAlignment="1">
      <alignment horizontal="center" vertical="center"/>
    </xf>
    <xf numFmtId="9" fontId="0" fillId="3" borderId="191" xfId="1" applyFont="1" applyFill="1" applyBorder="1" applyAlignment="1">
      <alignment horizontal="center" vertical="center"/>
    </xf>
    <xf numFmtId="9" fontId="0" fillId="3" borderId="198" xfId="1" applyFont="1" applyFill="1" applyBorder="1" applyAlignment="1">
      <alignment horizontal="center" vertical="center"/>
    </xf>
    <xf numFmtId="164" fontId="6" fillId="8" borderId="186" xfId="1" applyNumberFormat="1" applyFont="1" applyFill="1" applyBorder="1" applyAlignment="1">
      <alignment horizontal="center" vertical="center"/>
    </xf>
    <xf numFmtId="164" fontId="6" fillId="8" borderId="187" xfId="1" applyNumberFormat="1" applyFont="1" applyFill="1" applyBorder="1" applyAlignment="1">
      <alignment horizontal="center" vertical="center"/>
    </xf>
    <xf numFmtId="164" fontId="6" fillId="8" borderId="188" xfId="1" applyNumberFormat="1" applyFont="1" applyFill="1" applyBorder="1" applyAlignment="1">
      <alignment horizontal="center" vertical="center"/>
    </xf>
    <xf numFmtId="164" fontId="6" fillId="8" borderId="189" xfId="1" applyNumberFormat="1" applyFont="1" applyFill="1" applyBorder="1" applyAlignment="1">
      <alignment horizontal="center" vertical="center"/>
    </xf>
    <xf numFmtId="164" fontId="6" fillId="8" borderId="190" xfId="1" applyNumberFormat="1" applyFont="1" applyFill="1" applyBorder="1" applyAlignment="1">
      <alignment horizontal="center" vertical="center"/>
    </xf>
    <xf numFmtId="164" fontId="6" fillId="8" borderId="191" xfId="1" applyNumberFormat="1" applyFont="1" applyFill="1" applyBorder="1" applyAlignment="1">
      <alignment horizontal="center" vertical="center"/>
    </xf>
    <xf numFmtId="164" fontId="6" fillId="3" borderId="189" xfId="1" applyNumberFormat="1" applyFont="1" applyFill="1" applyBorder="1" applyAlignment="1">
      <alignment horizontal="center" vertical="center"/>
    </xf>
    <xf numFmtId="164" fontId="6" fillId="3" borderId="190" xfId="1" applyNumberFormat="1" applyFont="1" applyFill="1" applyBorder="1" applyAlignment="1">
      <alignment horizontal="center" vertical="center"/>
    </xf>
    <xf numFmtId="164" fontId="6" fillId="3" borderId="191" xfId="1" applyNumberFormat="1" applyFont="1" applyFill="1" applyBorder="1" applyAlignment="1">
      <alignment horizontal="center" vertical="center"/>
    </xf>
    <xf numFmtId="164" fontId="6" fillId="3" borderId="199" xfId="1" applyNumberFormat="1" applyFont="1" applyFill="1" applyBorder="1" applyAlignment="1">
      <alignment horizontal="center" vertical="center"/>
    </xf>
    <xf numFmtId="164" fontId="6" fillId="3" borderId="196" xfId="1" applyNumberFormat="1" applyFont="1" applyFill="1" applyBorder="1" applyAlignment="1">
      <alignment horizontal="center" vertical="center"/>
    </xf>
    <xf numFmtId="164" fontId="6" fillId="3" borderId="197" xfId="1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2" borderId="82" xfId="0" applyFont="1" applyFill="1" applyBorder="1" applyAlignment="1">
      <alignment horizontal="center" vertical="center" wrapText="1"/>
    </xf>
    <xf numFmtId="0" fontId="5" fillId="2" borderId="83" xfId="0" applyFont="1" applyFill="1" applyBorder="1" applyAlignment="1">
      <alignment horizontal="center" vertical="center" wrapText="1"/>
    </xf>
    <xf numFmtId="0" fontId="5" fillId="2" borderId="84" xfId="0" applyFont="1" applyFill="1" applyBorder="1" applyAlignment="1">
      <alignment horizontal="center" vertical="center" wrapText="1"/>
    </xf>
    <xf numFmtId="0" fontId="5" fillId="2" borderId="85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2" fillId="8" borderId="40" xfId="0" applyFont="1" applyFill="1" applyBorder="1" applyAlignment="1">
      <alignment horizontal="center" vertical="center"/>
    </xf>
    <xf numFmtId="0" fontId="2" fillId="8" borderId="36" xfId="0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/>
    </xf>
    <xf numFmtId="0" fontId="2" fillId="3" borderId="44" xfId="0" applyFont="1" applyFill="1" applyBorder="1" applyAlignment="1">
      <alignment horizontal="center" vertical="center"/>
    </xf>
    <xf numFmtId="0" fontId="2" fillId="8" borderId="15" xfId="0" applyFont="1" applyFill="1" applyBorder="1" applyAlignment="1">
      <alignment horizontal="center" vertical="center"/>
    </xf>
    <xf numFmtId="0" fontId="2" fillId="8" borderId="2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18" xfId="0" applyFont="1" applyFill="1" applyBorder="1" applyAlignment="1">
      <alignment horizontal="center" vertical="center"/>
    </xf>
    <xf numFmtId="0" fontId="2" fillId="3" borderId="117" xfId="0" applyFont="1" applyFill="1" applyBorder="1" applyAlignment="1">
      <alignment horizontal="center" vertical="center"/>
    </xf>
    <xf numFmtId="0" fontId="2" fillId="3" borderId="119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164" fontId="13" fillId="3" borderId="46" xfId="0" applyNumberFormat="1" applyFont="1" applyFill="1" applyBorder="1" applyAlignment="1">
      <alignment horizontal="center" vertical="center"/>
    </xf>
    <xf numFmtId="164" fontId="4" fillId="5" borderId="37" xfId="0" applyNumberFormat="1" applyFont="1" applyFill="1" applyBorder="1" applyAlignment="1">
      <alignment horizontal="center" vertical="center"/>
    </xf>
    <xf numFmtId="164" fontId="4" fillId="5" borderId="39" xfId="0" applyNumberFormat="1" applyFont="1" applyFill="1" applyBorder="1" applyAlignment="1">
      <alignment horizontal="center" vertical="center"/>
    </xf>
    <xf numFmtId="164" fontId="4" fillId="5" borderId="46" xfId="0" applyNumberFormat="1" applyFont="1" applyFill="1" applyBorder="1" applyAlignment="1">
      <alignment horizontal="center" vertical="center"/>
    </xf>
    <xf numFmtId="0" fontId="4" fillId="3" borderId="45" xfId="0" applyFont="1" applyFill="1" applyBorder="1" applyAlignment="1">
      <alignment horizontal="center" vertical="center"/>
    </xf>
    <xf numFmtId="0" fontId="4" fillId="3" borderId="39" xfId="0" applyFont="1" applyFill="1" applyBorder="1" applyAlignment="1">
      <alignment horizontal="center" vertical="center"/>
    </xf>
    <xf numFmtId="9" fontId="4" fillId="3" borderId="37" xfId="1" applyFont="1" applyFill="1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0" fontId="4" fillId="5" borderId="45" xfId="0" applyFont="1" applyFill="1" applyBorder="1" applyAlignment="1">
      <alignment horizontal="center" vertical="center"/>
    </xf>
    <xf numFmtId="0" fontId="4" fillId="5" borderId="39" xfId="0" applyFont="1" applyFill="1" applyBorder="1" applyAlignment="1">
      <alignment horizontal="center" vertical="center"/>
    </xf>
    <xf numFmtId="9" fontId="4" fillId="5" borderId="37" xfId="1" applyFont="1" applyFill="1" applyBorder="1" applyAlignment="1">
      <alignment horizontal="center" vertical="center"/>
    </xf>
    <xf numFmtId="3" fontId="5" fillId="5" borderId="38" xfId="1" applyNumberFormat="1" applyFont="1" applyFill="1" applyBorder="1" applyAlignment="1">
      <alignment horizontal="center" vertical="center"/>
    </xf>
    <xf numFmtId="9" fontId="4" fillId="5" borderId="38" xfId="1" applyFont="1" applyFill="1" applyBorder="1" applyAlignment="1">
      <alignment horizontal="center" vertical="center"/>
    </xf>
    <xf numFmtId="0" fontId="9" fillId="3" borderId="31" xfId="0" applyFont="1" applyFill="1" applyBorder="1" applyAlignment="1">
      <alignment vertical="center"/>
    </xf>
    <xf numFmtId="0" fontId="9" fillId="3" borderId="56" xfId="0" applyFont="1" applyFill="1" applyBorder="1" applyAlignment="1">
      <alignment horizontal="center" vertical="center"/>
    </xf>
    <xf numFmtId="165" fontId="9" fillId="3" borderId="47" xfId="0" applyNumberFormat="1" applyFont="1" applyFill="1" applyBorder="1" applyAlignment="1">
      <alignment horizontal="left" vertical="center"/>
    </xf>
    <xf numFmtId="3" fontId="19" fillId="3" borderId="45" xfId="0" applyNumberFormat="1" applyFont="1" applyFill="1" applyBorder="1" applyAlignment="1">
      <alignment horizontal="center" vertical="center"/>
    </xf>
    <xf numFmtId="3" fontId="19" fillId="3" borderId="39" xfId="0" applyNumberFormat="1" applyFont="1" applyFill="1" applyBorder="1" applyAlignment="1">
      <alignment horizontal="center" vertical="center"/>
    </xf>
    <xf numFmtId="9" fontId="19" fillId="3" borderId="37" xfId="1" applyNumberFormat="1" applyFont="1" applyFill="1" applyBorder="1" applyAlignment="1">
      <alignment horizontal="center" vertical="center"/>
    </xf>
    <xf numFmtId="3" fontId="19" fillId="3" borderId="39" xfId="1" applyNumberFormat="1" applyFont="1" applyFill="1" applyBorder="1" applyAlignment="1">
      <alignment horizontal="center" vertical="center"/>
    </xf>
    <xf numFmtId="9" fontId="19" fillId="3" borderId="37" xfId="1" applyFont="1" applyFill="1" applyBorder="1" applyAlignment="1">
      <alignment horizontal="center" vertical="center"/>
    </xf>
    <xf numFmtId="3" fontId="19" fillId="3" borderId="37" xfId="0" applyNumberFormat="1" applyFont="1" applyFill="1" applyBorder="1" applyAlignment="1">
      <alignment horizontal="center" vertical="center"/>
    </xf>
    <xf numFmtId="3" fontId="19" fillId="3" borderId="46" xfId="0" applyNumberFormat="1" applyFont="1" applyFill="1" applyBorder="1" applyAlignment="1">
      <alignment horizontal="center" vertical="center"/>
    </xf>
    <xf numFmtId="0" fontId="9" fillId="0" borderId="64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3" borderId="47" xfId="0" applyFont="1" applyFill="1" applyBorder="1" applyAlignment="1">
      <alignment vertical="center"/>
    </xf>
    <xf numFmtId="3" fontId="9" fillId="3" borderId="45" xfId="0" applyNumberFormat="1" applyFont="1" applyFill="1" applyBorder="1" applyAlignment="1">
      <alignment horizontal="center" vertical="center"/>
    </xf>
    <xf numFmtId="3" fontId="9" fillId="3" borderId="39" xfId="0" applyNumberFormat="1" applyFont="1" applyFill="1" applyBorder="1" applyAlignment="1">
      <alignment horizontal="center" vertical="center"/>
    </xf>
    <xf numFmtId="9" fontId="9" fillId="3" borderId="37" xfId="1" applyNumberFormat="1" applyFont="1" applyFill="1" applyBorder="1" applyAlignment="1">
      <alignment horizontal="center" vertical="center"/>
    </xf>
    <xf numFmtId="3" fontId="20" fillId="3" borderId="38" xfId="1" applyNumberFormat="1" applyFont="1" applyFill="1" applyBorder="1" applyAlignment="1">
      <alignment horizontal="center" vertical="center"/>
    </xf>
    <xf numFmtId="9" fontId="9" fillId="3" borderId="38" xfId="1" applyNumberFormat="1" applyFont="1" applyFill="1" applyBorder="1" applyAlignment="1">
      <alignment horizontal="center" vertical="center"/>
    </xf>
    <xf numFmtId="9" fontId="9" fillId="4" borderId="38" xfId="1" applyFont="1" applyFill="1" applyBorder="1" applyAlignment="1">
      <alignment horizontal="center" vertical="center"/>
    </xf>
    <xf numFmtId="3" fontId="20" fillId="4" borderId="39" xfId="1" applyNumberFormat="1" applyFont="1" applyFill="1" applyBorder="1" applyAlignment="1">
      <alignment horizontal="center" vertical="center"/>
    </xf>
    <xf numFmtId="3" fontId="9" fillId="3" borderId="37" xfId="0" applyNumberFormat="1" applyFont="1" applyFill="1" applyBorder="1" applyAlignment="1">
      <alignment horizontal="center" vertical="center"/>
    </xf>
    <xf numFmtId="3" fontId="9" fillId="3" borderId="46" xfId="0" applyNumberFormat="1" applyFont="1" applyFill="1" applyBorder="1" applyAlignment="1">
      <alignment horizontal="center" vertical="center"/>
    </xf>
    <xf numFmtId="0" fontId="9" fillId="0" borderId="64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21" fillId="3" borderId="31" xfId="0" applyFont="1" applyFill="1" applyBorder="1" applyAlignment="1">
      <alignment vertical="center"/>
    </xf>
    <xf numFmtId="9" fontId="22" fillId="3" borderId="37" xfId="1" applyFont="1" applyFill="1" applyBorder="1" applyAlignment="1">
      <alignment horizontal="center" vertical="center"/>
    </xf>
    <xf numFmtId="9" fontId="22" fillId="3" borderId="38" xfId="1" applyFont="1" applyFill="1" applyBorder="1" applyAlignment="1">
      <alignment horizontal="center" vertical="center"/>
    </xf>
    <xf numFmtId="9" fontId="22" fillId="3" borderId="39" xfId="1" applyFont="1" applyFill="1" applyBorder="1" applyAlignment="1">
      <alignment horizontal="center" vertical="center"/>
    </xf>
    <xf numFmtId="9" fontId="22" fillId="3" borderId="192" xfId="1" applyFont="1" applyFill="1" applyBorder="1" applyAlignment="1">
      <alignment horizontal="center" vertical="center"/>
    </xf>
    <xf numFmtId="9" fontId="22" fillId="3" borderId="193" xfId="1" applyFont="1" applyFill="1" applyBorder="1" applyAlignment="1">
      <alignment horizontal="center" vertical="center"/>
    </xf>
    <xf numFmtId="9" fontId="22" fillId="3" borderId="194" xfId="1" applyFont="1" applyFill="1" applyBorder="1" applyAlignment="1">
      <alignment horizontal="center" vertical="center"/>
    </xf>
    <xf numFmtId="3" fontId="23" fillId="3" borderId="37" xfId="0" applyNumberFormat="1" applyFont="1" applyFill="1" applyBorder="1" applyAlignment="1">
      <alignment horizontal="center" vertical="center"/>
    </xf>
    <xf numFmtId="3" fontId="23" fillId="3" borderId="39" xfId="0" applyNumberFormat="1" applyFont="1" applyFill="1" applyBorder="1" applyAlignment="1">
      <alignment horizontal="center" vertical="center"/>
    </xf>
    <xf numFmtId="3" fontId="23" fillId="3" borderId="46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24" fillId="3" borderId="31" xfId="0" applyFont="1" applyFill="1" applyBorder="1" applyAlignment="1">
      <alignment vertical="center"/>
    </xf>
    <xf numFmtId="3" fontId="24" fillId="3" borderId="55" xfId="0" applyNumberFormat="1" applyFont="1" applyFill="1" applyBorder="1" applyAlignment="1">
      <alignment horizontal="center" vertical="center"/>
    </xf>
    <xf numFmtId="3" fontId="25" fillId="3" borderId="45" xfId="0" applyNumberFormat="1" applyFont="1" applyFill="1" applyBorder="1" applyAlignment="1">
      <alignment horizontal="center" vertical="center"/>
    </xf>
    <xf numFmtId="3" fontId="25" fillId="3" borderId="38" xfId="0" applyNumberFormat="1" applyFont="1" applyFill="1" applyBorder="1" applyAlignment="1">
      <alignment horizontal="center" vertical="center"/>
    </xf>
    <xf numFmtId="3" fontId="25" fillId="3" borderId="39" xfId="0" applyNumberFormat="1" applyFont="1" applyFill="1" applyBorder="1" applyAlignment="1">
      <alignment horizontal="center" vertical="center"/>
    </xf>
    <xf numFmtId="3" fontId="25" fillId="3" borderId="37" xfId="0" applyNumberFormat="1" applyFont="1" applyFill="1" applyBorder="1" applyAlignment="1">
      <alignment horizontal="center" vertical="center"/>
    </xf>
    <xf numFmtId="9" fontId="25" fillId="3" borderId="37" xfId="1" applyFont="1" applyFill="1" applyBorder="1" applyAlignment="1">
      <alignment horizontal="center" vertical="center"/>
    </xf>
    <xf numFmtId="9" fontId="25" fillId="3" borderId="38" xfId="1" applyFont="1" applyFill="1" applyBorder="1" applyAlignment="1">
      <alignment horizontal="center" vertical="center"/>
    </xf>
    <xf numFmtId="9" fontId="25" fillId="3" borderId="39" xfId="1" applyFont="1" applyFill="1" applyBorder="1" applyAlignment="1">
      <alignment horizontal="center" vertical="center"/>
    </xf>
    <xf numFmtId="9" fontId="25" fillId="3" borderId="192" xfId="1" applyFont="1" applyFill="1" applyBorder="1" applyAlignment="1">
      <alignment horizontal="center" vertical="center"/>
    </xf>
    <xf numFmtId="9" fontId="25" fillId="3" borderId="193" xfId="1" applyFont="1" applyFill="1" applyBorder="1" applyAlignment="1">
      <alignment horizontal="center" vertical="center"/>
    </xf>
    <xf numFmtId="9" fontId="25" fillId="3" borderId="194" xfId="1" applyFont="1" applyFill="1" applyBorder="1" applyAlignment="1">
      <alignment horizontal="center" vertical="center"/>
    </xf>
    <xf numFmtId="3" fontId="25" fillId="3" borderId="192" xfId="1" applyNumberFormat="1" applyFont="1" applyFill="1" applyBorder="1" applyAlignment="1">
      <alignment horizontal="center" vertical="center"/>
    </xf>
    <xf numFmtId="3" fontId="25" fillId="3" borderId="193" xfId="1" applyNumberFormat="1" applyFont="1" applyFill="1" applyBorder="1" applyAlignment="1">
      <alignment horizontal="center" vertical="center"/>
    </xf>
    <xf numFmtId="3" fontId="25" fillId="3" borderId="194" xfId="1" applyNumberFormat="1" applyFont="1" applyFill="1" applyBorder="1" applyAlignment="1">
      <alignment horizontal="center" vertical="center"/>
    </xf>
    <xf numFmtId="3" fontId="26" fillId="3" borderId="37" xfId="0" applyNumberFormat="1" applyFont="1" applyFill="1" applyBorder="1" applyAlignment="1">
      <alignment horizontal="center" vertical="center"/>
    </xf>
    <xf numFmtId="3" fontId="26" fillId="3" borderId="39" xfId="0" applyNumberFormat="1" applyFont="1" applyFill="1" applyBorder="1" applyAlignment="1">
      <alignment horizontal="center" vertical="center"/>
    </xf>
    <xf numFmtId="3" fontId="26" fillId="3" borderId="46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3" fontId="21" fillId="3" borderId="55" xfId="0" applyNumberFormat="1" applyFont="1" applyFill="1" applyBorder="1" applyAlignment="1">
      <alignment horizontal="center" vertical="center"/>
    </xf>
    <xf numFmtId="3" fontId="22" fillId="3" borderId="45" xfId="0" applyNumberFormat="1" applyFont="1" applyFill="1" applyBorder="1" applyAlignment="1">
      <alignment horizontal="center" vertical="center"/>
    </xf>
    <xf numFmtId="3" fontId="22" fillId="3" borderId="38" xfId="0" applyNumberFormat="1" applyFont="1" applyFill="1" applyBorder="1" applyAlignment="1">
      <alignment horizontal="center" vertical="center"/>
    </xf>
    <xf numFmtId="3" fontId="22" fillId="3" borderId="39" xfId="0" applyNumberFormat="1" applyFont="1" applyFill="1" applyBorder="1" applyAlignment="1">
      <alignment horizontal="center" vertical="center"/>
    </xf>
    <xf numFmtId="3" fontId="22" fillId="3" borderId="37" xfId="0" applyNumberFormat="1" applyFont="1" applyFill="1" applyBorder="1" applyAlignment="1">
      <alignment horizontal="center" vertical="center"/>
    </xf>
    <xf numFmtId="3" fontId="22" fillId="3" borderId="192" xfId="1" applyNumberFormat="1" applyFont="1" applyFill="1" applyBorder="1" applyAlignment="1">
      <alignment horizontal="center" vertical="center"/>
    </xf>
    <xf numFmtId="3" fontId="22" fillId="3" borderId="193" xfId="1" applyNumberFormat="1" applyFont="1" applyFill="1" applyBorder="1" applyAlignment="1">
      <alignment horizontal="center" vertical="center"/>
    </xf>
    <xf numFmtId="3" fontId="22" fillId="3" borderId="194" xfId="1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4" fillId="6" borderId="187" xfId="0" applyFont="1" applyFill="1" applyBorder="1" applyAlignment="1">
      <alignment horizontal="center" vertical="center"/>
    </xf>
    <xf numFmtId="0" fontId="4" fillId="3" borderId="190" xfId="0" applyFont="1" applyFill="1" applyBorder="1" applyAlignment="1">
      <alignment horizontal="left" vertical="center"/>
    </xf>
    <xf numFmtId="0" fontId="21" fillId="3" borderId="200" xfId="0" applyFont="1" applyFill="1" applyBorder="1" applyAlignment="1">
      <alignment horizontal="center" vertical="center"/>
    </xf>
    <xf numFmtId="0" fontId="21" fillId="3" borderId="193" xfId="0" applyFont="1" applyFill="1" applyBorder="1" applyAlignment="1">
      <alignment horizontal="center" vertical="center"/>
    </xf>
    <xf numFmtId="0" fontId="13" fillId="3" borderId="190" xfId="0" applyFont="1" applyFill="1" applyBorder="1" applyAlignment="1">
      <alignment horizontal="left" vertical="center"/>
    </xf>
    <xf numFmtId="0" fontId="4" fillId="6" borderId="186" xfId="0" applyFont="1" applyFill="1" applyBorder="1" applyAlignment="1">
      <alignment horizontal="center" vertical="center"/>
    </xf>
    <xf numFmtId="0" fontId="4" fillId="3" borderId="189" xfId="0" applyFont="1" applyFill="1" applyBorder="1" applyAlignment="1">
      <alignment horizontal="left" vertical="center"/>
    </xf>
    <xf numFmtId="0" fontId="21" fillId="3" borderId="47" xfId="0" applyFont="1" applyFill="1" applyBorder="1" applyAlignment="1">
      <alignment horizontal="center" vertical="center"/>
    </xf>
    <xf numFmtId="0" fontId="21" fillId="3" borderId="192" xfId="0" applyFont="1" applyFill="1" applyBorder="1" applyAlignment="1">
      <alignment horizontal="center" vertical="center"/>
    </xf>
    <xf numFmtId="0" fontId="13" fillId="3" borderId="189" xfId="0" applyFont="1" applyFill="1" applyBorder="1" applyAlignment="1">
      <alignment horizontal="left" vertical="center"/>
    </xf>
    <xf numFmtId="0" fontId="24" fillId="3" borderId="47" xfId="0" applyFont="1" applyFill="1" applyBorder="1" applyAlignment="1">
      <alignment horizontal="center" vertical="center"/>
    </xf>
    <xf numFmtId="0" fontId="4" fillId="6" borderId="188" xfId="0" applyFont="1" applyFill="1" applyBorder="1" applyAlignment="1">
      <alignment horizontal="center" vertical="center"/>
    </xf>
    <xf numFmtId="0" fontId="4" fillId="3" borderId="191" xfId="0" applyFont="1" applyFill="1" applyBorder="1" applyAlignment="1">
      <alignment horizontal="left" vertical="center"/>
    </xf>
    <xf numFmtId="0" fontId="21" fillId="3" borderId="194" xfId="0" applyFont="1" applyFill="1" applyBorder="1" applyAlignment="1">
      <alignment horizontal="center" vertical="center"/>
    </xf>
    <xf numFmtId="0" fontId="13" fillId="3" borderId="191" xfId="0" applyFont="1" applyFill="1" applyBorder="1" applyAlignment="1">
      <alignment horizontal="left" vertical="center"/>
    </xf>
    <xf numFmtId="0" fontId="0" fillId="6" borderId="201" xfId="0" applyFill="1" applyBorder="1" applyAlignment="1">
      <alignment vertical="center"/>
    </xf>
    <xf numFmtId="0" fontId="0" fillId="6" borderId="202" xfId="0" applyFill="1" applyBorder="1" applyAlignment="1">
      <alignment vertical="center"/>
    </xf>
    <xf numFmtId="165" fontId="21" fillId="3" borderId="203" xfId="0" applyNumberFormat="1" applyFont="1" applyFill="1" applyBorder="1" applyAlignment="1">
      <alignment horizontal="left" vertical="center"/>
    </xf>
    <xf numFmtId="0" fontId="0" fillId="3" borderId="202" xfId="0" applyFill="1" applyBorder="1" applyAlignment="1">
      <alignment vertical="center"/>
    </xf>
    <xf numFmtId="0" fontId="0" fillId="3" borderId="202" xfId="0" applyFont="1" applyFill="1" applyBorder="1" applyAlignment="1">
      <alignment vertical="center"/>
    </xf>
    <xf numFmtId="0" fontId="6" fillId="3" borderId="202" xfId="0" applyFont="1" applyFill="1" applyBorder="1" applyAlignment="1">
      <alignment vertical="center"/>
    </xf>
    <xf numFmtId="0" fontId="0" fillId="3" borderId="205" xfId="0" applyFill="1" applyBorder="1" applyAlignment="1">
      <alignment vertical="center"/>
    </xf>
    <xf numFmtId="165" fontId="24" fillId="3" borderId="203" xfId="0" applyNumberFormat="1" applyFont="1" applyFill="1" applyBorder="1" applyAlignment="1">
      <alignment horizontal="left" vertical="center"/>
    </xf>
    <xf numFmtId="0" fontId="7" fillId="0" borderId="65" xfId="0" applyFont="1" applyBorder="1" applyAlignment="1">
      <alignment horizontal="center" vertical="center"/>
    </xf>
    <xf numFmtId="0" fontId="0" fillId="6" borderId="206" xfId="0" applyFill="1" applyBorder="1" applyAlignment="1">
      <alignment vertical="center"/>
    </xf>
    <xf numFmtId="0" fontId="0" fillId="6" borderId="207" xfId="0" applyFill="1" applyBorder="1" applyAlignment="1">
      <alignment vertical="center"/>
    </xf>
    <xf numFmtId="0" fontId="0" fillId="6" borderId="208" xfId="0" applyFont="1" applyFill="1" applyBorder="1" applyAlignment="1">
      <alignment vertical="center"/>
    </xf>
    <xf numFmtId="0" fontId="0" fillId="6" borderId="187" xfId="0" applyFill="1" applyBorder="1" applyAlignment="1">
      <alignment horizontal="center" vertical="center"/>
    </xf>
    <xf numFmtId="0" fontId="0" fillId="6" borderId="188" xfId="0" applyFill="1" applyBorder="1" applyAlignment="1">
      <alignment horizontal="center" vertical="center"/>
    </xf>
    <xf numFmtId="0" fontId="0" fillId="6" borderId="190" xfId="0" applyFill="1" applyBorder="1" applyAlignment="1">
      <alignment horizontal="center" vertical="center"/>
    </xf>
    <xf numFmtId="0" fontId="0" fillId="6" borderId="191" xfId="0" applyFill="1" applyBorder="1" applyAlignment="1">
      <alignment horizontal="center" vertical="center"/>
    </xf>
    <xf numFmtId="0" fontId="0" fillId="3" borderId="190" xfId="0" applyFill="1" applyBorder="1" applyAlignment="1">
      <alignment horizontal="center" vertical="center"/>
    </xf>
    <xf numFmtId="0" fontId="0" fillId="3" borderId="191" xfId="0" applyFill="1" applyBorder="1" applyAlignment="1">
      <alignment horizontal="center" vertical="center"/>
    </xf>
    <xf numFmtId="0" fontId="0" fillId="3" borderId="190" xfId="0" applyFont="1" applyFill="1" applyBorder="1" applyAlignment="1">
      <alignment horizontal="center" vertical="center"/>
    </xf>
    <xf numFmtId="0" fontId="0" fillId="3" borderId="191" xfId="0" applyFont="1" applyFill="1" applyBorder="1" applyAlignment="1">
      <alignment horizontal="center" vertical="center"/>
    </xf>
    <xf numFmtId="0" fontId="6" fillId="3" borderId="190" xfId="0" applyFont="1" applyFill="1" applyBorder="1" applyAlignment="1">
      <alignment horizontal="center" vertical="center"/>
    </xf>
    <xf numFmtId="0" fontId="6" fillId="3" borderId="191" xfId="0" applyFont="1" applyFill="1" applyBorder="1" applyAlignment="1">
      <alignment horizontal="center" vertical="center"/>
    </xf>
    <xf numFmtId="0" fontId="0" fillId="3" borderId="196" xfId="0" applyFill="1" applyBorder="1" applyAlignment="1">
      <alignment horizontal="center" vertical="center"/>
    </xf>
    <xf numFmtId="0" fontId="0" fillId="3" borderId="197" xfId="0" applyFill="1" applyBorder="1" applyAlignment="1">
      <alignment horizontal="center" vertical="center"/>
    </xf>
    <xf numFmtId="3" fontId="21" fillId="3" borderId="193" xfId="0" applyNumberFormat="1" applyFont="1" applyFill="1" applyBorder="1" applyAlignment="1">
      <alignment horizontal="center" vertical="center"/>
    </xf>
    <xf numFmtId="3" fontId="21" fillId="3" borderId="194" xfId="0" applyNumberFormat="1" applyFont="1" applyFill="1" applyBorder="1" applyAlignment="1">
      <alignment horizontal="center" vertical="center"/>
    </xf>
    <xf numFmtId="3" fontId="24" fillId="3" borderId="193" xfId="0" applyNumberFormat="1" applyFont="1" applyFill="1" applyBorder="1" applyAlignment="1">
      <alignment horizontal="center" vertical="center"/>
    </xf>
    <xf numFmtId="3" fontId="24" fillId="3" borderId="194" xfId="0" applyNumberFormat="1" applyFont="1" applyFill="1" applyBorder="1" applyAlignment="1">
      <alignment horizontal="center" vertical="center"/>
    </xf>
    <xf numFmtId="0" fontId="0" fillId="6" borderId="210" xfId="0" applyFill="1" applyBorder="1" applyAlignment="1">
      <alignment horizontal="center" vertical="center"/>
    </xf>
    <xf numFmtId="0" fontId="0" fillId="6" borderId="211" xfId="0" applyFill="1" applyBorder="1" applyAlignment="1">
      <alignment horizontal="center" vertical="center"/>
    </xf>
    <xf numFmtId="0" fontId="0" fillId="6" borderId="213" xfId="0" applyFill="1" applyBorder="1" applyAlignment="1">
      <alignment horizontal="center" vertical="center"/>
    </xf>
    <xf numFmtId="0" fontId="0" fillId="6" borderId="214" xfId="0" applyFill="1" applyBorder="1" applyAlignment="1">
      <alignment horizontal="center" vertical="center"/>
    </xf>
    <xf numFmtId="0" fontId="0" fillId="6" borderId="216" xfId="0" applyFont="1" applyFill="1" applyBorder="1" applyAlignment="1">
      <alignment horizontal="center" vertical="center"/>
    </xf>
    <xf numFmtId="0" fontId="0" fillId="6" borderId="217" xfId="0" applyFont="1" applyFill="1" applyBorder="1" applyAlignment="1">
      <alignment horizontal="center" vertical="center"/>
    </xf>
    <xf numFmtId="0" fontId="6" fillId="6" borderId="206" xfId="0" applyFont="1" applyFill="1" applyBorder="1" applyAlignment="1">
      <alignment vertical="center"/>
    </xf>
    <xf numFmtId="0" fontId="6" fillId="6" borderId="210" xfId="0" applyFont="1" applyFill="1" applyBorder="1" applyAlignment="1">
      <alignment horizontal="center" vertical="center"/>
    </xf>
    <xf numFmtId="0" fontId="6" fillId="6" borderId="211" xfId="0" applyFont="1" applyFill="1" applyBorder="1" applyAlignment="1">
      <alignment horizontal="center" vertical="center"/>
    </xf>
    <xf numFmtId="0" fontId="0" fillId="6" borderId="142" xfId="0" applyFont="1" applyFill="1" applyBorder="1" applyAlignment="1">
      <alignment horizontal="center" vertical="center"/>
    </xf>
    <xf numFmtId="164" fontId="6" fillId="6" borderId="143" xfId="0" applyNumberFormat="1" applyFont="1" applyFill="1" applyBorder="1" applyAlignment="1">
      <alignment horizontal="center" vertical="center"/>
    </xf>
    <xf numFmtId="164" fontId="6" fillId="6" borderId="146" xfId="0" applyNumberFormat="1" applyFont="1" applyFill="1" applyBorder="1" applyAlignment="1">
      <alignment horizontal="center" vertical="center"/>
    </xf>
    <xf numFmtId="164" fontId="6" fillId="6" borderId="144" xfId="0" applyNumberFormat="1" applyFont="1" applyFill="1" applyBorder="1" applyAlignment="1">
      <alignment horizontal="center" vertical="center"/>
    </xf>
    <xf numFmtId="164" fontId="6" fillId="6" borderId="145" xfId="0" applyNumberFormat="1" applyFont="1" applyFill="1" applyBorder="1" applyAlignment="1">
      <alignment horizontal="center" vertical="center"/>
    </xf>
    <xf numFmtId="0" fontId="6" fillId="6" borderId="207" xfId="0" applyFont="1" applyFill="1" applyBorder="1" applyAlignment="1">
      <alignment vertical="center"/>
    </xf>
    <xf numFmtId="0" fontId="6" fillId="6" borderId="213" xfId="0" applyFont="1" applyFill="1" applyBorder="1" applyAlignment="1">
      <alignment horizontal="center" vertical="center"/>
    </xf>
    <xf numFmtId="0" fontId="6" fillId="6" borderId="214" xfId="0" applyFont="1" applyFill="1" applyBorder="1" applyAlignment="1">
      <alignment horizontal="center" vertical="center"/>
    </xf>
    <xf numFmtId="0" fontId="0" fillId="6" borderId="150" xfId="0" applyFont="1" applyFill="1" applyBorder="1" applyAlignment="1">
      <alignment horizontal="center" vertical="center"/>
    </xf>
    <xf numFmtId="164" fontId="6" fillId="6" borderId="151" xfId="0" applyNumberFormat="1" applyFont="1" applyFill="1" applyBorder="1" applyAlignment="1">
      <alignment horizontal="center" vertical="center"/>
    </xf>
    <xf numFmtId="164" fontId="6" fillId="6" borderId="154" xfId="0" applyNumberFormat="1" applyFont="1" applyFill="1" applyBorder="1" applyAlignment="1">
      <alignment horizontal="center" vertical="center"/>
    </xf>
    <xf numFmtId="164" fontId="6" fillId="6" borderId="152" xfId="0" applyNumberFormat="1" applyFont="1" applyFill="1" applyBorder="1" applyAlignment="1">
      <alignment horizontal="center" vertical="center"/>
    </xf>
    <xf numFmtId="164" fontId="6" fillId="6" borderId="153" xfId="0" applyNumberFormat="1" applyFont="1" applyFill="1" applyBorder="1" applyAlignment="1">
      <alignment horizontal="center" vertical="center"/>
    </xf>
    <xf numFmtId="0" fontId="6" fillId="6" borderId="208" xfId="0" applyFont="1" applyFill="1" applyBorder="1" applyAlignment="1">
      <alignment vertical="center"/>
    </xf>
    <xf numFmtId="0" fontId="6" fillId="6" borderId="216" xfId="0" applyFont="1" applyFill="1" applyBorder="1" applyAlignment="1">
      <alignment horizontal="center" vertical="center"/>
    </xf>
    <xf numFmtId="0" fontId="6" fillId="6" borderId="217" xfId="0" applyFont="1" applyFill="1" applyBorder="1" applyAlignment="1">
      <alignment horizontal="center" vertical="center"/>
    </xf>
    <xf numFmtId="164" fontId="6" fillId="6" borderId="159" xfId="0" applyNumberFormat="1" applyFont="1" applyFill="1" applyBorder="1" applyAlignment="1">
      <alignment horizontal="center" vertical="center"/>
    </xf>
    <xf numFmtId="164" fontId="6" fillId="6" borderId="162" xfId="0" applyNumberFormat="1" applyFont="1" applyFill="1" applyBorder="1" applyAlignment="1">
      <alignment horizontal="center" vertical="center"/>
    </xf>
    <xf numFmtId="164" fontId="6" fillId="6" borderId="160" xfId="0" applyNumberFormat="1" applyFont="1" applyFill="1" applyBorder="1" applyAlignment="1">
      <alignment horizontal="center" vertical="center"/>
    </xf>
    <xf numFmtId="164" fontId="6" fillId="6" borderId="161" xfId="0" applyNumberFormat="1" applyFont="1" applyFill="1" applyBorder="1" applyAlignment="1">
      <alignment horizontal="center" vertical="center"/>
    </xf>
    <xf numFmtId="164" fontId="0" fillId="6" borderId="143" xfId="0" applyNumberFormat="1" applyFill="1" applyBorder="1" applyAlignment="1">
      <alignment horizontal="center" vertical="center"/>
    </xf>
    <xf numFmtId="164" fontId="0" fillId="6" borderId="146" xfId="0" applyNumberFormat="1" applyFill="1" applyBorder="1" applyAlignment="1">
      <alignment horizontal="center" vertical="center"/>
    </xf>
    <xf numFmtId="164" fontId="0" fillId="6" borderId="144" xfId="0" applyNumberFormat="1" applyFill="1" applyBorder="1" applyAlignment="1">
      <alignment horizontal="center" vertical="center"/>
    </xf>
    <xf numFmtId="164" fontId="0" fillId="6" borderId="145" xfId="0" applyNumberFormat="1" applyFill="1" applyBorder="1" applyAlignment="1">
      <alignment horizontal="center" vertical="center"/>
    </xf>
    <xf numFmtId="164" fontId="0" fillId="6" borderId="151" xfId="0" applyNumberFormat="1" applyFill="1" applyBorder="1" applyAlignment="1">
      <alignment horizontal="center" vertical="center"/>
    </xf>
    <xf numFmtId="164" fontId="0" fillId="6" borderId="154" xfId="0" applyNumberFormat="1" applyFill="1" applyBorder="1" applyAlignment="1">
      <alignment horizontal="center" vertical="center"/>
    </xf>
    <xf numFmtId="164" fontId="0" fillId="6" borderId="152" xfId="0" applyNumberFormat="1" applyFill="1" applyBorder="1" applyAlignment="1">
      <alignment horizontal="center" vertical="center"/>
    </xf>
    <xf numFmtId="164" fontId="0" fillId="6" borderId="153" xfId="0" applyNumberFormat="1" applyFill="1" applyBorder="1" applyAlignment="1">
      <alignment horizontal="center" vertical="center"/>
    </xf>
    <xf numFmtId="0" fontId="6" fillId="6" borderId="150" xfId="0" applyFont="1" applyFill="1" applyBorder="1" applyAlignment="1">
      <alignment horizontal="center" vertical="center"/>
    </xf>
    <xf numFmtId="9" fontId="6" fillId="3" borderId="146" xfId="1" applyFont="1" applyFill="1" applyBorder="1" applyAlignment="1">
      <alignment horizontal="center" vertical="center"/>
    </xf>
    <xf numFmtId="9" fontId="6" fillId="3" borderId="144" xfId="1" applyFont="1" applyFill="1" applyBorder="1" applyAlignment="1">
      <alignment horizontal="center" vertical="center"/>
    </xf>
    <xf numFmtId="9" fontId="6" fillId="3" borderId="209" xfId="1" applyFont="1" applyFill="1" applyBorder="1" applyAlignment="1">
      <alignment horizontal="center" vertical="center"/>
    </xf>
    <xf numFmtId="9" fontId="6" fillId="3" borderId="210" xfId="1" applyFont="1" applyFill="1" applyBorder="1" applyAlignment="1">
      <alignment horizontal="center" vertical="center"/>
    </xf>
    <xf numFmtId="9" fontId="6" fillId="3" borderId="211" xfId="1" applyFont="1" applyFill="1" applyBorder="1" applyAlignment="1">
      <alignment horizontal="center" vertical="center"/>
    </xf>
    <xf numFmtId="164" fontId="6" fillId="8" borderId="209" xfId="1" applyNumberFormat="1" applyFont="1" applyFill="1" applyBorder="1" applyAlignment="1">
      <alignment horizontal="center" vertical="center"/>
    </xf>
    <xf numFmtId="164" fontId="6" fillId="8" borderId="210" xfId="1" applyNumberFormat="1" applyFont="1" applyFill="1" applyBorder="1" applyAlignment="1">
      <alignment horizontal="center" vertical="center"/>
    </xf>
    <xf numFmtId="164" fontId="6" fillId="8" borderId="211" xfId="1" applyNumberFormat="1" applyFont="1" applyFill="1" applyBorder="1" applyAlignment="1">
      <alignment horizontal="center" vertical="center"/>
    </xf>
    <xf numFmtId="0" fontId="2" fillId="8" borderId="145" xfId="0" applyFont="1" applyFill="1" applyBorder="1" applyAlignment="1">
      <alignment horizontal="center" vertical="center"/>
    </xf>
    <xf numFmtId="0" fontId="2" fillId="8" borderId="144" xfId="0" applyFont="1" applyFill="1" applyBorder="1" applyAlignment="1">
      <alignment horizontal="center" vertical="center"/>
    </xf>
    <xf numFmtId="0" fontId="2" fillId="3" borderId="145" xfId="0" applyFont="1" applyFill="1" applyBorder="1" applyAlignment="1">
      <alignment horizontal="center" vertical="center"/>
    </xf>
    <xf numFmtId="0" fontId="2" fillId="3" borderId="144" xfId="0" applyFont="1" applyFill="1" applyBorder="1" applyAlignment="1">
      <alignment horizontal="center" vertical="center"/>
    </xf>
    <xf numFmtId="0" fontId="2" fillId="3" borderId="147" xfId="0" applyFont="1" applyFill="1" applyBorder="1" applyAlignment="1">
      <alignment horizontal="center" vertical="center"/>
    </xf>
    <xf numFmtId="9" fontId="6" fillId="3" borderId="154" xfId="1" applyFont="1" applyFill="1" applyBorder="1" applyAlignment="1">
      <alignment horizontal="center" vertical="center"/>
    </xf>
    <xf numFmtId="9" fontId="6" fillId="3" borderId="152" xfId="1" applyFont="1" applyFill="1" applyBorder="1" applyAlignment="1">
      <alignment horizontal="center" vertical="center"/>
    </xf>
    <xf numFmtId="9" fontId="6" fillId="3" borderId="212" xfId="1" applyFont="1" applyFill="1" applyBorder="1" applyAlignment="1">
      <alignment horizontal="center" vertical="center"/>
    </xf>
    <xf numFmtId="9" fontId="6" fillId="3" borderId="213" xfId="1" applyFont="1" applyFill="1" applyBorder="1" applyAlignment="1">
      <alignment horizontal="center" vertical="center"/>
    </xf>
    <xf numFmtId="9" fontId="6" fillId="3" borderId="214" xfId="1" applyFont="1" applyFill="1" applyBorder="1" applyAlignment="1">
      <alignment horizontal="center" vertical="center"/>
    </xf>
    <xf numFmtId="164" fontId="6" fillId="8" borderId="212" xfId="1" applyNumberFormat="1" applyFont="1" applyFill="1" applyBorder="1" applyAlignment="1">
      <alignment horizontal="center" vertical="center"/>
    </xf>
    <xf numFmtId="164" fontId="6" fillId="8" borderId="213" xfId="1" applyNumberFormat="1" applyFont="1" applyFill="1" applyBorder="1" applyAlignment="1">
      <alignment horizontal="center" vertical="center"/>
    </xf>
    <xf numFmtId="164" fontId="6" fillId="8" borderId="214" xfId="1" applyNumberFormat="1" applyFont="1" applyFill="1" applyBorder="1" applyAlignment="1">
      <alignment horizontal="center" vertical="center"/>
    </xf>
    <xf numFmtId="0" fontId="2" fillId="8" borderId="153" xfId="0" applyFont="1" applyFill="1" applyBorder="1" applyAlignment="1">
      <alignment horizontal="center" vertical="center"/>
    </xf>
    <xf numFmtId="0" fontId="2" fillId="8" borderId="152" xfId="0" applyFont="1" applyFill="1" applyBorder="1" applyAlignment="1">
      <alignment horizontal="center" vertical="center"/>
    </xf>
    <xf numFmtId="0" fontId="2" fillId="3" borderId="153" xfId="0" applyFont="1" applyFill="1" applyBorder="1" applyAlignment="1">
      <alignment horizontal="center" vertical="center"/>
    </xf>
    <xf numFmtId="0" fontId="2" fillId="3" borderId="152" xfId="0" applyFont="1" applyFill="1" applyBorder="1" applyAlignment="1">
      <alignment horizontal="center" vertical="center"/>
    </xf>
    <xf numFmtId="0" fontId="2" fillId="3" borderId="155" xfId="0" applyFont="1" applyFill="1" applyBorder="1" applyAlignment="1">
      <alignment horizontal="center" vertical="center"/>
    </xf>
    <xf numFmtId="0" fontId="0" fillId="6" borderId="208" xfId="0" applyFill="1" applyBorder="1" applyAlignment="1">
      <alignment vertical="center"/>
    </xf>
    <xf numFmtId="0" fontId="0" fillId="6" borderId="216" xfId="0" applyFill="1" applyBorder="1" applyAlignment="1">
      <alignment horizontal="center" vertical="center"/>
    </xf>
    <xf numFmtId="0" fontId="0" fillId="6" borderId="217" xfId="0" applyFill="1" applyBorder="1" applyAlignment="1">
      <alignment horizontal="center" vertical="center"/>
    </xf>
    <xf numFmtId="0" fontId="0" fillId="6" borderId="158" xfId="0" applyFill="1" applyBorder="1" applyAlignment="1">
      <alignment horizontal="center" vertical="center"/>
    </xf>
    <xf numFmtId="9" fontId="6" fillId="3" borderId="162" xfId="1" applyFont="1" applyFill="1" applyBorder="1" applyAlignment="1">
      <alignment horizontal="center" vertical="center"/>
    </xf>
    <xf numFmtId="9" fontId="6" fillId="3" borderId="160" xfId="1" applyFont="1" applyFill="1" applyBorder="1" applyAlignment="1">
      <alignment horizontal="center" vertical="center"/>
    </xf>
    <xf numFmtId="9" fontId="6" fillId="3" borderId="215" xfId="1" applyFont="1" applyFill="1" applyBorder="1" applyAlignment="1">
      <alignment horizontal="center" vertical="center"/>
    </xf>
    <xf numFmtId="9" fontId="6" fillId="3" borderId="216" xfId="1" applyFont="1" applyFill="1" applyBorder="1" applyAlignment="1">
      <alignment horizontal="center" vertical="center"/>
    </xf>
    <xf numFmtId="9" fontId="6" fillId="3" borderId="217" xfId="1" applyFont="1" applyFill="1" applyBorder="1" applyAlignment="1">
      <alignment horizontal="center" vertical="center"/>
    </xf>
    <xf numFmtId="164" fontId="6" fillId="8" borderId="215" xfId="1" applyNumberFormat="1" applyFont="1" applyFill="1" applyBorder="1" applyAlignment="1">
      <alignment horizontal="center" vertical="center"/>
    </xf>
    <xf numFmtId="164" fontId="6" fillId="8" borderId="216" xfId="1" applyNumberFormat="1" applyFont="1" applyFill="1" applyBorder="1" applyAlignment="1">
      <alignment horizontal="center" vertical="center"/>
    </xf>
    <xf numFmtId="164" fontId="6" fillId="8" borderId="217" xfId="1" applyNumberFormat="1" applyFont="1" applyFill="1" applyBorder="1" applyAlignment="1">
      <alignment horizontal="center" vertical="center"/>
    </xf>
    <xf numFmtId="0" fontId="2" fillId="8" borderId="161" xfId="0" applyFont="1" applyFill="1" applyBorder="1" applyAlignment="1">
      <alignment horizontal="center" vertical="center"/>
    </xf>
    <xf numFmtId="0" fontId="2" fillId="8" borderId="160" xfId="0" applyFont="1" applyFill="1" applyBorder="1" applyAlignment="1">
      <alignment horizontal="center" vertical="center"/>
    </xf>
    <xf numFmtId="0" fontId="2" fillId="3" borderId="161" xfId="0" applyFont="1" applyFill="1" applyBorder="1" applyAlignment="1">
      <alignment horizontal="center" vertical="center"/>
    </xf>
    <xf numFmtId="0" fontId="2" fillId="3" borderId="160" xfId="0" applyFont="1" applyFill="1" applyBorder="1" applyAlignment="1">
      <alignment horizontal="center" vertical="center"/>
    </xf>
    <xf numFmtId="0" fontId="2" fillId="3" borderId="163" xfId="0" applyFont="1" applyFill="1" applyBorder="1" applyAlignment="1">
      <alignment horizontal="center" vertical="center"/>
    </xf>
    <xf numFmtId="164" fontId="6" fillId="3" borderId="195" xfId="1" applyNumberFormat="1" applyFont="1" applyFill="1" applyBorder="1" applyAlignment="1">
      <alignment horizontal="center" vertical="center"/>
    </xf>
    <xf numFmtId="164" fontId="6" fillId="3" borderId="198" xfId="1" applyNumberFormat="1" applyFont="1" applyFill="1" applyBorder="1" applyAlignment="1">
      <alignment horizontal="center" vertical="center"/>
    </xf>
    <xf numFmtId="0" fontId="2" fillId="3" borderId="219" xfId="0" applyFont="1" applyFill="1" applyBorder="1" applyAlignment="1">
      <alignment horizontal="center" vertical="center"/>
    </xf>
    <xf numFmtId="0" fontId="2" fillId="3" borderId="218" xfId="0" applyFont="1" applyFill="1" applyBorder="1" applyAlignment="1">
      <alignment horizontal="center" vertical="center"/>
    </xf>
    <xf numFmtId="0" fontId="2" fillId="3" borderId="220" xfId="0" applyFont="1" applyFill="1" applyBorder="1" applyAlignment="1">
      <alignment horizontal="center" vertical="center"/>
    </xf>
    <xf numFmtId="0" fontId="0" fillId="3" borderId="204" xfId="0" applyFill="1" applyBorder="1" applyAlignment="1">
      <alignment vertical="center"/>
    </xf>
    <xf numFmtId="0" fontId="0" fillId="3" borderId="195" xfId="0" applyFill="1" applyBorder="1" applyAlignment="1">
      <alignment horizontal="center" vertical="center"/>
    </xf>
    <xf numFmtId="0" fontId="0" fillId="3" borderId="198" xfId="0" applyFill="1" applyBorder="1" applyAlignment="1">
      <alignment horizontal="center" vertical="center"/>
    </xf>
    <xf numFmtId="0" fontId="6" fillId="6" borderId="142" xfId="0" applyFont="1" applyFill="1" applyBorder="1" applyAlignment="1">
      <alignment horizontal="center" vertical="center"/>
    </xf>
    <xf numFmtId="0" fontId="2" fillId="14" borderId="145" xfId="0" applyFont="1" applyFill="1" applyBorder="1" applyAlignment="1">
      <alignment horizontal="center" vertical="center"/>
    </xf>
    <xf numFmtId="0" fontId="2" fillId="14" borderId="144" xfId="0" applyFont="1" applyFill="1" applyBorder="1" applyAlignment="1">
      <alignment horizontal="center" vertical="center"/>
    </xf>
    <xf numFmtId="0" fontId="2" fillId="14" borderId="147" xfId="0" applyFont="1" applyFill="1" applyBorder="1" applyAlignment="1">
      <alignment horizontal="center" vertical="center"/>
    </xf>
    <xf numFmtId="0" fontId="2" fillId="14" borderId="153" xfId="0" applyFont="1" applyFill="1" applyBorder="1" applyAlignment="1">
      <alignment horizontal="center" vertical="center"/>
    </xf>
    <xf numFmtId="0" fontId="2" fillId="14" borderId="152" xfId="0" applyFont="1" applyFill="1" applyBorder="1" applyAlignment="1">
      <alignment horizontal="center" vertical="center"/>
    </xf>
    <xf numFmtId="0" fontId="2" fillId="14" borderId="155" xfId="0" applyFont="1" applyFill="1" applyBorder="1" applyAlignment="1">
      <alignment horizontal="center" vertical="center"/>
    </xf>
    <xf numFmtId="0" fontId="6" fillId="6" borderId="158" xfId="0" applyFont="1" applyFill="1" applyBorder="1" applyAlignment="1">
      <alignment horizontal="center" vertical="center"/>
    </xf>
    <xf numFmtId="0" fontId="2" fillId="14" borderId="161" xfId="0" applyFont="1" applyFill="1" applyBorder="1" applyAlignment="1">
      <alignment horizontal="center" vertical="center"/>
    </xf>
    <xf numFmtId="0" fontId="2" fillId="14" borderId="160" xfId="0" applyFont="1" applyFill="1" applyBorder="1" applyAlignment="1">
      <alignment horizontal="center" vertical="center"/>
    </xf>
    <xf numFmtId="0" fontId="2" fillId="14" borderId="163" xfId="0" applyFont="1" applyFill="1" applyBorder="1" applyAlignment="1">
      <alignment horizontal="center" vertical="center"/>
    </xf>
    <xf numFmtId="9" fontId="0" fillId="3" borderId="209" xfId="1" applyFont="1" applyFill="1" applyBorder="1" applyAlignment="1">
      <alignment horizontal="center" vertical="center"/>
    </xf>
    <xf numFmtId="9" fontId="0" fillId="3" borderId="210" xfId="1" applyFont="1" applyFill="1" applyBorder="1" applyAlignment="1">
      <alignment horizontal="center" vertical="center"/>
    </xf>
    <xf numFmtId="9" fontId="0" fillId="3" borderId="211" xfId="1" applyFont="1" applyFill="1" applyBorder="1" applyAlignment="1">
      <alignment horizontal="center" vertical="center"/>
    </xf>
    <xf numFmtId="9" fontId="0" fillId="3" borderId="212" xfId="1" applyFont="1" applyFill="1" applyBorder="1" applyAlignment="1">
      <alignment horizontal="center" vertical="center"/>
    </xf>
    <xf numFmtId="9" fontId="0" fillId="3" borderId="213" xfId="1" applyFont="1" applyFill="1" applyBorder="1" applyAlignment="1">
      <alignment horizontal="center" vertical="center"/>
    </xf>
    <xf numFmtId="9" fontId="0" fillId="3" borderId="214" xfId="1" applyFont="1" applyFill="1" applyBorder="1" applyAlignment="1">
      <alignment horizontal="center" vertical="center"/>
    </xf>
    <xf numFmtId="164" fontId="0" fillId="11" borderId="152" xfId="0" applyNumberFormat="1" applyFill="1" applyBorder="1" applyAlignment="1">
      <alignment horizontal="center" vertical="center"/>
    </xf>
    <xf numFmtId="164" fontId="0" fillId="11" borderId="143" xfId="0" applyNumberFormat="1" applyFill="1" applyBorder="1" applyAlignment="1">
      <alignment horizontal="center" vertical="center"/>
    </xf>
    <xf numFmtId="164" fontId="0" fillId="11" borderId="146" xfId="0" applyNumberFormat="1" applyFill="1" applyBorder="1" applyAlignment="1">
      <alignment horizontal="center" vertical="center"/>
    </xf>
    <xf numFmtId="164" fontId="0" fillId="11" borderId="144" xfId="0" applyNumberFormat="1" applyFill="1" applyBorder="1" applyAlignment="1">
      <alignment horizontal="center" vertical="center"/>
    </xf>
    <xf numFmtId="164" fontId="0" fillId="11" borderId="145" xfId="0" applyNumberFormat="1" applyFill="1" applyBorder="1" applyAlignment="1">
      <alignment horizontal="center" vertical="center"/>
    </xf>
    <xf numFmtId="9" fontId="0" fillId="13" borderId="145" xfId="1" applyFont="1" applyFill="1" applyBorder="1" applyAlignment="1" applyProtection="1">
      <alignment horizontal="center" vertical="center"/>
    </xf>
    <xf numFmtId="9" fontId="0" fillId="13" borderId="146" xfId="1" applyFont="1" applyFill="1" applyBorder="1" applyAlignment="1" applyProtection="1">
      <alignment horizontal="center" vertical="center"/>
    </xf>
    <xf numFmtId="9" fontId="0" fillId="13" borderId="144" xfId="1" applyFont="1" applyFill="1" applyBorder="1" applyAlignment="1" applyProtection="1">
      <alignment horizontal="center" vertical="center"/>
    </xf>
    <xf numFmtId="164" fontId="0" fillId="11" borderId="151" xfId="0" applyNumberFormat="1" applyFill="1" applyBorder="1" applyAlignment="1">
      <alignment horizontal="center" vertical="center"/>
    </xf>
    <xf numFmtId="164" fontId="0" fillId="11" borderId="154" xfId="0" applyNumberFormat="1" applyFill="1" applyBorder="1" applyAlignment="1">
      <alignment horizontal="center" vertical="center"/>
    </xf>
    <xf numFmtId="164" fontId="0" fillId="11" borderId="153" xfId="0" applyNumberFormat="1" applyFill="1" applyBorder="1" applyAlignment="1">
      <alignment horizontal="center" vertical="center"/>
    </xf>
    <xf numFmtId="9" fontId="0" fillId="13" borderId="153" xfId="1" applyFont="1" applyFill="1" applyBorder="1" applyAlignment="1" applyProtection="1">
      <alignment horizontal="center" vertical="center"/>
    </xf>
    <xf numFmtId="9" fontId="0" fillId="13" borderId="154" xfId="1" applyFont="1" applyFill="1" applyBorder="1" applyAlignment="1" applyProtection="1">
      <alignment horizontal="center" vertical="center"/>
    </xf>
    <xf numFmtId="9" fontId="0" fillId="13" borderId="152" xfId="1" applyFont="1" applyFill="1" applyBorder="1" applyAlignment="1" applyProtection="1">
      <alignment horizontal="center" vertical="center"/>
    </xf>
    <xf numFmtId="3" fontId="21" fillId="3" borderId="50" xfId="0" applyNumberFormat="1" applyFont="1" applyFill="1" applyBorder="1" applyAlignment="1">
      <alignment horizontal="center" vertical="center"/>
    </xf>
    <xf numFmtId="0" fontId="4" fillId="3" borderId="199" xfId="0" applyFont="1" applyFill="1" applyBorder="1" applyAlignment="1">
      <alignment horizontal="left" vertical="center"/>
    </xf>
    <xf numFmtId="0" fontId="4" fillId="3" borderId="196" xfId="0" applyFont="1" applyFill="1" applyBorder="1" applyAlignment="1">
      <alignment horizontal="left" vertical="center"/>
    </xf>
    <xf numFmtId="0" fontId="4" fillId="3" borderId="197" xfId="0" applyFont="1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21" fillId="0" borderId="0" xfId="0" applyFont="1" applyFill="1" applyBorder="1" applyAlignment="1">
      <alignment vertical="center"/>
    </xf>
    <xf numFmtId="0" fontId="0" fillId="0" borderId="134" xfId="0" applyFill="1" applyBorder="1" applyAlignment="1">
      <alignment vertical="center"/>
    </xf>
    <xf numFmtId="0" fontId="0" fillId="0" borderId="59" xfId="0" applyFill="1" applyBorder="1" applyAlignment="1">
      <alignment vertical="center"/>
    </xf>
    <xf numFmtId="0" fontId="0" fillId="0" borderId="166" xfId="0" applyFill="1" applyBorder="1" applyAlignment="1">
      <alignment vertical="center"/>
    </xf>
    <xf numFmtId="0" fontId="24" fillId="0" borderId="0" xfId="0" applyFont="1" applyFill="1" applyBorder="1" applyAlignment="1">
      <alignment vertical="center"/>
    </xf>
    <xf numFmtId="0" fontId="24" fillId="3" borderId="192" xfId="0" applyFont="1" applyFill="1" applyBorder="1" applyAlignment="1">
      <alignment horizontal="center" vertical="center"/>
    </xf>
    <xf numFmtId="0" fontId="24" fillId="3" borderId="200" xfId="0" applyFont="1" applyFill="1" applyBorder="1" applyAlignment="1">
      <alignment horizontal="center" vertical="center"/>
    </xf>
    <xf numFmtId="0" fontId="0" fillId="0" borderId="65" xfId="0" applyBorder="1" applyAlignment="1">
      <alignment vertical="center"/>
    </xf>
    <xf numFmtId="0" fontId="7" fillId="0" borderId="100" xfId="0" applyFont="1" applyBorder="1" applyAlignment="1">
      <alignment vertical="center"/>
    </xf>
    <xf numFmtId="0" fontId="7" fillId="0" borderId="100" xfId="0" applyFont="1" applyBorder="1" applyAlignment="1">
      <alignment horizontal="center" vertical="center"/>
    </xf>
    <xf numFmtId="0" fontId="0" fillId="5" borderId="142" xfId="0" applyFill="1" applyBorder="1" applyAlignment="1">
      <alignment horizontal="center" vertical="center"/>
    </xf>
    <xf numFmtId="0" fontId="0" fillId="5" borderId="150" xfId="0" applyFill="1" applyBorder="1" applyAlignment="1">
      <alignment horizontal="center" vertical="center"/>
    </xf>
    <xf numFmtId="0" fontId="0" fillId="5" borderId="158" xfId="0" applyFill="1" applyBorder="1" applyAlignment="1">
      <alignment horizontal="center" vertical="center"/>
    </xf>
    <xf numFmtId="0" fontId="0" fillId="5" borderId="103" xfId="0" applyFill="1" applyBorder="1" applyAlignment="1">
      <alignment horizontal="center" vertical="center"/>
    </xf>
    <xf numFmtId="3" fontId="21" fillId="5" borderId="50" xfId="0" applyNumberFormat="1" applyFont="1" applyFill="1" applyBorder="1" applyAlignment="1">
      <alignment horizontal="center" vertical="center"/>
    </xf>
    <xf numFmtId="0" fontId="6" fillId="3" borderId="142" xfId="0" applyFont="1" applyFill="1" applyBorder="1" applyAlignment="1">
      <alignment horizontal="center" vertical="center"/>
    </xf>
    <xf numFmtId="0" fontId="6" fillId="3" borderId="150" xfId="0" applyFont="1" applyFill="1" applyBorder="1" applyAlignment="1">
      <alignment horizontal="center" vertical="center"/>
    </xf>
    <xf numFmtId="0" fontId="6" fillId="3" borderId="158" xfId="0" applyFont="1" applyFill="1" applyBorder="1" applyAlignment="1">
      <alignment horizontal="center" vertical="center"/>
    </xf>
    <xf numFmtId="0" fontId="0" fillId="3" borderId="142" xfId="0" applyFont="1" applyFill="1" applyBorder="1" applyAlignment="1">
      <alignment horizontal="center" vertical="center"/>
    </xf>
    <xf numFmtId="0" fontId="0" fillId="3" borderId="150" xfId="0" applyFont="1" applyFill="1" applyBorder="1" applyAlignment="1">
      <alignment horizontal="center" vertical="center"/>
    </xf>
    <xf numFmtId="0" fontId="0" fillId="3" borderId="158" xfId="0" applyFill="1" applyBorder="1" applyAlignment="1">
      <alignment horizontal="center" vertical="center"/>
    </xf>
    <xf numFmtId="0" fontId="27" fillId="0" borderId="100" xfId="0" applyFont="1" applyBorder="1" applyAlignment="1">
      <alignment vertical="center"/>
    </xf>
    <xf numFmtId="0" fontId="27" fillId="0" borderId="10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6" fillId="6" borderId="222" xfId="0" applyFont="1" applyFill="1" applyBorder="1" applyAlignment="1">
      <alignment vertical="center"/>
    </xf>
    <xf numFmtId="0" fontId="6" fillId="6" borderId="223" xfId="0" applyFont="1" applyFill="1" applyBorder="1" applyAlignment="1">
      <alignment horizontal="center" vertical="center"/>
    </xf>
    <xf numFmtId="0" fontId="6" fillId="6" borderId="224" xfId="0" applyFont="1" applyFill="1" applyBorder="1" applyAlignment="1">
      <alignment horizontal="center" vertical="center"/>
    </xf>
    <xf numFmtId="0" fontId="6" fillId="6" borderId="225" xfId="0" applyFont="1" applyFill="1" applyBorder="1" applyAlignment="1">
      <alignment horizontal="center" vertical="center"/>
    </xf>
    <xf numFmtId="164" fontId="6" fillId="6" borderId="226" xfId="0" applyNumberFormat="1" applyFont="1" applyFill="1" applyBorder="1" applyAlignment="1">
      <alignment horizontal="center" vertical="center"/>
    </xf>
    <xf numFmtId="164" fontId="6" fillId="6" borderId="227" xfId="0" applyNumberFormat="1" applyFont="1" applyFill="1" applyBorder="1" applyAlignment="1">
      <alignment horizontal="center" vertical="center"/>
    </xf>
    <xf numFmtId="164" fontId="6" fillId="6" borderId="228" xfId="0" applyNumberFormat="1" applyFont="1" applyFill="1" applyBorder="1" applyAlignment="1">
      <alignment horizontal="center" vertical="center"/>
    </xf>
    <xf numFmtId="164" fontId="6" fillId="6" borderId="229" xfId="0" applyNumberFormat="1" applyFont="1" applyFill="1" applyBorder="1" applyAlignment="1">
      <alignment horizontal="center" vertical="center"/>
    </xf>
    <xf numFmtId="9" fontId="6" fillId="3" borderId="229" xfId="1" applyFont="1" applyFill="1" applyBorder="1" applyAlignment="1">
      <alignment horizontal="center" vertical="center"/>
    </xf>
    <xf numFmtId="9" fontId="6" fillId="3" borderId="227" xfId="1" applyFont="1" applyFill="1" applyBorder="1" applyAlignment="1">
      <alignment horizontal="center" vertical="center"/>
    </xf>
    <xf numFmtId="9" fontId="6" fillId="3" borderId="228" xfId="1" applyFont="1" applyFill="1" applyBorder="1" applyAlignment="1">
      <alignment horizontal="center" vertical="center"/>
    </xf>
    <xf numFmtId="9" fontId="6" fillId="3" borderId="230" xfId="1" applyFont="1" applyFill="1" applyBorder="1" applyAlignment="1">
      <alignment horizontal="center" vertical="center"/>
    </xf>
    <xf numFmtId="9" fontId="6" fillId="3" borderId="223" xfId="1" applyFont="1" applyFill="1" applyBorder="1" applyAlignment="1">
      <alignment horizontal="center" vertical="center"/>
    </xf>
    <xf numFmtId="9" fontId="6" fillId="3" borderId="224" xfId="1" applyFont="1" applyFill="1" applyBorder="1" applyAlignment="1">
      <alignment horizontal="center" vertical="center"/>
    </xf>
    <xf numFmtId="164" fontId="6" fillId="8" borderId="230" xfId="1" applyNumberFormat="1" applyFont="1" applyFill="1" applyBorder="1" applyAlignment="1">
      <alignment horizontal="center" vertical="center"/>
    </xf>
    <xf numFmtId="164" fontId="6" fillId="8" borderId="223" xfId="1" applyNumberFormat="1" applyFont="1" applyFill="1" applyBorder="1" applyAlignment="1">
      <alignment horizontal="center" vertical="center"/>
    </xf>
    <xf numFmtId="164" fontId="6" fillId="8" borderId="224" xfId="1" applyNumberFormat="1" applyFont="1" applyFill="1" applyBorder="1" applyAlignment="1">
      <alignment horizontal="center" vertical="center"/>
    </xf>
    <xf numFmtId="0" fontId="2" fillId="8" borderId="229" xfId="0" applyFont="1" applyFill="1" applyBorder="1" applyAlignment="1">
      <alignment horizontal="center" vertical="center"/>
    </xf>
    <xf numFmtId="0" fontId="2" fillId="8" borderId="228" xfId="0" applyFont="1" applyFill="1" applyBorder="1" applyAlignment="1">
      <alignment horizontal="center" vertical="center"/>
    </xf>
    <xf numFmtId="0" fontId="2" fillId="3" borderId="229" xfId="0" applyFont="1" applyFill="1" applyBorder="1" applyAlignment="1">
      <alignment horizontal="center" vertical="center"/>
    </xf>
    <xf numFmtId="0" fontId="2" fillId="3" borderId="228" xfId="0" applyFont="1" applyFill="1" applyBorder="1" applyAlignment="1">
      <alignment horizontal="center" vertical="center"/>
    </xf>
    <xf numFmtId="0" fontId="2" fillId="3" borderId="231" xfId="0" applyFont="1" applyFill="1" applyBorder="1" applyAlignment="1">
      <alignment horizontal="center" vertical="center"/>
    </xf>
    <xf numFmtId="9" fontId="6" fillId="4" borderId="1" xfId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4" fillId="3" borderId="54" xfId="0" applyFont="1" applyFill="1" applyBorder="1" applyAlignment="1">
      <alignment horizontal="center" vertical="center"/>
    </xf>
    <xf numFmtId="0" fontId="4" fillId="3" borderId="49" xfId="0" applyFont="1" applyFill="1" applyBorder="1" applyAlignment="1">
      <alignment horizontal="center" vertical="center"/>
    </xf>
    <xf numFmtId="0" fontId="4" fillId="6" borderId="189" xfId="0" applyFont="1" applyFill="1" applyBorder="1" applyAlignment="1">
      <alignment horizontal="center" vertical="center"/>
    </xf>
    <xf numFmtId="0" fontId="4" fillId="6" borderId="190" xfId="0" applyFont="1" applyFill="1" applyBorder="1" applyAlignment="1">
      <alignment horizontal="center" vertical="center"/>
    </xf>
    <xf numFmtId="0" fontId="4" fillId="6" borderId="19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79" xfId="0" applyFont="1" applyFill="1" applyBorder="1" applyAlignment="1">
      <alignment horizontal="center" vertical="center" wrapText="1"/>
    </xf>
    <xf numFmtId="0" fontId="3" fillId="2" borderId="81" xfId="0" applyFont="1" applyFill="1" applyBorder="1" applyAlignment="1">
      <alignment horizontal="center" vertical="center" wrapText="1"/>
    </xf>
    <xf numFmtId="0" fontId="0" fillId="0" borderId="64" xfId="0" applyFont="1" applyBorder="1" applyAlignment="1">
      <alignment horizontal="center" vertical="center"/>
    </xf>
    <xf numFmtId="0" fontId="28" fillId="6" borderId="52" xfId="0" applyFont="1" applyFill="1" applyBorder="1" applyAlignment="1">
      <alignment vertical="center"/>
    </xf>
    <xf numFmtId="0" fontId="29" fillId="6" borderId="150" xfId="0" applyFont="1" applyFill="1" applyBorder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center" vertical="center" textRotation="90"/>
    </xf>
    <xf numFmtId="0" fontId="8" fillId="9" borderId="0" xfId="0" applyFont="1" applyFill="1" applyAlignment="1">
      <alignment horizontal="center" vertical="center"/>
    </xf>
    <xf numFmtId="0" fontId="4" fillId="3" borderId="78" xfId="0" applyFont="1" applyFill="1" applyBorder="1" applyAlignment="1">
      <alignment vertical="center"/>
    </xf>
    <xf numFmtId="0" fontId="4" fillId="3" borderId="64" xfId="0" applyFont="1" applyFill="1" applyBorder="1" applyAlignment="1">
      <alignment vertical="center"/>
    </xf>
    <xf numFmtId="0" fontId="0" fillId="0" borderId="68" xfId="0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65" xfId="0" applyFont="1" applyFill="1" applyBorder="1" applyAlignment="1">
      <alignment horizontal="center" vertical="center"/>
    </xf>
    <xf numFmtId="0" fontId="4" fillId="3" borderId="100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4" fillId="3" borderId="65" xfId="0" applyFont="1" applyFill="1" applyBorder="1" applyAlignment="1">
      <alignment horizontal="center" vertical="center" wrapText="1"/>
    </xf>
    <xf numFmtId="0" fontId="4" fillId="3" borderId="66" xfId="0" applyFont="1" applyFill="1" applyBorder="1" applyAlignment="1">
      <alignment vertical="center"/>
    </xf>
    <xf numFmtId="0" fontId="4" fillId="3" borderId="67" xfId="0" applyFont="1" applyFill="1" applyBorder="1" applyAlignment="1">
      <alignment vertical="center"/>
    </xf>
    <xf numFmtId="0" fontId="4" fillId="3" borderId="68" xfId="0" applyFont="1" applyFill="1" applyBorder="1" applyAlignment="1">
      <alignment vertical="center"/>
    </xf>
    <xf numFmtId="0" fontId="4" fillId="3" borderId="100" xfId="0" applyFont="1" applyFill="1" applyBorder="1" applyAlignment="1">
      <alignment horizontal="center" vertical="center"/>
    </xf>
    <xf numFmtId="0" fontId="4" fillId="3" borderId="66" xfId="0" applyFont="1" applyFill="1" applyBorder="1" applyAlignment="1">
      <alignment vertical="center" wrapText="1"/>
    </xf>
    <xf numFmtId="0" fontId="4" fillId="3" borderId="64" xfId="0" applyFont="1" applyFill="1" applyBorder="1" applyAlignment="1">
      <alignment vertical="center" wrapText="1"/>
    </xf>
    <xf numFmtId="0" fontId="4" fillId="3" borderId="68" xfId="0" applyFont="1" applyFill="1" applyBorder="1" applyAlignment="1">
      <alignment vertical="center" wrapText="1"/>
    </xf>
    <xf numFmtId="0" fontId="4" fillId="3" borderId="58" xfId="0" applyFont="1" applyFill="1" applyBorder="1" applyAlignment="1">
      <alignment horizontal="center" vertical="center"/>
    </xf>
    <xf numFmtId="0" fontId="4" fillId="3" borderId="59" xfId="0" applyFont="1" applyFill="1" applyBorder="1" applyAlignment="1">
      <alignment horizontal="center" vertical="center"/>
    </xf>
    <xf numFmtId="0" fontId="4" fillId="3" borderId="60" xfId="0" applyFont="1" applyFill="1" applyBorder="1" applyAlignment="1">
      <alignment horizontal="center" vertical="center"/>
    </xf>
    <xf numFmtId="0" fontId="4" fillId="3" borderId="62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63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9" fontId="3" fillId="2" borderId="37" xfId="1" applyFont="1" applyFill="1" applyBorder="1" applyAlignment="1">
      <alignment horizontal="center" vertical="center" wrapText="1"/>
    </xf>
    <xf numFmtId="9" fontId="3" fillId="2" borderId="38" xfId="1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vertical="center" wrapText="1"/>
    </xf>
    <xf numFmtId="0" fontId="3" fillId="2" borderId="56" xfId="0" applyFont="1" applyFill="1" applyBorder="1" applyAlignment="1">
      <alignment horizontal="center" vertical="center" wrapText="1"/>
    </xf>
    <xf numFmtId="0" fontId="4" fillId="5" borderId="61" xfId="0" applyFont="1" applyFill="1" applyBorder="1" applyAlignment="1">
      <alignment horizontal="center" vertical="center" wrapText="1"/>
    </xf>
    <xf numFmtId="0" fontId="4" fillId="5" borderId="58" xfId="0" applyFont="1" applyFill="1" applyBorder="1" applyAlignment="1">
      <alignment horizontal="center" vertical="center"/>
    </xf>
    <xf numFmtId="0" fontId="4" fillId="5" borderId="59" xfId="0" applyFont="1" applyFill="1" applyBorder="1" applyAlignment="1">
      <alignment horizontal="center" vertical="center"/>
    </xf>
    <xf numFmtId="0" fontId="4" fillId="5" borderId="166" xfId="0" applyFont="1" applyFill="1" applyBorder="1" applyAlignment="1">
      <alignment horizontal="center" vertical="center"/>
    </xf>
    <xf numFmtId="0" fontId="4" fillId="5" borderId="60" xfId="0" applyFont="1" applyFill="1" applyBorder="1" applyAlignment="1">
      <alignment horizontal="center" vertical="center"/>
    </xf>
    <xf numFmtId="0" fontId="4" fillId="5" borderId="66" xfId="0" applyFont="1" applyFill="1" applyBorder="1" applyAlignment="1">
      <alignment vertical="center" wrapText="1"/>
    </xf>
    <xf numFmtId="0" fontId="4" fillId="5" borderId="64" xfId="0" applyFont="1" applyFill="1" applyBorder="1" applyAlignment="1">
      <alignment vertical="center" wrapText="1"/>
    </xf>
    <xf numFmtId="0" fontId="4" fillId="5" borderId="68" xfId="0" applyFont="1" applyFill="1" applyBorder="1" applyAlignment="1">
      <alignment vertical="center" wrapText="1"/>
    </xf>
    <xf numFmtId="0" fontId="0" fillId="0" borderId="67" xfId="0" applyBorder="1" applyAlignment="1">
      <alignment vertical="center" wrapText="1"/>
    </xf>
    <xf numFmtId="0" fontId="4" fillId="5" borderId="100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0" fillId="0" borderId="77" xfId="0" applyBorder="1" applyAlignment="1">
      <alignment horizontal="center" vertical="center" wrapText="1"/>
    </xf>
    <xf numFmtId="0" fontId="4" fillId="3" borderId="57" xfId="0" applyFont="1" applyFill="1" applyBorder="1" applyAlignment="1">
      <alignment horizontal="center" vertical="center"/>
    </xf>
    <xf numFmtId="0" fontId="4" fillId="3" borderId="61" xfId="0" applyFont="1" applyFill="1" applyBorder="1" applyAlignment="1">
      <alignment horizontal="center" vertical="center"/>
    </xf>
    <xf numFmtId="0" fontId="3" fillId="2" borderId="80" xfId="0" applyFont="1" applyFill="1" applyBorder="1" applyAlignment="1">
      <alignment horizontal="center" vertical="center" wrapText="1"/>
    </xf>
    <xf numFmtId="0" fontId="3" fillId="2" borderId="48" xfId="0" applyFont="1" applyFill="1" applyBorder="1" applyAlignment="1">
      <alignment horizontal="center" vertical="center" wrapText="1"/>
    </xf>
    <xf numFmtId="9" fontId="5" fillId="2" borderId="38" xfId="1" applyFont="1" applyFill="1" applyBorder="1" applyAlignment="1">
      <alignment horizontal="center" vertical="center" wrapText="1"/>
    </xf>
    <xf numFmtId="9" fontId="5" fillId="2" borderId="39" xfId="1" applyFont="1" applyFill="1" applyBorder="1" applyAlignment="1">
      <alignment horizontal="center" vertical="center" wrapText="1"/>
    </xf>
    <xf numFmtId="0" fontId="3" fillId="2" borderId="47" xfId="0" applyFont="1" applyFill="1" applyBorder="1" applyAlignment="1">
      <alignment vertical="center" wrapText="1"/>
    </xf>
    <xf numFmtId="0" fontId="4" fillId="3" borderId="140" xfId="0" applyFont="1" applyFill="1" applyBorder="1" applyAlignment="1">
      <alignment horizontal="center" vertical="center"/>
    </xf>
    <xf numFmtId="0" fontId="4" fillId="3" borderId="148" xfId="0" applyFont="1" applyFill="1" applyBorder="1" applyAlignment="1">
      <alignment horizontal="center" vertical="center"/>
    </xf>
    <xf numFmtId="0" fontId="4" fillId="3" borderId="179" xfId="0" applyFont="1" applyFill="1" applyBorder="1" applyAlignment="1">
      <alignment horizontal="center" vertical="center"/>
    </xf>
    <xf numFmtId="0" fontId="4" fillId="3" borderId="156" xfId="0" applyFont="1" applyFill="1" applyBorder="1" applyAlignment="1">
      <alignment horizontal="center" vertical="center"/>
    </xf>
    <xf numFmtId="0" fontId="13" fillId="3" borderId="100" xfId="0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center" vertical="center"/>
    </xf>
    <xf numFmtId="0" fontId="13" fillId="3" borderId="134" xfId="0" applyFont="1" applyFill="1" applyBorder="1" applyAlignment="1">
      <alignment horizontal="center" vertical="center"/>
    </xf>
    <xf numFmtId="9" fontId="0" fillId="4" borderId="1" xfId="1" applyFont="1" applyFill="1" applyBorder="1" applyAlignment="1">
      <alignment horizontal="center" vertical="center"/>
    </xf>
    <xf numFmtId="0" fontId="4" fillId="6" borderId="58" xfId="0" applyFont="1" applyFill="1" applyBorder="1" applyAlignment="1">
      <alignment horizontal="center" vertical="center"/>
    </xf>
    <xf numFmtId="0" fontId="4" fillId="6" borderId="59" xfId="0" applyFont="1" applyFill="1" applyBorder="1" applyAlignment="1">
      <alignment horizontal="center" vertical="center"/>
    </xf>
    <xf numFmtId="0" fontId="4" fillId="6" borderId="166" xfId="0" applyFont="1" applyFill="1" applyBorder="1" applyAlignment="1">
      <alignment horizontal="center" vertical="center"/>
    </xf>
    <xf numFmtId="0" fontId="4" fillId="6" borderId="60" xfId="0" applyFont="1" applyFill="1" applyBorder="1" applyAlignment="1">
      <alignment horizontal="center" vertical="center"/>
    </xf>
    <xf numFmtId="9" fontId="6" fillId="4" borderId="1" xfId="1" applyFont="1" applyFill="1" applyBorder="1" applyAlignment="1">
      <alignment horizontal="center" vertical="center"/>
    </xf>
    <xf numFmtId="0" fontId="4" fillId="6" borderId="61" xfId="0" applyFont="1" applyFill="1" applyBorder="1" applyAlignment="1">
      <alignment horizontal="center" vertical="center"/>
    </xf>
    <xf numFmtId="0" fontId="13" fillId="6" borderId="100" xfId="0" applyFont="1" applyFill="1" applyBorder="1" applyAlignment="1">
      <alignment horizontal="center" vertical="center" wrapText="1"/>
    </xf>
    <xf numFmtId="0" fontId="13" fillId="6" borderId="0" xfId="0" applyFont="1" applyFill="1" applyBorder="1" applyAlignment="1">
      <alignment horizontal="center" vertical="center" wrapText="1"/>
    </xf>
    <xf numFmtId="0" fontId="13" fillId="6" borderId="65" xfId="0" applyFont="1" applyFill="1" applyBorder="1" applyAlignment="1">
      <alignment horizontal="center" vertical="center" wrapText="1"/>
    </xf>
    <xf numFmtId="0" fontId="13" fillId="3" borderId="66" xfId="0" applyFont="1" applyFill="1" applyBorder="1" applyAlignment="1">
      <alignment vertical="center" wrapText="1"/>
    </xf>
    <xf numFmtId="0" fontId="13" fillId="3" borderId="64" xfId="0" applyFont="1" applyFill="1" applyBorder="1" applyAlignment="1">
      <alignment vertical="center" wrapText="1"/>
    </xf>
    <xf numFmtId="0" fontId="13" fillId="3" borderId="68" xfId="0" applyFont="1" applyFill="1" applyBorder="1" applyAlignment="1">
      <alignment vertical="center" wrapText="1"/>
    </xf>
    <xf numFmtId="0" fontId="13" fillId="6" borderId="57" xfId="0" applyFont="1" applyFill="1" applyBorder="1" applyAlignment="1">
      <alignment horizontal="center" vertical="center"/>
    </xf>
    <xf numFmtId="0" fontId="13" fillId="6" borderId="61" xfId="0" applyFont="1" applyFill="1" applyBorder="1" applyAlignment="1">
      <alignment horizontal="center" vertical="center"/>
    </xf>
    <xf numFmtId="0" fontId="4" fillId="6" borderId="140" xfId="0" applyFont="1" applyFill="1" applyBorder="1" applyAlignment="1">
      <alignment horizontal="center" vertical="center"/>
    </xf>
    <xf numFmtId="0" fontId="4" fillId="6" borderId="148" xfId="0" applyFont="1" applyFill="1" applyBorder="1" applyAlignment="1">
      <alignment horizontal="center" vertical="center"/>
    </xf>
    <xf numFmtId="0" fontId="4" fillId="6" borderId="179" xfId="0" applyFont="1" applyFill="1" applyBorder="1" applyAlignment="1">
      <alignment horizontal="center" vertical="center"/>
    </xf>
    <xf numFmtId="0" fontId="4" fillId="6" borderId="156" xfId="0" applyFont="1" applyFill="1" applyBorder="1" applyAlignment="1">
      <alignment horizontal="center" vertical="center"/>
    </xf>
    <xf numFmtId="0" fontId="4" fillId="6" borderId="61" xfId="0" applyFont="1" applyFill="1" applyBorder="1" applyAlignment="1">
      <alignment horizontal="center" vertical="center" wrapText="1"/>
    </xf>
    <xf numFmtId="9" fontId="3" fillId="2" borderId="39" xfId="1" applyFont="1" applyFill="1" applyBorder="1" applyAlignment="1">
      <alignment horizontal="center" vertical="center" wrapText="1"/>
    </xf>
    <xf numFmtId="0" fontId="13" fillId="6" borderId="100" xfId="0" applyFont="1" applyFill="1" applyBorder="1" applyAlignment="1">
      <alignment horizontal="center" vertical="center"/>
    </xf>
    <xf numFmtId="0" fontId="13" fillId="6" borderId="0" xfId="0" applyFont="1" applyFill="1" applyBorder="1" applyAlignment="1">
      <alignment horizontal="center" vertical="center"/>
    </xf>
    <xf numFmtId="0" fontId="13" fillId="6" borderId="134" xfId="0" applyFont="1" applyFill="1" applyBorder="1" applyAlignment="1">
      <alignment horizontal="center" vertical="center"/>
    </xf>
    <xf numFmtId="0" fontId="4" fillId="3" borderId="13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6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  <xf numFmtId="0" fontId="4" fillId="3" borderId="54" xfId="0" applyFont="1" applyFill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0" fontId="4" fillId="6" borderId="209" xfId="0" applyFont="1" applyFill="1" applyBorder="1" applyAlignment="1">
      <alignment horizontal="center" vertical="center" wrapText="1"/>
    </xf>
    <xf numFmtId="0" fontId="4" fillId="6" borderId="212" xfId="0" applyFont="1" applyFill="1" applyBorder="1" applyAlignment="1">
      <alignment horizontal="center" vertical="center" wrapText="1"/>
    </xf>
    <xf numFmtId="0" fontId="4" fillId="6" borderId="215" xfId="0" applyFont="1" applyFill="1" applyBorder="1" applyAlignment="1">
      <alignment horizontal="center" vertical="center" wrapText="1"/>
    </xf>
    <xf numFmtId="0" fontId="3" fillId="2" borderId="47" xfId="0" applyFont="1" applyFill="1" applyBorder="1" applyAlignment="1">
      <alignment horizontal="center" vertical="center" wrapText="1"/>
    </xf>
    <xf numFmtId="0" fontId="3" fillId="2" borderId="203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3" fillId="2" borderId="95" xfId="0" applyFont="1" applyFill="1" applyBorder="1" applyAlignment="1">
      <alignment horizontal="center" vertical="center" wrapText="1"/>
    </xf>
    <xf numFmtId="0" fontId="3" fillId="2" borderId="96" xfId="0" applyFont="1" applyFill="1" applyBorder="1" applyAlignment="1">
      <alignment horizontal="center" vertical="center" wrapText="1"/>
    </xf>
    <xf numFmtId="0" fontId="4" fillId="3" borderId="54" xfId="0" applyFont="1" applyFill="1" applyBorder="1" applyAlignment="1">
      <alignment horizontal="center" vertical="center"/>
    </xf>
    <xf numFmtId="0" fontId="13" fillId="6" borderId="189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/>
    </xf>
    <xf numFmtId="0" fontId="4" fillId="3" borderId="221" xfId="0" applyFont="1" applyFill="1" applyBorder="1" applyAlignment="1">
      <alignment vertical="center"/>
    </xf>
    <xf numFmtId="0" fontId="4" fillId="3" borderId="131" xfId="0" applyFont="1" applyFill="1" applyBorder="1" applyAlignment="1">
      <alignment horizontal="center" vertical="center"/>
    </xf>
    <xf numFmtId="0" fontId="4" fillId="6" borderId="189" xfId="0" applyFont="1" applyFill="1" applyBorder="1" applyAlignment="1">
      <alignment horizontal="center" vertical="center"/>
    </xf>
    <xf numFmtId="0" fontId="13" fillId="6" borderId="190" xfId="0" applyFont="1" applyFill="1" applyBorder="1" applyAlignment="1">
      <alignment horizontal="center" vertical="center"/>
    </xf>
    <xf numFmtId="0" fontId="13" fillId="6" borderId="191" xfId="0" applyFont="1" applyFill="1" applyBorder="1" applyAlignment="1">
      <alignment horizontal="center" vertical="center"/>
    </xf>
    <xf numFmtId="0" fontId="4" fillId="6" borderId="190" xfId="0" applyFont="1" applyFill="1" applyBorder="1" applyAlignment="1">
      <alignment horizontal="center" vertical="center"/>
    </xf>
    <xf numFmtId="0" fontId="4" fillId="6" borderId="19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4" fillId="6" borderId="209" xfId="0" applyFont="1" applyFill="1" applyBorder="1" applyAlignment="1">
      <alignment horizontal="center" vertical="center"/>
    </xf>
    <xf numFmtId="0" fontId="4" fillId="6" borderId="212" xfId="0" applyFont="1" applyFill="1" applyBorder="1" applyAlignment="1">
      <alignment horizontal="center" vertical="center"/>
    </xf>
    <xf numFmtId="0" fontId="4" fillId="6" borderId="215" xfId="0" applyFont="1" applyFill="1" applyBorder="1" applyAlignment="1">
      <alignment horizontal="center" vertical="center"/>
    </xf>
    <xf numFmtId="0" fontId="13" fillId="6" borderId="209" xfId="0" applyFont="1" applyFill="1" applyBorder="1" applyAlignment="1">
      <alignment horizontal="center" vertical="center" wrapText="1"/>
    </xf>
    <xf numFmtId="0" fontId="13" fillId="6" borderId="212" xfId="0" applyFont="1" applyFill="1" applyBorder="1" applyAlignment="1">
      <alignment horizontal="center" vertical="center" wrapText="1"/>
    </xf>
    <xf numFmtId="0" fontId="13" fillId="6" borderId="215" xfId="0" applyFont="1" applyFill="1" applyBorder="1" applyAlignment="1">
      <alignment horizontal="center" vertical="center" wrapText="1"/>
    </xf>
    <xf numFmtId="0" fontId="0" fillId="0" borderId="221" xfId="0" applyBorder="1" applyAlignment="1">
      <alignment vertical="center" wrapText="1"/>
    </xf>
    <xf numFmtId="0" fontId="0" fillId="0" borderId="131" xfId="0" applyBorder="1" applyAlignment="1">
      <alignment horizontal="center" vertical="center" wrapText="1"/>
    </xf>
    <xf numFmtId="0" fontId="4" fillId="3" borderId="31" xfId="0" applyFont="1" applyFill="1" applyBorder="1" applyAlignment="1">
      <alignment vertical="center"/>
    </xf>
    <xf numFmtId="0" fontId="0" fillId="0" borderId="32" xfId="0" applyBorder="1" applyAlignment="1">
      <alignment vertical="center"/>
    </xf>
    <xf numFmtId="0" fontId="4" fillId="3" borderId="47" xfId="0" applyFont="1" applyFill="1" applyBorder="1" applyAlignment="1">
      <alignment horizontal="center" vertical="center"/>
    </xf>
    <xf numFmtId="0" fontId="4" fillId="3" borderId="49" xfId="0" applyFont="1" applyFill="1" applyBorder="1" applyAlignment="1">
      <alignment horizontal="center" vertical="center"/>
    </xf>
    <xf numFmtId="0" fontId="13" fillId="6" borderId="192" xfId="0" applyFont="1" applyFill="1" applyBorder="1" applyAlignment="1">
      <alignment horizontal="center" vertical="center"/>
    </xf>
    <xf numFmtId="0" fontId="13" fillId="6" borderId="186" xfId="0" applyFont="1" applyFill="1" applyBorder="1" applyAlignment="1">
      <alignment horizontal="center" vertical="center"/>
    </xf>
    <xf numFmtId="0" fontId="4" fillId="6" borderId="211" xfId="0" applyFont="1" applyFill="1" applyBorder="1" applyAlignment="1">
      <alignment horizontal="center" vertical="center"/>
    </xf>
    <xf numFmtId="0" fontId="4" fillId="6" borderId="214" xfId="0" applyFont="1" applyFill="1" applyBorder="1" applyAlignment="1">
      <alignment horizontal="center" vertical="center"/>
    </xf>
    <xf numFmtId="0" fontId="4" fillId="6" borderId="217" xfId="0" applyFont="1" applyFill="1" applyBorder="1" applyAlignment="1">
      <alignment horizontal="center" vertical="center"/>
    </xf>
    <xf numFmtId="0" fontId="4" fillId="6" borderId="210" xfId="0" applyFont="1" applyFill="1" applyBorder="1" applyAlignment="1">
      <alignment horizontal="center" vertical="center" wrapText="1"/>
    </xf>
    <xf numFmtId="0" fontId="4" fillId="6" borderId="213" xfId="0" applyFont="1" applyFill="1" applyBorder="1" applyAlignment="1">
      <alignment horizontal="center" vertical="center" wrapText="1"/>
    </xf>
    <xf numFmtId="0" fontId="4" fillId="6" borderId="216" xfId="0" applyFont="1" applyFill="1" applyBorder="1" applyAlignment="1">
      <alignment horizontal="center" vertical="center" wrapText="1"/>
    </xf>
    <xf numFmtId="0" fontId="4" fillId="6" borderId="211" xfId="0" applyFont="1" applyFill="1" applyBorder="1" applyAlignment="1">
      <alignment horizontal="center" vertical="center" wrapText="1"/>
    </xf>
    <xf numFmtId="0" fontId="4" fillId="6" borderId="214" xfId="0" applyFont="1" applyFill="1" applyBorder="1" applyAlignment="1">
      <alignment horizontal="center" vertical="center" wrapText="1"/>
    </xf>
    <xf numFmtId="0" fontId="4" fillId="6" borderId="217" xfId="0" applyFont="1" applyFill="1" applyBorder="1" applyAlignment="1">
      <alignment horizontal="center" vertical="center" wrapText="1"/>
    </xf>
    <xf numFmtId="0" fontId="4" fillId="6" borderId="210" xfId="0" applyFont="1" applyFill="1" applyBorder="1" applyAlignment="1">
      <alignment horizontal="center" vertical="center"/>
    </xf>
    <xf numFmtId="0" fontId="4" fillId="6" borderId="213" xfId="0" applyFont="1" applyFill="1" applyBorder="1" applyAlignment="1">
      <alignment horizontal="center" vertical="center"/>
    </xf>
    <xf numFmtId="0" fontId="4" fillId="6" borderId="216" xfId="0" applyFont="1" applyFill="1" applyBorder="1" applyAlignment="1">
      <alignment horizontal="center" vertical="center"/>
    </xf>
    <xf numFmtId="0" fontId="13" fillId="6" borderId="193" xfId="0" applyFont="1" applyFill="1" applyBorder="1" applyAlignment="1">
      <alignment horizontal="center" vertical="center"/>
    </xf>
    <xf numFmtId="0" fontId="13" fillId="6" borderId="187" xfId="0" applyFont="1" applyFill="1" applyBorder="1" applyAlignment="1">
      <alignment horizontal="center" vertical="center"/>
    </xf>
    <xf numFmtId="0" fontId="13" fillId="6" borderId="194" xfId="0" applyFont="1" applyFill="1" applyBorder="1" applyAlignment="1">
      <alignment horizontal="center" vertical="center"/>
    </xf>
    <xf numFmtId="0" fontId="13" fillId="6" borderId="188" xfId="0" applyFont="1" applyFill="1" applyBorder="1" applyAlignment="1">
      <alignment horizontal="center" vertical="center"/>
    </xf>
    <xf numFmtId="0" fontId="13" fillId="6" borderId="210" xfId="0" applyFont="1" applyFill="1" applyBorder="1" applyAlignment="1">
      <alignment horizontal="center" vertical="center" wrapText="1"/>
    </xf>
    <xf numFmtId="0" fontId="13" fillId="6" borderId="213" xfId="0" applyFont="1" applyFill="1" applyBorder="1" applyAlignment="1">
      <alignment horizontal="center" vertical="center" wrapText="1"/>
    </xf>
    <xf numFmtId="0" fontId="13" fillId="6" borderId="216" xfId="0" applyFont="1" applyFill="1" applyBorder="1" applyAlignment="1">
      <alignment horizontal="center" vertical="center" wrapText="1"/>
    </xf>
    <xf numFmtId="0" fontId="13" fillId="6" borderId="211" xfId="0" applyFont="1" applyFill="1" applyBorder="1" applyAlignment="1">
      <alignment horizontal="center" vertical="center" wrapText="1"/>
    </xf>
    <xf numFmtId="0" fontId="13" fillId="6" borderId="214" xfId="0" applyFont="1" applyFill="1" applyBorder="1" applyAlignment="1">
      <alignment horizontal="center" vertical="center" wrapText="1"/>
    </xf>
    <xf numFmtId="0" fontId="13" fillId="6" borderId="217" xfId="0" applyFont="1" applyFill="1" applyBorder="1" applyAlignment="1">
      <alignment horizontal="center" vertical="center" wrapText="1"/>
    </xf>
    <xf numFmtId="0" fontId="4" fillId="8" borderId="61" xfId="0" applyFont="1" applyFill="1" applyBorder="1" applyAlignment="1">
      <alignment horizontal="center" vertical="center"/>
    </xf>
    <xf numFmtId="0" fontId="4" fillId="8" borderId="58" xfId="0" applyFont="1" applyFill="1" applyBorder="1" applyAlignment="1">
      <alignment horizontal="center" vertical="center"/>
    </xf>
    <xf numFmtId="0" fontId="4" fillId="8" borderId="59" xfId="0" applyFont="1" applyFill="1" applyBorder="1" applyAlignment="1">
      <alignment horizontal="center" vertical="center"/>
    </xf>
    <xf numFmtId="0" fontId="4" fillId="8" borderId="166" xfId="0" applyFont="1" applyFill="1" applyBorder="1" applyAlignment="1">
      <alignment horizontal="center" vertical="center"/>
    </xf>
    <xf numFmtId="0" fontId="4" fillId="8" borderId="60" xfId="0" applyFont="1" applyFill="1" applyBorder="1" applyAlignment="1">
      <alignment horizontal="center" vertical="center"/>
    </xf>
    <xf numFmtId="0" fontId="4" fillId="8" borderId="58" xfId="0" applyFont="1" applyFill="1" applyBorder="1" applyAlignment="1">
      <alignment horizontal="center" vertical="center" wrapText="1"/>
    </xf>
    <xf numFmtId="0" fontId="4" fillId="8" borderId="59" xfId="0" applyFont="1" applyFill="1" applyBorder="1" applyAlignment="1">
      <alignment horizontal="center" vertical="center" wrapText="1"/>
    </xf>
    <xf numFmtId="0" fontId="4" fillId="8" borderId="166" xfId="0" applyFont="1" applyFill="1" applyBorder="1" applyAlignment="1">
      <alignment horizontal="center" vertical="center" wrapText="1"/>
    </xf>
    <xf numFmtId="0" fontId="4" fillId="8" borderId="60" xfId="0" applyFont="1" applyFill="1" applyBorder="1" applyAlignment="1">
      <alignment horizontal="center" vertical="center" wrapText="1"/>
    </xf>
    <xf numFmtId="0" fontId="13" fillId="8" borderId="100" xfId="0" applyFont="1" applyFill="1" applyBorder="1" applyAlignment="1">
      <alignment horizontal="center" vertical="center"/>
    </xf>
    <xf numFmtId="0" fontId="13" fillId="8" borderId="0" xfId="0" applyFont="1" applyFill="1" applyBorder="1" applyAlignment="1">
      <alignment horizontal="center" vertical="center"/>
    </xf>
    <xf numFmtId="0" fontId="13" fillId="8" borderId="134" xfId="0" applyFont="1" applyFill="1" applyBorder="1" applyAlignment="1">
      <alignment horizontal="center" vertical="center"/>
    </xf>
    <xf numFmtId="0" fontId="4" fillId="8" borderId="61" xfId="0" applyFont="1" applyFill="1" applyBorder="1" applyAlignment="1">
      <alignment horizontal="center" vertical="center" wrapText="1"/>
    </xf>
    <xf numFmtId="0" fontId="3" fillId="2" borderId="84" xfId="0" applyFont="1" applyFill="1" applyBorder="1" applyAlignment="1">
      <alignment horizontal="center" vertical="center" wrapText="1"/>
    </xf>
    <xf numFmtId="0" fontId="3" fillId="2" borderId="81" xfId="0" applyFont="1" applyFill="1" applyBorder="1" applyAlignment="1">
      <alignment horizontal="center" vertical="center" wrapText="1"/>
    </xf>
    <xf numFmtId="0" fontId="3" fillId="2" borderId="85" xfId="0" applyFont="1" applyFill="1" applyBorder="1" applyAlignment="1">
      <alignment horizontal="center" vertical="center" wrapText="1"/>
    </xf>
    <xf numFmtId="9" fontId="3" fillId="2" borderId="95" xfId="1" applyFont="1" applyFill="1" applyBorder="1" applyAlignment="1">
      <alignment horizontal="center" vertical="center" wrapText="1"/>
    </xf>
    <xf numFmtId="9" fontId="3" fillId="2" borderId="96" xfId="1" applyFont="1" applyFill="1" applyBorder="1" applyAlignment="1">
      <alignment horizontal="center" vertical="center" wrapText="1"/>
    </xf>
    <xf numFmtId="0" fontId="3" fillId="2" borderId="7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79" xfId="0" applyFont="1" applyFill="1" applyBorder="1" applyAlignment="1">
      <alignment horizontal="center" vertical="center" wrapText="1"/>
    </xf>
    <xf numFmtId="0" fontId="3" fillId="2" borderId="86" xfId="0" applyFont="1" applyFill="1" applyBorder="1" applyAlignment="1">
      <alignment horizontal="center" vertical="center" wrapText="1"/>
    </xf>
    <xf numFmtId="0" fontId="3" fillId="2" borderId="87" xfId="0" applyFont="1" applyFill="1" applyBorder="1" applyAlignment="1">
      <alignment horizontal="center" vertical="center" wrapText="1"/>
    </xf>
    <xf numFmtId="0" fontId="3" fillId="2" borderId="88" xfId="0" applyFont="1" applyFill="1" applyBorder="1" applyAlignment="1">
      <alignment horizontal="center" vertical="center" wrapText="1"/>
    </xf>
    <xf numFmtId="0" fontId="4" fillId="3" borderId="61" xfId="0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4" fillId="8" borderId="57" xfId="0" applyFont="1" applyFill="1" applyBorder="1" applyAlignment="1">
      <alignment horizontal="center" vertical="center"/>
    </xf>
  </cellXfs>
  <cellStyles count="3">
    <cellStyle name="Excel Built-in Percent" xfId="2" xr:uid="{00000000-0005-0000-0000-000000000000}"/>
    <cellStyle name="Normal" xfId="0" builtinId="0"/>
    <cellStyle name="Pourcentage" xfId="1" builtinId="5"/>
  </cellStyles>
  <dxfs count="36">
    <dxf>
      <font>
        <color theme="0"/>
      </font>
    </dxf>
    <dxf>
      <font>
        <color rgb="FF92D050"/>
      </font>
    </dxf>
    <dxf>
      <font>
        <color theme="0"/>
      </font>
    </dxf>
    <dxf>
      <font>
        <color rgb="FF92D05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2D050"/>
      </font>
    </dxf>
    <dxf>
      <font>
        <color theme="0"/>
      </font>
    </dxf>
    <dxf>
      <font>
        <color rgb="FF92D050"/>
      </font>
    </dxf>
    <dxf>
      <font>
        <color theme="0"/>
      </font>
    </dxf>
    <dxf>
      <font>
        <color rgb="FF92D050"/>
      </font>
    </dxf>
    <dxf>
      <font>
        <color theme="0"/>
      </font>
    </dxf>
    <dxf>
      <font>
        <color rgb="FF92D050"/>
      </font>
    </dxf>
    <dxf>
      <font>
        <color rgb="FF92D050"/>
      </font>
    </dxf>
    <dxf>
      <font>
        <color theme="0"/>
      </font>
    </dxf>
    <dxf>
      <font>
        <color rgb="FF92D050"/>
      </font>
    </dxf>
    <dxf>
      <font>
        <color theme="0"/>
      </font>
    </dxf>
    <dxf>
      <font>
        <color rgb="FF92D050"/>
      </font>
    </dxf>
    <dxf>
      <font>
        <color rgb="FF92D050"/>
      </font>
    </dxf>
    <dxf>
      <font>
        <color theme="0"/>
      </font>
    </dxf>
    <dxf>
      <font>
        <color rgb="FF92D050"/>
      </font>
    </dxf>
    <dxf>
      <font>
        <color theme="0"/>
      </font>
    </dxf>
    <dxf>
      <font>
        <color rgb="FF92D050"/>
      </font>
    </dxf>
    <dxf>
      <font>
        <color theme="0"/>
      </font>
    </dxf>
    <dxf>
      <font>
        <color rgb="FF92D050"/>
      </font>
    </dxf>
    <dxf>
      <font>
        <color theme="0"/>
      </font>
    </dxf>
    <dxf>
      <font>
        <color rgb="FF92D050"/>
      </font>
    </dxf>
    <dxf>
      <font>
        <color rgb="FF92D050"/>
      </font>
    </dxf>
    <dxf>
      <font>
        <color theme="0"/>
      </font>
    </dxf>
    <dxf>
      <font>
        <color rgb="FF92D050"/>
      </font>
    </dxf>
    <dxf>
      <font>
        <color theme="0"/>
      </font>
    </dxf>
    <dxf>
      <font>
        <color rgb="FF92D050"/>
      </font>
    </dxf>
    <dxf>
      <font>
        <color rgb="FF92D050"/>
      </font>
    </dxf>
  </dxfs>
  <tableStyles count="0" defaultTableStyle="TableStyleMedium2" defaultPivotStyle="PivotStyleLight16"/>
  <colors>
    <mruColors>
      <color rgb="FFFF99CC"/>
      <color rgb="FFFFCCCC"/>
      <color rgb="FFCC99FF"/>
      <color rgb="FFFF33CC"/>
      <color rgb="FFA9DA74"/>
      <color rgb="FF2DFF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H35"/>
  <sheetViews>
    <sheetView zoomScaleNormal="100" workbookViewId="0">
      <selection activeCell="J15" sqref="J15"/>
    </sheetView>
  </sheetViews>
  <sheetFormatPr baseColWidth="10" defaultColWidth="11.453125" defaultRowHeight="14.5" x14ac:dyDescent="0.35"/>
  <cols>
    <col min="1" max="2" width="1.1796875" style="1" customWidth="1"/>
    <col min="3" max="4" width="2.1796875" style="1" customWidth="1"/>
    <col min="5" max="5" width="6.54296875" style="2" customWidth="1"/>
    <col min="6" max="6" width="91.7265625" style="1" customWidth="1"/>
    <col min="7" max="8" width="1.1796875" style="1" customWidth="1"/>
    <col min="9" max="16384" width="11.453125" style="1"/>
  </cols>
  <sheetData>
    <row r="1" spans="1:8" ht="7.5" customHeight="1" thickBot="1" x14ac:dyDescent="0.4">
      <c r="A1" s="197"/>
      <c r="B1" s="203"/>
      <c r="C1" s="203"/>
      <c r="D1" s="203"/>
      <c r="E1" s="204"/>
      <c r="F1" s="203"/>
      <c r="G1" s="203"/>
      <c r="H1" s="197"/>
    </row>
    <row r="2" spans="1:8" ht="7.5" customHeight="1" thickTop="1" x14ac:dyDescent="0.35">
      <c r="A2" s="209"/>
      <c r="B2" s="215"/>
      <c r="C2" s="205"/>
      <c r="D2" s="205"/>
      <c r="E2" s="206"/>
      <c r="F2" s="205"/>
      <c r="G2" s="207"/>
      <c r="H2" s="208"/>
    </row>
    <row r="3" spans="1:8" ht="24.75" customHeight="1" x14ac:dyDescent="0.35">
      <c r="A3" s="209"/>
      <c r="B3" s="208"/>
      <c r="C3" s="1017" t="s">
        <v>163</v>
      </c>
      <c r="D3" s="1017"/>
      <c r="E3" s="1017"/>
      <c r="F3" s="1017"/>
      <c r="G3" s="209"/>
      <c r="H3" s="208"/>
    </row>
    <row r="4" spans="1:8" s="117" customFormat="1" ht="6.75" customHeight="1" x14ac:dyDescent="0.35">
      <c r="A4" s="209"/>
      <c r="B4" s="208"/>
      <c r="C4" s="194"/>
      <c r="D4" s="194"/>
      <c r="E4" s="194"/>
      <c r="F4" s="194"/>
      <c r="G4" s="209"/>
      <c r="H4" s="208"/>
    </row>
    <row r="5" spans="1:8" s="121" customFormat="1" ht="17.25" customHeight="1" x14ac:dyDescent="0.35">
      <c r="A5" s="210"/>
      <c r="B5" s="211"/>
      <c r="C5" s="195"/>
      <c r="D5" s="1019" t="s">
        <v>88</v>
      </c>
      <c r="E5" s="1019"/>
      <c r="F5" s="217" t="s">
        <v>116</v>
      </c>
      <c r="G5" s="210"/>
      <c r="H5" s="211"/>
    </row>
    <row r="6" spans="1:8" s="117" customFormat="1" ht="6.75" customHeight="1" x14ac:dyDescent="0.35">
      <c r="A6" s="209"/>
      <c r="B6" s="208"/>
      <c r="C6" s="194"/>
      <c r="D6" s="194"/>
      <c r="E6" s="194"/>
      <c r="F6" s="194"/>
      <c r="G6" s="209"/>
      <c r="H6" s="208"/>
    </row>
    <row r="7" spans="1:8" ht="18.5" x14ac:dyDescent="0.35">
      <c r="A7" s="209"/>
      <c r="B7" s="208"/>
      <c r="C7" s="196"/>
      <c r="D7" s="110" t="s">
        <v>131</v>
      </c>
      <c r="E7" s="111"/>
      <c r="F7" s="108"/>
      <c r="G7" s="209"/>
      <c r="H7" s="208"/>
    </row>
    <row r="8" spans="1:8" s="117" customFormat="1" ht="6.75" customHeight="1" x14ac:dyDescent="0.35">
      <c r="A8" s="209"/>
      <c r="B8" s="208"/>
      <c r="C8" s="194"/>
      <c r="D8" s="194"/>
      <c r="E8" s="194"/>
      <c r="F8" s="194"/>
      <c r="G8" s="209"/>
      <c r="H8" s="208"/>
    </row>
    <row r="9" spans="1:8" ht="18.5" x14ac:dyDescent="0.35">
      <c r="A9" s="209"/>
      <c r="B9" s="208"/>
      <c r="C9" s="196"/>
      <c r="D9" s="118" t="s">
        <v>164</v>
      </c>
      <c r="E9" s="119"/>
      <c r="F9" s="120"/>
      <c r="G9" s="209"/>
      <c r="H9" s="208"/>
    </row>
    <row r="10" spans="1:8" x14ac:dyDescent="0.35">
      <c r="A10" s="209"/>
      <c r="B10" s="208"/>
      <c r="C10" s="197"/>
      <c r="D10" s="1018" t="s">
        <v>125</v>
      </c>
      <c r="E10" s="201" t="s">
        <v>89</v>
      </c>
      <c r="F10" s="197" t="s">
        <v>92</v>
      </c>
      <c r="G10" s="209"/>
      <c r="H10" s="208"/>
    </row>
    <row r="11" spans="1:8" x14ac:dyDescent="0.35">
      <c r="A11" s="209"/>
      <c r="B11" s="208"/>
      <c r="C11" s="197"/>
      <c r="D11" s="1018"/>
      <c r="E11" s="201" t="s">
        <v>93</v>
      </c>
      <c r="F11" s="197" t="s">
        <v>94</v>
      </c>
      <c r="G11" s="209"/>
      <c r="H11" s="208"/>
    </row>
    <row r="12" spans="1:8" x14ac:dyDescent="0.35">
      <c r="A12" s="209"/>
      <c r="B12" s="208"/>
      <c r="C12" s="197"/>
      <c r="D12" s="1018"/>
      <c r="E12" s="201" t="s">
        <v>95</v>
      </c>
      <c r="F12" s="197" t="s">
        <v>96</v>
      </c>
      <c r="G12" s="209"/>
      <c r="H12" s="208"/>
    </row>
    <row r="13" spans="1:8" x14ac:dyDescent="0.35">
      <c r="A13" s="209"/>
      <c r="B13" s="208"/>
      <c r="C13" s="197"/>
      <c r="D13" s="1018"/>
      <c r="E13" s="201" t="s">
        <v>90</v>
      </c>
      <c r="F13" s="197" t="s">
        <v>87</v>
      </c>
      <c r="G13" s="209"/>
      <c r="H13" s="208"/>
    </row>
    <row r="14" spans="1:8" x14ac:dyDescent="0.35">
      <c r="A14" s="209"/>
      <c r="B14" s="208"/>
      <c r="C14" s="197"/>
      <c r="D14" s="1018"/>
      <c r="E14" s="201" t="s">
        <v>91</v>
      </c>
      <c r="F14" s="197" t="s">
        <v>105</v>
      </c>
      <c r="G14" s="209"/>
      <c r="H14" s="208"/>
    </row>
    <row r="15" spans="1:8" s="193" customFormat="1" x14ac:dyDescent="0.35">
      <c r="A15" s="212"/>
      <c r="B15" s="213"/>
      <c r="C15" s="198"/>
      <c r="D15" s="1018"/>
      <c r="E15" s="199" t="s">
        <v>97</v>
      </c>
      <c r="F15" s="200" t="s">
        <v>122</v>
      </c>
      <c r="G15" s="212"/>
      <c r="H15" s="213"/>
    </row>
    <row r="16" spans="1:8" x14ac:dyDescent="0.35">
      <c r="A16" s="209"/>
      <c r="B16" s="208"/>
      <c r="C16" s="197"/>
      <c r="D16" s="1018"/>
      <c r="E16" s="201" t="s">
        <v>98</v>
      </c>
      <c r="F16" s="197" t="s">
        <v>103</v>
      </c>
      <c r="G16" s="209"/>
      <c r="H16" s="208"/>
    </row>
    <row r="17" spans="1:8" s="193" customFormat="1" x14ac:dyDescent="0.35">
      <c r="A17" s="212"/>
      <c r="B17" s="213"/>
      <c r="C17" s="198"/>
      <c r="D17" s="1018"/>
      <c r="E17" s="199" t="s">
        <v>99</v>
      </c>
      <c r="F17" s="200" t="s">
        <v>121</v>
      </c>
      <c r="G17" s="212"/>
      <c r="H17" s="213"/>
    </row>
    <row r="18" spans="1:8" x14ac:dyDescent="0.35">
      <c r="A18" s="209"/>
      <c r="B18" s="208"/>
      <c r="C18" s="197"/>
      <c r="D18" s="1018"/>
      <c r="E18" s="201" t="s">
        <v>100</v>
      </c>
      <c r="F18" s="197" t="s">
        <v>104</v>
      </c>
      <c r="G18" s="209"/>
      <c r="H18" s="208"/>
    </row>
    <row r="19" spans="1:8" ht="6.75" customHeight="1" x14ac:dyDescent="0.35">
      <c r="A19" s="209"/>
      <c r="B19" s="208"/>
      <c r="C19" s="197"/>
      <c r="D19" s="197"/>
      <c r="E19" s="201"/>
      <c r="F19" s="197"/>
      <c r="G19" s="209"/>
      <c r="H19" s="208"/>
    </row>
    <row r="20" spans="1:8" ht="15.75" customHeight="1" x14ac:dyDescent="0.35">
      <c r="A20" s="209"/>
      <c r="B20" s="208"/>
      <c r="C20" s="197"/>
      <c r="D20" s="545" t="s">
        <v>111</v>
      </c>
      <c r="E20" s="545"/>
      <c r="F20" s="545"/>
      <c r="G20" s="209"/>
      <c r="H20" s="208"/>
    </row>
    <row r="21" spans="1:8" ht="15.5" x14ac:dyDescent="0.35">
      <c r="A21" s="209"/>
      <c r="B21" s="208"/>
      <c r="C21" s="197"/>
      <c r="D21" s="546" t="s">
        <v>166</v>
      </c>
      <c r="E21" s="547"/>
      <c r="F21" s="548"/>
      <c r="G21" s="209"/>
      <c r="H21" s="208"/>
    </row>
    <row r="22" spans="1:8" x14ac:dyDescent="0.35">
      <c r="A22" s="209"/>
      <c r="B22" s="208"/>
      <c r="C22" s="197"/>
      <c r="D22" s="1018" t="s">
        <v>110</v>
      </c>
      <c r="E22" s="201" t="s">
        <v>106</v>
      </c>
      <c r="F22" s="202" t="s">
        <v>112</v>
      </c>
      <c r="G22" s="209"/>
      <c r="H22" s="208"/>
    </row>
    <row r="23" spans="1:8" x14ac:dyDescent="0.35">
      <c r="A23" s="209"/>
      <c r="B23" s="208"/>
      <c r="C23" s="197"/>
      <c r="D23" s="1018"/>
      <c r="E23" s="201" t="s">
        <v>107</v>
      </c>
      <c r="F23" s="197" t="s">
        <v>113</v>
      </c>
      <c r="G23" s="209"/>
      <c r="H23" s="208"/>
    </row>
    <row r="24" spans="1:8" x14ac:dyDescent="0.35">
      <c r="A24" s="209"/>
      <c r="B24" s="208"/>
      <c r="C24" s="197"/>
      <c r="D24" s="1018"/>
      <c r="E24" s="201" t="s">
        <v>108</v>
      </c>
      <c r="F24" s="202" t="s">
        <v>114</v>
      </c>
      <c r="G24" s="209"/>
      <c r="H24" s="208"/>
    </row>
    <row r="25" spans="1:8" x14ac:dyDescent="0.35">
      <c r="A25" s="209"/>
      <c r="B25" s="208"/>
      <c r="C25" s="197"/>
      <c r="D25" s="1018"/>
      <c r="E25" s="201" t="s">
        <v>109</v>
      </c>
      <c r="F25" s="197" t="s">
        <v>115</v>
      </c>
      <c r="G25" s="209"/>
      <c r="H25" s="208"/>
    </row>
    <row r="26" spans="1:8" s="117" customFormat="1" ht="6.75" customHeight="1" x14ac:dyDescent="0.35">
      <c r="A26" s="209"/>
      <c r="B26" s="208"/>
      <c r="C26" s="194"/>
      <c r="D26" s="194"/>
      <c r="E26" s="194"/>
      <c r="F26" s="194"/>
      <c r="G26" s="209"/>
      <c r="H26" s="208"/>
    </row>
    <row r="27" spans="1:8" ht="18.5" x14ac:dyDescent="0.35">
      <c r="A27" s="209"/>
      <c r="B27" s="208"/>
      <c r="C27" s="196"/>
      <c r="D27" s="190" t="s">
        <v>165</v>
      </c>
      <c r="E27" s="191"/>
      <c r="F27" s="192"/>
      <c r="G27" s="209"/>
      <c r="H27" s="208"/>
    </row>
    <row r="28" spans="1:8" s="193" customFormat="1" ht="15" customHeight="1" x14ac:dyDescent="0.35">
      <c r="A28" s="212"/>
      <c r="B28" s="213"/>
      <c r="C28" s="198"/>
      <c r="D28" s="1018" t="s">
        <v>126</v>
      </c>
      <c r="E28" s="199" t="s">
        <v>101</v>
      </c>
      <c r="F28" s="200" t="s">
        <v>124</v>
      </c>
      <c r="G28" s="212"/>
      <c r="H28" s="213"/>
    </row>
    <row r="29" spans="1:8" x14ac:dyDescent="0.35">
      <c r="A29" s="209"/>
      <c r="B29" s="208"/>
      <c r="C29" s="197"/>
      <c r="D29" s="1018"/>
      <c r="E29" s="201" t="s">
        <v>102</v>
      </c>
      <c r="F29" s="197" t="s">
        <v>123</v>
      </c>
      <c r="G29" s="209"/>
      <c r="H29" s="208"/>
    </row>
    <row r="30" spans="1:8" x14ac:dyDescent="0.35">
      <c r="A30" s="209"/>
      <c r="B30" s="208"/>
      <c r="C30" s="197"/>
      <c r="D30" s="1018"/>
      <c r="E30" s="201" t="s">
        <v>117</v>
      </c>
      <c r="F30" s="197" t="s">
        <v>127</v>
      </c>
      <c r="G30" s="209"/>
      <c r="H30" s="208"/>
    </row>
    <row r="31" spans="1:8" x14ac:dyDescent="0.35">
      <c r="A31" s="209"/>
      <c r="B31" s="208"/>
      <c r="C31" s="197"/>
      <c r="D31" s="1018"/>
      <c r="E31" s="201" t="s">
        <v>118</v>
      </c>
      <c r="F31" s="197" t="s">
        <v>130</v>
      </c>
      <c r="G31" s="209"/>
      <c r="H31" s="208"/>
    </row>
    <row r="32" spans="1:8" x14ac:dyDescent="0.35">
      <c r="A32" s="209"/>
      <c r="B32" s="208"/>
      <c r="C32" s="197"/>
      <c r="D32" s="1018"/>
      <c r="E32" s="201" t="s">
        <v>119</v>
      </c>
      <c r="F32" s="197" t="s">
        <v>128</v>
      </c>
      <c r="G32" s="209"/>
      <c r="H32" s="208"/>
    </row>
    <row r="33" spans="1:8" x14ac:dyDescent="0.35">
      <c r="A33" s="209"/>
      <c r="B33" s="208"/>
      <c r="C33" s="197"/>
      <c r="D33" s="1018"/>
      <c r="E33" s="201" t="s">
        <v>120</v>
      </c>
      <c r="F33" s="197" t="s">
        <v>129</v>
      </c>
      <c r="G33" s="209"/>
      <c r="H33" s="208"/>
    </row>
    <row r="34" spans="1:8" ht="7.5" customHeight="1" thickBot="1" x14ac:dyDescent="0.4">
      <c r="A34" s="209"/>
      <c r="B34" s="216"/>
      <c r="C34" s="203"/>
      <c r="D34" s="203"/>
      <c r="E34" s="204"/>
      <c r="F34" s="203"/>
      <c r="G34" s="214"/>
      <c r="H34" s="208"/>
    </row>
    <row r="35" spans="1:8" ht="7.5" customHeight="1" thickTop="1" x14ac:dyDescent="0.35">
      <c r="A35" s="197"/>
      <c r="B35" s="205"/>
      <c r="C35" s="205"/>
      <c r="D35" s="205"/>
      <c r="E35" s="206"/>
      <c r="F35" s="205"/>
      <c r="G35" s="205"/>
      <c r="H35" s="197"/>
    </row>
  </sheetData>
  <mergeCells count="5">
    <mergeCell ref="C3:F3"/>
    <mergeCell ref="D22:D25"/>
    <mergeCell ref="D5:E5"/>
    <mergeCell ref="D10:D18"/>
    <mergeCell ref="D28:D33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00B050"/>
    <pageSetUpPr fitToPage="1"/>
  </sheetPr>
  <dimension ref="A1:AB152"/>
  <sheetViews>
    <sheetView zoomScale="70" zoomScaleNormal="70" workbookViewId="0">
      <pane xSplit="6" ySplit="4" topLeftCell="J5" activePane="bottomRight" state="frozen"/>
      <selection activeCell="I114" sqref="I114"/>
      <selection pane="topRight" activeCell="I114" sqref="I114"/>
      <selection pane="bottomLeft" activeCell="I114" sqref="I114"/>
      <selection pane="bottomRight" activeCell="I114" sqref="I114"/>
    </sheetView>
  </sheetViews>
  <sheetFormatPr baseColWidth="10" defaultColWidth="11.453125" defaultRowHeight="14.5" x14ac:dyDescent="0.35"/>
  <cols>
    <col min="1" max="1" width="3" style="108" customWidth="1"/>
    <col min="2" max="2" width="33.7265625" style="1" customWidth="1"/>
    <col min="3" max="3" width="11.54296875" style="2" customWidth="1"/>
    <col min="4" max="4" width="8.453125" style="2" customWidth="1"/>
    <col min="5" max="5" width="42.81640625" style="1" bestFit="1" customWidth="1"/>
    <col min="6" max="6" width="11.1796875" style="2" customWidth="1"/>
    <col min="7" max="8" width="11.453125" style="2"/>
    <col min="9" max="9" width="11.453125" style="3" customWidth="1"/>
    <col min="10" max="10" width="11.453125" style="4" customWidth="1"/>
    <col min="11" max="11" width="11.453125" style="3"/>
    <col min="12" max="12" width="11.453125" style="4" customWidth="1"/>
    <col min="13" max="13" width="11.453125" style="3"/>
    <col min="14" max="14" width="11.453125" style="4" customWidth="1"/>
    <col min="15" max="22" width="7.54296875" style="2" customWidth="1"/>
    <col min="23" max="27" width="11.453125" style="1"/>
    <col min="28" max="28" width="11.453125" style="2"/>
    <col min="29" max="16384" width="11.453125" style="1"/>
  </cols>
  <sheetData>
    <row r="1" spans="1:28" s="108" customFormat="1" ht="17.25" customHeight="1" thickBot="1" x14ac:dyDescent="0.4">
      <c r="C1" s="111"/>
      <c r="D1" s="111"/>
      <c r="F1" s="111"/>
      <c r="G1" s="111"/>
      <c r="H1" s="111"/>
      <c r="I1" s="112"/>
      <c r="J1" s="113"/>
      <c r="K1" s="112"/>
      <c r="L1" s="113"/>
      <c r="M1" s="112"/>
      <c r="N1" s="113"/>
      <c r="O1" s="111"/>
      <c r="P1" s="111"/>
      <c r="Q1" s="111"/>
      <c r="R1" s="111"/>
      <c r="S1" s="111"/>
      <c r="T1" s="111"/>
      <c r="U1" s="111"/>
      <c r="V1" s="111"/>
      <c r="AB1" s="111"/>
    </row>
    <row r="2" spans="1:28" s="6" customFormat="1" ht="30" customHeight="1" thickBot="1" x14ac:dyDescent="0.4">
      <c r="A2" s="109" t="s">
        <v>208</v>
      </c>
      <c r="B2" s="1048" t="s">
        <v>53</v>
      </c>
      <c r="C2" s="1049" t="s">
        <v>74</v>
      </c>
      <c r="D2" s="1049" t="s">
        <v>69</v>
      </c>
      <c r="E2" s="1069" t="s">
        <v>79</v>
      </c>
      <c r="F2" s="1041" t="s">
        <v>59</v>
      </c>
      <c r="G2" s="1045" t="s">
        <v>54</v>
      </c>
      <c r="H2" s="1044"/>
      <c r="I2" s="1046" t="s">
        <v>55</v>
      </c>
      <c r="J2" s="1067" t="s">
        <v>63</v>
      </c>
      <c r="K2" s="1047" t="s">
        <v>56</v>
      </c>
      <c r="L2" s="1067" t="s">
        <v>65</v>
      </c>
      <c r="M2" s="1047" t="s">
        <v>57</v>
      </c>
      <c r="N2" s="1068" t="s">
        <v>64</v>
      </c>
      <c r="O2" s="1043" t="s">
        <v>39</v>
      </c>
      <c r="P2" s="1044"/>
      <c r="Q2" s="1043" t="s">
        <v>40</v>
      </c>
      <c r="R2" s="1044"/>
      <c r="S2" s="1043" t="s">
        <v>41</v>
      </c>
      <c r="T2" s="1044"/>
      <c r="U2" s="1041" t="s">
        <v>42</v>
      </c>
      <c r="V2" s="1042"/>
      <c r="W2" s="105"/>
      <c r="AB2" s="981"/>
    </row>
    <row r="3" spans="1:28" s="6" customFormat="1" ht="30" customHeight="1" thickBot="1" x14ac:dyDescent="0.4">
      <c r="A3" s="109" t="s">
        <v>208</v>
      </c>
      <c r="B3" s="1048"/>
      <c r="C3" s="1049"/>
      <c r="D3" s="1049"/>
      <c r="E3" s="1069"/>
      <c r="F3" s="1065"/>
      <c r="G3" s="225"/>
      <c r="H3" s="222"/>
      <c r="I3" s="1046"/>
      <c r="J3" s="1067"/>
      <c r="K3" s="1047"/>
      <c r="L3" s="1067"/>
      <c r="M3" s="1047"/>
      <c r="N3" s="1068"/>
      <c r="O3" s="221"/>
      <c r="P3" s="222"/>
      <c r="Q3" s="221"/>
      <c r="R3" s="222"/>
      <c r="S3" s="221"/>
      <c r="T3" s="222"/>
      <c r="U3" s="223"/>
      <c r="V3" s="224"/>
      <c r="W3" s="105"/>
      <c r="AB3" s="981"/>
    </row>
    <row r="4" spans="1:28" s="6" customFormat="1" ht="30" customHeight="1" thickBot="1" x14ac:dyDescent="0.4">
      <c r="A4" s="109" t="s">
        <v>208</v>
      </c>
      <c r="B4" s="1048"/>
      <c r="C4" s="1049"/>
      <c r="D4" s="1049"/>
      <c r="E4" s="1069"/>
      <c r="F4" s="1066"/>
      <c r="G4" s="31" t="s">
        <v>43</v>
      </c>
      <c r="H4" s="32" t="s">
        <v>44</v>
      </c>
      <c r="I4" s="1046"/>
      <c r="J4" s="1067"/>
      <c r="K4" s="1047"/>
      <c r="L4" s="1067"/>
      <c r="M4" s="1047"/>
      <c r="N4" s="1068"/>
      <c r="O4" s="33" t="s">
        <v>43</v>
      </c>
      <c r="P4" s="32" t="s">
        <v>44</v>
      </c>
      <c r="Q4" s="33" t="s">
        <v>43</v>
      </c>
      <c r="R4" s="32" t="s">
        <v>44</v>
      </c>
      <c r="S4" s="33" t="s">
        <v>43</v>
      </c>
      <c r="T4" s="32" t="s">
        <v>44</v>
      </c>
      <c r="U4" s="33" t="s">
        <v>43</v>
      </c>
      <c r="V4" s="34" t="s">
        <v>44</v>
      </c>
      <c r="W4" s="105"/>
      <c r="AB4" s="981">
        <v>2020</v>
      </c>
    </row>
    <row r="5" spans="1:28" ht="15.5" x14ac:dyDescent="0.35">
      <c r="A5" s="108" t="str">
        <f>IF(D5="Sous-total","X",IF(E5="","","X"))</f>
        <v>X</v>
      </c>
      <c r="B5" s="66" t="s">
        <v>70</v>
      </c>
      <c r="C5" s="67" t="s">
        <v>75</v>
      </c>
      <c r="D5" s="67">
        <v>2</v>
      </c>
      <c r="E5" s="68" t="s">
        <v>71</v>
      </c>
      <c r="F5" s="69" t="s">
        <v>60</v>
      </c>
      <c r="G5" s="70">
        <f>27+11+2+15+8</f>
        <v>63</v>
      </c>
      <c r="H5" s="71">
        <v>29</v>
      </c>
      <c r="I5" s="72">
        <f>2/G5</f>
        <v>3.1746031746031744E-2</v>
      </c>
      <c r="J5" s="73">
        <f>I5*G5</f>
        <v>2</v>
      </c>
      <c r="K5" s="74">
        <f>(2+15)/G5</f>
        <v>0.26984126984126983</v>
      </c>
      <c r="L5" s="73">
        <f>K5*G5</f>
        <v>17</v>
      </c>
      <c r="M5" s="74">
        <f>2/17</f>
        <v>0.11764705882352941</v>
      </c>
      <c r="N5" s="75">
        <f>IF(M5="-","-",M5*L5)</f>
        <v>2</v>
      </c>
      <c r="O5" s="76"/>
      <c r="P5" s="71"/>
      <c r="Q5" s="76"/>
      <c r="R5" s="71"/>
      <c r="S5" s="76"/>
      <c r="T5" s="71"/>
      <c r="U5" s="76"/>
      <c r="V5" s="77"/>
      <c r="W5" s="106"/>
      <c r="AB5" s="2" t="str">
        <f t="shared" ref="AB5:AB36" si="0">IF(G5&gt;0,$F5,"")</f>
        <v>France</v>
      </c>
    </row>
    <row r="6" spans="1:28" ht="15.5" x14ac:dyDescent="0.35">
      <c r="A6" s="108" t="str">
        <f t="shared" ref="A6:A69" si="1">IF(D6="Sous-total","X",IF(E6="","","X"))</f>
        <v>X</v>
      </c>
      <c r="B6" s="627" t="s">
        <v>167</v>
      </c>
      <c r="C6" s="628" t="s">
        <v>75</v>
      </c>
      <c r="D6" s="628"/>
      <c r="E6" s="629" t="s">
        <v>168</v>
      </c>
      <c r="F6" s="630" t="s">
        <v>60</v>
      </c>
      <c r="G6" s="245"/>
      <c r="H6" s="246"/>
      <c r="I6" s="247" t="e">
        <f>2/G6</f>
        <v>#DIV/0!</v>
      </c>
      <c r="J6" s="248"/>
      <c r="K6" s="249" t="e">
        <f>(2+15)/G6</f>
        <v>#DIV/0!</v>
      </c>
      <c r="L6" s="248"/>
      <c r="M6" s="249">
        <f>2/17</f>
        <v>0.11764705882352941</v>
      </c>
      <c r="N6" s="250"/>
      <c r="O6" s="631"/>
      <c r="P6" s="246"/>
      <c r="Q6" s="631"/>
      <c r="R6" s="246"/>
      <c r="S6" s="631"/>
      <c r="T6" s="246"/>
      <c r="U6" s="631"/>
      <c r="V6" s="632"/>
      <c r="W6" s="106"/>
      <c r="AB6" s="2" t="str">
        <f t="shared" si="0"/>
        <v/>
      </c>
    </row>
    <row r="7" spans="1:28" ht="15" customHeight="1" x14ac:dyDescent="0.35">
      <c r="A7" s="108" t="str">
        <f t="shared" si="1"/>
        <v>X</v>
      </c>
      <c r="B7" s="1055" t="s">
        <v>172</v>
      </c>
      <c r="C7" s="1059" t="s">
        <v>75</v>
      </c>
      <c r="D7" s="1050"/>
      <c r="E7" s="78" t="s">
        <v>186</v>
      </c>
      <c r="F7" s="968" t="s">
        <v>60</v>
      </c>
      <c r="G7" s="79"/>
      <c r="H7" s="80"/>
      <c r="I7" s="81">
        <v>0.32258064516129031</v>
      </c>
      <c r="J7" s="82"/>
      <c r="K7" s="83">
        <v>0.32258064516129031</v>
      </c>
      <c r="L7" s="82"/>
      <c r="M7" s="83" t="s">
        <v>21</v>
      </c>
      <c r="N7" s="84" t="s">
        <v>21</v>
      </c>
      <c r="O7" s="85" t="s">
        <v>21</v>
      </c>
      <c r="P7" s="80" t="s">
        <v>21</v>
      </c>
      <c r="Q7" s="85" t="s">
        <v>21</v>
      </c>
      <c r="R7" s="80" t="s">
        <v>21</v>
      </c>
      <c r="S7" s="85"/>
      <c r="T7" s="80"/>
      <c r="U7" s="85"/>
      <c r="V7" s="86"/>
      <c r="W7" s="106"/>
      <c r="AB7" s="2" t="str">
        <f t="shared" si="0"/>
        <v/>
      </c>
    </row>
    <row r="8" spans="1:28" ht="15" customHeight="1" x14ac:dyDescent="0.35">
      <c r="A8" s="108" t="str">
        <f t="shared" si="1"/>
        <v>X</v>
      </c>
      <c r="B8" s="1056"/>
      <c r="C8" s="1060"/>
      <c r="D8" s="1050"/>
      <c r="E8" s="87" t="s">
        <v>187</v>
      </c>
      <c r="F8" s="969" t="s">
        <v>60</v>
      </c>
      <c r="G8" s="88"/>
      <c r="H8" s="89"/>
      <c r="I8" s="90">
        <v>0.48</v>
      </c>
      <c r="J8" s="91"/>
      <c r="K8" s="92">
        <v>0.36</v>
      </c>
      <c r="L8" s="91"/>
      <c r="M8" s="92" t="s">
        <v>21</v>
      </c>
      <c r="N8" s="93" t="s">
        <v>21</v>
      </c>
      <c r="O8" s="94" t="s">
        <v>21</v>
      </c>
      <c r="P8" s="89" t="s">
        <v>21</v>
      </c>
      <c r="Q8" s="94" t="s">
        <v>21</v>
      </c>
      <c r="R8" s="89" t="s">
        <v>21</v>
      </c>
      <c r="S8" s="94"/>
      <c r="T8" s="89"/>
      <c r="U8" s="94"/>
      <c r="V8" s="95"/>
      <c r="W8" s="106"/>
      <c r="AB8" s="2" t="str">
        <f t="shared" si="0"/>
        <v/>
      </c>
    </row>
    <row r="9" spans="1:28" ht="15" customHeight="1" x14ac:dyDescent="0.35">
      <c r="A9" s="108" t="str">
        <f t="shared" si="1"/>
        <v>X</v>
      </c>
      <c r="B9" s="1056"/>
      <c r="C9" s="1060"/>
      <c r="D9" s="1050"/>
      <c r="E9" s="87" t="s">
        <v>188</v>
      </c>
      <c r="F9" s="969" t="s">
        <v>60</v>
      </c>
      <c r="G9" s="88"/>
      <c r="H9" s="89"/>
      <c r="I9" s="90">
        <v>0.48</v>
      </c>
      <c r="J9" s="91"/>
      <c r="K9" s="92">
        <v>0.36</v>
      </c>
      <c r="L9" s="91"/>
      <c r="M9" s="92" t="s">
        <v>21</v>
      </c>
      <c r="N9" s="93" t="s">
        <v>21</v>
      </c>
      <c r="O9" s="94" t="s">
        <v>21</v>
      </c>
      <c r="P9" s="89" t="s">
        <v>21</v>
      </c>
      <c r="Q9" s="94" t="s">
        <v>21</v>
      </c>
      <c r="R9" s="89" t="s">
        <v>21</v>
      </c>
      <c r="S9" s="94"/>
      <c r="T9" s="89"/>
      <c r="U9" s="94"/>
      <c r="V9" s="95"/>
      <c r="W9" s="106"/>
      <c r="AB9" s="2" t="str">
        <f t="shared" si="0"/>
        <v/>
      </c>
    </row>
    <row r="10" spans="1:28" ht="15" customHeight="1" x14ac:dyDescent="0.35">
      <c r="A10" s="108" t="str">
        <f t="shared" si="1"/>
        <v>X</v>
      </c>
      <c r="B10" s="1056"/>
      <c r="C10" s="1060"/>
      <c r="D10" s="1050"/>
      <c r="E10" s="87" t="s">
        <v>189</v>
      </c>
      <c r="F10" s="969" t="s">
        <v>60</v>
      </c>
      <c r="G10" s="88"/>
      <c r="H10" s="89"/>
      <c r="I10" s="90">
        <v>0.48</v>
      </c>
      <c r="J10" s="91"/>
      <c r="K10" s="92">
        <v>0.36</v>
      </c>
      <c r="L10" s="91"/>
      <c r="M10" s="92" t="s">
        <v>21</v>
      </c>
      <c r="N10" s="93" t="s">
        <v>21</v>
      </c>
      <c r="O10" s="94" t="s">
        <v>21</v>
      </c>
      <c r="P10" s="89" t="s">
        <v>21</v>
      </c>
      <c r="Q10" s="94" t="s">
        <v>21</v>
      </c>
      <c r="R10" s="89" t="s">
        <v>21</v>
      </c>
      <c r="S10" s="94"/>
      <c r="T10" s="89"/>
      <c r="U10" s="94"/>
      <c r="V10" s="95"/>
      <c r="W10" s="106"/>
      <c r="AB10" s="2" t="str">
        <f t="shared" si="0"/>
        <v/>
      </c>
    </row>
    <row r="11" spans="1:28" ht="15" customHeight="1" x14ac:dyDescent="0.35">
      <c r="A11" s="108" t="str">
        <f t="shared" si="1"/>
        <v>X</v>
      </c>
      <c r="B11" s="1056"/>
      <c r="C11" s="1060"/>
      <c r="D11" s="1050"/>
      <c r="E11" s="87" t="s">
        <v>190</v>
      </c>
      <c r="F11" s="969" t="s">
        <v>60</v>
      </c>
      <c r="G11" s="88"/>
      <c r="H11" s="89"/>
      <c r="I11" s="90">
        <v>0.48</v>
      </c>
      <c r="J11" s="91"/>
      <c r="K11" s="92">
        <v>0.36</v>
      </c>
      <c r="L11" s="91"/>
      <c r="M11" s="92" t="s">
        <v>21</v>
      </c>
      <c r="N11" s="93" t="s">
        <v>21</v>
      </c>
      <c r="O11" s="94" t="s">
        <v>21</v>
      </c>
      <c r="P11" s="89" t="s">
        <v>21</v>
      </c>
      <c r="Q11" s="94" t="s">
        <v>21</v>
      </c>
      <c r="R11" s="89" t="s">
        <v>21</v>
      </c>
      <c r="S11" s="94"/>
      <c r="T11" s="89"/>
      <c r="U11" s="94"/>
      <c r="V11" s="95"/>
      <c r="W11" s="106"/>
      <c r="AB11" s="2" t="str">
        <f t="shared" si="0"/>
        <v/>
      </c>
    </row>
    <row r="12" spans="1:28" ht="15" customHeight="1" x14ac:dyDescent="0.35">
      <c r="A12" s="108" t="str">
        <f t="shared" si="1"/>
        <v>X</v>
      </c>
      <c r="B12" s="1056"/>
      <c r="C12" s="1060"/>
      <c r="D12" s="1050"/>
      <c r="E12" s="87" t="s">
        <v>191</v>
      </c>
      <c r="F12" s="969" t="s">
        <v>62</v>
      </c>
      <c r="G12" s="88"/>
      <c r="H12" s="89"/>
      <c r="I12" s="90">
        <v>0.48</v>
      </c>
      <c r="J12" s="91"/>
      <c r="K12" s="92">
        <v>0.36</v>
      </c>
      <c r="L12" s="91"/>
      <c r="M12" s="92" t="s">
        <v>21</v>
      </c>
      <c r="N12" s="93" t="s">
        <v>21</v>
      </c>
      <c r="O12" s="94" t="s">
        <v>21</v>
      </c>
      <c r="P12" s="89" t="s">
        <v>21</v>
      </c>
      <c r="Q12" s="94" t="s">
        <v>21</v>
      </c>
      <c r="R12" s="89" t="s">
        <v>21</v>
      </c>
      <c r="S12" s="94"/>
      <c r="T12" s="89"/>
      <c r="U12" s="94"/>
      <c r="V12" s="95"/>
      <c r="W12" s="106"/>
      <c r="AB12" s="2" t="str">
        <f t="shared" si="0"/>
        <v/>
      </c>
    </row>
    <row r="13" spans="1:28" ht="15" customHeight="1" x14ac:dyDescent="0.35">
      <c r="A13" s="108" t="str">
        <f t="shared" si="1"/>
        <v>X</v>
      </c>
      <c r="B13" s="1056"/>
      <c r="C13" s="1060"/>
      <c r="D13" s="1050"/>
      <c r="E13" s="87" t="s">
        <v>192</v>
      </c>
      <c r="F13" s="969" t="s">
        <v>60</v>
      </c>
      <c r="G13" s="88"/>
      <c r="H13" s="89"/>
      <c r="I13" s="90">
        <v>0.48</v>
      </c>
      <c r="J13" s="91"/>
      <c r="K13" s="92">
        <v>0.36</v>
      </c>
      <c r="L13" s="91"/>
      <c r="M13" s="92" t="s">
        <v>21</v>
      </c>
      <c r="N13" s="93" t="s">
        <v>21</v>
      </c>
      <c r="O13" s="94" t="s">
        <v>21</v>
      </c>
      <c r="P13" s="89" t="s">
        <v>21</v>
      </c>
      <c r="Q13" s="94" t="s">
        <v>21</v>
      </c>
      <c r="R13" s="89" t="s">
        <v>21</v>
      </c>
      <c r="S13" s="94"/>
      <c r="T13" s="89"/>
      <c r="U13" s="94"/>
      <c r="V13" s="95"/>
      <c r="W13" s="106"/>
      <c r="AB13" s="2" t="str">
        <f t="shared" si="0"/>
        <v/>
      </c>
    </row>
    <row r="14" spans="1:28" ht="15" customHeight="1" x14ac:dyDescent="0.35">
      <c r="A14" s="108" t="str">
        <f t="shared" si="1"/>
        <v>X</v>
      </c>
      <c r="B14" s="1056"/>
      <c r="C14" s="1060"/>
      <c r="D14" s="1050"/>
      <c r="E14" s="87" t="s">
        <v>193</v>
      </c>
      <c r="F14" s="969" t="s">
        <v>60</v>
      </c>
      <c r="G14" s="88"/>
      <c r="H14" s="89"/>
      <c r="I14" s="90">
        <v>0.48</v>
      </c>
      <c r="J14" s="91"/>
      <c r="K14" s="92">
        <v>0.36</v>
      </c>
      <c r="L14" s="91"/>
      <c r="M14" s="92" t="s">
        <v>21</v>
      </c>
      <c r="N14" s="93" t="s">
        <v>21</v>
      </c>
      <c r="O14" s="94" t="s">
        <v>21</v>
      </c>
      <c r="P14" s="89" t="s">
        <v>21</v>
      </c>
      <c r="Q14" s="94" t="s">
        <v>21</v>
      </c>
      <c r="R14" s="89" t="s">
        <v>21</v>
      </c>
      <c r="S14" s="94"/>
      <c r="T14" s="89"/>
      <c r="U14" s="94"/>
      <c r="V14" s="95"/>
      <c r="W14" s="106"/>
      <c r="AB14" s="2" t="str">
        <f t="shared" si="0"/>
        <v/>
      </c>
    </row>
    <row r="15" spans="1:28" ht="15" customHeight="1" x14ac:dyDescent="0.35">
      <c r="A15" s="108" t="str">
        <f t="shared" si="1"/>
        <v>X</v>
      </c>
      <c r="B15" s="1056"/>
      <c r="C15" s="1060"/>
      <c r="D15" s="1050"/>
      <c r="E15" s="87" t="s">
        <v>194</v>
      </c>
      <c r="F15" s="969" t="s">
        <v>60</v>
      </c>
      <c r="G15" s="88"/>
      <c r="H15" s="89"/>
      <c r="I15" s="90">
        <v>0.48</v>
      </c>
      <c r="J15" s="91"/>
      <c r="K15" s="92">
        <v>0.36</v>
      </c>
      <c r="L15" s="91"/>
      <c r="M15" s="92" t="s">
        <v>21</v>
      </c>
      <c r="N15" s="93" t="s">
        <v>21</v>
      </c>
      <c r="O15" s="94" t="s">
        <v>21</v>
      </c>
      <c r="P15" s="89" t="s">
        <v>21</v>
      </c>
      <c r="Q15" s="94" t="s">
        <v>21</v>
      </c>
      <c r="R15" s="89" t="s">
        <v>21</v>
      </c>
      <c r="S15" s="94"/>
      <c r="T15" s="89"/>
      <c r="U15" s="94"/>
      <c r="V15" s="95"/>
      <c r="W15" s="106"/>
      <c r="AB15" s="2" t="str">
        <f t="shared" si="0"/>
        <v/>
      </c>
    </row>
    <row r="16" spans="1:28" ht="15" customHeight="1" x14ac:dyDescent="0.35">
      <c r="A16" s="108" t="str">
        <f t="shared" si="1"/>
        <v>X</v>
      </c>
      <c r="B16" s="1056"/>
      <c r="C16" s="1060"/>
      <c r="D16" s="1050"/>
      <c r="E16" s="87" t="s">
        <v>195</v>
      </c>
      <c r="F16" s="969" t="s">
        <v>60</v>
      </c>
      <c r="G16" s="88"/>
      <c r="H16" s="89"/>
      <c r="I16" s="90">
        <v>0.48</v>
      </c>
      <c r="J16" s="91"/>
      <c r="K16" s="92">
        <v>0.36</v>
      </c>
      <c r="L16" s="91"/>
      <c r="M16" s="92" t="s">
        <v>21</v>
      </c>
      <c r="N16" s="93" t="s">
        <v>21</v>
      </c>
      <c r="O16" s="94" t="s">
        <v>21</v>
      </c>
      <c r="P16" s="89" t="s">
        <v>21</v>
      </c>
      <c r="Q16" s="94" t="s">
        <v>21</v>
      </c>
      <c r="R16" s="89" t="s">
        <v>21</v>
      </c>
      <c r="S16" s="94"/>
      <c r="T16" s="89"/>
      <c r="U16" s="94"/>
      <c r="V16" s="95"/>
      <c r="W16" s="106"/>
      <c r="AB16" s="2" t="str">
        <f t="shared" si="0"/>
        <v/>
      </c>
    </row>
    <row r="17" spans="1:28" ht="15" customHeight="1" x14ac:dyDescent="0.35">
      <c r="A17" s="108" t="str">
        <f t="shared" si="1"/>
        <v>X</v>
      </c>
      <c r="B17" s="1056"/>
      <c r="C17" s="1060"/>
      <c r="D17" s="1050"/>
      <c r="E17" s="87" t="s">
        <v>196</v>
      </c>
      <c r="F17" s="969" t="s">
        <v>60</v>
      </c>
      <c r="G17" s="88"/>
      <c r="H17" s="89"/>
      <c r="I17" s="90">
        <v>0.48</v>
      </c>
      <c r="J17" s="91"/>
      <c r="K17" s="92">
        <v>0.36</v>
      </c>
      <c r="L17" s="91"/>
      <c r="M17" s="92" t="s">
        <v>21</v>
      </c>
      <c r="N17" s="93" t="s">
        <v>21</v>
      </c>
      <c r="O17" s="94" t="s">
        <v>21</v>
      </c>
      <c r="P17" s="89" t="s">
        <v>21</v>
      </c>
      <c r="Q17" s="94" t="s">
        <v>21</v>
      </c>
      <c r="R17" s="89" t="s">
        <v>21</v>
      </c>
      <c r="S17" s="94"/>
      <c r="T17" s="89"/>
      <c r="U17" s="94"/>
      <c r="V17" s="95"/>
      <c r="W17" s="106"/>
      <c r="AB17" s="2" t="str">
        <f t="shared" si="0"/>
        <v/>
      </c>
    </row>
    <row r="18" spans="1:28" ht="15" customHeight="1" x14ac:dyDescent="0.35">
      <c r="A18" s="108" t="str">
        <f t="shared" si="1"/>
        <v>X</v>
      </c>
      <c r="B18" s="1056"/>
      <c r="C18" s="1060"/>
      <c r="D18" s="1050"/>
      <c r="E18" s="584" t="s">
        <v>197</v>
      </c>
      <c r="F18" s="969" t="s">
        <v>60</v>
      </c>
      <c r="G18" s="88"/>
      <c r="H18" s="89"/>
      <c r="I18" s="90">
        <v>0.48</v>
      </c>
      <c r="J18" s="91"/>
      <c r="K18" s="92">
        <v>0.36</v>
      </c>
      <c r="L18" s="91"/>
      <c r="M18" s="92" t="s">
        <v>21</v>
      </c>
      <c r="N18" s="93" t="s">
        <v>21</v>
      </c>
      <c r="O18" s="94" t="s">
        <v>21</v>
      </c>
      <c r="P18" s="89" t="s">
        <v>21</v>
      </c>
      <c r="Q18" s="94" t="s">
        <v>21</v>
      </c>
      <c r="R18" s="89" t="s">
        <v>21</v>
      </c>
      <c r="S18" s="94"/>
      <c r="T18" s="89"/>
      <c r="U18" s="94"/>
      <c r="V18" s="95"/>
      <c r="W18" s="106"/>
      <c r="AB18" s="2" t="str">
        <f t="shared" si="0"/>
        <v/>
      </c>
    </row>
    <row r="19" spans="1:28" ht="15" customHeight="1" x14ac:dyDescent="0.35">
      <c r="A19" s="108" t="str">
        <f t="shared" si="1"/>
        <v>X</v>
      </c>
      <c r="B19" s="1056"/>
      <c r="C19" s="1060"/>
      <c r="D19" s="1050"/>
      <c r="E19" s="584" t="s">
        <v>198</v>
      </c>
      <c r="F19" s="969" t="s">
        <v>60</v>
      </c>
      <c r="G19" s="88"/>
      <c r="H19" s="89"/>
      <c r="I19" s="90">
        <v>0.48</v>
      </c>
      <c r="J19" s="91"/>
      <c r="K19" s="92">
        <v>0.36</v>
      </c>
      <c r="L19" s="91"/>
      <c r="M19" s="92" t="s">
        <v>21</v>
      </c>
      <c r="N19" s="93" t="s">
        <v>21</v>
      </c>
      <c r="O19" s="94" t="s">
        <v>21</v>
      </c>
      <c r="P19" s="89" t="s">
        <v>21</v>
      </c>
      <c r="Q19" s="94" t="s">
        <v>21</v>
      </c>
      <c r="R19" s="89" t="s">
        <v>21</v>
      </c>
      <c r="S19" s="94"/>
      <c r="T19" s="89"/>
      <c r="U19" s="94"/>
      <c r="V19" s="95"/>
      <c r="W19" s="106"/>
      <c r="AB19" s="2" t="str">
        <f t="shared" si="0"/>
        <v/>
      </c>
    </row>
    <row r="20" spans="1:28" ht="15" customHeight="1" x14ac:dyDescent="0.35">
      <c r="A20" s="108" t="str">
        <f t="shared" si="1"/>
        <v>X</v>
      </c>
      <c r="B20" s="1056"/>
      <c r="C20" s="1060"/>
      <c r="D20" s="1050"/>
      <c r="E20" s="584" t="s">
        <v>199</v>
      </c>
      <c r="F20" s="969" t="s">
        <v>60</v>
      </c>
      <c r="G20" s="88"/>
      <c r="H20" s="89"/>
      <c r="I20" s="90">
        <v>0.48</v>
      </c>
      <c r="J20" s="91"/>
      <c r="K20" s="92">
        <v>0.36</v>
      </c>
      <c r="L20" s="91"/>
      <c r="M20" s="92" t="s">
        <v>21</v>
      </c>
      <c r="N20" s="93" t="s">
        <v>21</v>
      </c>
      <c r="O20" s="94" t="s">
        <v>21</v>
      </c>
      <c r="P20" s="89" t="s">
        <v>21</v>
      </c>
      <c r="Q20" s="94" t="s">
        <v>21</v>
      </c>
      <c r="R20" s="89" t="s">
        <v>21</v>
      </c>
      <c r="S20" s="94"/>
      <c r="T20" s="89"/>
      <c r="U20" s="94"/>
      <c r="V20" s="95"/>
      <c r="W20" s="106"/>
      <c r="AB20" s="2" t="str">
        <f t="shared" si="0"/>
        <v/>
      </c>
    </row>
    <row r="21" spans="1:28" ht="15" customHeight="1" x14ac:dyDescent="0.35">
      <c r="A21" s="108" t="str">
        <f t="shared" si="1"/>
        <v>X</v>
      </c>
      <c r="B21" s="1056"/>
      <c r="C21" s="1060"/>
      <c r="D21" s="1050"/>
      <c r="E21" s="584" t="s">
        <v>200</v>
      </c>
      <c r="F21" s="969" t="s">
        <v>60</v>
      </c>
      <c r="G21" s="88"/>
      <c r="H21" s="89"/>
      <c r="I21" s="90">
        <v>0.48</v>
      </c>
      <c r="J21" s="91"/>
      <c r="K21" s="92">
        <v>0.36</v>
      </c>
      <c r="L21" s="91"/>
      <c r="M21" s="92" t="s">
        <v>21</v>
      </c>
      <c r="N21" s="93" t="s">
        <v>21</v>
      </c>
      <c r="O21" s="94" t="s">
        <v>21</v>
      </c>
      <c r="P21" s="89" t="s">
        <v>21</v>
      </c>
      <c r="Q21" s="94" t="s">
        <v>21</v>
      </c>
      <c r="R21" s="89" t="s">
        <v>21</v>
      </c>
      <c r="S21" s="94"/>
      <c r="T21" s="89"/>
      <c r="U21" s="94"/>
      <c r="V21" s="95"/>
      <c r="W21" s="106"/>
      <c r="AB21" s="2" t="str">
        <f t="shared" si="0"/>
        <v/>
      </c>
    </row>
    <row r="22" spans="1:28" ht="15" customHeight="1" x14ac:dyDescent="0.35">
      <c r="A22" s="108" t="str">
        <f t="shared" si="1"/>
        <v>X</v>
      </c>
      <c r="B22" s="1056"/>
      <c r="C22" s="1060"/>
      <c r="D22" s="1050"/>
      <c r="E22" s="96" t="s">
        <v>201</v>
      </c>
      <c r="F22" s="970" t="s">
        <v>62</v>
      </c>
      <c r="G22" s="97"/>
      <c r="H22" s="98"/>
      <c r="I22" s="99">
        <v>0.5</v>
      </c>
      <c r="J22" s="100"/>
      <c r="K22" s="101">
        <v>0</v>
      </c>
      <c r="L22" s="100"/>
      <c r="M22" s="101" t="s">
        <v>21</v>
      </c>
      <c r="N22" s="102" t="s">
        <v>21</v>
      </c>
      <c r="O22" s="103" t="s">
        <v>21</v>
      </c>
      <c r="P22" s="98" t="s">
        <v>21</v>
      </c>
      <c r="Q22" s="103" t="s">
        <v>21</v>
      </c>
      <c r="R22" s="98" t="s">
        <v>21</v>
      </c>
      <c r="S22" s="103"/>
      <c r="T22" s="98"/>
      <c r="U22" s="103"/>
      <c r="V22" s="104"/>
      <c r="W22" s="106"/>
      <c r="AB22" s="2" t="str">
        <f t="shared" si="0"/>
        <v/>
      </c>
    </row>
    <row r="23" spans="1:28" ht="15.5" x14ac:dyDescent="0.35">
      <c r="A23" s="108" t="str">
        <f t="shared" si="1"/>
        <v>X</v>
      </c>
      <c r="B23" s="1057"/>
      <c r="C23" s="1061"/>
      <c r="D23" s="659" t="s">
        <v>138</v>
      </c>
      <c r="E23" s="238"/>
      <c r="F23" s="630"/>
      <c r="G23" s="245">
        <f>SUM(G7:G22)</f>
        <v>0</v>
      </c>
      <c r="H23" s="246">
        <f>SUM(H7:H22)</f>
        <v>0</v>
      </c>
      <c r="I23" s="247" t="e">
        <f>J23/G23</f>
        <v>#DIV/0!</v>
      </c>
      <c r="J23" s="248">
        <f>SUM(J7:J22)</f>
        <v>0</v>
      </c>
      <c r="K23" s="249" t="e">
        <f>L23/G23</f>
        <v>#DIV/0!</v>
      </c>
      <c r="L23" s="248">
        <f>SUM(L7:L22)</f>
        <v>0</v>
      </c>
      <c r="M23" s="249" t="e">
        <f>N23/L23</f>
        <v>#DIV/0!</v>
      </c>
      <c r="N23" s="250">
        <f>SUM(N7:N22)</f>
        <v>0</v>
      </c>
      <c r="O23" s="240">
        <f t="shared" ref="O23:R23" si="2">SUM(O7:O22)</f>
        <v>0</v>
      </c>
      <c r="P23" s="239">
        <f t="shared" si="2"/>
        <v>0</v>
      </c>
      <c r="Q23" s="240">
        <f t="shared" si="2"/>
        <v>0</v>
      </c>
      <c r="R23" s="239">
        <f t="shared" si="2"/>
        <v>0</v>
      </c>
      <c r="S23" s="240"/>
      <c r="T23" s="239"/>
      <c r="U23" s="240"/>
      <c r="V23" s="241"/>
      <c r="W23" s="106"/>
      <c r="AB23" s="2" t="str">
        <f t="shared" si="0"/>
        <v/>
      </c>
    </row>
    <row r="24" spans="1:28" ht="15" customHeight="1" x14ac:dyDescent="0.35">
      <c r="A24" s="108" t="str">
        <f t="shared" si="1"/>
        <v>X</v>
      </c>
      <c r="B24" s="1055" t="s">
        <v>20</v>
      </c>
      <c r="C24" s="1059" t="s">
        <v>75</v>
      </c>
      <c r="D24" s="1050">
        <v>8</v>
      </c>
      <c r="E24" s="78" t="s">
        <v>13</v>
      </c>
      <c r="F24" s="968" t="s">
        <v>60</v>
      </c>
      <c r="G24" s="79">
        <v>31</v>
      </c>
      <c r="H24" s="80">
        <v>23</v>
      </c>
      <c r="I24" s="81">
        <v>0.32258064516129031</v>
      </c>
      <c r="J24" s="82">
        <f t="shared" ref="J24:J121" si="3">I24*G24</f>
        <v>10</v>
      </c>
      <c r="K24" s="83">
        <v>0.32258064516129031</v>
      </c>
      <c r="L24" s="82">
        <f t="shared" ref="L24:L121" si="4">K24*G24</f>
        <v>10</v>
      </c>
      <c r="M24" s="83" t="s">
        <v>21</v>
      </c>
      <c r="N24" s="84" t="s">
        <v>21</v>
      </c>
      <c r="O24" s="85" t="s">
        <v>21</v>
      </c>
      <c r="P24" s="80" t="s">
        <v>21</v>
      </c>
      <c r="Q24" s="85" t="s">
        <v>21</v>
      </c>
      <c r="R24" s="80" t="s">
        <v>21</v>
      </c>
      <c r="S24" s="85"/>
      <c r="T24" s="80"/>
      <c r="U24" s="85"/>
      <c r="V24" s="86"/>
      <c r="W24" s="106"/>
      <c r="AB24" s="2" t="str">
        <f t="shared" si="0"/>
        <v>France</v>
      </c>
    </row>
    <row r="25" spans="1:28" ht="15" customHeight="1" x14ac:dyDescent="0.35">
      <c r="A25" s="108" t="str">
        <f t="shared" si="1"/>
        <v>X</v>
      </c>
      <c r="B25" s="1056"/>
      <c r="C25" s="1060"/>
      <c r="D25" s="1050"/>
      <c r="E25" s="87" t="s">
        <v>14</v>
      </c>
      <c r="F25" s="969" t="s">
        <v>60</v>
      </c>
      <c r="G25" s="88">
        <v>25</v>
      </c>
      <c r="H25" s="89">
        <v>13</v>
      </c>
      <c r="I25" s="90">
        <v>0.48</v>
      </c>
      <c r="J25" s="91">
        <f t="shared" si="3"/>
        <v>12</v>
      </c>
      <c r="K25" s="92">
        <v>0.36</v>
      </c>
      <c r="L25" s="91">
        <f t="shared" si="4"/>
        <v>9</v>
      </c>
      <c r="M25" s="92" t="s">
        <v>21</v>
      </c>
      <c r="N25" s="93" t="s">
        <v>21</v>
      </c>
      <c r="O25" s="94" t="s">
        <v>21</v>
      </c>
      <c r="P25" s="89" t="s">
        <v>21</v>
      </c>
      <c r="Q25" s="94" t="s">
        <v>21</v>
      </c>
      <c r="R25" s="89" t="s">
        <v>21</v>
      </c>
      <c r="S25" s="94"/>
      <c r="T25" s="89"/>
      <c r="U25" s="94"/>
      <c r="V25" s="95"/>
      <c r="W25" s="106"/>
      <c r="AB25" s="2" t="str">
        <f t="shared" si="0"/>
        <v>France</v>
      </c>
    </row>
    <row r="26" spans="1:28" ht="15" customHeight="1" x14ac:dyDescent="0.35">
      <c r="A26" s="108" t="str">
        <f t="shared" si="1"/>
        <v>X</v>
      </c>
      <c r="B26" s="1056"/>
      <c r="C26" s="1060"/>
      <c r="D26" s="1050"/>
      <c r="E26" s="87" t="s">
        <v>15</v>
      </c>
      <c r="F26" s="969" t="s">
        <v>60</v>
      </c>
      <c r="G26" s="88">
        <v>18</v>
      </c>
      <c r="H26" s="89">
        <v>10</v>
      </c>
      <c r="I26" s="90">
        <v>0.5</v>
      </c>
      <c r="J26" s="91">
        <f t="shared" si="3"/>
        <v>9</v>
      </c>
      <c r="K26" s="92">
        <v>0.16666666666666666</v>
      </c>
      <c r="L26" s="91">
        <f t="shared" si="4"/>
        <v>3</v>
      </c>
      <c r="M26" s="92" t="s">
        <v>21</v>
      </c>
      <c r="N26" s="93" t="s">
        <v>21</v>
      </c>
      <c r="O26" s="94" t="s">
        <v>21</v>
      </c>
      <c r="P26" s="89" t="s">
        <v>21</v>
      </c>
      <c r="Q26" s="94" t="s">
        <v>21</v>
      </c>
      <c r="R26" s="89" t="s">
        <v>21</v>
      </c>
      <c r="S26" s="94"/>
      <c r="T26" s="89"/>
      <c r="U26" s="94"/>
      <c r="V26" s="95"/>
      <c r="W26" s="106"/>
      <c r="AB26" s="2" t="str">
        <f t="shared" si="0"/>
        <v>France</v>
      </c>
    </row>
    <row r="27" spans="1:28" ht="15" customHeight="1" x14ac:dyDescent="0.35">
      <c r="A27" s="108" t="str">
        <f t="shared" si="1"/>
        <v>X</v>
      </c>
      <c r="B27" s="1056"/>
      <c r="C27" s="1060"/>
      <c r="D27" s="1050"/>
      <c r="E27" s="87" t="s">
        <v>141</v>
      </c>
      <c r="F27" s="969" t="s">
        <v>60</v>
      </c>
      <c r="G27" s="88"/>
      <c r="H27" s="89"/>
      <c r="I27" s="90">
        <v>0.5</v>
      </c>
      <c r="J27" s="91"/>
      <c r="K27" s="92">
        <v>0.16666666666666666</v>
      </c>
      <c r="L27" s="91"/>
      <c r="M27" s="92" t="s">
        <v>21</v>
      </c>
      <c r="N27" s="93" t="s">
        <v>21</v>
      </c>
      <c r="O27" s="94" t="s">
        <v>21</v>
      </c>
      <c r="P27" s="89" t="s">
        <v>21</v>
      </c>
      <c r="Q27" s="94" t="s">
        <v>21</v>
      </c>
      <c r="R27" s="89" t="s">
        <v>21</v>
      </c>
      <c r="S27" s="94"/>
      <c r="T27" s="89"/>
      <c r="U27" s="94"/>
      <c r="V27" s="95"/>
      <c r="W27" s="106"/>
      <c r="AB27" s="2" t="str">
        <f t="shared" si="0"/>
        <v/>
      </c>
    </row>
    <row r="28" spans="1:28" ht="15" customHeight="1" x14ac:dyDescent="0.35">
      <c r="A28" s="108" t="str">
        <f t="shared" si="1"/>
        <v>X</v>
      </c>
      <c r="B28" s="1056"/>
      <c r="C28" s="1060"/>
      <c r="D28" s="1050"/>
      <c r="E28" s="87" t="s">
        <v>16</v>
      </c>
      <c r="F28" s="969" t="s">
        <v>60</v>
      </c>
      <c r="G28" s="88">
        <v>14</v>
      </c>
      <c r="H28" s="89">
        <v>9</v>
      </c>
      <c r="I28" s="90">
        <v>7.1428571428571425E-2</v>
      </c>
      <c r="J28" s="91">
        <f t="shared" si="3"/>
        <v>1</v>
      </c>
      <c r="K28" s="92">
        <v>7.1428571428571425E-2</v>
      </c>
      <c r="L28" s="91">
        <f t="shared" si="4"/>
        <v>1</v>
      </c>
      <c r="M28" s="92" t="s">
        <v>21</v>
      </c>
      <c r="N28" s="93" t="s">
        <v>21</v>
      </c>
      <c r="O28" s="94" t="s">
        <v>21</v>
      </c>
      <c r="P28" s="89" t="s">
        <v>21</v>
      </c>
      <c r="Q28" s="94" t="s">
        <v>21</v>
      </c>
      <c r="R28" s="89" t="s">
        <v>21</v>
      </c>
      <c r="S28" s="94"/>
      <c r="T28" s="89"/>
      <c r="U28" s="94"/>
      <c r="V28" s="95"/>
      <c r="W28" s="106"/>
      <c r="AB28" s="2" t="str">
        <f t="shared" si="0"/>
        <v>France</v>
      </c>
    </row>
    <row r="29" spans="1:28" ht="15" customHeight="1" x14ac:dyDescent="0.35">
      <c r="A29" s="108" t="str">
        <f t="shared" si="1"/>
        <v>X</v>
      </c>
      <c r="B29" s="1056"/>
      <c r="C29" s="1060"/>
      <c r="D29" s="1050"/>
      <c r="E29" s="87" t="s">
        <v>17</v>
      </c>
      <c r="F29" s="969" t="s">
        <v>60</v>
      </c>
      <c r="G29" s="88">
        <v>24</v>
      </c>
      <c r="H29" s="89">
        <v>16</v>
      </c>
      <c r="I29" s="90">
        <v>4.1666666666666664E-2</v>
      </c>
      <c r="J29" s="91">
        <f t="shared" si="3"/>
        <v>1</v>
      </c>
      <c r="K29" s="92">
        <v>0.20833333333333334</v>
      </c>
      <c r="L29" s="91">
        <f t="shared" si="4"/>
        <v>5</v>
      </c>
      <c r="M29" s="92" t="s">
        <v>21</v>
      </c>
      <c r="N29" s="93" t="s">
        <v>21</v>
      </c>
      <c r="O29" s="94" t="s">
        <v>21</v>
      </c>
      <c r="P29" s="89" t="s">
        <v>21</v>
      </c>
      <c r="Q29" s="94" t="s">
        <v>21</v>
      </c>
      <c r="R29" s="89" t="s">
        <v>21</v>
      </c>
      <c r="S29" s="94"/>
      <c r="T29" s="89"/>
      <c r="U29" s="94"/>
      <c r="V29" s="95"/>
      <c r="W29" s="106"/>
      <c r="AB29" s="2" t="str">
        <f t="shared" si="0"/>
        <v>France</v>
      </c>
    </row>
    <row r="30" spans="1:28" ht="15" customHeight="1" x14ac:dyDescent="0.35">
      <c r="A30" s="108" t="str">
        <f t="shared" si="1"/>
        <v>X</v>
      </c>
      <c r="B30" s="1056"/>
      <c r="C30" s="1060"/>
      <c r="D30" s="1050"/>
      <c r="E30" s="87" t="s">
        <v>18</v>
      </c>
      <c r="F30" s="969" t="s">
        <v>60</v>
      </c>
      <c r="G30" s="88">
        <v>29</v>
      </c>
      <c r="H30" s="89">
        <v>21</v>
      </c>
      <c r="I30" s="90">
        <v>0</v>
      </c>
      <c r="J30" s="91">
        <f t="shared" si="3"/>
        <v>0</v>
      </c>
      <c r="K30" s="92">
        <v>0.41379310344827586</v>
      </c>
      <c r="L30" s="91">
        <f t="shared" si="4"/>
        <v>12</v>
      </c>
      <c r="M30" s="92" t="s">
        <v>21</v>
      </c>
      <c r="N30" s="93" t="s">
        <v>21</v>
      </c>
      <c r="O30" s="94" t="s">
        <v>21</v>
      </c>
      <c r="P30" s="89" t="s">
        <v>21</v>
      </c>
      <c r="Q30" s="94" t="s">
        <v>21</v>
      </c>
      <c r="R30" s="89" t="s">
        <v>21</v>
      </c>
      <c r="S30" s="94"/>
      <c r="T30" s="89"/>
      <c r="U30" s="94"/>
      <c r="V30" s="95"/>
      <c r="W30" s="106"/>
      <c r="AB30" s="2" t="str">
        <f t="shared" si="0"/>
        <v>France</v>
      </c>
    </row>
    <row r="31" spans="1:28" ht="15" customHeight="1" x14ac:dyDescent="0.35">
      <c r="A31" s="108" t="str">
        <f t="shared" si="1"/>
        <v>X</v>
      </c>
      <c r="B31" s="1056"/>
      <c r="C31" s="1060"/>
      <c r="D31" s="1050"/>
      <c r="E31" s="87" t="s">
        <v>19</v>
      </c>
      <c r="F31" s="969" t="s">
        <v>60</v>
      </c>
      <c r="G31" s="88">
        <v>27</v>
      </c>
      <c r="H31" s="89">
        <v>17</v>
      </c>
      <c r="I31" s="90">
        <v>0.25925925925925924</v>
      </c>
      <c r="J31" s="91">
        <f t="shared" si="3"/>
        <v>7</v>
      </c>
      <c r="K31" s="92">
        <v>0.48148148148148145</v>
      </c>
      <c r="L31" s="91">
        <f t="shared" si="4"/>
        <v>13</v>
      </c>
      <c r="M31" s="92" t="s">
        <v>21</v>
      </c>
      <c r="N31" s="93" t="s">
        <v>21</v>
      </c>
      <c r="O31" s="94" t="s">
        <v>21</v>
      </c>
      <c r="P31" s="89" t="s">
        <v>21</v>
      </c>
      <c r="Q31" s="94" t="s">
        <v>21</v>
      </c>
      <c r="R31" s="89" t="s">
        <v>21</v>
      </c>
      <c r="S31" s="94"/>
      <c r="T31" s="89"/>
      <c r="U31" s="94"/>
      <c r="V31" s="95"/>
      <c r="W31" s="106"/>
      <c r="AB31" s="2" t="str">
        <f t="shared" si="0"/>
        <v>France</v>
      </c>
    </row>
    <row r="32" spans="1:28" ht="15" customHeight="1" x14ac:dyDescent="0.35">
      <c r="A32" s="108" t="str">
        <f t="shared" si="1"/>
        <v>X</v>
      </c>
      <c r="B32" s="1056"/>
      <c r="C32" s="1060"/>
      <c r="D32" s="1050"/>
      <c r="E32" s="584" t="s">
        <v>173</v>
      </c>
      <c r="F32" s="969" t="s">
        <v>60</v>
      </c>
      <c r="G32" s="585"/>
      <c r="H32" s="586"/>
      <c r="I32" s="90">
        <v>0.25925925925925924</v>
      </c>
      <c r="J32" s="587"/>
      <c r="K32" s="92">
        <v>0.48148148148148145</v>
      </c>
      <c r="L32" s="587"/>
      <c r="M32" s="92" t="s">
        <v>21</v>
      </c>
      <c r="N32" s="588" t="s">
        <v>21</v>
      </c>
      <c r="O32" s="589" t="s">
        <v>21</v>
      </c>
      <c r="P32" s="586" t="s">
        <v>21</v>
      </c>
      <c r="Q32" s="589" t="s">
        <v>21</v>
      </c>
      <c r="R32" s="586" t="s">
        <v>21</v>
      </c>
      <c r="S32" s="589"/>
      <c r="T32" s="586"/>
      <c r="U32" s="589"/>
      <c r="V32" s="590"/>
      <c r="W32" s="106"/>
      <c r="AB32" s="2" t="str">
        <f t="shared" si="0"/>
        <v/>
      </c>
    </row>
    <row r="33" spans="1:28" ht="15" customHeight="1" x14ac:dyDescent="0.35">
      <c r="A33" s="108" t="str">
        <f t="shared" si="1"/>
        <v>X</v>
      </c>
      <c r="B33" s="1056"/>
      <c r="C33" s="1060"/>
      <c r="D33" s="1050"/>
      <c r="E33" s="584" t="s">
        <v>174</v>
      </c>
      <c r="F33" s="969" t="s">
        <v>60</v>
      </c>
      <c r="G33" s="585"/>
      <c r="H33" s="586"/>
      <c r="I33" s="90">
        <v>0.25925925925925924</v>
      </c>
      <c r="J33" s="587"/>
      <c r="K33" s="92">
        <v>0.48148148148148145</v>
      </c>
      <c r="L33" s="587"/>
      <c r="M33" s="92" t="s">
        <v>21</v>
      </c>
      <c r="N33" s="588" t="s">
        <v>21</v>
      </c>
      <c r="O33" s="589" t="s">
        <v>21</v>
      </c>
      <c r="P33" s="586" t="s">
        <v>21</v>
      </c>
      <c r="Q33" s="589" t="s">
        <v>21</v>
      </c>
      <c r="R33" s="586" t="s">
        <v>21</v>
      </c>
      <c r="S33" s="589"/>
      <c r="T33" s="586"/>
      <c r="U33" s="589"/>
      <c r="V33" s="590"/>
      <c r="W33" s="106"/>
      <c r="AB33" s="2" t="str">
        <f t="shared" si="0"/>
        <v/>
      </c>
    </row>
    <row r="34" spans="1:28" ht="15" customHeight="1" x14ac:dyDescent="0.35">
      <c r="A34" s="108" t="str">
        <f t="shared" si="1"/>
        <v>X</v>
      </c>
      <c r="B34" s="1056"/>
      <c r="C34" s="1060"/>
      <c r="D34" s="1050"/>
      <c r="E34" s="96" t="s">
        <v>5</v>
      </c>
      <c r="F34" s="970" t="s">
        <v>60</v>
      </c>
      <c r="G34" s="97">
        <v>4</v>
      </c>
      <c r="H34" s="98">
        <v>2</v>
      </c>
      <c r="I34" s="99">
        <v>0.5</v>
      </c>
      <c r="J34" s="100">
        <f t="shared" si="3"/>
        <v>2</v>
      </c>
      <c r="K34" s="101">
        <v>0</v>
      </c>
      <c r="L34" s="100">
        <f t="shared" si="4"/>
        <v>0</v>
      </c>
      <c r="M34" s="101" t="s">
        <v>21</v>
      </c>
      <c r="N34" s="102" t="s">
        <v>21</v>
      </c>
      <c r="O34" s="103" t="s">
        <v>21</v>
      </c>
      <c r="P34" s="98" t="s">
        <v>21</v>
      </c>
      <c r="Q34" s="103" t="s">
        <v>21</v>
      </c>
      <c r="R34" s="98" t="s">
        <v>21</v>
      </c>
      <c r="S34" s="103"/>
      <c r="T34" s="98"/>
      <c r="U34" s="103"/>
      <c r="V34" s="104"/>
      <c r="W34" s="106"/>
      <c r="AB34" s="2" t="str">
        <f t="shared" si="0"/>
        <v>France</v>
      </c>
    </row>
    <row r="35" spans="1:28" ht="15.5" x14ac:dyDescent="0.35">
      <c r="A35" s="108" t="str">
        <f t="shared" si="1"/>
        <v>X</v>
      </c>
      <c r="B35" s="1057"/>
      <c r="C35" s="1061"/>
      <c r="D35" s="659" t="s">
        <v>138</v>
      </c>
      <c r="E35" s="238"/>
      <c r="F35" s="630"/>
      <c r="G35" s="245">
        <f>SUM(G24:G34)</f>
        <v>172</v>
      </c>
      <c r="H35" s="246">
        <f>SUM(H24:H34)</f>
        <v>111</v>
      </c>
      <c r="I35" s="247">
        <f>J35/G35</f>
        <v>0.2441860465116279</v>
      </c>
      <c r="J35" s="248">
        <f>SUM(J24:J34)</f>
        <v>42</v>
      </c>
      <c r="K35" s="249">
        <f>L35/G35</f>
        <v>0.30813953488372092</v>
      </c>
      <c r="L35" s="248">
        <f>SUM(L24:L34)</f>
        <v>53</v>
      </c>
      <c r="M35" s="249">
        <f>N35/L35</f>
        <v>0</v>
      </c>
      <c r="N35" s="250">
        <f>SUM(N24:N34)</f>
        <v>0</v>
      </c>
      <c r="O35" s="240">
        <f t="shared" ref="O35:R35" si="5">SUM(O24:O34)</f>
        <v>0</v>
      </c>
      <c r="P35" s="239">
        <f t="shared" si="5"/>
        <v>0</v>
      </c>
      <c r="Q35" s="240">
        <f t="shared" si="5"/>
        <v>0</v>
      </c>
      <c r="R35" s="239">
        <f t="shared" si="5"/>
        <v>0</v>
      </c>
      <c r="S35" s="240"/>
      <c r="T35" s="239"/>
      <c r="U35" s="240"/>
      <c r="V35" s="241"/>
      <c r="W35" s="106"/>
      <c r="AB35" s="2">
        <f t="shared" si="0"/>
        <v>0</v>
      </c>
    </row>
    <row r="36" spans="1:28" x14ac:dyDescent="0.35">
      <c r="A36" s="108" t="str">
        <f t="shared" si="1"/>
        <v>X</v>
      </c>
      <c r="B36" s="1055" t="s">
        <v>0</v>
      </c>
      <c r="C36" s="1059" t="s">
        <v>75</v>
      </c>
      <c r="D36" s="1051">
        <v>9</v>
      </c>
      <c r="E36" s="78" t="s">
        <v>10</v>
      </c>
      <c r="F36" s="968" t="s">
        <v>60</v>
      </c>
      <c r="G36" s="79">
        <v>37</v>
      </c>
      <c r="H36" s="80">
        <v>23</v>
      </c>
      <c r="I36" s="81">
        <v>0.38</v>
      </c>
      <c r="J36" s="82">
        <f t="shared" si="3"/>
        <v>14.06</v>
      </c>
      <c r="K36" s="83">
        <v>0.16</v>
      </c>
      <c r="L36" s="82">
        <f t="shared" si="4"/>
        <v>5.92</v>
      </c>
      <c r="M36" s="83">
        <v>1</v>
      </c>
      <c r="N36" s="84">
        <f t="shared" ref="N36:N37" si="6">IF(M36="-","-",M36*L36)</f>
        <v>5.92</v>
      </c>
      <c r="O36" s="85"/>
      <c r="P36" s="80"/>
      <c r="Q36" s="85"/>
      <c r="R36" s="80"/>
      <c r="S36" s="85"/>
      <c r="T36" s="80"/>
      <c r="U36" s="85"/>
      <c r="V36" s="86"/>
      <c r="W36" s="106"/>
      <c r="AB36" s="2" t="str">
        <f t="shared" si="0"/>
        <v>France</v>
      </c>
    </row>
    <row r="37" spans="1:28" x14ac:dyDescent="0.35">
      <c r="A37" s="108" t="str">
        <f t="shared" si="1"/>
        <v>X</v>
      </c>
      <c r="B37" s="1056"/>
      <c r="C37" s="1060"/>
      <c r="D37" s="1052"/>
      <c r="E37" s="87" t="s">
        <v>11</v>
      </c>
      <c r="F37" s="969" t="s">
        <v>60</v>
      </c>
      <c r="G37" s="88">
        <v>33</v>
      </c>
      <c r="H37" s="89">
        <v>15</v>
      </c>
      <c r="I37" s="90">
        <v>0.3</v>
      </c>
      <c r="J37" s="91">
        <f t="shared" si="3"/>
        <v>9.9</v>
      </c>
      <c r="K37" s="92">
        <v>0.09</v>
      </c>
      <c r="L37" s="91">
        <f t="shared" si="4"/>
        <v>2.9699999999999998</v>
      </c>
      <c r="M37" s="92">
        <v>1</v>
      </c>
      <c r="N37" s="93">
        <f t="shared" si="6"/>
        <v>2.9699999999999998</v>
      </c>
      <c r="O37" s="94"/>
      <c r="P37" s="89"/>
      <c r="Q37" s="94"/>
      <c r="R37" s="89"/>
      <c r="S37" s="94"/>
      <c r="T37" s="89"/>
      <c r="U37" s="94"/>
      <c r="V37" s="95"/>
      <c r="W37" s="106"/>
      <c r="AB37" s="2" t="str">
        <f t="shared" ref="AB37:AB69" si="7">IF(G37&gt;0,$F37,"")</f>
        <v>France</v>
      </c>
    </row>
    <row r="38" spans="1:28" x14ac:dyDescent="0.35">
      <c r="A38" s="108" t="str">
        <f t="shared" si="1"/>
        <v>X</v>
      </c>
      <c r="B38" s="1056"/>
      <c r="C38" s="1060"/>
      <c r="D38" s="1052"/>
      <c r="E38" s="87" t="s">
        <v>12</v>
      </c>
      <c r="F38" s="969" t="s">
        <v>60</v>
      </c>
      <c r="G38" s="88">
        <v>6</v>
      </c>
      <c r="H38" s="89">
        <v>5</v>
      </c>
      <c r="I38" s="90">
        <v>0</v>
      </c>
      <c r="J38" s="91">
        <f t="shared" ref="J38" si="8">I38*G38</f>
        <v>0</v>
      </c>
      <c r="K38" s="92">
        <v>0</v>
      </c>
      <c r="L38" s="91">
        <f t="shared" ref="L38" si="9">K38*G38</f>
        <v>0</v>
      </c>
      <c r="M38" s="92">
        <v>0</v>
      </c>
      <c r="N38" s="93">
        <f>IF(M38="-","-",M38*L38)</f>
        <v>0</v>
      </c>
      <c r="O38" s="94"/>
      <c r="P38" s="89"/>
      <c r="Q38" s="94"/>
      <c r="R38" s="89"/>
      <c r="S38" s="94"/>
      <c r="T38" s="89"/>
      <c r="U38" s="94"/>
      <c r="V38" s="95"/>
      <c r="W38" s="106"/>
      <c r="AB38" s="2" t="str">
        <f t="shared" si="7"/>
        <v>France</v>
      </c>
    </row>
    <row r="39" spans="1:28" x14ac:dyDescent="0.35">
      <c r="A39" s="108" t="str">
        <f t="shared" si="1"/>
        <v>X</v>
      </c>
      <c r="B39" s="1056"/>
      <c r="C39" s="1060"/>
      <c r="D39" s="1052"/>
      <c r="E39" s="87" t="s">
        <v>7</v>
      </c>
      <c r="F39" s="969" t="s">
        <v>60</v>
      </c>
      <c r="G39" s="88">
        <v>25</v>
      </c>
      <c r="H39" s="89">
        <v>15</v>
      </c>
      <c r="I39" s="90">
        <v>0.28000000000000003</v>
      </c>
      <c r="J39" s="91">
        <f t="shared" si="3"/>
        <v>7.0000000000000009</v>
      </c>
      <c r="K39" s="92">
        <v>0.16</v>
      </c>
      <c r="L39" s="91">
        <f t="shared" si="4"/>
        <v>4</v>
      </c>
      <c r="M39" s="92">
        <v>0.25</v>
      </c>
      <c r="N39" s="93">
        <f t="shared" ref="N39:N46" si="10">IF(M39="-","-",M39*L39)</f>
        <v>1</v>
      </c>
      <c r="O39" s="94"/>
      <c r="P39" s="89"/>
      <c r="Q39" s="94"/>
      <c r="R39" s="89"/>
      <c r="S39" s="94"/>
      <c r="T39" s="89"/>
      <c r="U39" s="94"/>
      <c r="V39" s="95"/>
      <c r="W39" s="106"/>
      <c r="AB39" s="2" t="str">
        <f t="shared" si="7"/>
        <v>France</v>
      </c>
    </row>
    <row r="40" spans="1:28" x14ac:dyDescent="0.35">
      <c r="A40" s="108" t="str">
        <f t="shared" si="1"/>
        <v>X</v>
      </c>
      <c r="B40" s="1056"/>
      <c r="C40" s="1060"/>
      <c r="D40" s="1052"/>
      <c r="E40" s="87" t="s">
        <v>132</v>
      </c>
      <c r="F40" s="969" t="s">
        <v>60</v>
      </c>
      <c r="G40" s="88">
        <v>15</v>
      </c>
      <c r="H40" s="89">
        <v>9</v>
      </c>
      <c r="I40" s="90">
        <v>0.13</v>
      </c>
      <c r="J40" s="91">
        <f t="shared" si="3"/>
        <v>1.9500000000000002</v>
      </c>
      <c r="K40" s="92">
        <v>7.0000000000000007E-2</v>
      </c>
      <c r="L40" s="91">
        <f t="shared" si="4"/>
        <v>1.05</v>
      </c>
      <c r="M40" s="92">
        <v>0</v>
      </c>
      <c r="N40" s="93">
        <f t="shared" si="10"/>
        <v>0</v>
      </c>
      <c r="O40" s="94"/>
      <c r="P40" s="89"/>
      <c r="Q40" s="94"/>
      <c r="R40" s="89"/>
      <c r="S40" s="94"/>
      <c r="T40" s="89"/>
      <c r="U40" s="94"/>
      <c r="V40" s="95"/>
      <c r="W40" s="106"/>
      <c r="AB40" s="2" t="str">
        <f t="shared" si="7"/>
        <v>France</v>
      </c>
    </row>
    <row r="41" spans="1:28" x14ac:dyDescent="0.35">
      <c r="A41" s="108" t="str">
        <f t="shared" si="1"/>
        <v>X</v>
      </c>
      <c r="B41" s="1056"/>
      <c r="C41" s="1060"/>
      <c r="D41" s="1052"/>
      <c r="E41" s="87" t="s">
        <v>8</v>
      </c>
      <c r="F41" s="969" t="s">
        <v>60</v>
      </c>
      <c r="G41" s="88">
        <v>16</v>
      </c>
      <c r="H41" s="89">
        <v>14</v>
      </c>
      <c r="I41" s="90">
        <v>0.38</v>
      </c>
      <c r="J41" s="91">
        <f t="shared" si="3"/>
        <v>6.08</v>
      </c>
      <c r="K41" s="92">
        <v>0.13</v>
      </c>
      <c r="L41" s="91">
        <f t="shared" si="4"/>
        <v>2.08</v>
      </c>
      <c r="M41" s="92">
        <v>1</v>
      </c>
      <c r="N41" s="93">
        <f t="shared" si="10"/>
        <v>2.08</v>
      </c>
      <c r="O41" s="94"/>
      <c r="P41" s="89"/>
      <c r="Q41" s="94"/>
      <c r="R41" s="89"/>
      <c r="S41" s="94"/>
      <c r="T41" s="89"/>
      <c r="U41" s="94"/>
      <c r="V41" s="95"/>
      <c r="W41" s="106"/>
      <c r="AB41" s="2" t="str">
        <f t="shared" si="7"/>
        <v>France</v>
      </c>
    </row>
    <row r="42" spans="1:28" x14ac:dyDescent="0.35">
      <c r="A42" s="108" t="str">
        <f t="shared" si="1"/>
        <v>X</v>
      </c>
      <c r="B42" s="1056"/>
      <c r="C42" s="1060"/>
      <c r="D42" s="1052"/>
      <c r="E42" s="87" t="s">
        <v>6</v>
      </c>
      <c r="F42" s="969" t="s">
        <v>60</v>
      </c>
      <c r="G42" s="88">
        <v>7</v>
      </c>
      <c r="H42" s="89">
        <v>5</v>
      </c>
      <c r="I42" s="90">
        <v>0.14000000000000001</v>
      </c>
      <c r="J42" s="91">
        <f t="shared" si="3"/>
        <v>0.98000000000000009</v>
      </c>
      <c r="K42" s="92">
        <v>0</v>
      </c>
      <c r="L42" s="91">
        <f t="shared" si="4"/>
        <v>0</v>
      </c>
      <c r="M42" s="92">
        <v>0</v>
      </c>
      <c r="N42" s="93">
        <f t="shared" si="10"/>
        <v>0</v>
      </c>
      <c r="O42" s="94"/>
      <c r="P42" s="89"/>
      <c r="Q42" s="94"/>
      <c r="R42" s="89"/>
      <c r="S42" s="94"/>
      <c r="T42" s="89"/>
      <c r="U42" s="94"/>
      <c r="V42" s="95"/>
      <c r="W42" s="106"/>
      <c r="AB42" s="2" t="str">
        <f t="shared" si="7"/>
        <v>France</v>
      </c>
    </row>
    <row r="43" spans="1:28" ht="15" hidden="1" customHeight="1" x14ac:dyDescent="0.35">
      <c r="A43" s="108" t="str">
        <f t="shared" si="1"/>
        <v/>
      </c>
      <c r="B43" s="1056"/>
      <c r="C43" s="1060"/>
      <c r="D43" s="1053"/>
      <c r="E43" s="584"/>
      <c r="F43" s="969" t="s">
        <v>207</v>
      </c>
      <c r="G43" s="585"/>
      <c r="H43" s="586"/>
      <c r="I43" s="90">
        <v>0.14000000000000001</v>
      </c>
      <c r="J43" s="587"/>
      <c r="K43" s="92">
        <v>0</v>
      </c>
      <c r="L43" s="587"/>
      <c r="M43" s="92">
        <v>0</v>
      </c>
      <c r="N43" s="588"/>
      <c r="O43" s="589"/>
      <c r="P43" s="586"/>
      <c r="Q43" s="589"/>
      <c r="R43" s="586"/>
      <c r="S43" s="589"/>
      <c r="T43" s="586"/>
      <c r="U43" s="589"/>
      <c r="V43" s="590"/>
      <c r="W43" s="106"/>
      <c r="AB43" s="2" t="str">
        <f t="shared" si="7"/>
        <v/>
      </c>
    </row>
    <row r="44" spans="1:28" ht="15" hidden="1" customHeight="1" x14ac:dyDescent="0.35">
      <c r="A44" s="108" t="str">
        <f t="shared" si="1"/>
        <v/>
      </c>
      <c r="B44" s="1056"/>
      <c r="C44" s="1060"/>
      <c r="D44" s="1053"/>
      <c r="E44" s="584"/>
      <c r="F44" s="969" t="s">
        <v>207</v>
      </c>
      <c r="G44" s="585"/>
      <c r="H44" s="586"/>
      <c r="I44" s="90">
        <v>0.14000000000000001</v>
      </c>
      <c r="J44" s="587"/>
      <c r="K44" s="92">
        <v>0</v>
      </c>
      <c r="L44" s="587"/>
      <c r="M44" s="92">
        <v>0</v>
      </c>
      <c r="N44" s="588"/>
      <c r="O44" s="589"/>
      <c r="P44" s="586"/>
      <c r="Q44" s="589"/>
      <c r="R44" s="586"/>
      <c r="S44" s="589"/>
      <c r="T44" s="586"/>
      <c r="U44" s="589"/>
      <c r="V44" s="590"/>
      <c r="W44" s="106"/>
      <c r="AB44" s="2" t="str">
        <f t="shared" si="7"/>
        <v/>
      </c>
    </row>
    <row r="45" spans="1:28" x14ac:dyDescent="0.35">
      <c r="A45" s="108" t="str">
        <f t="shared" si="1"/>
        <v>X</v>
      </c>
      <c r="B45" s="1056"/>
      <c r="C45" s="1060"/>
      <c r="D45" s="1053"/>
      <c r="E45" s="584" t="s">
        <v>202</v>
      </c>
      <c r="F45" s="969" t="s">
        <v>60</v>
      </c>
      <c r="G45" s="585"/>
      <c r="H45" s="586"/>
      <c r="I45" s="90">
        <v>0.14000000000000001</v>
      </c>
      <c r="J45" s="587"/>
      <c r="K45" s="92">
        <v>0</v>
      </c>
      <c r="L45" s="587"/>
      <c r="M45" s="92">
        <v>0</v>
      </c>
      <c r="N45" s="588"/>
      <c r="O45" s="589"/>
      <c r="P45" s="586"/>
      <c r="Q45" s="589"/>
      <c r="R45" s="586"/>
      <c r="S45" s="589"/>
      <c r="T45" s="586"/>
      <c r="U45" s="589"/>
      <c r="V45" s="590"/>
      <c r="W45" s="106"/>
      <c r="AB45" s="2" t="str">
        <f t="shared" si="7"/>
        <v/>
      </c>
    </row>
    <row r="46" spans="1:28" x14ac:dyDescent="0.35">
      <c r="A46" s="108" t="str">
        <f t="shared" si="1"/>
        <v>X</v>
      </c>
      <c r="B46" s="1056"/>
      <c r="C46" s="1060"/>
      <c r="D46" s="1054"/>
      <c r="E46" s="96" t="s">
        <v>9</v>
      </c>
      <c r="F46" s="970" t="s">
        <v>60</v>
      </c>
      <c r="G46" s="97">
        <v>20</v>
      </c>
      <c r="H46" s="98">
        <v>9</v>
      </c>
      <c r="I46" s="99">
        <v>0.25</v>
      </c>
      <c r="J46" s="100">
        <f t="shared" si="3"/>
        <v>5</v>
      </c>
      <c r="K46" s="101">
        <v>0.15</v>
      </c>
      <c r="L46" s="100">
        <f t="shared" si="4"/>
        <v>3</v>
      </c>
      <c r="M46" s="101">
        <v>0.33</v>
      </c>
      <c r="N46" s="102">
        <f t="shared" si="10"/>
        <v>0.99</v>
      </c>
      <c r="O46" s="103"/>
      <c r="P46" s="98"/>
      <c r="Q46" s="103"/>
      <c r="R46" s="98"/>
      <c r="S46" s="103"/>
      <c r="T46" s="98"/>
      <c r="U46" s="103"/>
      <c r="V46" s="104"/>
      <c r="W46" s="106"/>
      <c r="AB46" s="2" t="str">
        <f t="shared" si="7"/>
        <v>France</v>
      </c>
    </row>
    <row r="47" spans="1:28" ht="16" thickBot="1" x14ac:dyDescent="0.4">
      <c r="A47" s="108" t="str">
        <f t="shared" si="1"/>
        <v>X</v>
      </c>
      <c r="B47" s="1058"/>
      <c r="C47" s="1062"/>
      <c r="D47" s="658" t="s">
        <v>138</v>
      </c>
      <c r="E47" s="238"/>
      <c r="F47" s="971"/>
      <c r="G47" s="272">
        <f>SUM(G36:G46)</f>
        <v>159</v>
      </c>
      <c r="H47" s="273">
        <f t="shared" ref="H47" si="11">SUM(H36:H46)</f>
        <v>95</v>
      </c>
      <c r="I47" s="274">
        <f>J47/G47</f>
        <v>0.28283018867924525</v>
      </c>
      <c r="J47" s="275">
        <f t="shared" ref="J47" si="12">SUM(J36:J46)</f>
        <v>44.97</v>
      </c>
      <c r="K47" s="276">
        <f>L47/G47</f>
        <v>0.11962264150943398</v>
      </c>
      <c r="L47" s="275">
        <f t="shared" ref="L47" si="13">SUM(L36:L46)</f>
        <v>19.020000000000003</v>
      </c>
      <c r="M47" s="276">
        <f>N47/L47</f>
        <v>0.68138801261829651</v>
      </c>
      <c r="N47" s="277">
        <f t="shared" ref="N47:R47" si="14">SUM(N36:N46)</f>
        <v>12.96</v>
      </c>
      <c r="O47" s="278">
        <f t="shared" si="14"/>
        <v>0</v>
      </c>
      <c r="P47" s="273">
        <f t="shared" si="14"/>
        <v>0</v>
      </c>
      <c r="Q47" s="278">
        <f t="shared" si="14"/>
        <v>0</v>
      </c>
      <c r="R47" s="273">
        <f t="shared" si="14"/>
        <v>0</v>
      </c>
      <c r="S47" s="278"/>
      <c r="T47" s="273"/>
      <c r="U47" s="278"/>
      <c r="V47" s="279"/>
      <c r="W47" s="106"/>
      <c r="AB47" s="2">
        <f t="shared" si="7"/>
        <v>0</v>
      </c>
    </row>
    <row r="48" spans="1:28" s="53" customFormat="1" ht="27.75" customHeight="1" thickBot="1" x14ac:dyDescent="0.4">
      <c r="A48" s="108" t="str">
        <f t="shared" si="1"/>
        <v>X</v>
      </c>
      <c r="B48" s="490" t="s">
        <v>78</v>
      </c>
      <c r="C48" s="491"/>
      <c r="D48" s="491">
        <f>SUM(D5:D46)</f>
        <v>19</v>
      </c>
      <c r="E48" s="492">
        <f>COUNTIF(A5:A47,"X")</f>
        <v>41</v>
      </c>
      <c r="F48" s="972">
        <v>38</v>
      </c>
      <c r="G48" s="721">
        <f>G5+G6+G23+G35+G47</f>
        <v>394</v>
      </c>
      <c r="H48" s="722">
        <f>H5+H6+H23+H35+H47</f>
        <v>235</v>
      </c>
      <c r="I48" s="723">
        <f>J48/G48</f>
        <v>0.22581218274111675</v>
      </c>
      <c r="J48" s="724">
        <f>J5+J6+J23+J35+J47</f>
        <v>88.97</v>
      </c>
      <c r="K48" s="725">
        <f>L48/G48</f>
        <v>0.22593908629441628</v>
      </c>
      <c r="L48" s="724">
        <f>L5+L6+L23+L35+L47</f>
        <v>89.02000000000001</v>
      </c>
      <c r="M48" s="61">
        <f>N48/(L5+L36+L37+L39+L41+L46)</f>
        <v>0.42779525307406352</v>
      </c>
      <c r="N48" s="62">
        <f t="shared" ref="N48:R48" si="15">N5+N6+N23+N35+N47</f>
        <v>14.96</v>
      </c>
      <c r="O48" s="493">
        <f t="shared" si="15"/>
        <v>0</v>
      </c>
      <c r="P48" s="494">
        <f t="shared" si="15"/>
        <v>0</v>
      </c>
      <c r="Q48" s="493">
        <f t="shared" si="15"/>
        <v>0</v>
      </c>
      <c r="R48" s="494">
        <f t="shared" si="15"/>
        <v>0</v>
      </c>
      <c r="S48" s="714">
        <f t="shared" ref="S48" si="16">S5+S6+S23+S35+S47</f>
        <v>0</v>
      </c>
      <c r="T48" s="715">
        <f t="shared" ref="T48" si="17">T5+T6+T23+T35+T47</f>
        <v>0</v>
      </c>
      <c r="U48" s="714">
        <f t="shared" ref="U48" si="18">U5+U6+U23+U35+U47</f>
        <v>0</v>
      </c>
      <c r="V48" s="716">
        <f t="shared" ref="V48" si="19">V5+V6+V23+V35+V47</f>
        <v>0</v>
      </c>
      <c r="W48" s="107"/>
      <c r="AB48" s="2">
        <f t="shared" si="7"/>
        <v>38</v>
      </c>
    </row>
    <row r="49" spans="1:28" ht="15" customHeight="1" x14ac:dyDescent="0.35">
      <c r="A49" s="108" t="str">
        <f t="shared" si="1"/>
        <v>X</v>
      </c>
      <c r="B49" s="1020" t="s">
        <v>4</v>
      </c>
      <c r="C49" s="1023" t="s">
        <v>76</v>
      </c>
      <c r="D49" s="1063">
        <v>31</v>
      </c>
      <c r="E49" s="54" t="s">
        <v>25</v>
      </c>
      <c r="F49" s="973" t="s">
        <v>60</v>
      </c>
      <c r="G49" s="280">
        <v>603</v>
      </c>
      <c r="H49" s="281">
        <v>173</v>
      </c>
      <c r="I49" s="282">
        <v>0.43</v>
      </c>
      <c r="J49" s="283">
        <v>261</v>
      </c>
      <c r="K49" s="284">
        <v>0.38</v>
      </c>
      <c r="L49" s="283">
        <v>242</v>
      </c>
      <c r="M49" s="284" t="s">
        <v>21</v>
      </c>
      <c r="N49" s="285" t="str">
        <f t="shared" ref="N49:N90" si="20">IF(M49="-","-",M49*L49)</f>
        <v>-</v>
      </c>
      <c r="O49" s="286"/>
      <c r="P49" s="281"/>
      <c r="Q49" s="286"/>
      <c r="R49" s="281"/>
      <c r="S49" s="286"/>
      <c r="T49" s="281"/>
      <c r="U49" s="286"/>
      <c r="V49" s="287"/>
      <c r="W49" s="106"/>
      <c r="AB49" s="2" t="str">
        <f t="shared" si="7"/>
        <v>France</v>
      </c>
    </row>
    <row r="50" spans="1:28" ht="15" customHeight="1" x14ac:dyDescent="0.35">
      <c r="A50" s="108" t="str">
        <f t="shared" si="1"/>
        <v>X</v>
      </c>
      <c r="B50" s="1021"/>
      <c r="C50" s="1024"/>
      <c r="D50" s="1064"/>
      <c r="E50" s="55" t="s">
        <v>26</v>
      </c>
      <c r="F50" s="974" t="s">
        <v>60</v>
      </c>
      <c r="G50" s="13">
        <v>354</v>
      </c>
      <c r="H50" s="14">
        <v>103</v>
      </c>
      <c r="I50" s="15">
        <v>0.4</v>
      </c>
      <c r="J50" s="43">
        <v>142</v>
      </c>
      <c r="K50" s="16">
        <v>0.42</v>
      </c>
      <c r="L50" s="43">
        <v>161</v>
      </c>
      <c r="M50" s="16" t="s">
        <v>21</v>
      </c>
      <c r="N50" s="38" t="str">
        <f t="shared" si="20"/>
        <v>-</v>
      </c>
      <c r="O50" s="17"/>
      <c r="P50" s="14"/>
      <c r="Q50" s="17"/>
      <c r="R50" s="14"/>
      <c r="S50" s="17"/>
      <c r="T50" s="14"/>
      <c r="U50" s="17"/>
      <c r="V50" s="18"/>
      <c r="W50" s="106"/>
      <c r="AB50" s="2" t="str">
        <f t="shared" si="7"/>
        <v>France</v>
      </c>
    </row>
    <row r="51" spans="1:28" ht="15" customHeight="1" x14ac:dyDescent="0.35">
      <c r="A51" s="108" t="str">
        <f t="shared" si="1"/>
        <v>X</v>
      </c>
      <c r="B51" s="1021"/>
      <c r="C51" s="1024"/>
      <c r="D51" s="1064"/>
      <c r="E51" s="55" t="s">
        <v>58</v>
      </c>
      <c r="F51" s="974" t="s">
        <v>60</v>
      </c>
      <c r="G51" s="13">
        <v>222</v>
      </c>
      <c r="H51" s="14">
        <v>66</v>
      </c>
      <c r="I51" s="15">
        <v>0.36</v>
      </c>
      <c r="J51" s="43">
        <v>137</v>
      </c>
      <c r="K51" s="16">
        <v>0.38</v>
      </c>
      <c r="L51" s="43">
        <v>88</v>
      </c>
      <c r="M51" s="16" t="s">
        <v>21</v>
      </c>
      <c r="N51" s="38" t="str">
        <f t="shared" si="20"/>
        <v>-</v>
      </c>
      <c r="O51" s="17"/>
      <c r="P51" s="14"/>
      <c r="Q51" s="17"/>
      <c r="R51" s="14"/>
      <c r="S51" s="17"/>
      <c r="T51" s="14"/>
      <c r="U51" s="17"/>
      <c r="V51" s="18"/>
      <c r="W51" s="106"/>
      <c r="AB51" s="2" t="str">
        <f t="shared" si="7"/>
        <v>France</v>
      </c>
    </row>
    <row r="52" spans="1:28" ht="15" customHeight="1" x14ac:dyDescent="0.35">
      <c r="A52" s="108" t="str">
        <f t="shared" si="1"/>
        <v>X</v>
      </c>
      <c r="B52" s="1021"/>
      <c r="C52" s="1024"/>
      <c r="D52" s="1064"/>
      <c r="E52" s="57" t="s">
        <v>24</v>
      </c>
      <c r="F52" s="974" t="s">
        <v>62</v>
      </c>
      <c r="G52" s="13">
        <v>106</v>
      </c>
      <c r="H52" s="14">
        <v>35</v>
      </c>
      <c r="I52" s="15">
        <v>0.38</v>
      </c>
      <c r="J52" s="43">
        <v>39</v>
      </c>
      <c r="K52" s="16">
        <v>0.44</v>
      </c>
      <c r="L52" s="43">
        <v>48</v>
      </c>
      <c r="M52" s="16" t="s">
        <v>21</v>
      </c>
      <c r="N52" s="38" t="str">
        <f t="shared" si="20"/>
        <v>-</v>
      </c>
      <c r="O52" s="17"/>
      <c r="P52" s="14"/>
      <c r="Q52" s="17"/>
      <c r="R52" s="14"/>
      <c r="S52" s="17"/>
      <c r="T52" s="14"/>
      <c r="U52" s="17"/>
      <c r="V52" s="18"/>
      <c r="W52" s="106"/>
      <c r="AB52" s="2" t="str">
        <f t="shared" si="7"/>
        <v>Frontière</v>
      </c>
    </row>
    <row r="53" spans="1:28" ht="15" customHeight="1" x14ac:dyDescent="0.35">
      <c r="A53" s="108" t="str">
        <f t="shared" si="1"/>
        <v>X</v>
      </c>
      <c r="B53" s="1021"/>
      <c r="C53" s="1024"/>
      <c r="D53" s="1064"/>
      <c r="E53" s="55" t="s">
        <v>23</v>
      </c>
      <c r="F53" s="974" t="s">
        <v>60</v>
      </c>
      <c r="G53" s="13">
        <v>206</v>
      </c>
      <c r="H53" s="14">
        <v>70</v>
      </c>
      <c r="I53" s="15">
        <v>0.43</v>
      </c>
      <c r="J53" s="43">
        <v>87</v>
      </c>
      <c r="K53" s="16">
        <v>0.39</v>
      </c>
      <c r="L53" s="43">
        <v>83</v>
      </c>
      <c r="M53" s="16" t="s">
        <v>21</v>
      </c>
      <c r="N53" s="38" t="str">
        <f t="shared" si="20"/>
        <v>-</v>
      </c>
      <c r="O53" s="17"/>
      <c r="P53" s="14"/>
      <c r="Q53" s="17"/>
      <c r="R53" s="14"/>
      <c r="S53" s="17"/>
      <c r="T53" s="14"/>
      <c r="U53" s="17"/>
      <c r="V53" s="18"/>
      <c r="W53" s="106"/>
      <c r="X53" s="367"/>
      <c r="Y53" s="367"/>
      <c r="AB53" s="2" t="str">
        <f t="shared" si="7"/>
        <v>France</v>
      </c>
    </row>
    <row r="54" spans="1:28" ht="15" hidden="1" customHeight="1" x14ac:dyDescent="0.35">
      <c r="A54" s="108" t="str">
        <f t="shared" si="1"/>
        <v/>
      </c>
      <c r="B54" s="1021"/>
      <c r="C54" s="1024"/>
      <c r="D54" s="1064"/>
      <c r="E54" s="595"/>
      <c r="F54" s="974" t="s">
        <v>207</v>
      </c>
      <c r="G54" s="596"/>
      <c r="H54" s="597"/>
      <c r="I54" s="15">
        <v>0.43</v>
      </c>
      <c r="J54" s="598"/>
      <c r="K54" s="16">
        <v>0.39</v>
      </c>
      <c r="L54" s="598"/>
      <c r="M54" s="16" t="s">
        <v>21</v>
      </c>
      <c r="N54" s="599"/>
      <c r="O54" s="600"/>
      <c r="P54" s="597"/>
      <c r="Q54" s="600"/>
      <c r="R54" s="597"/>
      <c r="S54" s="600"/>
      <c r="T54" s="597"/>
      <c r="U54" s="600"/>
      <c r="V54" s="601"/>
      <c r="W54" s="106"/>
      <c r="X54" s="367"/>
      <c r="Y54" s="367"/>
      <c r="AB54" s="2" t="str">
        <f t="shared" si="7"/>
        <v/>
      </c>
    </row>
    <row r="55" spans="1:28" ht="15" hidden="1" customHeight="1" x14ac:dyDescent="0.35">
      <c r="A55" s="108" t="str">
        <f t="shared" si="1"/>
        <v/>
      </c>
      <c r="B55" s="1021"/>
      <c r="C55" s="1024"/>
      <c r="D55" s="1064"/>
      <c r="E55" s="595"/>
      <c r="F55" s="974" t="s">
        <v>207</v>
      </c>
      <c r="G55" s="596"/>
      <c r="H55" s="597"/>
      <c r="I55" s="15">
        <v>0.43</v>
      </c>
      <c r="J55" s="598"/>
      <c r="K55" s="16">
        <v>0.39</v>
      </c>
      <c r="L55" s="598"/>
      <c r="M55" s="16" t="s">
        <v>21</v>
      </c>
      <c r="N55" s="599"/>
      <c r="O55" s="600"/>
      <c r="P55" s="597"/>
      <c r="Q55" s="600"/>
      <c r="R55" s="597"/>
      <c r="S55" s="600"/>
      <c r="T55" s="597"/>
      <c r="U55" s="600"/>
      <c r="V55" s="601"/>
      <c r="W55" s="106"/>
      <c r="X55" s="367"/>
      <c r="Y55" s="367"/>
      <c r="AB55" s="2" t="str">
        <f t="shared" si="7"/>
        <v/>
      </c>
    </row>
    <row r="56" spans="1:28" ht="15" customHeight="1" x14ac:dyDescent="0.35">
      <c r="A56" s="108" t="str">
        <f t="shared" si="1"/>
        <v>X</v>
      </c>
      <c r="B56" s="1021"/>
      <c r="C56" s="1024"/>
      <c r="D56" s="1064"/>
      <c r="E56" s="56" t="s">
        <v>22</v>
      </c>
      <c r="F56" s="975" t="s">
        <v>62</v>
      </c>
      <c r="G56" s="19">
        <v>173</v>
      </c>
      <c r="H56" s="20">
        <v>62</v>
      </c>
      <c r="I56" s="21">
        <v>0.23</v>
      </c>
      <c r="J56" s="44">
        <v>39</v>
      </c>
      <c r="K56" s="22">
        <v>0.39</v>
      </c>
      <c r="L56" s="44">
        <v>75</v>
      </c>
      <c r="M56" s="22" t="s">
        <v>21</v>
      </c>
      <c r="N56" s="39" t="str">
        <f t="shared" si="20"/>
        <v>-</v>
      </c>
      <c r="O56" s="23"/>
      <c r="P56" s="20"/>
      <c r="Q56" s="23"/>
      <c r="R56" s="20"/>
      <c r="S56" s="23"/>
      <c r="T56" s="20"/>
      <c r="U56" s="23"/>
      <c r="V56" s="24"/>
      <c r="W56" s="106"/>
      <c r="X56" s="367"/>
      <c r="Y56" s="367"/>
      <c r="AB56" s="2" t="str">
        <f t="shared" si="7"/>
        <v>Frontière</v>
      </c>
    </row>
    <row r="57" spans="1:28" ht="15.5" x14ac:dyDescent="0.35">
      <c r="A57" s="108" t="str">
        <f t="shared" si="1"/>
        <v>X</v>
      </c>
      <c r="B57" s="1022"/>
      <c r="C57" s="1025"/>
      <c r="D57" s="652" t="s">
        <v>138</v>
      </c>
      <c r="E57" s="58"/>
      <c r="F57" s="59"/>
      <c r="G57" s="25">
        <f>SUM(G49:G56)</f>
        <v>1664</v>
      </c>
      <c r="H57" s="26">
        <f>SUM(H49:H56)</f>
        <v>509</v>
      </c>
      <c r="I57" s="27">
        <f>J57/G57</f>
        <v>0.42367788461538464</v>
      </c>
      <c r="J57" s="45">
        <f>SUM(J49:J56)</f>
        <v>705</v>
      </c>
      <c r="K57" s="28">
        <f>L57/G57</f>
        <v>0.41887019230769229</v>
      </c>
      <c r="L57" s="45">
        <f>SUM(L49:L56)</f>
        <v>697</v>
      </c>
      <c r="M57" s="28">
        <f>N57/L57</f>
        <v>0</v>
      </c>
      <c r="N57" s="40">
        <f>SUM(N49:N56)</f>
        <v>0</v>
      </c>
      <c r="O57" s="29"/>
      <c r="P57" s="26"/>
      <c r="Q57" s="29"/>
      <c r="R57" s="26"/>
      <c r="S57" s="29"/>
      <c r="T57" s="26"/>
      <c r="U57" s="29"/>
      <c r="V57" s="30"/>
      <c r="W57" s="106"/>
      <c r="X57" s="367"/>
      <c r="Y57" s="367"/>
      <c r="AB57" s="2">
        <f t="shared" si="7"/>
        <v>0</v>
      </c>
    </row>
    <row r="58" spans="1:28" x14ac:dyDescent="0.35">
      <c r="A58" s="108" t="str">
        <f t="shared" si="1"/>
        <v>X</v>
      </c>
      <c r="B58" s="1021" t="s">
        <v>171</v>
      </c>
      <c r="C58" s="1024" t="s">
        <v>76</v>
      </c>
      <c r="D58" s="1070"/>
      <c r="E58" s="410" t="s">
        <v>170</v>
      </c>
      <c r="F58" s="411" t="s">
        <v>62</v>
      </c>
      <c r="G58" s="412"/>
      <c r="H58" s="413"/>
      <c r="I58" s="414">
        <v>0.63636363636363635</v>
      </c>
      <c r="J58" s="415"/>
      <c r="K58" s="416">
        <v>0.24242424242424243</v>
      </c>
      <c r="L58" s="415"/>
      <c r="M58" s="416">
        <v>0.875</v>
      </c>
      <c r="N58" s="417"/>
      <c r="O58" s="418"/>
      <c r="P58" s="413"/>
      <c r="Q58" s="418"/>
      <c r="R58" s="413"/>
      <c r="S58" s="418"/>
      <c r="T58" s="413"/>
      <c r="U58" s="418"/>
      <c r="V58" s="419"/>
      <c r="W58" s="106"/>
      <c r="X58" s="367" t="s">
        <v>176</v>
      </c>
      <c r="Y58" s="367"/>
      <c r="AB58" s="2" t="str">
        <f t="shared" si="7"/>
        <v/>
      </c>
    </row>
    <row r="59" spans="1:28" x14ac:dyDescent="0.35">
      <c r="A59" s="108" t="str">
        <f t="shared" si="1"/>
        <v>X</v>
      </c>
      <c r="B59" s="1021"/>
      <c r="C59" s="1024"/>
      <c r="D59" s="1071"/>
      <c r="E59" s="420" t="s">
        <v>170</v>
      </c>
      <c r="F59" s="421" t="s">
        <v>62</v>
      </c>
      <c r="G59" s="422"/>
      <c r="H59" s="423"/>
      <c r="I59" s="424">
        <v>0.60227272727272729</v>
      </c>
      <c r="J59" s="425"/>
      <c r="K59" s="426">
        <v>0.36363636363636365</v>
      </c>
      <c r="L59" s="425"/>
      <c r="M59" s="426">
        <v>0.84375</v>
      </c>
      <c r="N59" s="427"/>
      <c r="O59" s="428"/>
      <c r="P59" s="423"/>
      <c r="Q59" s="428"/>
      <c r="R59" s="423"/>
      <c r="S59" s="428"/>
      <c r="T59" s="423"/>
      <c r="U59" s="428"/>
      <c r="V59" s="429"/>
      <c r="W59" s="106"/>
      <c r="X59" s="367" t="s">
        <v>178</v>
      </c>
      <c r="Y59" s="367"/>
      <c r="AB59" s="2" t="str">
        <f t="shared" si="7"/>
        <v/>
      </c>
    </row>
    <row r="60" spans="1:28" ht="15" customHeight="1" x14ac:dyDescent="0.35">
      <c r="A60" s="108" t="str">
        <f t="shared" si="1"/>
        <v>X</v>
      </c>
      <c r="B60" s="1021"/>
      <c r="C60" s="1024"/>
      <c r="D60" s="1071"/>
      <c r="E60" s="420" t="s">
        <v>170</v>
      </c>
      <c r="F60" s="421"/>
      <c r="G60" s="422"/>
      <c r="H60" s="423"/>
      <c r="I60" s="424">
        <v>0.6428571428571429</v>
      </c>
      <c r="J60" s="425"/>
      <c r="K60" s="426">
        <v>0.5</v>
      </c>
      <c r="L60" s="425"/>
      <c r="M60" s="426">
        <v>0.5714285714285714</v>
      </c>
      <c r="N60" s="427"/>
      <c r="O60" s="428"/>
      <c r="P60" s="423"/>
      <c r="Q60" s="428"/>
      <c r="R60" s="423"/>
      <c r="S60" s="428"/>
      <c r="T60" s="423"/>
      <c r="U60" s="428"/>
      <c r="V60" s="429"/>
      <c r="W60" s="106"/>
      <c r="X60" s="367"/>
      <c r="Y60" s="367"/>
      <c r="AB60" s="2" t="str">
        <f t="shared" si="7"/>
        <v/>
      </c>
    </row>
    <row r="61" spans="1:28" ht="15" customHeight="1" x14ac:dyDescent="0.35">
      <c r="A61" s="108" t="str">
        <f t="shared" si="1"/>
        <v>X</v>
      </c>
      <c r="B61" s="1021"/>
      <c r="C61" s="1024"/>
      <c r="D61" s="1071"/>
      <c r="E61" s="420" t="s">
        <v>170</v>
      </c>
      <c r="F61" s="421"/>
      <c r="G61" s="422"/>
      <c r="H61" s="423"/>
      <c r="I61" s="424">
        <v>0.65217391304347827</v>
      </c>
      <c r="J61" s="425"/>
      <c r="K61" s="426">
        <v>0.47826086956521741</v>
      </c>
      <c r="L61" s="425"/>
      <c r="M61" s="426">
        <v>0.72727272727272729</v>
      </c>
      <c r="N61" s="427"/>
      <c r="O61" s="428"/>
      <c r="P61" s="423"/>
      <c r="Q61" s="428"/>
      <c r="R61" s="423"/>
      <c r="S61" s="428"/>
      <c r="T61" s="423"/>
      <c r="U61" s="428"/>
      <c r="V61" s="429"/>
      <c r="W61" s="106"/>
      <c r="X61" s="367"/>
      <c r="Y61" s="367"/>
      <c r="AB61" s="2" t="str">
        <f t="shared" si="7"/>
        <v/>
      </c>
    </row>
    <row r="62" spans="1:28" ht="15" customHeight="1" x14ac:dyDescent="0.35">
      <c r="A62" s="108" t="str">
        <f t="shared" si="1"/>
        <v>X</v>
      </c>
      <c r="B62" s="1021"/>
      <c r="C62" s="1024"/>
      <c r="D62" s="1072"/>
      <c r="E62" s="616" t="s">
        <v>170</v>
      </c>
      <c r="F62" s="421" t="s">
        <v>207</v>
      </c>
      <c r="G62" s="617"/>
      <c r="H62" s="618"/>
      <c r="I62" s="424">
        <v>0.65217391304347827</v>
      </c>
      <c r="J62" s="425"/>
      <c r="K62" s="426">
        <v>0.47826086956521741</v>
      </c>
      <c r="L62" s="425"/>
      <c r="M62" s="426">
        <v>0.72727272727272729</v>
      </c>
      <c r="N62" s="427"/>
      <c r="O62" s="621"/>
      <c r="P62" s="618"/>
      <c r="Q62" s="621"/>
      <c r="R62" s="618"/>
      <c r="S62" s="621"/>
      <c r="T62" s="618"/>
      <c r="U62" s="621"/>
      <c r="V62" s="622"/>
      <c r="W62" s="106"/>
      <c r="X62" s="367"/>
      <c r="Y62" s="367"/>
      <c r="AB62" s="2" t="str">
        <f t="shared" si="7"/>
        <v/>
      </c>
    </row>
    <row r="63" spans="1:28" ht="15" customHeight="1" x14ac:dyDescent="0.35">
      <c r="A63" s="108" t="str">
        <f t="shared" si="1"/>
        <v>X</v>
      </c>
      <c r="B63" s="1021"/>
      <c r="C63" s="1024"/>
      <c r="D63" s="1072"/>
      <c r="E63" s="616" t="s">
        <v>170</v>
      </c>
      <c r="F63" s="421" t="s">
        <v>207</v>
      </c>
      <c r="G63" s="617"/>
      <c r="H63" s="618"/>
      <c r="I63" s="424">
        <v>0.65217391304347827</v>
      </c>
      <c r="J63" s="425"/>
      <c r="K63" s="426">
        <v>0.47826086956521741</v>
      </c>
      <c r="L63" s="425"/>
      <c r="M63" s="426">
        <v>0.72727272727272729</v>
      </c>
      <c r="N63" s="427"/>
      <c r="O63" s="621"/>
      <c r="P63" s="618"/>
      <c r="Q63" s="621"/>
      <c r="R63" s="618"/>
      <c r="S63" s="621"/>
      <c r="T63" s="618"/>
      <c r="U63" s="621"/>
      <c r="V63" s="622"/>
      <c r="W63" s="106"/>
      <c r="X63" s="367"/>
      <c r="Y63" s="367"/>
      <c r="AB63" s="2" t="str">
        <f t="shared" si="7"/>
        <v/>
      </c>
    </row>
    <row r="64" spans="1:28" ht="15" customHeight="1" x14ac:dyDescent="0.35">
      <c r="A64" s="108" t="str">
        <f t="shared" si="1"/>
        <v>X</v>
      </c>
      <c r="B64" s="1021"/>
      <c r="C64" s="1024"/>
      <c r="D64" s="1073"/>
      <c r="E64" s="430" t="s">
        <v>170</v>
      </c>
      <c r="F64" s="431"/>
      <c r="G64" s="432"/>
      <c r="H64" s="433"/>
      <c r="I64" s="434">
        <v>0.5</v>
      </c>
      <c r="J64" s="435"/>
      <c r="K64" s="436">
        <v>0.47222222222222221</v>
      </c>
      <c r="L64" s="435"/>
      <c r="M64" s="436">
        <v>0.76470588235294112</v>
      </c>
      <c r="N64" s="437"/>
      <c r="O64" s="438"/>
      <c r="P64" s="433"/>
      <c r="Q64" s="438"/>
      <c r="R64" s="433"/>
      <c r="S64" s="438"/>
      <c r="T64" s="433"/>
      <c r="U64" s="438"/>
      <c r="V64" s="439"/>
      <c r="W64" s="106"/>
      <c r="X64" s="367"/>
      <c r="Y64" s="367"/>
      <c r="AB64" s="2" t="str">
        <f t="shared" si="7"/>
        <v/>
      </c>
    </row>
    <row r="65" spans="1:28" ht="15.5" x14ac:dyDescent="0.35">
      <c r="A65" s="108" t="str">
        <f t="shared" si="1"/>
        <v>X</v>
      </c>
      <c r="B65" s="1022"/>
      <c r="C65" s="1025"/>
      <c r="D65" s="652" t="s">
        <v>138</v>
      </c>
      <c r="E65" s="364"/>
      <c r="F65" s="365"/>
      <c r="G65" s="25">
        <f>SUM(G58:G64)</f>
        <v>0</v>
      </c>
      <c r="H65" s="26">
        <f>SUM(H58:H64)</f>
        <v>0</v>
      </c>
      <c r="I65" s="27" t="e">
        <f>J65/G65</f>
        <v>#DIV/0!</v>
      </c>
      <c r="J65" s="45">
        <f>SUM(J58:J64)</f>
        <v>0</v>
      </c>
      <c r="K65" s="28" t="e">
        <f>L65/G65</f>
        <v>#DIV/0!</v>
      </c>
      <c r="L65" s="45">
        <f>SUM(L58:L64)</f>
        <v>0</v>
      </c>
      <c r="M65" s="28" t="e">
        <f>N65/L65</f>
        <v>#DIV/0!</v>
      </c>
      <c r="N65" s="40">
        <f>SUM(N58:N64)</f>
        <v>0</v>
      </c>
      <c r="O65" s="29"/>
      <c r="P65" s="26"/>
      <c r="Q65" s="29"/>
      <c r="R65" s="26"/>
      <c r="S65" s="29">
        <f>SUM(S58:S64)</f>
        <v>0</v>
      </c>
      <c r="T65" s="26">
        <f>SUM(T58:T64)</f>
        <v>0</v>
      </c>
      <c r="U65" s="29">
        <f>SUM(U58:U64)</f>
        <v>0</v>
      </c>
      <c r="V65" s="30">
        <f>SUM(V58:V64)</f>
        <v>0</v>
      </c>
      <c r="W65" s="106"/>
      <c r="X65" s="367"/>
      <c r="Y65" s="367"/>
      <c r="AB65" s="2" t="str">
        <f t="shared" si="7"/>
        <v/>
      </c>
    </row>
    <row r="66" spans="1:28" x14ac:dyDescent="0.35">
      <c r="A66" s="108" t="str">
        <f t="shared" si="1"/>
        <v>X</v>
      </c>
      <c r="B66" s="1021" t="s">
        <v>1</v>
      </c>
      <c r="C66" s="1024" t="s">
        <v>76</v>
      </c>
      <c r="D66" s="1070">
        <v>12</v>
      </c>
      <c r="E66" s="410" t="s">
        <v>27</v>
      </c>
      <c r="F66" s="411" t="s">
        <v>62</v>
      </c>
      <c r="G66" s="412">
        <v>33</v>
      </c>
      <c r="H66" s="413">
        <v>33</v>
      </c>
      <c r="I66" s="414">
        <v>0.63636363636363635</v>
      </c>
      <c r="J66" s="415">
        <f t="shared" si="3"/>
        <v>21</v>
      </c>
      <c r="K66" s="416">
        <v>0.24242424242424243</v>
      </c>
      <c r="L66" s="415">
        <f t="shared" si="4"/>
        <v>8</v>
      </c>
      <c r="M66" s="416">
        <v>0.875</v>
      </c>
      <c r="N66" s="417">
        <f t="shared" si="20"/>
        <v>7</v>
      </c>
      <c r="O66" s="418"/>
      <c r="P66" s="413"/>
      <c r="Q66" s="418"/>
      <c r="R66" s="413"/>
      <c r="S66" s="418">
        <v>33</v>
      </c>
      <c r="T66" s="413">
        <v>33</v>
      </c>
      <c r="U66" s="418">
        <v>0</v>
      </c>
      <c r="V66" s="419">
        <v>0</v>
      </c>
      <c r="W66" s="106"/>
      <c r="X66" s="367"/>
      <c r="Y66" s="367"/>
      <c r="AB66" s="2" t="str">
        <f t="shared" si="7"/>
        <v>Frontière</v>
      </c>
    </row>
    <row r="67" spans="1:28" x14ac:dyDescent="0.35">
      <c r="A67" s="108" t="str">
        <f t="shared" si="1"/>
        <v>X</v>
      </c>
      <c r="B67" s="1021"/>
      <c r="C67" s="1024"/>
      <c r="D67" s="1071"/>
      <c r="E67" s="420" t="s">
        <v>28</v>
      </c>
      <c r="F67" s="421" t="s">
        <v>62</v>
      </c>
      <c r="G67" s="422">
        <v>88</v>
      </c>
      <c r="H67" s="423">
        <v>88</v>
      </c>
      <c r="I67" s="424">
        <v>0.60227272727272729</v>
      </c>
      <c r="J67" s="425">
        <f>I67*G67</f>
        <v>53</v>
      </c>
      <c r="K67" s="426">
        <v>0.36363636363636365</v>
      </c>
      <c r="L67" s="425">
        <f>K67*G67</f>
        <v>32</v>
      </c>
      <c r="M67" s="426">
        <v>0.84375</v>
      </c>
      <c r="N67" s="427">
        <f>IF(M67="-","-",M67*L67)</f>
        <v>27</v>
      </c>
      <c r="O67" s="428"/>
      <c r="P67" s="423"/>
      <c r="Q67" s="428"/>
      <c r="R67" s="423"/>
      <c r="S67" s="428">
        <v>78</v>
      </c>
      <c r="T67" s="423">
        <v>78</v>
      </c>
      <c r="U67" s="428">
        <v>10</v>
      </c>
      <c r="V67" s="429">
        <v>10</v>
      </c>
      <c r="W67" s="106"/>
      <c r="X67" s="367"/>
      <c r="Y67" s="367"/>
      <c r="AB67" s="2" t="str">
        <f t="shared" si="7"/>
        <v>Frontière</v>
      </c>
    </row>
    <row r="68" spans="1:28" x14ac:dyDescent="0.35">
      <c r="A68" s="108" t="str">
        <f t="shared" si="1"/>
        <v>X</v>
      </c>
      <c r="B68" s="1021"/>
      <c r="C68" s="1024"/>
      <c r="D68" s="1071"/>
      <c r="E68" s="420" t="s">
        <v>29</v>
      </c>
      <c r="F68" s="421" t="s">
        <v>62</v>
      </c>
      <c r="G68" s="422">
        <v>14</v>
      </c>
      <c r="H68" s="423">
        <v>14</v>
      </c>
      <c r="I68" s="424">
        <v>0.6428571428571429</v>
      </c>
      <c r="J68" s="425">
        <f t="shared" si="3"/>
        <v>9</v>
      </c>
      <c r="K68" s="426">
        <v>0.5</v>
      </c>
      <c r="L68" s="425">
        <f t="shared" si="4"/>
        <v>7</v>
      </c>
      <c r="M68" s="426">
        <v>0.5714285714285714</v>
      </c>
      <c r="N68" s="427">
        <f t="shared" si="20"/>
        <v>4</v>
      </c>
      <c r="O68" s="428"/>
      <c r="P68" s="423"/>
      <c r="Q68" s="428"/>
      <c r="R68" s="423"/>
      <c r="S68" s="428">
        <v>14</v>
      </c>
      <c r="T68" s="423">
        <v>14</v>
      </c>
      <c r="U68" s="428">
        <v>0</v>
      </c>
      <c r="V68" s="429">
        <v>0</v>
      </c>
      <c r="W68" s="106"/>
      <c r="X68" s="367"/>
      <c r="Y68" s="367"/>
      <c r="AB68" s="2" t="str">
        <f t="shared" si="7"/>
        <v>Frontière</v>
      </c>
    </row>
    <row r="69" spans="1:28" x14ac:dyDescent="0.35">
      <c r="A69" s="108" t="str">
        <f t="shared" si="1"/>
        <v>X</v>
      </c>
      <c r="B69" s="1021"/>
      <c r="C69" s="1024"/>
      <c r="D69" s="1071"/>
      <c r="E69" s="420" t="s">
        <v>30</v>
      </c>
      <c r="F69" s="421" t="s">
        <v>62</v>
      </c>
      <c r="G69" s="422">
        <v>23</v>
      </c>
      <c r="H69" s="423">
        <v>23</v>
      </c>
      <c r="I69" s="424">
        <v>0.65217391304347827</v>
      </c>
      <c r="J69" s="425">
        <f t="shared" si="3"/>
        <v>15</v>
      </c>
      <c r="K69" s="426">
        <v>0.47826086956521741</v>
      </c>
      <c r="L69" s="425">
        <f t="shared" si="4"/>
        <v>11</v>
      </c>
      <c r="M69" s="426">
        <v>0.72727272727272729</v>
      </c>
      <c r="N69" s="427">
        <f t="shared" si="20"/>
        <v>8</v>
      </c>
      <c r="O69" s="428"/>
      <c r="P69" s="423"/>
      <c r="Q69" s="428"/>
      <c r="R69" s="423"/>
      <c r="S69" s="428">
        <v>20</v>
      </c>
      <c r="T69" s="423">
        <v>20</v>
      </c>
      <c r="U69" s="428">
        <v>3</v>
      </c>
      <c r="V69" s="429">
        <v>3</v>
      </c>
      <c r="W69" s="106"/>
      <c r="X69" s="367"/>
      <c r="Y69" s="367"/>
      <c r="AB69" s="2" t="str">
        <f t="shared" si="7"/>
        <v>Frontière</v>
      </c>
    </row>
    <row r="70" spans="1:28" ht="15" hidden="1" customHeight="1" x14ac:dyDescent="0.35">
      <c r="A70" s="108" t="str">
        <f t="shared" ref="A70:A124" si="21">IF(D70="Sous-total","X",IF(E70="","","X"))</f>
        <v/>
      </c>
      <c r="B70" s="1021"/>
      <c r="C70" s="1024"/>
      <c r="D70" s="1072"/>
      <c r="E70" s="616"/>
      <c r="F70" s="421" t="s">
        <v>62</v>
      </c>
      <c r="G70" s="617"/>
      <c r="H70" s="618"/>
      <c r="I70" s="424">
        <v>0.65217391304347827</v>
      </c>
      <c r="J70" s="619"/>
      <c r="K70" s="426">
        <v>0.47826086956521741</v>
      </c>
      <c r="L70" s="619"/>
      <c r="M70" s="426">
        <v>0.72727272727272729</v>
      </c>
      <c r="N70" s="620"/>
      <c r="O70" s="621"/>
      <c r="P70" s="618"/>
      <c r="Q70" s="621"/>
      <c r="R70" s="618"/>
      <c r="S70" s="621"/>
      <c r="T70" s="618"/>
      <c r="U70" s="621"/>
      <c r="V70" s="622"/>
      <c r="W70" s="106"/>
      <c r="X70" s="367"/>
      <c r="Y70" s="367"/>
      <c r="AB70" s="2" t="str">
        <f t="shared" ref="AB70:AB125" si="22">IF(G70&gt;0,$F70,"")</f>
        <v/>
      </c>
    </row>
    <row r="71" spans="1:28" ht="15" hidden="1" customHeight="1" x14ac:dyDescent="0.35">
      <c r="A71" s="108" t="str">
        <f t="shared" si="21"/>
        <v/>
      </c>
      <c r="B71" s="1021"/>
      <c r="C71" s="1024"/>
      <c r="D71" s="1072"/>
      <c r="E71" s="616"/>
      <c r="F71" s="421" t="s">
        <v>207</v>
      </c>
      <c r="G71" s="617"/>
      <c r="H71" s="618"/>
      <c r="I71" s="424">
        <v>0.65217391304347827</v>
      </c>
      <c r="J71" s="619"/>
      <c r="K71" s="426">
        <v>0.47826086956521741</v>
      </c>
      <c r="L71" s="619"/>
      <c r="M71" s="426">
        <v>0.72727272727272729</v>
      </c>
      <c r="N71" s="620"/>
      <c r="O71" s="621"/>
      <c r="P71" s="618"/>
      <c r="Q71" s="621"/>
      <c r="R71" s="618"/>
      <c r="S71" s="621"/>
      <c r="T71" s="618"/>
      <c r="U71" s="621"/>
      <c r="V71" s="622"/>
      <c r="W71" s="106"/>
      <c r="X71" s="367"/>
      <c r="Y71" s="367"/>
      <c r="AB71" s="2" t="str">
        <f t="shared" si="22"/>
        <v/>
      </c>
    </row>
    <row r="72" spans="1:28" x14ac:dyDescent="0.35">
      <c r="A72" s="108" t="str">
        <f t="shared" si="21"/>
        <v>X</v>
      </c>
      <c r="B72" s="1021"/>
      <c r="C72" s="1024"/>
      <c r="D72" s="1073"/>
      <c r="E72" s="430" t="s">
        <v>31</v>
      </c>
      <c r="F72" s="431" t="s">
        <v>62</v>
      </c>
      <c r="G72" s="432">
        <v>36</v>
      </c>
      <c r="H72" s="433">
        <v>36</v>
      </c>
      <c r="I72" s="434">
        <v>0.5</v>
      </c>
      <c r="J72" s="435">
        <f t="shared" si="3"/>
        <v>18</v>
      </c>
      <c r="K72" s="436">
        <v>0.47222222222222221</v>
      </c>
      <c r="L72" s="435">
        <f t="shared" si="4"/>
        <v>17</v>
      </c>
      <c r="M72" s="436">
        <v>0.76470588235294112</v>
      </c>
      <c r="N72" s="437">
        <f t="shared" si="20"/>
        <v>13</v>
      </c>
      <c r="O72" s="438"/>
      <c r="P72" s="433"/>
      <c r="Q72" s="438"/>
      <c r="R72" s="433"/>
      <c r="S72" s="438">
        <v>36</v>
      </c>
      <c r="T72" s="433">
        <v>36</v>
      </c>
      <c r="U72" s="438">
        <v>0</v>
      </c>
      <c r="V72" s="439">
        <v>0</v>
      </c>
      <c r="W72" s="106"/>
      <c r="X72" s="367" t="s">
        <v>203</v>
      </c>
      <c r="Y72" s="367"/>
      <c r="AB72" s="2" t="str">
        <f t="shared" si="22"/>
        <v>Frontière</v>
      </c>
    </row>
    <row r="73" spans="1:28" ht="15.5" x14ac:dyDescent="0.35">
      <c r="A73" s="108" t="str">
        <f t="shared" si="21"/>
        <v>X</v>
      </c>
      <c r="B73" s="1022"/>
      <c r="C73" s="1025"/>
      <c r="D73" s="652" t="s">
        <v>138</v>
      </c>
      <c r="E73" s="364"/>
      <c r="F73" s="365"/>
      <c r="G73" s="25">
        <f>SUM(G66:G72)</f>
        <v>194</v>
      </c>
      <c r="H73" s="26">
        <f>SUM(H66:H72)</f>
        <v>194</v>
      </c>
      <c r="I73" s="27">
        <f>J73/G73</f>
        <v>0.59793814432989689</v>
      </c>
      <c r="J73" s="45">
        <f>SUM(J66:J72)</f>
        <v>116</v>
      </c>
      <c r="K73" s="28">
        <f>L73/G73</f>
        <v>0.38659793814432991</v>
      </c>
      <c r="L73" s="45">
        <f>SUM(L66:L72)</f>
        <v>75</v>
      </c>
      <c r="M73" s="28">
        <f>N73/L73</f>
        <v>0.78666666666666663</v>
      </c>
      <c r="N73" s="40">
        <f>SUM(N66:N72)</f>
        <v>59</v>
      </c>
      <c r="O73" s="29"/>
      <c r="P73" s="26"/>
      <c r="Q73" s="29"/>
      <c r="R73" s="26"/>
      <c r="S73" s="29">
        <f>SUM(S66:S72)</f>
        <v>181</v>
      </c>
      <c r="T73" s="26">
        <f>SUM(T66:T72)</f>
        <v>181</v>
      </c>
      <c r="U73" s="29">
        <f>SUM(U66:U72)</f>
        <v>13</v>
      </c>
      <c r="V73" s="30">
        <f>SUM(V66:V72)</f>
        <v>13</v>
      </c>
      <c r="W73" s="106"/>
      <c r="X73" s="367"/>
      <c r="Y73" s="367"/>
      <c r="AB73" s="2">
        <f t="shared" si="22"/>
        <v>0</v>
      </c>
    </row>
    <row r="74" spans="1:28" ht="15" customHeight="1" x14ac:dyDescent="0.35">
      <c r="A74" s="108" t="str">
        <f t="shared" si="21"/>
        <v>X</v>
      </c>
      <c r="B74" s="1029" t="s">
        <v>45</v>
      </c>
      <c r="C74" s="1026" t="s">
        <v>76</v>
      </c>
      <c r="D74" s="1026">
        <v>10</v>
      </c>
      <c r="E74" s="63" t="s">
        <v>32</v>
      </c>
      <c r="F74" s="976" t="s">
        <v>62</v>
      </c>
      <c r="G74" s="7">
        <v>59</v>
      </c>
      <c r="H74" s="8">
        <f>G74</f>
        <v>59</v>
      </c>
      <c r="I74" s="9">
        <v>0.51</v>
      </c>
      <c r="J74" s="42">
        <f t="shared" si="3"/>
        <v>30.09</v>
      </c>
      <c r="K74" s="10">
        <v>0.44</v>
      </c>
      <c r="L74" s="42">
        <f t="shared" si="4"/>
        <v>25.96</v>
      </c>
      <c r="M74" s="10">
        <v>0.62</v>
      </c>
      <c r="N74" s="37">
        <f t="shared" si="20"/>
        <v>16.095200000000002</v>
      </c>
      <c r="O74" s="11"/>
      <c r="P74" s="8"/>
      <c r="Q74" s="11"/>
      <c r="R74" s="8"/>
      <c r="S74" s="11"/>
      <c r="T74" s="8"/>
      <c r="U74" s="11"/>
      <c r="V74" s="12"/>
      <c r="W74" s="106"/>
      <c r="X74" s="367"/>
      <c r="Y74" s="367"/>
      <c r="AB74" s="2" t="str">
        <f t="shared" si="22"/>
        <v>Frontière</v>
      </c>
    </row>
    <row r="75" spans="1:28" ht="15" customHeight="1" x14ac:dyDescent="0.35">
      <c r="A75" s="108" t="str">
        <f t="shared" si="21"/>
        <v>X</v>
      </c>
      <c r="B75" s="1021"/>
      <c r="C75" s="1027"/>
      <c r="D75" s="1027"/>
      <c r="E75" s="64" t="s">
        <v>33</v>
      </c>
      <c r="F75" s="977" t="s">
        <v>62</v>
      </c>
      <c r="G75" s="13">
        <v>45</v>
      </c>
      <c r="H75" s="14">
        <f>G75</f>
        <v>45</v>
      </c>
      <c r="I75" s="15">
        <v>0.57999999999999996</v>
      </c>
      <c r="J75" s="43">
        <f t="shared" si="3"/>
        <v>26.099999999999998</v>
      </c>
      <c r="K75" s="16">
        <v>0.44</v>
      </c>
      <c r="L75" s="43">
        <f t="shared" si="4"/>
        <v>19.8</v>
      </c>
      <c r="M75" s="16">
        <v>0.65</v>
      </c>
      <c r="N75" s="38">
        <f t="shared" si="20"/>
        <v>12.870000000000001</v>
      </c>
      <c r="O75" s="17"/>
      <c r="P75" s="14"/>
      <c r="Q75" s="17"/>
      <c r="R75" s="14"/>
      <c r="S75" s="17"/>
      <c r="T75" s="14"/>
      <c r="U75" s="17"/>
      <c r="V75" s="18"/>
      <c r="W75" s="106"/>
      <c r="X75" s="367"/>
      <c r="Y75" s="367"/>
      <c r="AB75" s="2" t="str">
        <f t="shared" si="22"/>
        <v>Frontière</v>
      </c>
    </row>
    <row r="76" spans="1:28" ht="15" customHeight="1" x14ac:dyDescent="0.35">
      <c r="A76" s="108" t="str">
        <f t="shared" si="21"/>
        <v>X</v>
      </c>
      <c r="B76" s="1021"/>
      <c r="C76" s="1027"/>
      <c r="D76" s="1027"/>
      <c r="E76" s="64" t="s">
        <v>47</v>
      </c>
      <c r="F76" s="977" t="s">
        <v>62</v>
      </c>
      <c r="G76" s="13">
        <v>16</v>
      </c>
      <c r="H76" s="14">
        <f t="shared" ref="H76:H78" si="23">G76</f>
        <v>16</v>
      </c>
      <c r="I76" s="15">
        <v>0.44</v>
      </c>
      <c r="J76" s="43">
        <f t="shared" si="3"/>
        <v>7.04</v>
      </c>
      <c r="K76" s="16">
        <v>0.31</v>
      </c>
      <c r="L76" s="43">
        <f t="shared" si="4"/>
        <v>4.96</v>
      </c>
      <c r="M76" s="16">
        <v>0.4</v>
      </c>
      <c r="N76" s="38">
        <f t="shared" si="20"/>
        <v>1.984</v>
      </c>
      <c r="O76" s="17"/>
      <c r="P76" s="14"/>
      <c r="Q76" s="17"/>
      <c r="R76" s="14"/>
      <c r="S76" s="17"/>
      <c r="T76" s="14"/>
      <c r="U76" s="17"/>
      <c r="V76" s="18"/>
      <c r="W76" s="106"/>
      <c r="X76" s="367"/>
      <c r="Y76" s="367"/>
      <c r="AB76" s="2" t="str">
        <f t="shared" si="22"/>
        <v>Frontière</v>
      </c>
    </row>
    <row r="77" spans="1:28" ht="15" customHeight="1" x14ac:dyDescent="0.35">
      <c r="A77" s="108" t="str">
        <f t="shared" si="21"/>
        <v>X</v>
      </c>
      <c r="B77" s="1021"/>
      <c r="C77" s="1027"/>
      <c r="D77" s="1027"/>
      <c r="E77" s="64" t="s">
        <v>46</v>
      </c>
      <c r="F77" s="977" t="s">
        <v>62</v>
      </c>
      <c r="G77" s="13">
        <v>31</v>
      </c>
      <c r="H77" s="14">
        <f t="shared" si="23"/>
        <v>31</v>
      </c>
      <c r="I77" s="15">
        <v>0.28999999999999998</v>
      </c>
      <c r="J77" s="43">
        <f t="shared" si="3"/>
        <v>8.99</v>
      </c>
      <c r="K77" s="16">
        <v>0.32</v>
      </c>
      <c r="L77" s="43">
        <f t="shared" si="4"/>
        <v>9.92</v>
      </c>
      <c r="M77" s="16">
        <v>0.3</v>
      </c>
      <c r="N77" s="38">
        <f t="shared" si="20"/>
        <v>2.976</v>
      </c>
      <c r="O77" s="17"/>
      <c r="P77" s="14"/>
      <c r="Q77" s="17"/>
      <c r="R77" s="14"/>
      <c r="S77" s="17"/>
      <c r="T77" s="14"/>
      <c r="U77" s="17"/>
      <c r="V77" s="18"/>
      <c r="W77" s="106"/>
      <c r="X77" s="367"/>
      <c r="Y77" s="367"/>
      <c r="AB77" s="2" t="str">
        <f t="shared" si="22"/>
        <v>Frontière</v>
      </c>
    </row>
    <row r="78" spans="1:28" ht="15" customHeight="1" x14ac:dyDescent="0.35">
      <c r="A78" s="108" t="str">
        <f t="shared" si="21"/>
        <v>X</v>
      </c>
      <c r="B78" s="1021"/>
      <c r="C78" s="1027"/>
      <c r="D78" s="1027"/>
      <c r="E78" s="64" t="s">
        <v>35</v>
      </c>
      <c r="F78" s="977" t="s">
        <v>62</v>
      </c>
      <c r="G78" s="13">
        <v>3</v>
      </c>
      <c r="H78" s="14">
        <f t="shared" si="23"/>
        <v>3</v>
      </c>
      <c r="I78" s="15">
        <v>0</v>
      </c>
      <c r="J78" s="43">
        <f t="shared" si="3"/>
        <v>0</v>
      </c>
      <c r="K78" s="16">
        <v>0</v>
      </c>
      <c r="L78" s="43">
        <f t="shared" si="4"/>
        <v>0</v>
      </c>
      <c r="M78" s="16" t="s">
        <v>21</v>
      </c>
      <c r="N78" s="38" t="str">
        <f t="shared" si="20"/>
        <v>-</v>
      </c>
      <c r="O78" s="17"/>
      <c r="P78" s="14"/>
      <c r="Q78" s="17"/>
      <c r="R78" s="14"/>
      <c r="S78" s="17"/>
      <c r="T78" s="14"/>
      <c r="U78" s="17"/>
      <c r="V78" s="18"/>
      <c r="W78" s="106"/>
      <c r="X78" s="367"/>
      <c r="Y78" s="367"/>
      <c r="AB78" s="2" t="str">
        <f t="shared" si="22"/>
        <v>Frontière</v>
      </c>
    </row>
    <row r="79" spans="1:28" ht="15" customHeight="1" x14ac:dyDescent="0.35">
      <c r="A79" s="108" t="str">
        <f t="shared" si="21"/>
        <v>X</v>
      </c>
      <c r="B79" s="1021"/>
      <c r="C79" s="1027"/>
      <c r="D79" s="1027"/>
      <c r="E79" s="64" t="s">
        <v>34</v>
      </c>
      <c r="F79" s="977" t="s">
        <v>62</v>
      </c>
      <c r="G79" s="13">
        <v>13</v>
      </c>
      <c r="H79" s="14">
        <f>G79</f>
        <v>13</v>
      </c>
      <c r="I79" s="15">
        <v>0.23</v>
      </c>
      <c r="J79" s="43">
        <f t="shared" si="3"/>
        <v>2.99</v>
      </c>
      <c r="K79" s="16">
        <v>0.15</v>
      </c>
      <c r="L79" s="43">
        <f t="shared" si="4"/>
        <v>1.95</v>
      </c>
      <c r="M79" s="16">
        <v>0.5</v>
      </c>
      <c r="N79" s="38">
        <f t="shared" si="20"/>
        <v>0.97499999999999998</v>
      </c>
      <c r="O79" s="17"/>
      <c r="P79" s="14"/>
      <c r="Q79" s="17"/>
      <c r="R79" s="14"/>
      <c r="S79" s="17"/>
      <c r="T79" s="14"/>
      <c r="U79" s="17"/>
      <c r="V79" s="18"/>
      <c r="W79" s="106"/>
      <c r="X79" s="367"/>
      <c r="Y79" s="367"/>
      <c r="AB79" s="2" t="str">
        <f t="shared" si="22"/>
        <v>Frontière</v>
      </c>
    </row>
    <row r="80" spans="1:28" ht="15.75" customHeight="1" x14ac:dyDescent="0.35">
      <c r="A80" s="108" t="str">
        <f t="shared" si="21"/>
        <v>X</v>
      </c>
      <c r="B80" s="1021"/>
      <c r="C80" s="1027"/>
      <c r="D80" s="1027"/>
      <c r="E80" s="64" t="s">
        <v>147</v>
      </c>
      <c r="F80" s="977" t="s">
        <v>62</v>
      </c>
      <c r="G80" s="13"/>
      <c r="H80" s="14"/>
      <c r="I80" s="15"/>
      <c r="J80" s="43"/>
      <c r="K80" s="16"/>
      <c r="L80" s="43"/>
      <c r="M80" s="16"/>
      <c r="N80" s="38"/>
      <c r="O80" s="17"/>
      <c r="P80" s="14"/>
      <c r="Q80" s="17"/>
      <c r="R80" s="14"/>
      <c r="S80" s="17"/>
      <c r="T80" s="14"/>
      <c r="U80" s="17"/>
      <c r="V80" s="18"/>
      <c r="W80" s="106"/>
      <c r="X80" s="367"/>
      <c r="Y80" s="367"/>
      <c r="AB80" s="2" t="str">
        <f t="shared" si="22"/>
        <v/>
      </c>
    </row>
    <row r="81" spans="1:28" ht="15.75" hidden="1" customHeight="1" x14ac:dyDescent="0.35">
      <c r="A81" s="108" t="str">
        <f t="shared" si="21"/>
        <v/>
      </c>
      <c r="B81" s="1021"/>
      <c r="C81" s="1027"/>
      <c r="D81" s="1027"/>
      <c r="E81" s="625"/>
      <c r="F81" s="977" t="s">
        <v>62</v>
      </c>
      <c r="G81" s="596"/>
      <c r="H81" s="597"/>
      <c r="I81" s="15"/>
      <c r="J81" s="598"/>
      <c r="K81" s="16"/>
      <c r="L81" s="598"/>
      <c r="M81" s="16"/>
      <c r="N81" s="599"/>
      <c r="O81" s="600"/>
      <c r="P81" s="597"/>
      <c r="Q81" s="600"/>
      <c r="R81" s="597"/>
      <c r="S81" s="600"/>
      <c r="T81" s="597"/>
      <c r="U81" s="600"/>
      <c r="V81" s="601"/>
      <c r="W81" s="106"/>
      <c r="X81" s="367"/>
      <c r="Y81" s="367"/>
      <c r="AB81" s="2" t="str">
        <f t="shared" si="22"/>
        <v/>
      </c>
    </row>
    <row r="82" spans="1:28" ht="15.75" hidden="1" customHeight="1" x14ac:dyDescent="0.35">
      <c r="A82" s="108" t="str">
        <f t="shared" si="21"/>
        <v/>
      </c>
      <c r="B82" s="1021"/>
      <c r="C82" s="1027"/>
      <c r="D82" s="1027"/>
      <c r="E82" s="625"/>
      <c r="F82" s="977" t="s">
        <v>62</v>
      </c>
      <c r="G82" s="596"/>
      <c r="H82" s="597"/>
      <c r="I82" s="15"/>
      <c r="J82" s="598"/>
      <c r="K82" s="16"/>
      <c r="L82" s="598"/>
      <c r="M82" s="16"/>
      <c r="N82" s="599"/>
      <c r="O82" s="600"/>
      <c r="P82" s="597"/>
      <c r="Q82" s="600"/>
      <c r="R82" s="597"/>
      <c r="S82" s="600"/>
      <c r="T82" s="597"/>
      <c r="U82" s="600"/>
      <c r="V82" s="601"/>
      <c r="W82" s="106"/>
      <c r="X82" s="367"/>
      <c r="Y82" s="367"/>
      <c r="AB82" s="2" t="str">
        <f t="shared" si="22"/>
        <v/>
      </c>
    </row>
    <row r="83" spans="1:28" ht="15.75" customHeight="1" x14ac:dyDescent="0.35">
      <c r="A83" s="108" t="str">
        <f t="shared" si="21"/>
        <v>X</v>
      </c>
      <c r="B83" s="1021"/>
      <c r="C83" s="1027"/>
      <c r="D83" s="1028"/>
      <c r="E83" s="65" t="s">
        <v>146</v>
      </c>
      <c r="F83" s="431" t="s">
        <v>62</v>
      </c>
      <c r="G83" s="19"/>
      <c r="H83" s="20"/>
      <c r="I83" s="21"/>
      <c r="J83" s="44"/>
      <c r="K83" s="22"/>
      <c r="L83" s="44"/>
      <c r="M83" s="22"/>
      <c r="N83" s="39"/>
      <c r="O83" s="23"/>
      <c r="P83" s="20"/>
      <c r="Q83" s="23"/>
      <c r="R83" s="20"/>
      <c r="S83" s="23"/>
      <c r="T83" s="20"/>
      <c r="U83" s="23"/>
      <c r="V83" s="24"/>
      <c r="W83" s="106"/>
      <c r="X83" s="367"/>
      <c r="Y83" s="367"/>
      <c r="AB83" s="2" t="str">
        <f t="shared" si="22"/>
        <v/>
      </c>
    </row>
    <row r="84" spans="1:28" ht="15.5" x14ac:dyDescent="0.35">
      <c r="A84" s="108" t="str">
        <f t="shared" si="21"/>
        <v>X</v>
      </c>
      <c r="B84" s="1022"/>
      <c r="C84" s="1028"/>
      <c r="D84" s="652" t="s">
        <v>138</v>
      </c>
      <c r="E84" s="366"/>
      <c r="F84" s="365"/>
      <c r="G84" s="25">
        <f>SUM(G74:G79)</f>
        <v>167</v>
      </c>
      <c r="H84" s="26">
        <f>SUM(H74:H79)</f>
        <v>167</v>
      </c>
      <c r="I84" s="27">
        <f>J84/G84</f>
        <v>0.45035928143712572</v>
      </c>
      <c r="J84" s="45">
        <f>SUM(J74:J79)</f>
        <v>75.209999999999994</v>
      </c>
      <c r="K84" s="28">
        <f>L84/G84</f>
        <v>0.37479041916167671</v>
      </c>
      <c r="L84" s="45">
        <f>SUM(L74:L79)</f>
        <v>62.590000000000011</v>
      </c>
      <c r="M84" s="28">
        <f>N84/L84</f>
        <v>0.55760025563189008</v>
      </c>
      <c r="N84" s="40">
        <f>SUM(N74:N79)</f>
        <v>34.900200000000005</v>
      </c>
      <c r="O84" s="29"/>
      <c r="P84" s="26"/>
      <c r="Q84" s="29"/>
      <c r="R84" s="26"/>
      <c r="S84" s="29"/>
      <c r="T84" s="26"/>
      <c r="U84" s="29"/>
      <c r="V84" s="30"/>
      <c r="W84" s="106"/>
      <c r="X84" s="367"/>
      <c r="Y84" s="367"/>
      <c r="AB84" s="2">
        <f t="shared" si="22"/>
        <v>0</v>
      </c>
    </row>
    <row r="85" spans="1:28" x14ac:dyDescent="0.35">
      <c r="A85" s="108" t="str">
        <f t="shared" si="21"/>
        <v>X</v>
      </c>
      <c r="B85" s="1033" t="s">
        <v>2</v>
      </c>
      <c r="C85" s="1036" t="s">
        <v>76</v>
      </c>
      <c r="D85" s="1074">
        <v>14</v>
      </c>
      <c r="E85" s="63" t="s">
        <v>154</v>
      </c>
      <c r="F85" s="976" t="s">
        <v>62</v>
      </c>
      <c r="G85" s="7"/>
      <c r="H85" s="8"/>
      <c r="I85" s="9"/>
      <c r="J85" s="42"/>
      <c r="K85" s="10"/>
      <c r="L85" s="42"/>
      <c r="M85" s="10"/>
      <c r="N85" s="37"/>
      <c r="O85" s="11"/>
      <c r="P85" s="8"/>
      <c r="Q85" s="11"/>
      <c r="R85" s="8"/>
      <c r="S85" s="11"/>
      <c r="T85" s="8"/>
      <c r="U85" s="11"/>
      <c r="V85" s="12"/>
      <c r="W85" s="398"/>
      <c r="X85" s="399"/>
      <c r="Y85" s="367"/>
      <c r="AB85" s="2" t="str">
        <f t="shared" si="22"/>
        <v/>
      </c>
    </row>
    <row r="86" spans="1:28" ht="15.75" customHeight="1" x14ac:dyDescent="0.35">
      <c r="A86" s="108" t="str">
        <f t="shared" si="21"/>
        <v>X</v>
      </c>
      <c r="B86" s="1034"/>
      <c r="C86" s="1037"/>
      <c r="D86" s="1075"/>
      <c r="E86" s="64" t="s">
        <v>155</v>
      </c>
      <c r="F86" s="977" t="s">
        <v>62</v>
      </c>
      <c r="G86" s="13"/>
      <c r="H86" s="14"/>
      <c r="I86" s="15"/>
      <c r="J86" s="43"/>
      <c r="K86" s="16"/>
      <c r="L86" s="43"/>
      <c r="M86" s="16"/>
      <c r="N86" s="38"/>
      <c r="O86" s="17"/>
      <c r="P86" s="14"/>
      <c r="Q86" s="17"/>
      <c r="R86" s="14"/>
      <c r="S86" s="17"/>
      <c r="T86" s="14"/>
      <c r="U86" s="17"/>
      <c r="V86" s="18"/>
      <c r="W86" s="400"/>
      <c r="X86" s="401"/>
      <c r="Y86" s="367"/>
      <c r="AB86" s="2" t="str">
        <f t="shared" si="22"/>
        <v/>
      </c>
    </row>
    <row r="87" spans="1:28" ht="15.75" customHeight="1" x14ac:dyDescent="0.35">
      <c r="A87" s="108" t="str">
        <f t="shared" si="21"/>
        <v>X</v>
      </c>
      <c r="B87" s="1034"/>
      <c r="C87" s="1037"/>
      <c r="D87" s="1075"/>
      <c r="E87" s="64" t="s">
        <v>156</v>
      </c>
      <c r="F87" s="977" t="s">
        <v>62</v>
      </c>
      <c r="G87" s="13"/>
      <c r="H87" s="14"/>
      <c r="I87" s="15"/>
      <c r="J87" s="43"/>
      <c r="K87" s="16"/>
      <c r="L87" s="43"/>
      <c r="M87" s="16"/>
      <c r="N87" s="38"/>
      <c r="O87" s="17"/>
      <c r="P87" s="14"/>
      <c r="Q87" s="17"/>
      <c r="R87" s="14"/>
      <c r="S87" s="17"/>
      <c r="T87" s="14"/>
      <c r="U87" s="17"/>
      <c r="V87" s="18"/>
      <c r="W87" s="400"/>
      <c r="X87" s="401"/>
      <c r="Y87" s="367"/>
      <c r="AB87" s="2" t="str">
        <f t="shared" si="22"/>
        <v/>
      </c>
    </row>
    <row r="88" spans="1:28" ht="15" customHeight="1" x14ac:dyDescent="0.35">
      <c r="A88" s="108" t="str">
        <f t="shared" si="21"/>
        <v>X</v>
      </c>
      <c r="B88" s="1034"/>
      <c r="C88" s="1037"/>
      <c r="D88" s="1075"/>
      <c r="E88" s="64" t="s">
        <v>37</v>
      </c>
      <c r="F88" s="974" t="s">
        <v>62</v>
      </c>
      <c r="G88" s="476">
        <v>217</v>
      </c>
      <c r="H88" s="133">
        <v>102</v>
      </c>
      <c r="I88" s="134">
        <v>0.28999999999999998</v>
      </c>
      <c r="J88" s="477">
        <f t="shared" si="3"/>
        <v>62.929999999999993</v>
      </c>
      <c r="K88" s="135">
        <v>0.32</v>
      </c>
      <c r="L88" s="477">
        <v>69</v>
      </c>
      <c r="M88" s="135" t="s">
        <v>21</v>
      </c>
      <c r="N88" s="478" t="str">
        <f t="shared" si="20"/>
        <v>-</v>
      </c>
      <c r="O88" s="136">
        <v>27</v>
      </c>
      <c r="P88" s="133">
        <v>8</v>
      </c>
      <c r="Q88" s="136">
        <v>33</v>
      </c>
      <c r="R88" s="133">
        <v>14</v>
      </c>
      <c r="S88" s="136">
        <v>241</v>
      </c>
      <c r="T88" s="133">
        <v>112</v>
      </c>
      <c r="U88" s="136">
        <v>9</v>
      </c>
      <c r="V88" s="140">
        <v>4</v>
      </c>
      <c r="W88" s="400"/>
      <c r="X88" s="401"/>
      <c r="Y88" s="367"/>
      <c r="AB88" s="2" t="str">
        <f t="shared" si="22"/>
        <v>Frontière</v>
      </c>
    </row>
    <row r="89" spans="1:28" ht="15" customHeight="1" x14ac:dyDescent="0.35">
      <c r="A89" s="108" t="str">
        <f t="shared" si="21"/>
        <v>X</v>
      </c>
      <c r="B89" s="1034"/>
      <c r="C89" s="1037"/>
      <c r="D89" s="1075"/>
      <c r="E89" s="64" t="s">
        <v>157</v>
      </c>
      <c r="F89" s="974" t="s">
        <v>62</v>
      </c>
      <c r="G89" s="476">
        <v>156</v>
      </c>
      <c r="H89" s="133">
        <v>87</v>
      </c>
      <c r="I89" s="134">
        <v>0.4</v>
      </c>
      <c r="J89" s="477">
        <f t="shared" si="3"/>
        <v>62.400000000000006</v>
      </c>
      <c r="K89" s="135">
        <v>0.39</v>
      </c>
      <c r="L89" s="477">
        <v>61</v>
      </c>
      <c r="M89" s="135" t="s">
        <v>21</v>
      </c>
      <c r="N89" s="478" t="str">
        <f t="shared" si="20"/>
        <v>-</v>
      </c>
      <c r="O89" s="136">
        <v>7</v>
      </c>
      <c r="P89" s="133">
        <v>5</v>
      </c>
      <c r="Q89" s="136">
        <v>4</v>
      </c>
      <c r="R89" s="133">
        <v>1</v>
      </c>
      <c r="S89" s="136">
        <v>146</v>
      </c>
      <c r="T89" s="133">
        <v>81</v>
      </c>
      <c r="U89" s="136">
        <v>14</v>
      </c>
      <c r="V89" s="140">
        <v>7</v>
      </c>
      <c r="W89" s="400"/>
      <c r="X89" s="401"/>
      <c r="Y89" s="367"/>
      <c r="AB89" s="2" t="str">
        <f t="shared" si="22"/>
        <v>Frontière</v>
      </c>
    </row>
    <row r="90" spans="1:28" ht="15" customHeight="1" x14ac:dyDescent="0.35">
      <c r="A90" s="108" t="str">
        <f t="shared" si="21"/>
        <v>X</v>
      </c>
      <c r="B90" s="1034"/>
      <c r="C90" s="1037"/>
      <c r="D90" s="1075"/>
      <c r="E90" s="64" t="s">
        <v>38</v>
      </c>
      <c r="F90" s="974" t="s">
        <v>62</v>
      </c>
      <c r="G90" s="476">
        <v>167</v>
      </c>
      <c r="H90" s="133">
        <v>80</v>
      </c>
      <c r="I90" s="134">
        <v>0.26</v>
      </c>
      <c r="J90" s="477">
        <f t="shared" si="3"/>
        <v>43.42</v>
      </c>
      <c r="K90" s="135">
        <v>0.37</v>
      </c>
      <c r="L90" s="477">
        <v>62</v>
      </c>
      <c r="M90" s="135" t="s">
        <v>21</v>
      </c>
      <c r="N90" s="478" t="str">
        <f t="shared" si="20"/>
        <v>-</v>
      </c>
      <c r="O90" s="136">
        <v>7</v>
      </c>
      <c r="P90" s="133">
        <v>3</v>
      </c>
      <c r="Q90" s="136">
        <v>33</v>
      </c>
      <c r="R90" s="133">
        <v>14</v>
      </c>
      <c r="S90" s="136">
        <v>153</v>
      </c>
      <c r="T90" s="133">
        <v>74</v>
      </c>
      <c r="U90" s="136">
        <v>47</v>
      </c>
      <c r="V90" s="140">
        <v>20</v>
      </c>
      <c r="W90" s="400"/>
      <c r="X90" s="401"/>
      <c r="Y90" s="367"/>
      <c r="AB90" s="2" t="str">
        <f t="shared" si="22"/>
        <v>Frontière</v>
      </c>
    </row>
    <row r="91" spans="1:28" ht="15" customHeight="1" x14ac:dyDescent="0.35">
      <c r="A91" s="108" t="str">
        <f t="shared" si="21"/>
        <v>X</v>
      </c>
      <c r="B91" s="1034"/>
      <c r="C91" s="1037"/>
      <c r="D91" s="1075"/>
      <c r="E91" s="64" t="s">
        <v>158</v>
      </c>
      <c r="F91" s="977" t="s">
        <v>62</v>
      </c>
      <c r="G91" s="476"/>
      <c r="H91" s="133"/>
      <c r="I91" s="134">
        <v>0.26</v>
      </c>
      <c r="J91" s="477"/>
      <c r="K91" s="135">
        <v>0.37</v>
      </c>
      <c r="L91" s="477"/>
      <c r="M91" s="135" t="s">
        <v>21</v>
      </c>
      <c r="N91" s="478"/>
      <c r="O91" s="136"/>
      <c r="P91" s="133"/>
      <c r="Q91" s="136"/>
      <c r="R91" s="133"/>
      <c r="S91" s="136"/>
      <c r="T91" s="133"/>
      <c r="U91" s="136"/>
      <c r="V91" s="140"/>
      <c r="W91" s="400"/>
      <c r="X91" s="401"/>
      <c r="Y91" s="367"/>
      <c r="AB91" s="2" t="str">
        <f t="shared" si="22"/>
        <v/>
      </c>
    </row>
    <row r="92" spans="1:28" ht="15" customHeight="1" x14ac:dyDescent="0.35">
      <c r="A92" s="108" t="str">
        <f t="shared" si="21"/>
        <v>X</v>
      </c>
      <c r="B92" s="1034"/>
      <c r="C92" s="1037"/>
      <c r="D92" s="1075"/>
      <c r="E92" s="64" t="s">
        <v>148</v>
      </c>
      <c r="F92" s="977" t="s">
        <v>62</v>
      </c>
      <c r="G92" s="476"/>
      <c r="H92" s="133"/>
      <c r="I92" s="134">
        <v>0.26</v>
      </c>
      <c r="J92" s="477"/>
      <c r="K92" s="135">
        <v>0.37</v>
      </c>
      <c r="L92" s="477"/>
      <c r="M92" s="135" t="s">
        <v>21</v>
      </c>
      <c r="N92" s="478"/>
      <c r="O92" s="136"/>
      <c r="P92" s="133"/>
      <c r="Q92" s="136"/>
      <c r="R92" s="133"/>
      <c r="S92" s="136"/>
      <c r="T92" s="133"/>
      <c r="U92" s="136"/>
      <c r="V92" s="140"/>
      <c r="W92" s="400"/>
      <c r="X92" s="401"/>
      <c r="Y92" s="367"/>
      <c r="AB92" s="2" t="str">
        <f t="shared" si="22"/>
        <v/>
      </c>
    </row>
    <row r="93" spans="1:28" ht="15" customHeight="1" x14ac:dyDescent="0.35">
      <c r="A93" s="108" t="str">
        <f t="shared" si="21"/>
        <v>X</v>
      </c>
      <c r="B93" s="1034"/>
      <c r="C93" s="1037"/>
      <c r="D93" s="1075"/>
      <c r="E93" s="64" t="s">
        <v>149</v>
      </c>
      <c r="F93" s="974" t="s">
        <v>62</v>
      </c>
      <c r="G93" s="476"/>
      <c r="H93" s="133"/>
      <c r="I93" s="134">
        <v>0.26</v>
      </c>
      <c r="J93" s="477"/>
      <c r="K93" s="135">
        <v>0.37</v>
      </c>
      <c r="L93" s="477"/>
      <c r="M93" s="135" t="s">
        <v>21</v>
      </c>
      <c r="N93" s="478"/>
      <c r="O93" s="136"/>
      <c r="P93" s="133"/>
      <c r="Q93" s="136"/>
      <c r="R93" s="133"/>
      <c r="S93" s="136"/>
      <c r="T93" s="133"/>
      <c r="U93" s="136"/>
      <c r="V93" s="140"/>
      <c r="W93" s="400"/>
      <c r="X93" s="401"/>
      <c r="Y93" s="367"/>
      <c r="AB93" s="2" t="str">
        <f t="shared" si="22"/>
        <v/>
      </c>
    </row>
    <row r="94" spans="1:28" ht="15" hidden="1" customHeight="1" x14ac:dyDescent="0.35">
      <c r="A94" s="108" t="str">
        <f t="shared" si="21"/>
        <v/>
      </c>
      <c r="B94" s="1034"/>
      <c r="C94" s="1037"/>
      <c r="D94" s="1075"/>
      <c r="E94" s="64"/>
      <c r="F94" s="974" t="s">
        <v>62</v>
      </c>
      <c r="G94" s="476"/>
      <c r="H94" s="133"/>
      <c r="I94" s="134">
        <v>0.26</v>
      </c>
      <c r="J94" s="477"/>
      <c r="K94" s="135">
        <v>0.37</v>
      </c>
      <c r="L94" s="477"/>
      <c r="M94" s="135" t="s">
        <v>21</v>
      </c>
      <c r="N94" s="478"/>
      <c r="O94" s="136"/>
      <c r="P94" s="133"/>
      <c r="Q94" s="136"/>
      <c r="R94" s="133"/>
      <c r="S94" s="136"/>
      <c r="T94" s="133"/>
      <c r="U94" s="136"/>
      <c r="V94" s="140"/>
      <c r="W94" s="400"/>
      <c r="X94" s="401"/>
      <c r="Y94" s="367"/>
      <c r="AB94" s="2" t="str">
        <f t="shared" si="22"/>
        <v/>
      </c>
    </row>
    <row r="95" spans="1:28" ht="15" hidden="1" customHeight="1" x14ac:dyDescent="0.35">
      <c r="A95" s="108" t="str">
        <f t="shared" si="21"/>
        <v/>
      </c>
      <c r="B95" s="1034"/>
      <c r="C95" s="1037"/>
      <c r="D95" s="1075"/>
      <c r="E95" s="64"/>
      <c r="F95" s="974" t="s">
        <v>62</v>
      </c>
      <c r="G95" s="476"/>
      <c r="H95" s="133"/>
      <c r="I95" s="134">
        <v>0.26</v>
      </c>
      <c r="J95" s="477"/>
      <c r="K95" s="135">
        <v>0.37</v>
      </c>
      <c r="L95" s="477"/>
      <c r="M95" s="135" t="s">
        <v>21</v>
      </c>
      <c r="N95" s="478"/>
      <c r="O95" s="136"/>
      <c r="P95" s="133"/>
      <c r="Q95" s="136"/>
      <c r="R95" s="133"/>
      <c r="S95" s="136"/>
      <c r="T95" s="133"/>
      <c r="U95" s="136"/>
      <c r="V95" s="140"/>
      <c r="W95" s="400"/>
      <c r="X95" s="401"/>
      <c r="Y95" s="367"/>
      <c r="AB95" s="2" t="str">
        <f t="shared" si="22"/>
        <v/>
      </c>
    </row>
    <row r="96" spans="1:28" ht="15" customHeight="1" x14ac:dyDescent="0.35">
      <c r="A96" s="108" t="str">
        <f t="shared" si="21"/>
        <v>X</v>
      </c>
      <c r="B96" s="1034"/>
      <c r="C96" s="1037"/>
      <c r="D96" s="1076"/>
      <c r="E96" s="64" t="s">
        <v>152</v>
      </c>
      <c r="F96" s="975" t="s">
        <v>62</v>
      </c>
      <c r="G96" s="476"/>
      <c r="H96" s="133"/>
      <c r="I96" s="134"/>
      <c r="J96" s="477"/>
      <c r="K96" s="135"/>
      <c r="L96" s="477"/>
      <c r="M96" s="135"/>
      <c r="N96" s="478"/>
      <c r="O96" s="136"/>
      <c r="P96" s="133"/>
      <c r="Q96" s="136"/>
      <c r="R96" s="133"/>
      <c r="S96" s="136"/>
      <c r="T96" s="133"/>
      <c r="U96" s="136"/>
      <c r="V96" s="140"/>
      <c r="W96" s="400"/>
      <c r="X96" s="401"/>
      <c r="Y96" s="367"/>
      <c r="AB96" s="2" t="str">
        <f t="shared" si="22"/>
        <v/>
      </c>
    </row>
    <row r="97" spans="1:28" ht="15.5" x14ac:dyDescent="0.35">
      <c r="A97" s="108" t="str">
        <f t="shared" si="21"/>
        <v>X</v>
      </c>
      <c r="B97" s="1035"/>
      <c r="C97" s="1038"/>
      <c r="D97" s="655" t="s">
        <v>138</v>
      </c>
      <c r="E97" s="65"/>
      <c r="F97" s="472"/>
      <c r="G97" s="479">
        <f>SUM(G88:G96)</f>
        <v>540</v>
      </c>
      <c r="H97" s="141">
        <f>SUM(H88:H96)</f>
        <v>269</v>
      </c>
      <c r="I97" s="142">
        <f>J97/G97</f>
        <v>0.3125</v>
      </c>
      <c r="J97" s="480">
        <f>SUM(J88:J96)</f>
        <v>168.75</v>
      </c>
      <c r="K97" s="22">
        <f>L97/G97</f>
        <v>0.35555555555555557</v>
      </c>
      <c r="L97" s="480">
        <f>SUM(L88:L96)</f>
        <v>192</v>
      </c>
      <c r="M97" s="143">
        <f>N97/L97</f>
        <v>0</v>
      </c>
      <c r="N97" s="481">
        <f>SUM(N88:N96)</f>
        <v>0</v>
      </c>
      <c r="O97" s="144">
        <f>SUM(O88:O96)</f>
        <v>41</v>
      </c>
      <c r="P97" s="141">
        <f>SUM(P88:P96)</f>
        <v>16</v>
      </c>
      <c r="Q97" s="144">
        <f t="shared" ref="Q97:V97" si="24">SUM(Q88:Q96)</f>
        <v>70</v>
      </c>
      <c r="R97" s="141">
        <f t="shared" si="24"/>
        <v>29</v>
      </c>
      <c r="S97" s="144">
        <f t="shared" si="24"/>
        <v>540</v>
      </c>
      <c r="T97" s="141">
        <f t="shared" si="24"/>
        <v>267</v>
      </c>
      <c r="U97" s="144">
        <f t="shared" si="24"/>
        <v>70</v>
      </c>
      <c r="V97" s="175">
        <f t="shared" si="24"/>
        <v>31</v>
      </c>
      <c r="W97" s="470"/>
      <c r="X97" s="471"/>
      <c r="Y97" s="367"/>
      <c r="AB97" s="2">
        <f t="shared" si="22"/>
        <v>0</v>
      </c>
    </row>
    <row r="98" spans="1:28" ht="15.75" customHeight="1" x14ac:dyDescent="0.35">
      <c r="A98" s="108" t="str">
        <f t="shared" si="21"/>
        <v>X</v>
      </c>
      <c r="B98" s="1029" t="s">
        <v>72</v>
      </c>
      <c r="C98" s="1032" t="s">
        <v>76</v>
      </c>
      <c r="D98" s="1064">
        <v>2</v>
      </c>
      <c r="E98" s="54" t="s">
        <v>150</v>
      </c>
      <c r="F98" s="973" t="s">
        <v>62</v>
      </c>
      <c r="G98" s="7">
        <v>21</v>
      </c>
      <c r="H98" s="8">
        <v>8</v>
      </c>
      <c r="I98" s="9">
        <v>0.28999999999999998</v>
      </c>
      <c r="J98" s="42">
        <f t="shared" si="3"/>
        <v>6.09</v>
      </c>
      <c r="K98" s="10">
        <v>0.32</v>
      </c>
      <c r="L98" s="42">
        <f t="shared" si="4"/>
        <v>6.72</v>
      </c>
      <c r="M98" s="10" t="s">
        <v>21</v>
      </c>
      <c r="N98" s="37">
        <v>0</v>
      </c>
      <c r="O98" s="11">
        <v>1</v>
      </c>
      <c r="P98" s="8">
        <v>0</v>
      </c>
      <c r="Q98" s="11">
        <v>7</v>
      </c>
      <c r="R98" s="8">
        <v>5</v>
      </c>
      <c r="S98" s="11">
        <v>19</v>
      </c>
      <c r="T98" s="8">
        <v>8</v>
      </c>
      <c r="U98" s="11">
        <v>9</v>
      </c>
      <c r="V98" s="12">
        <v>5</v>
      </c>
      <c r="W98" s="398"/>
      <c r="X98" s="399"/>
      <c r="Y98" s="367"/>
      <c r="AB98" s="2" t="str">
        <f t="shared" si="22"/>
        <v>Frontière</v>
      </c>
    </row>
    <row r="99" spans="1:28" ht="15.75" customHeight="1" x14ac:dyDescent="0.35">
      <c r="A99" s="108" t="str">
        <f t="shared" si="21"/>
        <v>X</v>
      </c>
      <c r="B99" s="1021"/>
      <c r="C99" s="1024"/>
      <c r="D99" s="1064"/>
      <c r="E99" s="396" t="s">
        <v>153</v>
      </c>
      <c r="F99" s="974" t="s">
        <v>62</v>
      </c>
      <c r="G99" s="13"/>
      <c r="H99" s="14"/>
      <c r="I99" s="15"/>
      <c r="J99" s="43"/>
      <c r="K99" s="16"/>
      <c r="L99" s="43"/>
      <c r="M99" s="16"/>
      <c r="N99" s="38"/>
      <c r="O99" s="17"/>
      <c r="P99" s="14"/>
      <c r="Q99" s="17"/>
      <c r="R99" s="14"/>
      <c r="S99" s="17"/>
      <c r="T99" s="14"/>
      <c r="U99" s="17"/>
      <c r="V99" s="18"/>
      <c r="W99" s="400"/>
      <c r="X99" s="401"/>
      <c r="Y99" s="367"/>
      <c r="AB99" s="2" t="str">
        <f t="shared" si="22"/>
        <v/>
      </c>
    </row>
    <row r="100" spans="1:28" ht="15.75" hidden="1" customHeight="1" x14ac:dyDescent="0.35">
      <c r="A100" s="108" t="str">
        <f t="shared" si="21"/>
        <v/>
      </c>
      <c r="B100" s="1021"/>
      <c r="C100" s="1024"/>
      <c r="D100" s="1064"/>
      <c r="E100" s="349"/>
      <c r="F100" s="974" t="s">
        <v>62</v>
      </c>
      <c r="G100" s="596"/>
      <c r="H100" s="597"/>
      <c r="I100" s="15"/>
      <c r="J100" s="598"/>
      <c r="K100" s="16"/>
      <c r="L100" s="598"/>
      <c r="M100" s="16"/>
      <c r="N100" s="599"/>
      <c r="O100" s="600"/>
      <c r="P100" s="597"/>
      <c r="Q100" s="600"/>
      <c r="R100" s="597"/>
      <c r="S100" s="600"/>
      <c r="T100" s="597"/>
      <c r="U100" s="600"/>
      <c r="V100" s="601"/>
      <c r="W100" s="470"/>
      <c r="X100" s="471"/>
      <c r="Y100" s="367"/>
      <c r="AB100" s="2" t="str">
        <f t="shared" si="22"/>
        <v/>
      </c>
    </row>
    <row r="101" spans="1:28" ht="15.75" hidden="1" customHeight="1" x14ac:dyDescent="0.35">
      <c r="A101" s="108" t="str">
        <f t="shared" si="21"/>
        <v/>
      </c>
      <c r="B101" s="1021"/>
      <c r="C101" s="1024"/>
      <c r="D101" s="1064"/>
      <c r="E101" s="349"/>
      <c r="F101" s="974" t="s">
        <v>62</v>
      </c>
      <c r="G101" s="596"/>
      <c r="H101" s="597"/>
      <c r="I101" s="15"/>
      <c r="J101" s="598"/>
      <c r="K101" s="16"/>
      <c r="L101" s="598"/>
      <c r="M101" s="16"/>
      <c r="N101" s="599"/>
      <c r="O101" s="600"/>
      <c r="P101" s="597"/>
      <c r="Q101" s="600"/>
      <c r="R101" s="597"/>
      <c r="S101" s="600"/>
      <c r="T101" s="597"/>
      <c r="U101" s="600"/>
      <c r="V101" s="601"/>
      <c r="W101" s="470"/>
      <c r="X101" s="471"/>
      <c r="Y101" s="367"/>
      <c r="AB101" s="2" t="str">
        <f t="shared" si="22"/>
        <v/>
      </c>
    </row>
    <row r="102" spans="1:28" ht="15.75" customHeight="1" x14ac:dyDescent="0.35">
      <c r="A102" s="108" t="str">
        <f t="shared" si="21"/>
        <v>X</v>
      </c>
      <c r="B102" s="1021"/>
      <c r="C102" s="1024"/>
      <c r="D102" s="1064"/>
      <c r="E102" s="469" t="s">
        <v>36</v>
      </c>
      <c r="F102" s="975" t="s">
        <v>62</v>
      </c>
      <c r="G102" s="19"/>
      <c r="H102" s="20"/>
      <c r="I102" s="21"/>
      <c r="J102" s="44"/>
      <c r="K102" s="22"/>
      <c r="L102" s="44"/>
      <c r="M102" s="22"/>
      <c r="N102" s="39"/>
      <c r="O102" s="23"/>
      <c r="P102" s="20"/>
      <c r="Q102" s="23"/>
      <c r="R102" s="20"/>
      <c r="S102" s="23"/>
      <c r="T102" s="20"/>
      <c r="U102" s="23"/>
      <c r="V102" s="24"/>
      <c r="W102" s="470"/>
      <c r="X102" s="471"/>
      <c r="Y102" s="367"/>
      <c r="AB102" s="2" t="str">
        <f t="shared" si="22"/>
        <v/>
      </c>
    </row>
    <row r="103" spans="1:28" ht="15.75" customHeight="1" x14ac:dyDescent="0.35">
      <c r="A103" s="108" t="str">
        <f t="shared" si="21"/>
        <v>X</v>
      </c>
      <c r="B103" s="1031"/>
      <c r="C103" s="1025"/>
      <c r="D103" s="652" t="s">
        <v>138</v>
      </c>
      <c r="E103" s="58"/>
      <c r="F103" s="472"/>
      <c r="G103" s="473">
        <f>SUM(G98:G102)</f>
        <v>21</v>
      </c>
      <c r="H103" s="243">
        <f>SUM(H98:H102)</f>
        <v>8</v>
      </c>
      <c r="I103" s="148">
        <f>J103/G103</f>
        <v>0.28999999999999998</v>
      </c>
      <c r="J103" s="482">
        <f>SUM(J98:J102)</f>
        <v>6.09</v>
      </c>
      <c r="K103" s="28">
        <f>L103/G103</f>
        <v>0.32</v>
      </c>
      <c r="L103" s="482">
        <f>SUM(L98:L102)</f>
        <v>6.72</v>
      </c>
      <c r="M103" s="483">
        <f>N103/L103</f>
        <v>0</v>
      </c>
      <c r="N103" s="369">
        <f>SUM(N98:N102)</f>
        <v>0</v>
      </c>
      <c r="O103" s="242">
        <f>SUM(O98:O102)</f>
        <v>1</v>
      </c>
      <c r="P103" s="243">
        <f t="shared" ref="P103:V103" si="25">SUM(P98:P102)</f>
        <v>0</v>
      </c>
      <c r="Q103" s="242">
        <f t="shared" si="25"/>
        <v>7</v>
      </c>
      <c r="R103" s="243">
        <f t="shared" si="25"/>
        <v>5</v>
      </c>
      <c r="S103" s="242">
        <f t="shared" si="25"/>
        <v>19</v>
      </c>
      <c r="T103" s="243">
        <f t="shared" si="25"/>
        <v>8</v>
      </c>
      <c r="U103" s="242">
        <f t="shared" si="25"/>
        <v>9</v>
      </c>
      <c r="V103" s="244">
        <f t="shared" si="25"/>
        <v>5</v>
      </c>
      <c r="W103" s="402"/>
      <c r="X103" s="403"/>
      <c r="Y103" s="367"/>
      <c r="AB103" s="2">
        <f t="shared" si="22"/>
        <v>0</v>
      </c>
    </row>
    <row r="104" spans="1:28" ht="15.75" customHeight="1" thickBot="1" x14ac:dyDescent="0.4">
      <c r="A104" s="108" t="str">
        <f t="shared" si="21"/>
        <v>X</v>
      </c>
      <c r="B104" s="1029" t="s">
        <v>3</v>
      </c>
      <c r="C104" s="1039" t="s">
        <v>76</v>
      </c>
      <c r="D104" s="1064">
        <v>14</v>
      </c>
      <c r="E104" s="54" t="s">
        <v>48</v>
      </c>
      <c r="F104" s="411" t="s">
        <v>61</v>
      </c>
      <c r="G104" s="7">
        <f>17+25</f>
        <v>42</v>
      </c>
      <c r="H104" s="8">
        <f>G104</f>
        <v>42</v>
      </c>
      <c r="I104" s="9">
        <f>17/G104</f>
        <v>0.40476190476190477</v>
      </c>
      <c r="J104" s="42">
        <f t="shared" si="3"/>
        <v>17</v>
      </c>
      <c r="K104" s="10">
        <f>21/G104</f>
        <v>0.5</v>
      </c>
      <c r="L104" s="42">
        <f t="shared" si="4"/>
        <v>21</v>
      </c>
      <c r="M104" s="10"/>
      <c r="N104" s="37"/>
      <c r="O104" s="11"/>
      <c r="P104" s="8"/>
      <c r="Q104" s="11"/>
      <c r="R104" s="8"/>
      <c r="S104" s="11"/>
      <c r="T104" s="8"/>
      <c r="U104" s="11"/>
      <c r="V104" s="12"/>
      <c r="W104" s="406"/>
      <c r="X104" s="407"/>
      <c r="Y104" s="367"/>
      <c r="AB104" s="2" t="str">
        <f t="shared" si="22"/>
        <v>Suisse</v>
      </c>
    </row>
    <row r="105" spans="1:28" ht="15.75" customHeight="1" thickBot="1" x14ac:dyDescent="0.4">
      <c r="A105" s="108" t="str">
        <f t="shared" si="21"/>
        <v>X</v>
      </c>
      <c r="B105" s="1021"/>
      <c r="C105" s="1040"/>
      <c r="D105" s="1064"/>
      <c r="E105" s="55" t="s">
        <v>49</v>
      </c>
      <c r="F105" s="421" t="s">
        <v>61</v>
      </c>
      <c r="G105" s="13">
        <f>122+29+119+13</f>
        <v>283</v>
      </c>
      <c r="H105" s="14">
        <f>G105</f>
        <v>283</v>
      </c>
      <c r="I105" s="15">
        <f>(29+13)/G105</f>
        <v>0.14840989399293286</v>
      </c>
      <c r="J105" s="43">
        <f t="shared" si="3"/>
        <v>42</v>
      </c>
      <c r="K105" s="16">
        <f>(65+47)/G105</f>
        <v>0.39575971731448761</v>
      </c>
      <c r="L105" s="43">
        <f t="shared" si="4"/>
        <v>112</v>
      </c>
      <c r="M105" s="16"/>
      <c r="N105" s="38"/>
      <c r="O105" s="17"/>
      <c r="P105" s="14"/>
      <c r="Q105" s="17"/>
      <c r="R105" s="14"/>
      <c r="S105" s="17"/>
      <c r="T105" s="14"/>
      <c r="U105" s="17"/>
      <c r="V105" s="18"/>
      <c r="W105" s="400"/>
      <c r="X105" s="401"/>
      <c r="Y105" s="367"/>
      <c r="AB105" s="2" t="str">
        <f t="shared" si="22"/>
        <v>Suisse</v>
      </c>
    </row>
    <row r="106" spans="1:28" ht="15.75" customHeight="1" thickBot="1" x14ac:dyDescent="0.4">
      <c r="A106" s="108" t="str">
        <f t="shared" si="21"/>
        <v>X</v>
      </c>
      <c r="B106" s="1021"/>
      <c r="C106" s="1040"/>
      <c r="D106" s="1064"/>
      <c r="E106" s="55" t="s">
        <v>81</v>
      </c>
      <c r="F106" s="421" t="s">
        <v>61</v>
      </c>
      <c r="G106" s="13">
        <f>(19+11+31+18)</f>
        <v>79</v>
      </c>
      <c r="H106" s="14">
        <f>G106</f>
        <v>79</v>
      </c>
      <c r="I106" s="15">
        <f>(11+18)/G106</f>
        <v>0.36708860759493672</v>
      </c>
      <c r="J106" s="43">
        <f t="shared" ref="J106" si="26">I106*G106</f>
        <v>29</v>
      </c>
      <c r="K106" s="16">
        <f>(5+28)/G106</f>
        <v>0.41772151898734178</v>
      </c>
      <c r="L106" s="43">
        <f t="shared" ref="L106" si="27">K106*G106</f>
        <v>33</v>
      </c>
      <c r="M106" s="16"/>
      <c r="N106" s="38"/>
      <c r="O106" s="17"/>
      <c r="P106" s="14"/>
      <c r="Q106" s="17"/>
      <c r="R106" s="14"/>
      <c r="S106" s="17"/>
      <c r="T106" s="14"/>
      <c r="U106" s="17"/>
      <c r="V106" s="18"/>
      <c r="W106" s="400"/>
      <c r="X106" s="401"/>
      <c r="Y106" s="367"/>
      <c r="AB106" s="2" t="str">
        <f t="shared" si="22"/>
        <v>Suisse</v>
      </c>
    </row>
    <row r="107" spans="1:28" ht="15.75" customHeight="1" thickBot="1" x14ac:dyDescent="0.4">
      <c r="A107" s="108" t="str">
        <f t="shared" si="21"/>
        <v>X</v>
      </c>
      <c r="B107" s="1021"/>
      <c r="C107" s="1040"/>
      <c r="D107" s="1064"/>
      <c r="E107" s="55" t="s">
        <v>73</v>
      </c>
      <c r="F107" s="421" t="s">
        <v>61</v>
      </c>
      <c r="G107" s="13">
        <f>15+8+12+6+33+34</f>
        <v>108</v>
      </c>
      <c r="H107" s="14">
        <f t="shared" ref="H107:H121" si="28">G107</f>
        <v>108</v>
      </c>
      <c r="I107" s="15">
        <f>(8+6+33)/G107</f>
        <v>0.43518518518518517</v>
      </c>
      <c r="J107" s="43">
        <f t="shared" si="3"/>
        <v>47</v>
      </c>
      <c r="K107" s="16">
        <f>(12+6+33)/G107</f>
        <v>0.47222222222222221</v>
      </c>
      <c r="L107" s="43">
        <f t="shared" si="4"/>
        <v>51</v>
      </c>
      <c r="M107" s="16"/>
      <c r="N107" s="38"/>
      <c r="O107" s="17"/>
      <c r="P107" s="14"/>
      <c r="Q107" s="17"/>
      <c r="R107" s="14"/>
      <c r="S107" s="17"/>
      <c r="T107" s="14"/>
      <c r="U107" s="17"/>
      <c r="V107" s="18"/>
      <c r="W107" s="400"/>
      <c r="X107" s="401"/>
      <c r="Y107" s="367"/>
      <c r="AB107" s="2" t="str">
        <f t="shared" si="22"/>
        <v>Suisse</v>
      </c>
    </row>
    <row r="108" spans="1:28" ht="15.75" customHeight="1" thickBot="1" x14ac:dyDescent="0.4">
      <c r="A108" s="108" t="str">
        <f t="shared" si="21"/>
        <v>X</v>
      </c>
      <c r="B108" s="1021"/>
      <c r="C108" s="1040"/>
      <c r="D108" s="1064"/>
      <c r="E108" s="55" t="s">
        <v>50</v>
      </c>
      <c r="F108" s="421" t="s">
        <v>61</v>
      </c>
      <c r="G108" s="13">
        <f>56+28+19+14</f>
        <v>117</v>
      </c>
      <c r="H108" s="14">
        <f t="shared" si="28"/>
        <v>117</v>
      </c>
      <c r="I108" s="15">
        <f>(28+14)/G108</f>
        <v>0.35897435897435898</v>
      </c>
      <c r="J108" s="43">
        <f t="shared" si="3"/>
        <v>42</v>
      </c>
      <c r="K108" s="16">
        <f>(31+21)/G108</f>
        <v>0.44444444444444442</v>
      </c>
      <c r="L108" s="43">
        <f t="shared" si="4"/>
        <v>52</v>
      </c>
      <c r="M108" s="16"/>
      <c r="N108" s="38"/>
      <c r="O108" s="17"/>
      <c r="P108" s="14"/>
      <c r="Q108" s="17"/>
      <c r="R108" s="14"/>
      <c r="S108" s="17"/>
      <c r="T108" s="14"/>
      <c r="U108" s="17"/>
      <c r="V108" s="18"/>
      <c r="W108" s="400"/>
      <c r="X108" s="401"/>
      <c r="Y108" s="367"/>
      <c r="AB108" s="2" t="str">
        <f t="shared" si="22"/>
        <v>Suisse</v>
      </c>
    </row>
    <row r="109" spans="1:28" ht="15.75" customHeight="1" thickBot="1" x14ac:dyDescent="0.4">
      <c r="A109" s="108" t="str">
        <f t="shared" si="21"/>
        <v>X</v>
      </c>
      <c r="B109" s="1021"/>
      <c r="C109" s="1040"/>
      <c r="D109" s="1064"/>
      <c r="E109" s="55" t="s">
        <v>144</v>
      </c>
      <c r="F109" s="421" t="s">
        <v>61</v>
      </c>
      <c r="G109" s="13"/>
      <c r="H109" s="14"/>
      <c r="I109" s="15"/>
      <c r="J109" s="43"/>
      <c r="K109" s="16"/>
      <c r="L109" s="43"/>
      <c r="M109" s="16"/>
      <c r="N109" s="382"/>
      <c r="O109" s="17"/>
      <c r="P109" s="14"/>
      <c r="Q109" s="17"/>
      <c r="R109" s="14"/>
      <c r="S109" s="17"/>
      <c r="T109" s="14"/>
      <c r="U109" s="17"/>
      <c r="V109" s="18"/>
      <c r="W109" s="400"/>
      <c r="X109" s="401"/>
      <c r="Y109" s="367"/>
      <c r="AB109" s="2" t="str">
        <f t="shared" si="22"/>
        <v/>
      </c>
    </row>
    <row r="110" spans="1:28" ht="15.75" customHeight="1" thickBot="1" x14ac:dyDescent="0.4">
      <c r="A110" s="108" t="str">
        <f t="shared" si="21"/>
        <v>X</v>
      </c>
      <c r="B110" s="1021"/>
      <c r="C110" s="1040"/>
      <c r="D110" s="1064"/>
      <c r="E110" s="55" t="s">
        <v>143</v>
      </c>
      <c r="F110" s="421" t="s">
        <v>61</v>
      </c>
      <c r="G110" s="13"/>
      <c r="H110" s="14"/>
      <c r="I110" s="15"/>
      <c r="J110" s="43"/>
      <c r="K110" s="16"/>
      <c r="L110" s="43"/>
      <c r="M110" s="16"/>
      <c r="N110" s="382"/>
      <c r="O110" s="17"/>
      <c r="P110" s="14"/>
      <c r="Q110" s="17"/>
      <c r="R110" s="14"/>
      <c r="S110" s="17"/>
      <c r="T110" s="14"/>
      <c r="U110" s="17"/>
      <c r="V110" s="18"/>
      <c r="W110" s="400"/>
      <c r="X110" s="401"/>
      <c r="Y110" s="367"/>
      <c r="AB110" s="2" t="str">
        <f t="shared" si="22"/>
        <v/>
      </c>
    </row>
    <row r="111" spans="1:28" ht="15.75" customHeight="1" thickBot="1" x14ac:dyDescent="0.4">
      <c r="A111" s="108" t="str">
        <f t="shared" si="21"/>
        <v>X</v>
      </c>
      <c r="B111" s="1021"/>
      <c r="C111" s="1040"/>
      <c r="D111" s="1064"/>
      <c r="E111" s="55" t="s">
        <v>180</v>
      </c>
      <c r="F111" s="421" t="s">
        <v>61</v>
      </c>
      <c r="G111" s="13"/>
      <c r="H111" s="14"/>
      <c r="I111" s="15"/>
      <c r="J111" s="43"/>
      <c r="K111" s="16"/>
      <c r="L111" s="43"/>
      <c r="M111" s="16"/>
      <c r="N111" s="382"/>
      <c r="O111" s="17"/>
      <c r="P111" s="14"/>
      <c r="Q111" s="17"/>
      <c r="R111" s="14"/>
      <c r="S111" s="17"/>
      <c r="T111" s="14"/>
      <c r="U111" s="17"/>
      <c r="V111" s="18"/>
      <c r="W111" s="400"/>
      <c r="X111" s="401"/>
      <c r="Y111" s="367"/>
      <c r="AB111" s="2" t="str">
        <f t="shared" si="22"/>
        <v/>
      </c>
    </row>
    <row r="112" spans="1:28" ht="15.75" customHeight="1" thickBot="1" x14ac:dyDescent="0.4">
      <c r="A112" s="108" t="str">
        <f t="shared" si="21"/>
        <v>X</v>
      </c>
      <c r="B112" s="1021"/>
      <c r="C112" s="1040"/>
      <c r="D112" s="1064"/>
      <c r="E112" s="55" t="s">
        <v>181</v>
      </c>
      <c r="F112" s="421" t="s">
        <v>61</v>
      </c>
      <c r="G112" s="13"/>
      <c r="H112" s="14"/>
      <c r="I112" s="15"/>
      <c r="J112" s="43"/>
      <c r="K112" s="16"/>
      <c r="L112" s="43"/>
      <c r="M112" s="16"/>
      <c r="N112" s="38"/>
      <c r="O112" s="17"/>
      <c r="P112" s="14"/>
      <c r="Q112" s="17"/>
      <c r="R112" s="14"/>
      <c r="S112" s="17"/>
      <c r="T112" s="14"/>
      <c r="U112" s="17"/>
      <c r="V112" s="18"/>
      <c r="W112" s="400"/>
      <c r="X112" s="401"/>
      <c r="Y112" s="367"/>
      <c r="AB112" s="2" t="str">
        <f t="shared" si="22"/>
        <v/>
      </c>
    </row>
    <row r="113" spans="1:28" ht="15.75" customHeight="1" thickBot="1" x14ac:dyDescent="0.4">
      <c r="A113" s="108" t="str">
        <f t="shared" si="21"/>
        <v>X</v>
      </c>
      <c r="B113" s="1021"/>
      <c r="C113" s="1040"/>
      <c r="D113" s="1064"/>
      <c r="E113" s="55" t="s">
        <v>182</v>
      </c>
      <c r="F113" s="421" t="s">
        <v>61</v>
      </c>
      <c r="G113" s="13"/>
      <c r="H113" s="14"/>
      <c r="I113" s="15"/>
      <c r="J113" s="43"/>
      <c r="K113" s="16"/>
      <c r="L113" s="43"/>
      <c r="M113" s="16"/>
      <c r="N113" s="382"/>
      <c r="O113" s="17"/>
      <c r="P113" s="14"/>
      <c r="Q113" s="17"/>
      <c r="R113" s="14"/>
      <c r="S113" s="17"/>
      <c r="T113" s="14"/>
      <c r="U113" s="17"/>
      <c r="V113" s="18"/>
      <c r="W113" s="400"/>
      <c r="X113" s="401"/>
      <c r="Y113" s="367"/>
      <c r="AB113" s="2" t="str">
        <f t="shared" si="22"/>
        <v/>
      </c>
    </row>
    <row r="114" spans="1:28" ht="15.75" customHeight="1" thickBot="1" x14ac:dyDescent="0.4">
      <c r="A114" s="108" t="str">
        <f t="shared" si="21"/>
        <v>X</v>
      </c>
      <c r="B114" s="1021"/>
      <c r="C114" s="1040"/>
      <c r="D114" s="1064"/>
      <c r="E114" s="55" t="s">
        <v>183</v>
      </c>
      <c r="F114" s="421" t="s">
        <v>61</v>
      </c>
      <c r="G114" s="13"/>
      <c r="H114" s="14"/>
      <c r="I114" s="15"/>
      <c r="J114" s="43"/>
      <c r="K114" s="16"/>
      <c r="L114" s="43"/>
      <c r="M114" s="16"/>
      <c r="N114" s="38"/>
      <c r="O114" s="17"/>
      <c r="P114" s="14"/>
      <c r="Q114" s="17"/>
      <c r="R114" s="14"/>
      <c r="S114" s="17"/>
      <c r="T114" s="14"/>
      <c r="U114" s="17"/>
      <c r="V114" s="18"/>
      <c r="W114" s="400"/>
      <c r="X114" s="401"/>
      <c r="Y114" s="367"/>
      <c r="AB114" s="2" t="str">
        <f t="shared" si="22"/>
        <v/>
      </c>
    </row>
    <row r="115" spans="1:28" ht="15.75" customHeight="1" thickBot="1" x14ac:dyDescent="0.4">
      <c r="A115" s="108" t="str">
        <f t="shared" si="21"/>
        <v>X</v>
      </c>
      <c r="B115" s="1021"/>
      <c r="C115" s="1040"/>
      <c r="D115" s="1064"/>
      <c r="E115" s="55" t="s">
        <v>184</v>
      </c>
      <c r="F115" s="421" t="s">
        <v>61</v>
      </c>
      <c r="G115" s="13"/>
      <c r="H115" s="14"/>
      <c r="I115" s="15"/>
      <c r="J115" s="43"/>
      <c r="K115" s="16"/>
      <c r="L115" s="43"/>
      <c r="M115" s="16"/>
      <c r="N115" s="382"/>
      <c r="O115" s="17"/>
      <c r="P115" s="14"/>
      <c r="Q115" s="17"/>
      <c r="R115" s="14"/>
      <c r="S115" s="17"/>
      <c r="T115" s="14"/>
      <c r="U115" s="17"/>
      <c r="V115" s="18"/>
      <c r="W115" s="400"/>
      <c r="X115" s="401"/>
      <c r="Y115" s="367"/>
      <c r="AB115" s="2" t="str">
        <f t="shared" si="22"/>
        <v/>
      </c>
    </row>
    <row r="116" spans="1:28" ht="15.75" customHeight="1" thickBot="1" x14ac:dyDescent="0.4">
      <c r="A116" s="108" t="str">
        <f t="shared" si="21"/>
        <v>X</v>
      </c>
      <c r="B116" s="1021"/>
      <c r="C116" s="1040"/>
      <c r="D116" s="1064"/>
      <c r="E116" s="55" t="s">
        <v>185</v>
      </c>
      <c r="F116" s="421" t="s">
        <v>61</v>
      </c>
      <c r="G116" s="13"/>
      <c r="H116" s="14"/>
      <c r="I116" s="15"/>
      <c r="J116" s="43"/>
      <c r="K116" s="16"/>
      <c r="L116" s="43"/>
      <c r="M116" s="16"/>
      <c r="N116" s="38"/>
      <c r="O116" s="17"/>
      <c r="P116" s="14"/>
      <c r="Q116" s="17"/>
      <c r="R116" s="14"/>
      <c r="S116" s="17"/>
      <c r="T116" s="14"/>
      <c r="U116" s="17"/>
      <c r="V116" s="18"/>
      <c r="W116" s="400"/>
      <c r="X116" s="401"/>
      <c r="Y116" s="367"/>
      <c r="AB116" s="2" t="str">
        <f t="shared" si="22"/>
        <v/>
      </c>
    </row>
    <row r="117" spans="1:28" ht="15.75" customHeight="1" thickBot="1" x14ac:dyDescent="0.4">
      <c r="A117" s="108" t="str">
        <f t="shared" si="21"/>
        <v>X</v>
      </c>
      <c r="B117" s="1021"/>
      <c r="C117" s="1040"/>
      <c r="D117" s="1064"/>
      <c r="E117" s="55" t="s">
        <v>80</v>
      </c>
      <c r="F117" s="421" t="s">
        <v>61</v>
      </c>
      <c r="G117" s="13">
        <f>(388+263)</f>
        <v>651</v>
      </c>
      <c r="H117" s="14">
        <f>G117</f>
        <v>651</v>
      </c>
      <c r="I117" s="15"/>
      <c r="J117" s="43">
        <f t="shared" ref="J117" si="29">I117*G117</f>
        <v>0</v>
      </c>
      <c r="K117" s="16">
        <f>250/G117</f>
        <v>0.38402457757296465</v>
      </c>
      <c r="L117" s="43">
        <f t="shared" ref="L117" si="30">K117*G117</f>
        <v>250</v>
      </c>
      <c r="M117" s="16"/>
      <c r="N117" s="382"/>
      <c r="O117" s="17"/>
      <c r="P117" s="14"/>
      <c r="Q117" s="17"/>
      <c r="R117" s="14"/>
      <c r="S117" s="17"/>
      <c r="T117" s="14"/>
      <c r="U117" s="17"/>
      <c r="V117" s="18"/>
      <c r="W117" s="400"/>
      <c r="X117" s="401"/>
      <c r="Y117" s="367"/>
      <c r="AB117" s="2" t="str">
        <f t="shared" si="22"/>
        <v>Suisse</v>
      </c>
    </row>
    <row r="118" spans="1:28" ht="15.75" customHeight="1" thickBot="1" x14ac:dyDescent="0.4">
      <c r="A118" s="108" t="str">
        <f t="shared" si="21"/>
        <v>X</v>
      </c>
      <c r="B118" s="1021"/>
      <c r="C118" s="1040"/>
      <c r="D118" s="1064"/>
      <c r="E118" s="55" t="s">
        <v>51</v>
      </c>
      <c r="F118" s="421" t="s">
        <v>61</v>
      </c>
      <c r="G118" s="13">
        <f>284+220+60+51</f>
        <v>615</v>
      </c>
      <c r="H118" s="14">
        <f t="shared" si="28"/>
        <v>615</v>
      </c>
      <c r="I118" s="15"/>
      <c r="J118" s="43">
        <f t="shared" si="3"/>
        <v>0</v>
      </c>
      <c r="K118" s="16">
        <f>(195+46)/G118</f>
        <v>0.39186991869918697</v>
      </c>
      <c r="L118" s="43">
        <f t="shared" si="4"/>
        <v>241</v>
      </c>
      <c r="M118" s="16"/>
      <c r="N118" s="38"/>
      <c r="O118" s="17"/>
      <c r="P118" s="14"/>
      <c r="Q118" s="17"/>
      <c r="R118" s="14"/>
      <c r="S118" s="17"/>
      <c r="T118" s="14"/>
      <c r="U118" s="17"/>
      <c r="V118" s="18"/>
      <c r="W118" s="400"/>
      <c r="X118" s="401"/>
      <c r="Y118" s="367"/>
      <c r="AB118" s="2" t="str">
        <f t="shared" si="22"/>
        <v>Suisse</v>
      </c>
    </row>
    <row r="119" spans="1:28" ht="15.75" hidden="1" customHeight="1" thickBot="1" x14ac:dyDescent="0.4">
      <c r="A119" s="108" t="str">
        <f t="shared" si="21"/>
        <v/>
      </c>
      <c r="B119" s="1021"/>
      <c r="C119" s="1040"/>
      <c r="D119" s="1064"/>
      <c r="E119" s="595"/>
      <c r="F119" s="421" t="s">
        <v>207</v>
      </c>
      <c r="G119" s="596"/>
      <c r="H119" s="597"/>
      <c r="I119" s="15"/>
      <c r="J119" s="598"/>
      <c r="K119" s="16" t="e">
        <f t="shared" ref="K119:K120" si="31">(195+46)/G119</f>
        <v>#DIV/0!</v>
      </c>
      <c r="L119" s="598"/>
      <c r="M119" s="16"/>
      <c r="N119" s="599"/>
      <c r="O119" s="600"/>
      <c r="P119" s="597"/>
      <c r="Q119" s="600"/>
      <c r="R119" s="597"/>
      <c r="S119" s="600"/>
      <c r="T119" s="597"/>
      <c r="U119" s="600"/>
      <c r="V119" s="601"/>
      <c r="W119" s="470"/>
      <c r="X119" s="471"/>
      <c r="Y119" s="367"/>
      <c r="AB119" s="2" t="str">
        <f t="shared" si="22"/>
        <v/>
      </c>
    </row>
    <row r="120" spans="1:28" ht="15.75" hidden="1" customHeight="1" thickBot="1" x14ac:dyDescent="0.4">
      <c r="A120" s="108" t="str">
        <f t="shared" si="21"/>
        <v/>
      </c>
      <c r="B120" s="1021"/>
      <c r="C120" s="1040"/>
      <c r="D120" s="1064"/>
      <c r="E120" s="595"/>
      <c r="F120" s="421" t="s">
        <v>207</v>
      </c>
      <c r="G120" s="596"/>
      <c r="H120" s="597"/>
      <c r="I120" s="15"/>
      <c r="J120" s="598"/>
      <c r="K120" s="16" t="e">
        <f t="shared" si="31"/>
        <v>#DIV/0!</v>
      </c>
      <c r="L120" s="598"/>
      <c r="M120" s="16"/>
      <c r="N120" s="599"/>
      <c r="O120" s="600"/>
      <c r="P120" s="597"/>
      <c r="Q120" s="600"/>
      <c r="R120" s="597"/>
      <c r="S120" s="600"/>
      <c r="T120" s="597"/>
      <c r="U120" s="600"/>
      <c r="V120" s="601"/>
      <c r="W120" s="470"/>
      <c r="X120" s="471"/>
      <c r="Y120" s="367"/>
      <c r="AB120" s="2" t="str">
        <f t="shared" si="22"/>
        <v/>
      </c>
    </row>
    <row r="121" spans="1:28" ht="15.75" customHeight="1" thickBot="1" x14ac:dyDescent="0.4">
      <c r="A121" s="108" t="str">
        <f t="shared" si="21"/>
        <v>X</v>
      </c>
      <c r="B121" s="1021"/>
      <c r="C121" s="1040"/>
      <c r="D121" s="1064"/>
      <c r="E121" s="56" t="s">
        <v>52</v>
      </c>
      <c r="F121" s="978" t="s">
        <v>61</v>
      </c>
      <c r="G121" s="19">
        <f>215+82+11+8</f>
        <v>316</v>
      </c>
      <c r="H121" s="20">
        <f t="shared" si="28"/>
        <v>316</v>
      </c>
      <c r="I121" s="21">
        <f>(82+8)/G121</f>
        <v>0.2848101265822785</v>
      </c>
      <c r="J121" s="44">
        <f t="shared" si="3"/>
        <v>90</v>
      </c>
      <c r="K121" s="22">
        <f>(116+8)/G121</f>
        <v>0.39240506329113922</v>
      </c>
      <c r="L121" s="44">
        <f t="shared" si="4"/>
        <v>124</v>
      </c>
      <c r="M121" s="22"/>
      <c r="N121" s="39"/>
      <c r="O121" s="23"/>
      <c r="P121" s="20"/>
      <c r="Q121" s="23"/>
      <c r="R121" s="20"/>
      <c r="S121" s="23"/>
      <c r="T121" s="20"/>
      <c r="U121" s="23"/>
      <c r="V121" s="24"/>
      <c r="W121" s="402"/>
      <c r="X121" s="403"/>
      <c r="Y121" s="367"/>
      <c r="AB121" s="2" t="str">
        <f t="shared" si="22"/>
        <v>Suisse</v>
      </c>
    </row>
    <row r="122" spans="1:28" ht="16" thickBot="1" x14ac:dyDescent="0.4">
      <c r="A122" s="108" t="str">
        <f t="shared" si="21"/>
        <v>X</v>
      </c>
      <c r="B122" s="1030"/>
      <c r="C122" s="1040"/>
      <c r="D122" s="657" t="s">
        <v>138</v>
      </c>
      <c r="E122" s="353"/>
      <c r="F122" s="354"/>
      <c r="G122" s="355">
        <f>SUM(G104:G121)</f>
        <v>2211</v>
      </c>
      <c r="H122" s="356">
        <f>SUM(H104:H121)</f>
        <v>2211</v>
      </c>
      <c r="I122" s="27">
        <f>J122/G122</f>
        <v>0.12075983717774763</v>
      </c>
      <c r="J122" s="357">
        <f>SUM(J104:J121)</f>
        <v>267</v>
      </c>
      <c r="K122" s="28">
        <f>L122/G122</f>
        <v>0.39981908638625058</v>
      </c>
      <c r="L122" s="357">
        <f>SUM(L104:L121)</f>
        <v>884</v>
      </c>
      <c r="M122" s="28">
        <f>N122/L122</f>
        <v>0</v>
      </c>
      <c r="N122" s="358">
        <f>SUM(N104:N121)</f>
        <v>0</v>
      </c>
      <c r="O122" s="359"/>
      <c r="P122" s="356"/>
      <c r="Q122" s="359"/>
      <c r="R122" s="356"/>
      <c r="S122" s="359"/>
      <c r="T122" s="356"/>
      <c r="U122" s="359"/>
      <c r="V122" s="360"/>
      <c r="W122" s="404"/>
      <c r="X122" s="405"/>
      <c r="Y122" s="367"/>
    </row>
    <row r="123" spans="1:28" s="53" customFormat="1" ht="27.75" customHeight="1" thickBot="1" x14ac:dyDescent="0.4">
      <c r="A123" s="108" t="str">
        <f t="shared" si="21"/>
        <v>X</v>
      </c>
      <c r="B123" s="218" t="s">
        <v>77</v>
      </c>
      <c r="C123" s="649"/>
      <c r="D123" s="649">
        <f>SUM(D49:D121)</f>
        <v>83</v>
      </c>
      <c r="E123" s="60">
        <f>COUNTIF(A49:A122,"X")</f>
        <v>62</v>
      </c>
      <c r="F123" s="780">
        <v>57</v>
      </c>
      <c r="G123" s="46">
        <f>G57+G65+G73+G84+G97+G103+G122</f>
        <v>4797</v>
      </c>
      <c r="H123" s="47">
        <f>H57+H65+H73+H84+H97+H103+H122</f>
        <v>3358</v>
      </c>
      <c r="I123" s="48">
        <f>J123/G123</f>
        <v>0.27893475088597036</v>
      </c>
      <c r="J123" s="49">
        <f>J57+J65+J73+J84+J97+J103+J122</f>
        <v>1338.05</v>
      </c>
      <c r="K123" s="50">
        <f>L123/G123</f>
        <v>0.39968938920158437</v>
      </c>
      <c r="L123" s="49">
        <f>L57+L65+L73+L84+L97+L103+L122</f>
        <v>1917.3100000000002</v>
      </c>
      <c r="M123" s="61">
        <f>N123/(SUM(L66:L79))</f>
        <v>0.44169622277623599</v>
      </c>
      <c r="N123" s="62">
        <f t="shared" ref="N123:V123" si="32">N57+N65+N73+N84+N97+N103+N122</f>
        <v>93.900200000000012</v>
      </c>
      <c r="O123" s="51">
        <f t="shared" si="32"/>
        <v>42</v>
      </c>
      <c r="P123" s="47">
        <f t="shared" si="32"/>
        <v>16</v>
      </c>
      <c r="Q123" s="51">
        <f t="shared" si="32"/>
        <v>77</v>
      </c>
      <c r="R123" s="47">
        <f t="shared" si="32"/>
        <v>34</v>
      </c>
      <c r="S123" s="51">
        <f t="shared" si="32"/>
        <v>740</v>
      </c>
      <c r="T123" s="47">
        <f t="shared" si="32"/>
        <v>456</v>
      </c>
      <c r="U123" s="51">
        <f t="shared" si="32"/>
        <v>92</v>
      </c>
      <c r="V123" s="52">
        <f t="shared" si="32"/>
        <v>49</v>
      </c>
      <c r="W123" s="107"/>
      <c r="X123" s="368"/>
      <c r="Y123" s="368"/>
      <c r="AB123" s="2"/>
    </row>
    <row r="124" spans="1:28" s="737" customFormat="1" ht="31.5" hidden="1" customHeight="1" thickBot="1" x14ac:dyDescent="0.4">
      <c r="A124" s="108" t="str">
        <f t="shared" si="21"/>
        <v/>
      </c>
      <c r="B124" s="726" t="s">
        <v>66</v>
      </c>
      <c r="C124" s="727"/>
      <c r="D124" s="727">
        <f>D123+D48</f>
        <v>102</v>
      </c>
      <c r="E124" s="738"/>
      <c r="F124" s="762">
        <v>95</v>
      </c>
      <c r="G124" s="739">
        <f>G48+G123</f>
        <v>5191</v>
      </c>
      <c r="H124" s="740">
        <f>H48+H123</f>
        <v>3593</v>
      </c>
      <c r="I124" s="741">
        <f>J124/G124</f>
        <v>0.27490271623964552</v>
      </c>
      <c r="J124" s="742">
        <f>J48+J123</f>
        <v>1427.02</v>
      </c>
      <c r="K124" s="743">
        <f>L124/G124</f>
        <v>0.38650163744943172</v>
      </c>
      <c r="L124" s="742">
        <f>L48+L123</f>
        <v>2006.3300000000002</v>
      </c>
      <c r="M124" s="744">
        <f>N124/(L5+L36+L37+L39+L41+L46+SUM(L66:L79))</f>
        <v>0.67805865244789154</v>
      </c>
      <c r="N124" s="745">
        <f>N5+N36+N37+N39+N41+N46+SUM(N66:N79)</f>
        <v>167.86020000000002</v>
      </c>
      <c r="O124" s="746"/>
      <c r="P124" s="740"/>
      <c r="Q124" s="746"/>
      <c r="R124" s="740"/>
      <c r="S124" s="746"/>
      <c r="T124" s="740"/>
      <c r="U124" s="746"/>
      <c r="V124" s="747"/>
      <c r="W124" s="748"/>
      <c r="X124" s="749"/>
      <c r="Y124" s="749"/>
      <c r="AB124" s="2"/>
    </row>
    <row r="125" spans="1:28" x14ac:dyDescent="0.35">
      <c r="A125" s="108" t="s">
        <v>208</v>
      </c>
      <c r="B125" s="5"/>
      <c r="C125" s="35"/>
      <c r="D125" s="35"/>
      <c r="E125" s="5"/>
      <c r="F125" s="35"/>
      <c r="G125" s="35"/>
      <c r="H125" s="35"/>
      <c r="I125" s="36"/>
      <c r="J125" s="41"/>
      <c r="K125" s="36"/>
      <c r="L125" s="41"/>
      <c r="M125" s="1077" t="s">
        <v>68</v>
      </c>
      <c r="N125" s="1077"/>
      <c r="O125" s="35"/>
      <c r="P125" s="35"/>
      <c r="Q125" s="35"/>
      <c r="R125" s="35"/>
      <c r="S125" s="35"/>
      <c r="T125" s="35"/>
      <c r="U125" s="35"/>
      <c r="V125" s="35"/>
      <c r="AB125" s="2" t="str">
        <f t="shared" si="22"/>
        <v/>
      </c>
    </row>
    <row r="126" spans="1:28" x14ac:dyDescent="0.35">
      <c r="A126" s="108" t="s">
        <v>208</v>
      </c>
      <c r="E126" s="114" t="s">
        <v>67</v>
      </c>
      <c r="F126" s="812" t="s">
        <v>209</v>
      </c>
    </row>
    <row r="127" spans="1:28" x14ac:dyDescent="0.35">
      <c r="A127" s="108" t="s">
        <v>208</v>
      </c>
      <c r="E127" s="1" t="s">
        <v>60</v>
      </c>
      <c r="F127" s="2">
        <f>COUNTIF(AB$5:AB$121,$E127)</f>
        <v>21</v>
      </c>
      <c r="G127" s="2">
        <f>COUNTBLANK(G5:G121)</f>
        <v>61</v>
      </c>
    </row>
    <row r="128" spans="1:28" x14ac:dyDescent="0.35">
      <c r="A128" s="108" t="s">
        <v>208</v>
      </c>
      <c r="E128" s="1" t="s">
        <v>61</v>
      </c>
      <c r="F128" s="2">
        <f t="shared" ref="F128:F129" si="33">COUNTIF(AB$5:AB$121,$E128)</f>
        <v>8</v>
      </c>
    </row>
    <row r="129" spans="1:6" x14ac:dyDescent="0.35">
      <c r="A129" s="108" t="s">
        <v>208</v>
      </c>
      <c r="E129" s="965" t="s">
        <v>62</v>
      </c>
      <c r="F129" s="115">
        <f t="shared" si="33"/>
        <v>17</v>
      </c>
    </row>
    <row r="130" spans="1:6" x14ac:dyDescent="0.35">
      <c r="A130" s="108" t="s">
        <v>208</v>
      </c>
      <c r="E130" s="979" t="s">
        <v>66</v>
      </c>
      <c r="F130" s="980">
        <f t="shared" ref="F130" si="34">SUM(F127:F129)</f>
        <v>46</v>
      </c>
    </row>
    <row r="138" spans="1:6" ht="15" customHeight="1" x14ac:dyDescent="0.35"/>
    <row r="139" spans="1:6" ht="15" customHeight="1" x14ac:dyDescent="0.35"/>
    <row r="140" spans="1:6" ht="15" customHeight="1" x14ac:dyDescent="0.35"/>
    <row r="141" spans="1:6" ht="15" customHeight="1" x14ac:dyDescent="0.35"/>
    <row r="142" spans="1:6" ht="15" customHeight="1" x14ac:dyDescent="0.35"/>
    <row r="143" spans="1:6" ht="15" customHeight="1" x14ac:dyDescent="0.35"/>
    <row r="144" spans="1:6" ht="15" customHeight="1" x14ac:dyDescent="0.35"/>
    <row r="145" ht="15" customHeight="1" x14ac:dyDescent="0.35"/>
    <row r="146" ht="15" customHeight="1" x14ac:dyDescent="0.35"/>
    <row r="147" ht="15.75" customHeight="1" x14ac:dyDescent="0.35"/>
    <row r="148" ht="15.75" customHeight="1" x14ac:dyDescent="0.35"/>
    <row r="149" ht="15" customHeight="1" x14ac:dyDescent="0.35"/>
    <row r="150" ht="15" customHeight="1" x14ac:dyDescent="0.35"/>
    <row r="151" ht="15" customHeight="1" x14ac:dyDescent="0.35"/>
    <row r="152" ht="15" customHeight="1" x14ac:dyDescent="0.35"/>
  </sheetData>
  <autoFilter ref="A1:V130" xr:uid="{00000000-0009-0000-0000-000001000000}">
    <filterColumn colId="0">
      <customFilters>
        <customFilter operator="notEqual" val=" "/>
      </customFilters>
    </filterColumn>
  </autoFilter>
  <mergeCells count="47">
    <mergeCell ref="D58:D64"/>
    <mergeCell ref="D85:D96"/>
    <mergeCell ref="M125:N125"/>
    <mergeCell ref="D66:D72"/>
    <mergeCell ref="D104:D121"/>
    <mergeCell ref="D74:D83"/>
    <mergeCell ref="D98:D102"/>
    <mergeCell ref="D49:D56"/>
    <mergeCell ref="F2:F4"/>
    <mergeCell ref="J2:J4"/>
    <mergeCell ref="L2:L4"/>
    <mergeCell ref="N2:N4"/>
    <mergeCell ref="E2:E4"/>
    <mergeCell ref="D7:D22"/>
    <mergeCell ref="B2:B4"/>
    <mergeCell ref="S2:T2"/>
    <mergeCell ref="D2:D4"/>
    <mergeCell ref="D24:D34"/>
    <mergeCell ref="D36:D46"/>
    <mergeCell ref="C2:C4"/>
    <mergeCell ref="B24:B35"/>
    <mergeCell ref="B36:B47"/>
    <mergeCell ref="C24:C35"/>
    <mergeCell ref="C36:C47"/>
    <mergeCell ref="B7:B23"/>
    <mergeCell ref="C7:C23"/>
    <mergeCell ref="U2:V2"/>
    <mergeCell ref="Q2:R2"/>
    <mergeCell ref="O2:P2"/>
    <mergeCell ref="G2:H2"/>
    <mergeCell ref="I2:I4"/>
    <mergeCell ref="K2:K4"/>
    <mergeCell ref="M2:M4"/>
    <mergeCell ref="B49:B57"/>
    <mergeCell ref="C49:C57"/>
    <mergeCell ref="C66:C73"/>
    <mergeCell ref="C74:C84"/>
    <mergeCell ref="B104:B122"/>
    <mergeCell ref="B74:B84"/>
    <mergeCell ref="B98:B103"/>
    <mergeCell ref="C98:C103"/>
    <mergeCell ref="B85:B97"/>
    <mergeCell ref="C85:C97"/>
    <mergeCell ref="C104:C122"/>
    <mergeCell ref="B66:B73"/>
    <mergeCell ref="B58:B65"/>
    <mergeCell ref="C58:C65"/>
  </mergeCells>
  <pageMargins left="0.23622047244094491" right="0.23622047244094491" top="0.35433070866141736" bottom="0.15748031496062992" header="0.31496062992125984" footer="0.31496062992125984"/>
  <pageSetup paperSize="9" scale="65" orientation="landscape" horizontalDpi="300" verticalDpi="300" r:id="rId1"/>
  <ignoredErrors>
    <ignoredError sqref="I48 K48 I123:I124 M47:M48 I46:K47 I35:N35 I122:M122 I84:N84 K123:K124 I121:L121 I104:L108 I98:M98 I88:K90 M88:N90 I72:N79 I66:N66 I68:N69 J117:L118 I57:N57" formula="1"/>
    <ignoredError sqref="H35 N122" formulaRange="1"/>
    <ignoredError sqref="M123" evalError="1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rgb="FF00B050"/>
    <pageSetUpPr fitToPage="1"/>
  </sheetPr>
  <dimension ref="A1:AB152"/>
  <sheetViews>
    <sheetView zoomScale="70" zoomScaleNormal="70" workbookViewId="0">
      <pane xSplit="6" ySplit="4" topLeftCell="G5" activePane="bottomRight" state="frozen"/>
      <selection activeCell="I114" sqref="I114"/>
      <selection pane="topRight" activeCell="I114" sqref="I114"/>
      <selection pane="bottomLeft" activeCell="I114" sqref="I114"/>
      <selection pane="bottomRight" activeCell="I114" sqref="I114"/>
    </sheetView>
  </sheetViews>
  <sheetFormatPr baseColWidth="10" defaultColWidth="11.453125" defaultRowHeight="14.5" x14ac:dyDescent="0.35"/>
  <cols>
    <col min="1" max="1" width="3" style="108" customWidth="1"/>
    <col min="2" max="2" width="33.7265625" style="1" customWidth="1"/>
    <col min="3" max="3" width="11.54296875" style="2" customWidth="1"/>
    <col min="4" max="4" width="8.453125" style="2" customWidth="1"/>
    <col min="5" max="5" width="42.81640625" style="1" bestFit="1" customWidth="1"/>
    <col min="6" max="6" width="11.1796875" style="2" customWidth="1"/>
    <col min="7" max="7" width="11.453125" style="2"/>
    <col min="8" max="8" width="11.453125" style="2" customWidth="1"/>
    <col min="9" max="9" width="11.453125" style="3" customWidth="1"/>
    <col min="10" max="10" width="11.453125" style="4" customWidth="1"/>
    <col min="11" max="11" width="11.453125" style="3" customWidth="1"/>
    <col min="12" max="12" width="11.453125" style="4" customWidth="1"/>
    <col min="13" max="13" width="11.453125" style="3" customWidth="1"/>
    <col min="14" max="14" width="11.453125" style="4" customWidth="1"/>
    <col min="15" max="22" width="7.54296875" style="2" customWidth="1"/>
    <col min="23" max="23" width="5.26953125" style="2" customWidth="1"/>
    <col min="24" max="24" width="11.453125" style="1" customWidth="1"/>
    <col min="25" max="27" width="11.453125" style="1"/>
    <col min="28" max="28" width="11.453125" style="2"/>
    <col min="29" max="16384" width="11.453125" style="1"/>
  </cols>
  <sheetData>
    <row r="1" spans="1:28" s="108" customFormat="1" ht="17.25" customHeight="1" thickBot="1" x14ac:dyDescent="0.4">
      <c r="C1" s="111"/>
      <c r="D1" s="111"/>
      <c r="F1" s="111"/>
      <c r="G1" s="111"/>
      <c r="H1" s="111"/>
      <c r="I1" s="112"/>
      <c r="J1" s="113"/>
      <c r="K1" s="112"/>
      <c r="L1" s="113"/>
      <c r="M1" s="112"/>
      <c r="N1" s="113"/>
      <c r="O1" s="111"/>
      <c r="P1" s="111"/>
      <c r="Q1" s="111"/>
      <c r="R1" s="111"/>
      <c r="S1" s="111"/>
      <c r="T1" s="111"/>
      <c r="U1" s="111"/>
      <c r="V1" s="111"/>
      <c r="W1" s="111"/>
      <c r="AB1" s="111"/>
    </row>
    <row r="2" spans="1:28" s="6" customFormat="1" ht="30" customHeight="1" thickBot="1" x14ac:dyDescent="0.4">
      <c r="A2" s="109" t="s">
        <v>208</v>
      </c>
      <c r="B2" s="1048" t="s">
        <v>53</v>
      </c>
      <c r="C2" s="1049" t="s">
        <v>74</v>
      </c>
      <c r="D2" s="1049" t="s">
        <v>69</v>
      </c>
      <c r="E2" s="1069" t="s">
        <v>79</v>
      </c>
      <c r="F2" s="1041" t="s">
        <v>59</v>
      </c>
      <c r="G2" s="1045" t="s">
        <v>54</v>
      </c>
      <c r="H2" s="1044"/>
      <c r="I2" s="1046" t="s">
        <v>55</v>
      </c>
      <c r="J2" s="1097" t="s">
        <v>63</v>
      </c>
      <c r="K2" s="1046" t="s">
        <v>56</v>
      </c>
      <c r="L2" s="1097" t="s">
        <v>65</v>
      </c>
      <c r="M2" s="1046" t="s">
        <v>57</v>
      </c>
      <c r="N2" s="1097" t="s">
        <v>64</v>
      </c>
      <c r="O2" s="1043" t="s">
        <v>39</v>
      </c>
      <c r="P2" s="1044"/>
      <c r="Q2" s="1043" t="s">
        <v>40</v>
      </c>
      <c r="R2" s="1044"/>
      <c r="S2" s="1043" t="s">
        <v>41</v>
      </c>
      <c r="T2" s="1044"/>
      <c r="U2" s="1041" t="s">
        <v>42</v>
      </c>
      <c r="V2" s="1042"/>
      <c r="W2" s="371"/>
      <c r="AB2" s="981"/>
    </row>
    <row r="3" spans="1:28" s="6" customFormat="1" ht="30" customHeight="1" thickBot="1" x14ac:dyDescent="0.4">
      <c r="A3" s="109" t="s">
        <v>208</v>
      </c>
      <c r="B3" s="1048"/>
      <c r="C3" s="1049"/>
      <c r="D3" s="1049"/>
      <c r="E3" s="1069"/>
      <c r="F3" s="1065"/>
      <c r="G3" s="225"/>
      <c r="H3" s="222"/>
      <c r="I3" s="1046"/>
      <c r="J3" s="1097"/>
      <c r="K3" s="1046"/>
      <c r="L3" s="1097"/>
      <c r="M3" s="1046"/>
      <c r="N3" s="1097"/>
      <c r="O3" s="221"/>
      <c r="P3" s="222"/>
      <c r="Q3" s="221"/>
      <c r="R3" s="222"/>
      <c r="S3" s="221"/>
      <c r="T3" s="222"/>
      <c r="U3" s="223"/>
      <c r="V3" s="224"/>
      <c r="W3" s="371"/>
      <c r="AB3" s="981"/>
    </row>
    <row r="4" spans="1:28" s="6" customFormat="1" ht="30" customHeight="1" thickBot="1" x14ac:dyDescent="0.4">
      <c r="A4" s="109" t="s">
        <v>208</v>
      </c>
      <c r="B4" s="1048"/>
      <c r="C4" s="1049"/>
      <c r="D4" s="1049"/>
      <c r="E4" s="1069"/>
      <c r="F4" s="1066"/>
      <c r="G4" s="31" t="s">
        <v>43</v>
      </c>
      <c r="H4" s="32" t="s">
        <v>44</v>
      </c>
      <c r="I4" s="1046"/>
      <c r="J4" s="1097"/>
      <c r="K4" s="1046"/>
      <c r="L4" s="1097"/>
      <c r="M4" s="1046"/>
      <c r="N4" s="1097"/>
      <c r="O4" s="33" t="s">
        <v>43</v>
      </c>
      <c r="P4" s="32" t="s">
        <v>44</v>
      </c>
      <c r="Q4" s="33" t="s">
        <v>43</v>
      </c>
      <c r="R4" s="32" t="s">
        <v>44</v>
      </c>
      <c r="S4" s="33" t="s">
        <v>43</v>
      </c>
      <c r="T4" s="32" t="s">
        <v>44</v>
      </c>
      <c r="U4" s="33" t="s">
        <v>43</v>
      </c>
      <c r="V4" s="34" t="s">
        <v>44</v>
      </c>
      <c r="W4" s="371"/>
      <c r="AB4" s="981">
        <v>2020</v>
      </c>
    </row>
    <row r="5" spans="1:28" ht="15.5" x14ac:dyDescent="0.35">
      <c r="A5" s="108" t="str">
        <f>IF(D5="Sous-total","X",IF(E5="","","X"))</f>
        <v>X</v>
      </c>
      <c r="B5" s="170" t="s">
        <v>86</v>
      </c>
      <c r="C5" s="540" t="s">
        <v>75</v>
      </c>
      <c r="D5" s="156">
        <v>2</v>
      </c>
      <c r="E5" s="157" t="s">
        <v>71</v>
      </c>
      <c r="F5" s="158" t="s">
        <v>60</v>
      </c>
      <c r="G5" s="159">
        <v>102</v>
      </c>
      <c r="H5" s="160">
        <v>94</v>
      </c>
      <c r="I5" s="171">
        <f>J5/G5</f>
        <v>1.9607843137254902E-2</v>
      </c>
      <c r="J5" s="387">
        <v>2</v>
      </c>
      <c r="K5" s="388">
        <f>L5/G5</f>
        <v>0.17647058823529413</v>
      </c>
      <c r="L5" s="387">
        <v>18</v>
      </c>
      <c r="M5" s="388">
        <f>IF(N5="-","-",N5/L5)</f>
        <v>0.1111111111111111</v>
      </c>
      <c r="N5" s="176">
        <v>2</v>
      </c>
      <c r="O5" s="180"/>
      <c r="P5" s="181"/>
      <c r="Q5" s="180"/>
      <c r="R5" s="181"/>
      <c r="S5" s="172"/>
      <c r="T5" s="173"/>
      <c r="U5" s="172"/>
      <c r="V5" s="174"/>
      <c r="W5" s="372"/>
      <c r="AB5" s="2" t="str">
        <f t="shared" ref="AB5:AB36" si="0">IF(G5&gt;0,$F5,"")</f>
        <v>France</v>
      </c>
    </row>
    <row r="6" spans="1:28" ht="15.5" x14ac:dyDescent="0.35">
      <c r="A6" s="108" t="str">
        <f t="shared" ref="A6:A69" si="1">IF(D6="Sous-total","X",IF(E6="","","X"))</f>
        <v>X</v>
      </c>
      <c r="B6" s="633" t="s">
        <v>167</v>
      </c>
      <c r="C6" s="539" t="s">
        <v>75</v>
      </c>
      <c r="D6" s="541"/>
      <c r="E6" s="634" t="s">
        <v>168</v>
      </c>
      <c r="F6" s="635" t="s">
        <v>60</v>
      </c>
      <c r="G6" s="636"/>
      <c r="H6" s="150"/>
      <c r="I6" s="483" t="e">
        <f>J6/G6</f>
        <v>#DIV/0!</v>
      </c>
      <c r="J6" s="637"/>
      <c r="K6" s="148" t="e">
        <f>L6/G6</f>
        <v>#DIV/0!</v>
      </c>
      <c r="L6" s="637"/>
      <c r="M6" s="148" t="e">
        <f>IF(N6="-","-",N6/L6)</f>
        <v>#DIV/0!</v>
      </c>
      <c r="N6" s="638"/>
      <c r="O6" s="188"/>
      <c r="P6" s="189"/>
      <c r="Q6" s="188"/>
      <c r="R6" s="189"/>
      <c r="S6" s="242"/>
      <c r="T6" s="243"/>
      <c r="U6" s="242"/>
      <c r="V6" s="244"/>
      <c r="W6" s="372"/>
      <c r="AB6" s="2" t="str">
        <f t="shared" si="0"/>
        <v/>
      </c>
    </row>
    <row r="7" spans="1:28" ht="15" customHeight="1" x14ac:dyDescent="0.35">
      <c r="A7" s="108" t="str">
        <f t="shared" si="1"/>
        <v>X</v>
      </c>
      <c r="B7" s="1033" t="s">
        <v>172</v>
      </c>
      <c r="C7" s="1026" t="s">
        <v>75</v>
      </c>
      <c r="D7" s="1096"/>
      <c r="E7" s="161" t="s">
        <v>186</v>
      </c>
      <c r="F7" s="447" t="s">
        <v>60</v>
      </c>
      <c r="G7" s="291"/>
      <c r="H7" s="289"/>
      <c r="I7" s="129" t="e">
        <f t="shared" ref="I7:I22" si="2">J7/G7</f>
        <v>#DIV/0!</v>
      </c>
      <c r="J7" s="389"/>
      <c r="K7" s="128" t="e">
        <f t="shared" ref="K7:K22" si="3">L7/G7</f>
        <v>#DIV/0!</v>
      </c>
      <c r="L7" s="389"/>
      <c r="M7" s="128" t="str">
        <f>IF(N7="-","-",N7/L7)</f>
        <v>-</v>
      </c>
      <c r="N7" s="177" t="s">
        <v>21</v>
      </c>
      <c r="O7" s="182" t="s">
        <v>21</v>
      </c>
      <c r="P7" s="183" t="s">
        <v>21</v>
      </c>
      <c r="Q7" s="182" t="s">
        <v>21</v>
      </c>
      <c r="R7" s="183" t="s">
        <v>21</v>
      </c>
      <c r="S7" s="130" t="s">
        <v>21</v>
      </c>
      <c r="T7" s="127" t="s">
        <v>21</v>
      </c>
      <c r="U7" s="130" t="s">
        <v>21</v>
      </c>
      <c r="V7" s="152" t="s">
        <v>21</v>
      </c>
      <c r="W7" s="372"/>
      <c r="AB7" s="2" t="str">
        <f t="shared" si="0"/>
        <v/>
      </c>
    </row>
    <row r="8" spans="1:28" ht="15" customHeight="1" x14ac:dyDescent="0.35">
      <c r="A8" s="108" t="str">
        <f t="shared" si="1"/>
        <v>X</v>
      </c>
      <c r="B8" s="1034"/>
      <c r="C8" s="1027"/>
      <c r="D8" s="1096"/>
      <c r="E8" s="163" t="s">
        <v>187</v>
      </c>
      <c r="F8" s="454" t="s">
        <v>60</v>
      </c>
      <c r="G8" s="292"/>
      <c r="H8" s="290"/>
      <c r="I8" s="135" t="e">
        <f t="shared" si="2"/>
        <v>#DIV/0!</v>
      </c>
      <c r="J8" s="390"/>
      <c r="K8" s="134" t="e">
        <f t="shared" si="3"/>
        <v>#DIV/0!</v>
      </c>
      <c r="L8" s="390"/>
      <c r="M8" s="134" t="str">
        <f t="shared" ref="M8:M22" si="4">IF(N8="-","-",N8/L8)</f>
        <v>-</v>
      </c>
      <c r="N8" s="178" t="s">
        <v>21</v>
      </c>
      <c r="O8" s="184" t="s">
        <v>21</v>
      </c>
      <c r="P8" s="185" t="s">
        <v>21</v>
      </c>
      <c r="Q8" s="184" t="s">
        <v>21</v>
      </c>
      <c r="R8" s="185" t="s">
        <v>21</v>
      </c>
      <c r="S8" s="136" t="s">
        <v>21</v>
      </c>
      <c r="T8" s="133" t="s">
        <v>21</v>
      </c>
      <c r="U8" s="136" t="s">
        <v>21</v>
      </c>
      <c r="V8" s="140" t="s">
        <v>21</v>
      </c>
      <c r="W8" s="372"/>
      <c r="AB8" s="2" t="str">
        <f t="shared" si="0"/>
        <v/>
      </c>
    </row>
    <row r="9" spans="1:28" ht="15" customHeight="1" x14ac:dyDescent="0.35">
      <c r="A9" s="108" t="str">
        <f t="shared" si="1"/>
        <v>X</v>
      </c>
      <c r="B9" s="1034"/>
      <c r="C9" s="1027"/>
      <c r="D9" s="1096"/>
      <c r="E9" s="163" t="s">
        <v>188</v>
      </c>
      <c r="F9" s="454" t="s">
        <v>60</v>
      </c>
      <c r="G9" s="292"/>
      <c r="H9" s="290"/>
      <c r="I9" s="135" t="e">
        <f t="shared" ref="I9:I21" si="5">J9/G9</f>
        <v>#DIV/0!</v>
      </c>
      <c r="J9" s="390"/>
      <c r="K9" s="134" t="e">
        <f t="shared" ref="K9:K21" si="6">L9/G9</f>
        <v>#DIV/0!</v>
      </c>
      <c r="L9" s="390"/>
      <c r="M9" s="134" t="str">
        <f t="shared" ref="M9:M21" si="7">IF(N9="-","-",N9/L9)</f>
        <v>-</v>
      </c>
      <c r="N9" s="178" t="s">
        <v>21</v>
      </c>
      <c r="O9" s="184" t="s">
        <v>21</v>
      </c>
      <c r="P9" s="185" t="s">
        <v>21</v>
      </c>
      <c r="Q9" s="184" t="s">
        <v>21</v>
      </c>
      <c r="R9" s="185" t="s">
        <v>21</v>
      </c>
      <c r="S9" s="136" t="s">
        <v>21</v>
      </c>
      <c r="T9" s="133" t="s">
        <v>21</v>
      </c>
      <c r="U9" s="136" t="s">
        <v>21</v>
      </c>
      <c r="V9" s="140" t="s">
        <v>21</v>
      </c>
      <c r="W9" s="372"/>
      <c r="AB9" s="2" t="str">
        <f t="shared" si="0"/>
        <v/>
      </c>
    </row>
    <row r="10" spans="1:28" ht="15" customHeight="1" x14ac:dyDescent="0.35">
      <c r="A10" s="108" t="str">
        <f t="shared" si="1"/>
        <v>X</v>
      </c>
      <c r="B10" s="1034"/>
      <c r="C10" s="1027"/>
      <c r="D10" s="1096"/>
      <c r="E10" s="163" t="s">
        <v>189</v>
      </c>
      <c r="F10" s="454" t="s">
        <v>60</v>
      </c>
      <c r="G10" s="292"/>
      <c r="H10" s="290"/>
      <c r="I10" s="135" t="e">
        <f t="shared" si="5"/>
        <v>#DIV/0!</v>
      </c>
      <c r="J10" s="390"/>
      <c r="K10" s="134" t="e">
        <f t="shared" si="6"/>
        <v>#DIV/0!</v>
      </c>
      <c r="L10" s="390"/>
      <c r="M10" s="134" t="str">
        <f t="shared" si="7"/>
        <v>-</v>
      </c>
      <c r="N10" s="178" t="s">
        <v>21</v>
      </c>
      <c r="O10" s="184" t="s">
        <v>21</v>
      </c>
      <c r="P10" s="185" t="s">
        <v>21</v>
      </c>
      <c r="Q10" s="184" t="s">
        <v>21</v>
      </c>
      <c r="R10" s="185" t="s">
        <v>21</v>
      </c>
      <c r="S10" s="136" t="s">
        <v>21</v>
      </c>
      <c r="T10" s="133" t="s">
        <v>21</v>
      </c>
      <c r="U10" s="136" t="s">
        <v>21</v>
      </c>
      <c r="V10" s="140" t="s">
        <v>21</v>
      </c>
      <c r="W10" s="372"/>
      <c r="AB10" s="2" t="str">
        <f t="shared" si="0"/>
        <v/>
      </c>
    </row>
    <row r="11" spans="1:28" ht="15" customHeight="1" x14ac:dyDescent="0.35">
      <c r="A11" s="108" t="str">
        <f t="shared" si="1"/>
        <v>X</v>
      </c>
      <c r="B11" s="1034"/>
      <c r="C11" s="1027"/>
      <c r="D11" s="1096"/>
      <c r="E11" s="163" t="s">
        <v>190</v>
      </c>
      <c r="F11" s="454" t="s">
        <v>60</v>
      </c>
      <c r="G11" s="292"/>
      <c r="H11" s="290"/>
      <c r="I11" s="135" t="e">
        <f t="shared" si="5"/>
        <v>#DIV/0!</v>
      </c>
      <c r="J11" s="390"/>
      <c r="K11" s="134" t="e">
        <f t="shared" si="6"/>
        <v>#DIV/0!</v>
      </c>
      <c r="L11" s="390"/>
      <c r="M11" s="134" t="str">
        <f t="shared" si="7"/>
        <v>-</v>
      </c>
      <c r="N11" s="178" t="s">
        <v>21</v>
      </c>
      <c r="O11" s="184" t="s">
        <v>21</v>
      </c>
      <c r="P11" s="185" t="s">
        <v>21</v>
      </c>
      <c r="Q11" s="184" t="s">
        <v>21</v>
      </c>
      <c r="R11" s="185" t="s">
        <v>21</v>
      </c>
      <c r="S11" s="136" t="s">
        <v>21</v>
      </c>
      <c r="T11" s="133" t="s">
        <v>21</v>
      </c>
      <c r="U11" s="136" t="s">
        <v>21</v>
      </c>
      <c r="V11" s="140" t="s">
        <v>21</v>
      </c>
      <c r="W11" s="372"/>
      <c r="AB11" s="2" t="str">
        <f t="shared" si="0"/>
        <v/>
      </c>
    </row>
    <row r="12" spans="1:28" ht="15" customHeight="1" x14ac:dyDescent="0.35">
      <c r="A12" s="108" t="str">
        <f t="shared" si="1"/>
        <v>X</v>
      </c>
      <c r="B12" s="1034"/>
      <c r="C12" s="1027"/>
      <c r="D12" s="1096"/>
      <c r="E12" s="163" t="s">
        <v>191</v>
      </c>
      <c r="F12" s="454" t="s">
        <v>62</v>
      </c>
      <c r="G12" s="292"/>
      <c r="H12" s="290"/>
      <c r="I12" s="135" t="e">
        <f t="shared" si="5"/>
        <v>#DIV/0!</v>
      </c>
      <c r="J12" s="390"/>
      <c r="K12" s="134" t="e">
        <f t="shared" si="6"/>
        <v>#DIV/0!</v>
      </c>
      <c r="L12" s="390"/>
      <c r="M12" s="134" t="str">
        <f t="shared" si="7"/>
        <v>-</v>
      </c>
      <c r="N12" s="178" t="s">
        <v>21</v>
      </c>
      <c r="O12" s="184" t="s">
        <v>21</v>
      </c>
      <c r="P12" s="185" t="s">
        <v>21</v>
      </c>
      <c r="Q12" s="184" t="s">
        <v>21</v>
      </c>
      <c r="R12" s="185" t="s">
        <v>21</v>
      </c>
      <c r="S12" s="136" t="s">
        <v>21</v>
      </c>
      <c r="T12" s="133" t="s">
        <v>21</v>
      </c>
      <c r="U12" s="136" t="s">
        <v>21</v>
      </c>
      <c r="V12" s="140" t="s">
        <v>21</v>
      </c>
      <c r="W12" s="372"/>
      <c r="AB12" s="2" t="str">
        <f t="shared" si="0"/>
        <v/>
      </c>
    </row>
    <row r="13" spans="1:28" ht="15" customHeight="1" x14ac:dyDescent="0.35">
      <c r="A13" s="108" t="str">
        <f t="shared" si="1"/>
        <v>X</v>
      </c>
      <c r="B13" s="1034"/>
      <c r="C13" s="1027"/>
      <c r="D13" s="1096"/>
      <c r="E13" s="163" t="s">
        <v>192</v>
      </c>
      <c r="F13" s="454" t="s">
        <v>60</v>
      </c>
      <c r="G13" s="292"/>
      <c r="H13" s="290"/>
      <c r="I13" s="135" t="e">
        <f t="shared" si="5"/>
        <v>#DIV/0!</v>
      </c>
      <c r="J13" s="390"/>
      <c r="K13" s="134" t="e">
        <f t="shared" si="6"/>
        <v>#DIV/0!</v>
      </c>
      <c r="L13" s="390"/>
      <c r="M13" s="134" t="str">
        <f t="shared" si="7"/>
        <v>-</v>
      </c>
      <c r="N13" s="178" t="s">
        <v>21</v>
      </c>
      <c r="O13" s="184" t="s">
        <v>21</v>
      </c>
      <c r="P13" s="185" t="s">
        <v>21</v>
      </c>
      <c r="Q13" s="184" t="s">
        <v>21</v>
      </c>
      <c r="R13" s="185" t="s">
        <v>21</v>
      </c>
      <c r="S13" s="136" t="s">
        <v>21</v>
      </c>
      <c r="T13" s="133" t="s">
        <v>21</v>
      </c>
      <c r="U13" s="136" t="s">
        <v>21</v>
      </c>
      <c r="V13" s="140" t="s">
        <v>21</v>
      </c>
      <c r="W13" s="372"/>
      <c r="AB13" s="2" t="str">
        <f t="shared" si="0"/>
        <v/>
      </c>
    </row>
    <row r="14" spans="1:28" ht="15" customHeight="1" x14ac:dyDescent="0.35">
      <c r="A14" s="108" t="str">
        <f t="shared" si="1"/>
        <v>X</v>
      </c>
      <c r="B14" s="1034"/>
      <c r="C14" s="1027"/>
      <c r="D14" s="1096"/>
      <c r="E14" s="163" t="s">
        <v>193</v>
      </c>
      <c r="F14" s="454" t="s">
        <v>60</v>
      </c>
      <c r="G14" s="292"/>
      <c r="H14" s="290"/>
      <c r="I14" s="135" t="e">
        <f t="shared" si="5"/>
        <v>#DIV/0!</v>
      </c>
      <c r="J14" s="390"/>
      <c r="K14" s="134" t="e">
        <f t="shared" si="6"/>
        <v>#DIV/0!</v>
      </c>
      <c r="L14" s="390"/>
      <c r="M14" s="134" t="str">
        <f t="shared" si="7"/>
        <v>-</v>
      </c>
      <c r="N14" s="178" t="s">
        <v>21</v>
      </c>
      <c r="O14" s="184" t="s">
        <v>21</v>
      </c>
      <c r="P14" s="185" t="s">
        <v>21</v>
      </c>
      <c r="Q14" s="184" t="s">
        <v>21</v>
      </c>
      <c r="R14" s="185" t="s">
        <v>21</v>
      </c>
      <c r="S14" s="136" t="s">
        <v>21</v>
      </c>
      <c r="T14" s="133" t="s">
        <v>21</v>
      </c>
      <c r="U14" s="136" t="s">
        <v>21</v>
      </c>
      <c r="V14" s="140" t="s">
        <v>21</v>
      </c>
      <c r="W14" s="372"/>
      <c r="AB14" s="2" t="str">
        <f t="shared" si="0"/>
        <v/>
      </c>
    </row>
    <row r="15" spans="1:28" ht="15" customHeight="1" x14ac:dyDescent="0.35">
      <c r="A15" s="108" t="str">
        <f t="shared" si="1"/>
        <v>X</v>
      </c>
      <c r="B15" s="1034"/>
      <c r="C15" s="1027"/>
      <c r="D15" s="1096"/>
      <c r="E15" s="163" t="s">
        <v>194</v>
      </c>
      <c r="F15" s="454" t="s">
        <v>60</v>
      </c>
      <c r="G15" s="292"/>
      <c r="H15" s="290"/>
      <c r="I15" s="135" t="e">
        <f t="shared" si="5"/>
        <v>#DIV/0!</v>
      </c>
      <c r="J15" s="390"/>
      <c r="K15" s="134" t="e">
        <f t="shared" si="6"/>
        <v>#DIV/0!</v>
      </c>
      <c r="L15" s="390"/>
      <c r="M15" s="134" t="str">
        <f t="shared" si="7"/>
        <v>-</v>
      </c>
      <c r="N15" s="178" t="s">
        <v>21</v>
      </c>
      <c r="O15" s="184" t="s">
        <v>21</v>
      </c>
      <c r="P15" s="185" t="s">
        <v>21</v>
      </c>
      <c r="Q15" s="184" t="s">
        <v>21</v>
      </c>
      <c r="R15" s="185" t="s">
        <v>21</v>
      </c>
      <c r="S15" s="136" t="s">
        <v>21</v>
      </c>
      <c r="T15" s="133" t="s">
        <v>21</v>
      </c>
      <c r="U15" s="136" t="s">
        <v>21</v>
      </c>
      <c r="V15" s="140" t="s">
        <v>21</v>
      </c>
      <c r="W15" s="372"/>
      <c r="AB15" s="2" t="str">
        <f t="shared" si="0"/>
        <v/>
      </c>
    </row>
    <row r="16" spans="1:28" ht="15" customHeight="1" x14ac:dyDescent="0.35">
      <c r="A16" s="108" t="str">
        <f t="shared" si="1"/>
        <v>X</v>
      </c>
      <c r="B16" s="1034"/>
      <c r="C16" s="1027"/>
      <c r="D16" s="1096"/>
      <c r="E16" s="163" t="s">
        <v>195</v>
      </c>
      <c r="F16" s="454" t="s">
        <v>60</v>
      </c>
      <c r="G16" s="292"/>
      <c r="H16" s="290"/>
      <c r="I16" s="135" t="e">
        <f t="shared" si="5"/>
        <v>#DIV/0!</v>
      </c>
      <c r="J16" s="390"/>
      <c r="K16" s="134" t="e">
        <f t="shared" si="6"/>
        <v>#DIV/0!</v>
      </c>
      <c r="L16" s="390"/>
      <c r="M16" s="134" t="str">
        <f t="shared" si="7"/>
        <v>-</v>
      </c>
      <c r="N16" s="178" t="s">
        <v>21</v>
      </c>
      <c r="O16" s="184" t="s">
        <v>21</v>
      </c>
      <c r="P16" s="185" t="s">
        <v>21</v>
      </c>
      <c r="Q16" s="184" t="s">
        <v>21</v>
      </c>
      <c r="R16" s="185" t="s">
        <v>21</v>
      </c>
      <c r="S16" s="136" t="s">
        <v>21</v>
      </c>
      <c r="T16" s="133" t="s">
        <v>21</v>
      </c>
      <c r="U16" s="136" t="s">
        <v>21</v>
      </c>
      <c r="V16" s="140" t="s">
        <v>21</v>
      </c>
      <c r="W16" s="372"/>
      <c r="AB16" s="2" t="str">
        <f t="shared" si="0"/>
        <v/>
      </c>
    </row>
    <row r="17" spans="1:28" ht="15" customHeight="1" x14ac:dyDescent="0.35">
      <c r="A17" s="108" t="str">
        <f t="shared" si="1"/>
        <v>X</v>
      </c>
      <c r="B17" s="1034"/>
      <c r="C17" s="1027"/>
      <c r="D17" s="1096"/>
      <c r="E17" s="163" t="s">
        <v>196</v>
      </c>
      <c r="F17" s="454" t="s">
        <v>60</v>
      </c>
      <c r="G17" s="292"/>
      <c r="H17" s="290"/>
      <c r="I17" s="135" t="e">
        <f t="shared" si="5"/>
        <v>#DIV/0!</v>
      </c>
      <c r="J17" s="390"/>
      <c r="K17" s="134" t="e">
        <f t="shared" si="6"/>
        <v>#DIV/0!</v>
      </c>
      <c r="L17" s="390"/>
      <c r="M17" s="134" t="str">
        <f t="shared" si="7"/>
        <v>-</v>
      </c>
      <c r="N17" s="178" t="s">
        <v>21</v>
      </c>
      <c r="O17" s="184" t="s">
        <v>21</v>
      </c>
      <c r="P17" s="185" t="s">
        <v>21</v>
      </c>
      <c r="Q17" s="184" t="s">
        <v>21</v>
      </c>
      <c r="R17" s="185" t="s">
        <v>21</v>
      </c>
      <c r="S17" s="136" t="s">
        <v>21</v>
      </c>
      <c r="T17" s="133" t="s">
        <v>21</v>
      </c>
      <c r="U17" s="136" t="s">
        <v>21</v>
      </c>
      <c r="V17" s="140" t="s">
        <v>21</v>
      </c>
      <c r="W17" s="372"/>
      <c r="AB17" s="2" t="str">
        <f t="shared" si="0"/>
        <v/>
      </c>
    </row>
    <row r="18" spans="1:28" ht="15" customHeight="1" x14ac:dyDescent="0.35">
      <c r="A18" s="108" t="str">
        <f t="shared" si="1"/>
        <v>X</v>
      </c>
      <c r="B18" s="1034"/>
      <c r="C18" s="1027"/>
      <c r="D18" s="1096"/>
      <c r="E18" s="579" t="s">
        <v>197</v>
      </c>
      <c r="F18" s="454" t="s">
        <v>60</v>
      </c>
      <c r="G18" s="292"/>
      <c r="H18" s="290"/>
      <c r="I18" s="135" t="e">
        <f t="shared" si="5"/>
        <v>#DIV/0!</v>
      </c>
      <c r="J18" s="390"/>
      <c r="K18" s="134" t="e">
        <f t="shared" si="6"/>
        <v>#DIV/0!</v>
      </c>
      <c r="L18" s="390"/>
      <c r="M18" s="134" t="str">
        <f t="shared" si="7"/>
        <v>-</v>
      </c>
      <c r="N18" s="178" t="s">
        <v>21</v>
      </c>
      <c r="O18" s="184" t="s">
        <v>21</v>
      </c>
      <c r="P18" s="185" t="s">
        <v>21</v>
      </c>
      <c r="Q18" s="184" t="s">
        <v>21</v>
      </c>
      <c r="R18" s="185" t="s">
        <v>21</v>
      </c>
      <c r="S18" s="136" t="s">
        <v>21</v>
      </c>
      <c r="T18" s="133" t="s">
        <v>21</v>
      </c>
      <c r="U18" s="136" t="s">
        <v>21</v>
      </c>
      <c r="V18" s="140" t="s">
        <v>21</v>
      </c>
      <c r="W18" s="372"/>
      <c r="AB18" s="2" t="str">
        <f t="shared" si="0"/>
        <v/>
      </c>
    </row>
    <row r="19" spans="1:28" ht="15" customHeight="1" x14ac:dyDescent="0.35">
      <c r="A19" s="108" t="str">
        <f t="shared" si="1"/>
        <v>X</v>
      </c>
      <c r="B19" s="1034"/>
      <c r="C19" s="1027"/>
      <c r="D19" s="1096"/>
      <c r="E19" s="579" t="s">
        <v>198</v>
      </c>
      <c r="F19" s="454" t="s">
        <v>60</v>
      </c>
      <c r="G19" s="292"/>
      <c r="H19" s="290"/>
      <c r="I19" s="135" t="e">
        <f t="shared" si="5"/>
        <v>#DIV/0!</v>
      </c>
      <c r="J19" s="390"/>
      <c r="K19" s="134" t="e">
        <f t="shared" si="6"/>
        <v>#DIV/0!</v>
      </c>
      <c r="L19" s="390"/>
      <c r="M19" s="134" t="str">
        <f t="shared" si="7"/>
        <v>-</v>
      </c>
      <c r="N19" s="178" t="s">
        <v>21</v>
      </c>
      <c r="O19" s="184" t="s">
        <v>21</v>
      </c>
      <c r="P19" s="185" t="s">
        <v>21</v>
      </c>
      <c r="Q19" s="184" t="s">
        <v>21</v>
      </c>
      <c r="R19" s="185" t="s">
        <v>21</v>
      </c>
      <c r="S19" s="136" t="s">
        <v>21</v>
      </c>
      <c r="T19" s="133" t="s">
        <v>21</v>
      </c>
      <c r="U19" s="136" t="s">
        <v>21</v>
      </c>
      <c r="V19" s="140" t="s">
        <v>21</v>
      </c>
      <c r="W19" s="372"/>
      <c r="AB19" s="2" t="str">
        <f t="shared" si="0"/>
        <v/>
      </c>
    </row>
    <row r="20" spans="1:28" ht="15" customHeight="1" x14ac:dyDescent="0.35">
      <c r="A20" s="108" t="str">
        <f t="shared" si="1"/>
        <v>X</v>
      </c>
      <c r="B20" s="1034"/>
      <c r="C20" s="1027"/>
      <c r="D20" s="1096"/>
      <c r="E20" s="579" t="s">
        <v>199</v>
      </c>
      <c r="F20" s="454" t="s">
        <v>60</v>
      </c>
      <c r="G20" s="292"/>
      <c r="H20" s="290"/>
      <c r="I20" s="135" t="e">
        <f t="shared" si="5"/>
        <v>#DIV/0!</v>
      </c>
      <c r="J20" s="390"/>
      <c r="K20" s="134" t="e">
        <f t="shared" si="6"/>
        <v>#DIV/0!</v>
      </c>
      <c r="L20" s="390"/>
      <c r="M20" s="134" t="str">
        <f t="shared" si="7"/>
        <v>-</v>
      </c>
      <c r="N20" s="178" t="s">
        <v>21</v>
      </c>
      <c r="O20" s="184" t="s">
        <v>21</v>
      </c>
      <c r="P20" s="185" t="s">
        <v>21</v>
      </c>
      <c r="Q20" s="184" t="s">
        <v>21</v>
      </c>
      <c r="R20" s="185" t="s">
        <v>21</v>
      </c>
      <c r="S20" s="136" t="s">
        <v>21</v>
      </c>
      <c r="T20" s="133" t="s">
        <v>21</v>
      </c>
      <c r="U20" s="136" t="s">
        <v>21</v>
      </c>
      <c r="V20" s="140" t="s">
        <v>21</v>
      </c>
      <c r="W20" s="372"/>
      <c r="AB20" s="2" t="str">
        <f t="shared" si="0"/>
        <v/>
      </c>
    </row>
    <row r="21" spans="1:28" ht="15" customHeight="1" x14ac:dyDescent="0.35">
      <c r="A21" s="108" t="str">
        <f t="shared" si="1"/>
        <v>X</v>
      </c>
      <c r="B21" s="1034"/>
      <c r="C21" s="1027"/>
      <c r="D21" s="1096"/>
      <c r="E21" s="579" t="s">
        <v>200</v>
      </c>
      <c r="F21" s="454" t="s">
        <v>60</v>
      </c>
      <c r="G21" s="292"/>
      <c r="H21" s="290"/>
      <c r="I21" s="135" t="e">
        <f t="shared" si="5"/>
        <v>#DIV/0!</v>
      </c>
      <c r="J21" s="390"/>
      <c r="K21" s="134" t="e">
        <f t="shared" si="6"/>
        <v>#DIV/0!</v>
      </c>
      <c r="L21" s="390"/>
      <c r="M21" s="134" t="str">
        <f t="shared" si="7"/>
        <v>-</v>
      </c>
      <c r="N21" s="178" t="s">
        <v>21</v>
      </c>
      <c r="O21" s="184" t="s">
        <v>21</v>
      </c>
      <c r="P21" s="185" t="s">
        <v>21</v>
      </c>
      <c r="Q21" s="184" t="s">
        <v>21</v>
      </c>
      <c r="R21" s="185" t="s">
        <v>21</v>
      </c>
      <c r="S21" s="136" t="s">
        <v>21</v>
      </c>
      <c r="T21" s="133" t="s">
        <v>21</v>
      </c>
      <c r="U21" s="136" t="s">
        <v>21</v>
      </c>
      <c r="V21" s="140" t="s">
        <v>21</v>
      </c>
      <c r="W21" s="372"/>
      <c r="AB21" s="2" t="str">
        <f t="shared" si="0"/>
        <v/>
      </c>
    </row>
    <row r="22" spans="1:28" ht="15" customHeight="1" x14ac:dyDescent="0.35">
      <c r="A22" s="108" t="str">
        <f t="shared" si="1"/>
        <v>X</v>
      </c>
      <c r="B22" s="1034"/>
      <c r="C22" s="1027"/>
      <c r="D22" s="1096"/>
      <c r="E22" s="165" t="s">
        <v>201</v>
      </c>
      <c r="F22" s="899" t="s">
        <v>62</v>
      </c>
      <c r="G22" s="166"/>
      <c r="H22" s="146"/>
      <c r="I22" s="143" t="e">
        <f t="shared" si="2"/>
        <v>#DIV/0!</v>
      </c>
      <c r="J22" s="391"/>
      <c r="K22" s="142" t="e">
        <f t="shared" si="3"/>
        <v>#DIV/0!</v>
      </c>
      <c r="L22" s="391"/>
      <c r="M22" s="142" t="str">
        <f t="shared" si="4"/>
        <v>-</v>
      </c>
      <c r="N22" s="179" t="s">
        <v>21</v>
      </c>
      <c r="O22" s="186" t="s">
        <v>21</v>
      </c>
      <c r="P22" s="187" t="s">
        <v>21</v>
      </c>
      <c r="Q22" s="186" t="s">
        <v>21</v>
      </c>
      <c r="R22" s="187" t="s">
        <v>21</v>
      </c>
      <c r="S22" s="144" t="s">
        <v>21</v>
      </c>
      <c r="T22" s="141" t="s">
        <v>21</v>
      </c>
      <c r="U22" s="144" t="s">
        <v>21</v>
      </c>
      <c r="V22" s="175" t="s">
        <v>21</v>
      </c>
      <c r="W22" s="372"/>
      <c r="AB22" s="2" t="str">
        <f t="shared" si="0"/>
        <v/>
      </c>
    </row>
    <row r="23" spans="1:28" ht="15.5" x14ac:dyDescent="0.35">
      <c r="A23" s="108" t="str">
        <f t="shared" si="1"/>
        <v>X</v>
      </c>
      <c r="B23" s="1035"/>
      <c r="C23" s="1061"/>
      <c r="D23" s="653" t="s">
        <v>138</v>
      </c>
      <c r="E23" s="349"/>
      <c r="F23" s="59"/>
      <c r="G23" s="25">
        <f>SUM(G7:G22)</f>
        <v>0</v>
      </c>
      <c r="H23" s="26">
        <f>SUM(H7:H22)</f>
        <v>0</v>
      </c>
      <c r="I23" s="27" t="e">
        <f>J23/G23</f>
        <v>#DIV/0!</v>
      </c>
      <c r="J23" s="369">
        <f>SUM(J7:J22)</f>
        <v>0</v>
      </c>
      <c r="K23" s="27" t="e">
        <f>L23/G23</f>
        <v>#DIV/0!</v>
      </c>
      <c r="L23" s="369">
        <f>SUM(L7:L22)</f>
        <v>0</v>
      </c>
      <c r="M23" s="27" t="e">
        <f>N23/L23</f>
        <v>#DIV/0!</v>
      </c>
      <c r="N23" s="369">
        <f>SUM(N7:N22)</f>
        <v>0</v>
      </c>
      <c r="O23" s="235">
        <f t="shared" ref="O23:R23" si="8">SUM(O7:O22)</f>
        <v>0</v>
      </c>
      <c r="P23" s="236">
        <f t="shared" si="8"/>
        <v>0</v>
      </c>
      <c r="Q23" s="235">
        <f t="shared" si="8"/>
        <v>0</v>
      </c>
      <c r="R23" s="236">
        <f t="shared" si="8"/>
        <v>0</v>
      </c>
      <c r="S23" s="235"/>
      <c r="T23" s="236"/>
      <c r="U23" s="235"/>
      <c r="V23" s="237"/>
      <c r="W23" s="372"/>
      <c r="AB23" s="2" t="str">
        <f t="shared" si="0"/>
        <v/>
      </c>
    </row>
    <row r="24" spans="1:28" ht="15" customHeight="1" x14ac:dyDescent="0.35">
      <c r="A24" s="108" t="str">
        <f t="shared" si="1"/>
        <v>X</v>
      </c>
      <c r="B24" s="1033" t="s">
        <v>82</v>
      </c>
      <c r="C24" s="1026" t="s">
        <v>75</v>
      </c>
      <c r="D24" s="1096">
        <v>9</v>
      </c>
      <c r="E24" s="161" t="s">
        <v>13</v>
      </c>
      <c r="F24" s="447" t="s">
        <v>60</v>
      </c>
      <c r="G24" s="291">
        <v>76</v>
      </c>
      <c r="H24" s="289">
        <v>50</v>
      </c>
      <c r="I24" s="129">
        <f t="shared" ref="I24:I46" si="9">J24/G24</f>
        <v>0.22368421052631579</v>
      </c>
      <c r="J24" s="389">
        <v>17</v>
      </c>
      <c r="K24" s="128">
        <f t="shared" ref="K24:K46" si="10">L24/G24</f>
        <v>0.36842105263157893</v>
      </c>
      <c r="L24" s="389">
        <v>28</v>
      </c>
      <c r="M24" s="128" t="str">
        <f>IF(N24="-","-",N24/L24)</f>
        <v>-</v>
      </c>
      <c r="N24" s="177" t="s">
        <v>21</v>
      </c>
      <c r="O24" s="182" t="s">
        <v>21</v>
      </c>
      <c r="P24" s="183" t="s">
        <v>21</v>
      </c>
      <c r="Q24" s="182" t="s">
        <v>21</v>
      </c>
      <c r="R24" s="183" t="s">
        <v>21</v>
      </c>
      <c r="S24" s="130" t="s">
        <v>21</v>
      </c>
      <c r="T24" s="127" t="s">
        <v>21</v>
      </c>
      <c r="U24" s="130" t="s">
        <v>21</v>
      </c>
      <c r="V24" s="152" t="s">
        <v>21</v>
      </c>
      <c r="W24" s="372"/>
      <c r="AB24" s="2" t="str">
        <f t="shared" si="0"/>
        <v>France</v>
      </c>
    </row>
    <row r="25" spans="1:28" ht="15" customHeight="1" x14ac:dyDescent="0.35">
      <c r="A25" s="108" t="str">
        <f t="shared" si="1"/>
        <v>X</v>
      </c>
      <c r="B25" s="1034"/>
      <c r="C25" s="1027"/>
      <c r="D25" s="1096"/>
      <c r="E25" s="163" t="s">
        <v>14</v>
      </c>
      <c r="F25" s="454" t="s">
        <v>60</v>
      </c>
      <c r="G25" s="292">
        <v>45</v>
      </c>
      <c r="H25" s="290">
        <v>27</v>
      </c>
      <c r="I25" s="135">
        <f t="shared" si="9"/>
        <v>0.46666666666666667</v>
      </c>
      <c r="J25" s="390">
        <v>21</v>
      </c>
      <c r="K25" s="134">
        <f t="shared" si="10"/>
        <v>0.31111111111111112</v>
      </c>
      <c r="L25" s="390">
        <v>14</v>
      </c>
      <c r="M25" s="134" t="str">
        <f t="shared" ref="M25:M46" si="11">IF(N25="-","-",N25/L25)</f>
        <v>-</v>
      </c>
      <c r="N25" s="178" t="s">
        <v>21</v>
      </c>
      <c r="O25" s="184" t="s">
        <v>21</v>
      </c>
      <c r="P25" s="185" t="s">
        <v>21</v>
      </c>
      <c r="Q25" s="184" t="s">
        <v>21</v>
      </c>
      <c r="R25" s="185" t="s">
        <v>21</v>
      </c>
      <c r="S25" s="136" t="s">
        <v>21</v>
      </c>
      <c r="T25" s="133" t="s">
        <v>21</v>
      </c>
      <c r="U25" s="136" t="s">
        <v>21</v>
      </c>
      <c r="V25" s="140" t="s">
        <v>21</v>
      </c>
      <c r="W25" s="372"/>
      <c r="AB25" s="2" t="str">
        <f t="shared" si="0"/>
        <v>France</v>
      </c>
    </row>
    <row r="26" spans="1:28" ht="15" customHeight="1" x14ac:dyDescent="0.35">
      <c r="A26" s="108" t="str">
        <f t="shared" si="1"/>
        <v>X</v>
      </c>
      <c r="B26" s="1034"/>
      <c r="C26" s="1027"/>
      <c r="D26" s="1096"/>
      <c r="E26" s="163" t="s">
        <v>15</v>
      </c>
      <c r="F26" s="454" t="s">
        <v>60</v>
      </c>
      <c r="G26" s="292">
        <v>16</v>
      </c>
      <c r="H26" s="290">
        <v>10</v>
      </c>
      <c r="I26" s="135">
        <f t="shared" si="9"/>
        <v>0.3125</v>
      </c>
      <c r="J26" s="390">
        <v>5</v>
      </c>
      <c r="K26" s="134">
        <f t="shared" si="10"/>
        <v>0.1875</v>
      </c>
      <c r="L26" s="390">
        <v>3</v>
      </c>
      <c r="M26" s="134" t="str">
        <f t="shared" si="11"/>
        <v>-</v>
      </c>
      <c r="N26" s="178" t="s">
        <v>21</v>
      </c>
      <c r="O26" s="184" t="s">
        <v>21</v>
      </c>
      <c r="P26" s="185" t="s">
        <v>21</v>
      </c>
      <c r="Q26" s="184" t="s">
        <v>21</v>
      </c>
      <c r="R26" s="185" t="s">
        <v>21</v>
      </c>
      <c r="S26" s="136" t="s">
        <v>21</v>
      </c>
      <c r="T26" s="133" t="s">
        <v>21</v>
      </c>
      <c r="U26" s="136" t="s">
        <v>21</v>
      </c>
      <c r="V26" s="140" t="s">
        <v>21</v>
      </c>
      <c r="W26" s="372"/>
      <c r="AB26" s="2" t="str">
        <f t="shared" si="0"/>
        <v>France</v>
      </c>
    </row>
    <row r="27" spans="1:28" ht="15" customHeight="1" x14ac:dyDescent="0.35">
      <c r="A27" s="108" t="str">
        <f t="shared" si="1"/>
        <v>X</v>
      </c>
      <c r="B27" s="1034"/>
      <c r="C27" s="1027"/>
      <c r="D27" s="1096"/>
      <c r="E27" s="163" t="s">
        <v>141</v>
      </c>
      <c r="F27" s="454" t="s">
        <v>60</v>
      </c>
      <c r="G27" s="292">
        <v>56</v>
      </c>
      <c r="H27" s="290">
        <v>36</v>
      </c>
      <c r="I27" s="135">
        <f t="shared" si="9"/>
        <v>0.21428571428571427</v>
      </c>
      <c r="J27" s="390">
        <v>12</v>
      </c>
      <c r="K27" s="134">
        <f t="shared" si="10"/>
        <v>0.17857142857142858</v>
      </c>
      <c r="L27" s="390">
        <v>10</v>
      </c>
      <c r="M27" s="134" t="str">
        <f t="shared" si="11"/>
        <v>-</v>
      </c>
      <c r="N27" s="178" t="s">
        <v>21</v>
      </c>
      <c r="O27" s="184" t="s">
        <v>21</v>
      </c>
      <c r="P27" s="185" t="s">
        <v>21</v>
      </c>
      <c r="Q27" s="184" t="s">
        <v>21</v>
      </c>
      <c r="R27" s="185" t="s">
        <v>21</v>
      </c>
      <c r="S27" s="136"/>
      <c r="T27" s="133"/>
      <c r="U27" s="136"/>
      <c r="V27" s="140"/>
      <c r="W27" s="372"/>
      <c r="AB27" s="2" t="str">
        <f t="shared" si="0"/>
        <v>France</v>
      </c>
    </row>
    <row r="28" spans="1:28" ht="15" customHeight="1" x14ac:dyDescent="0.35">
      <c r="A28" s="108" t="str">
        <f t="shared" si="1"/>
        <v>X</v>
      </c>
      <c r="B28" s="1034"/>
      <c r="C28" s="1027"/>
      <c r="D28" s="1096"/>
      <c r="E28" s="163" t="s">
        <v>16</v>
      </c>
      <c r="F28" s="454" t="s">
        <v>60</v>
      </c>
      <c r="G28" s="292">
        <v>13</v>
      </c>
      <c r="H28" s="290">
        <v>8</v>
      </c>
      <c r="I28" s="135">
        <f t="shared" si="9"/>
        <v>0.53846153846153844</v>
      </c>
      <c r="J28" s="390">
        <v>7</v>
      </c>
      <c r="K28" s="134">
        <f t="shared" si="10"/>
        <v>0.46153846153846156</v>
      </c>
      <c r="L28" s="390">
        <v>6</v>
      </c>
      <c r="M28" s="134" t="str">
        <f t="shared" si="11"/>
        <v>-</v>
      </c>
      <c r="N28" s="178" t="s">
        <v>21</v>
      </c>
      <c r="O28" s="184" t="s">
        <v>21</v>
      </c>
      <c r="P28" s="185" t="s">
        <v>21</v>
      </c>
      <c r="Q28" s="184" t="s">
        <v>21</v>
      </c>
      <c r="R28" s="185" t="s">
        <v>21</v>
      </c>
      <c r="S28" s="136" t="s">
        <v>21</v>
      </c>
      <c r="T28" s="133" t="s">
        <v>21</v>
      </c>
      <c r="U28" s="136" t="s">
        <v>21</v>
      </c>
      <c r="V28" s="140" t="s">
        <v>21</v>
      </c>
      <c r="W28" s="372"/>
      <c r="AB28" s="2" t="str">
        <f t="shared" si="0"/>
        <v>France</v>
      </c>
    </row>
    <row r="29" spans="1:28" ht="15" customHeight="1" x14ac:dyDescent="0.35">
      <c r="A29" s="108" t="str">
        <f t="shared" si="1"/>
        <v>X</v>
      </c>
      <c r="B29" s="1034"/>
      <c r="C29" s="1027"/>
      <c r="D29" s="1096"/>
      <c r="E29" s="163" t="s">
        <v>17</v>
      </c>
      <c r="F29" s="454" t="s">
        <v>60</v>
      </c>
      <c r="G29" s="292">
        <v>24</v>
      </c>
      <c r="H29" s="290">
        <v>20</v>
      </c>
      <c r="I29" s="135">
        <f t="shared" si="9"/>
        <v>0.29166666666666669</v>
      </c>
      <c r="J29" s="390">
        <v>7</v>
      </c>
      <c r="K29" s="134">
        <f t="shared" si="10"/>
        <v>0.29166666666666669</v>
      </c>
      <c r="L29" s="390">
        <v>7</v>
      </c>
      <c r="M29" s="134" t="str">
        <f t="shared" si="11"/>
        <v>-</v>
      </c>
      <c r="N29" s="178" t="s">
        <v>21</v>
      </c>
      <c r="O29" s="184" t="s">
        <v>21</v>
      </c>
      <c r="P29" s="185" t="s">
        <v>21</v>
      </c>
      <c r="Q29" s="184" t="s">
        <v>21</v>
      </c>
      <c r="R29" s="185" t="s">
        <v>21</v>
      </c>
      <c r="S29" s="136" t="s">
        <v>21</v>
      </c>
      <c r="T29" s="133" t="s">
        <v>21</v>
      </c>
      <c r="U29" s="136" t="s">
        <v>21</v>
      </c>
      <c r="V29" s="140" t="s">
        <v>21</v>
      </c>
      <c r="W29" s="372"/>
      <c r="AB29" s="2" t="str">
        <f t="shared" si="0"/>
        <v>France</v>
      </c>
    </row>
    <row r="30" spans="1:28" ht="15" customHeight="1" x14ac:dyDescent="0.35">
      <c r="A30" s="108" t="str">
        <f t="shared" si="1"/>
        <v>X</v>
      </c>
      <c r="B30" s="1034"/>
      <c r="C30" s="1027"/>
      <c r="D30" s="1096"/>
      <c r="E30" s="163" t="s">
        <v>18</v>
      </c>
      <c r="F30" s="454" t="s">
        <v>60</v>
      </c>
      <c r="G30" s="292">
        <v>33</v>
      </c>
      <c r="H30" s="290">
        <v>25</v>
      </c>
      <c r="I30" s="135">
        <f t="shared" si="9"/>
        <v>0</v>
      </c>
      <c r="J30" s="390">
        <v>0</v>
      </c>
      <c r="K30" s="134">
        <f t="shared" si="10"/>
        <v>0.21212121212121213</v>
      </c>
      <c r="L30" s="390">
        <v>7</v>
      </c>
      <c r="M30" s="134" t="str">
        <f t="shared" si="11"/>
        <v>-</v>
      </c>
      <c r="N30" s="178" t="s">
        <v>21</v>
      </c>
      <c r="O30" s="184" t="s">
        <v>21</v>
      </c>
      <c r="P30" s="185" t="s">
        <v>21</v>
      </c>
      <c r="Q30" s="184" t="s">
        <v>21</v>
      </c>
      <c r="R30" s="185" t="s">
        <v>21</v>
      </c>
      <c r="S30" s="136" t="s">
        <v>21</v>
      </c>
      <c r="T30" s="133" t="s">
        <v>21</v>
      </c>
      <c r="U30" s="136" t="s">
        <v>21</v>
      </c>
      <c r="V30" s="140" t="s">
        <v>21</v>
      </c>
      <c r="W30" s="372"/>
      <c r="AB30" s="2" t="str">
        <f t="shared" si="0"/>
        <v>France</v>
      </c>
    </row>
    <row r="31" spans="1:28" ht="15" customHeight="1" x14ac:dyDescent="0.35">
      <c r="A31" s="108" t="str">
        <f t="shared" si="1"/>
        <v>X</v>
      </c>
      <c r="B31" s="1034"/>
      <c r="C31" s="1027"/>
      <c r="D31" s="1096"/>
      <c r="E31" s="163" t="s">
        <v>19</v>
      </c>
      <c r="F31" s="454" t="s">
        <v>60</v>
      </c>
      <c r="G31" s="292">
        <v>32</v>
      </c>
      <c r="H31" s="290">
        <v>17</v>
      </c>
      <c r="I31" s="135">
        <f t="shared" si="9"/>
        <v>0.15625</v>
      </c>
      <c r="J31" s="390">
        <v>5</v>
      </c>
      <c r="K31" s="134">
        <f t="shared" si="10"/>
        <v>0.375</v>
      </c>
      <c r="L31" s="390">
        <v>12</v>
      </c>
      <c r="M31" s="134" t="str">
        <f t="shared" si="11"/>
        <v>-</v>
      </c>
      <c r="N31" s="178" t="s">
        <v>21</v>
      </c>
      <c r="O31" s="184" t="s">
        <v>21</v>
      </c>
      <c r="P31" s="185" t="s">
        <v>21</v>
      </c>
      <c r="Q31" s="184" t="s">
        <v>21</v>
      </c>
      <c r="R31" s="185" t="s">
        <v>21</v>
      </c>
      <c r="S31" s="136" t="s">
        <v>21</v>
      </c>
      <c r="T31" s="133" t="s">
        <v>21</v>
      </c>
      <c r="U31" s="136" t="s">
        <v>21</v>
      </c>
      <c r="V31" s="140" t="s">
        <v>21</v>
      </c>
      <c r="W31" s="372"/>
      <c r="AB31" s="2" t="str">
        <f t="shared" si="0"/>
        <v>France</v>
      </c>
    </row>
    <row r="32" spans="1:28" ht="15" customHeight="1" x14ac:dyDescent="0.35">
      <c r="A32" s="108" t="str">
        <f t="shared" si="1"/>
        <v>X</v>
      </c>
      <c r="B32" s="1034"/>
      <c r="C32" s="1027"/>
      <c r="D32" s="1096"/>
      <c r="E32" s="579" t="s">
        <v>173</v>
      </c>
      <c r="F32" s="454" t="s">
        <v>60</v>
      </c>
      <c r="G32" s="581"/>
      <c r="H32" s="582"/>
      <c r="I32" s="135" t="e">
        <f t="shared" si="9"/>
        <v>#DIV/0!</v>
      </c>
      <c r="J32" s="583"/>
      <c r="K32" s="134" t="e">
        <f t="shared" si="10"/>
        <v>#DIV/0!</v>
      </c>
      <c r="L32" s="583"/>
      <c r="M32" s="134" t="str">
        <f t="shared" si="11"/>
        <v>-</v>
      </c>
      <c r="N32" s="580" t="s">
        <v>21</v>
      </c>
      <c r="O32" s="574" t="s">
        <v>21</v>
      </c>
      <c r="P32" s="575" t="s">
        <v>21</v>
      </c>
      <c r="Q32" s="574" t="s">
        <v>21</v>
      </c>
      <c r="R32" s="575" t="s">
        <v>21</v>
      </c>
      <c r="S32" s="576"/>
      <c r="T32" s="577"/>
      <c r="U32" s="576"/>
      <c r="V32" s="578"/>
      <c r="W32" s="372"/>
      <c r="AB32" s="2" t="str">
        <f t="shared" si="0"/>
        <v/>
      </c>
    </row>
    <row r="33" spans="1:28" ht="15" customHeight="1" x14ac:dyDescent="0.35">
      <c r="A33" s="108" t="str">
        <f t="shared" si="1"/>
        <v>X</v>
      </c>
      <c r="B33" s="1034"/>
      <c r="C33" s="1027"/>
      <c r="D33" s="1096"/>
      <c r="E33" s="579" t="s">
        <v>174</v>
      </c>
      <c r="F33" s="454" t="s">
        <v>60</v>
      </c>
      <c r="G33" s="581"/>
      <c r="H33" s="582"/>
      <c r="I33" s="135" t="e">
        <f t="shared" si="9"/>
        <v>#DIV/0!</v>
      </c>
      <c r="J33" s="583"/>
      <c r="K33" s="134" t="e">
        <f t="shared" si="10"/>
        <v>#DIV/0!</v>
      </c>
      <c r="L33" s="583"/>
      <c r="M33" s="134" t="str">
        <f t="shared" si="11"/>
        <v>-</v>
      </c>
      <c r="N33" s="580" t="s">
        <v>21</v>
      </c>
      <c r="O33" s="574" t="s">
        <v>21</v>
      </c>
      <c r="P33" s="575" t="s">
        <v>21</v>
      </c>
      <c r="Q33" s="574" t="s">
        <v>21</v>
      </c>
      <c r="R33" s="575" t="s">
        <v>21</v>
      </c>
      <c r="S33" s="576"/>
      <c r="T33" s="577"/>
      <c r="U33" s="576"/>
      <c r="V33" s="578"/>
      <c r="W33" s="372"/>
      <c r="AB33" s="2" t="str">
        <f t="shared" si="0"/>
        <v/>
      </c>
    </row>
    <row r="34" spans="1:28" ht="15" customHeight="1" x14ac:dyDescent="0.35">
      <c r="A34" s="108" t="str">
        <f t="shared" si="1"/>
        <v>X</v>
      </c>
      <c r="B34" s="1034"/>
      <c r="C34" s="1027"/>
      <c r="D34" s="1096"/>
      <c r="E34" s="165" t="s">
        <v>5</v>
      </c>
      <c r="F34" s="899" t="s">
        <v>60</v>
      </c>
      <c r="G34" s="166"/>
      <c r="H34" s="146"/>
      <c r="I34" s="143" t="e">
        <f t="shared" si="9"/>
        <v>#DIV/0!</v>
      </c>
      <c r="J34" s="391"/>
      <c r="K34" s="142" t="e">
        <f t="shared" si="10"/>
        <v>#DIV/0!</v>
      </c>
      <c r="L34" s="391"/>
      <c r="M34" s="142" t="str">
        <f t="shared" si="11"/>
        <v>-</v>
      </c>
      <c r="N34" s="179" t="s">
        <v>21</v>
      </c>
      <c r="O34" s="186" t="s">
        <v>21</v>
      </c>
      <c r="P34" s="187" t="s">
        <v>21</v>
      </c>
      <c r="Q34" s="186" t="s">
        <v>21</v>
      </c>
      <c r="R34" s="187" t="s">
        <v>21</v>
      </c>
      <c r="S34" s="144" t="s">
        <v>21</v>
      </c>
      <c r="T34" s="141" t="s">
        <v>21</v>
      </c>
      <c r="U34" s="144" t="s">
        <v>21</v>
      </c>
      <c r="V34" s="175" t="s">
        <v>21</v>
      </c>
      <c r="W34" s="372"/>
      <c r="AB34" s="2" t="str">
        <f t="shared" si="0"/>
        <v/>
      </c>
    </row>
    <row r="35" spans="1:28" ht="15.5" x14ac:dyDescent="0.35">
      <c r="A35" s="108" t="str">
        <f t="shared" si="1"/>
        <v>X</v>
      </c>
      <c r="B35" s="1035"/>
      <c r="C35" s="1061"/>
      <c r="D35" s="653" t="s">
        <v>138</v>
      </c>
      <c r="E35" s="349"/>
      <c r="F35" s="59"/>
      <c r="G35" s="25">
        <f>SUM(G24:G34)</f>
        <v>295</v>
      </c>
      <c r="H35" s="26">
        <f>SUM(H24:H34)</f>
        <v>193</v>
      </c>
      <c r="I35" s="27">
        <f>J35/G35</f>
        <v>0.25084745762711863</v>
      </c>
      <c r="J35" s="369">
        <f>SUM(J24:J34)</f>
        <v>74</v>
      </c>
      <c r="K35" s="27">
        <f>L35/G35</f>
        <v>0.29491525423728815</v>
      </c>
      <c r="L35" s="369">
        <f>SUM(L24:L34)</f>
        <v>87</v>
      </c>
      <c r="M35" s="27">
        <f>N35/L35</f>
        <v>0</v>
      </c>
      <c r="N35" s="369">
        <f>SUM(N24:N34)</f>
        <v>0</v>
      </c>
      <c r="O35" s="235">
        <f t="shared" ref="O35:R35" si="12">SUM(O24:O34)</f>
        <v>0</v>
      </c>
      <c r="P35" s="236">
        <f t="shared" si="12"/>
        <v>0</v>
      </c>
      <c r="Q35" s="235">
        <f t="shared" si="12"/>
        <v>0</v>
      </c>
      <c r="R35" s="236">
        <f t="shared" si="12"/>
        <v>0</v>
      </c>
      <c r="S35" s="235"/>
      <c r="T35" s="236"/>
      <c r="U35" s="235"/>
      <c r="V35" s="237"/>
      <c r="W35" s="372"/>
      <c r="AB35" s="2">
        <f t="shared" si="0"/>
        <v>0</v>
      </c>
    </row>
    <row r="36" spans="1:28" x14ac:dyDescent="0.35">
      <c r="A36" s="108" t="str">
        <f t="shared" si="1"/>
        <v>X</v>
      </c>
      <c r="B36" s="1033" t="s">
        <v>83</v>
      </c>
      <c r="C36" s="1026" t="s">
        <v>75</v>
      </c>
      <c r="D36" s="1078">
        <v>9</v>
      </c>
      <c r="E36" s="161" t="s">
        <v>10</v>
      </c>
      <c r="F36" s="447" t="s">
        <v>60</v>
      </c>
      <c r="G36" s="162">
        <v>46</v>
      </c>
      <c r="H36" s="132">
        <v>32</v>
      </c>
      <c r="I36" s="129">
        <f t="shared" si="9"/>
        <v>0.65217391304347827</v>
      </c>
      <c r="J36" s="392">
        <v>30</v>
      </c>
      <c r="K36" s="128">
        <f t="shared" si="10"/>
        <v>0.19565217391304349</v>
      </c>
      <c r="L36" s="392">
        <v>9</v>
      </c>
      <c r="M36" s="128">
        <f t="shared" si="11"/>
        <v>1</v>
      </c>
      <c r="N36" s="177">
        <v>9</v>
      </c>
      <c r="O36" s="182" t="s">
        <v>21</v>
      </c>
      <c r="P36" s="183" t="s">
        <v>21</v>
      </c>
      <c r="Q36" s="182" t="s">
        <v>21</v>
      </c>
      <c r="R36" s="183" t="s">
        <v>21</v>
      </c>
      <c r="S36" s="130" t="s">
        <v>21</v>
      </c>
      <c r="T36" s="127" t="s">
        <v>21</v>
      </c>
      <c r="U36" s="130" t="s">
        <v>21</v>
      </c>
      <c r="V36" s="152" t="s">
        <v>21</v>
      </c>
      <c r="W36" s="372"/>
      <c r="AB36" s="2" t="str">
        <f t="shared" si="0"/>
        <v>France</v>
      </c>
    </row>
    <row r="37" spans="1:28" x14ac:dyDescent="0.35">
      <c r="A37" s="108" t="str">
        <f t="shared" si="1"/>
        <v>X</v>
      </c>
      <c r="B37" s="1034"/>
      <c r="C37" s="1027"/>
      <c r="D37" s="1079"/>
      <c r="E37" s="163" t="s">
        <v>11</v>
      </c>
      <c r="F37" s="454" t="s">
        <v>60</v>
      </c>
      <c r="G37" s="164">
        <v>28</v>
      </c>
      <c r="H37" s="138">
        <v>17</v>
      </c>
      <c r="I37" s="135">
        <f t="shared" si="9"/>
        <v>0.6428571428571429</v>
      </c>
      <c r="J37" s="393">
        <v>18</v>
      </c>
      <c r="K37" s="134">
        <f t="shared" si="10"/>
        <v>0.32142857142857145</v>
      </c>
      <c r="L37" s="393">
        <v>9</v>
      </c>
      <c r="M37" s="134">
        <f t="shared" si="11"/>
        <v>0.77777777777777779</v>
      </c>
      <c r="N37" s="178">
        <v>7</v>
      </c>
      <c r="O37" s="184" t="s">
        <v>21</v>
      </c>
      <c r="P37" s="185" t="s">
        <v>21</v>
      </c>
      <c r="Q37" s="184" t="s">
        <v>21</v>
      </c>
      <c r="R37" s="185" t="s">
        <v>21</v>
      </c>
      <c r="S37" s="136" t="s">
        <v>21</v>
      </c>
      <c r="T37" s="133" t="s">
        <v>21</v>
      </c>
      <c r="U37" s="136" t="s">
        <v>21</v>
      </c>
      <c r="V37" s="140" t="s">
        <v>21</v>
      </c>
      <c r="W37" s="372"/>
      <c r="AB37" s="2" t="str">
        <f t="shared" ref="AB37:AB69" si="13">IF(G37&gt;0,$F37,"")</f>
        <v>France</v>
      </c>
    </row>
    <row r="38" spans="1:28" x14ac:dyDescent="0.35">
      <c r="A38" s="108" t="str">
        <f t="shared" si="1"/>
        <v>X</v>
      </c>
      <c r="B38" s="1034"/>
      <c r="C38" s="1027"/>
      <c r="D38" s="1079"/>
      <c r="E38" s="163" t="s">
        <v>12</v>
      </c>
      <c r="F38" s="454" t="s">
        <v>60</v>
      </c>
      <c r="G38" s="164">
        <v>5</v>
      </c>
      <c r="H38" s="138">
        <v>5</v>
      </c>
      <c r="I38" s="135">
        <f t="shared" ref="I38" si="14">J38/G38</f>
        <v>0.6</v>
      </c>
      <c r="J38" s="393">
        <v>3</v>
      </c>
      <c r="K38" s="134">
        <f t="shared" ref="K38" si="15">L38/G38</f>
        <v>0.2</v>
      </c>
      <c r="L38" s="393">
        <v>1</v>
      </c>
      <c r="M38" s="134">
        <f t="shared" ref="M38" si="16">IF(N38="-","-",N38/L38)</f>
        <v>1</v>
      </c>
      <c r="N38" s="178">
        <v>1</v>
      </c>
      <c r="O38" s="184" t="s">
        <v>21</v>
      </c>
      <c r="P38" s="185" t="s">
        <v>21</v>
      </c>
      <c r="Q38" s="184" t="s">
        <v>21</v>
      </c>
      <c r="R38" s="185" t="s">
        <v>21</v>
      </c>
      <c r="S38" s="136" t="s">
        <v>21</v>
      </c>
      <c r="T38" s="133" t="s">
        <v>21</v>
      </c>
      <c r="U38" s="136" t="s">
        <v>21</v>
      </c>
      <c r="V38" s="140" t="s">
        <v>21</v>
      </c>
      <c r="W38" s="372"/>
      <c r="AB38" s="2" t="str">
        <f t="shared" si="13"/>
        <v>France</v>
      </c>
    </row>
    <row r="39" spans="1:28" x14ac:dyDescent="0.35">
      <c r="A39" s="108" t="str">
        <f t="shared" si="1"/>
        <v>X</v>
      </c>
      <c r="B39" s="1034"/>
      <c r="C39" s="1027"/>
      <c r="D39" s="1079"/>
      <c r="E39" s="163" t="s">
        <v>7</v>
      </c>
      <c r="F39" s="454" t="s">
        <v>60</v>
      </c>
      <c r="G39" s="164">
        <v>45</v>
      </c>
      <c r="H39" s="138">
        <v>26</v>
      </c>
      <c r="I39" s="135">
        <f t="shared" si="9"/>
        <v>0.26666666666666666</v>
      </c>
      <c r="J39" s="393">
        <v>12</v>
      </c>
      <c r="K39" s="134">
        <f t="shared" si="10"/>
        <v>0.26666666666666666</v>
      </c>
      <c r="L39" s="393">
        <v>12</v>
      </c>
      <c r="M39" s="134">
        <f t="shared" si="11"/>
        <v>0.25</v>
      </c>
      <c r="N39" s="178">
        <v>3</v>
      </c>
      <c r="O39" s="184" t="s">
        <v>21</v>
      </c>
      <c r="P39" s="185" t="s">
        <v>21</v>
      </c>
      <c r="Q39" s="184" t="s">
        <v>21</v>
      </c>
      <c r="R39" s="185" t="s">
        <v>21</v>
      </c>
      <c r="S39" s="136" t="s">
        <v>21</v>
      </c>
      <c r="T39" s="133" t="s">
        <v>21</v>
      </c>
      <c r="U39" s="136" t="s">
        <v>21</v>
      </c>
      <c r="V39" s="140" t="s">
        <v>21</v>
      </c>
      <c r="W39" s="372"/>
      <c r="AB39" s="2" t="str">
        <f t="shared" si="13"/>
        <v>France</v>
      </c>
    </row>
    <row r="40" spans="1:28" x14ac:dyDescent="0.35">
      <c r="A40" s="108" t="str">
        <f t="shared" si="1"/>
        <v>X</v>
      </c>
      <c r="B40" s="1034"/>
      <c r="C40" s="1027"/>
      <c r="D40" s="1079"/>
      <c r="E40" s="163" t="s">
        <v>132</v>
      </c>
      <c r="F40" s="454" t="s">
        <v>60</v>
      </c>
      <c r="G40" s="164">
        <v>14</v>
      </c>
      <c r="H40" s="138">
        <v>9</v>
      </c>
      <c r="I40" s="135">
        <f t="shared" si="9"/>
        <v>0.21428571428571427</v>
      </c>
      <c r="J40" s="393">
        <v>3</v>
      </c>
      <c r="K40" s="134">
        <f t="shared" si="10"/>
        <v>0.14285714285714285</v>
      </c>
      <c r="L40" s="393">
        <v>2</v>
      </c>
      <c r="M40" s="134">
        <f t="shared" si="11"/>
        <v>0.5</v>
      </c>
      <c r="N40" s="178">
        <v>1</v>
      </c>
      <c r="O40" s="184" t="s">
        <v>21</v>
      </c>
      <c r="P40" s="185" t="s">
        <v>21</v>
      </c>
      <c r="Q40" s="184" t="s">
        <v>21</v>
      </c>
      <c r="R40" s="185" t="s">
        <v>21</v>
      </c>
      <c r="S40" s="136" t="s">
        <v>21</v>
      </c>
      <c r="T40" s="133" t="s">
        <v>21</v>
      </c>
      <c r="U40" s="136" t="s">
        <v>21</v>
      </c>
      <c r="V40" s="140" t="s">
        <v>21</v>
      </c>
      <c r="W40" s="372"/>
      <c r="AB40" s="2" t="str">
        <f t="shared" si="13"/>
        <v>France</v>
      </c>
    </row>
    <row r="41" spans="1:28" x14ac:dyDescent="0.35">
      <c r="A41" s="108" t="str">
        <f t="shared" si="1"/>
        <v>X</v>
      </c>
      <c r="B41" s="1034"/>
      <c r="C41" s="1027"/>
      <c r="D41" s="1079"/>
      <c r="E41" s="163" t="s">
        <v>8</v>
      </c>
      <c r="F41" s="454" t="s">
        <v>60</v>
      </c>
      <c r="G41" s="164">
        <v>31</v>
      </c>
      <c r="H41" s="138">
        <v>23</v>
      </c>
      <c r="I41" s="135">
        <f t="shared" si="9"/>
        <v>0.54838709677419351</v>
      </c>
      <c r="J41" s="393">
        <v>17</v>
      </c>
      <c r="K41" s="134">
        <f t="shared" si="10"/>
        <v>0.16129032258064516</v>
      </c>
      <c r="L41" s="393">
        <v>5</v>
      </c>
      <c r="M41" s="134">
        <f t="shared" si="11"/>
        <v>1</v>
      </c>
      <c r="N41" s="178">
        <v>5</v>
      </c>
      <c r="O41" s="184" t="s">
        <v>21</v>
      </c>
      <c r="P41" s="185" t="s">
        <v>21</v>
      </c>
      <c r="Q41" s="184" t="s">
        <v>21</v>
      </c>
      <c r="R41" s="185" t="s">
        <v>21</v>
      </c>
      <c r="S41" s="136" t="s">
        <v>21</v>
      </c>
      <c r="T41" s="133" t="s">
        <v>21</v>
      </c>
      <c r="U41" s="136" t="s">
        <v>21</v>
      </c>
      <c r="V41" s="140" t="s">
        <v>21</v>
      </c>
      <c r="W41" s="372"/>
      <c r="AB41" s="2" t="str">
        <f t="shared" si="13"/>
        <v>France</v>
      </c>
    </row>
    <row r="42" spans="1:28" x14ac:dyDescent="0.35">
      <c r="A42" s="108" t="str">
        <f t="shared" si="1"/>
        <v>X</v>
      </c>
      <c r="B42" s="1034"/>
      <c r="C42" s="1027"/>
      <c r="D42" s="1079"/>
      <c r="E42" s="163" t="s">
        <v>6</v>
      </c>
      <c r="F42" s="454" t="s">
        <v>60</v>
      </c>
      <c r="G42" s="164">
        <v>12</v>
      </c>
      <c r="H42" s="138">
        <v>7</v>
      </c>
      <c r="I42" s="135">
        <f t="shared" si="9"/>
        <v>0.33333333333333331</v>
      </c>
      <c r="J42" s="393">
        <v>4</v>
      </c>
      <c r="K42" s="134">
        <f t="shared" si="10"/>
        <v>0.33333333333333331</v>
      </c>
      <c r="L42" s="393">
        <v>4</v>
      </c>
      <c r="M42" s="134">
        <f t="shared" si="11"/>
        <v>0.5</v>
      </c>
      <c r="N42" s="178">
        <v>2</v>
      </c>
      <c r="O42" s="184" t="s">
        <v>21</v>
      </c>
      <c r="P42" s="185" t="s">
        <v>21</v>
      </c>
      <c r="Q42" s="184" t="s">
        <v>21</v>
      </c>
      <c r="R42" s="185" t="s">
        <v>21</v>
      </c>
      <c r="S42" s="136" t="s">
        <v>21</v>
      </c>
      <c r="T42" s="133" t="s">
        <v>21</v>
      </c>
      <c r="U42" s="136" t="s">
        <v>21</v>
      </c>
      <c r="V42" s="140" t="s">
        <v>21</v>
      </c>
      <c r="W42" s="372"/>
      <c r="AB42" s="2" t="str">
        <f t="shared" si="13"/>
        <v>France</v>
      </c>
    </row>
    <row r="43" spans="1:28" ht="15" hidden="1" customHeight="1" x14ac:dyDescent="0.35">
      <c r="A43" s="108" t="str">
        <f t="shared" si="1"/>
        <v/>
      </c>
      <c r="B43" s="1034"/>
      <c r="C43" s="1027"/>
      <c r="D43" s="1080"/>
      <c r="E43" s="579"/>
      <c r="F43" s="454" t="s">
        <v>207</v>
      </c>
      <c r="G43" s="592"/>
      <c r="H43" s="593"/>
      <c r="I43" s="135" t="e">
        <f t="shared" si="9"/>
        <v>#DIV/0!</v>
      </c>
      <c r="J43" s="591"/>
      <c r="K43" s="134" t="e">
        <f t="shared" si="10"/>
        <v>#DIV/0!</v>
      </c>
      <c r="L43" s="591"/>
      <c r="M43" s="134" t="e">
        <f t="shared" si="11"/>
        <v>#DIV/0!</v>
      </c>
      <c r="N43" s="580"/>
      <c r="O43" s="574"/>
      <c r="P43" s="575"/>
      <c r="Q43" s="574"/>
      <c r="R43" s="575"/>
      <c r="S43" s="576"/>
      <c r="T43" s="577"/>
      <c r="U43" s="576"/>
      <c r="V43" s="578"/>
      <c r="W43" s="372"/>
      <c r="AB43" s="2" t="str">
        <f t="shared" si="13"/>
        <v/>
      </c>
    </row>
    <row r="44" spans="1:28" ht="15" hidden="1" customHeight="1" x14ac:dyDescent="0.35">
      <c r="A44" s="108" t="str">
        <f t="shared" si="1"/>
        <v/>
      </c>
      <c r="B44" s="1034"/>
      <c r="C44" s="1027"/>
      <c r="D44" s="1080"/>
      <c r="E44" s="579"/>
      <c r="F44" s="454" t="s">
        <v>207</v>
      </c>
      <c r="G44" s="592"/>
      <c r="H44" s="593"/>
      <c r="I44" s="135" t="e">
        <f t="shared" ref="I44" si="17">J44/G44</f>
        <v>#DIV/0!</v>
      </c>
      <c r="J44" s="591"/>
      <c r="K44" s="134" t="e">
        <f t="shared" ref="K44" si="18">L44/G44</f>
        <v>#DIV/0!</v>
      </c>
      <c r="L44" s="591"/>
      <c r="M44" s="134" t="e">
        <f t="shared" ref="M44" si="19">IF(N44="-","-",N44/L44)</f>
        <v>#DIV/0!</v>
      </c>
      <c r="N44" s="580"/>
      <c r="O44" s="574"/>
      <c r="P44" s="575"/>
      <c r="Q44" s="574"/>
      <c r="R44" s="575"/>
      <c r="S44" s="576"/>
      <c r="T44" s="577"/>
      <c r="U44" s="576"/>
      <c r="V44" s="578"/>
      <c r="W44" s="372"/>
      <c r="AB44" s="2" t="str">
        <f t="shared" si="13"/>
        <v/>
      </c>
    </row>
    <row r="45" spans="1:28" x14ac:dyDescent="0.35">
      <c r="A45" s="108" t="str">
        <f t="shared" si="1"/>
        <v>X</v>
      </c>
      <c r="B45" s="1034"/>
      <c r="C45" s="1027"/>
      <c r="D45" s="1080"/>
      <c r="E45" s="579" t="s">
        <v>202</v>
      </c>
      <c r="F45" s="454" t="s">
        <v>60</v>
      </c>
      <c r="G45" s="592"/>
      <c r="H45" s="593"/>
      <c r="I45" s="135" t="e">
        <f t="shared" si="9"/>
        <v>#DIV/0!</v>
      </c>
      <c r="J45" s="591"/>
      <c r="K45" s="134" t="e">
        <f t="shared" si="10"/>
        <v>#DIV/0!</v>
      </c>
      <c r="L45" s="591"/>
      <c r="M45" s="134" t="e">
        <f t="shared" si="11"/>
        <v>#DIV/0!</v>
      </c>
      <c r="N45" s="580"/>
      <c r="O45" s="574" t="s">
        <v>21</v>
      </c>
      <c r="P45" s="575" t="s">
        <v>21</v>
      </c>
      <c r="Q45" s="574" t="s">
        <v>21</v>
      </c>
      <c r="R45" s="575" t="s">
        <v>21</v>
      </c>
      <c r="S45" s="576"/>
      <c r="T45" s="577"/>
      <c r="U45" s="576"/>
      <c r="V45" s="578"/>
      <c r="W45" s="372"/>
      <c r="AB45" s="2" t="str">
        <f t="shared" si="13"/>
        <v/>
      </c>
    </row>
    <row r="46" spans="1:28" x14ac:dyDescent="0.35">
      <c r="A46" s="108" t="str">
        <f t="shared" si="1"/>
        <v>X</v>
      </c>
      <c r="B46" s="1034"/>
      <c r="C46" s="1027"/>
      <c r="D46" s="1081"/>
      <c r="E46" s="165" t="s">
        <v>9</v>
      </c>
      <c r="F46" s="899" t="s">
        <v>60</v>
      </c>
      <c r="G46" s="166">
        <v>17</v>
      </c>
      <c r="H46" s="146">
        <v>9</v>
      </c>
      <c r="I46" s="143">
        <f t="shared" si="9"/>
        <v>0.41176470588235292</v>
      </c>
      <c r="J46" s="391">
        <v>7</v>
      </c>
      <c r="K46" s="142">
        <f t="shared" si="10"/>
        <v>0.23529411764705882</v>
      </c>
      <c r="L46" s="391">
        <v>4</v>
      </c>
      <c r="M46" s="142">
        <f t="shared" si="11"/>
        <v>0.25</v>
      </c>
      <c r="N46" s="179">
        <v>1</v>
      </c>
      <c r="O46" s="186" t="s">
        <v>21</v>
      </c>
      <c r="P46" s="187" t="s">
        <v>21</v>
      </c>
      <c r="Q46" s="186" t="s">
        <v>21</v>
      </c>
      <c r="R46" s="187" t="s">
        <v>21</v>
      </c>
      <c r="S46" s="144" t="s">
        <v>21</v>
      </c>
      <c r="T46" s="141" t="s">
        <v>21</v>
      </c>
      <c r="U46" s="144" t="s">
        <v>21</v>
      </c>
      <c r="V46" s="175" t="s">
        <v>21</v>
      </c>
      <c r="W46" s="372"/>
      <c r="AB46" s="2" t="str">
        <f t="shared" si="13"/>
        <v>France</v>
      </c>
    </row>
    <row r="47" spans="1:28" ht="16" thickBot="1" x14ac:dyDescent="0.4">
      <c r="A47" s="108" t="str">
        <f t="shared" si="1"/>
        <v>X</v>
      </c>
      <c r="B47" s="1058"/>
      <c r="C47" s="1062"/>
      <c r="D47" s="654" t="s">
        <v>138</v>
      </c>
      <c r="E47" s="349"/>
      <c r="F47" s="395"/>
      <c r="G47" s="25">
        <f>SUM(G36:G46)</f>
        <v>198</v>
      </c>
      <c r="H47" s="26">
        <f t="shared" ref="H47" si="20">SUM(H36:H46)</f>
        <v>128</v>
      </c>
      <c r="I47" s="27">
        <f>J47/G47</f>
        <v>0.47474747474747475</v>
      </c>
      <c r="J47" s="369">
        <f t="shared" ref="J47" si="21">SUM(J36:J46)</f>
        <v>94</v>
      </c>
      <c r="K47" s="27">
        <f>L47/G47</f>
        <v>0.23232323232323232</v>
      </c>
      <c r="L47" s="369">
        <f t="shared" ref="L47" si="22">SUM(L36:L46)</f>
        <v>46</v>
      </c>
      <c r="M47" s="27">
        <f>N47/L47</f>
        <v>0.63043478260869568</v>
      </c>
      <c r="N47" s="369">
        <f t="shared" ref="N47:R47" si="23">SUM(N36:N46)</f>
        <v>29</v>
      </c>
      <c r="O47" s="235">
        <f t="shared" si="23"/>
        <v>0</v>
      </c>
      <c r="P47" s="236">
        <f t="shared" si="23"/>
        <v>0</v>
      </c>
      <c r="Q47" s="235">
        <f t="shared" si="23"/>
        <v>0</v>
      </c>
      <c r="R47" s="236">
        <f t="shared" si="23"/>
        <v>0</v>
      </c>
      <c r="S47" s="235"/>
      <c r="T47" s="236"/>
      <c r="U47" s="235"/>
      <c r="V47" s="237"/>
      <c r="W47" s="372"/>
      <c r="AB47" s="2">
        <f t="shared" si="13"/>
        <v>0</v>
      </c>
    </row>
    <row r="48" spans="1:28" s="53" customFormat="1" ht="27.75" customHeight="1" thickBot="1" x14ac:dyDescent="0.4">
      <c r="A48" s="108" t="str">
        <f t="shared" si="1"/>
        <v>X</v>
      </c>
      <c r="B48" s="218" t="s">
        <v>78</v>
      </c>
      <c r="C48" s="649"/>
      <c r="D48" s="649">
        <f>SUM(D5:D46)</f>
        <v>20</v>
      </c>
      <c r="E48" s="116">
        <f>COUNTIF(A5:A47,"X")</f>
        <v>41</v>
      </c>
      <c r="F48" s="952">
        <v>38</v>
      </c>
      <c r="G48" s="717">
        <f>G5+G6+G23+G35+G47</f>
        <v>595</v>
      </c>
      <c r="H48" s="718">
        <f>H5+H6+H23+H35+H47</f>
        <v>415</v>
      </c>
      <c r="I48" s="719">
        <f>J48/G48</f>
        <v>0.2857142857142857</v>
      </c>
      <c r="J48" s="123">
        <f>J5+J6+J23+J35+J47</f>
        <v>170</v>
      </c>
      <c r="K48" s="394">
        <f>L48/G48</f>
        <v>0.253781512605042</v>
      </c>
      <c r="L48" s="123">
        <f>L5+L6+L23+L35+L47</f>
        <v>151</v>
      </c>
      <c r="M48" s="719">
        <f>N48/(L5+SUM(L36:L46))</f>
        <v>0.484375</v>
      </c>
      <c r="N48" s="123">
        <f t="shared" ref="N48:R48" si="24">N5+N6+N23+N35+N47</f>
        <v>31</v>
      </c>
      <c r="O48" s="124">
        <f t="shared" si="24"/>
        <v>0</v>
      </c>
      <c r="P48" s="125">
        <f t="shared" si="24"/>
        <v>0</v>
      </c>
      <c r="Q48" s="124">
        <f t="shared" si="24"/>
        <v>0</v>
      </c>
      <c r="R48" s="125">
        <f t="shared" si="24"/>
        <v>0</v>
      </c>
      <c r="S48" s="522">
        <f t="shared" ref="S48" si="25">S5+S6+S23+S35+S47</f>
        <v>0</v>
      </c>
      <c r="T48" s="521">
        <f t="shared" ref="T48" si="26">T5+T6+T23+T35+T47</f>
        <v>0</v>
      </c>
      <c r="U48" s="522">
        <f t="shared" ref="U48" si="27">U5+U6+U23+U35+U47</f>
        <v>0</v>
      </c>
      <c r="V48" s="713">
        <f t="shared" ref="V48" si="28">V5+V6+V23+V35+V47</f>
        <v>0</v>
      </c>
      <c r="W48" s="720"/>
      <c r="Y48" s="712"/>
      <c r="AB48" s="2">
        <f t="shared" si="13"/>
        <v>38</v>
      </c>
    </row>
    <row r="49" spans="1:28" ht="15" customHeight="1" x14ac:dyDescent="0.35">
      <c r="A49" s="108" t="str">
        <f t="shared" si="1"/>
        <v>X</v>
      </c>
      <c r="B49" s="1020" t="s">
        <v>84</v>
      </c>
      <c r="C49" s="1023" t="s">
        <v>76</v>
      </c>
      <c r="D49" s="1090">
        <v>6</v>
      </c>
      <c r="E49" s="167" t="s">
        <v>25</v>
      </c>
      <c r="F49" s="921" t="s">
        <v>60</v>
      </c>
      <c r="G49" s="162"/>
      <c r="H49" s="132"/>
      <c r="I49" s="128" t="e">
        <f>J49/G49</f>
        <v>#DIV/0!</v>
      </c>
      <c r="J49" s="392"/>
      <c r="K49" s="128" t="e">
        <f>L49/G49</f>
        <v>#DIV/0!</v>
      </c>
      <c r="L49" s="392"/>
      <c r="M49" s="128" t="str">
        <f>IF(N49="-","-",N49/L49)</f>
        <v>-</v>
      </c>
      <c r="N49" s="177" t="s">
        <v>21</v>
      </c>
      <c r="O49" s="182" t="s">
        <v>21</v>
      </c>
      <c r="P49" s="183" t="s">
        <v>21</v>
      </c>
      <c r="Q49" s="182" t="s">
        <v>21</v>
      </c>
      <c r="R49" s="183" t="s">
        <v>21</v>
      </c>
      <c r="S49" s="130"/>
      <c r="T49" s="127"/>
      <c r="U49" s="130"/>
      <c r="V49" s="152"/>
      <c r="W49" s="467"/>
      <c r="AB49" s="2" t="str">
        <f t="shared" si="13"/>
        <v/>
      </c>
    </row>
    <row r="50" spans="1:28" ht="15" customHeight="1" x14ac:dyDescent="0.35">
      <c r="A50" s="108" t="str">
        <f t="shared" si="1"/>
        <v>X</v>
      </c>
      <c r="B50" s="1021"/>
      <c r="C50" s="1024"/>
      <c r="D50" s="1091"/>
      <c r="E50" s="168" t="s">
        <v>26</v>
      </c>
      <c r="F50" s="869" t="s">
        <v>60</v>
      </c>
      <c r="G50" s="164"/>
      <c r="H50" s="138"/>
      <c r="I50" s="134" t="e">
        <f t="shared" ref="I50:I120" si="29">J50/G50</f>
        <v>#DIV/0!</v>
      </c>
      <c r="J50" s="393"/>
      <c r="K50" s="134" t="e">
        <f t="shared" ref="K50:K120" si="30">L50/G50</f>
        <v>#DIV/0!</v>
      </c>
      <c r="L50" s="393"/>
      <c r="M50" s="134" t="str">
        <f t="shared" ref="M50:M120" si="31">IF(N50="-","-",N50/L50)</f>
        <v>-</v>
      </c>
      <c r="N50" s="178" t="s">
        <v>21</v>
      </c>
      <c r="O50" s="184" t="s">
        <v>21</v>
      </c>
      <c r="P50" s="185" t="s">
        <v>21</v>
      </c>
      <c r="Q50" s="184" t="s">
        <v>21</v>
      </c>
      <c r="R50" s="185" t="s">
        <v>21</v>
      </c>
      <c r="S50" s="136"/>
      <c r="T50" s="133"/>
      <c r="U50" s="136"/>
      <c r="V50" s="140"/>
      <c r="W50" s="467"/>
      <c r="AB50" s="2" t="str">
        <f t="shared" si="13"/>
        <v/>
      </c>
    </row>
    <row r="51" spans="1:28" ht="15" customHeight="1" x14ac:dyDescent="0.35">
      <c r="A51" s="108" t="str">
        <f t="shared" si="1"/>
        <v>X</v>
      </c>
      <c r="B51" s="1021"/>
      <c r="C51" s="1024"/>
      <c r="D51" s="1091"/>
      <c r="E51" s="168" t="s">
        <v>58</v>
      </c>
      <c r="F51" s="869" t="s">
        <v>60</v>
      </c>
      <c r="G51" s="164">
        <v>228</v>
      </c>
      <c r="H51" s="138">
        <v>125</v>
      </c>
      <c r="I51" s="134">
        <f t="shared" si="29"/>
        <v>0.39473684210526316</v>
      </c>
      <c r="J51" s="393">
        <v>90</v>
      </c>
      <c r="K51" s="134">
        <f t="shared" si="30"/>
        <v>0.39912280701754388</v>
      </c>
      <c r="L51" s="393">
        <v>91</v>
      </c>
      <c r="M51" s="134" t="str">
        <f t="shared" si="31"/>
        <v>-</v>
      </c>
      <c r="N51" s="178" t="s">
        <v>21</v>
      </c>
      <c r="O51" s="184" t="s">
        <v>21</v>
      </c>
      <c r="P51" s="185" t="s">
        <v>21</v>
      </c>
      <c r="Q51" s="184" t="s">
        <v>21</v>
      </c>
      <c r="R51" s="185" t="s">
        <v>21</v>
      </c>
      <c r="S51" s="136" t="s">
        <v>21</v>
      </c>
      <c r="T51" s="133" t="s">
        <v>21</v>
      </c>
      <c r="U51" s="136" t="s">
        <v>21</v>
      </c>
      <c r="V51" s="140" t="s">
        <v>21</v>
      </c>
      <c r="W51" s="467"/>
      <c r="AB51" s="2" t="str">
        <f t="shared" si="13"/>
        <v>France</v>
      </c>
    </row>
    <row r="52" spans="1:28" ht="15" customHeight="1" x14ac:dyDescent="0.35">
      <c r="A52" s="108" t="str">
        <f t="shared" si="1"/>
        <v>X</v>
      </c>
      <c r="B52" s="1021"/>
      <c r="C52" s="1024"/>
      <c r="D52" s="1091"/>
      <c r="E52" s="168" t="s">
        <v>24</v>
      </c>
      <c r="F52" s="869" t="s">
        <v>62</v>
      </c>
      <c r="G52" s="164">
        <v>141</v>
      </c>
      <c r="H52" s="138">
        <v>80</v>
      </c>
      <c r="I52" s="134">
        <f t="shared" si="29"/>
        <v>0.46099290780141844</v>
      </c>
      <c r="J52" s="393">
        <v>65</v>
      </c>
      <c r="K52" s="134">
        <f t="shared" si="30"/>
        <v>0.43971631205673761</v>
      </c>
      <c r="L52" s="393">
        <v>62</v>
      </c>
      <c r="M52" s="134" t="str">
        <f t="shared" si="31"/>
        <v>-</v>
      </c>
      <c r="N52" s="178" t="s">
        <v>21</v>
      </c>
      <c r="O52" s="184" t="s">
        <v>21</v>
      </c>
      <c r="P52" s="185" t="s">
        <v>21</v>
      </c>
      <c r="Q52" s="184" t="s">
        <v>21</v>
      </c>
      <c r="R52" s="185" t="s">
        <v>21</v>
      </c>
      <c r="S52" s="136"/>
      <c r="T52" s="133"/>
      <c r="U52" s="136"/>
      <c r="V52" s="140"/>
      <c r="W52" s="467"/>
      <c r="AB52" s="2" t="str">
        <f t="shared" si="13"/>
        <v>Frontière</v>
      </c>
    </row>
    <row r="53" spans="1:28" ht="15" customHeight="1" x14ac:dyDescent="0.35">
      <c r="A53" s="108" t="str">
        <f t="shared" si="1"/>
        <v>X</v>
      </c>
      <c r="B53" s="1021"/>
      <c r="C53" s="1024"/>
      <c r="D53" s="1091"/>
      <c r="E53" s="168" t="s">
        <v>23</v>
      </c>
      <c r="F53" s="869" t="s">
        <v>60</v>
      </c>
      <c r="G53" s="164">
        <v>234</v>
      </c>
      <c r="H53" s="138">
        <v>127</v>
      </c>
      <c r="I53" s="134">
        <f t="shared" si="29"/>
        <v>0.42307692307692307</v>
      </c>
      <c r="J53" s="393">
        <v>99</v>
      </c>
      <c r="K53" s="134">
        <f t="shared" si="30"/>
        <v>0.47863247863247865</v>
      </c>
      <c r="L53" s="393">
        <v>112</v>
      </c>
      <c r="M53" s="134" t="str">
        <f t="shared" si="31"/>
        <v>-</v>
      </c>
      <c r="N53" s="178" t="s">
        <v>21</v>
      </c>
      <c r="O53" s="184" t="s">
        <v>21</v>
      </c>
      <c r="P53" s="185" t="s">
        <v>21</v>
      </c>
      <c r="Q53" s="184" t="s">
        <v>21</v>
      </c>
      <c r="R53" s="185" t="s">
        <v>21</v>
      </c>
      <c r="S53" s="136" t="s">
        <v>21</v>
      </c>
      <c r="T53" s="133" t="s">
        <v>21</v>
      </c>
      <c r="U53" s="136" t="s">
        <v>21</v>
      </c>
      <c r="V53" s="140" t="s">
        <v>21</v>
      </c>
      <c r="W53" s="467"/>
      <c r="AB53" s="2" t="str">
        <f t="shared" si="13"/>
        <v>France</v>
      </c>
    </row>
    <row r="54" spans="1:28" ht="15" hidden="1" customHeight="1" x14ac:dyDescent="0.35">
      <c r="A54" s="108" t="str">
        <f t="shared" si="1"/>
        <v/>
      </c>
      <c r="B54" s="1021"/>
      <c r="C54" s="1024"/>
      <c r="D54" s="1091"/>
      <c r="E54" s="594"/>
      <c r="F54" s="869" t="s">
        <v>207</v>
      </c>
      <c r="G54" s="592"/>
      <c r="H54" s="593"/>
      <c r="I54" s="134" t="e">
        <f t="shared" si="29"/>
        <v>#DIV/0!</v>
      </c>
      <c r="J54" s="591"/>
      <c r="K54" s="134" t="e">
        <f t="shared" si="30"/>
        <v>#DIV/0!</v>
      </c>
      <c r="L54" s="591"/>
      <c r="M54" s="134" t="e">
        <f t="shared" si="31"/>
        <v>#DIV/0!</v>
      </c>
      <c r="N54" s="580"/>
      <c r="O54" s="574"/>
      <c r="P54" s="575"/>
      <c r="Q54" s="574"/>
      <c r="R54" s="575"/>
      <c r="S54" s="576"/>
      <c r="T54" s="577"/>
      <c r="U54" s="576"/>
      <c r="V54" s="578"/>
      <c r="W54" s="467"/>
      <c r="AB54" s="2" t="str">
        <f t="shared" si="13"/>
        <v/>
      </c>
    </row>
    <row r="55" spans="1:28" ht="15" hidden="1" customHeight="1" x14ac:dyDescent="0.35">
      <c r="A55" s="108" t="str">
        <f t="shared" si="1"/>
        <v/>
      </c>
      <c r="B55" s="1021"/>
      <c r="C55" s="1024"/>
      <c r="D55" s="1091"/>
      <c r="E55" s="594"/>
      <c r="F55" s="869" t="s">
        <v>207</v>
      </c>
      <c r="G55" s="592"/>
      <c r="H55" s="593"/>
      <c r="I55" s="134" t="e">
        <f t="shared" si="29"/>
        <v>#DIV/0!</v>
      </c>
      <c r="J55" s="591"/>
      <c r="K55" s="134" t="e">
        <f t="shared" si="30"/>
        <v>#DIV/0!</v>
      </c>
      <c r="L55" s="591"/>
      <c r="M55" s="134" t="e">
        <f t="shared" si="31"/>
        <v>#DIV/0!</v>
      </c>
      <c r="N55" s="580"/>
      <c r="O55" s="574"/>
      <c r="P55" s="575"/>
      <c r="Q55" s="574"/>
      <c r="R55" s="575"/>
      <c r="S55" s="576"/>
      <c r="T55" s="577"/>
      <c r="U55" s="576"/>
      <c r="V55" s="578"/>
      <c r="W55" s="467"/>
      <c r="AB55" s="2" t="str">
        <f t="shared" si="13"/>
        <v/>
      </c>
    </row>
    <row r="56" spans="1:28" ht="15" customHeight="1" x14ac:dyDescent="0.35">
      <c r="A56" s="108" t="str">
        <f t="shared" si="1"/>
        <v>X</v>
      </c>
      <c r="B56" s="1021"/>
      <c r="C56" s="1024"/>
      <c r="D56" s="1091"/>
      <c r="E56" s="169" t="s">
        <v>22</v>
      </c>
      <c r="F56" s="928" t="s">
        <v>62</v>
      </c>
      <c r="G56" s="166">
        <v>157</v>
      </c>
      <c r="H56" s="146">
        <v>82</v>
      </c>
      <c r="I56" s="142">
        <f t="shared" si="29"/>
        <v>0.22929936305732485</v>
      </c>
      <c r="J56" s="391">
        <v>36</v>
      </c>
      <c r="K56" s="142">
        <f t="shared" si="30"/>
        <v>0.31210191082802546</v>
      </c>
      <c r="L56" s="391">
        <v>49</v>
      </c>
      <c r="M56" s="142" t="str">
        <f t="shared" si="31"/>
        <v>-</v>
      </c>
      <c r="N56" s="179" t="s">
        <v>21</v>
      </c>
      <c r="O56" s="186" t="s">
        <v>21</v>
      </c>
      <c r="P56" s="187" t="s">
        <v>21</v>
      </c>
      <c r="Q56" s="186" t="s">
        <v>21</v>
      </c>
      <c r="R56" s="187" t="s">
        <v>21</v>
      </c>
      <c r="S56" s="144"/>
      <c r="T56" s="141"/>
      <c r="U56" s="144"/>
      <c r="V56" s="175"/>
      <c r="W56" s="467"/>
      <c r="AB56" s="2" t="str">
        <f t="shared" si="13"/>
        <v>Frontière</v>
      </c>
    </row>
    <row r="57" spans="1:28" ht="15.5" x14ac:dyDescent="0.35">
      <c r="A57" s="108" t="str">
        <f t="shared" si="1"/>
        <v>X</v>
      </c>
      <c r="B57" s="1022"/>
      <c r="C57" s="1025"/>
      <c r="D57" s="652" t="s">
        <v>138</v>
      </c>
      <c r="E57" s="58"/>
      <c r="F57" s="59"/>
      <c r="G57" s="25">
        <f>SUM(G49:G56)</f>
        <v>760</v>
      </c>
      <c r="H57" s="26">
        <f>SUM(H49:H56)</f>
        <v>414</v>
      </c>
      <c r="I57" s="27">
        <f>J57/G57</f>
        <v>0.38157894736842107</v>
      </c>
      <c r="J57" s="369">
        <f>SUM(J49:J56)</f>
        <v>290</v>
      </c>
      <c r="K57" s="148">
        <f>L57/G57</f>
        <v>0.41315789473684211</v>
      </c>
      <c r="L57" s="369">
        <f>SUM(L49:L56)</f>
        <v>314</v>
      </c>
      <c r="M57" s="27">
        <f>N57/L57</f>
        <v>0</v>
      </c>
      <c r="N57" s="369">
        <f t="shared" ref="N57:V57" si="32">SUM(N49:N56)</f>
        <v>0</v>
      </c>
      <c r="O57" s="242">
        <f t="shared" si="32"/>
        <v>0</v>
      </c>
      <c r="P57" s="243">
        <f t="shared" si="32"/>
        <v>0</v>
      </c>
      <c r="Q57" s="242">
        <f t="shared" si="32"/>
        <v>0</v>
      </c>
      <c r="R57" s="243">
        <f t="shared" si="32"/>
        <v>0</v>
      </c>
      <c r="S57" s="242">
        <f t="shared" si="32"/>
        <v>0</v>
      </c>
      <c r="T57" s="243">
        <f t="shared" si="32"/>
        <v>0</v>
      </c>
      <c r="U57" s="242">
        <f t="shared" si="32"/>
        <v>0</v>
      </c>
      <c r="V57" s="244">
        <f t="shared" si="32"/>
        <v>0</v>
      </c>
      <c r="W57" s="372"/>
      <c r="AB57" s="2">
        <f t="shared" si="13"/>
        <v>0</v>
      </c>
    </row>
    <row r="58" spans="1:28" x14ac:dyDescent="0.35">
      <c r="A58" s="108" t="str">
        <f t="shared" si="1"/>
        <v>X</v>
      </c>
      <c r="B58" s="1021" t="s">
        <v>171</v>
      </c>
      <c r="C58" s="1024" t="s">
        <v>76</v>
      </c>
      <c r="D58" s="1092"/>
      <c r="E58" s="446" t="s">
        <v>170</v>
      </c>
      <c r="F58" s="447" t="s">
        <v>62</v>
      </c>
      <c r="G58" s="448"/>
      <c r="H58" s="449"/>
      <c r="I58" s="450" t="e">
        <f t="shared" ref="I58" si="33">J58/G58</f>
        <v>#DIV/0!</v>
      </c>
      <c r="J58" s="451"/>
      <c r="K58" s="450" t="e">
        <f t="shared" ref="K58" si="34">L58/G58</f>
        <v>#DIV/0!</v>
      </c>
      <c r="L58" s="451"/>
      <c r="M58" s="450" t="e">
        <f>IF(N58="-","-",N58/L58)</f>
        <v>#DIV/0!</v>
      </c>
      <c r="N58" s="452"/>
      <c r="O58" s="440" t="s">
        <v>21</v>
      </c>
      <c r="P58" s="441" t="s">
        <v>21</v>
      </c>
      <c r="Q58" s="440" t="s">
        <v>21</v>
      </c>
      <c r="R58" s="441" t="s">
        <v>21</v>
      </c>
      <c r="S58" s="558"/>
      <c r="T58" s="559"/>
      <c r="U58" s="558"/>
      <c r="V58" s="560"/>
      <c r="W58" s="372"/>
      <c r="X58" s="1" t="s">
        <v>176</v>
      </c>
      <c r="AB58" s="2" t="str">
        <f t="shared" si="13"/>
        <v/>
      </c>
    </row>
    <row r="59" spans="1:28" x14ac:dyDescent="0.35">
      <c r="A59" s="108" t="str">
        <f t="shared" si="1"/>
        <v>X</v>
      </c>
      <c r="B59" s="1021"/>
      <c r="C59" s="1024"/>
      <c r="D59" s="1093"/>
      <c r="E59" s="453" t="s">
        <v>170</v>
      </c>
      <c r="F59" s="454" t="s">
        <v>62</v>
      </c>
      <c r="G59" s="455"/>
      <c r="H59" s="456"/>
      <c r="I59" s="457" t="e">
        <f>J59/G59</f>
        <v>#DIV/0!</v>
      </c>
      <c r="J59" s="458"/>
      <c r="K59" s="457" t="e">
        <f>L59/G59</f>
        <v>#DIV/0!</v>
      </c>
      <c r="L59" s="458"/>
      <c r="M59" s="457" t="e">
        <f>IF(N59="-","-",N59/L59)</f>
        <v>#DIV/0!</v>
      </c>
      <c r="N59" s="459"/>
      <c r="O59" s="442" t="s">
        <v>21</v>
      </c>
      <c r="P59" s="443" t="s">
        <v>21</v>
      </c>
      <c r="Q59" s="442" t="s">
        <v>21</v>
      </c>
      <c r="R59" s="443" t="s">
        <v>21</v>
      </c>
      <c r="S59" s="561"/>
      <c r="T59" s="562"/>
      <c r="U59" s="561"/>
      <c r="V59" s="563"/>
      <c r="W59" s="372"/>
      <c r="X59" s="1" t="s">
        <v>178</v>
      </c>
      <c r="AB59" s="2" t="str">
        <f t="shared" si="13"/>
        <v/>
      </c>
    </row>
    <row r="60" spans="1:28" ht="15" customHeight="1" x14ac:dyDescent="0.35">
      <c r="A60" s="108" t="str">
        <f t="shared" si="1"/>
        <v>X</v>
      </c>
      <c r="B60" s="1021"/>
      <c r="C60" s="1024"/>
      <c r="D60" s="1093"/>
      <c r="E60" s="453" t="s">
        <v>170</v>
      </c>
      <c r="F60" s="454"/>
      <c r="G60" s="455"/>
      <c r="H60" s="456"/>
      <c r="I60" s="457" t="e">
        <f t="shared" ref="I60:I64" si="35">J60/G60</f>
        <v>#DIV/0!</v>
      </c>
      <c r="J60" s="458"/>
      <c r="K60" s="457" t="e">
        <f t="shared" ref="K60:K64" si="36">L60/G60</f>
        <v>#DIV/0!</v>
      </c>
      <c r="L60" s="458"/>
      <c r="M60" s="457" t="e">
        <f>IF(N60="-","-",N60/L60)</f>
        <v>#DIV/0!</v>
      </c>
      <c r="N60" s="459"/>
      <c r="O60" s="442" t="s">
        <v>21</v>
      </c>
      <c r="P60" s="443" t="s">
        <v>21</v>
      </c>
      <c r="Q60" s="442" t="s">
        <v>21</v>
      </c>
      <c r="R60" s="443" t="s">
        <v>21</v>
      </c>
      <c r="S60" s="561"/>
      <c r="T60" s="562"/>
      <c r="U60" s="561"/>
      <c r="V60" s="563"/>
      <c r="W60" s="372"/>
      <c r="AB60" s="2" t="str">
        <f t="shared" si="13"/>
        <v/>
      </c>
    </row>
    <row r="61" spans="1:28" ht="15" customHeight="1" x14ac:dyDescent="0.35">
      <c r="A61" s="108" t="str">
        <f t="shared" si="1"/>
        <v>X</v>
      </c>
      <c r="B61" s="1021"/>
      <c r="C61" s="1024"/>
      <c r="D61" s="1093"/>
      <c r="E61" s="453" t="s">
        <v>170</v>
      </c>
      <c r="F61" s="454"/>
      <c r="G61" s="455"/>
      <c r="H61" s="456"/>
      <c r="I61" s="457" t="e">
        <f t="shared" si="35"/>
        <v>#DIV/0!</v>
      </c>
      <c r="J61" s="458"/>
      <c r="K61" s="457" t="e">
        <f t="shared" si="36"/>
        <v>#DIV/0!</v>
      </c>
      <c r="L61" s="458"/>
      <c r="M61" s="457" t="e">
        <f>IF(N61="-","-",N61/L61)</f>
        <v>#DIV/0!</v>
      </c>
      <c r="N61" s="459"/>
      <c r="O61" s="442" t="s">
        <v>21</v>
      </c>
      <c r="P61" s="443" t="s">
        <v>21</v>
      </c>
      <c r="Q61" s="442" t="s">
        <v>21</v>
      </c>
      <c r="R61" s="443" t="s">
        <v>21</v>
      </c>
      <c r="S61" s="561"/>
      <c r="T61" s="562"/>
      <c r="U61" s="561"/>
      <c r="V61" s="563"/>
      <c r="W61" s="372"/>
      <c r="AB61" s="2" t="str">
        <f t="shared" si="13"/>
        <v/>
      </c>
    </row>
    <row r="62" spans="1:28" ht="15" customHeight="1" x14ac:dyDescent="0.35">
      <c r="A62" s="108" t="str">
        <f t="shared" si="1"/>
        <v>X</v>
      </c>
      <c r="B62" s="1021"/>
      <c r="C62" s="1024"/>
      <c r="D62" s="1094"/>
      <c r="E62" s="606" t="s">
        <v>170</v>
      </c>
      <c r="F62" s="454" t="s">
        <v>207</v>
      </c>
      <c r="G62" s="607"/>
      <c r="H62" s="608"/>
      <c r="I62" s="457" t="e">
        <f t="shared" si="35"/>
        <v>#DIV/0!</v>
      </c>
      <c r="J62" s="458"/>
      <c r="K62" s="457" t="e">
        <f t="shared" si="36"/>
        <v>#DIV/0!</v>
      </c>
      <c r="L62" s="458"/>
      <c r="M62" s="457" t="e">
        <f t="shared" ref="M62:M63" si="37">IF(N62="-","-",N62/L62)</f>
        <v>#DIV/0!</v>
      </c>
      <c r="N62" s="459"/>
      <c r="O62" s="611"/>
      <c r="P62" s="612"/>
      <c r="Q62" s="611"/>
      <c r="R62" s="612"/>
      <c r="S62" s="613"/>
      <c r="T62" s="614"/>
      <c r="U62" s="613"/>
      <c r="V62" s="615"/>
      <c r="W62" s="372"/>
      <c r="AB62" s="2" t="str">
        <f t="shared" si="13"/>
        <v/>
      </c>
    </row>
    <row r="63" spans="1:28" ht="15" customHeight="1" x14ac:dyDescent="0.35">
      <c r="A63" s="108" t="str">
        <f t="shared" si="1"/>
        <v>X</v>
      </c>
      <c r="B63" s="1021"/>
      <c r="C63" s="1024"/>
      <c r="D63" s="1094"/>
      <c r="E63" s="606" t="s">
        <v>170</v>
      </c>
      <c r="F63" s="454" t="s">
        <v>207</v>
      </c>
      <c r="G63" s="607"/>
      <c r="H63" s="608"/>
      <c r="I63" s="457" t="e">
        <f t="shared" si="35"/>
        <v>#DIV/0!</v>
      </c>
      <c r="J63" s="458"/>
      <c r="K63" s="457" t="e">
        <f t="shared" si="36"/>
        <v>#DIV/0!</v>
      </c>
      <c r="L63" s="458"/>
      <c r="M63" s="457" t="e">
        <f t="shared" si="37"/>
        <v>#DIV/0!</v>
      </c>
      <c r="N63" s="459"/>
      <c r="O63" s="611"/>
      <c r="P63" s="612"/>
      <c r="Q63" s="611"/>
      <c r="R63" s="612"/>
      <c r="S63" s="613"/>
      <c r="T63" s="614"/>
      <c r="U63" s="613"/>
      <c r="V63" s="615"/>
      <c r="W63" s="372"/>
      <c r="AB63" s="2" t="str">
        <f t="shared" si="13"/>
        <v/>
      </c>
    </row>
    <row r="64" spans="1:28" ht="15" customHeight="1" x14ac:dyDescent="0.35">
      <c r="A64" s="108" t="str">
        <f t="shared" si="1"/>
        <v>X</v>
      </c>
      <c r="B64" s="1021"/>
      <c r="C64" s="1024"/>
      <c r="D64" s="1095"/>
      <c r="E64" s="460" t="s">
        <v>170</v>
      </c>
      <c r="F64" s="461"/>
      <c r="G64" s="462"/>
      <c r="H64" s="463"/>
      <c r="I64" s="464" t="e">
        <f t="shared" si="35"/>
        <v>#DIV/0!</v>
      </c>
      <c r="J64" s="465"/>
      <c r="K64" s="464" t="e">
        <f t="shared" si="36"/>
        <v>#DIV/0!</v>
      </c>
      <c r="L64" s="465"/>
      <c r="M64" s="464" t="e">
        <f>IF(N64="-","-",N64/L64)</f>
        <v>#DIV/0!</v>
      </c>
      <c r="N64" s="466"/>
      <c r="O64" s="444" t="s">
        <v>21</v>
      </c>
      <c r="P64" s="445" t="s">
        <v>21</v>
      </c>
      <c r="Q64" s="444" t="s">
        <v>21</v>
      </c>
      <c r="R64" s="445" t="s">
        <v>21</v>
      </c>
      <c r="S64" s="564"/>
      <c r="T64" s="565"/>
      <c r="U64" s="564"/>
      <c r="V64" s="566"/>
      <c r="W64" s="372"/>
      <c r="X64" s="367"/>
      <c r="AB64" s="2" t="str">
        <f t="shared" si="13"/>
        <v/>
      </c>
    </row>
    <row r="65" spans="1:28" ht="15.5" x14ac:dyDescent="0.35">
      <c r="A65" s="108" t="str">
        <f t="shared" si="1"/>
        <v>X</v>
      </c>
      <c r="B65" s="1022"/>
      <c r="C65" s="1025"/>
      <c r="D65" s="652" t="s">
        <v>138</v>
      </c>
      <c r="E65" s="364"/>
      <c r="F65" s="365"/>
      <c r="G65" s="25">
        <f>SUM(G58:G64)</f>
        <v>0</v>
      </c>
      <c r="H65" s="26">
        <f>SUM(H58:H64)</f>
        <v>0</v>
      </c>
      <c r="I65" s="27" t="e">
        <f>J65/G65</f>
        <v>#DIV/0!</v>
      </c>
      <c r="J65" s="369">
        <f>SUM(J58:J64)</f>
        <v>0</v>
      </c>
      <c r="K65" s="148" t="e">
        <f>L65/G65</f>
        <v>#DIV/0!</v>
      </c>
      <c r="L65" s="369">
        <f>SUM(L58:L64)</f>
        <v>0</v>
      </c>
      <c r="M65" s="27" t="e">
        <f>N65/L65</f>
        <v>#DIV/0!</v>
      </c>
      <c r="N65" s="369">
        <f t="shared" ref="N65:V65" si="38">SUM(N58:N64)</f>
        <v>0</v>
      </c>
      <c r="O65" s="242">
        <f t="shared" si="38"/>
        <v>0</v>
      </c>
      <c r="P65" s="243">
        <f t="shared" si="38"/>
        <v>0</v>
      </c>
      <c r="Q65" s="242">
        <f t="shared" si="38"/>
        <v>0</v>
      </c>
      <c r="R65" s="243">
        <f t="shared" si="38"/>
        <v>0</v>
      </c>
      <c r="S65" s="242">
        <f t="shared" si="38"/>
        <v>0</v>
      </c>
      <c r="T65" s="243">
        <f t="shared" si="38"/>
        <v>0</v>
      </c>
      <c r="U65" s="242">
        <f t="shared" si="38"/>
        <v>0</v>
      </c>
      <c r="V65" s="244">
        <f t="shared" si="38"/>
        <v>0</v>
      </c>
      <c r="W65" s="372"/>
      <c r="X65" s="367"/>
      <c r="AB65" s="2" t="str">
        <f t="shared" si="13"/>
        <v/>
      </c>
    </row>
    <row r="66" spans="1:28" x14ac:dyDescent="0.35">
      <c r="A66" s="108" t="str">
        <f t="shared" si="1"/>
        <v>X</v>
      </c>
      <c r="B66" s="1021" t="s">
        <v>1</v>
      </c>
      <c r="C66" s="1024" t="s">
        <v>76</v>
      </c>
      <c r="D66" s="1092">
        <v>11</v>
      </c>
      <c r="E66" s="446" t="s">
        <v>27</v>
      </c>
      <c r="F66" s="447" t="s">
        <v>62</v>
      </c>
      <c r="G66" s="448">
        <v>53</v>
      </c>
      <c r="H66" s="449">
        <v>38</v>
      </c>
      <c r="I66" s="450">
        <f t="shared" ref="I66:I72" si="39">J66/G66</f>
        <v>0.60377358490566035</v>
      </c>
      <c r="J66" s="451">
        <v>32</v>
      </c>
      <c r="K66" s="450">
        <f t="shared" ref="K66:K72" si="40">L66/G66</f>
        <v>0.22641509433962265</v>
      </c>
      <c r="L66" s="451">
        <v>12</v>
      </c>
      <c r="M66" s="450">
        <f>IF(N66="-","-",N66/L66)</f>
        <v>0.83333333333333337</v>
      </c>
      <c r="N66" s="452">
        <v>10</v>
      </c>
      <c r="O66" s="440" t="s">
        <v>21</v>
      </c>
      <c r="P66" s="441" t="s">
        <v>21</v>
      </c>
      <c r="Q66" s="440" t="s">
        <v>21</v>
      </c>
      <c r="R66" s="441" t="s">
        <v>21</v>
      </c>
      <c r="S66" s="558">
        <v>51</v>
      </c>
      <c r="T66" s="559">
        <v>36</v>
      </c>
      <c r="U66" s="558">
        <v>2</v>
      </c>
      <c r="V66" s="560">
        <v>2</v>
      </c>
      <c r="W66" s="372"/>
      <c r="AB66" s="2" t="str">
        <f t="shared" si="13"/>
        <v>Frontière</v>
      </c>
    </row>
    <row r="67" spans="1:28" x14ac:dyDescent="0.35">
      <c r="A67" s="108" t="str">
        <f t="shared" si="1"/>
        <v>X</v>
      </c>
      <c r="B67" s="1021"/>
      <c r="C67" s="1024"/>
      <c r="D67" s="1093"/>
      <c r="E67" s="453" t="s">
        <v>28</v>
      </c>
      <c r="F67" s="454" t="s">
        <v>62</v>
      </c>
      <c r="G67" s="455">
        <v>117</v>
      </c>
      <c r="H67" s="456">
        <v>86</v>
      </c>
      <c r="I67" s="457">
        <f>J67/G67</f>
        <v>0.69230769230769229</v>
      </c>
      <c r="J67" s="458">
        <v>81</v>
      </c>
      <c r="K67" s="457">
        <f>L67/G67</f>
        <v>0.40170940170940173</v>
      </c>
      <c r="L67" s="458">
        <v>47</v>
      </c>
      <c r="M67" s="457">
        <f>IF(N67="-","-",N67/L67)</f>
        <v>0.7021276595744681</v>
      </c>
      <c r="N67" s="459">
        <v>33</v>
      </c>
      <c r="O67" s="442" t="s">
        <v>21</v>
      </c>
      <c r="P67" s="443" t="s">
        <v>21</v>
      </c>
      <c r="Q67" s="442" t="s">
        <v>21</v>
      </c>
      <c r="R67" s="443" t="s">
        <v>21</v>
      </c>
      <c r="S67" s="561">
        <v>112</v>
      </c>
      <c r="T67" s="562">
        <v>82</v>
      </c>
      <c r="U67" s="561">
        <v>5</v>
      </c>
      <c r="V67" s="563">
        <v>4</v>
      </c>
      <c r="W67" s="372"/>
      <c r="AB67" s="2" t="str">
        <f t="shared" si="13"/>
        <v>Frontière</v>
      </c>
    </row>
    <row r="68" spans="1:28" x14ac:dyDescent="0.35">
      <c r="A68" s="108" t="str">
        <f t="shared" si="1"/>
        <v>X</v>
      </c>
      <c r="B68" s="1021"/>
      <c r="C68" s="1024"/>
      <c r="D68" s="1093"/>
      <c r="E68" s="453" t="s">
        <v>29</v>
      </c>
      <c r="F68" s="454" t="s">
        <v>62</v>
      </c>
      <c r="G68" s="455">
        <v>22</v>
      </c>
      <c r="H68" s="456">
        <v>20</v>
      </c>
      <c r="I68" s="457">
        <f t="shared" si="39"/>
        <v>0.72727272727272729</v>
      </c>
      <c r="J68" s="458">
        <v>16</v>
      </c>
      <c r="K68" s="457">
        <f t="shared" si="40"/>
        <v>0.54545454545454541</v>
      </c>
      <c r="L68" s="458">
        <v>12</v>
      </c>
      <c r="M68" s="457">
        <f>IF(N68="-","-",N68/L68)</f>
        <v>0.75</v>
      </c>
      <c r="N68" s="459">
        <v>9</v>
      </c>
      <c r="O68" s="442" t="s">
        <v>21</v>
      </c>
      <c r="P68" s="443" t="s">
        <v>21</v>
      </c>
      <c r="Q68" s="442" t="s">
        <v>21</v>
      </c>
      <c r="R68" s="443" t="s">
        <v>21</v>
      </c>
      <c r="S68" s="561">
        <v>22</v>
      </c>
      <c r="T68" s="562">
        <v>20</v>
      </c>
      <c r="U68" s="561">
        <v>0</v>
      </c>
      <c r="V68" s="563">
        <v>0</v>
      </c>
      <c r="W68" s="372"/>
      <c r="AB68" s="2" t="str">
        <f t="shared" si="13"/>
        <v>Frontière</v>
      </c>
    </row>
    <row r="69" spans="1:28" x14ac:dyDescent="0.35">
      <c r="A69" s="108" t="str">
        <f t="shared" si="1"/>
        <v>X</v>
      </c>
      <c r="B69" s="1021"/>
      <c r="C69" s="1024"/>
      <c r="D69" s="1093"/>
      <c r="E69" s="453" t="s">
        <v>30</v>
      </c>
      <c r="F69" s="454" t="s">
        <v>62</v>
      </c>
      <c r="G69" s="455">
        <v>49</v>
      </c>
      <c r="H69" s="456">
        <v>33</v>
      </c>
      <c r="I69" s="457">
        <f t="shared" si="39"/>
        <v>0.7142857142857143</v>
      </c>
      <c r="J69" s="458">
        <v>35</v>
      </c>
      <c r="K69" s="457">
        <f t="shared" si="40"/>
        <v>0.40816326530612246</v>
      </c>
      <c r="L69" s="458">
        <v>20</v>
      </c>
      <c r="M69" s="457">
        <f>IF(N69="-","-",N69/L69)</f>
        <v>0.85</v>
      </c>
      <c r="N69" s="459">
        <v>17</v>
      </c>
      <c r="O69" s="442" t="s">
        <v>21</v>
      </c>
      <c r="P69" s="443" t="s">
        <v>21</v>
      </c>
      <c r="Q69" s="442" t="s">
        <v>21</v>
      </c>
      <c r="R69" s="443" t="s">
        <v>21</v>
      </c>
      <c r="S69" s="561">
        <v>46</v>
      </c>
      <c r="T69" s="562">
        <v>31</v>
      </c>
      <c r="U69" s="561">
        <v>3</v>
      </c>
      <c r="V69" s="563">
        <v>2</v>
      </c>
      <c r="W69" s="372"/>
      <c r="AB69" s="2" t="str">
        <f t="shared" si="13"/>
        <v>Frontière</v>
      </c>
    </row>
    <row r="70" spans="1:28" ht="15" hidden="1" customHeight="1" x14ac:dyDescent="0.35">
      <c r="A70" s="108" t="str">
        <f t="shared" ref="A70:A124" si="41">IF(D70="Sous-total","X",IF(E70="","","X"))</f>
        <v/>
      </c>
      <c r="B70" s="1021"/>
      <c r="C70" s="1024"/>
      <c r="D70" s="1094"/>
      <c r="E70" s="606"/>
      <c r="F70" s="454" t="s">
        <v>62</v>
      </c>
      <c r="G70" s="607"/>
      <c r="H70" s="608"/>
      <c r="I70" s="457" t="e">
        <f t="shared" si="39"/>
        <v>#DIV/0!</v>
      </c>
      <c r="J70" s="609"/>
      <c r="K70" s="457" t="e">
        <f t="shared" si="40"/>
        <v>#DIV/0!</v>
      </c>
      <c r="L70" s="609"/>
      <c r="M70" s="457" t="e">
        <f t="shared" ref="M70:M71" si="42">IF(N70="-","-",N70/L70)</f>
        <v>#DIV/0!</v>
      </c>
      <c r="N70" s="610"/>
      <c r="O70" s="611"/>
      <c r="P70" s="612"/>
      <c r="Q70" s="611"/>
      <c r="R70" s="612"/>
      <c r="S70" s="613"/>
      <c r="T70" s="614"/>
      <c r="U70" s="613"/>
      <c r="V70" s="615"/>
      <c r="W70" s="372"/>
      <c r="AB70" s="2" t="str">
        <f t="shared" ref="AB70:AB125" si="43">IF(G70&gt;0,$F70,"")</f>
        <v/>
      </c>
    </row>
    <row r="71" spans="1:28" ht="15" hidden="1" customHeight="1" x14ac:dyDescent="0.35">
      <c r="A71" s="108" t="str">
        <f t="shared" si="41"/>
        <v/>
      </c>
      <c r="B71" s="1021"/>
      <c r="C71" s="1024"/>
      <c r="D71" s="1094"/>
      <c r="E71" s="606"/>
      <c r="F71" s="454" t="s">
        <v>207</v>
      </c>
      <c r="G71" s="607"/>
      <c r="H71" s="608"/>
      <c r="I71" s="457" t="e">
        <f t="shared" si="39"/>
        <v>#DIV/0!</v>
      </c>
      <c r="J71" s="609"/>
      <c r="K71" s="457" t="e">
        <f t="shared" si="40"/>
        <v>#DIV/0!</v>
      </c>
      <c r="L71" s="609"/>
      <c r="M71" s="457" t="e">
        <f t="shared" si="42"/>
        <v>#DIV/0!</v>
      </c>
      <c r="N71" s="610"/>
      <c r="O71" s="611"/>
      <c r="P71" s="612"/>
      <c r="Q71" s="611"/>
      <c r="R71" s="612"/>
      <c r="S71" s="613"/>
      <c r="T71" s="614"/>
      <c r="U71" s="613"/>
      <c r="V71" s="615"/>
      <c r="W71" s="372"/>
      <c r="AB71" s="2" t="str">
        <f t="shared" si="43"/>
        <v/>
      </c>
    </row>
    <row r="72" spans="1:28" x14ac:dyDescent="0.35">
      <c r="A72" s="108" t="str">
        <f t="shared" si="41"/>
        <v>X</v>
      </c>
      <c r="B72" s="1021"/>
      <c r="C72" s="1024"/>
      <c r="D72" s="1095"/>
      <c r="E72" s="460" t="s">
        <v>31</v>
      </c>
      <c r="F72" s="461" t="s">
        <v>62</v>
      </c>
      <c r="G72" s="462">
        <v>44</v>
      </c>
      <c r="H72" s="463">
        <v>44</v>
      </c>
      <c r="I72" s="464">
        <f t="shared" si="39"/>
        <v>0.63636363636363635</v>
      </c>
      <c r="J72" s="465">
        <v>28</v>
      </c>
      <c r="K72" s="464">
        <f t="shared" si="40"/>
        <v>0.36363636363636365</v>
      </c>
      <c r="L72" s="465">
        <v>16</v>
      </c>
      <c r="M72" s="464">
        <f>IF(N72="-","-",N72/L72)</f>
        <v>0.9375</v>
      </c>
      <c r="N72" s="466">
        <v>15</v>
      </c>
      <c r="O72" s="444" t="s">
        <v>21</v>
      </c>
      <c r="P72" s="445" t="s">
        <v>21</v>
      </c>
      <c r="Q72" s="444" t="s">
        <v>21</v>
      </c>
      <c r="R72" s="445" t="s">
        <v>21</v>
      </c>
      <c r="S72" s="564">
        <v>40</v>
      </c>
      <c r="T72" s="565">
        <v>40</v>
      </c>
      <c r="U72" s="564">
        <v>4</v>
      </c>
      <c r="V72" s="566">
        <v>4</v>
      </c>
      <c r="W72" s="372"/>
      <c r="X72" s="367" t="s">
        <v>203</v>
      </c>
      <c r="AB72" s="2" t="str">
        <f t="shared" si="43"/>
        <v>Frontière</v>
      </c>
    </row>
    <row r="73" spans="1:28" ht="15.5" x14ac:dyDescent="0.35">
      <c r="A73" s="108" t="str">
        <f t="shared" si="41"/>
        <v>X</v>
      </c>
      <c r="B73" s="1022"/>
      <c r="C73" s="1025"/>
      <c r="D73" s="652" t="s">
        <v>138</v>
      </c>
      <c r="E73" s="364"/>
      <c r="F73" s="365"/>
      <c r="G73" s="25">
        <f>SUM(G66:G72)</f>
        <v>285</v>
      </c>
      <c r="H73" s="26">
        <f>SUM(H66:H72)</f>
        <v>221</v>
      </c>
      <c r="I73" s="27">
        <f>J73/G73</f>
        <v>0.67368421052631577</v>
      </c>
      <c r="J73" s="369">
        <f>SUM(J66:J72)</f>
        <v>192</v>
      </c>
      <c r="K73" s="148">
        <f>L73/G73</f>
        <v>0.37543859649122807</v>
      </c>
      <c r="L73" s="369">
        <f>SUM(L66:L72)</f>
        <v>107</v>
      </c>
      <c r="M73" s="27">
        <f>N73/L73</f>
        <v>0.78504672897196259</v>
      </c>
      <c r="N73" s="369">
        <f t="shared" ref="N73:V73" si="44">SUM(N66:N72)</f>
        <v>84</v>
      </c>
      <c r="O73" s="242">
        <f t="shared" si="44"/>
        <v>0</v>
      </c>
      <c r="P73" s="243">
        <f t="shared" si="44"/>
        <v>0</v>
      </c>
      <c r="Q73" s="242">
        <f t="shared" si="44"/>
        <v>0</v>
      </c>
      <c r="R73" s="243">
        <f t="shared" si="44"/>
        <v>0</v>
      </c>
      <c r="S73" s="242">
        <f t="shared" si="44"/>
        <v>271</v>
      </c>
      <c r="T73" s="243">
        <f t="shared" si="44"/>
        <v>209</v>
      </c>
      <c r="U73" s="242">
        <f t="shared" si="44"/>
        <v>14</v>
      </c>
      <c r="V73" s="244">
        <f t="shared" si="44"/>
        <v>12</v>
      </c>
      <c r="W73" s="372"/>
      <c r="X73" s="367"/>
      <c r="AB73" s="2">
        <f t="shared" si="43"/>
        <v>0</v>
      </c>
    </row>
    <row r="74" spans="1:28" ht="15" customHeight="1" x14ac:dyDescent="0.35">
      <c r="A74" s="108" t="str">
        <f t="shared" si="41"/>
        <v>X</v>
      </c>
      <c r="B74" s="1029" t="s">
        <v>45</v>
      </c>
      <c r="C74" s="1026" t="s">
        <v>76</v>
      </c>
      <c r="D74" s="1084">
        <v>17</v>
      </c>
      <c r="E74" s="167" t="s">
        <v>32</v>
      </c>
      <c r="F74" s="841" t="s">
        <v>62</v>
      </c>
      <c r="G74" s="162">
        <v>76</v>
      </c>
      <c r="H74" s="132">
        <f>G74</f>
        <v>76</v>
      </c>
      <c r="I74" s="128">
        <f t="shared" si="29"/>
        <v>0.5</v>
      </c>
      <c r="J74" s="392">
        <f>17+21</f>
        <v>38</v>
      </c>
      <c r="K74" s="128">
        <f t="shared" si="30"/>
        <v>0.38157894736842107</v>
      </c>
      <c r="L74" s="392">
        <v>29</v>
      </c>
      <c r="M74" s="128">
        <f t="shared" si="31"/>
        <v>0.72413793103448276</v>
      </c>
      <c r="N74" s="177">
        <v>21</v>
      </c>
      <c r="O74" s="182" t="s">
        <v>21</v>
      </c>
      <c r="P74" s="183" t="s">
        <v>21</v>
      </c>
      <c r="Q74" s="182" t="s">
        <v>21</v>
      </c>
      <c r="R74" s="183" t="s">
        <v>21</v>
      </c>
      <c r="S74" s="549">
        <v>75</v>
      </c>
      <c r="T74" s="550">
        <v>75</v>
      </c>
      <c r="U74" s="549">
        <v>1</v>
      </c>
      <c r="V74" s="551">
        <v>1</v>
      </c>
      <c r="W74" s="372"/>
      <c r="X74" s="367"/>
      <c r="AB74" s="2" t="str">
        <f t="shared" si="43"/>
        <v>Frontière</v>
      </c>
    </row>
    <row r="75" spans="1:28" ht="15" customHeight="1" x14ac:dyDescent="0.35">
      <c r="A75" s="108" t="str">
        <f t="shared" si="41"/>
        <v>X</v>
      </c>
      <c r="B75" s="1021"/>
      <c r="C75" s="1027"/>
      <c r="D75" s="1085"/>
      <c r="E75" s="168" t="s">
        <v>33</v>
      </c>
      <c r="F75" s="849" t="s">
        <v>62</v>
      </c>
      <c r="G75" s="164">
        <v>80</v>
      </c>
      <c r="H75" s="138">
        <f>G75</f>
        <v>80</v>
      </c>
      <c r="I75" s="134">
        <f t="shared" si="29"/>
        <v>0.63749999999999996</v>
      </c>
      <c r="J75" s="393">
        <f>25+26</f>
        <v>51</v>
      </c>
      <c r="K75" s="134">
        <f t="shared" si="30"/>
        <v>0.5</v>
      </c>
      <c r="L75" s="393">
        <v>40</v>
      </c>
      <c r="M75" s="134">
        <f t="shared" si="31"/>
        <v>0.65</v>
      </c>
      <c r="N75" s="178">
        <v>26</v>
      </c>
      <c r="O75" s="184" t="s">
        <v>21</v>
      </c>
      <c r="P75" s="185" t="s">
        <v>21</v>
      </c>
      <c r="Q75" s="184" t="s">
        <v>21</v>
      </c>
      <c r="R75" s="185" t="s">
        <v>21</v>
      </c>
      <c r="S75" s="552">
        <v>74</v>
      </c>
      <c r="T75" s="553">
        <v>74</v>
      </c>
      <c r="U75" s="552">
        <v>6</v>
      </c>
      <c r="V75" s="554">
        <v>6</v>
      </c>
      <c r="W75" s="372"/>
      <c r="X75" s="367"/>
      <c r="AB75" s="2" t="str">
        <f t="shared" si="43"/>
        <v>Frontière</v>
      </c>
    </row>
    <row r="76" spans="1:28" ht="15" customHeight="1" x14ac:dyDescent="0.35">
      <c r="A76" s="108" t="str">
        <f t="shared" si="41"/>
        <v>X</v>
      </c>
      <c r="B76" s="1021"/>
      <c r="C76" s="1027"/>
      <c r="D76" s="1085"/>
      <c r="E76" s="168" t="s">
        <v>47</v>
      </c>
      <c r="F76" s="849" t="s">
        <v>62</v>
      </c>
      <c r="G76" s="164">
        <v>31</v>
      </c>
      <c r="H76" s="138">
        <f t="shared" ref="H76:H78" si="45">G76</f>
        <v>31</v>
      </c>
      <c r="I76" s="134">
        <f t="shared" si="29"/>
        <v>0.32258064516129031</v>
      </c>
      <c r="J76" s="393">
        <f>5+5</f>
        <v>10</v>
      </c>
      <c r="K76" s="134">
        <f t="shared" si="30"/>
        <v>0.35483870967741937</v>
      </c>
      <c r="L76" s="393">
        <v>11</v>
      </c>
      <c r="M76" s="134">
        <f t="shared" si="31"/>
        <v>0.45454545454545453</v>
      </c>
      <c r="N76" s="178">
        <v>5</v>
      </c>
      <c r="O76" s="184" t="s">
        <v>21</v>
      </c>
      <c r="P76" s="185" t="s">
        <v>21</v>
      </c>
      <c r="Q76" s="184" t="s">
        <v>21</v>
      </c>
      <c r="R76" s="185" t="s">
        <v>21</v>
      </c>
      <c r="S76" s="552">
        <v>31</v>
      </c>
      <c r="T76" s="553">
        <v>31</v>
      </c>
      <c r="U76" s="552">
        <v>0</v>
      </c>
      <c r="V76" s="554">
        <v>0</v>
      </c>
      <c r="W76" s="372"/>
      <c r="X76" s="367"/>
      <c r="AB76" s="2" t="str">
        <f t="shared" si="43"/>
        <v>Frontière</v>
      </c>
    </row>
    <row r="77" spans="1:28" ht="15" customHeight="1" x14ac:dyDescent="0.35">
      <c r="A77" s="108" t="str">
        <f t="shared" si="41"/>
        <v>X</v>
      </c>
      <c r="B77" s="1021"/>
      <c r="C77" s="1027"/>
      <c r="D77" s="1085"/>
      <c r="E77" s="168" t="s">
        <v>46</v>
      </c>
      <c r="F77" s="849" t="s">
        <v>62</v>
      </c>
      <c r="G77" s="164">
        <v>15</v>
      </c>
      <c r="H77" s="138">
        <f t="shared" si="45"/>
        <v>15</v>
      </c>
      <c r="I77" s="134">
        <f t="shared" si="29"/>
        <v>0.33333333333333331</v>
      </c>
      <c r="J77" s="393">
        <f>5+0</f>
        <v>5</v>
      </c>
      <c r="K77" s="134">
        <f t="shared" si="30"/>
        <v>0</v>
      </c>
      <c r="L77" s="393">
        <v>0</v>
      </c>
      <c r="M77" s="134" t="str">
        <f>IF(N77=0,"-",N77/L77)</f>
        <v>-</v>
      </c>
      <c r="N77" s="178">
        <v>0</v>
      </c>
      <c r="O77" s="184" t="s">
        <v>21</v>
      </c>
      <c r="P77" s="185" t="s">
        <v>21</v>
      </c>
      <c r="Q77" s="184" t="s">
        <v>21</v>
      </c>
      <c r="R77" s="185" t="s">
        <v>21</v>
      </c>
      <c r="S77" s="552">
        <v>15</v>
      </c>
      <c r="T77" s="553">
        <v>15</v>
      </c>
      <c r="U77" s="552">
        <v>0</v>
      </c>
      <c r="V77" s="554">
        <v>0</v>
      </c>
      <c r="W77" s="372"/>
      <c r="X77" s="367"/>
      <c r="AB77" s="2" t="str">
        <f t="shared" si="43"/>
        <v>Frontière</v>
      </c>
    </row>
    <row r="78" spans="1:28" ht="15" customHeight="1" x14ac:dyDescent="0.35">
      <c r="A78" s="108" t="str">
        <f t="shared" si="41"/>
        <v>X</v>
      </c>
      <c r="B78" s="1021"/>
      <c r="C78" s="1027"/>
      <c r="D78" s="1085"/>
      <c r="E78" s="168" t="s">
        <v>35</v>
      </c>
      <c r="F78" s="849" t="s">
        <v>62</v>
      </c>
      <c r="G78" s="164">
        <v>2</v>
      </c>
      <c r="H78" s="138">
        <f t="shared" si="45"/>
        <v>2</v>
      </c>
      <c r="I78" s="134">
        <f t="shared" si="29"/>
        <v>0.5</v>
      </c>
      <c r="J78" s="393">
        <f>0+1</f>
        <v>1</v>
      </c>
      <c r="K78" s="134">
        <f t="shared" si="30"/>
        <v>0.5</v>
      </c>
      <c r="L78" s="393">
        <v>1</v>
      </c>
      <c r="M78" s="134">
        <f t="shared" si="31"/>
        <v>1</v>
      </c>
      <c r="N78" s="178">
        <v>1</v>
      </c>
      <c r="O78" s="184" t="s">
        <v>21</v>
      </c>
      <c r="P78" s="185" t="s">
        <v>21</v>
      </c>
      <c r="Q78" s="184" t="s">
        <v>21</v>
      </c>
      <c r="R78" s="185" t="s">
        <v>21</v>
      </c>
      <c r="S78" s="552">
        <v>1</v>
      </c>
      <c r="T78" s="553">
        <v>1</v>
      </c>
      <c r="U78" s="552">
        <v>1</v>
      </c>
      <c r="V78" s="554">
        <v>1</v>
      </c>
      <c r="W78" s="372"/>
      <c r="X78" s="367"/>
      <c r="AB78" s="2" t="str">
        <f t="shared" si="43"/>
        <v>Frontière</v>
      </c>
    </row>
    <row r="79" spans="1:28" ht="15" customHeight="1" x14ac:dyDescent="0.35">
      <c r="A79" s="108" t="str">
        <f t="shared" si="41"/>
        <v>X</v>
      </c>
      <c r="B79" s="1021"/>
      <c r="C79" s="1027"/>
      <c r="D79" s="1085"/>
      <c r="E79" s="168" t="s">
        <v>34</v>
      </c>
      <c r="F79" s="849" t="s">
        <v>62</v>
      </c>
      <c r="G79" s="164">
        <v>15</v>
      </c>
      <c r="H79" s="138">
        <f>G79</f>
        <v>15</v>
      </c>
      <c r="I79" s="134">
        <f t="shared" si="29"/>
        <v>0.53333333333333333</v>
      </c>
      <c r="J79" s="393">
        <f>6+2</f>
        <v>8</v>
      </c>
      <c r="K79" s="134">
        <f t="shared" si="30"/>
        <v>0.26666666666666666</v>
      </c>
      <c r="L79" s="393">
        <v>4</v>
      </c>
      <c r="M79" s="134">
        <f t="shared" si="31"/>
        <v>0.5</v>
      </c>
      <c r="N79" s="178">
        <v>2</v>
      </c>
      <c r="O79" s="184" t="s">
        <v>21</v>
      </c>
      <c r="P79" s="185" t="s">
        <v>21</v>
      </c>
      <c r="Q79" s="184" t="s">
        <v>21</v>
      </c>
      <c r="R79" s="185" t="s">
        <v>21</v>
      </c>
      <c r="S79" s="552">
        <v>13</v>
      </c>
      <c r="T79" s="553">
        <v>13</v>
      </c>
      <c r="U79" s="552">
        <v>2</v>
      </c>
      <c r="V79" s="554">
        <v>2</v>
      </c>
      <c r="W79" s="372"/>
      <c r="X79" s="367"/>
      <c r="AB79" s="2" t="str">
        <f t="shared" si="43"/>
        <v>Frontière</v>
      </c>
    </row>
    <row r="80" spans="1:28" ht="15.75" customHeight="1" x14ac:dyDescent="0.35">
      <c r="A80" s="108" t="str">
        <f t="shared" si="41"/>
        <v>X</v>
      </c>
      <c r="B80" s="1021"/>
      <c r="C80" s="1027"/>
      <c r="D80" s="1085"/>
      <c r="E80" s="168" t="s">
        <v>147</v>
      </c>
      <c r="F80" s="849" t="s">
        <v>62</v>
      </c>
      <c r="G80" s="164">
        <v>12</v>
      </c>
      <c r="H80" s="138">
        <f>G80</f>
        <v>12</v>
      </c>
      <c r="I80" s="134">
        <f t="shared" si="29"/>
        <v>0.83333333333333337</v>
      </c>
      <c r="J80" s="393">
        <f>3+7</f>
        <v>10</v>
      </c>
      <c r="K80" s="134">
        <f t="shared" si="30"/>
        <v>0.58333333333333337</v>
      </c>
      <c r="L80" s="393">
        <v>7</v>
      </c>
      <c r="M80" s="134">
        <f t="shared" si="31"/>
        <v>1</v>
      </c>
      <c r="N80" s="178">
        <v>7</v>
      </c>
      <c r="O80" s="184" t="s">
        <v>21</v>
      </c>
      <c r="P80" s="185" t="s">
        <v>21</v>
      </c>
      <c r="Q80" s="184" t="s">
        <v>21</v>
      </c>
      <c r="R80" s="185" t="s">
        <v>21</v>
      </c>
      <c r="S80" s="552">
        <v>12</v>
      </c>
      <c r="T80" s="553">
        <v>12</v>
      </c>
      <c r="U80" s="552">
        <v>0</v>
      </c>
      <c r="V80" s="554">
        <v>0</v>
      </c>
      <c r="W80" s="372"/>
      <c r="X80" s="367"/>
      <c r="AB80" s="2" t="str">
        <f t="shared" si="43"/>
        <v>Frontière</v>
      </c>
    </row>
    <row r="81" spans="1:28" ht="15.75" hidden="1" customHeight="1" x14ac:dyDescent="0.35">
      <c r="A81" s="108" t="str">
        <f t="shared" si="41"/>
        <v/>
      </c>
      <c r="B81" s="1021"/>
      <c r="C81" s="1027"/>
      <c r="D81" s="1085"/>
      <c r="E81" s="594"/>
      <c r="F81" s="849" t="s">
        <v>62</v>
      </c>
      <c r="G81" s="592"/>
      <c r="H81" s="593"/>
      <c r="I81" s="134" t="e">
        <f t="shared" si="29"/>
        <v>#DIV/0!</v>
      </c>
      <c r="J81" s="591"/>
      <c r="K81" s="134" t="e">
        <f t="shared" si="30"/>
        <v>#DIV/0!</v>
      </c>
      <c r="L81" s="591"/>
      <c r="M81" s="134" t="e">
        <f t="shared" si="31"/>
        <v>#DIV/0!</v>
      </c>
      <c r="N81" s="580"/>
      <c r="O81" s="574"/>
      <c r="P81" s="575"/>
      <c r="Q81" s="574"/>
      <c r="R81" s="575"/>
      <c r="S81" s="603"/>
      <c r="T81" s="604"/>
      <c r="U81" s="603"/>
      <c r="V81" s="605"/>
      <c r="W81" s="372"/>
      <c r="X81" s="367"/>
      <c r="AB81" s="2" t="str">
        <f t="shared" si="43"/>
        <v/>
      </c>
    </row>
    <row r="82" spans="1:28" ht="15.75" hidden="1" customHeight="1" x14ac:dyDescent="0.35">
      <c r="A82" s="108" t="str">
        <f t="shared" si="41"/>
        <v/>
      </c>
      <c r="B82" s="1021"/>
      <c r="C82" s="1027"/>
      <c r="D82" s="1085"/>
      <c r="E82" s="594"/>
      <c r="F82" s="849" t="s">
        <v>62</v>
      </c>
      <c r="G82" s="592"/>
      <c r="H82" s="593"/>
      <c r="I82" s="134" t="e">
        <f t="shared" si="29"/>
        <v>#DIV/0!</v>
      </c>
      <c r="J82" s="591"/>
      <c r="K82" s="134" t="e">
        <f t="shared" si="30"/>
        <v>#DIV/0!</v>
      </c>
      <c r="L82" s="591"/>
      <c r="M82" s="134" t="e">
        <f t="shared" si="31"/>
        <v>#DIV/0!</v>
      </c>
      <c r="N82" s="580"/>
      <c r="O82" s="574"/>
      <c r="P82" s="575"/>
      <c r="Q82" s="574"/>
      <c r="R82" s="575"/>
      <c r="S82" s="603"/>
      <c r="T82" s="604"/>
      <c r="U82" s="603"/>
      <c r="V82" s="605"/>
      <c r="W82" s="372"/>
      <c r="X82" s="367"/>
      <c r="AB82" s="2" t="str">
        <f t="shared" si="43"/>
        <v/>
      </c>
    </row>
    <row r="83" spans="1:28" ht="15.75" customHeight="1" x14ac:dyDescent="0.35">
      <c r="A83" s="108" t="str">
        <f t="shared" si="41"/>
        <v>X</v>
      </c>
      <c r="B83" s="1021"/>
      <c r="C83" s="1027"/>
      <c r="D83" s="1086"/>
      <c r="E83" s="169" t="s">
        <v>146</v>
      </c>
      <c r="F83" s="461" t="s">
        <v>62</v>
      </c>
      <c r="G83" s="166">
        <v>14</v>
      </c>
      <c r="H83" s="146">
        <f>G83</f>
        <v>14</v>
      </c>
      <c r="I83" s="142">
        <f t="shared" si="29"/>
        <v>1</v>
      </c>
      <c r="J83" s="391">
        <f>9+5</f>
        <v>14</v>
      </c>
      <c r="K83" s="142">
        <f t="shared" si="30"/>
        <v>0.35714285714285715</v>
      </c>
      <c r="L83" s="391">
        <v>5</v>
      </c>
      <c r="M83" s="142">
        <f t="shared" si="31"/>
        <v>1</v>
      </c>
      <c r="N83" s="179">
        <v>5</v>
      </c>
      <c r="O83" s="186" t="s">
        <v>21</v>
      </c>
      <c r="P83" s="187" t="s">
        <v>21</v>
      </c>
      <c r="Q83" s="186" t="s">
        <v>21</v>
      </c>
      <c r="R83" s="187" t="s">
        <v>21</v>
      </c>
      <c r="S83" s="555">
        <v>14</v>
      </c>
      <c r="T83" s="556">
        <v>14</v>
      </c>
      <c r="U83" s="555">
        <v>0</v>
      </c>
      <c r="V83" s="557">
        <v>0</v>
      </c>
      <c r="W83" s="372"/>
      <c r="X83" s="367"/>
      <c r="AB83" s="2" t="str">
        <f t="shared" si="43"/>
        <v>Frontière</v>
      </c>
    </row>
    <row r="84" spans="1:28" ht="15.5" x14ac:dyDescent="0.35">
      <c r="A84" s="108" t="str">
        <f t="shared" si="41"/>
        <v>X</v>
      </c>
      <c r="B84" s="1022"/>
      <c r="C84" s="1028"/>
      <c r="D84" s="652" t="s">
        <v>138</v>
      </c>
      <c r="E84" s="366"/>
      <c r="F84" s="365"/>
      <c r="G84" s="25">
        <f>SUM(G74:G83)</f>
        <v>245</v>
      </c>
      <c r="H84" s="26">
        <f>SUM(H74:H83)</f>
        <v>245</v>
      </c>
      <c r="I84" s="27">
        <f>J84/G84</f>
        <v>0.5591836734693878</v>
      </c>
      <c r="J84" s="369">
        <f>SUM(J74:J83)</f>
        <v>137</v>
      </c>
      <c r="K84" s="148">
        <f>L84/G84</f>
        <v>0.39591836734693875</v>
      </c>
      <c r="L84" s="369">
        <f>SUM(L74:L83)</f>
        <v>97</v>
      </c>
      <c r="M84" s="27">
        <f>N84/L84</f>
        <v>0.69072164948453607</v>
      </c>
      <c r="N84" s="369">
        <f>SUM(N74:N83)</f>
        <v>67</v>
      </c>
      <c r="O84" s="242">
        <f>SUM(O74:O83)</f>
        <v>0</v>
      </c>
      <c r="P84" s="243">
        <f t="shared" ref="P84" si="46">SUM(P74:P83)</f>
        <v>0</v>
      </c>
      <c r="Q84" s="242">
        <f>SUM(Q74:Q83)</f>
        <v>0</v>
      </c>
      <c r="R84" s="243">
        <f t="shared" ref="R84:V84" si="47">SUM(R74:R83)</f>
        <v>0</v>
      </c>
      <c r="S84" s="242">
        <f>SUM(S74:S83)</f>
        <v>235</v>
      </c>
      <c r="T84" s="243">
        <f t="shared" si="47"/>
        <v>235</v>
      </c>
      <c r="U84" s="242">
        <f t="shared" si="47"/>
        <v>10</v>
      </c>
      <c r="V84" s="244">
        <f t="shared" si="47"/>
        <v>10</v>
      </c>
      <c r="W84" s="372"/>
      <c r="X84" s="367"/>
      <c r="AB84" s="2">
        <f t="shared" si="43"/>
        <v>0</v>
      </c>
    </row>
    <row r="85" spans="1:28" x14ac:dyDescent="0.35">
      <c r="A85" s="108" t="str">
        <f t="shared" si="41"/>
        <v>X</v>
      </c>
      <c r="B85" s="1033" t="s">
        <v>151</v>
      </c>
      <c r="C85" s="1036" t="s">
        <v>76</v>
      </c>
      <c r="D85" s="1098">
        <v>17</v>
      </c>
      <c r="E85" s="167" t="s">
        <v>154</v>
      </c>
      <c r="F85" s="841" t="s">
        <v>62</v>
      </c>
      <c r="G85" s="501"/>
      <c r="H85" s="502"/>
      <c r="I85" s="9"/>
      <c r="J85" s="392"/>
      <c r="K85" s="128"/>
      <c r="L85" s="392"/>
      <c r="M85" s="9"/>
      <c r="N85" s="177"/>
      <c r="O85" s="182"/>
      <c r="P85" s="183"/>
      <c r="Q85" s="182"/>
      <c r="R85" s="183"/>
      <c r="S85" s="549"/>
      <c r="T85" s="550"/>
      <c r="U85" s="549"/>
      <c r="V85" s="551"/>
      <c r="W85" s="498"/>
      <c r="X85" s="399"/>
      <c r="AB85" s="2" t="str">
        <f t="shared" si="43"/>
        <v/>
      </c>
    </row>
    <row r="86" spans="1:28" ht="15.75" customHeight="1" x14ac:dyDescent="0.35">
      <c r="A86" s="108" t="str">
        <f t="shared" si="41"/>
        <v>X</v>
      </c>
      <c r="B86" s="1034"/>
      <c r="C86" s="1037"/>
      <c r="D86" s="1099"/>
      <c r="E86" s="168" t="s">
        <v>155</v>
      </c>
      <c r="F86" s="849" t="s">
        <v>62</v>
      </c>
      <c r="G86" s="503"/>
      <c r="H86" s="504"/>
      <c r="I86" s="15"/>
      <c r="J86" s="393"/>
      <c r="K86" s="134"/>
      <c r="L86" s="393"/>
      <c r="M86" s="15"/>
      <c r="N86" s="178"/>
      <c r="O86" s="184"/>
      <c r="P86" s="185"/>
      <c r="Q86" s="184"/>
      <c r="R86" s="185"/>
      <c r="S86" s="552"/>
      <c r="T86" s="553"/>
      <c r="U86" s="552"/>
      <c r="V86" s="554"/>
      <c r="W86" s="499"/>
      <c r="X86" s="401"/>
      <c r="AB86" s="2" t="str">
        <f t="shared" si="43"/>
        <v/>
      </c>
    </row>
    <row r="87" spans="1:28" ht="15.75" customHeight="1" x14ac:dyDescent="0.35">
      <c r="A87" s="108" t="str">
        <f t="shared" si="41"/>
        <v>X</v>
      </c>
      <c r="B87" s="1034"/>
      <c r="C87" s="1037"/>
      <c r="D87" s="1099"/>
      <c r="E87" s="168" t="s">
        <v>156</v>
      </c>
      <c r="F87" s="849" t="s">
        <v>62</v>
      </c>
      <c r="G87" s="503"/>
      <c r="H87" s="504"/>
      <c r="I87" s="15"/>
      <c r="J87" s="393"/>
      <c r="K87" s="134"/>
      <c r="L87" s="393"/>
      <c r="M87" s="15"/>
      <c r="N87" s="178"/>
      <c r="O87" s="184"/>
      <c r="P87" s="185"/>
      <c r="Q87" s="184"/>
      <c r="R87" s="185"/>
      <c r="S87" s="552"/>
      <c r="T87" s="553"/>
      <c r="U87" s="552"/>
      <c r="V87" s="554"/>
      <c r="W87" s="499"/>
      <c r="X87" s="401"/>
      <c r="AB87" s="2" t="str">
        <f t="shared" si="43"/>
        <v/>
      </c>
    </row>
    <row r="88" spans="1:28" ht="15" customHeight="1" x14ac:dyDescent="0.35">
      <c r="A88" s="108" t="str">
        <f t="shared" si="41"/>
        <v>X</v>
      </c>
      <c r="B88" s="1034"/>
      <c r="C88" s="1037"/>
      <c r="D88" s="1099"/>
      <c r="E88" s="168" t="s">
        <v>37</v>
      </c>
      <c r="F88" s="869" t="s">
        <v>62</v>
      </c>
      <c r="G88" s="164">
        <v>346</v>
      </c>
      <c r="H88" s="138">
        <v>174</v>
      </c>
      <c r="I88" s="134">
        <f t="shared" si="29"/>
        <v>0.31502890173410403</v>
      </c>
      <c r="J88" s="393">
        <v>109</v>
      </c>
      <c r="K88" s="134">
        <f t="shared" si="30"/>
        <v>0.23699421965317918</v>
      </c>
      <c r="L88" s="393">
        <v>82</v>
      </c>
      <c r="M88" s="134">
        <f t="shared" si="31"/>
        <v>0.52439024390243905</v>
      </c>
      <c r="N88" s="178">
        <v>43</v>
      </c>
      <c r="O88" s="184">
        <v>11</v>
      </c>
      <c r="P88" s="185">
        <v>7</v>
      </c>
      <c r="Q88" s="184">
        <v>50</v>
      </c>
      <c r="R88" s="185">
        <v>36</v>
      </c>
      <c r="S88" s="552">
        <v>374</v>
      </c>
      <c r="T88" s="553">
        <v>195</v>
      </c>
      <c r="U88" s="552">
        <v>22</v>
      </c>
      <c r="V88" s="554">
        <v>15</v>
      </c>
      <c r="W88" s="499"/>
      <c r="X88" s="401"/>
      <c r="AB88" s="2" t="str">
        <f t="shared" si="43"/>
        <v>Frontière</v>
      </c>
    </row>
    <row r="89" spans="1:28" ht="15" customHeight="1" x14ac:dyDescent="0.35">
      <c r="A89" s="108" t="str">
        <f t="shared" si="41"/>
        <v>X</v>
      </c>
      <c r="B89" s="1034"/>
      <c r="C89" s="1037"/>
      <c r="D89" s="1099"/>
      <c r="E89" s="168" t="s">
        <v>157</v>
      </c>
      <c r="F89" s="869" t="s">
        <v>62</v>
      </c>
      <c r="G89" s="164">
        <v>230</v>
      </c>
      <c r="H89" s="138">
        <v>116</v>
      </c>
      <c r="I89" s="134">
        <f t="shared" si="29"/>
        <v>0.4</v>
      </c>
      <c r="J89" s="393">
        <v>92</v>
      </c>
      <c r="K89" s="134">
        <f t="shared" si="30"/>
        <v>0.33478260869565218</v>
      </c>
      <c r="L89" s="393">
        <v>77</v>
      </c>
      <c r="M89" s="134">
        <f t="shared" si="31"/>
        <v>0.45454545454545453</v>
      </c>
      <c r="N89" s="178">
        <v>35</v>
      </c>
      <c r="O89" s="184">
        <v>20</v>
      </c>
      <c r="P89" s="185">
        <v>9</v>
      </c>
      <c r="Q89" s="184">
        <v>4</v>
      </c>
      <c r="R89" s="185">
        <v>3</v>
      </c>
      <c r="S89" s="552">
        <v>216</v>
      </c>
      <c r="T89" s="553">
        <v>106</v>
      </c>
      <c r="U89" s="552">
        <v>18</v>
      </c>
      <c r="V89" s="554">
        <v>10</v>
      </c>
      <c r="W89" s="499"/>
      <c r="X89" s="401"/>
      <c r="AB89" s="2" t="str">
        <f t="shared" si="43"/>
        <v>Frontière</v>
      </c>
    </row>
    <row r="90" spans="1:28" ht="15" customHeight="1" x14ac:dyDescent="0.35">
      <c r="A90" s="108" t="str">
        <f t="shared" si="41"/>
        <v>X</v>
      </c>
      <c r="B90" s="1034"/>
      <c r="C90" s="1037"/>
      <c r="D90" s="1099"/>
      <c r="E90" s="168" t="s">
        <v>38</v>
      </c>
      <c r="F90" s="869" t="s">
        <v>62</v>
      </c>
      <c r="G90" s="164">
        <v>239</v>
      </c>
      <c r="H90" s="138">
        <v>114</v>
      </c>
      <c r="I90" s="134">
        <f t="shared" si="29"/>
        <v>0.35564853556485354</v>
      </c>
      <c r="J90" s="393">
        <v>85</v>
      </c>
      <c r="K90" s="134">
        <f t="shared" si="30"/>
        <v>0.32217573221757323</v>
      </c>
      <c r="L90" s="393">
        <v>77</v>
      </c>
      <c r="M90" s="134">
        <f t="shared" si="31"/>
        <v>0.38961038961038963</v>
      </c>
      <c r="N90" s="178">
        <v>30</v>
      </c>
      <c r="O90" s="184">
        <v>13</v>
      </c>
      <c r="P90" s="185">
        <v>5</v>
      </c>
      <c r="Q90" s="184">
        <v>36</v>
      </c>
      <c r="R90" s="185">
        <v>17</v>
      </c>
      <c r="S90" s="552">
        <v>228</v>
      </c>
      <c r="T90" s="553">
        <v>105</v>
      </c>
      <c r="U90" s="552">
        <v>47</v>
      </c>
      <c r="V90" s="554">
        <v>26</v>
      </c>
      <c r="W90" s="499"/>
      <c r="X90" s="401"/>
      <c r="AB90" s="2" t="str">
        <f t="shared" si="43"/>
        <v>Frontière</v>
      </c>
    </row>
    <row r="91" spans="1:28" ht="15" customHeight="1" x14ac:dyDescent="0.35">
      <c r="A91" s="108" t="str">
        <f t="shared" si="41"/>
        <v>X</v>
      </c>
      <c r="B91" s="1034"/>
      <c r="C91" s="1037"/>
      <c r="D91" s="1099"/>
      <c r="E91" s="168" t="s">
        <v>158</v>
      </c>
      <c r="F91" s="849" t="s">
        <v>62</v>
      </c>
      <c r="G91" s="164"/>
      <c r="H91" s="138"/>
      <c r="I91" s="134" t="e">
        <f t="shared" si="29"/>
        <v>#DIV/0!</v>
      </c>
      <c r="J91" s="393"/>
      <c r="K91" s="134" t="e">
        <f t="shared" si="30"/>
        <v>#DIV/0!</v>
      </c>
      <c r="L91" s="393"/>
      <c r="M91" s="134" t="e">
        <f t="shared" si="31"/>
        <v>#DIV/0!</v>
      </c>
      <c r="N91" s="178"/>
      <c r="O91" s="184"/>
      <c r="P91" s="185"/>
      <c r="Q91" s="184"/>
      <c r="R91" s="185"/>
      <c r="S91" s="552"/>
      <c r="T91" s="553"/>
      <c r="U91" s="552"/>
      <c r="V91" s="554"/>
      <c r="W91" s="499"/>
      <c r="X91" s="401"/>
      <c r="AB91" s="2" t="str">
        <f t="shared" si="43"/>
        <v/>
      </c>
    </row>
    <row r="92" spans="1:28" ht="15" customHeight="1" x14ac:dyDescent="0.35">
      <c r="A92" s="108" t="str">
        <f t="shared" si="41"/>
        <v>X</v>
      </c>
      <c r="B92" s="1034"/>
      <c r="C92" s="1037"/>
      <c r="D92" s="1099"/>
      <c r="E92" s="168" t="s">
        <v>148</v>
      </c>
      <c r="F92" s="849" t="s">
        <v>62</v>
      </c>
      <c r="G92" s="164">
        <v>40</v>
      </c>
      <c r="H92" s="138">
        <v>20</v>
      </c>
      <c r="I92" s="134">
        <f t="shared" si="29"/>
        <v>0.375</v>
      </c>
      <c r="J92" s="393">
        <v>15</v>
      </c>
      <c r="K92" s="134">
        <f t="shared" si="30"/>
        <v>0.32500000000000001</v>
      </c>
      <c r="L92" s="393">
        <v>13</v>
      </c>
      <c r="M92" s="134">
        <f t="shared" si="31"/>
        <v>0.53846153846153844</v>
      </c>
      <c r="N92" s="178">
        <v>7</v>
      </c>
      <c r="O92" s="184">
        <v>0</v>
      </c>
      <c r="P92" s="185">
        <v>0</v>
      </c>
      <c r="Q92" s="184">
        <v>0</v>
      </c>
      <c r="R92" s="185">
        <v>0</v>
      </c>
      <c r="S92" s="552">
        <v>28</v>
      </c>
      <c r="T92" s="553">
        <v>15</v>
      </c>
      <c r="U92" s="552">
        <v>12</v>
      </c>
      <c r="V92" s="554">
        <v>5</v>
      </c>
      <c r="W92" s="499"/>
      <c r="X92" s="401"/>
      <c r="AB92" s="2" t="str">
        <f t="shared" si="43"/>
        <v>Frontière</v>
      </c>
    </row>
    <row r="93" spans="1:28" ht="15" customHeight="1" x14ac:dyDescent="0.35">
      <c r="A93" s="108" t="str">
        <f t="shared" si="41"/>
        <v>X</v>
      </c>
      <c r="B93" s="1034"/>
      <c r="C93" s="1037"/>
      <c r="D93" s="1099"/>
      <c r="E93" s="168" t="s">
        <v>149</v>
      </c>
      <c r="F93" s="869" t="s">
        <v>62</v>
      </c>
      <c r="G93" s="164">
        <v>24</v>
      </c>
      <c r="H93" s="138">
        <v>18</v>
      </c>
      <c r="I93" s="134">
        <f t="shared" si="29"/>
        <v>0.45833333333333331</v>
      </c>
      <c r="J93" s="393">
        <v>11</v>
      </c>
      <c r="K93" s="134">
        <f t="shared" si="30"/>
        <v>0.33333333333333331</v>
      </c>
      <c r="L93" s="393">
        <v>8</v>
      </c>
      <c r="M93" s="134">
        <f t="shared" si="31"/>
        <v>0.5</v>
      </c>
      <c r="N93" s="178">
        <v>4</v>
      </c>
      <c r="O93" s="184">
        <v>1</v>
      </c>
      <c r="P93" s="185">
        <v>1</v>
      </c>
      <c r="Q93" s="184">
        <v>10</v>
      </c>
      <c r="R93" s="185">
        <v>9</v>
      </c>
      <c r="S93" s="552">
        <v>32</v>
      </c>
      <c r="T93" s="553">
        <v>25</v>
      </c>
      <c r="U93" s="552">
        <v>2</v>
      </c>
      <c r="V93" s="554">
        <v>2</v>
      </c>
      <c r="W93" s="499"/>
      <c r="X93" s="401"/>
      <c r="AB93" s="2" t="str">
        <f t="shared" si="43"/>
        <v>Frontière</v>
      </c>
    </row>
    <row r="94" spans="1:28" ht="15" hidden="1" customHeight="1" x14ac:dyDescent="0.35">
      <c r="A94" s="108" t="str">
        <f t="shared" si="41"/>
        <v/>
      </c>
      <c r="B94" s="1034"/>
      <c r="C94" s="1037"/>
      <c r="D94" s="1099"/>
      <c r="E94" s="168"/>
      <c r="F94" s="869" t="s">
        <v>62</v>
      </c>
      <c r="G94" s="164"/>
      <c r="H94" s="138"/>
      <c r="I94" s="134" t="e">
        <f t="shared" si="29"/>
        <v>#DIV/0!</v>
      </c>
      <c r="J94" s="393"/>
      <c r="K94" s="134" t="e">
        <f t="shared" si="30"/>
        <v>#DIV/0!</v>
      </c>
      <c r="L94" s="393"/>
      <c r="M94" s="134" t="e">
        <f t="shared" si="31"/>
        <v>#DIV/0!</v>
      </c>
      <c r="N94" s="178"/>
      <c r="O94" s="184"/>
      <c r="P94" s="185"/>
      <c r="Q94" s="184"/>
      <c r="R94" s="185"/>
      <c r="S94" s="552"/>
      <c r="T94" s="553"/>
      <c r="U94" s="552"/>
      <c r="V94" s="554"/>
      <c r="W94" s="499"/>
      <c r="X94" s="401"/>
      <c r="AB94" s="2" t="str">
        <f t="shared" si="43"/>
        <v/>
      </c>
    </row>
    <row r="95" spans="1:28" ht="15" hidden="1" customHeight="1" x14ac:dyDescent="0.35">
      <c r="A95" s="108" t="str">
        <f t="shared" si="41"/>
        <v/>
      </c>
      <c r="B95" s="1034"/>
      <c r="C95" s="1037"/>
      <c r="D95" s="1099"/>
      <c r="E95" s="168"/>
      <c r="F95" s="869" t="s">
        <v>62</v>
      </c>
      <c r="G95" s="164"/>
      <c r="H95" s="138"/>
      <c r="I95" s="134" t="e">
        <f t="shared" si="29"/>
        <v>#DIV/0!</v>
      </c>
      <c r="J95" s="393"/>
      <c r="K95" s="134" t="e">
        <f t="shared" si="30"/>
        <v>#DIV/0!</v>
      </c>
      <c r="L95" s="393"/>
      <c r="M95" s="134" t="e">
        <f t="shared" si="31"/>
        <v>#DIV/0!</v>
      </c>
      <c r="N95" s="178"/>
      <c r="O95" s="184"/>
      <c r="P95" s="185"/>
      <c r="Q95" s="184"/>
      <c r="R95" s="185"/>
      <c r="S95" s="552"/>
      <c r="T95" s="553"/>
      <c r="U95" s="552"/>
      <c r="V95" s="554"/>
      <c r="W95" s="499"/>
      <c r="X95" s="401"/>
      <c r="AB95" s="2" t="str">
        <f t="shared" si="43"/>
        <v/>
      </c>
    </row>
    <row r="96" spans="1:28" ht="15" customHeight="1" x14ac:dyDescent="0.35">
      <c r="A96" s="108" t="str">
        <f t="shared" si="41"/>
        <v>X</v>
      </c>
      <c r="B96" s="1034"/>
      <c r="C96" s="1037"/>
      <c r="D96" s="1100"/>
      <c r="E96" s="168" t="s">
        <v>152</v>
      </c>
      <c r="F96" s="928" t="s">
        <v>62</v>
      </c>
      <c r="G96" s="164">
        <v>3</v>
      </c>
      <c r="H96" s="138">
        <v>3</v>
      </c>
      <c r="I96" s="134">
        <f t="shared" si="29"/>
        <v>0.66666666666666663</v>
      </c>
      <c r="J96" s="393">
        <v>2</v>
      </c>
      <c r="K96" s="134">
        <f t="shared" si="30"/>
        <v>0.66666666666666663</v>
      </c>
      <c r="L96" s="393">
        <v>2</v>
      </c>
      <c r="M96" s="134">
        <f t="shared" si="31"/>
        <v>0.5</v>
      </c>
      <c r="N96" s="178">
        <v>1</v>
      </c>
      <c r="O96" s="184">
        <v>0</v>
      </c>
      <c r="P96" s="185">
        <v>0</v>
      </c>
      <c r="Q96" s="184">
        <v>0</v>
      </c>
      <c r="R96" s="185">
        <v>0</v>
      </c>
      <c r="S96" s="552">
        <v>3</v>
      </c>
      <c r="T96" s="553">
        <v>3</v>
      </c>
      <c r="U96" s="552">
        <v>0</v>
      </c>
      <c r="V96" s="554">
        <v>0</v>
      </c>
      <c r="W96" s="499"/>
      <c r="X96" s="401"/>
      <c r="AB96" s="2" t="str">
        <f t="shared" si="43"/>
        <v>Frontière</v>
      </c>
    </row>
    <row r="97" spans="1:28" ht="15.5" x14ac:dyDescent="0.35">
      <c r="A97" s="108" t="str">
        <f t="shared" si="41"/>
        <v>X</v>
      </c>
      <c r="B97" s="1035"/>
      <c r="C97" s="1038"/>
      <c r="D97" s="655" t="s">
        <v>138</v>
      </c>
      <c r="E97" s="65"/>
      <c r="F97" s="472"/>
      <c r="G97" s="19">
        <f>SUM(G88:G96)</f>
        <v>882</v>
      </c>
      <c r="H97" s="20">
        <f>SUM(H88:H96)</f>
        <v>445</v>
      </c>
      <c r="I97" s="21">
        <f>J97/G97</f>
        <v>0.35600907029478457</v>
      </c>
      <c r="J97" s="481">
        <f>SUM(J88:J96)</f>
        <v>314</v>
      </c>
      <c r="K97" s="142">
        <f>L97/G97</f>
        <v>0.29365079365079366</v>
      </c>
      <c r="L97" s="481">
        <f>SUM(L88:L96)</f>
        <v>259</v>
      </c>
      <c r="M97" s="21">
        <f>N97/L97</f>
        <v>0.46332046332046334</v>
      </c>
      <c r="N97" s="481">
        <f>SUM(N88:N96)</f>
        <v>120</v>
      </c>
      <c r="O97" s="144">
        <f>SUM(O88:O96)</f>
        <v>45</v>
      </c>
      <c r="P97" s="141">
        <f>SUM(P88:P96)</f>
        <v>22</v>
      </c>
      <c r="Q97" s="144">
        <f t="shared" ref="Q97:V97" si="48">SUM(Q88:Q96)</f>
        <v>100</v>
      </c>
      <c r="R97" s="141">
        <f t="shared" si="48"/>
        <v>65</v>
      </c>
      <c r="S97" s="144">
        <f t="shared" si="48"/>
        <v>881</v>
      </c>
      <c r="T97" s="141">
        <f t="shared" si="48"/>
        <v>449</v>
      </c>
      <c r="U97" s="144">
        <f t="shared" si="48"/>
        <v>101</v>
      </c>
      <c r="V97" s="175">
        <f t="shared" si="48"/>
        <v>58</v>
      </c>
      <c r="W97" s="500"/>
      <c r="X97" s="471"/>
      <c r="AB97" s="2">
        <f t="shared" si="43"/>
        <v>0</v>
      </c>
    </row>
    <row r="98" spans="1:28" ht="15.75" customHeight="1" x14ac:dyDescent="0.35">
      <c r="A98" s="108" t="str">
        <f t="shared" si="41"/>
        <v>X</v>
      </c>
      <c r="B98" s="1087" t="s">
        <v>72</v>
      </c>
      <c r="C98" s="1036" t="s">
        <v>76</v>
      </c>
      <c r="D98" s="1091">
        <v>5</v>
      </c>
      <c r="E98" s="167" t="s">
        <v>150</v>
      </c>
      <c r="F98" s="921" t="s">
        <v>62</v>
      </c>
      <c r="G98" s="162">
        <v>47</v>
      </c>
      <c r="H98" s="132">
        <v>38</v>
      </c>
      <c r="I98" s="128">
        <f t="shared" si="29"/>
        <v>0.19148936170212766</v>
      </c>
      <c r="J98" s="392">
        <v>9</v>
      </c>
      <c r="K98" s="128">
        <f t="shared" si="30"/>
        <v>0.23404255319148937</v>
      </c>
      <c r="L98" s="392">
        <v>11</v>
      </c>
      <c r="M98" s="128">
        <f t="shared" si="31"/>
        <v>0.54545454545454541</v>
      </c>
      <c r="N98" s="177">
        <v>6</v>
      </c>
      <c r="O98" s="182">
        <v>1</v>
      </c>
      <c r="P98" s="183">
        <v>0</v>
      </c>
      <c r="Q98" s="182">
        <v>1</v>
      </c>
      <c r="R98" s="183">
        <v>1</v>
      </c>
      <c r="S98" s="549">
        <v>45</v>
      </c>
      <c r="T98" s="550">
        <v>38</v>
      </c>
      <c r="U98" s="549">
        <v>3</v>
      </c>
      <c r="V98" s="551">
        <v>1</v>
      </c>
      <c r="W98" s="372"/>
      <c r="X98" s="367"/>
      <c r="AB98" s="2" t="str">
        <f t="shared" si="43"/>
        <v>Frontière</v>
      </c>
    </row>
    <row r="99" spans="1:28" ht="15.75" customHeight="1" x14ac:dyDescent="0.35">
      <c r="A99" s="108" t="str">
        <f t="shared" si="41"/>
        <v>X</v>
      </c>
      <c r="B99" s="1088"/>
      <c r="C99" s="1101"/>
      <c r="D99" s="1091"/>
      <c r="E99" s="168" t="s">
        <v>153</v>
      </c>
      <c r="F99" s="869" t="s">
        <v>62</v>
      </c>
      <c r="G99" s="164">
        <v>23</v>
      </c>
      <c r="H99" s="138">
        <v>7</v>
      </c>
      <c r="I99" s="134">
        <f t="shared" si="29"/>
        <v>0.39130434782608697</v>
      </c>
      <c r="J99" s="393">
        <v>9</v>
      </c>
      <c r="K99" s="134">
        <f t="shared" si="30"/>
        <v>0.39130434782608697</v>
      </c>
      <c r="L99" s="393">
        <v>9</v>
      </c>
      <c r="M99" s="134">
        <f t="shared" si="31"/>
        <v>0.55555555555555558</v>
      </c>
      <c r="N99" s="178">
        <v>5</v>
      </c>
      <c r="O99" s="184">
        <v>0</v>
      </c>
      <c r="P99" s="185">
        <v>0</v>
      </c>
      <c r="Q99" s="184">
        <v>8</v>
      </c>
      <c r="R99" s="185">
        <v>7</v>
      </c>
      <c r="S99" s="552">
        <v>22</v>
      </c>
      <c r="T99" s="553">
        <v>10</v>
      </c>
      <c r="U99" s="552">
        <v>9</v>
      </c>
      <c r="V99" s="554">
        <v>4</v>
      </c>
      <c r="W99" s="372"/>
      <c r="X99" s="367"/>
      <c r="AB99" s="2" t="str">
        <f t="shared" si="43"/>
        <v>Frontière</v>
      </c>
    </row>
    <row r="100" spans="1:28" ht="15.75" hidden="1" customHeight="1" x14ac:dyDescent="0.35">
      <c r="A100" s="108" t="str">
        <f t="shared" si="41"/>
        <v/>
      </c>
      <c r="B100" s="1088"/>
      <c r="C100" s="1024"/>
      <c r="D100" s="1091"/>
      <c r="E100" s="594"/>
      <c r="F100" s="869" t="s">
        <v>62</v>
      </c>
      <c r="G100" s="592"/>
      <c r="H100" s="593"/>
      <c r="I100" s="134" t="e">
        <f t="shared" si="29"/>
        <v>#DIV/0!</v>
      </c>
      <c r="J100" s="591"/>
      <c r="K100" s="134" t="e">
        <f t="shared" si="30"/>
        <v>#DIV/0!</v>
      </c>
      <c r="L100" s="591"/>
      <c r="M100" s="134" t="e">
        <f t="shared" si="31"/>
        <v>#DIV/0!</v>
      </c>
      <c r="N100" s="580"/>
      <c r="O100" s="574"/>
      <c r="P100" s="575"/>
      <c r="Q100" s="574"/>
      <c r="R100" s="575"/>
      <c r="S100" s="603"/>
      <c r="T100" s="604"/>
      <c r="U100" s="603"/>
      <c r="V100" s="605"/>
      <c r="W100" s="372"/>
      <c r="X100" s="367"/>
      <c r="AB100" s="2" t="str">
        <f t="shared" si="43"/>
        <v/>
      </c>
    </row>
    <row r="101" spans="1:28" ht="15.75" hidden="1" customHeight="1" x14ac:dyDescent="0.35">
      <c r="A101" s="108" t="str">
        <f t="shared" si="41"/>
        <v/>
      </c>
      <c r="B101" s="1088"/>
      <c r="C101" s="1024"/>
      <c r="D101" s="1091"/>
      <c r="E101" s="594"/>
      <c r="F101" s="869" t="s">
        <v>62</v>
      </c>
      <c r="G101" s="592"/>
      <c r="H101" s="593"/>
      <c r="I101" s="134" t="e">
        <f t="shared" si="29"/>
        <v>#DIV/0!</v>
      </c>
      <c r="J101" s="591"/>
      <c r="K101" s="134" t="e">
        <f t="shared" si="30"/>
        <v>#DIV/0!</v>
      </c>
      <c r="L101" s="591"/>
      <c r="M101" s="134" t="e">
        <f t="shared" si="31"/>
        <v>#DIV/0!</v>
      </c>
      <c r="N101" s="580"/>
      <c r="O101" s="574"/>
      <c r="P101" s="575"/>
      <c r="Q101" s="574"/>
      <c r="R101" s="575"/>
      <c r="S101" s="603"/>
      <c r="T101" s="604"/>
      <c r="U101" s="603"/>
      <c r="V101" s="605"/>
      <c r="W101" s="372"/>
      <c r="X101" s="367"/>
      <c r="AB101" s="2" t="str">
        <f t="shared" si="43"/>
        <v/>
      </c>
    </row>
    <row r="102" spans="1:28" ht="15.75" customHeight="1" x14ac:dyDescent="0.35">
      <c r="A102" s="108" t="str">
        <f t="shared" si="41"/>
        <v>X</v>
      </c>
      <c r="B102" s="1088"/>
      <c r="C102" s="1024"/>
      <c r="D102" s="1091"/>
      <c r="E102" s="169" t="s">
        <v>36</v>
      </c>
      <c r="F102" s="928" t="s">
        <v>62</v>
      </c>
      <c r="G102" s="166">
        <v>13</v>
      </c>
      <c r="H102" s="146">
        <v>11</v>
      </c>
      <c r="I102" s="142">
        <f t="shared" si="29"/>
        <v>0.38461538461538464</v>
      </c>
      <c r="J102" s="391">
        <v>5</v>
      </c>
      <c r="K102" s="142">
        <f t="shared" si="30"/>
        <v>0.23076923076923078</v>
      </c>
      <c r="L102" s="391">
        <v>3</v>
      </c>
      <c r="M102" s="142">
        <f t="shared" si="31"/>
        <v>0.66666666666666663</v>
      </c>
      <c r="N102" s="179">
        <v>2</v>
      </c>
      <c r="O102" s="186">
        <v>0</v>
      </c>
      <c r="P102" s="187">
        <v>0</v>
      </c>
      <c r="Q102" s="186">
        <v>2</v>
      </c>
      <c r="R102" s="187">
        <v>1</v>
      </c>
      <c r="S102" s="555">
        <v>11</v>
      </c>
      <c r="T102" s="556">
        <v>8</v>
      </c>
      <c r="U102" s="555">
        <v>4</v>
      </c>
      <c r="V102" s="557">
        <v>4</v>
      </c>
      <c r="W102" s="372"/>
      <c r="X102" s="367"/>
      <c r="AB102" s="2" t="str">
        <f t="shared" si="43"/>
        <v>Frontière</v>
      </c>
    </row>
    <row r="103" spans="1:28" ht="15.75" customHeight="1" x14ac:dyDescent="0.35">
      <c r="A103" s="108" t="str">
        <f t="shared" si="41"/>
        <v>X</v>
      </c>
      <c r="B103" s="1089"/>
      <c r="C103" s="1038"/>
      <c r="D103" s="656" t="s">
        <v>138</v>
      </c>
      <c r="E103" s="366"/>
      <c r="F103" s="472"/>
      <c r="G103" s="25">
        <f>SUM(G98:G102)</f>
        <v>83</v>
      </c>
      <c r="H103" s="26">
        <f>SUM(H98:H102)</f>
        <v>56</v>
      </c>
      <c r="I103" s="27">
        <f>J103/G103</f>
        <v>0.27710843373493976</v>
      </c>
      <c r="J103" s="369">
        <f>SUM(J98:J102)</f>
        <v>23</v>
      </c>
      <c r="K103" s="148">
        <f>L103/G103</f>
        <v>0.27710843373493976</v>
      </c>
      <c r="L103" s="369">
        <f>SUM(L98:L102)</f>
        <v>23</v>
      </c>
      <c r="M103" s="27">
        <f>N103/L103</f>
        <v>0.56521739130434778</v>
      </c>
      <c r="N103" s="369">
        <f>SUM(N98:N102)</f>
        <v>13</v>
      </c>
      <c r="O103" s="242">
        <f>SUM(O98:O102)</f>
        <v>1</v>
      </c>
      <c r="P103" s="243">
        <f t="shared" ref="P103:V103" si="49">SUM(P98:P102)</f>
        <v>0</v>
      </c>
      <c r="Q103" s="242">
        <f t="shared" si="49"/>
        <v>11</v>
      </c>
      <c r="R103" s="243">
        <f t="shared" si="49"/>
        <v>9</v>
      </c>
      <c r="S103" s="242">
        <f t="shared" si="49"/>
        <v>78</v>
      </c>
      <c r="T103" s="243">
        <f t="shared" si="49"/>
        <v>56</v>
      </c>
      <c r="U103" s="242">
        <f t="shared" si="49"/>
        <v>16</v>
      </c>
      <c r="V103" s="244">
        <f t="shared" si="49"/>
        <v>9</v>
      </c>
      <c r="W103" s="372"/>
      <c r="X103" s="367"/>
      <c r="AB103" s="2">
        <f t="shared" si="43"/>
        <v>0</v>
      </c>
    </row>
    <row r="104" spans="1:28" ht="15.75" customHeight="1" thickBot="1" x14ac:dyDescent="0.4">
      <c r="A104" s="108" t="str">
        <f t="shared" si="41"/>
        <v>X</v>
      </c>
      <c r="B104" s="1029" t="s">
        <v>3</v>
      </c>
      <c r="C104" s="1039" t="s">
        <v>76</v>
      </c>
      <c r="D104" s="1083">
        <v>11</v>
      </c>
      <c r="E104" s="161" t="s">
        <v>48</v>
      </c>
      <c r="F104" s="447" t="s">
        <v>61</v>
      </c>
      <c r="G104" s="162"/>
      <c r="H104" s="132"/>
      <c r="I104" s="128"/>
      <c r="J104" s="392"/>
      <c r="K104" s="128"/>
      <c r="L104" s="392"/>
      <c r="M104" s="128"/>
      <c r="N104" s="177"/>
      <c r="O104" s="182" t="s">
        <v>21</v>
      </c>
      <c r="P104" s="183" t="s">
        <v>21</v>
      </c>
      <c r="Q104" s="182" t="s">
        <v>21</v>
      </c>
      <c r="R104" s="183" t="s">
        <v>21</v>
      </c>
      <c r="S104" s="130"/>
      <c r="T104" s="127"/>
      <c r="U104" s="130"/>
      <c r="V104" s="152"/>
      <c r="W104" s="372"/>
      <c r="X104" s="367"/>
      <c r="AB104" s="2" t="str">
        <f t="shared" si="43"/>
        <v/>
      </c>
    </row>
    <row r="105" spans="1:28" ht="15.75" customHeight="1" thickBot="1" x14ac:dyDescent="0.4">
      <c r="A105" s="108" t="str">
        <f t="shared" si="41"/>
        <v>X</v>
      </c>
      <c r="B105" s="1021"/>
      <c r="C105" s="1040"/>
      <c r="D105" s="1083"/>
      <c r="E105" s="163" t="s">
        <v>49</v>
      </c>
      <c r="F105" s="454" t="s">
        <v>61</v>
      </c>
      <c r="G105" s="164"/>
      <c r="H105" s="138"/>
      <c r="I105" s="134"/>
      <c r="J105" s="393"/>
      <c r="K105" s="134"/>
      <c r="L105" s="393"/>
      <c r="M105" s="134"/>
      <c r="N105" s="178"/>
      <c r="O105" s="184" t="s">
        <v>21</v>
      </c>
      <c r="P105" s="185" t="s">
        <v>21</v>
      </c>
      <c r="Q105" s="184" t="s">
        <v>21</v>
      </c>
      <c r="R105" s="185" t="s">
        <v>21</v>
      </c>
      <c r="S105" s="136"/>
      <c r="T105" s="133"/>
      <c r="U105" s="136"/>
      <c r="V105" s="140"/>
      <c r="W105" s="372"/>
      <c r="X105" s="367"/>
      <c r="AB105" s="2" t="str">
        <f t="shared" si="43"/>
        <v/>
      </c>
    </row>
    <row r="106" spans="1:28" ht="15.75" customHeight="1" thickBot="1" x14ac:dyDescent="0.4">
      <c r="A106" s="108" t="str">
        <f t="shared" si="41"/>
        <v>X</v>
      </c>
      <c r="B106" s="1021"/>
      <c r="C106" s="1040"/>
      <c r="D106" s="1083"/>
      <c r="E106" s="163" t="s">
        <v>81</v>
      </c>
      <c r="F106" s="454" t="s">
        <v>61</v>
      </c>
      <c r="G106" s="164"/>
      <c r="H106" s="138"/>
      <c r="I106" s="134"/>
      <c r="J106" s="393"/>
      <c r="K106" s="134"/>
      <c r="L106" s="393"/>
      <c r="M106" s="134"/>
      <c r="N106" s="178"/>
      <c r="O106" s="184" t="s">
        <v>21</v>
      </c>
      <c r="P106" s="185" t="s">
        <v>21</v>
      </c>
      <c r="Q106" s="184" t="s">
        <v>21</v>
      </c>
      <c r="R106" s="185" t="s">
        <v>21</v>
      </c>
      <c r="S106" s="136"/>
      <c r="T106" s="133"/>
      <c r="U106" s="136"/>
      <c r="V106" s="140"/>
      <c r="W106" s="372"/>
      <c r="X106" s="367"/>
      <c r="AB106" s="2" t="str">
        <f t="shared" si="43"/>
        <v/>
      </c>
    </row>
    <row r="107" spans="1:28" ht="15.75" customHeight="1" thickBot="1" x14ac:dyDescent="0.4">
      <c r="A107" s="108" t="str">
        <f t="shared" si="41"/>
        <v>X</v>
      </c>
      <c r="B107" s="1021"/>
      <c r="C107" s="1040"/>
      <c r="D107" s="1083"/>
      <c r="E107" s="163" t="s">
        <v>73</v>
      </c>
      <c r="F107" s="454" t="s">
        <v>61</v>
      </c>
      <c r="G107" s="164"/>
      <c r="H107" s="138"/>
      <c r="I107" s="134"/>
      <c r="J107" s="393"/>
      <c r="K107" s="134"/>
      <c r="L107" s="393"/>
      <c r="M107" s="134"/>
      <c r="N107" s="178"/>
      <c r="O107" s="184" t="s">
        <v>21</v>
      </c>
      <c r="P107" s="185" t="s">
        <v>21</v>
      </c>
      <c r="Q107" s="184" t="s">
        <v>21</v>
      </c>
      <c r="R107" s="185" t="s">
        <v>21</v>
      </c>
      <c r="S107" s="136"/>
      <c r="T107" s="133"/>
      <c r="U107" s="136"/>
      <c r="V107" s="140"/>
      <c r="W107" s="372"/>
      <c r="X107" s="367"/>
      <c r="AB107" s="2" t="str">
        <f t="shared" si="43"/>
        <v/>
      </c>
    </row>
    <row r="108" spans="1:28" ht="15.75" customHeight="1" thickBot="1" x14ac:dyDescent="0.4">
      <c r="A108" s="108" t="str">
        <f t="shared" si="41"/>
        <v>X</v>
      </c>
      <c r="B108" s="1021"/>
      <c r="C108" s="1040"/>
      <c r="D108" s="1083"/>
      <c r="E108" s="163" t="s">
        <v>50</v>
      </c>
      <c r="F108" s="454" t="s">
        <v>61</v>
      </c>
      <c r="G108" s="164"/>
      <c r="H108" s="138"/>
      <c r="I108" s="134"/>
      <c r="J108" s="393"/>
      <c r="K108" s="134"/>
      <c r="L108" s="393"/>
      <c r="M108" s="134"/>
      <c r="N108" s="178"/>
      <c r="O108" s="184" t="s">
        <v>21</v>
      </c>
      <c r="P108" s="185" t="s">
        <v>21</v>
      </c>
      <c r="Q108" s="184" t="s">
        <v>21</v>
      </c>
      <c r="R108" s="185" t="s">
        <v>21</v>
      </c>
      <c r="S108" s="136"/>
      <c r="T108" s="133"/>
      <c r="U108" s="136"/>
      <c r="V108" s="140"/>
      <c r="W108" s="372"/>
      <c r="X108" s="367"/>
      <c r="AB108" s="2" t="str">
        <f t="shared" si="43"/>
        <v/>
      </c>
    </row>
    <row r="109" spans="1:28" ht="15.75" customHeight="1" thickBot="1" x14ac:dyDescent="0.4">
      <c r="A109" s="108" t="str">
        <f t="shared" si="41"/>
        <v>X</v>
      </c>
      <c r="B109" s="1021"/>
      <c r="C109" s="1040"/>
      <c r="D109" s="1083"/>
      <c r="E109" s="163" t="s">
        <v>144</v>
      </c>
      <c r="F109" s="454" t="s">
        <v>61</v>
      </c>
      <c r="G109" s="164">
        <v>159</v>
      </c>
      <c r="H109" s="138">
        <v>159</v>
      </c>
      <c r="I109" s="134">
        <f t="shared" si="29"/>
        <v>0.34591194968553457</v>
      </c>
      <c r="J109" s="393">
        <v>55</v>
      </c>
      <c r="K109" s="134">
        <f t="shared" si="30"/>
        <v>0.41509433962264153</v>
      </c>
      <c r="L109" s="393">
        <v>66</v>
      </c>
      <c r="M109" s="134">
        <f t="shared" si="31"/>
        <v>0.46969696969696972</v>
      </c>
      <c r="N109" s="178">
        <v>31</v>
      </c>
      <c r="O109" s="184" t="s">
        <v>21</v>
      </c>
      <c r="P109" s="185" t="s">
        <v>21</v>
      </c>
      <c r="Q109" s="184" t="s">
        <v>21</v>
      </c>
      <c r="R109" s="185" t="s">
        <v>21</v>
      </c>
      <c r="S109" s="136"/>
      <c r="T109" s="133"/>
      <c r="U109" s="136"/>
      <c r="V109" s="140"/>
      <c r="W109" s="372"/>
      <c r="X109" s="367"/>
      <c r="AB109" s="2" t="str">
        <f t="shared" si="43"/>
        <v>Suisse</v>
      </c>
    </row>
    <row r="110" spans="1:28" ht="15.75" customHeight="1" thickBot="1" x14ac:dyDescent="0.4">
      <c r="A110" s="108" t="str">
        <f t="shared" si="41"/>
        <v>X</v>
      </c>
      <c r="B110" s="1021"/>
      <c r="C110" s="1040"/>
      <c r="D110" s="1083"/>
      <c r="E110" s="163" t="s">
        <v>143</v>
      </c>
      <c r="F110" s="454" t="s">
        <v>61</v>
      </c>
      <c r="G110" s="164">
        <v>165</v>
      </c>
      <c r="H110" s="138">
        <v>165</v>
      </c>
      <c r="I110" s="134">
        <f t="shared" si="29"/>
        <v>0</v>
      </c>
      <c r="J110" s="393"/>
      <c r="K110" s="134">
        <f t="shared" si="30"/>
        <v>0</v>
      </c>
      <c r="L110" s="393"/>
      <c r="M110" s="134" t="e">
        <f t="shared" si="31"/>
        <v>#DIV/0!</v>
      </c>
      <c r="N110" s="178"/>
      <c r="O110" s="184" t="s">
        <v>21</v>
      </c>
      <c r="P110" s="185" t="s">
        <v>21</v>
      </c>
      <c r="Q110" s="184" t="s">
        <v>21</v>
      </c>
      <c r="R110" s="185" t="s">
        <v>21</v>
      </c>
      <c r="S110" s="136"/>
      <c r="T110" s="133"/>
      <c r="U110" s="136"/>
      <c r="V110" s="140"/>
      <c r="W110" s="372"/>
      <c r="X110" s="367"/>
      <c r="AB110" s="2" t="str">
        <f t="shared" si="43"/>
        <v>Suisse</v>
      </c>
    </row>
    <row r="111" spans="1:28" ht="15.75" customHeight="1" thickBot="1" x14ac:dyDescent="0.4">
      <c r="A111" s="108" t="str">
        <f t="shared" si="41"/>
        <v>X</v>
      </c>
      <c r="B111" s="1021"/>
      <c r="C111" s="1040"/>
      <c r="D111" s="1083"/>
      <c r="E111" s="163" t="s">
        <v>180</v>
      </c>
      <c r="F111" s="454" t="s">
        <v>61</v>
      </c>
      <c r="G111" s="164"/>
      <c r="H111" s="138"/>
      <c r="I111" s="134"/>
      <c r="J111" s="393"/>
      <c r="K111" s="134"/>
      <c r="L111" s="393"/>
      <c r="M111" s="134"/>
      <c r="N111" s="178"/>
      <c r="O111" s="184"/>
      <c r="P111" s="185"/>
      <c r="Q111" s="184"/>
      <c r="R111" s="185"/>
      <c r="S111" s="136"/>
      <c r="T111" s="133"/>
      <c r="U111" s="136"/>
      <c r="V111" s="140"/>
      <c r="W111" s="372"/>
      <c r="X111" s="367"/>
      <c r="AB111" s="2" t="str">
        <f t="shared" si="43"/>
        <v/>
      </c>
    </row>
    <row r="112" spans="1:28" ht="15.75" customHeight="1" thickBot="1" x14ac:dyDescent="0.4">
      <c r="A112" s="108" t="str">
        <f t="shared" si="41"/>
        <v>X</v>
      </c>
      <c r="B112" s="1021"/>
      <c r="C112" s="1040"/>
      <c r="D112" s="1083"/>
      <c r="E112" s="163" t="s">
        <v>181</v>
      </c>
      <c r="F112" s="454" t="s">
        <v>61</v>
      </c>
      <c r="G112" s="164"/>
      <c r="H112" s="138"/>
      <c r="I112" s="134"/>
      <c r="J112" s="393"/>
      <c r="K112" s="134"/>
      <c r="L112" s="393"/>
      <c r="M112" s="134"/>
      <c r="N112" s="178"/>
      <c r="O112" s="184"/>
      <c r="P112" s="185"/>
      <c r="Q112" s="184"/>
      <c r="R112" s="185"/>
      <c r="S112" s="136"/>
      <c r="T112" s="133"/>
      <c r="U112" s="136"/>
      <c r="V112" s="140"/>
      <c r="W112" s="372"/>
      <c r="X112" s="367"/>
      <c r="AB112" s="2" t="str">
        <f t="shared" si="43"/>
        <v/>
      </c>
    </row>
    <row r="113" spans="1:28" ht="15.75" customHeight="1" thickBot="1" x14ac:dyDescent="0.4">
      <c r="A113" s="108" t="str">
        <f t="shared" si="41"/>
        <v>X</v>
      </c>
      <c r="B113" s="1021"/>
      <c r="C113" s="1040"/>
      <c r="D113" s="1083"/>
      <c r="E113" s="163" t="s">
        <v>182</v>
      </c>
      <c r="F113" s="454" t="s">
        <v>61</v>
      </c>
      <c r="G113" s="164"/>
      <c r="H113" s="138"/>
      <c r="I113" s="134"/>
      <c r="J113" s="393"/>
      <c r="K113" s="134"/>
      <c r="L113" s="393"/>
      <c r="M113" s="134"/>
      <c r="N113" s="178"/>
      <c r="O113" s="184"/>
      <c r="P113" s="185"/>
      <c r="Q113" s="184"/>
      <c r="R113" s="185"/>
      <c r="S113" s="136"/>
      <c r="T113" s="133"/>
      <c r="U113" s="136"/>
      <c r="V113" s="140"/>
      <c r="W113" s="372"/>
      <c r="X113" s="367"/>
      <c r="AB113" s="2" t="str">
        <f t="shared" si="43"/>
        <v/>
      </c>
    </row>
    <row r="114" spans="1:28" ht="15.75" customHeight="1" thickBot="1" x14ac:dyDescent="0.4">
      <c r="A114" s="108" t="str">
        <f t="shared" si="41"/>
        <v>X</v>
      </c>
      <c r="B114" s="1021"/>
      <c r="C114" s="1040"/>
      <c r="D114" s="1083"/>
      <c r="E114" s="163" t="s">
        <v>183</v>
      </c>
      <c r="F114" s="454" t="s">
        <v>61</v>
      </c>
      <c r="G114" s="164"/>
      <c r="H114" s="138"/>
      <c r="I114" s="134"/>
      <c r="J114" s="393"/>
      <c r="K114" s="134"/>
      <c r="L114" s="393"/>
      <c r="M114" s="134"/>
      <c r="N114" s="178"/>
      <c r="O114" s="184"/>
      <c r="P114" s="185"/>
      <c r="Q114" s="184"/>
      <c r="R114" s="185"/>
      <c r="S114" s="136"/>
      <c r="T114" s="133"/>
      <c r="U114" s="136"/>
      <c r="V114" s="140"/>
      <c r="W114" s="372"/>
      <c r="X114" s="367"/>
      <c r="AB114" s="2" t="str">
        <f t="shared" si="43"/>
        <v/>
      </c>
    </row>
    <row r="115" spans="1:28" ht="15.75" customHeight="1" thickBot="1" x14ac:dyDescent="0.4">
      <c r="A115" s="108" t="str">
        <f t="shared" si="41"/>
        <v>X</v>
      </c>
      <c r="B115" s="1021"/>
      <c r="C115" s="1040"/>
      <c r="D115" s="1083"/>
      <c r="E115" s="163" t="s">
        <v>184</v>
      </c>
      <c r="F115" s="454" t="s">
        <v>61</v>
      </c>
      <c r="G115" s="164"/>
      <c r="H115" s="138"/>
      <c r="I115" s="134"/>
      <c r="J115" s="393"/>
      <c r="K115" s="134"/>
      <c r="L115" s="393"/>
      <c r="M115" s="134"/>
      <c r="N115" s="178"/>
      <c r="O115" s="184"/>
      <c r="P115" s="185"/>
      <c r="Q115" s="184"/>
      <c r="R115" s="185"/>
      <c r="S115" s="136"/>
      <c r="T115" s="133"/>
      <c r="U115" s="136"/>
      <c r="V115" s="140"/>
      <c r="W115" s="372"/>
      <c r="X115" s="367"/>
      <c r="AB115" s="2" t="str">
        <f t="shared" si="43"/>
        <v/>
      </c>
    </row>
    <row r="116" spans="1:28" ht="15.75" customHeight="1" thickBot="1" x14ac:dyDescent="0.4">
      <c r="A116" s="108" t="str">
        <f t="shared" si="41"/>
        <v>X</v>
      </c>
      <c r="B116" s="1021"/>
      <c r="C116" s="1040"/>
      <c r="D116" s="1083"/>
      <c r="E116" s="163" t="s">
        <v>185</v>
      </c>
      <c r="F116" s="454" t="s">
        <v>61</v>
      </c>
      <c r="G116" s="164"/>
      <c r="H116" s="138"/>
      <c r="I116" s="134"/>
      <c r="J116" s="393"/>
      <c r="K116" s="134"/>
      <c r="L116" s="393"/>
      <c r="M116" s="134"/>
      <c r="N116" s="178"/>
      <c r="O116" s="184"/>
      <c r="P116" s="185"/>
      <c r="Q116" s="184"/>
      <c r="R116" s="185"/>
      <c r="S116" s="136"/>
      <c r="T116" s="133"/>
      <c r="U116" s="136"/>
      <c r="V116" s="140"/>
      <c r="W116" s="372"/>
      <c r="X116" s="367"/>
      <c r="AB116" s="2" t="str">
        <f t="shared" si="43"/>
        <v/>
      </c>
    </row>
    <row r="117" spans="1:28" ht="15.75" customHeight="1" thickBot="1" x14ac:dyDescent="0.4">
      <c r="A117" s="108" t="str">
        <f t="shared" si="41"/>
        <v>X</v>
      </c>
      <c r="B117" s="1021"/>
      <c r="C117" s="1040"/>
      <c r="D117" s="1083"/>
      <c r="E117" s="163" t="s">
        <v>80</v>
      </c>
      <c r="F117" s="454" t="s">
        <v>61</v>
      </c>
      <c r="G117" s="164">
        <v>773</v>
      </c>
      <c r="H117" s="138">
        <f>G117</f>
        <v>773</v>
      </c>
      <c r="I117" s="134">
        <f t="shared" si="29"/>
        <v>0.39327296248382926</v>
      </c>
      <c r="J117" s="393">
        <v>304</v>
      </c>
      <c r="K117" s="134">
        <f t="shared" si="30"/>
        <v>0.43078913324708928</v>
      </c>
      <c r="L117" s="393">
        <v>333</v>
      </c>
      <c r="M117" s="134">
        <f t="shared" si="31"/>
        <v>0.57657657657657657</v>
      </c>
      <c r="N117" s="178">
        <v>192</v>
      </c>
      <c r="O117" s="184" t="s">
        <v>21</v>
      </c>
      <c r="P117" s="185" t="s">
        <v>21</v>
      </c>
      <c r="Q117" s="184" t="s">
        <v>21</v>
      </c>
      <c r="R117" s="185" t="s">
        <v>21</v>
      </c>
      <c r="S117" s="136"/>
      <c r="T117" s="133"/>
      <c r="U117" s="136"/>
      <c r="V117" s="140"/>
      <c r="W117" s="372"/>
      <c r="X117" s="367"/>
      <c r="AB117" s="2" t="str">
        <f t="shared" si="43"/>
        <v>Suisse</v>
      </c>
    </row>
    <row r="118" spans="1:28" ht="15.75" customHeight="1" thickBot="1" x14ac:dyDescent="0.4">
      <c r="A118" s="108" t="str">
        <f t="shared" si="41"/>
        <v>X</v>
      </c>
      <c r="B118" s="1021"/>
      <c r="C118" s="1040"/>
      <c r="D118" s="1083"/>
      <c r="E118" s="163" t="s">
        <v>51</v>
      </c>
      <c r="F118" s="454" t="s">
        <v>61</v>
      </c>
      <c r="G118" s="164">
        <v>629</v>
      </c>
      <c r="H118" s="138">
        <f t="shared" ref="H118" si="50">G118</f>
        <v>629</v>
      </c>
      <c r="I118" s="134">
        <f t="shared" si="29"/>
        <v>0.47058823529411764</v>
      </c>
      <c r="J118" s="393">
        <v>296</v>
      </c>
      <c r="K118" s="134">
        <f t="shared" si="30"/>
        <v>0.49443561208267089</v>
      </c>
      <c r="L118" s="393">
        <v>311</v>
      </c>
      <c r="M118" s="134">
        <f t="shared" si="31"/>
        <v>0.58520900321543412</v>
      </c>
      <c r="N118" s="178">
        <v>182</v>
      </c>
      <c r="O118" s="184" t="s">
        <v>21</v>
      </c>
      <c r="P118" s="185" t="s">
        <v>21</v>
      </c>
      <c r="Q118" s="184" t="s">
        <v>21</v>
      </c>
      <c r="R118" s="185" t="s">
        <v>21</v>
      </c>
      <c r="S118" s="136"/>
      <c r="T118" s="133"/>
      <c r="U118" s="136"/>
      <c r="V118" s="140"/>
      <c r="W118" s="372"/>
      <c r="X118" s="367"/>
      <c r="AB118" s="2" t="str">
        <f t="shared" si="43"/>
        <v>Suisse</v>
      </c>
    </row>
    <row r="119" spans="1:28" ht="15.75" hidden="1" customHeight="1" thickBot="1" x14ac:dyDescent="0.4">
      <c r="A119" s="108" t="str">
        <f t="shared" si="41"/>
        <v/>
      </c>
      <c r="B119" s="1021"/>
      <c r="C119" s="1040"/>
      <c r="D119" s="1083"/>
      <c r="E119" s="579"/>
      <c r="F119" s="454" t="s">
        <v>207</v>
      </c>
      <c r="G119" s="592"/>
      <c r="H119" s="593"/>
      <c r="I119" s="134" t="e">
        <f t="shared" si="29"/>
        <v>#DIV/0!</v>
      </c>
      <c r="J119" s="591"/>
      <c r="K119" s="134" t="e">
        <f t="shared" si="30"/>
        <v>#DIV/0!</v>
      </c>
      <c r="L119" s="591"/>
      <c r="M119" s="134" t="e">
        <f t="shared" si="31"/>
        <v>#DIV/0!</v>
      </c>
      <c r="N119" s="580"/>
      <c r="O119" s="574"/>
      <c r="P119" s="575"/>
      <c r="Q119" s="574"/>
      <c r="R119" s="575"/>
      <c r="S119" s="576"/>
      <c r="T119" s="577"/>
      <c r="U119" s="576"/>
      <c r="V119" s="578"/>
      <c r="W119" s="372"/>
      <c r="X119" s="367"/>
      <c r="AB119" s="2" t="str">
        <f t="shared" si="43"/>
        <v/>
      </c>
    </row>
    <row r="120" spans="1:28" ht="15.75" hidden="1" customHeight="1" thickBot="1" x14ac:dyDescent="0.4">
      <c r="A120" s="108" t="str">
        <f t="shared" si="41"/>
        <v/>
      </c>
      <c r="B120" s="1021"/>
      <c r="C120" s="1040"/>
      <c r="D120" s="1083"/>
      <c r="E120" s="579"/>
      <c r="F120" s="454" t="s">
        <v>207</v>
      </c>
      <c r="G120" s="592"/>
      <c r="H120" s="593"/>
      <c r="I120" s="134" t="e">
        <f t="shared" si="29"/>
        <v>#DIV/0!</v>
      </c>
      <c r="J120" s="591"/>
      <c r="K120" s="134" t="e">
        <f t="shared" si="30"/>
        <v>#DIV/0!</v>
      </c>
      <c r="L120" s="591"/>
      <c r="M120" s="134" t="e">
        <f t="shared" si="31"/>
        <v>#DIV/0!</v>
      </c>
      <c r="N120" s="580"/>
      <c r="O120" s="574"/>
      <c r="P120" s="575"/>
      <c r="Q120" s="574"/>
      <c r="R120" s="575"/>
      <c r="S120" s="576"/>
      <c r="T120" s="577"/>
      <c r="U120" s="576"/>
      <c r="V120" s="578"/>
      <c r="W120" s="372"/>
      <c r="X120" s="367"/>
      <c r="AB120" s="2" t="str">
        <f t="shared" si="43"/>
        <v/>
      </c>
    </row>
    <row r="121" spans="1:28" ht="15.75" customHeight="1" thickBot="1" x14ac:dyDescent="0.4">
      <c r="A121" s="108" t="str">
        <f t="shared" si="41"/>
        <v>X</v>
      </c>
      <c r="B121" s="1021"/>
      <c r="C121" s="1040"/>
      <c r="D121" s="1083"/>
      <c r="E121" s="165" t="s">
        <v>52</v>
      </c>
      <c r="F121" s="899" t="s">
        <v>61</v>
      </c>
      <c r="G121" s="166"/>
      <c r="H121" s="146"/>
      <c r="I121" s="142"/>
      <c r="J121" s="391"/>
      <c r="K121" s="142"/>
      <c r="L121" s="391"/>
      <c r="M121" s="142"/>
      <c r="N121" s="179"/>
      <c r="O121" s="186" t="s">
        <v>21</v>
      </c>
      <c r="P121" s="187" t="s">
        <v>21</v>
      </c>
      <c r="Q121" s="186" t="s">
        <v>21</v>
      </c>
      <c r="R121" s="187" t="s">
        <v>21</v>
      </c>
      <c r="S121" s="144"/>
      <c r="T121" s="141"/>
      <c r="U121" s="144"/>
      <c r="V121" s="175"/>
      <c r="W121" s="372"/>
      <c r="X121" s="367"/>
      <c r="AB121" s="2" t="str">
        <f t="shared" si="43"/>
        <v/>
      </c>
    </row>
    <row r="122" spans="1:28" ht="16" thickBot="1" x14ac:dyDescent="0.4">
      <c r="A122" s="108" t="str">
        <f t="shared" si="41"/>
        <v>X</v>
      </c>
      <c r="B122" s="1030"/>
      <c r="C122" s="1040"/>
      <c r="D122" s="657" t="s">
        <v>138</v>
      </c>
      <c r="E122" s="353"/>
      <c r="F122" s="354"/>
      <c r="G122" s="355">
        <f>SUM(G104:G121)</f>
        <v>1726</v>
      </c>
      <c r="H122" s="356">
        <f>SUM(H104:H121)</f>
        <v>1726</v>
      </c>
      <c r="I122" s="27">
        <f>J122/G122</f>
        <v>0.37949015063731173</v>
      </c>
      <c r="J122" s="370">
        <f>SUM(J104:J121)</f>
        <v>655</v>
      </c>
      <c r="K122" s="148">
        <f>L122/G122</f>
        <v>0.41135573580533025</v>
      </c>
      <c r="L122" s="370">
        <f>SUM(L104:L121)</f>
        <v>710</v>
      </c>
      <c r="M122" s="27">
        <f>N122/L122</f>
        <v>0.57042253521126762</v>
      </c>
      <c r="N122" s="370">
        <f>SUM(N104:N121)</f>
        <v>405</v>
      </c>
      <c r="O122" s="259"/>
      <c r="P122" s="260"/>
      <c r="Q122" s="259"/>
      <c r="R122" s="260"/>
      <c r="S122" s="259"/>
      <c r="T122" s="260"/>
      <c r="U122" s="259"/>
      <c r="V122" s="261"/>
      <c r="W122" s="372"/>
      <c r="X122" s="367"/>
      <c r="Y122" s="367"/>
    </row>
    <row r="123" spans="1:28" s="53" customFormat="1" ht="27.75" customHeight="1" thickBot="1" x14ac:dyDescent="0.4">
      <c r="A123" s="108" t="str">
        <f t="shared" si="41"/>
        <v>X</v>
      </c>
      <c r="B123" s="218" t="s">
        <v>77</v>
      </c>
      <c r="C123" s="649"/>
      <c r="D123" s="649">
        <f>SUM(D49:D121)</f>
        <v>67</v>
      </c>
      <c r="E123" s="116">
        <f>COUNTIF(A49:A122,"X")</f>
        <v>62</v>
      </c>
      <c r="F123" s="780">
        <v>57</v>
      </c>
      <c r="G123" s="153">
        <f>G57+G65+G73+G84+G97+G103+G122</f>
        <v>3981</v>
      </c>
      <c r="H123" s="125">
        <f>H57+H65+H73+H84+H97+H103+H122</f>
        <v>3107</v>
      </c>
      <c r="I123" s="122">
        <f>J123/G123</f>
        <v>0.4046721929163527</v>
      </c>
      <c r="J123" s="123">
        <f>J57+J65+J73+J84+J97+J103+J122</f>
        <v>1611</v>
      </c>
      <c r="K123" s="122">
        <f>L123/G123</f>
        <v>0.37930168299422257</v>
      </c>
      <c r="L123" s="123">
        <f>L57+L65+L73+L84+L97+L103+L122</f>
        <v>1510</v>
      </c>
      <c r="M123" s="394">
        <f>N123/L123</f>
        <v>0.4562913907284768</v>
      </c>
      <c r="N123" s="123">
        <f t="shared" ref="N123:V123" si="51">N57+N65+N73+N84+N97+N103+N122</f>
        <v>689</v>
      </c>
      <c r="O123" s="124">
        <f t="shared" si="51"/>
        <v>46</v>
      </c>
      <c r="P123" s="125">
        <f t="shared" si="51"/>
        <v>22</v>
      </c>
      <c r="Q123" s="124">
        <f t="shared" si="51"/>
        <v>111</v>
      </c>
      <c r="R123" s="125">
        <f t="shared" si="51"/>
        <v>74</v>
      </c>
      <c r="S123" s="124">
        <f t="shared" si="51"/>
        <v>1465</v>
      </c>
      <c r="T123" s="125">
        <f t="shared" si="51"/>
        <v>949</v>
      </c>
      <c r="U123" s="124">
        <f t="shared" si="51"/>
        <v>141</v>
      </c>
      <c r="V123" s="126">
        <f t="shared" si="51"/>
        <v>89</v>
      </c>
      <c r="W123" s="373"/>
      <c r="X123" s="368"/>
      <c r="Y123" s="368"/>
      <c r="AB123" s="2"/>
    </row>
    <row r="124" spans="1:28" s="737" customFormat="1" ht="31.5" customHeight="1" thickBot="1" x14ac:dyDescent="0.4">
      <c r="A124" s="108" t="str">
        <f t="shared" si="41"/>
        <v>X</v>
      </c>
      <c r="B124" s="726" t="s">
        <v>66</v>
      </c>
      <c r="C124" s="727"/>
      <c r="D124" s="727">
        <f>D123+D48</f>
        <v>87</v>
      </c>
      <c r="E124" s="728">
        <f>E48+E123</f>
        <v>103</v>
      </c>
      <c r="F124" s="762">
        <v>95</v>
      </c>
      <c r="G124" s="729">
        <f>G48+G123</f>
        <v>4576</v>
      </c>
      <c r="H124" s="730">
        <f>H48+H123</f>
        <v>3522</v>
      </c>
      <c r="I124" s="731">
        <f>J124/G124</f>
        <v>0.38920454545454547</v>
      </c>
      <c r="J124" s="732">
        <f>J48+J123</f>
        <v>1781</v>
      </c>
      <c r="K124" s="731">
        <f>L124/G124</f>
        <v>0.36298076923076922</v>
      </c>
      <c r="L124" s="732">
        <f>L48+L123</f>
        <v>1661</v>
      </c>
      <c r="M124" s="733">
        <f>N124/L124</f>
        <v>0.43347381095725468</v>
      </c>
      <c r="N124" s="732">
        <f>N48+N123</f>
        <v>720</v>
      </c>
      <c r="O124" s="734"/>
      <c r="P124" s="730"/>
      <c r="Q124" s="734"/>
      <c r="R124" s="730"/>
      <c r="S124" s="734">
        <f>S123</f>
        <v>1465</v>
      </c>
      <c r="T124" s="730">
        <f>T123</f>
        <v>949</v>
      </c>
      <c r="U124" s="734">
        <f>U123</f>
        <v>141</v>
      </c>
      <c r="V124" s="735">
        <f>V123</f>
        <v>89</v>
      </c>
      <c r="W124" s="736"/>
      <c r="AB124" s="2"/>
    </row>
    <row r="125" spans="1:28" x14ac:dyDescent="0.35">
      <c r="A125" s="108" t="s">
        <v>208</v>
      </c>
      <c r="B125" s="5"/>
      <c r="C125" s="35"/>
      <c r="D125" s="35"/>
      <c r="E125" s="5"/>
      <c r="F125" s="35"/>
      <c r="G125" s="154"/>
      <c r="H125" s="154"/>
      <c r="I125" s="155"/>
      <c r="J125" s="155"/>
      <c r="K125" s="155"/>
      <c r="L125" s="155"/>
      <c r="M125" s="1082" t="s">
        <v>68</v>
      </c>
      <c r="N125" s="1082"/>
      <c r="O125" s="154"/>
      <c r="P125" s="154"/>
      <c r="Q125" s="154"/>
      <c r="R125" s="154"/>
      <c r="S125" s="154"/>
      <c r="T125" s="154"/>
      <c r="U125" s="154"/>
      <c r="V125" s="154"/>
      <c r="AB125" s="2" t="str">
        <f t="shared" si="43"/>
        <v/>
      </c>
    </row>
    <row r="126" spans="1:28" x14ac:dyDescent="0.35">
      <c r="A126" s="108" t="s">
        <v>208</v>
      </c>
      <c r="E126" s="114" t="s">
        <v>67</v>
      </c>
      <c r="F126" s="812" t="s">
        <v>209</v>
      </c>
    </row>
    <row r="127" spans="1:28" x14ac:dyDescent="0.35">
      <c r="A127" s="108" t="s">
        <v>208</v>
      </c>
      <c r="E127" s="1" t="s">
        <v>60</v>
      </c>
      <c r="F127" s="2">
        <f>COUNTIF(AB$5:AB$121,$E127)</f>
        <v>19</v>
      </c>
    </row>
    <row r="128" spans="1:28" x14ac:dyDescent="0.35">
      <c r="A128" s="108" t="s">
        <v>208</v>
      </c>
      <c r="E128" s="1" t="s">
        <v>61</v>
      </c>
      <c r="F128" s="2">
        <f t="shared" ref="F128:F129" si="52">COUNTIF(AB$5:AB$121,$E128)</f>
        <v>4</v>
      </c>
    </row>
    <row r="129" spans="1:6" x14ac:dyDescent="0.35">
      <c r="A129" s="108" t="s">
        <v>208</v>
      </c>
      <c r="E129" s="965" t="s">
        <v>62</v>
      </c>
      <c r="F129" s="115">
        <f t="shared" si="52"/>
        <v>24</v>
      </c>
    </row>
    <row r="130" spans="1:6" x14ac:dyDescent="0.35">
      <c r="A130" s="108" t="s">
        <v>208</v>
      </c>
      <c r="E130" s="979" t="s">
        <v>66</v>
      </c>
      <c r="F130" s="980">
        <f t="shared" ref="F130" si="53">SUM(F127:F129)</f>
        <v>47</v>
      </c>
    </row>
    <row r="138" spans="1:6" ht="15" customHeight="1" x14ac:dyDescent="0.35"/>
    <row r="139" spans="1:6" ht="15" customHeight="1" x14ac:dyDescent="0.35"/>
    <row r="140" spans="1:6" ht="15" customHeight="1" x14ac:dyDescent="0.35"/>
    <row r="141" spans="1:6" ht="15" customHeight="1" x14ac:dyDescent="0.35"/>
    <row r="142" spans="1:6" ht="15" customHeight="1" x14ac:dyDescent="0.35"/>
    <row r="143" spans="1:6" ht="15" customHeight="1" x14ac:dyDescent="0.35"/>
    <row r="144" spans="1:6" ht="15" customHeight="1" x14ac:dyDescent="0.35"/>
    <row r="145" ht="15" customHeight="1" x14ac:dyDescent="0.35"/>
    <row r="146" ht="15" customHeight="1" x14ac:dyDescent="0.35"/>
    <row r="147" ht="15.75" customHeight="1" x14ac:dyDescent="0.35"/>
    <row r="148" ht="15.75" customHeight="1" x14ac:dyDescent="0.35"/>
    <row r="149" ht="15" customHeight="1" x14ac:dyDescent="0.35"/>
    <row r="150" ht="15" customHeight="1" x14ac:dyDescent="0.35"/>
    <row r="151" ht="15" customHeight="1" x14ac:dyDescent="0.35"/>
    <row r="152" ht="15" customHeight="1" x14ac:dyDescent="0.35"/>
  </sheetData>
  <autoFilter ref="A1:V130" xr:uid="{00000000-0009-0000-0000-000002000000}">
    <filterColumn colId="0">
      <customFilters>
        <customFilter operator="notEqual" val=" "/>
      </customFilters>
    </filterColumn>
  </autoFilter>
  <mergeCells count="47">
    <mergeCell ref="D85:D96"/>
    <mergeCell ref="C98:C103"/>
    <mergeCell ref="C74:C84"/>
    <mergeCell ref="D98:D102"/>
    <mergeCell ref="B7:B23"/>
    <mergeCell ref="C7:C23"/>
    <mergeCell ref="D7:D22"/>
    <mergeCell ref="B66:B73"/>
    <mergeCell ref="B49:B57"/>
    <mergeCell ref="C49:C57"/>
    <mergeCell ref="C66:C73"/>
    <mergeCell ref="B85:B97"/>
    <mergeCell ref="C85:C97"/>
    <mergeCell ref="B58:B65"/>
    <mergeCell ref="C58:C65"/>
    <mergeCell ref="D58:D64"/>
    <mergeCell ref="S2:T2"/>
    <mergeCell ref="U2:V2"/>
    <mergeCell ref="D24:D34"/>
    <mergeCell ref="I2:I4"/>
    <mergeCell ref="J2:J4"/>
    <mergeCell ref="K2:K4"/>
    <mergeCell ref="L2:L4"/>
    <mergeCell ref="M2:M4"/>
    <mergeCell ref="N2:N4"/>
    <mergeCell ref="D2:D4"/>
    <mergeCell ref="E2:E4"/>
    <mergeCell ref="F2:F4"/>
    <mergeCell ref="G2:H2"/>
    <mergeCell ref="O2:P2"/>
    <mergeCell ref="Q2:R2"/>
    <mergeCell ref="B2:B4"/>
    <mergeCell ref="C2:C4"/>
    <mergeCell ref="D36:D46"/>
    <mergeCell ref="M125:N125"/>
    <mergeCell ref="D104:D121"/>
    <mergeCell ref="B104:B122"/>
    <mergeCell ref="C104:C122"/>
    <mergeCell ref="D74:D83"/>
    <mergeCell ref="B24:B35"/>
    <mergeCell ref="B36:B47"/>
    <mergeCell ref="C24:C35"/>
    <mergeCell ref="C36:C47"/>
    <mergeCell ref="B74:B84"/>
    <mergeCell ref="B98:B103"/>
    <mergeCell ref="D49:D56"/>
    <mergeCell ref="D66:D72"/>
  </mergeCells>
  <pageMargins left="0.23622047244094491" right="0.23622047244094491" top="0.35433070866141736" bottom="0.15748031496062992" header="0.31496062992125984" footer="0.31496062992125984"/>
  <pageSetup paperSize="9" scale="65" orientation="landscape" horizontalDpi="300" verticalDpi="300" r:id="rId1"/>
  <ignoredErrors>
    <ignoredError sqref="I124:M124 I47:M47 M35 M48 I48 H122:M122 K117:K118 M117:M118 I123 K123 H73:M73 H79 H74:I78 K74:K78 M74:M78 I56 K56 M123 I102:M103 I84:J84 I83:M83 L84 M56:M57 H57:K57 E124 I88:M90 M51:M53 K51:K53 I51:I53 I79:M80 J92:J93 I96:M99 L92:L93 K48" formula="1"/>
    <ignoredError sqref="H35:L35 M84 K84" formula="1" formulaRange="1"/>
    <ignoredError sqref="I34:K34 I49:K50" evalError="1"/>
    <ignoredError sqref="G35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00B050"/>
    <pageSetUpPr fitToPage="1"/>
  </sheetPr>
  <dimension ref="A1:AB152"/>
  <sheetViews>
    <sheetView zoomScale="70" zoomScaleNormal="70" workbookViewId="0">
      <pane xSplit="6" ySplit="4" topLeftCell="G51" activePane="bottomRight" state="frozen"/>
      <selection activeCell="I114" sqref="I114"/>
      <selection pane="topRight" activeCell="I114" sqref="I114"/>
      <selection pane="bottomLeft" activeCell="I114" sqref="I114"/>
      <selection pane="bottomRight" activeCell="B74" sqref="B74:B84"/>
    </sheetView>
  </sheetViews>
  <sheetFormatPr baseColWidth="10" defaultColWidth="11.453125" defaultRowHeight="14.5" x14ac:dyDescent="0.35"/>
  <cols>
    <col min="1" max="1" width="3" style="108" customWidth="1"/>
    <col min="2" max="2" width="33.7265625" style="1" customWidth="1"/>
    <col min="3" max="3" width="11.54296875" style="2" customWidth="1"/>
    <col min="4" max="4" width="8.453125" style="2" customWidth="1"/>
    <col min="5" max="5" width="42.81640625" style="1" bestFit="1" customWidth="1"/>
    <col min="6" max="6" width="11.1796875" style="2" customWidth="1"/>
    <col min="7" max="7" width="11.453125" style="2"/>
    <col min="8" max="8" width="11.453125" style="2" customWidth="1"/>
    <col min="9" max="9" width="11.453125" style="3" customWidth="1"/>
    <col min="10" max="10" width="11.453125" style="4" customWidth="1"/>
    <col min="11" max="11" width="11.453125" style="3" customWidth="1"/>
    <col min="12" max="12" width="11.453125" style="4" customWidth="1"/>
    <col min="13" max="13" width="11.453125" style="3" customWidth="1"/>
    <col min="14" max="14" width="11.453125" style="4" customWidth="1"/>
    <col min="15" max="22" width="7.54296875" style="2" customWidth="1"/>
    <col min="23" max="23" width="5.26953125" style="2" customWidth="1"/>
    <col min="24" max="25" width="11.453125" style="1"/>
    <col min="26" max="27" width="11.453125" style="1" customWidth="1"/>
    <col min="28" max="28" width="0" style="2" hidden="1" customWidth="1"/>
    <col min="29" max="16384" width="11.453125" style="1"/>
  </cols>
  <sheetData>
    <row r="1" spans="1:28" s="108" customFormat="1" ht="17.25" customHeight="1" thickBot="1" x14ac:dyDescent="0.4">
      <c r="C1" s="111"/>
      <c r="D1" s="111"/>
      <c r="F1" s="111"/>
      <c r="G1" s="111"/>
      <c r="H1" s="111"/>
      <c r="I1" s="112"/>
      <c r="J1" s="113"/>
      <c r="K1" s="112"/>
      <c r="L1" s="113"/>
      <c r="M1" s="112"/>
      <c r="N1" s="113"/>
      <c r="O1" s="111"/>
      <c r="P1" s="111"/>
      <c r="Q1" s="111"/>
      <c r="R1" s="111"/>
      <c r="S1" s="111"/>
      <c r="T1" s="111"/>
      <c r="U1" s="111"/>
      <c r="V1" s="111"/>
      <c r="W1" s="111"/>
      <c r="AB1" s="111"/>
    </row>
    <row r="2" spans="1:28" s="6" customFormat="1" ht="30" customHeight="1" thickBot="1" x14ac:dyDescent="0.4">
      <c r="A2" s="109" t="s">
        <v>208</v>
      </c>
      <c r="B2" s="1048" t="s">
        <v>53</v>
      </c>
      <c r="C2" s="1049" t="s">
        <v>74</v>
      </c>
      <c r="D2" s="1049" t="s">
        <v>69</v>
      </c>
      <c r="E2" s="1069" t="s">
        <v>79</v>
      </c>
      <c r="F2" s="1041" t="s">
        <v>59</v>
      </c>
      <c r="G2" s="1045" t="s">
        <v>54</v>
      </c>
      <c r="H2" s="1044"/>
      <c r="I2" s="1046" t="s">
        <v>55</v>
      </c>
      <c r="J2" s="1097" t="s">
        <v>63</v>
      </c>
      <c r="K2" s="1046" t="s">
        <v>56</v>
      </c>
      <c r="L2" s="1097" t="s">
        <v>65</v>
      </c>
      <c r="M2" s="1046" t="s">
        <v>57</v>
      </c>
      <c r="N2" s="1097" t="s">
        <v>64</v>
      </c>
      <c r="O2" s="1043" t="s">
        <v>39</v>
      </c>
      <c r="P2" s="1044"/>
      <c r="Q2" s="1043" t="s">
        <v>40</v>
      </c>
      <c r="R2" s="1044"/>
      <c r="S2" s="1043" t="s">
        <v>41</v>
      </c>
      <c r="T2" s="1044"/>
      <c r="U2" s="1041" t="s">
        <v>42</v>
      </c>
      <c r="V2" s="1042"/>
      <c r="W2" s="371"/>
      <c r="AB2" s="981"/>
    </row>
    <row r="3" spans="1:28" s="6" customFormat="1" ht="30" customHeight="1" thickBot="1" x14ac:dyDescent="0.4">
      <c r="A3" s="109" t="s">
        <v>208</v>
      </c>
      <c r="B3" s="1048"/>
      <c r="C3" s="1049"/>
      <c r="D3" s="1049"/>
      <c r="E3" s="1069"/>
      <c r="F3" s="1065"/>
      <c r="G3" s="225"/>
      <c r="H3" s="222"/>
      <c r="I3" s="1046"/>
      <c r="J3" s="1097"/>
      <c r="K3" s="1046"/>
      <c r="L3" s="1097"/>
      <c r="M3" s="1046"/>
      <c r="N3" s="1097"/>
      <c r="O3" s="221"/>
      <c r="P3" s="222"/>
      <c r="Q3" s="221"/>
      <c r="R3" s="222"/>
      <c r="S3" s="221"/>
      <c r="T3" s="222"/>
      <c r="U3" s="495"/>
      <c r="V3" s="496"/>
      <c r="W3" s="371"/>
      <c r="AB3" s="981"/>
    </row>
    <row r="4" spans="1:28" s="6" customFormat="1" ht="30" customHeight="1" thickBot="1" x14ac:dyDescent="0.4">
      <c r="A4" s="109" t="s">
        <v>208</v>
      </c>
      <c r="B4" s="1048"/>
      <c r="C4" s="1049"/>
      <c r="D4" s="1049"/>
      <c r="E4" s="1069"/>
      <c r="F4" s="1066"/>
      <c r="G4" s="31" t="s">
        <v>43</v>
      </c>
      <c r="H4" s="32" t="s">
        <v>44</v>
      </c>
      <c r="I4" s="1046"/>
      <c r="J4" s="1097"/>
      <c r="K4" s="1046"/>
      <c r="L4" s="1097"/>
      <c r="M4" s="1046"/>
      <c r="N4" s="1097"/>
      <c r="O4" s="33" t="s">
        <v>43</v>
      </c>
      <c r="P4" s="32" t="s">
        <v>44</v>
      </c>
      <c r="Q4" s="33" t="s">
        <v>43</v>
      </c>
      <c r="R4" s="32" t="s">
        <v>44</v>
      </c>
      <c r="S4" s="33" t="s">
        <v>43</v>
      </c>
      <c r="T4" s="32" t="s">
        <v>44</v>
      </c>
      <c r="U4" s="33" t="s">
        <v>43</v>
      </c>
      <c r="V4" s="34" t="s">
        <v>44</v>
      </c>
      <c r="W4" s="371"/>
      <c r="AB4" s="981">
        <v>2020</v>
      </c>
    </row>
    <row r="5" spans="1:28" ht="15.5" x14ac:dyDescent="0.35">
      <c r="A5" s="108" t="str">
        <f>IF(D5="Sous-total","X",IF(E5="","","X"))</f>
        <v>X</v>
      </c>
      <c r="B5" s="170" t="s">
        <v>86</v>
      </c>
      <c r="C5" s="540" t="s">
        <v>75</v>
      </c>
      <c r="D5" s="156">
        <v>2</v>
      </c>
      <c r="E5" s="157" t="s">
        <v>71</v>
      </c>
      <c r="F5" s="158" t="s">
        <v>60</v>
      </c>
      <c r="G5" s="159"/>
      <c r="H5" s="160"/>
      <c r="I5" s="171" t="str">
        <f t="shared" ref="I5:I34" si="0">IF(J5="","",J5/G5)</f>
        <v/>
      </c>
      <c r="J5" s="387"/>
      <c r="K5" s="388" t="str">
        <f t="shared" ref="K5:K35" si="1">IF(L5="","",L5/G5)</f>
        <v/>
      </c>
      <c r="L5" s="387"/>
      <c r="M5" s="388" t="str">
        <f t="shared" ref="M5:M35" si="2">IF(N5="","",N5/L5)</f>
        <v/>
      </c>
      <c r="N5" s="176"/>
      <c r="O5" s="180"/>
      <c r="P5" s="181"/>
      <c r="Q5" s="180"/>
      <c r="R5" s="181"/>
      <c r="S5" s="172"/>
      <c r="T5" s="173"/>
      <c r="U5" s="172"/>
      <c r="V5" s="174"/>
      <c r="W5" s="372"/>
      <c r="AB5" s="2" t="str">
        <f>IF(G5&lt;&gt;"",$F5,"")</f>
        <v/>
      </c>
    </row>
    <row r="6" spans="1:28" ht="15.5" x14ac:dyDescent="0.35">
      <c r="A6" s="108" t="str">
        <f t="shared" ref="A6:A69" si="3">IF(D6="Sous-total","X",IF(E6="","","X"))</f>
        <v>X</v>
      </c>
      <c r="B6" s="633" t="s">
        <v>167</v>
      </c>
      <c r="C6" s="539" t="s">
        <v>75</v>
      </c>
      <c r="D6" s="541">
        <v>2</v>
      </c>
      <c r="E6" s="634" t="s">
        <v>168</v>
      </c>
      <c r="F6" s="635" t="s">
        <v>60</v>
      </c>
      <c r="G6" s="636">
        <v>20</v>
      </c>
      <c r="H6" s="150">
        <v>9</v>
      </c>
      <c r="I6" s="483">
        <f t="shared" si="0"/>
        <v>0.4</v>
      </c>
      <c r="J6" s="637">
        <v>8</v>
      </c>
      <c r="K6" s="148">
        <f t="shared" si="1"/>
        <v>0.2</v>
      </c>
      <c r="L6" s="637">
        <v>4</v>
      </c>
      <c r="M6" s="148">
        <f t="shared" si="2"/>
        <v>0.5</v>
      </c>
      <c r="N6" s="638">
        <v>2</v>
      </c>
      <c r="O6" s="188"/>
      <c r="P6" s="189"/>
      <c r="Q6" s="188"/>
      <c r="R6" s="189"/>
      <c r="S6" s="242"/>
      <c r="T6" s="243"/>
      <c r="U6" s="242"/>
      <c r="V6" s="244"/>
      <c r="W6" s="372" t="s">
        <v>211</v>
      </c>
      <c r="AB6" s="2" t="str">
        <f t="shared" ref="AB6:AB69" si="4">IF(G6&lt;&gt;"",$F6,"")</f>
        <v>France</v>
      </c>
    </row>
    <row r="7" spans="1:28" ht="15" customHeight="1" x14ac:dyDescent="0.35">
      <c r="A7" s="108" t="str">
        <f t="shared" si="3"/>
        <v>X</v>
      </c>
      <c r="B7" s="1033" t="s">
        <v>172</v>
      </c>
      <c r="C7" s="1026" t="s">
        <v>75</v>
      </c>
      <c r="D7" s="1096">
        <v>18</v>
      </c>
      <c r="E7" s="161" t="s">
        <v>186</v>
      </c>
      <c r="F7" s="447" t="s">
        <v>60</v>
      </c>
      <c r="G7" s="291">
        <v>23</v>
      </c>
      <c r="H7" s="289">
        <f>G7</f>
        <v>23</v>
      </c>
      <c r="I7" s="129">
        <f t="shared" si="0"/>
        <v>0.47826086956521741</v>
      </c>
      <c r="J7" s="389">
        <v>11</v>
      </c>
      <c r="K7" s="128">
        <f t="shared" si="1"/>
        <v>0.47826086956521741</v>
      </c>
      <c r="L7" s="389">
        <v>11</v>
      </c>
      <c r="M7" s="128">
        <f t="shared" si="2"/>
        <v>0.90909090909090906</v>
      </c>
      <c r="N7" s="177">
        <v>10</v>
      </c>
      <c r="O7" s="182">
        <v>0</v>
      </c>
      <c r="P7" s="183"/>
      <c r="Q7" s="182"/>
      <c r="R7" s="183"/>
      <c r="S7" s="130"/>
      <c r="T7" s="127"/>
      <c r="U7" s="130"/>
      <c r="V7" s="152"/>
      <c r="W7" s="372" t="s">
        <v>211</v>
      </c>
      <c r="AB7" s="2" t="str">
        <f t="shared" si="4"/>
        <v>France</v>
      </c>
    </row>
    <row r="8" spans="1:28" ht="15" customHeight="1" x14ac:dyDescent="0.35">
      <c r="A8" s="108" t="str">
        <f t="shared" si="3"/>
        <v>X</v>
      </c>
      <c r="B8" s="1034"/>
      <c r="C8" s="1027"/>
      <c r="D8" s="1096"/>
      <c r="E8" s="163" t="s">
        <v>187</v>
      </c>
      <c r="F8" s="454" t="s">
        <v>60</v>
      </c>
      <c r="G8" s="292">
        <v>25</v>
      </c>
      <c r="H8" s="290">
        <f>G8-12</f>
        <v>13</v>
      </c>
      <c r="I8" s="135">
        <f t="shared" si="0"/>
        <v>0.4</v>
      </c>
      <c r="J8" s="390">
        <v>10</v>
      </c>
      <c r="K8" s="134">
        <f t="shared" si="1"/>
        <v>0.44</v>
      </c>
      <c r="L8" s="390">
        <v>11</v>
      </c>
      <c r="M8" s="134">
        <f t="shared" si="2"/>
        <v>0.63636363636363635</v>
      </c>
      <c r="N8" s="178">
        <v>7</v>
      </c>
      <c r="O8" s="184">
        <v>22</v>
      </c>
      <c r="P8" s="185"/>
      <c r="Q8" s="184"/>
      <c r="R8" s="185"/>
      <c r="S8" s="136"/>
      <c r="T8" s="133"/>
      <c r="U8" s="136"/>
      <c r="V8" s="140"/>
      <c r="W8" s="372" t="s">
        <v>211</v>
      </c>
      <c r="AB8" s="2" t="str">
        <f t="shared" si="4"/>
        <v>France</v>
      </c>
    </row>
    <row r="9" spans="1:28" ht="15" customHeight="1" x14ac:dyDescent="0.35">
      <c r="A9" s="108" t="str">
        <f t="shared" si="3"/>
        <v>X</v>
      </c>
      <c r="B9" s="1034"/>
      <c r="C9" s="1027"/>
      <c r="D9" s="1096"/>
      <c r="E9" s="163" t="s">
        <v>188</v>
      </c>
      <c r="F9" s="454" t="s">
        <v>60</v>
      </c>
      <c r="G9" s="292">
        <v>20</v>
      </c>
      <c r="H9" s="290">
        <f>G9</f>
        <v>20</v>
      </c>
      <c r="I9" s="135">
        <f t="shared" si="0"/>
        <v>0.45</v>
      </c>
      <c r="J9" s="390">
        <v>9</v>
      </c>
      <c r="K9" s="134">
        <f t="shared" si="1"/>
        <v>0.4</v>
      </c>
      <c r="L9" s="390">
        <v>8</v>
      </c>
      <c r="M9" s="134">
        <f t="shared" si="2"/>
        <v>0.375</v>
      </c>
      <c r="N9" s="178">
        <v>3</v>
      </c>
      <c r="O9" s="184">
        <v>6</v>
      </c>
      <c r="P9" s="185"/>
      <c r="Q9" s="184"/>
      <c r="R9" s="185"/>
      <c r="S9" s="136"/>
      <c r="T9" s="133"/>
      <c r="U9" s="136"/>
      <c r="V9" s="140"/>
      <c r="W9" s="372" t="s">
        <v>211</v>
      </c>
      <c r="AB9" s="2" t="str">
        <f t="shared" si="4"/>
        <v>France</v>
      </c>
    </row>
    <row r="10" spans="1:28" ht="15" customHeight="1" x14ac:dyDescent="0.35">
      <c r="A10" s="108" t="str">
        <f t="shared" si="3"/>
        <v>X</v>
      </c>
      <c r="B10" s="1034"/>
      <c r="C10" s="1027"/>
      <c r="D10" s="1096"/>
      <c r="E10" s="163" t="s">
        <v>189</v>
      </c>
      <c r="F10" s="454" t="s">
        <v>60</v>
      </c>
      <c r="G10" s="292">
        <v>13</v>
      </c>
      <c r="H10" s="290">
        <f>G10-1</f>
        <v>12</v>
      </c>
      <c r="I10" s="135">
        <f t="shared" si="0"/>
        <v>0.15384615384615385</v>
      </c>
      <c r="J10" s="390">
        <v>2</v>
      </c>
      <c r="K10" s="134">
        <f t="shared" si="1"/>
        <v>0.30769230769230771</v>
      </c>
      <c r="L10" s="390">
        <v>4</v>
      </c>
      <c r="M10" s="134">
        <f t="shared" si="2"/>
        <v>0.5</v>
      </c>
      <c r="N10" s="178">
        <v>2</v>
      </c>
      <c r="O10" s="184">
        <v>7</v>
      </c>
      <c r="P10" s="185"/>
      <c r="Q10" s="184"/>
      <c r="R10" s="185"/>
      <c r="S10" s="136"/>
      <c r="T10" s="133"/>
      <c r="U10" s="136"/>
      <c r="V10" s="140"/>
      <c r="W10" s="372" t="s">
        <v>211</v>
      </c>
      <c r="AB10" s="2" t="str">
        <f t="shared" si="4"/>
        <v>France</v>
      </c>
    </row>
    <row r="11" spans="1:28" ht="15" customHeight="1" x14ac:dyDescent="0.35">
      <c r="A11" s="108" t="str">
        <f t="shared" si="3"/>
        <v>X</v>
      </c>
      <c r="B11" s="1034"/>
      <c r="C11" s="1027"/>
      <c r="D11" s="1096"/>
      <c r="E11" s="163" t="s">
        <v>190</v>
      </c>
      <c r="F11" s="454" t="s">
        <v>60</v>
      </c>
      <c r="G11" s="292">
        <v>7</v>
      </c>
      <c r="H11" s="290">
        <f>G11-1</f>
        <v>6</v>
      </c>
      <c r="I11" s="135">
        <f t="shared" si="0"/>
        <v>0.2857142857142857</v>
      </c>
      <c r="J11" s="390">
        <v>2</v>
      </c>
      <c r="K11" s="134">
        <f t="shared" si="1"/>
        <v>0</v>
      </c>
      <c r="L11" s="390">
        <v>0</v>
      </c>
      <c r="M11" s="134" t="str">
        <f t="shared" si="2"/>
        <v/>
      </c>
      <c r="N11" s="178"/>
      <c r="O11" s="184">
        <v>6</v>
      </c>
      <c r="P11" s="185"/>
      <c r="Q11" s="184"/>
      <c r="R11" s="185"/>
      <c r="S11" s="136"/>
      <c r="T11" s="133"/>
      <c r="U11" s="136"/>
      <c r="V11" s="140"/>
      <c r="W11" s="372" t="s">
        <v>211</v>
      </c>
      <c r="AB11" s="2" t="str">
        <f t="shared" si="4"/>
        <v>France</v>
      </c>
    </row>
    <row r="12" spans="1:28" ht="15" customHeight="1" x14ac:dyDescent="0.35">
      <c r="A12" s="108" t="str">
        <f t="shared" si="3"/>
        <v>X</v>
      </c>
      <c r="B12" s="1034"/>
      <c r="C12" s="1027"/>
      <c r="D12" s="1096"/>
      <c r="E12" s="163" t="s">
        <v>191</v>
      </c>
      <c r="F12" s="454" t="s">
        <v>62</v>
      </c>
      <c r="G12" s="292">
        <v>74</v>
      </c>
      <c r="H12" s="290">
        <f>G12-44</f>
        <v>30</v>
      </c>
      <c r="I12" s="135">
        <f t="shared" si="0"/>
        <v>0.29729729729729731</v>
      </c>
      <c r="J12" s="390">
        <v>22</v>
      </c>
      <c r="K12" s="134">
        <f t="shared" si="1"/>
        <v>0.36486486486486486</v>
      </c>
      <c r="L12" s="390">
        <v>27</v>
      </c>
      <c r="M12" s="134">
        <f t="shared" si="2"/>
        <v>0.48148148148148145</v>
      </c>
      <c r="N12" s="178">
        <v>13</v>
      </c>
      <c r="O12" s="184">
        <v>101</v>
      </c>
      <c r="P12" s="185"/>
      <c r="Q12" s="184"/>
      <c r="R12" s="185"/>
      <c r="S12" s="552">
        <v>74</v>
      </c>
      <c r="T12" s="553">
        <v>30</v>
      </c>
      <c r="U12" s="552">
        <v>0</v>
      </c>
      <c r="V12" s="554">
        <v>0</v>
      </c>
      <c r="W12" s="372" t="s">
        <v>211</v>
      </c>
      <c r="AB12" s="2" t="str">
        <f t="shared" si="4"/>
        <v>Frontière</v>
      </c>
    </row>
    <row r="13" spans="1:28" ht="15" customHeight="1" x14ac:dyDescent="0.35">
      <c r="A13" s="108" t="str">
        <f t="shared" si="3"/>
        <v>X</v>
      </c>
      <c r="B13" s="1034"/>
      <c r="C13" s="1027"/>
      <c r="D13" s="1096"/>
      <c r="E13" s="163" t="s">
        <v>192</v>
      </c>
      <c r="F13" s="454" t="s">
        <v>60</v>
      </c>
      <c r="G13" s="292">
        <v>34</v>
      </c>
      <c r="H13" s="290">
        <f t="shared" ref="H13:H21" si="5">G13</f>
        <v>34</v>
      </c>
      <c r="I13" s="135">
        <f t="shared" si="0"/>
        <v>0.17647058823529413</v>
      </c>
      <c r="J13" s="390">
        <v>6</v>
      </c>
      <c r="K13" s="134">
        <f t="shared" si="1"/>
        <v>0.38235294117647056</v>
      </c>
      <c r="L13" s="390">
        <v>13</v>
      </c>
      <c r="M13" s="134">
        <f t="shared" si="2"/>
        <v>0.15384615384615385</v>
      </c>
      <c r="N13" s="178">
        <v>2</v>
      </c>
      <c r="O13" s="184">
        <v>12</v>
      </c>
      <c r="P13" s="185"/>
      <c r="Q13" s="184"/>
      <c r="R13" s="185"/>
      <c r="S13" s="136"/>
      <c r="T13" s="133"/>
      <c r="U13" s="136"/>
      <c r="V13" s="140"/>
      <c r="W13" s="372" t="s">
        <v>211</v>
      </c>
      <c r="AB13" s="2" t="str">
        <f t="shared" si="4"/>
        <v>France</v>
      </c>
    </row>
    <row r="14" spans="1:28" ht="15" customHeight="1" x14ac:dyDescent="0.35">
      <c r="A14" s="108" t="str">
        <f t="shared" si="3"/>
        <v>X</v>
      </c>
      <c r="B14" s="1034"/>
      <c r="C14" s="1027"/>
      <c r="D14" s="1096"/>
      <c r="E14" s="163" t="s">
        <v>193</v>
      </c>
      <c r="F14" s="454" t="s">
        <v>60</v>
      </c>
      <c r="G14" s="292">
        <v>47</v>
      </c>
      <c r="H14" s="290">
        <f t="shared" si="5"/>
        <v>47</v>
      </c>
      <c r="I14" s="135">
        <f t="shared" si="0"/>
        <v>6.3829787234042548E-2</v>
      </c>
      <c r="J14" s="390">
        <v>3</v>
      </c>
      <c r="K14" s="134">
        <f t="shared" si="1"/>
        <v>0.31914893617021278</v>
      </c>
      <c r="L14" s="390">
        <v>15</v>
      </c>
      <c r="M14" s="134">
        <f t="shared" si="2"/>
        <v>0.2</v>
      </c>
      <c r="N14" s="178">
        <v>3</v>
      </c>
      <c r="O14" s="184">
        <v>37</v>
      </c>
      <c r="P14" s="185"/>
      <c r="Q14" s="184"/>
      <c r="R14" s="185"/>
      <c r="S14" s="136"/>
      <c r="T14" s="133"/>
      <c r="U14" s="136"/>
      <c r="V14" s="140"/>
      <c r="W14" s="372" t="s">
        <v>211</v>
      </c>
      <c r="AB14" s="2" t="str">
        <f t="shared" si="4"/>
        <v>France</v>
      </c>
    </row>
    <row r="15" spans="1:28" ht="15" customHeight="1" x14ac:dyDescent="0.35">
      <c r="A15" s="108" t="str">
        <f t="shared" si="3"/>
        <v>X</v>
      </c>
      <c r="B15" s="1034"/>
      <c r="C15" s="1027"/>
      <c r="D15" s="1096"/>
      <c r="E15" s="579" t="s">
        <v>194</v>
      </c>
      <c r="F15" s="454" t="s">
        <v>60</v>
      </c>
      <c r="G15" s="292">
        <v>92</v>
      </c>
      <c r="H15" s="290">
        <f t="shared" si="5"/>
        <v>92</v>
      </c>
      <c r="I15" s="135">
        <f t="shared" si="0"/>
        <v>9.7826086956521743E-2</v>
      </c>
      <c r="J15" s="390">
        <v>9</v>
      </c>
      <c r="K15" s="134">
        <f t="shared" si="1"/>
        <v>0.45652173913043476</v>
      </c>
      <c r="L15" s="390">
        <v>42</v>
      </c>
      <c r="M15" s="134">
        <f t="shared" si="2"/>
        <v>0.14285714285714285</v>
      </c>
      <c r="N15" s="580">
        <v>6</v>
      </c>
      <c r="O15" s="574">
        <v>19</v>
      </c>
      <c r="P15" s="575"/>
      <c r="Q15" s="574"/>
      <c r="R15" s="575"/>
      <c r="S15" s="576"/>
      <c r="T15" s="577"/>
      <c r="U15" s="576"/>
      <c r="V15" s="578"/>
      <c r="W15" s="372" t="s">
        <v>211</v>
      </c>
      <c r="AB15" s="2" t="str">
        <f t="shared" si="4"/>
        <v>France</v>
      </c>
    </row>
    <row r="16" spans="1:28" ht="15" customHeight="1" x14ac:dyDescent="0.35">
      <c r="A16" s="108" t="str">
        <f t="shared" si="3"/>
        <v>X</v>
      </c>
      <c r="B16" s="1034"/>
      <c r="C16" s="1027"/>
      <c r="D16" s="1096"/>
      <c r="E16" s="579" t="s">
        <v>195</v>
      </c>
      <c r="F16" s="454" t="s">
        <v>60</v>
      </c>
      <c r="G16" s="292">
        <v>77</v>
      </c>
      <c r="H16" s="290">
        <f t="shared" si="5"/>
        <v>77</v>
      </c>
      <c r="I16" s="135">
        <f t="shared" si="0"/>
        <v>0.14285714285714285</v>
      </c>
      <c r="J16" s="390">
        <v>11</v>
      </c>
      <c r="K16" s="134">
        <f t="shared" si="1"/>
        <v>0.40259740259740262</v>
      </c>
      <c r="L16" s="390">
        <v>31</v>
      </c>
      <c r="M16" s="134">
        <f t="shared" si="2"/>
        <v>0.16129032258064516</v>
      </c>
      <c r="N16" s="580">
        <v>5</v>
      </c>
      <c r="O16" s="574">
        <v>20</v>
      </c>
      <c r="P16" s="575"/>
      <c r="Q16" s="574"/>
      <c r="R16" s="575"/>
      <c r="S16" s="576"/>
      <c r="T16" s="577"/>
      <c r="U16" s="576"/>
      <c r="V16" s="578"/>
      <c r="W16" s="372" t="s">
        <v>211</v>
      </c>
      <c r="AB16" s="2" t="str">
        <f t="shared" si="4"/>
        <v>France</v>
      </c>
    </row>
    <row r="17" spans="1:28" ht="15" customHeight="1" x14ac:dyDescent="0.35">
      <c r="A17" s="108" t="str">
        <f t="shared" si="3"/>
        <v>X</v>
      </c>
      <c r="B17" s="1034"/>
      <c r="C17" s="1027"/>
      <c r="D17" s="1096"/>
      <c r="E17" s="163" t="s">
        <v>196</v>
      </c>
      <c r="F17" s="454" t="s">
        <v>60</v>
      </c>
      <c r="G17" s="292">
        <v>19</v>
      </c>
      <c r="H17" s="290">
        <f t="shared" si="5"/>
        <v>19</v>
      </c>
      <c r="I17" s="135">
        <f t="shared" si="0"/>
        <v>0.21052631578947367</v>
      </c>
      <c r="J17" s="390">
        <v>4</v>
      </c>
      <c r="K17" s="134">
        <f t="shared" si="1"/>
        <v>0.31578947368421051</v>
      </c>
      <c r="L17" s="390">
        <v>6</v>
      </c>
      <c r="M17" s="134">
        <f t="shared" si="2"/>
        <v>0.16666666666666666</v>
      </c>
      <c r="N17" s="178">
        <v>1</v>
      </c>
      <c r="O17" s="184">
        <v>3</v>
      </c>
      <c r="P17" s="185"/>
      <c r="Q17" s="184"/>
      <c r="R17" s="185"/>
      <c r="S17" s="136"/>
      <c r="T17" s="133"/>
      <c r="U17" s="136"/>
      <c r="V17" s="140"/>
      <c r="W17" s="372" t="s">
        <v>211</v>
      </c>
      <c r="AB17" s="2" t="str">
        <f t="shared" si="4"/>
        <v>France</v>
      </c>
    </row>
    <row r="18" spans="1:28" ht="15" customHeight="1" x14ac:dyDescent="0.35">
      <c r="A18" s="108" t="str">
        <f t="shared" si="3"/>
        <v>X</v>
      </c>
      <c r="B18" s="1034"/>
      <c r="C18" s="1027"/>
      <c r="D18" s="1096"/>
      <c r="E18" s="579" t="s">
        <v>197</v>
      </c>
      <c r="F18" s="454" t="s">
        <v>60</v>
      </c>
      <c r="G18" s="292">
        <v>24</v>
      </c>
      <c r="H18" s="290">
        <f t="shared" si="5"/>
        <v>24</v>
      </c>
      <c r="I18" s="135">
        <f t="shared" si="0"/>
        <v>0.29166666666666669</v>
      </c>
      <c r="J18" s="390">
        <v>7</v>
      </c>
      <c r="K18" s="134">
        <f t="shared" si="1"/>
        <v>0.54166666666666663</v>
      </c>
      <c r="L18" s="390">
        <v>13</v>
      </c>
      <c r="M18" s="134">
        <f t="shared" si="2"/>
        <v>0.46153846153846156</v>
      </c>
      <c r="N18" s="580">
        <v>6</v>
      </c>
      <c r="O18" s="574">
        <v>11</v>
      </c>
      <c r="P18" s="575"/>
      <c r="Q18" s="574"/>
      <c r="R18" s="575"/>
      <c r="S18" s="576"/>
      <c r="T18" s="577"/>
      <c r="U18" s="576"/>
      <c r="V18" s="578"/>
      <c r="W18" s="372" t="s">
        <v>211</v>
      </c>
      <c r="AB18" s="2" t="str">
        <f t="shared" si="4"/>
        <v>France</v>
      </c>
    </row>
    <row r="19" spans="1:28" ht="15" customHeight="1" x14ac:dyDescent="0.35">
      <c r="A19" s="108" t="str">
        <f t="shared" si="3"/>
        <v>X</v>
      </c>
      <c r="B19" s="1034"/>
      <c r="C19" s="1027"/>
      <c r="D19" s="1096"/>
      <c r="E19" s="579" t="s">
        <v>198</v>
      </c>
      <c r="F19" s="454" t="s">
        <v>60</v>
      </c>
      <c r="G19" s="292">
        <v>101</v>
      </c>
      <c r="H19" s="290">
        <f t="shared" si="5"/>
        <v>101</v>
      </c>
      <c r="I19" s="135">
        <f t="shared" si="0"/>
        <v>0.14851485148514851</v>
      </c>
      <c r="J19" s="390">
        <v>15</v>
      </c>
      <c r="K19" s="134">
        <f t="shared" si="1"/>
        <v>0.39603960396039606</v>
      </c>
      <c r="L19" s="390">
        <v>40</v>
      </c>
      <c r="M19" s="134">
        <f t="shared" si="2"/>
        <v>0.22500000000000001</v>
      </c>
      <c r="N19" s="580">
        <v>9</v>
      </c>
      <c r="O19" s="574">
        <v>34</v>
      </c>
      <c r="P19" s="575"/>
      <c r="Q19" s="574"/>
      <c r="R19" s="575"/>
      <c r="S19" s="576"/>
      <c r="T19" s="577"/>
      <c r="U19" s="576"/>
      <c r="V19" s="578"/>
      <c r="W19" s="372" t="s">
        <v>211</v>
      </c>
      <c r="AB19" s="2" t="str">
        <f t="shared" si="4"/>
        <v>France</v>
      </c>
    </row>
    <row r="20" spans="1:28" ht="15" customHeight="1" x14ac:dyDescent="0.35">
      <c r="A20" s="108" t="str">
        <f t="shared" si="3"/>
        <v>X</v>
      </c>
      <c r="B20" s="1034"/>
      <c r="C20" s="1027"/>
      <c r="D20" s="1096"/>
      <c r="E20" s="579" t="s">
        <v>199</v>
      </c>
      <c r="F20" s="454" t="s">
        <v>60</v>
      </c>
      <c r="G20" s="292">
        <v>25</v>
      </c>
      <c r="H20" s="290">
        <f t="shared" si="5"/>
        <v>25</v>
      </c>
      <c r="I20" s="135">
        <f t="shared" si="0"/>
        <v>0.28000000000000003</v>
      </c>
      <c r="J20" s="390">
        <v>7</v>
      </c>
      <c r="K20" s="134">
        <f t="shared" si="1"/>
        <v>0.24</v>
      </c>
      <c r="L20" s="390">
        <v>6</v>
      </c>
      <c r="M20" s="134">
        <f t="shared" si="2"/>
        <v>0.66666666666666663</v>
      </c>
      <c r="N20" s="580">
        <v>4</v>
      </c>
      <c r="O20" s="574">
        <v>4</v>
      </c>
      <c r="P20" s="575"/>
      <c r="Q20" s="574"/>
      <c r="R20" s="575"/>
      <c r="S20" s="576"/>
      <c r="T20" s="577"/>
      <c r="U20" s="576"/>
      <c r="V20" s="578"/>
      <c r="W20" s="372" t="s">
        <v>211</v>
      </c>
      <c r="AB20" s="2" t="str">
        <f t="shared" si="4"/>
        <v>France</v>
      </c>
    </row>
    <row r="21" spans="1:28" ht="15" customHeight="1" x14ac:dyDescent="0.35">
      <c r="A21" s="108" t="str">
        <f t="shared" si="3"/>
        <v>X</v>
      </c>
      <c r="B21" s="1034"/>
      <c r="C21" s="1027"/>
      <c r="D21" s="1096"/>
      <c r="E21" s="579" t="s">
        <v>200</v>
      </c>
      <c r="F21" s="454" t="s">
        <v>60</v>
      </c>
      <c r="G21" s="292">
        <v>45</v>
      </c>
      <c r="H21" s="290">
        <f t="shared" si="5"/>
        <v>45</v>
      </c>
      <c r="I21" s="135">
        <f t="shared" si="0"/>
        <v>0.4</v>
      </c>
      <c r="J21" s="390">
        <v>18</v>
      </c>
      <c r="K21" s="134">
        <f t="shared" si="1"/>
        <v>0.22222222222222221</v>
      </c>
      <c r="L21" s="390">
        <v>10</v>
      </c>
      <c r="M21" s="134">
        <f t="shared" si="2"/>
        <v>0.6</v>
      </c>
      <c r="N21" s="580">
        <v>6</v>
      </c>
      <c r="O21" s="574">
        <v>4</v>
      </c>
      <c r="P21" s="575"/>
      <c r="Q21" s="574"/>
      <c r="R21" s="575"/>
      <c r="S21" s="576"/>
      <c r="T21" s="577"/>
      <c r="U21" s="576"/>
      <c r="V21" s="578"/>
      <c r="W21" s="372" t="s">
        <v>211</v>
      </c>
      <c r="AB21" s="2" t="str">
        <f t="shared" si="4"/>
        <v>France</v>
      </c>
    </row>
    <row r="22" spans="1:28" ht="15" customHeight="1" x14ac:dyDescent="0.35">
      <c r="A22" s="108" t="str">
        <f t="shared" si="3"/>
        <v>X</v>
      </c>
      <c r="B22" s="1034"/>
      <c r="C22" s="1027"/>
      <c r="D22" s="1096"/>
      <c r="E22" s="165" t="s">
        <v>201</v>
      </c>
      <c r="F22" s="899" t="s">
        <v>62</v>
      </c>
      <c r="G22" s="166">
        <v>68</v>
      </c>
      <c r="H22" s="146">
        <f>G22-25</f>
        <v>43</v>
      </c>
      <c r="I22" s="143">
        <f t="shared" si="0"/>
        <v>0.51470588235294112</v>
      </c>
      <c r="J22" s="391">
        <v>35</v>
      </c>
      <c r="K22" s="142">
        <f t="shared" si="1"/>
        <v>0.44117647058823528</v>
      </c>
      <c r="L22" s="391">
        <v>30</v>
      </c>
      <c r="M22" s="142">
        <f t="shared" si="2"/>
        <v>0.53333333333333333</v>
      </c>
      <c r="N22" s="179">
        <v>16</v>
      </c>
      <c r="O22" s="186">
        <v>1</v>
      </c>
      <c r="P22" s="187"/>
      <c r="Q22" s="186">
        <v>16</v>
      </c>
      <c r="R22" s="187"/>
      <c r="S22" s="555">
        <v>61</v>
      </c>
      <c r="T22" s="556">
        <v>38</v>
      </c>
      <c r="U22" s="555">
        <v>7</v>
      </c>
      <c r="V22" s="557">
        <v>5</v>
      </c>
      <c r="W22" s="372" t="s">
        <v>211</v>
      </c>
      <c r="AB22" s="2" t="str">
        <f t="shared" si="4"/>
        <v>Frontière</v>
      </c>
    </row>
    <row r="23" spans="1:28" ht="15.5" x14ac:dyDescent="0.35">
      <c r="A23" s="108" t="str">
        <f t="shared" si="3"/>
        <v>X</v>
      </c>
      <c r="B23" s="1035"/>
      <c r="C23" s="1061"/>
      <c r="D23" s="653" t="s">
        <v>138</v>
      </c>
      <c r="E23" s="349"/>
      <c r="F23" s="59"/>
      <c r="G23" s="25">
        <f>SUM(G7:G22)</f>
        <v>694</v>
      </c>
      <c r="H23" s="26">
        <f>SUM(H7:H22)</f>
        <v>611</v>
      </c>
      <c r="I23" s="27">
        <f t="shared" si="0"/>
        <v>0.24639769452449567</v>
      </c>
      <c r="J23" s="369">
        <f>SUM(J7:J22)</f>
        <v>171</v>
      </c>
      <c r="K23" s="27">
        <f t="shared" si="1"/>
        <v>0.38472622478386165</v>
      </c>
      <c r="L23" s="369">
        <f>SUM(L7:L22)</f>
        <v>267</v>
      </c>
      <c r="M23" s="27">
        <f t="shared" si="2"/>
        <v>0.34831460674157305</v>
      </c>
      <c r="N23" s="369">
        <f>SUM(N7:N22)</f>
        <v>93</v>
      </c>
      <c r="O23" s="235">
        <f t="shared" ref="O23:R23" si="6">SUM(O7:O22)</f>
        <v>287</v>
      </c>
      <c r="P23" s="236">
        <f t="shared" si="6"/>
        <v>0</v>
      </c>
      <c r="Q23" s="235">
        <f t="shared" si="6"/>
        <v>16</v>
      </c>
      <c r="R23" s="236">
        <f t="shared" si="6"/>
        <v>0</v>
      </c>
      <c r="S23" s="235">
        <f t="shared" ref="S23:V23" si="7">SUM(S7:S22)</f>
        <v>135</v>
      </c>
      <c r="T23" s="236">
        <f t="shared" si="7"/>
        <v>68</v>
      </c>
      <c r="U23" s="235">
        <f t="shared" si="7"/>
        <v>7</v>
      </c>
      <c r="V23" s="237">
        <f t="shared" si="7"/>
        <v>5</v>
      </c>
      <c r="W23" s="372" t="s">
        <v>211</v>
      </c>
      <c r="AB23" s="2">
        <f t="shared" si="4"/>
        <v>0</v>
      </c>
    </row>
    <row r="24" spans="1:28" ht="15" customHeight="1" x14ac:dyDescent="0.35">
      <c r="A24" s="108" t="str">
        <f t="shared" si="3"/>
        <v>X</v>
      </c>
      <c r="B24" s="1033" t="s">
        <v>82</v>
      </c>
      <c r="C24" s="1026" t="s">
        <v>75</v>
      </c>
      <c r="D24" s="1096">
        <v>11</v>
      </c>
      <c r="E24" s="161" t="s">
        <v>13</v>
      </c>
      <c r="F24" s="447" t="s">
        <v>60</v>
      </c>
      <c r="G24" s="291">
        <v>59</v>
      </c>
      <c r="H24" s="289">
        <v>21</v>
      </c>
      <c r="I24" s="129">
        <f t="shared" si="0"/>
        <v>0.47457627118644069</v>
      </c>
      <c r="J24" s="389">
        <v>28</v>
      </c>
      <c r="K24" s="128">
        <f t="shared" si="1"/>
        <v>0.33898305084745761</v>
      </c>
      <c r="L24" s="389">
        <v>20</v>
      </c>
      <c r="M24" s="128" t="str">
        <f t="shared" si="2"/>
        <v/>
      </c>
      <c r="N24" s="177"/>
      <c r="O24" s="182">
        <v>14</v>
      </c>
      <c r="P24" s="183"/>
      <c r="Q24" s="182"/>
      <c r="R24" s="183"/>
      <c r="S24" s="130" t="s">
        <v>21</v>
      </c>
      <c r="T24" s="127" t="s">
        <v>21</v>
      </c>
      <c r="U24" s="130" t="s">
        <v>21</v>
      </c>
      <c r="V24" s="152" t="s">
        <v>21</v>
      </c>
      <c r="W24" s="372" t="s">
        <v>211</v>
      </c>
      <c r="AB24" s="2" t="str">
        <f t="shared" si="4"/>
        <v>France</v>
      </c>
    </row>
    <row r="25" spans="1:28" ht="15" customHeight="1" x14ac:dyDescent="0.35">
      <c r="A25" s="108" t="str">
        <f t="shared" si="3"/>
        <v>X</v>
      </c>
      <c r="B25" s="1034"/>
      <c r="C25" s="1027"/>
      <c r="D25" s="1096"/>
      <c r="E25" s="163" t="s">
        <v>14</v>
      </c>
      <c r="F25" s="454" t="s">
        <v>60</v>
      </c>
      <c r="G25" s="292">
        <v>32</v>
      </c>
      <c r="H25" s="290">
        <v>16</v>
      </c>
      <c r="I25" s="135">
        <f t="shared" si="0"/>
        <v>0.34375</v>
      </c>
      <c r="J25" s="390">
        <v>11</v>
      </c>
      <c r="K25" s="134">
        <f t="shared" si="1"/>
        <v>0.1875</v>
      </c>
      <c r="L25" s="390">
        <v>6</v>
      </c>
      <c r="M25" s="134" t="str">
        <f t="shared" si="2"/>
        <v/>
      </c>
      <c r="N25" s="178"/>
      <c r="O25" s="184">
        <v>15</v>
      </c>
      <c r="P25" s="185"/>
      <c r="Q25" s="184"/>
      <c r="R25" s="185"/>
      <c r="S25" s="136" t="s">
        <v>21</v>
      </c>
      <c r="T25" s="133" t="s">
        <v>21</v>
      </c>
      <c r="U25" s="136" t="s">
        <v>21</v>
      </c>
      <c r="V25" s="140" t="s">
        <v>21</v>
      </c>
      <c r="W25" s="372" t="s">
        <v>211</v>
      </c>
      <c r="AB25" s="2" t="str">
        <f t="shared" si="4"/>
        <v>France</v>
      </c>
    </row>
    <row r="26" spans="1:28" ht="15" customHeight="1" x14ac:dyDescent="0.35">
      <c r="A26" s="108" t="str">
        <f t="shared" si="3"/>
        <v>X</v>
      </c>
      <c r="B26" s="1034"/>
      <c r="C26" s="1027"/>
      <c r="D26" s="1096"/>
      <c r="E26" s="163" t="s">
        <v>15</v>
      </c>
      <c r="F26" s="454" t="s">
        <v>60</v>
      </c>
      <c r="G26" s="292">
        <v>21</v>
      </c>
      <c r="H26" s="290">
        <v>8</v>
      </c>
      <c r="I26" s="135">
        <f t="shared" si="0"/>
        <v>0.19047619047619047</v>
      </c>
      <c r="J26" s="390">
        <v>4</v>
      </c>
      <c r="K26" s="134">
        <f t="shared" si="1"/>
        <v>0.23809523809523808</v>
      </c>
      <c r="L26" s="390">
        <v>5</v>
      </c>
      <c r="M26" s="134" t="str">
        <f t="shared" si="2"/>
        <v/>
      </c>
      <c r="N26" s="178"/>
      <c r="O26" s="184">
        <v>4</v>
      </c>
      <c r="P26" s="185"/>
      <c r="Q26" s="184"/>
      <c r="R26" s="185"/>
      <c r="S26" s="136" t="s">
        <v>21</v>
      </c>
      <c r="T26" s="133" t="s">
        <v>21</v>
      </c>
      <c r="U26" s="136" t="s">
        <v>21</v>
      </c>
      <c r="V26" s="140" t="s">
        <v>21</v>
      </c>
      <c r="W26" s="372" t="s">
        <v>211</v>
      </c>
      <c r="AB26" s="2" t="str">
        <f t="shared" si="4"/>
        <v>France</v>
      </c>
    </row>
    <row r="27" spans="1:28" ht="15" customHeight="1" x14ac:dyDescent="0.35">
      <c r="A27" s="108" t="str">
        <f t="shared" si="3"/>
        <v>X</v>
      </c>
      <c r="B27" s="1034"/>
      <c r="C27" s="1027"/>
      <c r="D27" s="1096"/>
      <c r="E27" s="163" t="s">
        <v>141</v>
      </c>
      <c r="F27" s="454" t="s">
        <v>60</v>
      </c>
      <c r="G27" s="292">
        <v>55</v>
      </c>
      <c r="H27" s="290">
        <v>21</v>
      </c>
      <c r="I27" s="135">
        <f t="shared" si="0"/>
        <v>0.32727272727272727</v>
      </c>
      <c r="J27" s="390">
        <v>18</v>
      </c>
      <c r="K27" s="134">
        <f t="shared" si="1"/>
        <v>0.32727272727272727</v>
      </c>
      <c r="L27" s="390">
        <v>18</v>
      </c>
      <c r="M27" s="134" t="str">
        <f t="shared" si="2"/>
        <v/>
      </c>
      <c r="N27" s="178"/>
      <c r="O27" s="184">
        <v>20</v>
      </c>
      <c r="P27" s="185"/>
      <c r="Q27" s="184"/>
      <c r="R27" s="185"/>
      <c r="S27" s="136" t="s">
        <v>21</v>
      </c>
      <c r="T27" s="133" t="s">
        <v>21</v>
      </c>
      <c r="U27" s="136" t="s">
        <v>21</v>
      </c>
      <c r="V27" s="140" t="s">
        <v>21</v>
      </c>
      <c r="W27" s="372" t="s">
        <v>211</v>
      </c>
      <c r="AB27" s="2" t="str">
        <f t="shared" si="4"/>
        <v>France</v>
      </c>
    </row>
    <row r="28" spans="1:28" ht="15" customHeight="1" x14ac:dyDescent="0.35">
      <c r="A28" s="108" t="str">
        <f t="shared" si="3"/>
        <v>X</v>
      </c>
      <c r="B28" s="1034"/>
      <c r="C28" s="1027"/>
      <c r="D28" s="1096"/>
      <c r="E28" s="163" t="s">
        <v>16</v>
      </c>
      <c r="F28" s="454" t="s">
        <v>60</v>
      </c>
      <c r="G28" s="292">
        <v>6</v>
      </c>
      <c r="H28" s="290">
        <v>2</v>
      </c>
      <c r="I28" s="135">
        <f t="shared" si="0"/>
        <v>0.33333333333333331</v>
      </c>
      <c r="J28" s="390">
        <v>2</v>
      </c>
      <c r="K28" s="134">
        <f t="shared" si="1"/>
        <v>0.16666666666666666</v>
      </c>
      <c r="L28" s="390">
        <v>1</v>
      </c>
      <c r="M28" s="134" t="str">
        <f t="shared" si="2"/>
        <v/>
      </c>
      <c r="N28" s="178"/>
      <c r="O28" s="184"/>
      <c r="P28" s="185"/>
      <c r="Q28" s="184"/>
      <c r="R28" s="185"/>
      <c r="S28" s="136" t="s">
        <v>21</v>
      </c>
      <c r="T28" s="133" t="s">
        <v>21</v>
      </c>
      <c r="U28" s="136" t="s">
        <v>21</v>
      </c>
      <c r="V28" s="140" t="s">
        <v>21</v>
      </c>
      <c r="W28" s="372" t="s">
        <v>211</v>
      </c>
      <c r="AB28" s="2" t="str">
        <f t="shared" si="4"/>
        <v>France</v>
      </c>
    </row>
    <row r="29" spans="1:28" ht="15" customHeight="1" x14ac:dyDescent="0.35">
      <c r="A29" s="108" t="str">
        <f t="shared" si="3"/>
        <v>X</v>
      </c>
      <c r="B29" s="1034"/>
      <c r="C29" s="1027"/>
      <c r="D29" s="1096"/>
      <c r="E29" s="163" t="s">
        <v>17</v>
      </c>
      <c r="F29" s="454" t="s">
        <v>60</v>
      </c>
      <c r="G29" s="292">
        <v>20</v>
      </c>
      <c r="H29" s="290">
        <v>6</v>
      </c>
      <c r="I29" s="135">
        <f t="shared" si="0"/>
        <v>0.25</v>
      </c>
      <c r="J29" s="390">
        <v>5</v>
      </c>
      <c r="K29" s="134">
        <f t="shared" si="1"/>
        <v>0.2</v>
      </c>
      <c r="L29" s="390">
        <v>4</v>
      </c>
      <c r="M29" s="134" t="str">
        <f t="shared" si="2"/>
        <v/>
      </c>
      <c r="N29" s="178"/>
      <c r="O29" s="184">
        <v>2</v>
      </c>
      <c r="P29" s="185"/>
      <c r="Q29" s="184"/>
      <c r="R29" s="185"/>
      <c r="S29" s="136" t="s">
        <v>21</v>
      </c>
      <c r="T29" s="133" t="s">
        <v>21</v>
      </c>
      <c r="U29" s="136" t="s">
        <v>21</v>
      </c>
      <c r="V29" s="140" t="s">
        <v>21</v>
      </c>
      <c r="W29" s="372" t="s">
        <v>211</v>
      </c>
      <c r="AB29" s="2" t="str">
        <f t="shared" si="4"/>
        <v>France</v>
      </c>
    </row>
    <row r="30" spans="1:28" ht="15" customHeight="1" x14ac:dyDescent="0.35">
      <c r="A30" s="108" t="str">
        <f t="shared" si="3"/>
        <v>X</v>
      </c>
      <c r="B30" s="1034"/>
      <c r="C30" s="1027"/>
      <c r="D30" s="1096"/>
      <c r="E30" s="163" t="s">
        <v>18</v>
      </c>
      <c r="F30" s="454" t="s">
        <v>60</v>
      </c>
      <c r="G30" s="292">
        <v>20</v>
      </c>
      <c r="H30" s="290">
        <v>9</v>
      </c>
      <c r="I30" s="135">
        <f t="shared" si="0"/>
        <v>0.25</v>
      </c>
      <c r="J30" s="390">
        <v>5</v>
      </c>
      <c r="K30" s="134">
        <f t="shared" si="1"/>
        <v>0.25</v>
      </c>
      <c r="L30" s="390">
        <v>5</v>
      </c>
      <c r="M30" s="134" t="str">
        <f t="shared" si="2"/>
        <v/>
      </c>
      <c r="N30" s="178"/>
      <c r="O30" s="184">
        <v>1</v>
      </c>
      <c r="P30" s="185"/>
      <c r="Q30" s="184"/>
      <c r="R30" s="185"/>
      <c r="S30" s="136" t="s">
        <v>21</v>
      </c>
      <c r="T30" s="133" t="s">
        <v>21</v>
      </c>
      <c r="U30" s="136" t="s">
        <v>21</v>
      </c>
      <c r="V30" s="140" t="s">
        <v>21</v>
      </c>
      <c r="W30" s="372" t="s">
        <v>211</v>
      </c>
      <c r="AB30" s="2" t="str">
        <f t="shared" si="4"/>
        <v>France</v>
      </c>
    </row>
    <row r="31" spans="1:28" ht="15" customHeight="1" x14ac:dyDescent="0.35">
      <c r="A31" s="108" t="str">
        <f t="shared" si="3"/>
        <v>X</v>
      </c>
      <c r="B31" s="1034"/>
      <c r="C31" s="1027"/>
      <c r="D31" s="1096"/>
      <c r="E31" s="163" t="s">
        <v>19</v>
      </c>
      <c r="F31" s="454" t="s">
        <v>60</v>
      </c>
      <c r="G31" s="292">
        <v>35</v>
      </c>
      <c r="H31" s="290">
        <v>9</v>
      </c>
      <c r="I31" s="135">
        <f t="shared" si="0"/>
        <v>0.31428571428571428</v>
      </c>
      <c r="J31" s="390">
        <v>11</v>
      </c>
      <c r="K31" s="134">
        <f t="shared" si="1"/>
        <v>0.22857142857142856</v>
      </c>
      <c r="L31" s="390">
        <v>8</v>
      </c>
      <c r="M31" s="134" t="str">
        <f t="shared" si="2"/>
        <v/>
      </c>
      <c r="N31" s="178"/>
      <c r="O31" s="184">
        <v>2</v>
      </c>
      <c r="P31" s="185"/>
      <c r="Q31" s="184"/>
      <c r="R31" s="185"/>
      <c r="S31" s="136" t="s">
        <v>21</v>
      </c>
      <c r="T31" s="133" t="s">
        <v>21</v>
      </c>
      <c r="U31" s="136" t="s">
        <v>21</v>
      </c>
      <c r="V31" s="140" t="s">
        <v>21</v>
      </c>
      <c r="W31" s="372" t="s">
        <v>211</v>
      </c>
      <c r="AB31" s="2" t="str">
        <f t="shared" si="4"/>
        <v>France</v>
      </c>
    </row>
    <row r="32" spans="1:28" ht="15" customHeight="1" x14ac:dyDescent="0.35">
      <c r="A32" s="108" t="str">
        <f t="shared" si="3"/>
        <v>X</v>
      </c>
      <c r="B32" s="1034"/>
      <c r="C32" s="1027"/>
      <c r="D32" s="1096"/>
      <c r="E32" s="579" t="s">
        <v>173</v>
      </c>
      <c r="F32" s="454" t="s">
        <v>60</v>
      </c>
      <c r="G32" s="292">
        <v>15</v>
      </c>
      <c r="H32" s="290">
        <v>7</v>
      </c>
      <c r="I32" s="135">
        <f t="shared" si="0"/>
        <v>0.2</v>
      </c>
      <c r="J32" s="390">
        <v>3</v>
      </c>
      <c r="K32" s="134" t="str">
        <f t="shared" si="1"/>
        <v/>
      </c>
      <c r="L32" s="390"/>
      <c r="M32" s="134" t="str">
        <f t="shared" si="2"/>
        <v/>
      </c>
      <c r="N32" s="580"/>
      <c r="O32" s="574"/>
      <c r="P32" s="575"/>
      <c r="Q32" s="574"/>
      <c r="R32" s="575"/>
      <c r="S32" s="576" t="s">
        <v>21</v>
      </c>
      <c r="T32" s="577" t="s">
        <v>21</v>
      </c>
      <c r="U32" s="576" t="s">
        <v>21</v>
      </c>
      <c r="V32" s="578" t="s">
        <v>21</v>
      </c>
      <c r="W32" s="372" t="s">
        <v>211</v>
      </c>
      <c r="AB32" s="2" t="str">
        <f t="shared" si="4"/>
        <v>France</v>
      </c>
    </row>
    <row r="33" spans="1:28" ht="15" customHeight="1" x14ac:dyDescent="0.35">
      <c r="A33" s="108" t="str">
        <f t="shared" si="3"/>
        <v>X</v>
      </c>
      <c r="B33" s="1034"/>
      <c r="C33" s="1027"/>
      <c r="D33" s="1096"/>
      <c r="E33" s="579" t="s">
        <v>174</v>
      </c>
      <c r="F33" s="454" t="s">
        <v>60</v>
      </c>
      <c r="G33" s="292">
        <v>22</v>
      </c>
      <c r="H33" s="290">
        <v>7</v>
      </c>
      <c r="I33" s="135">
        <f t="shared" si="0"/>
        <v>9.0909090909090912E-2</v>
      </c>
      <c r="J33" s="390">
        <v>2</v>
      </c>
      <c r="K33" s="134">
        <f t="shared" si="1"/>
        <v>0.22727272727272727</v>
      </c>
      <c r="L33" s="390">
        <v>5</v>
      </c>
      <c r="M33" s="134" t="str">
        <f t="shared" si="2"/>
        <v/>
      </c>
      <c r="N33" s="580"/>
      <c r="O33" s="574"/>
      <c r="P33" s="575"/>
      <c r="Q33" s="574"/>
      <c r="R33" s="575"/>
      <c r="S33" s="576" t="s">
        <v>21</v>
      </c>
      <c r="T33" s="577" t="s">
        <v>21</v>
      </c>
      <c r="U33" s="576" t="s">
        <v>21</v>
      </c>
      <c r="V33" s="578" t="s">
        <v>21</v>
      </c>
      <c r="W33" s="372" t="s">
        <v>211</v>
      </c>
      <c r="AB33" s="2" t="str">
        <f t="shared" si="4"/>
        <v>France</v>
      </c>
    </row>
    <row r="34" spans="1:28" ht="15" customHeight="1" x14ac:dyDescent="0.35">
      <c r="A34" s="108" t="str">
        <f t="shared" si="3"/>
        <v>X</v>
      </c>
      <c r="B34" s="1034"/>
      <c r="C34" s="1027"/>
      <c r="D34" s="1096"/>
      <c r="E34" s="165" t="s">
        <v>5</v>
      </c>
      <c r="F34" s="899" t="s">
        <v>60</v>
      </c>
      <c r="G34" s="166"/>
      <c r="H34" s="146"/>
      <c r="I34" s="143" t="str">
        <f t="shared" si="0"/>
        <v/>
      </c>
      <c r="J34" s="391"/>
      <c r="K34" s="142" t="str">
        <f t="shared" si="1"/>
        <v/>
      </c>
      <c r="L34" s="391"/>
      <c r="M34" s="142" t="str">
        <f t="shared" si="2"/>
        <v/>
      </c>
      <c r="N34" s="179"/>
      <c r="O34" s="186"/>
      <c r="P34" s="187"/>
      <c r="Q34" s="186"/>
      <c r="R34" s="187"/>
      <c r="S34" s="144" t="s">
        <v>21</v>
      </c>
      <c r="T34" s="141" t="s">
        <v>21</v>
      </c>
      <c r="U34" s="144" t="s">
        <v>21</v>
      </c>
      <c r="V34" s="175" t="s">
        <v>21</v>
      </c>
      <c r="W34" s="372" t="s">
        <v>211</v>
      </c>
      <c r="AB34" s="2" t="str">
        <f t="shared" si="4"/>
        <v/>
      </c>
    </row>
    <row r="35" spans="1:28" ht="15.5" x14ac:dyDescent="0.35">
      <c r="A35" s="108" t="str">
        <f t="shared" si="3"/>
        <v>X</v>
      </c>
      <c r="B35" s="1035"/>
      <c r="C35" s="1061"/>
      <c r="D35" s="653" t="s">
        <v>138</v>
      </c>
      <c r="E35" s="349"/>
      <c r="F35" s="59"/>
      <c r="G35" s="25">
        <f>SUM(G24:G34)</f>
        <v>285</v>
      </c>
      <c r="H35" s="26">
        <f>SUM(H24:H34)</f>
        <v>106</v>
      </c>
      <c r="I35" s="27">
        <f>J35/G35</f>
        <v>0.31228070175438599</v>
      </c>
      <c r="J35" s="369">
        <f>SUM(J24:J34)</f>
        <v>89</v>
      </c>
      <c r="K35" s="27">
        <f t="shared" si="1"/>
        <v>0.25263157894736843</v>
      </c>
      <c r="L35" s="369">
        <f>SUM(L24:L34)</f>
        <v>72</v>
      </c>
      <c r="M35" s="27">
        <f t="shared" si="2"/>
        <v>0</v>
      </c>
      <c r="N35" s="369">
        <f>SUM(N24:N34)</f>
        <v>0</v>
      </c>
      <c r="O35" s="235">
        <f t="shared" ref="O35:R35" si="8">SUM(O24:O34)</f>
        <v>58</v>
      </c>
      <c r="P35" s="236">
        <f t="shared" si="8"/>
        <v>0</v>
      </c>
      <c r="Q35" s="235">
        <f t="shared" si="8"/>
        <v>0</v>
      </c>
      <c r="R35" s="236">
        <f t="shared" si="8"/>
        <v>0</v>
      </c>
      <c r="S35" s="235">
        <f t="shared" ref="S35:V35" si="9">SUM(S24:S34)</f>
        <v>0</v>
      </c>
      <c r="T35" s="236">
        <f t="shared" si="9"/>
        <v>0</v>
      </c>
      <c r="U35" s="235">
        <f t="shared" si="9"/>
        <v>0</v>
      </c>
      <c r="V35" s="237">
        <f t="shared" si="9"/>
        <v>0</v>
      </c>
      <c r="W35" s="372" t="s">
        <v>211</v>
      </c>
      <c r="AB35" s="2">
        <f t="shared" si="4"/>
        <v>0</v>
      </c>
    </row>
    <row r="36" spans="1:28" x14ac:dyDescent="0.35">
      <c r="A36" s="108" t="str">
        <f t="shared" si="3"/>
        <v>X</v>
      </c>
      <c r="B36" s="1033" t="s">
        <v>83</v>
      </c>
      <c r="C36" s="1026" t="s">
        <v>75</v>
      </c>
      <c r="D36" s="1078">
        <v>6</v>
      </c>
      <c r="E36" s="161" t="s">
        <v>10</v>
      </c>
      <c r="F36" s="447" t="s">
        <v>60</v>
      </c>
      <c r="G36" s="650">
        <v>50</v>
      </c>
      <c r="H36" s="132">
        <v>37</v>
      </c>
      <c r="I36" s="129">
        <f>IF(J36="","",J36/G36)</f>
        <v>0.68</v>
      </c>
      <c r="J36" s="392">
        <v>34</v>
      </c>
      <c r="K36" s="128">
        <f>IF(L36="","",L36/G36)</f>
        <v>0.22</v>
      </c>
      <c r="L36" s="392">
        <v>11</v>
      </c>
      <c r="M36" s="128">
        <f>IF(N36="","",N36/L36)</f>
        <v>0.81818181818181823</v>
      </c>
      <c r="N36" s="177">
        <v>9</v>
      </c>
      <c r="O36" s="182">
        <v>3</v>
      </c>
      <c r="P36" s="183">
        <v>3</v>
      </c>
      <c r="Q36" s="182">
        <v>2</v>
      </c>
      <c r="R36" s="183">
        <v>2</v>
      </c>
      <c r="S36" s="130" t="s">
        <v>21</v>
      </c>
      <c r="T36" s="127" t="s">
        <v>21</v>
      </c>
      <c r="U36" s="130" t="s">
        <v>21</v>
      </c>
      <c r="V36" s="152" t="s">
        <v>21</v>
      </c>
      <c r="W36" s="372" t="s">
        <v>211</v>
      </c>
      <c r="AB36" s="2" t="str">
        <f t="shared" si="4"/>
        <v>France</v>
      </c>
    </row>
    <row r="37" spans="1:28" x14ac:dyDescent="0.35">
      <c r="A37" s="108" t="str">
        <f t="shared" si="3"/>
        <v>X</v>
      </c>
      <c r="B37" s="1034"/>
      <c r="C37" s="1027"/>
      <c r="D37" s="1079"/>
      <c r="E37" s="163" t="s">
        <v>11</v>
      </c>
      <c r="F37" s="454" t="s">
        <v>60</v>
      </c>
      <c r="G37" s="651">
        <v>26</v>
      </c>
      <c r="H37" s="138">
        <v>17</v>
      </c>
      <c r="I37" s="135">
        <f t="shared" ref="I37:I46" si="10">IF(J37="","",J37/G37)</f>
        <v>0.42307692307692307</v>
      </c>
      <c r="J37" s="393">
        <v>11</v>
      </c>
      <c r="K37" s="134">
        <f t="shared" ref="K37:K100" si="11">IF(L37="","",L37/G37)</f>
        <v>0.23076923076923078</v>
      </c>
      <c r="L37" s="393">
        <v>6</v>
      </c>
      <c r="M37" s="134">
        <f t="shared" ref="M37:M100" si="12">IF(N37="","",N37/L37)</f>
        <v>0.66666666666666663</v>
      </c>
      <c r="N37" s="178">
        <v>4</v>
      </c>
      <c r="O37" s="184"/>
      <c r="P37" s="185"/>
      <c r="Q37" s="184">
        <v>1</v>
      </c>
      <c r="R37" s="185">
        <v>1</v>
      </c>
      <c r="S37" s="136" t="s">
        <v>21</v>
      </c>
      <c r="T37" s="133" t="s">
        <v>21</v>
      </c>
      <c r="U37" s="136" t="s">
        <v>21</v>
      </c>
      <c r="V37" s="140" t="s">
        <v>21</v>
      </c>
      <c r="W37" s="372" t="s">
        <v>211</v>
      </c>
      <c r="AB37" s="2" t="str">
        <f t="shared" si="4"/>
        <v>France</v>
      </c>
    </row>
    <row r="38" spans="1:28" x14ac:dyDescent="0.35">
      <c r="A38" s="108" t="str">
        <f t="shared" si="3"/>
        <v>X</v>
      </c>
      <c r="B38" s="1034"/>
      <c r="C38" s="1027"/>
      <c r="D38" s="1079"/>
      <c r="E38" s="163" t="s">
        <v>12</v>
      </c>
      <c r="F38" s="454" t="s">
        <v>60</v>
      </c>
      <c r="G38" s="164" t="s">
        <v>207</v>
      </c>
      <c r="H38" s="138" t="s">
        <v>207</v>
      </c>
      <c r="I38" s="135" t="str">
        <f t="shared" si="10"/>
        <v/>
      </c>
      <c r="J38" s="138" t="s">
        <v>207</v>
      </c>
      <c r="K38" s="134" t="str">
        <f t="shared" si="11"/>
        <v/>
      </c>
      <c r="L38" s="393" t="s">
        <v>207</v>
      </c>
      <c r="M38" s="134" t="str">
        <f t="shared" si="12"/>
        <v/>
      </c>
      <c r="N38" s="178" t="s">
        <v>207</v>
      </c>
      <c r="O38" s="184"/>
      <c r="P38" s="185"/>
      <c r="Q38" s="184"/>
      <c r="R38" s="185"/>
      <c r="S38" s="136" t="s">
        <v>21</v>
      </c>
      <c r="T38" s="133" t="s">
        <v>21</v>
      </c>
      <c r="U38" s="136" t="s">
        <v>21</v>
      </c>
      <c r="V38" s="140" t="s">
        <v>21</v>
      </c>
      <c r="W38" s="372" t="s">
        <v>211</v>
      </c>
      <c r="AB38" s="2" t="str">
        <f t="shared" si="4"/>
        <v/>
      </c>
    </row>
    <row r="39" spans="1:28" x14ac:dyDescent="0.35">
      <c r="A39" s="108" t="str">
        <f t="shared" si="3"/>
        <v>X</v>
      </c>
      <c r="B39" s="1034"/>
      <c r="C39" s="1027"/>
      <c r="D39" s="1079"/>
      <c r="E39" s="163" t="s">
        <v>7</v>
      </c>
      <c r="F39" s="454" t="s">
        <v>60</v>
      </c>
      <c r="G39" s="651">
        <v>29</v>
      </c>
      <c r="H39" s="138">
        <v>16</v>
      </c>
      <c r="I39" s="135">
        <f t="shared" si="10"/>
        <v>0.37931034482758619</v>
      </c>
      <c r="J39" s="393">
        <v>11</v>
      </c>
      <c r="K39" s="134">
        <f t="shared" si="11"/>
        <v>0.31034482758620691</v>
      </c>
      <c r="L39" s="393">
        <v>9</v>
      </c>
      <c r="M39" s="134">
        <f t="shared" si="12"/>
        <v>0.55555555555555558</v>
      </c>
      <c r="N39" s="178">
        <v>5</v>
      </c>
      <c r="O39" s="184">
        <v>4</v>
      </c>
      <c r="P39" s="185">
        <v>3</v>
      </c>
      <c r="Q39" s="184">
        <v>49</v>
      </c>
      <c r="R39" s="185">
        <v>36</v>
      </c>
      <c r="S39" s="136" t="s">
        <v>21</v>
      </c>
      <c r="T39" s="133" t="s">
        <v>21</v>
      </c>
      <c r="U39" s="136" t="s">
        <v>21</v>
      </c>
      <c r="V39" s="140" t="s">
        <v>21</v>
      </c>
      <c r="W39" s="372" t="s">
        <v>211</v>
      </c>
      <c r="AB39" s="2" t="str">
        <f t="shared" si="4"/>
        <v>France</v>
      </c>
    </row>
    <row r="40" spans="1:28" x14ac:dyDescent="0.35">
      <c r="A40" s="108" t="str">
        <f t="shared" si="3"/>
        <v>X</v>
      </c>
      <c r="B40" s="1034"/>
      <c r="C40" s="1027"/>
      <c r="D40" s="1079"/>
      <c r="E40" s="163" t="s">
        <v>132</v>
      </c>
      <c r="F40" s="454" t="s">
        <v>60</v>
      </c>
      <c r="G40" s="651">
        <v>18</v>
      </c>
      <c r="H40" s="138">
        <v>9</v>
      </c>
      <c r="I40" s="135">
        <f t="shared" si="10"/>
        <v>0.33333333333333331</v>
      </c>
      <c r="J40" s="393">
        <v>6</v>
      </c>
      <c r="K40" s="134">
        <f t="shared" si="11"/>
        <v>0.16666666666666666</v>
      </c>
      <c r="L40" s="393">
        <v>3</v>
      </c>
      <c r="M40" s="134">
        <f t="shared" si="12"/>
        <v>1</v>
      </c>
      <c r="N40" s="178">
        <v>3</v>
      </c>
      <c r="O40" s="184"/>
      <c r="P40" s="185"/>
      <c r="Q40" s="184"/>
      <c r="R40" s="185"/>
      <c r="S40" s="136" t="s">
        <v>21</v>
      </c>
      <c r="T40" s="133" t="s">
        <v>21</v>
      </c>
      <c r="U40" s="136" t="s">
        <v>21</v>
      </c>
      <c r="V40" s="140" t="s">
        <v>21</v>
      </c>
      <c r="W40" s="372" t="s">
        <v>211</v>
      </c>
      <c r="AB40" s="2" t="str">
        <f t="shared" si="4"/>
        <v>France</v>
      </c>
    </row>
    <row r="41" spans="1:28" x14ac:dyDescent="0.35">
      <c r="A41" s="108" t="str">
        <f t="shared" si="3"/>
        <v>X</v>
      </c>
      <c r="B41" s="1034"/>
      <c r="C41" s="1027"/>
      <c r="D41" s="1079"/>
      <c r="E41" s="163" t="s">
        <v>8</v>
      </c>
      <c r="F41" s="454" t="s">
        <v>60</v>
      </c>
      <c r="G41" s="651" t="s">
        <v>207</v>
      </c>
      <c r="H41" s="138" t="s">
        <v>207</v>
      </c>
      <c r="I41" s="135" t="str">
        <f t="shared" si="10"/>
        <v/>
      </c>
      <c r="J41" s="393" t="s">
        <v>207</v>
      </c>
      <c r="K41" s="134" t="str">
        <f t="shared" si="11"/>
        <v/>
      </c>
      <c r="L41" s="393" t="s">
        <v>207</v>
      </c>
      <c r="M41" s="134" t="str">
        <f t="shared" si="12"/>
        <v/>
      </c>
      <c r="N41" s="178" t="s">
        <v>207</v>
      </c>
      <c r="O41" s="184"/>
      <c r="P41" s="185"/>
      <c r="Q41" s="184"/>
      <c r="R41" s="185"/>
      <c r="S41" s="136" t="s">
        <v>21</v>
      </c>
      <c r="T41" s="133" t="s">
        <v>21</v>
      </c>
      <c r="U41" s="136" t="s">
        <v>21</v>
      </c>
      <c r="V41" s="140" t="s">
        <v>21</v>
      </c>
      <c r="W41" s="372" t="s">
        <v>211</v>
      </c>
      <c r="AB41" s="2" t="str">
        <f t="shared" si="4"/>
        <v/>
      </c>
    </row>
    <row r="42" spans="1:28" x14ac:dyDescent="0.35">
      <c r="A42" s="108" t="str">
        <f t="shared" si="3"/>
        <v>X</v>
      </c>
      <c r="B42" s="1034"/>
      <c r="C42" s="1027"/>
      <c r="D42" s="1079"/>
      <c r="E42" s="163" t="s">
        <v>6</v>
      </c>
      <c r="F42" s="454" t="s">
        <v>60</v>
      </c>
      <c r="G42" s="651">
        <v>14</v>
      </c>
      <c r="H42" s="138">
        <v>10</v>
      </c>
      <c r="I42" s="135">
        <f t="shared" si="10"/>
        <v>0.2857142857142857</v>
      </c>
      <c r="J42" s="393">
        <v>4</v>
      </c>
      <c r="K42" s="134">
        <f t="shared" si="11"/>
        <v>0.21428571428571427</v>
      </c>
      <c r="L42" s="393">
        <v>3</v>
      </c>
      <c r="M42" s="134">
        <f t="shared" si="12"/>
        <v>0.66666666666666663</v>
      </c>
      <c r="N42" s="178">
        <v>2</v>
      </c>
      <c r="O42" s="184">
        <v>1</v>
      </c>
      <c r="P42" s="185">
        <v>1</v>
      </c>
      <c r="Q42" s="184"/>
      <c r="R42" s="185"/>
      <c r="S42" s="136" t="s">
        <v>21</v>
      </c>
      <c r="T42" s="133" t="s">
        <v>21</v>
      </c>
      <c r="U42" s="136" t="s">
        <v>21</v>
      </c>
      <c r="V42" s="140" t="s">
        <v>21</v>
      </c>
      <c r="W42" s="372" t="s">
        <v>211</v>
      </c>
      <c r="AB42" s="2" t="str">
        <f t="shared" si="4"/>
        <v>France</v>
      </c>
    </row>
    <row r="43" spans="1:28" ht="15" hidden="1" customHeight="1" x14ac:dyDescent="0.35">
      <c r="A43" s="108" t="str">
        <f t="shared" si="3"/>
        <v/>
      </c>
      <c r="B43" s="1034"/>
      <c r="C43" s="1027"/>
      <c r="D43" s="1080"/>
      <c r="E43" s="579"/>
      <c r="F43" s="454" t="s">
        <v>207</v>
      </c>
      <c r="G43" s="592" t="s">
        <v>207</v>
      </c>
      <c r="H43" s="593" t="s">
        <v>207</v>
      </c>
      <c r="I43" s="135" t="str">
        <f t="shared" si="10"/>
        <v/>
      </c>
      <c r="J43" s="591" t="s">
        <v>207</v>
      </c>
      <c r="K43" s="134" t="str">
        <f t="shared" si="11"/>
        <v/>
      </c>
      <c r="L43" s="591" t="s">
        <v>207</v>
      </c>
      <c r="M43" s="134" t="str">
        <f t="shared" si="12"/>
        <v/>
      </c>
      <c r="N43" s="580" t="s">
        <v>207</v>
      </c>
      <c r="O43" s="574"/>
      <c r="P43" s="575"/>
      <c r="Q43" s="574"/>
      <c r="R43" s="575"/>
      <c r="S43" s="576" t="s">
        <v>21</v>
      </c>
      <c r="T43" s="577" t="s">
        <v>21</v>
      </c>
      <c r="U43" s="576" t="s">
        <v>21</v>
      </c>
      <c r="V43" s="578" t="s">
        <v>21</v>
      </c>
      <c r="W43" s="372" t="s">
        <v>211</v>
      </c>
      <c r="AB43" s="2" t="str">
        <f t="shared" si="4"/>
        <v/>
      </c>
    </row>
    <row r="44" spans="1:28" ht="15" hidden="1" customHeight="1" x14ac:dyDescent="0.35">
      <c r="A44" s="108" t="str">
        <f t="shared" si="3"/>
        <v/>
      </c>
      <c r="B44" s="1034"/>
      <c r="C44" s="1027"/>
      <c r="D44" s="1080"/>
      <c r="E44" s="579"/>
      <c r="F44" s="454" t="s">
        <v>207</v>
      </c>
      <c r="G44" s="592" t="s">
        <v>207</v>
      </c>
      <c r="H44" s="593" t="s">
        <v>207</v>
      </c>
      <c r="I44" s="135" t="str">
        <f t="shared" si="10"/>
        <v/>
      </c>
      <c r="J44" s="591" t="s">
        <v>207</v>
      </c>
      <c r="K44" s="134" t="str">
        <f t="shared" si="11"/>
        <v/>
      </c>
      <c r="L44" s="591" t="s">
        <v>207</v>
      </c>
      <c r="M44" s="134" t="str">
        <f t="shared" si="12"/>
        <v/>
      </c>
      <c r="N44" s="580" t="s">
        <v>207</v>
      </c>
      <c r="O44" s="574"/>
      <c r="P44" s="575"/>
      <c r="Q44" s="574"/>
      <c r="R44" s="575"/>
      <c r="S44" s="576" t="s">
        <v>21</v>
      </c>
      <c r="T44" s="577" t="s">
        <v>21</v>
      </c>
      <c r="U44" s="576" t="s">
        <v>21</v>
      </c>
      <c r="V44" s="578" t="s">
        <v>21</v>
      </c>
      <c r="W44" s="372" t="s">
        <v>211</v>
      </c>
      <c r="AB44" s="2" t="str">
        <f t="shared" si="4"/>
        <v/>
      </c>
    </row>
    <row r="45" spans="1:28" x14ac:dyDescent="0.35">
      <c r="A45" s="108" t="str">
        <f t="shared" si="3"/>
        <v>X</v>
      </c>
      <c r="B45" s="1034"/>
      <c r="C45" s="1027"/>
      <c r="D45" s="1080"/>
      <c r="E45" s="579" t="s">
        <v>202</v>
      </c>
      <c r="F45" s="454" t="s">
        <v>60</v>
      </c>
      <c r="G45" s="592">
        <v>11</v>
      </c>
      <c r="H45" s="593">
        <v>7</v>
      </c>
      <c r="I45" s="135">
        <f t="shared" si="10"/>
        <v>0.63636363636363635</v>
      </c>
      <c r="J45" s="591">
        <v>7</v>
      </c>
      <c r="K45" s="134">
        <f t="shared" si="11"/>
        <v>9.0909090909090912E-2</v>
      </c>
      <c r="L45" s="591">
        <v>1</v>
      </c>
      <c r="M45" s="134">
        <f t="shared" si="12"/>
        <v>1</v>
      </c>
      <c r="N45" s="580">
        <v>1</v>
      </c>
      <c r="O45" s="574"/>
      <c r="P45" s="575"/>
      <c r="Q45" s="574"/>
      <c r="R45" s="575"/>
      <c r="S45" s="576" t="s">
        <v>21</v>
      </c>
      <c r="T45" s="577" t="s">
        <v>21</v>
      </c>
      <c r="U45" s="576" t="s">
        <v>21</v>
      </c>
      <c r="V45" s="578" t="s">
        <v>21</v>
      </c>
      <c r="W45" s="372" t="s">
        <v>211</v>
      </c>
      <c r="AB45" s="2" t="str">
        <f t="shared" si="4"/>
        <v>France</v>
      </c>
    </row>
    <row r="46" spans="1:28" x14ac:dyDescent="0.35">
      <c r="A46" s="108" t="str">
        <f t="shared" si="3"/>
        <v>X</v>
      </c>
      <c r="B46" s="1034"/>
      <c r="C46" s="1027"/>
      <c r="D46" s="1081"/>
      <c r="E46" s="165" t="s">
        <v>9</v>
      </c>
      <c r="F46" s="899" t="s">
        <v>60</v>
      </c>
      <c r="G46" s="166" t="s">
        <v>207</v>
      </c>
      <c r="H46" s="146" t="s">
        <v>207</v>
      </c>
      <c r="I46" s="143" t="str">
        <f t="shared" si="10"/>
        <v/>
      </c>
      <c r="J46" s="391" t="s">
        <v>207</v>
      </c>
      <c r="K46" s="142" t="str">
        <f t="shared" si="11"/>
        <v/>
      </c>
      <c r="L46" s="391" t="s">
        <v>207</v>
      </c>
      <c r="M46" s="142" t="str">
        <f t="shared" si="12"/>
        <v/>
      </c>
      <c r="N46" s="179" t="s">
        <v>207</v>
      </c>
      <c r="O46" s="186">
        <v>1</v>
      </c>
      <c r="P46" s="187">
        <v>1</v>
      </c>
      <c r="Q46" s="186"/>
      <c r="R46" s="187"/>
      <c r="S46" s="144" t="s">
        <v>21</v>
      </c>
      <c r="T46" s="141" t="s">
        <v>21</v>
      </c>
      <c r="U46" s="144" t="s">
        <v>21</v>
      </c>
      <c r="V46" s="175" t="s">
        <v>21</v>
      </c>
      <c r="W46" s="372" t="s">
        <v>211</v>
      </c>
      <c r="AB46" s="2" t="str">
        <f t="shared" si="4"/>
        <v/>
      </c>
    </row>
    <row r="47" spans="1:28" ht="16" thickBot="1" x14ac:dyDescent="0.4">
      <c r="A47" s="108" t="str">
        <f t="shared" si="3"/>
        <v>X</v>
      </c>
      <c r="B47" s="1058"/>
      <c r="C47" s="1062"/>
      <c r="D47" s="654" t="s">
        <v>138</v>
      </c>
      <c r="E47" s="349"/>
      <c r="F47" s="395"/>
      <c r="G47" s="25">
        <f>SUM(G36:G46)</f>
        <v>148</v>
      </c>
      <c r="H47" s="26">
        <f t="shared" ref="H47" si="13">SUM(H36:H46)</f>
        <v>96</v>
      </c>
      <c r="I47" s="27">
        <f>IF(J47="","",J47/G47)</f>
        <v>0.49324324324324326</v>
      </c>
      <c r="J47" s="369">
        <f t="shared" ref="J47" si="14">SUM(J36:J46)</f>
        <v>73</v>
      </c>
      <c r="K47" s="27">
        <f t="shared" si="11"/>
        <v>0.22297297297297297</v>
      </c>
      <c r="L47" s="369">
        <f t="shared" ref="L47" si="15">SUM(L36:L46)</f>
        <v>33</v>
      </c>
      <c r="M47" s="27">
        <f t="shared" si="12"/>
        <v>0.72727272727272729</v>
      </c>
      <c r="N47" s="369">
        <f t="shared" ref="N47:V47" si="16">SUM(N36:N46)</f>
        <v>24</v>
      </c>
      <c r="O47" s="235">
        <f t="shared" si="16"/>
        <v>9</v>
      </c>
      <c r="P47" s="236">
        <f t="shared" si="16"/>
        <v>8</v>
      </c>
      <c r="Q47" s="235">
        <f t="shared" si="16"/>
        <v>52</v>
      </c>
      <c r="R47" s="236">
        <f t="shared" si="16"/>
        <v>39</v>
      </c>
      <c r="S47" s="235">
        <f t="shared" si="16"/>
        <v>0</v>
      </c>
      <c r="T47" s="236">
        <f t="shared" si="16"/>
        <v>0</v>
      </c>
      <c r="U47" s="235">
        <f t="shared" si="16"/>
        <v>0</v>
      </c>
      <c r="V47" s="237">
        <f t="shared" si="16"/>
        <v>0</v>
      </c>
      <c r="W47" s="372" t="s">
        <v>211</v>
      </c>
      <c r="AB47" s="2">
        <f t="shared" si="4"/>
        <v>0</v>
      </c>
    </row>
    <row r="48" spans="1:28" s="53" customFormat="1" ht="27.75" customHeight="1" thickBot="1" x14ac:dyDescent="0.4">
      <c r="A48" s="108" t="str">
        <f t="shared" si="3"/>
        <v>X</v>
      </c>
      <c r="B48" s="218" t="s">
        <v>78</v>
      </c>
      <c r="C48" s="649"/>
      <c r="D48" s="649">
        <f>SUM(D5:D46)</f>
        <v>39</v>
      </c>
      <c r="E48" s="116">
        <f>COUNTIF(A5:A47,"X")</f>
        <v>41</v>
      </c>
      <c r="F48" s="952">
        <v>38</v>
      </c>
      <c r="G48" s="717">
        <f>G5+G6+G23+G35+G47</f>
        <v>1147</v>
      </c>
      <c r="H48" s="718">
        <f>H5+H6+H23+H35+H47</f>
        <v>822</v>
      </c>
      <c r="I48" s="719">
        <f t="shared" ref="I48:I111" si="17">IF(J48="","",J48/G48)</f>
        <v>0.29729729729729731</v>
      </c>
      <c r="J48" s="123">
        <f>J5+J6+J23+J35+J47</f>
        <v>341</v>
      </c>
      <c r="K48" s="394">
        <f t="shared" si="11"/>
        <v>0.32781168265039234</v>
      </c>
      <c r="L48" s="123">
        <f>L5+L6+L23+L35+L47</f>
        <v>376</v>
      </c>
      <c r="M48" s="719">
        <f t="shared" si="12"/>
        <v>0.31648936170212766</v>
      </c>
      <c r="N48" s="123">
        <f t="shared" ref="N48:R48" si="18">N5+N6+N23+N35+N47</f>
        <v>119</v>
      </c>
      <c r="O48" s="124">
        <f t="shared" si="18"/>
        <v>354</v>
      </c>
      <c r="P48" s="125">
        <f t="shared" si="18"/>
        <v>8</v>
      </c>
      <c r="Q48" s="124">
        <f t="shared" si="18"/>
        <v>68</v>
      </c>
      <c r="R48" s="125">
        <f t="shared" si="18"/>
        <v>39</v>
      </c>
      <c r="S48" s="522">
        <f t="shared" ref="S48" si="19">S5+S6+S23+S35+S47</f>
        <v>135</v>
      </c>
      <c r="T48" s="521">
        <f t="shared" ref="T48" si="20">T5+T6+T23+T35+T47</f>
        <v>68</v>
      </c>
      <c r="U48" s="522">
        <f t="shared" ref="U48" si="21">U5+U6+U23+U35+U47</f>
        <v>7</v>
      </c>
      <c r="V48" s="713">
        <f t="shared" ref="V48" si="22">V5+V6+V23+V35+V47</f>
        <v>5</v>
      </c>
      <c r="W48" s="1014" t="s">
        <v>211</v>
      </c>
      <c r="X48" s="760"/>
      <c r="Y48" s="1"/>
      <c r="AB48" s="2">
        <f t="shared" si="4"/>
        <v>38</v>
      </c>
    </row>
    <row r="49" spans="1:28" ht="15" customHeight="1" x14ac:dyDescent="0.35">
      <c r="A49" s="108" t="str">
        <f t="shared" si="3"/>
        <v>X</v>
      </c>
      <c r="B49" s="1020" t="s">
        <v>84</v>
      </c>
      <c r="C49" s="1023" t="s">
        <v>76</v>
      </c>
      <c r="D49" s="1090">
        <v>10</v>
      </c>
      <c r="E49" s="167" t="s">
        <v>25</v>
      </c>
      <c r="F49" s="921" t="s">
        <v>60</v>
      </c>
      <c r="G49" s="162"/>
      <c r="H49" s="132"/>
      <c r="I49" s="128" t="str">
        <f t="shared" si="17"/>
        <v/>
      </c>
      <c r="J49" s="392"/>
      <c r="K49" s="128" t="str">
        <f t="shared" si="11"/>
        <v/>
      </c>
      <c r="L49" s="392"/>
      <c r="M49" s="128" t="str">
        <f t="shared" si="12"/>
        <v/>
      </c>
      <c r="N49" s="177"/>
      <c r="O49" s="182"/>
      <c r="P49" s="183"/>
      <c r="Q49" s="182"/>
      <c r="R49" s="183"/>
      <c r="S49" s="130"/>
      <c r="T49" s="127"/>
      <c r="U49" s="130"/>
      <c r="V49" s="152"/>
      <c r="W49" s="1014" t="s">
        <v>211</v>
      </c>
      <c r="AB49" s="2" t="str">
        <f t="shared" si="4"/>
        <v/>
      </c>
    </row>
    <row r="50" spans="1:28" ht="15" customHeight="1" x14ac:dyDescent="0.35">
      <c r="A50" s="108" t="str">
        <f t="shared" si="3"/>
        <v>X</v>
      </c>
      <c r="B50" s="1021"/>
      <c r="C50" s="1024"/>
      <c r="D50" s="1091"/>
      <c r="E50" s="168" t="s">
        <v>26</v>
      </c>
      <c r="F50" s="869" t="s">
        <v>60</v>
      </c>
      <c r="G50" s="164">
        <v>620</v>
      </c>
      <c r="H50" s="138">
        <v>331</v>
      </c>
      <c r="I50" s="134">
        <f t="shared" si="17"/>
        <v>0.43870967741935485</v>
      </c>
      <c r="J50" s="393">
        <v>272</v>
      </c>
      <c r="K50" s="134">
        <f t="shared" si="11"/>
        <v>0.36774193548387096</v>
      </c>
      <c r="L50" s="393">
        <v>228</v>
      </c>
      <c r="M50" s="134" t="str">
        <f t="shared" si="12"/>
        <v/>
      </c>
      <c r="N50" s="178"/>
      <c r="O50" s="184"/>
      <c r="P50" s="185"/>
      <c r="Q50" s="184"/>
      <c r="R50" s="185"/>
      <c r="S50" s="136"/>
      <c r="T50" s="133"/>
      <c r="U50" s="136"/>
      <c r="V50" s="140"/>
      <c r="W50" s="1014" t="s">
        <v>211</v>
      </c>
      <c r="AB50" s="2" t="str">
        <f t="shared" si="4"/>
        <v>France</v>
      </c>
    </row>
    <row r="51" spans="1:28" ht="15" customHeight="1" x14ac:dyDescent="0.35">
      <c r="A51" s="108" t="str">
        <f t="shared" si="3"/>
        <v>X</v>
      </c>
      <c r="B51" s="1021"/>
      <c r="C51" s="1024"/>
      <c r="D51" s="1091"/>
      <c r="E51" s="168" t="s">
        <v>58</v>
      </c>
      <c r="F51" s="869" t="s">
        <v>60</v>
      </c>
      <c r="G51" s="164">
        <v>325</v>
      </c>
      <c r="H51" s="138">
        <v>227</v>
      </c>
      <c r="I51" s="134">
        <f t="shared" si="17"/>
        <v>0.51692307692307693</v>
      </c>
      <c r="J51" s="393">
        <v>168</v>
      </c>
      <c r="K51" s="134">
        <f t="shared" si="11"/>
        <v>0.4</v>
      </c>
      <c r="L51" s="393">
        <v>130</v>
      </c>
      <c r="M51" s="134" t="str">
        <f t="shared" si="12"/>
        <v/>
      </c>
      <c r="N51" s="178"/>
      <c r="O51" s="184"/>
      <c r="P51" s="185"/>
      <c r="Q51" s="184"/>
      <c r="R51" s="185"/>
      <c r="S51" s="136" t="s">
        <v>21</v>
      </c>
      <c r="T51" s="133" t="s">
        <v>21</v>
      </c>
      <c r="U51" s="136" t="s">
        <v>21</v>
      </c>
      <c r="V51" s="140" t="s">
        <v>21</v>
      </c>
      <c r="W51" s="1014" t="s">
        <v>211</v>
      </c>
      <c r="AB51" s="2" t="str">
        <f t="shared" si="4"/>
        <v>France</v>
      </c>
    </row>
    <row r="52" spans="1:28" ht="15" customHeight="1" x14ac:dyDescent="0.35">
      <c r="A52" s="108" t="str">
        <f t="shared" si="3"/>
        <v>X</v>
      </c>
      <c r="B52" s="1021"/>
      <c r="C52" s="1024"/>
      <c r="D52" s="1091"/>
      <c r="E52" s="168" t="s">
        <v>24</v>
      </c>
      <c r="F52" s="869" t="s">
        <v>62</v>
      </c>
      <c r="G52" s="164">
        <v>180</v>
      </c>
      <c r="H52" s="138">
        <v>92</v>
      </c>
      <c r="I52" s="134">
        <f t="shared" si="17"/>
        <v>0.43888888888888888</v>
      </c>
      <c r="J52" s="393">
        <v>79</v>
      </c>
      <c r="K52" s="134">
        <f t="shared" si="11"/>
        <v>0.40555555555555556</v>
      </c>
      <c r="L52" s="393">
        <v>73</v>
      </c>
      <c r="M52" s="134" t="str">
        <f t="shared" si="12"/>
        <v/>
      </c>
      <c r="N52" s="178"/>
      <c r="O52" s="184"/>
      <c r="P52" s="185"/>
      <c r="Q52" s="184"/>
      <c r="R52" s="185"/>
      <c r="S52" s="136"/>
      <c r="T52" s="133"/>
      <c r="U52" s="136"/>
      <c r="V52" s="140"/>
      <c r="W52" s="1014" t="s">
        <v>211</v>
      </c>
      <c r="AB52" s="2" t="str">
        <f t="shared" si="4"/>
        <v>Frontière</v>
      </c>
    </row>
    <row r="53" spans="1:28" ht="15" customHeight="1" x14ac:dyDescent="0.35">
      <c r="A53" s="108" t="str">
        <f t="shared" si="3"/>
        <v>X</v>
      </c>
      <c r="B53" s="1021"/>
      <c r="C53" s="1024"/>
      <c r="D53" s="1091"/>
      <c r="E53" s="168" t="s">
        <v>23</v>
      </c>
      <c r="F53" s="869" t="s">
        <v>60</v>
      </c>
      <c r="G53" s="164">
        <v>366</v>
      </c>
      <c r="H53" s="138">
        <v>180</v>
      </c>
      <c r="I53" s="134">
        <f t="shared" si="17"/>
        <v>0.43169398907103823</v>
      </c>
      <c r="J53" s="393">
        <v>158</v>
      </c>
      <c r="K53" s="134">
        <f t="shared" si="11"/>
        <v>0.39071038251366119</v>
      </c>
      <c r="L53" s="393">
        <v>143</v>
      </c>
      <c r="M53" s="134" t="str">
        <f t="shared" si="12"/>
        <v/>
      </c>
      <c r="N53" s="178"/>
      <c r="O53" s="184"/>
      <c r="P53" s="185"/>
      <c r="Q53" s="184"/>
      <c r="R53" s="185"/>
      <c r="S53" s="136" t="s">
        <v>21</v>
      </c>
      <c r="T53" s="133" t="s">
        <v>21</v>
      </c>
      <c r="U53" s="136" t="s">
        <v>21</v>
      </c>
      <c r="V53" s="140" t="s">
        <v>21</v>
      </c>
      <c r="W53" s="1014" t="s">
        <v>211</v>
      </c>
      <c r="AB53" s="2" t="str">
        <f t="shared" si="4"/>
        <v>France</v>
      </c>
    </row>
    <row r="54" spans="1:28" ht="15" hidden="1" customHeight="1" x14ac:dyDescent="0.35">
      <c r="A54" s="108" t="str">
        <f t="shared" si="3"/>
        <v/>
      </c>
      <c r="B54" s="1021"/>
      <c r="C54" s="1024"/>
      <c r="D54" s="1091"/>
      <c r="E54" s="594"/>
      <c r="F54" s="869" t="s">
        <v>207</v>
      </c>
      <c r="G54" s="592"/>
      <c r="H54" s="593"/>
      <c r="I54" s="134" t="str">
        <f t="shared" si="17"/>
        <v/>
      </c>
      <c r="J54" s="591"/>
      <c r="K54" s="134" t="str">
        <f t="shared" si="11"/>
        <v/>
      </c>
      <c r="L54" s="591"/>
      <c r="M54" s="134" t="str">
        <f t="shared" si="12"/>
        <v/>
      </c>
      <c r="N54" s="580"/>
      <c r="O54" s="574"/>
      <c r="P54" s="575"/>
      <c r="Q54" s="574"/>
      <c r="R54" s="575"/>
      <c r="S54" s="576"/>
      <c r="T54" s="577"/>
      <c r="U54" s="576"/>
      <c r="V54" s="578"/>
      <c r="W54" s="1014" t="s">
        <v>211</v>
      </c>
      <c r="AB54" s="2" t="str">
        <f t="shared" si="4"/>
        <v/>
      </c>
    </row>
    <row r="55" spans="1:28" ht="15" hidden="1" customHeight="1" x14ac:dyDescent="0.35">
      <c r="A55" s="108" t="str">
        <f t="shared" si="3"/>
        <v/>
      </c>
      <c r="B55" s="1021"/>
      <c r="C55" s="1024"/>
      <c r="D55" s="1091"/>
      <c r="E55" s="594"/>
      <c r="F55" s="869" t="s">
        <v>207</v>
      </c>
      <c r="G55" s="592"/>
      <c r="H55" s="593"/>
      <c r="I55" s="134" t="str">
        <f t="shared" si="17"/>
        <v/>
      </c>
      <c r="J55" s="591"/>
      <c r="K55" s="134" t="str">
        <f t="shared" si="11"/>
        <v/>
      </c>
      <c r="L55" s="591"/>
      <c r="M55" s="134" t="str">
        <f t="shared" si="12"/>
        <v/>
      </c>
      <c r="N55" s="580"/>
      <c r="O55" s="574"/>
      <c r="P55" s="575"/>
      <c r="Q55" s="574"/>
      <c r="R55" s="575"/>
      <c r="S55" s="576"/>
      <c r="T55" s="577"/>
      <c r="U55" s="576"/>
      <c r="V55" s="578"/>
      <c r="W55" s="1014" t="s">
        <v>211</v>
      </c>
      <c r="AB55" s="2" t="str">
        <f t="shared" si="4"/>
        <v/>
      </c>
    </row>
    <row r="56" spans="1:28" ht="15" customHeight="1" x14ac:dyDescent="0.35">
      <c r="A56" s="108" t="str">
        <f t="shared" si="3"/>
        <v>X</v>
      </c>
      <c r="B56" s="1021"/>
      <c r="C56" s="1024"/>
      <c r="D56" s="1091"/>
      <c r="E56" s="169" t="s">
        <v>22</v>
      </c>
      <c r="F56" s="928" t="s">
        <v>62</v>
      </c>
      <c r="G56" s="166">
        <v>123</v>
      </c>
      <c r="H56" s="146">
        <v>90</v>
      </c>
      <c r="I56" s="142">
        <f t="shared" si="17"/>
        <v>0.32520325203252032</v>
      </c>
      <c r="J56" s="391">
        <v>40</v>
      </c>
      <c r="K56" s="142">
        <f t="shared" si="11"/>
        <v>0.34959349593495936</v>
      </c>
      <c r="L56" s="391">
        <v>43</v>
      </c>
      <c r="M56" s="142" t="str">
        <f t="shared" si="12"/>
        <v/>
      </c>
      <c r="N56" s="179"/>
      <c r="O56" s="186"/>
      <c r="P56" s="187"/>
      <c r="Q56" s="186"/>
      <c r="R56" s="187"/>
      <c r="S56" s="144"/>
      <c r="T56" s="141"/>
      <c r="U56" s="144"/>
      <c r="V56" s="175"/>
      <c r="W56" s="1014" t="s">
        <v>211</v>
      </c>
      <c r="AB56" s="2" t="str">
        <f t="shared" si="4"/>
        <v>Frontière</v>
      </c>
    </row>
    <row r="57" spans="1:28" ht="15.5" x14ac:dyDescent="0.35">
      <c r="A57" s="108" t="str">
        <f t="shared" si="3"/>
        <v>X</v>
      </c>
      <c r="B57" s="1022"/>
      <c r="C57" s="1025"/>
      <c r="D57" s="652" t="s">
        <v>138</v>
      </c>
      <c r="E57" s="58"/>
      <c r="F57" s="59"/>
      <c r="G57" s="25">
        <f>SUM(G49:G56)</f>
        <v>1614</v>
      </c>
      <c r="H57" s="26">
        <f>SUM(H49:H56)</f>
        <v>920</v>
      </c>
      <c r="I57" s="27">
        <f t="shared" si="17"/>
        <v>0.44423791821561337</v>
      </c>
      <c r="J57" s="369">
        <f>SUM(J49:J56)</f>
        <v>717</v>
      </c>
      <c r="K57" s="148">
        <f t="shared" si="11"/>
        <v>0.38228004956629491</v>
      </c>
      <c r="L57" s="369">
        <f>SUM(L49:L56)</f>
        <v>617</v>
      </c>
      <c r="M57" s="27">
        <f t="shared" si="12"/>
        <v>0</v>
      </c>
      <c r="N57" s="369">
        <f t="shared" ref="N57:V57" si="23">SUM(N49:N56)</f>
        <v>0</v>
      </c>
      <c r="O57" s="242">
        <f t="shared" si="23"/>
        <v>0</v>
      </c>
      <c r="P57" s="243">
        <f t="shared" si="23"/>
        <v>0</v>
      </c>
      <c r="Q57" s="242">
        <f t="shared" si="23"/>
        <v>0</v>
      </c>
      <c r="R57" s="243">
        <f t="shared" si="23"/>
        <v>0</v>
      </c>
      <c r="S57" s="242">
        <f t="shared" si="23"/>
        <v>0</v>
      </c>
      <c r="T57" s="243">
        <f t="shared" si="23"/>
        <v>0</v>
      </c>
      <c r="U57" s="242">
        <f t="shared" si="23"/>
        <v>0</v>
      </c>
      <c r="V57" s="244">
        <f t="shared" si="23"/>
        <v>0</v>
      </c>
      <c r="W57" s="372" t="s">
        <v>211</v>
      </c>
      <c r="AB57" s="2">
        <f t="shared" si="4"/>
        <v>0</v>
      </c>
    </row>
    <row r="58" spans="1:28" x14ac:dyDescent="0.35">
      <c r="A58" s="108" t="str">
        <f t="shared" si="3"/>
        <v>X</v>
      </c>
      <c r="B58" s="1021" t="s">
        <v>171</v>
      </c>
      <c r="C58" s="1024" t="s">
        <v>76</v>
      </c>
      <c r="D58" s="1092">
        <v>2</v>
      </c>
      <c r="E58" s="446" t="s">
        <v>175</v>
      </c>
      <c r="F58" s="447" t="s">
        <v>62</v>
      </c>
      <c r="G58" s="448">
        <v>20</v>
      </c>
      <c r="H58" s="449">
        <v>8</v>
      </c>
      <c r="I58" s="450">
        <f t="shared" si="17"/>
        <v>0.65</v>
      </c>
      <c r="J58" s="451">
        <v>13</v>
      </c>
      <c r="K58" s="450">
        <f t="shared" si="11"/>
        <v>0.25</v>
      </c>
      <c r="L58" s="451">
        <v>5</v>
      </c>
      <c r="M58" s="450">
        <f t="shared" si="12"/>
        <v>0.8</v>
      </c>
      <c r="N58" s="452">
        <v>4</v>
      </c>
      <c r="O58" s="440">
        <v>0</v>
      </c>
      <c r="P58" s="441">
        <v>0</v>
      </c>
      <c r="Q58" s="440">
        <v>5</v>
      </c>
      <c r="R58" s="441"/>
      <c r="S58" s="558">
        <v>18</v>
      </c>
      <c r="T58" s="559">
        <v>7</v>
      </c>
      <c r="U58" s="558">
        <v>2</v>
      </c>
      <c r="V58" s="560">
        <v>1</v>
      </c>
      <c r="W58" s="372" t="s">
        <v>211</v>
      </c>
      <c r="X58" s="1" t="s">
        <v>176</v>
      </c>
      <c r="AB58" s="2" t="str">
        <f t="shared" si="4"/>
        <v>Frontière</v>
      </c>
    </row>
    <row r="59" spans="1:28" x14ac:dyDescent="0.35">
      <c r="A59" s="108" t="str">
        <f t="shared" si="3"/>
        <v>X</v>
      </c>
      <c r="B59" s="1021"/>
      <c r="C59" s="1024"/>
      <c r="D59" s="1093"/>
      <c r="E59" s="453" t="s">
        <v>177</v>
      </c>
      <c r="F59" s="454" t="s">
        <v>62</v>
      </c>
      <c r="G59" s="455">
        <v>11</v>
      </c>
      <c r="H59" s="456">
        <v>4</v>
      </c>
      <c r="I59" s="457">
        <f t="shared" si="17"/>
        <v>0.54545454545454541</v>
      </c>
      <c r="J59" s="458">
        <v>6</v>
      </c>
      <c r="K59" s="457">
        <f t="shared" si="11"/>
        <v>0.18181818181818182</v>
      </c>
      <c r="L59" s="458">
        <v>2</v>
      </c>
      <c r="M59" s="457">
        <f t="shared" si="12"/>
        <v>0.5</v>
      </c>
      <c r="N59" s="459">
        <v>1</v>
      </c>
      <c r="O59" s="442">
        <v>0</v>
      </c>
      <c r="P59" s="443">
        <v>0</v>
      </c>
      <c r="Q59" s="442">
        <v>0</v>
      </c>
      <c r="R59" s="443">
        <v>0</v>
      </c>
      <c r="S59" s="561">
        <v>3</v>
      </c>
      <c r="T59" s="562">
        <v>1</v>
      </c>
      <c r="U59" s="561">
        <v>0</v>
      </c>
      <c r="V59" s="563">
        <v>0</v>
      </c>
      <c r="W59" s="372" t="s">
        <v>211</v>
      </c>
      <c r="X59" s="1" t="s">
        <v>178</v>
      </c>
      <c r="AB59" s="2" t="str">
        <f t="shared" si="4"/>
        <v>Frontière</v>
      </c>
    </row>
    <row r="60" spans="1:28" ht="15" customHeight="1" x14ac:dyDescent="0.35">
      <c r="A60" s="108" t="str">
        <f t="shared" si="3"/>
        <v>X</v>
      </c>
      <c r="B60" s="1021"/>
      <c r="C60" s="1024"/>
      <c r="D60" s="1093"/>
      <c r="E60" s="453" t="s">
        <v>170</v>
      </c>
      <c r="F60" s="454"/>
      <c r="G60" s="455"/>
      <c r="H60" s="456"/>
      <c r="I60" s="457" t="str">
        <f t="shared" si="17"/>
        <v/>
      </c>
      <c r="J60" s="458"/>
      <c r="K60" s="457" t="str">
        <f t="shared" si="11"/>
        <v/>
      </c>
      <c r="L60" s="458"/>
      <c r="M60" s="457" t="str">
        <f t="shared" si="12"/>
        <v/>
      </c>
      <c r="N60" s="459"/>
      <c r="O60" s="442"/>
      <c r="P60" s="443"/>
      <c r="Q60" s="442"/>
      <c r="R60" s="443"/>
      <c r="S60" s="561"/>
      <c r="T60" s="562"/>
      <c r="U60" s="561"/>
      <c r="V60" s="563"/>
      <c r="W60" s="372" t="s">
        <v>211</v>
      </c>
      <c r="AB60" s="2" t="str">
        <f t="shared" si="4"/>
        <v/>
      </c>
    </row>
    <row r="61" spans="1:28" ht="15" customHeight="1" x14ac:dyDescent="0.35">
      <c r="A61" s="108" t="str">
        <f t="shared" si="3"/>
        <v>X</v>
      </c>
      <c r="B61" s="1021"/>
      <c r="C61" s="1024"/>
      <c r="D61" s="1093"/>
      <c r="E61" s="453" t="s">
        <v>170</v>
      </c>
      <c r="F61" s="454"/>
      <c r="G61" s="455"/>
      <c r="H61" s="456"/>
      <c r="I61" s="457" t="str">
        <f t="shared" si="17"/>
        <v/>
      </c>
      <c r="J61" s="458"/>
      <c r="K61" s="457" t="str">
        <f t="shared" si="11"/>
        <v/>
      </c>
      <c r="L61" s="458"/>
      <c r="M61" s="457" t="str">
        <f t="shared" si="12"/>
        <v/>
      </c>
      <c r="N61" s="459"/>
      <c r="O61" s="442"/>
      <c r="P61" s="443"/>
      <c r="Q61" s="442"/>
      <c r="R61" s="443"/>
      <c r="S61" s="561"/>
      <c r="T61" s="562"/>
      <c r="U61" s="561"/>
      <c r="V61" s="563"/>
      <c r="W61" s="372" t="s">
        <v>211</v>
      </c>
      <c r="AB61" s="2" t="str">
        <f t="shared" si="4"/>
        <v/>
      </c>
    </row>
    <row r="62" spans="1:28" ht="15" customHeight="1" x14ac:dyDescent="0.35">
      <c r="A62" s="108" t="str">
        <f t="shared" si="3"/>
        <v>X</v>
      </c>
      <c r="B62" s="1021"/>
      <c r="C62" s="1024"/>
      <c r="D62" s="1094"/>
      <c r="E62" s="606" t="s">
        <v>170</v>
      </c>
      <c r="F62" s="454" t="s">
        <v>207</v>
      </c>
      <c r="G62" s="607"/>
      <c r="H62" s="608"/>
      <c r="I62" s="457" t="str">
        <f t="shared" si="17"/>
        <v/>
      </c>
      <c r="J62" s="458"/>
      <c r="K62" s="457" t="str">
        <f t="shared" si="11"/>
        <v/>
      </c>
      <c r="L62" s="458"/>
      <c r="M62" s="457" t="str">
        <f t="shared" si="12"/>
        <v/>
      </c>
      <c r="N62" s="459"/>
      <c r="O62" s="611"/>
      <c r="P62" s="612"/>
      <c r="Q62" s="611"/>
      <c r="R62" s="612"/>
      <c r="S62" s="613"/>
      <c r="T62" s="614"/>
      <c r="U62" s="613"/>
      <c r="V62" s="615"/>
      <c r="W62" s="372" t="s">
        <v>211</v>
      </c>
      <c r="AB62" s="2" t="str">
        <f t="shared" si="4"/>
        <v/>
      </c>
    </row>
    <row r="63" spans="1:28" ht="15" customHeight="1" x14ac:dyDescent="0.35">
      <c r="A63" s="108" t="str">
        <f t="shared" si="3"/>
        <v>X</v>
      </c>
      <c r="B63" s="1021"/>
      <c r="C63" s="1024"/>
      <c r="D63" s="1094"/>
      <c r="E63" s="606" t="s">
        <v>170</v>
      </c>
      <c r="F63" s="454" t="s">
        <v>207</v>
      </c>
      <c r="G63" s="607"/>
      <c r="H63" s="608"/>
      <c r="I63" s="457" t="str">
        <f t="shared" si="17"/>
        <v/>
      </c>
      <c r="J63" s="458"/>
      <c r="K63" s="457" t="str">
        <f t="shared" si="11"/>
        <v/>
      </c>
      <c r="L63" s="458"/>
      <c r="M63" s="457" t="str">
        <f t="shared" si="12"/>
        <v/>
      </c>
      <c r="N63" s="459"/>
      <c r="O63" s="611"/>
      <c r="P63" s="612"/>
      <c r="Q63" s="611"/>
      <c r="R63" s="612"/>
      <c r="S63" s="613"/>
      <c r="T63" s="614"/>
      <c r="U63" s="613"/>
      <c r="V63" s="615"/>
      <c r="W63" s="372" t="s">
        <v>211</v>
      </c>
      <c r="AB63" s="2" t="str">
        <f t="shared" si="4"/>
        <v/>
      </c>
    </row>
    <row r="64" spans="1:28" ht="15" customHeight="1" x14ac:dyDescent="0.35">
      <c r="A64" s="108" t="str">
        <f t="shared" si="3"/>
        <v>X</v>
      </c>
      <c r="B64" s="1021"/>
      <c r="C64" s="1024"/>
      <c r="D64" s="1095"/>
      <c r="E64" s="460" t="s">
        <v>170</v>
      </c>
      <c r="F64" s="461"/>
      <c r="G64" s="462"/>
      <c r="H64" s="463"/>
      <c r="I64" s="464" t="str">
        <f t="shared" si="17"/>
        <v/>
      </c>
      <c r="J64" s="465"/>
      <c r="K64" s="464" t="str">
        <f t="shared" si="11"/>
        <v/>
      </c>
      <c r="L64" s="465"/>
      <c r="M64" s="464" t="str">
        <f t="shared" si="12"/>
        <v/>
      </c>
      <c r="N64" s="466"/>
      <c r="O64" s="444"/>
      <c r="P64" s="445"/>
      <c r="Q64" s="444"/>
      <c r="R64" s="445"/>
      <c r="S64" s="564"/>
      <c r="T64" s="565"/>
      <c r="U64" s="564"/>
      <c r="V64" s="566"/>
      <c r="W64" s="372" t="s">
        <v>211</v>
      </c>
      <c r="AB64" s="2" t="str">
        <f t="shared" si="4"/>
        <v/>
      </c>
    </row>
    <row r="65" spans="1:28" ht="15.5" x14ac:dyDescent="0.35">
      <c r="A65" s="108" t="str">
        <f t="shared" si="3"/>
        <v>X</v>
      </c>
      <c r="B65" s="1022"/>
      <c r="C65" s="1025"/>
      <c r="D65" s="652" t="s">
        <v>138</v>
      </c>
      <c r="E65" s="364"/>
      <c r="F65" s="365"/>
      <c r="G65" s="25">
        <f>SUM(G58:G64)</f>
        <v>31</v>
      </c>
      <c r="H65" s="26">
        <f>SUM(H58:H64)</f>
        <v>12</v>
      </c>
      <c r="I65" s="27">
        <f t="shared" si="17"/>
        <v>0.61290322580645162</v>
      </c>
      <c r="J65" s="369">
        <f>SUM(J58:J64)</f>
        <v>19</v>
      </c>
      <c r="K65" s="148">
        <f t="shared" si="11"/>
        <v>0.22580645161290322</v>
      </c>
      <c r="L65" s="369">
        <f>SUM(L58:L64)</f>
        <v>7</v>
      </c>
      <c r="M65" s="27">
        <f t="shared" si="12"/>
        <v>0.7142857142857143</v>
      </c>
      <c r="N65" s="369">
        <f t="shared" ref="N65:V65" si="24">SUM(N58:N64)</f>
        <v>5</v>
      </c>
      <c r="O65" s="242">
        <f t="shared" si="24"/>
        <v>0</v>
      </c>
      <c r="P65" s="243">
        <f t="shared" si="24"/>
        <v>0</v>
      </c>
      <c r="Q65" s="242">
        <f t="shared" si="24"/>
        <v>5</v>
      </c>
      <c r="R65" s="243">
        <f t="shared" si="24"/>
        <v>0</v>
      </c>
      <c r="S65" s="242">
        <f t="shared" si="24"/>
        <v>21</v>
      </c>
      <c r="T65" s="243">
        <f t="shared" si="24"/>
        <v>8</v>
      </c>
      <c r="U65" s="242">
        <f t="shared" si="24"/>
        <v>2</v>
      </c>
      <c r="V65" s="244">
        <f t="shared" si="24"/>
        <v>1</v>
      </c>
      <c r="W65" s="372" t="s">
        <v>211</v>
      </c>
      <c r="AB65" s="2">
        <f t="shared" si="4"/>
        <v>0</v>
      </c>
    </row>
    <row r="66" spans="1:28" x14ac:dyDescent="0.35">
      <c r="A66" s="108" t="str">
        <f t="shared" si="3"/>
        <v>X</v>
      </c>
      <c r="B66" s="1021" t="s">
        <v>1</v>
      </c>
      <c r="C66" s="1024" t="s">
        <v>76</v>
      </c>
      <c r="D66" s="1092">
        <v>10</v>
      </c>
      <c r="E66" s="446" t="s">
        <v>27</v>
      </c>
      <c r="F66" s="447" t="s">
        <v>62</v>
      </c>
      <c r="G66" s="448">
        <v>35</v>
      </c>
      <c r="H66" s="449">
        <v>35</v>
      </c>
      <c r="I66" s="450">
        <f t="shared" si="17"/>
        <v>0.77142857142857146</v>
      </c>
      <c r="J66" s="451">
        <v>27</v>
      </c>
      <c r="K66" s="450">
        <f t="shared" si="11"/>
        <v>0.4</v>
      </c>
      <c r="L66" s="451">
        <v>14</v>
      </c>
      <c r="M66" s="450">
        <f t="shared" si="12"/>
        <v>0.7142857142857143</v>
      </c>
      <c r="N66" s="452">
        <v>10</v>
      </c>
      <c r="O66" s="440">
        <v>1</v>
      </c>
      <c r="P66" s="441">
        <v>1</v>
      </c>
      <c r="Q66" s="440"/>
      <c r="R66" s="441"/>
      <c r="S66" s="558">
        <v>34</v>
      </c>
      <c r="T66" s="559">
        <v>34</v>
      </c>
      <c r="U66" s="558">
        <v>1</v>
      </c>
      <c r="V66" s="560">
        <v>1</v>
      </c>
      <c r="W66" s="372" t="s">
        <v>211</v>
      </c>
      <c r="AB66" s="2" t="str">
        <f t="shared" si="4"/>
        <v>Frontière</v>
      </c>
    </row>
    <row r="67" spans="1:28" x14ac:dyDescent="0.35">
      <c r="A67" s="108" t="str">
        <f t="shared" si="3"/>
        <v>X</v>
      </c>
      <c r="B67" s="1021"/>
      <c r="C67" s="1024"/>
      <c r="D67" s="1093"/>
      <c r="E67" s="453" t="s">
        <v>28</v>
      </c>
      <c r="F67" s="454" t="s">
        <v>62</v>
      </c>
      <c r="G67" s="455">
        <v>93</v>
      </c>
      <c r="H67" s="456">
        <v>93</v>
      </c>
      <c r="I67" s="457">
        <f t="shared" si="17"/>
        <v>0.78494623655913975</v>
      </c>
      <c r="J67" s="458">
        <v>73</v>
      </c>
      <c r="K67" s="457">
        <f t="shared" si="11"/>
        <v>0.37634408602150538</v>
      </c>
      <c r="L67" s="458">
        <v>35</v>
      </c>
      <c r="M67" s="457">
        <f t="shared" si="12"/>
        <v>0.94285714285714284</v>
      </c>
      <c r="N67" s="459">
        <v>33</v>
      </c>
      <c r="O67" s="442">
        <v>5</v>
      </c>
      <c r="P67" s="443">
        <v>5</v>
      </c>
      <c r="Q67" s="442"/>
      <c r="R67" s="443"/>
      <c r="S67" s="561">
        <v>90</v>
      </c>
      <c r="T67" s="562">
        <v>90</v>
      </c>
      <c r="U67" s="561">
        <v>3</v>
      </c>
      <c r="V67" s="563">
        <v>3</v>
      </c>
      <c r="W67" s="372" t="s">
        <v>211</v>
      </c>
      <c r="AB67" s="2" t="str">
        <f t="shared" si="4"/>
        <v>Frontière</v>
      </c>
    </row>
    <row r="68" spans="1:28" x14ac:dyDescent="0.35">
      <c r="A68" s="108" t="str">
        <f t="shared" si="3"/>
        <v>X</v>
      </c>
      <c r="B68" s="1021"/>
      <c r="C68" s="1024"/>
      <c r="D68" s="1093"/>
      <c r="E68" s="453" t="s">
        <v>29</v>
      </c>
      <c r="F68" s="454" t="s">
        <v>62</v>
      </c>
      <c r="G68" s="455">
        <v>25</v>
      </c>
      <c r="H68" s="456">
        <v>25</v>
      </c>
      <c r="I68" s="457">
        <f t="shared" si="17"/>
        <v>0.76</v>
      </c>
      <c r="J68" s="458">
        <v>19</v>
      </c>
      <c r="K68" s="457">
        <f t="shared" si="11"/>
        <v>0.44</v>
      </c>
      <c r="L68" s="458">
        <v>11</v>
      </c>
      <c r="M68" s="457">
        <f t="shared" si="12"/>
        <v>0.81818181818181823</v>
      </c>
      <c r="N68" s="459">
        <v>9</v>
      </c>
      <c r="O68" s="442">
        <v>0</v>
      </c>
      <c r="P68" s="443">
        <v>0</v>
      </c>
      <c r="Q68" s="442"/>
      <c r="R68" s="443"/>
      <c r="S68" s="561">
        <v>25</v>
      </c>
      <c r="T68" s="562">
        <v>25</v>
      </c>
      <c r="U68" s="561">
        <v>0</v>
      </c>
      <c r="V68" s="563">
        <v>0</v>
      </c>
      <c r="W68" s="372" t="s">
        <v>211</v>
      </c>
      <c r="AB68" s="2" t="str">
        <f t="shared" si="4"/>
        <v>Frontière</v>
      </c>
    </row>
    <row r="69" spans="1:28" x14ac:dyDescent="0.35">
      <c r="A69" s="108" t="str">
        <f t="shared" si="3"/>
        <v>X</v>
      </c>
      <c r="B69" s="1021"/>
      <c r="C69" s="1024"/>
      <c r="D69" s="1093"/>
      <c r="E69" s="453" t="s">
        <v>30</v>
      </c>
      <c r="F69" s="454" t="s">
        <v>62</v>
      </c>
      <c r="G69" s="455">
        <v>37</v>
      </c>
      <c r="H69" s="456">
        <v>37</v>
      </c>
      <c r="I69" s="457">
        <f t="shared" si="17"/>
        <v>0.64864864864864868</v>
      </c>
      <c r="J69" s="458">
        <v>24</v>
      </c>
      <c r="K69" s="457">
        <f t="shared" si="11"/>
        <v>0.40540540540540543</v>
      </c>
      <c r="L69" s="458">
        <v>15</v>
      </c>
      <c r="M69" s="457">
        <f t="shared" si="12"/>
        <v>0.73333333333333328</v>
      </c>
      <c r="N69" s="459">
        <v>11</v>
      </c>
      <c r="O69" s="442">
        <v>4</v>
      </c>
      <c r="P69" s="443">
        <v>4</v>
      </c>
      <c r="Q69" s="442"/>
      <c r="R69" s="443"/>
      <c r="S69" s="561">
        <v>36</v>
      </c>
      <c r="T69" s="562">
        <v>36</v>
      </c>
      <c r="U69" s="561">
        <v>1</v>
      </c>
      <c r="V69" s="563">
        <v>1</v>
      </c>
      <c r="W69" s="372" t="s">
        <v>211</v>
      </c>
      <c r="AB69" s="2" t="str">
        <f t="shared" si="4"/>
        <v>Frontière</v>
      </c>
    </row>
    <row r="70" spans="1:28" ht="15" customHeight="1" x14ac:dyDescent="0.35">
      <c r="A70" s="108" t="str">
        <f t="shared" ref="A70:A124" si="25">IF(D70="Sous-total","X",IF(E70="","","X"))</f>
        <v>X</v>
      </c>
      <c r="B70" s="1021"/>
      <c r="C70" s="1024"/>
      <c r="D70" s="1094"/>
      <c r="E70" s="606" t="s">
        <v>179</v>
      </c>
      <c r="F70" s="454" t="s">
        <v>62</v>
      </c>
      <c r="G70" s="607">
        <v>11</v>
      </c>
      <c r="H70" s="608">
        <v>11</v>
      </c>
      <c r="I70" s="457">
        <f t="shared" si="17"/>
        <v>0.81818181818181823</v>
      </c>
      <c r="J70" s="609">
        <v>9</v>
      </c>
      <c r="K70" s="457">
        <f t="shared" si="11"/>
        <v>0.36363636363636365</v>
      </c>
      <c r="L70" s="609">
        <v>4</v>
      </c>
      <c r="M70" s="457">
        <f t="shared" si="12"/>
        <v>1</v>
      </c>
      <c r="N70" s="610">
        <v>4</v>
      </c>
      <c r="O70" s="611">
        <v>1</v>
      </c>
      <c r="P70" s="612">
        <v>1</v>
      </c>
      <c r="Q70" s="611"/>
      <c r="R70" s="612"/>
      <c r="S70" s="613">
        <v>11</v>
      </c>
      <c r="T70" s="614">
        <v>11</v>
      </c>
      <c r="U70" s="613">
        <v>0</v>
      </c>
      <c r="V70" s="615">
        <v>0</v>
      </c>
      <c r="W70" s="372" t="s">
        <v>211</v>
      </c>
      <c r="AB70" s="2" t="str">
        <f t="shared" ref="AB70:AB121" si="26">IF(G70&lt;&gt;"",$F70,"")</f>
        <v>Frontière</v>
      </c>
    </row>
    <row r="71" spans="1:28" ht="15" hidden="1" customHeight="1" x14ac:dyDescent="0.35">
      <c r="A71" s="108" t="str">
        <f t="shared" si="25"/>
        <v/>
      </c>
      <c r="B71" s="1021"/>
      <c r="C71" s="1024"/>
      <c r="D71" s="1094"/>
      <c r="E71" s="606"/>
      <c r="F71" s="454" t="s">
        <v>207</v>
      </c>
      <c r="G71" s="607"/>
      <c r="H71" s="608"/>
      <c r="I71" s="457" t="str">
        <f t="shared" si="17"/>
        <v/>
      </c>
      <c r="J71" s="609"/>
      <c r="K71" s="457" t="str">
        <f t="shared" si="11"/>
        <v/>
      </c>
      <c r="L71" s="609"/>
      <c r="M71" s="457" t="str">
        <f t="shared" si="12"/>
        <v/>
      </c>
      <c r="N71" s="610"/>
      <c r="O71" s="611"/>
      <c r="P71" s="612"/>
      <c r="Q71" s="611"/>
      <c r="R71" s="612"/>
      <c r="S71" s="613"/>
      <c r="T71" s="614"/>
      <c r="U71" s="613"/>
      <c r="V71" s="615"/>
      <c r="W71" s="372" t="s">
        <v>211</v>
      </c>
      <c r="AB71" s="2" t="str">
        <f t="shared" si="26"/>
        <v/>
      </c>
    </row>
    <row r="72" spans="1:28" x14ac:dyDescent="0.35">
      <c r="A72" s="108" t="str">
        <f t="shared" si="25"/>
        <v>X</v>
      </c>
      <c r="B72" s="1021"/>
      <c r="C72" s="1024"/>
      <c r="D72" s="1095"/>
      <c r="E72" s="460" t="s">
        <v>31</v>
      </c>
      <c r="F72" s="461" t="s">
        <v>62</v>
      </c>
      <c r="G72" s="462"/>
      <c r="H72" s="463"/>
      <c r="I72" s="464" t="str">
        <f t="shared" si="17"/>
        <v/>
      </c>
      <c r="J72" s="465"/>
      <c r="K72" s="464" t="str">
        <f t="shared" si="11"/>
        <v/>
      </c>
      <c r="L72" s="465"/>
      <c r="M72" s="464" t="str">
        <f t="shared" si="12"/>
        <v/>
      </c>
      <c r="N72" s="466"/>
      <c r="O72" s="444"/>
      <c r="P72" s="445"/>
      <c r="Q72" s="444"/>
      <c r="R72" s="445"/>
      <c r="S72" s="564"/>
      <c r="T72" s="565"/>
      <c r="U72" s="564"/>
      <c r="V72" s="566"/>
      <c r="W72" s="372" t="s">
        <v>211</v>
      </c>
      <c r="X72" s="956" t="s">
        <v>203</v>
      </c>
      <c r="AB72" s="2" t="str">
        <f t="shared" si="26"/>
        <v/>
      </c>
    </row>
    <row r="73" spans="1:28" ht="15.5" x14ac:dyDescent="0.35">
      <c r="A73" s="108" t="str">
        <f t="shared" si="25"/>
        <v>X</v>
      </c>
      <c r="B73" s="1022"/>
      <c r="C73" s="1025"/>
      <c r="D73" s="652" t="s">
        <v>138</v>
      </c>
      <c r="E73" s="364"/>
      <c r="F73" s="365"/>
      <c r="G73" s="25">
        <f>SUM(G66:G72)</f>
        <v>201</v>
      </c>
      <c r="H73" s="26">
        <f>SUM(H66:H72)</f>
        <v>201</v>
      </c>
      <c r="I73" s="27">
        <f t="shared" si="17"/>
        <v>0.75621890547263682</v>
      </c>
      <c r="J73" s="369">
        <f>SUM(J66:J72)</f>
        <v>152</v>
      </c>
      <c r="K73" s="148">
        <f t="shared" si="11"/>
        <v>0.39303482587064675</v>
      </c>
      <c r="L73" s="369">
        <f>SUM(L66:L72)</f>
        <v>79</v>
      </c>
      <c r="M73" s="27">
        <f t="shared" si="12"/>
        <v>0.84810126582278478</v>
      </c>
      <c r="N73" s="369">
        <f t="shared" ref="N73:V73" si="27">SUM(N66:N72)</f>
        <v>67</v>
      </c>
      <c r="O73" s="242">
        <f t="shared" si="27"/>
        <v>11</v>
      </c>
      <c r="P73" s="243">
        <f t="shared" si="27"/>
        <v>11</v>
      </c>
      <c r="Q73" s="242">
        <f t="shared" si="27"/>
        <v>0</v>
      </c>
      <c r="R73" s="243">
        <f t="shared" si="27"/>
        <v>0</v>
      </c>
      <c r="S73" s="242">
        <f t="shared" si="27"/>
        <v>196</v>
      </c>
      <c r="T73" s="243">
        <f t="shared" si="27"/>
        <v>196</v>
      </c>
      <c r="U73" s="242">
        <f t="shared" si="27"/>
        <v>5</v>
      </c>
      <c r="V73" s="244">
        <f t="shared" si="27"/>
        <v>5</v>
      </c>
      <c r="W73" s="372" t="s">
        <v>211</v>
      </c>
      <c r="AB73" s="2">
        <f t="shared" si="26"/>
        <v>0</v>
      </c>
    </row>
    <row r="74" spans="1:28" ht="15" customHeight="1" x14ac:dyDescent="0.35">
      <c r="A74" s="108" t="str">
        <f t="shared" si="25"/>
        <v>X</v>
      </c>
      <c r="B74" s="1029" t="s">
        <v>45</v>
      </c>
      <c r="C74" s="1026" t="s">
        <v>76</v>
      </c>
      <c r="D74" s="1084">
        <v>12</v>
      </c>
      <c r="E74" s="167" t="s">
        <v>32</v>
      </c>
      <c r="F74" s="841" t="s">
        <v>62</v>
      </c>
      <c r="G74" s="448">
        <f>26+35+18+13+1+1</f>
        <v>94</v>
      </c>
      <c r="H74" s="449">
        <f>24+31+16+9+1+1</f>
        <v>82</v>
      </c>
      <c r="I74" s="128">
        <f t="shared" si="17"/>
        <v>0.47872340425531917</v>
      </c>
      <c r="J74" s="392">
        <f>26+18+1</f>
        <v>45</v>
      </c>
      <c r="K74" s="128">
        <f t="shared" si="11"/>
        <v>0.34042553191489361</v>
      </c>
      <c r="L74" s="392">
        <f>18+13+1</f>
        <v>32</v>
      </c>
      <c r="M74" s="128">
        <f t="shared" si="12"/>
        <v>0.59375</v>
      </c>
      <c r="N74" s="177">
        <f>18+1</f>
        <v>19</v>
      </c>
      <c r="O74" s="182">
        <f>7+2</f>
        <v>9</v>
      </c>
      <c r="P74" s="183">
        <f>6+1</f>
        <v>7</v>
      </c>
      <c r="Q74" s="182"/>
      <c r="R74" s="183"/>
      <c r="S74" s="549">
        <f>26+35+18+13</f>
        <v>92</v>
      </c>
      <c r="T74" s="550">
        <f>24+31+16+9</f>
        <v>80</v>
      </c>
      <c r="U74" s="549">
        <f>1+1</f>
        <v>2</v>
      </c>
      <c r="V74" s="551">
        <f>1+1</f>
        <v>2</v>
      </c>
      <c r="W74" s="372" t="s">
        <v>211</v>
      </c>
      <c r="AB74" s="2" t="str">
        <f t="shared" si="26"/>
        <v>Frontière</v>
      </c>
    </row>
    <row r="75" spans="1:28" ht="15" customHeight="1" x14ac:dyDescent="0.35">
      <c r="A75" s="108" t="str">
        <f t="shared" si="25"/>
        <v>X</v>
      </c>
      <c r="B75" s="1021"/>
      <c r="C75" s="1027"/>
      <c r="D75" s="1085"/>
      <c r="E75" s="168" t="s">
        <v>33</v>
      </c>
      <c r="F75" s="849" t="s">
        <v>62</v>
      </c>
      <c r="G75" s="455">
        <f>41+27+20+12</f>
        <v>100</v>
      </c>
      <c r="H75" s="456">
        <f>28+16+14+12</f>
        <v>70</v>
      </c>
      <c r="I75" s="134">
        <f t="shared" si="17"/>
        <v>0.61</v>
      </c>
      <c r="J75" s="393">
        <f>41+20</f>
        <v>61</v>
      </c>
      <c r="K75" s="134">
        <f t="shared" si="11"/>
        <v>0.32</v>
      </c>
      <c r="L75" s="393">
        <f>20+12</f>
        <v>32</v>
      </c>
      <c r="M75" s="134">
        <v>0.2</v>
      </c>
      <c r="N75" s="178">
        <v>20</v>
      </c>
      <c r="O75" s="184">
        <f>2+2</f>
        <v>4</v>
      </c>
      <c r="P75" s="185">
        <f>2+2</f>
        <v>4</v>
      </c>
      <c r="Q75" s="184"/>
      <c r="R75" s="185"/>
      <c r="S75" s="552">
        <f>41+27+20+12</f>
        <v>100</v>
      </c>
      <c r="T75" s="553">
        <f>28+16+14+12</f>
        <v>70</v>
      </c>
      <c r="U75" s="552">
        <v>0</v>
      </c>
      <c r="V75" s="554">
        <v>0</v>
      </c>
      <c r="W75" s="372" t="s">
        <v>211</v>
      </c>
      <c r="AB75" s="2" t="str">
        <f t="shared" si="26"/>
        <v>Frontière</v>
      </c>
    </row>
    <row r="76" spans="1:28" ht="15" customHeight="1" x14ac:dyDescent="0.35">
      <c r="A76" s="108" t="str">
        <f t="shared" si="25"/>
        <v>X</v>
      </c>
      <c r="B76" s="1021"/>
      <c r="C76" s="1027"/>
      <c r="D76" s="1085"/>
      <c r="E76" s="168" t="s">
        <v>47</v>
      </c>
      <c r="F76" s="849" t="s">
        <v>62</v>
      </c>
      <c r="G76" s="455">
        <f>11+10+4+2+2+2+1</f>
        <v>32</v>
      </c>
      <c r="H76" s="456">
        <f>10+9+3+2+2+2</f>
        <v>28</v>
      </c>
      <c r="I76" s="134">
        <f t="shared" si="17"/>
        <v>0.59375</v>
      </c>
      <c r="J76" s="393">
        <f>11+4+2+2</f>
        <v>19</v>
      </c>
      <c r="K76" s="134">
        <f t="shared" si="11"/>
        <v>0.28125</v>
      </c>
      <c r="L76" s="393">
        <f>4+2+2+1</f>
        <v>9</v>
      </c>
      <c r="M76" s="134">
        <f t="shared" si="12"/>
        <v>0.66666666666666663</v>
      </c>
      <c r="N76" s="178">
        <f>4+2</f>
        <v>6</v>
      </c>
      <c r="O76" s="184">
        <f>2+1+1</f>
        <v>4</v>
      </c>
      <c r="P76" s="185">
        <f>2+1</f>
        <v>3</v>
      </c>
      <c r="Q76" s="184"/>
      <c r="R76" s="185"/>
      <c r="S76" s="552">
        <f>11+10+4+2</f>
        <v>27</v>
      </c>
      <c r="T76" s="553">
        <f>10+9+3+2</f>
        <v>24</v>
      </c>
      <c r="U76" s="552">
        <f>2+2+1</f>
        <v>5</v>
      </c>
      <c r="V76" s="554">
        <f>2+2+1</f>
        <v>5</v>
      </c>
      <c r="W76" s="372" t="s">
        <v>211</v>
      </c>
      <c r="AB76" s="2" t="str">
        <f t="shared" si="26"/>
        <v>Frontière</v>
      </c>
    </row>
    <row r="77" spans="1:28" ht="15" customHeight="1" x14ac:dyDescent="0.35">
      <c r="A77" s="108" t="str">
        <f t="shared" si="25"/>
        <v>X</v>
      </c>
      <c r="B77" s="1021"/>
      <c r="C77" s="1027"/>
      <c r="D77" s="1085"/>
      <c r="E77" s="168" t="s">
        <v>46</v>
      </c>
      <c r="F77" s="849" t="s">
        <v>62</v>
      </c>
      <c r="G77" s="455">
        <f>9+8+15+4+5+1</f>
        <v>42</v>
      </c>
      <c r="H77" s="456">
        <f>5+2+7+2</f>
        <v>16</v>
      </c>
      <c r="I77" s="134">
        <f t="shared" si="17"/>
        <v>0.69047619047619047</v>
      </c>
      <c r="J77" s="393">
        <f>9+15+5</f>
        <v>29</v>
      </c>
      <c r="K77" s="134">
        <f t="shared" si="11"/>
        <v>0.47619047619047616</v>
      </c>
      <c r="L77" s="393">
        <f>15+4+1</f>
        <v>20</v>
      </c>
      <c r="M77" s="134">
        <f t="shared" si="12"/>
        <v>0.75</v>
      </c>
      <c r="N77" s="178">
        <v>15</v>
      </c>
      <c r="O77" s="184">
        <v>1</v>
      </c>
      <c r="P77" s="185">
        <v>0</v>
      </c>
      <c r="Q77" s="184"/>
      <c r="R77" s="185"/>
      <c r="S77" s="552">
        <f>9+8+15+4</f>
        <v>36</v>
      </c>
      <c r="T77" s="553">
        <f>5+2+7+2</f>
        <v>16</v>
      </c>
      <c r="U77" s="552">
        <f>5+1</f>
        <v>6</v>
      </c>
      <c r="V77" s="554">
        <v>0</v>
      </c>
      <c r="W77" s="372" t="s">
        <v>211</v>
      </c>
      <c r="AB77" s="2" t="str">
        <f t="shared" si="26"/>
        <v>Frontière</v>
      </c>
    </row>
    <row r="78" spans="1:28" ht="15" customHeight="1" x14ac:dyDescent="0.35">
      <c r="A78" s="108" t="str">
        <f t="shared" si="25"/>
        <v>X</v>
      </c>
      <c r="B78" s="1021"/>
      <c r="C78" s="1027"/>
      <c r="D78" s="1085"/>
      <c r="E78" s="1015" t="s">
        <v>35</v>
      </c>
      <c r="F78" s="1016" t="s">
        <v>62</v>
      </c>
      <c r="G78" s="455"/>
      <c r="H78" s="456"/>
      <c r="I78" s="134" t="str">
        <f t="shared" si="17"/>
        <v/>
      </c>
      <c r="J78" s="393"/>
      <c r="K78" s="134" t="str">
        <f t="shared" si="11"/>
        <v/>
      </c>
      <c r="L78" s="393"/>
      <c r="M78" s="134" t="str">
        <f t="shared" si="12"/>
        <v/>
      </c>
      <c r="N78" s="178"/>
      <c r="O78" s="184"/>
      <c r="P78" s="185"/>
      <c r="Q78" s="184"/>
      <c r="R78" s="185"/>
      <c r="S78" s="552"/>
      <c r="T78" s="553"/>
      <c r="U78" s="552"/>
      <c r="V78" s="554"/>
      <c r="W78" s="372"/>
      <c r="X78" s="1" t="s">
        <v>212</v>
      </c>
      <c r="AB78" s="2" t="str">
        <f t="shared" si="26"/>
        <v/>
      </c>
    </row>
    <row r="79" spans="1:28" ht="15" customHeight="1" x14ac:dyDescent="0.35">
      <c r="A79" s="108" t="str">
        <f t="shared" si="25"/>
        <v>X</v>
      </c>
      <c r="B79" s="1021"/>
      <c r="C79" s="1027"/>
      <c r="D79" s="1085"/>
      <c r="E79" s="168" t="s">
        <v>34</v>
      </c>
      <c r="F79" s="849" t="s">
        <v>62</v>
      </c>
      <c r="G79" s="455">
        <f>4+10+1+1+1</f>
        <v>17</v>
      </c>
      <c r="H79" s="456">
        <f>4+7+1+1+1</f>
        <v>14</v>
      </c>
      <c r="I79" s="134">
        <f t="shared" si="17"/>
        <v>0.29411764705882354</v>
      </c>
      <c r="J79" s="393">
        <f>4+1</f>
        <v>5</v>
      </c>
      <c r="K79" s="134">
        <f t="shared" si="11"/>
        <v>0.11764705882352941</v>
      </c>
      <c r="L79" s="393">
        <f>1+1</f>
        <v>2</v>
      </c>
      <c r="M79" s="134">
        <f t="shared" si="12"/>
        <v>0.5</v>
      </c>
      <c r="N79" s="178">
        <v>1</v>
      </c>
      <c r="O79" s="184">
        <v>0</v>
      </c>
      <c r="P79" s="185">
        <v>0</v>
      </c>
      <c r="Q79" s="184"/>
      <c r="R79" s="185"/>
      <c r="S79" s="552">
        <f>4+10+1+1</f>
        <v>16</v>
      </c>
      <c r="T79" s="553">
        <f>4+7+1+1</f>
        <v>13</v>
      </c>
      <c r="U79" s="552">
        <v>1</v>
      </c>
      <c r="V79" s="554">
        <v>1</v>
      </c>
      <c r="W79" s="372" t="s">
        <v>211</v>
      </c>
      <c r="AB79" s="2" t="str">
        <f t="shared" si="26"/>
        <v>Frontière</v>
      </c>
    </row>
    <row r="80" spans="1:28" ht="15.75" customHeight="1" x14ac:dyDescent="0.35">
      <c r="A80" s="108" t="str">
        <f t="shared" si="25"/>
        <v>X</v>
      </c>
      <c r="B80" s="1021"/>
      <c r="C80" s="1027"/>
      <c r="D80" s="1085"/>
      <c r="E80" s="168" t="s">
        <v>147</v>
      </c>
      <c r="F80" s="849" t="s">
        <v>62</v>
      </c>
      <c r="G80" s="455">
        <f>3+2+7</f>
        <v>12</v>
      </c>
      <c r="H80" s="456">
        <f>3+2+7</f>
        <v>12</v>
      </c>
      <c r="I80" s="134">
        <f t="shared" si="17"/>
        <v>0.83333333333333337</v>
      </c>
      <c r="J80" s="393">
        <f>3+7</f>
        <v>10</v>
      </c>
      <c r="K80" s="134">
        <f t="shared" si="11"/>
        <v>0.58333333333333337</v>
      </c>
      <c r="L80" s="393">
        <v>7</v>
      </c>
      <c r="M80" s="134">
        <f t="shared" si="12"/>
        <v>1</v>
      </c>
      <c r="N80" s="178">
        <v>7</v>
      </c>
      <c r="O80" s="184">
        <v>0</v>
      </c>
      <c r="P80" s="185">
        <v>0</v>
      </c>
      <c r="Q80" s="184"/>
      <c r="R80" s="185"/>
      <c r="S80" s="552">
        <f>3+2+7</f>
        <v>12</v>
      </c>
      <c r="T80" s="553">
        <f>3+2+7</f>
        <v>12</v>
      </c>
      <c r="U80" s="552">
        <v>0</v>
      </c>
      <c r="V80" s="554">
        <v>0</v>
      </c>
      <c r="W80" s="372"/>
      <c r="X80" s="1" t="s">
        <v>213</v>
      </c>
      <c r="AB80" s="2" t="str">
        <f t="shared" si="26"/>
        <v>Frontière</v>
      </c>
    </row>
    <row r="81" spans="1:28" ht="15.75" hidden="1" customHeight="1" x14ac:dyDescent="0.35">
      <c r="A81" s="108" t="str">
        <f t="shared" si="25"/>
        <v/>
      </c>
      <c r="B81" s="1021"/>
      <c r="C81" s="1027"/>
      <c r="D81" s="1085"/>
      <c r="E81" s="594"/>
      <c r="F81" s="849" t="s">
        <v>62</v>
      </c>
      <c r="G81" s="592"/>
      <c r="H81" s="593"/>
      <c r="I81" s="134" t="str">
        <f t="shared" si="17"/>
        <v/>
      </c>
      <c r="J81" s="591"/>
      <c r="K81" s="134" t="str">
        <f t="shared" si="11"/>
        <v/>
      </c>
      <c r="L81" s="591"/>
      <c r="M81" s="134" t="str">
        <f t="shared" si="12"/>
        <v/>
      </c>
      <c r="N81" s="580"/>
      <c r="O81" s="574"/>
      <c r="P81" s="575"/>
      <c r="Q81" s="574"/>
      <c r="R81" s="575"/>
      <c r="S81" s="603"/>
      <c r="T81" s="604"/>
      <c r="U81" s="603"/>
      <c r="V81" s="605"/>
      <c r="W81" s="372" t="s">
        <v>211</v>
      </c>
      <c r="AB81" s="2" t="str">
        <f t="shared" si="26"/>
        <v/>
      </c>
    </row>
    <row r="82" spans="1:28" ht="15.75" hidden="1" customHeight="1" x14ac:dyDescent="0.35">
      <c r="A82" s="108" t="str">
        <f t="shared" si="25"/>
        <v/>
      </c>
      <c r="B82" s="1021"/>
      <c r="C82" s="1027"/>
      <c r="D82" s="1085"/>
      <c r="E82" s="594"/>
      <c r="F82" s="849" t="s">
        <v>62</v>
      </c>
      <c r="G82" s="592"/>
      <c r="H82" s="593"/>
      <c r="I82" s="134" t="str">
        <f t="shared" si="17"/>
        <v/>
      </c>
      <c r="J82" s="591"/>
      <c r="K82" s="134" t="str">
        <f t="shared" si="11"/>
        <v/>
      </c>
      <c r="L82" s="591"/>
      <c r="M82" s="134" t="str">
        <f t="shared" si="12"/>
        <v/>
      </c>
      <c r="N82" s="580"/>
      <c r="O82" s="574"/>
      <c r="P82" s="575"/>
      <c r="Q82" s="574"/>
      <c r="R82" s="575"/>
      <c r="S82" s="603"/>
      <c r="T82" s="604"/>
      <c r="U82" s="603"/>
      <c r="V82" s="605"/>
      <c r="W82" s="372" t="s">
        <v>211</v>
      </c>
      <c r="AB82" s="2" t="str">
        <f t="shared" si="26"/>
        <v/>
      </c>
    </row>
    <row r="83" spans="1:28" ht="15.75" customHeight="1" x14ac:dyDescent="0.35">
      <c r="A83" s="108" t="str">
        <f t="shared" si="25"/>
        <v>X</v>
      </c>
      <c r="B83" s="1021"/>
      <c r="C83" s="1027"/>
      <c r="D83" s="1086"/>
      <c r="E83" s="169" t="s">
        <v>146</v>
      </c>
      <c r="F83" s="461" t="s">
        <v>62</v>
      </c>
      <c r="G83" s="462">
        <f>3+1+1</f>
        <v>5</v>
      </c>
      <c r="H83" s="463">
        <f>3+1+1</f>
        <v>5</v>
      </c>
      <c r="I83" s="142">
        <f t="shared" si="17"/>
        <v>0.4</v>
      </c>
      <c r="J83" s="391">
        <f>1+1</f>
        <v>2</v>
      </c>
      <c r="K83" s="142">
        <f t="shared" si="11"/>
        <v>0.2</v>
      </c>
      <c r="L83" s="391">
        <v>1</v>
      </c>
      <c r="M83" s="142">
        <f t="shared" si="12"/>
        <v>1</v>
      </c>
      <c r="N83" s="179">
        <v>1</v>
      </c>
      <c r="O83" s="186">
        <v>1</v>
      </c>
      <c r="P83" s="187">
        <v>1</v>
      </c>
      <c r="Q83" s="186"/>
      <c r="R83" s="187"/>
      <c r="S83" s="555">
        <f>3+1+1</f>
        <v>5</v>
      </c>
      <c r="T83" s="556">
        <f>3+1+1</f>
        <v>5</v>
      </c>
      <c r="U83" s="555">
        <v>0</v>
      </c>
      <c r="V83" s="557">
        <v>0</v>
      </c>
      <c r="W83" s="372" t="s">
        <v>211</v>
      </c>
      <c r="AB83" s="2" t="str">
        <f t="shared" si="26"/>
        <v>Frontière</v>
      </c>
    </row>
    <row r="84" spans="1:28" ht="15.5" x14ac:dyDescent="0.35">
      <c r="A84" s="108" t="str">
        <f t="shared" si="25"/>
        <v>X</v>
      </c>
      <c r="B84" s="1022"/>
      <c r="C84" s="1028"/>
      <c r="D84" s="652" t="s">
        <v>138</v>
      </c>
      <c r="E84" s="366"/>
      <c r="F84" s="365"/>
      <c r="G84" s="25">
        <f>SUM(G74:G83)</f>
        <v>302</v>
      </c>
      <c r="H84" s="26">
        <f>SUM(H74:H83)</f>
        <v>227</v>
      </c>
      <c r="I84" s="27">
        <f t="shared" si="17"/>
        <v>0.56622516556291391</v>
      </c>
      <c r="J84" s="369">
        <f>SUM(J74:J83)</f>
        <v>171</v>
      </c>
      <c r="K84" s="148">
        <f t="shared" si="11"/>
        <v>0.34105960264900664</v>
      </c>
      <c r="L84" s="369">
        <f>SUM(L74:L83)</f>
        <v>103</v>
      </c>
      <c r="M84" s="27">
        <f t="shared" si="12"/>
        <v>0.66990291262135926</v>
      </c>
      <c r="N84" s="369">
        <f>SUM(N74:N83)</f>
        <v>69</v>
      </c>
      <c r="O84" s="242">
        <f>SUM(O74:O83)</f>
        <v>19</v>
      </c>
      <c r="P84" s="243">
        <f t="shared" ref="P84" si="28">SUM(P74:P83)</f>
        <v>15</v>
      </c>
      <c r="Q84" s="242">
        <f>SUM(Q74:Q83)</f>
        <v>0</v>
      </c>
      <c r="R84" s="243">
        <f t="shared" ref="R84:V84" si="29">SUM(R74:R83)</f>
        <v>0</v>
      </c>
      <c r="S84" s="242">
        <f>SUM(S74:S83)</f>
        <v>288</v>
      </c>
      <c r="T84" s="243">
        <f t="shared" si="29"/>
        <v>220</v>
      </c>
      <c r="U84" s="242">
        <f t="shared" si="29"/>
        <v>14</v>
      </c>
      <c r="V84" s="244">
        <f t="shared" si="29"/>
        <v>8</v>
      </c>
      <c r="W84" s="372"/>
      <c r="AB84" s="2">
        <f t="shared" si="26"/>
        <v>0</v>
      </c>
    </row>
    <row r="85" spans="1:28" x14ac:dyDescent="0.35">
      <c r="A85" s="108" t="str">
        <f t="shared" si="25"/>
        <v>X</v>
      </c>
      <c r="B85" s="1033" t="s">
        <v>151</v>
      </c>
      <c r="C85" s="1036" t="s">
        <v>76</v>
      </c>
      <c r="D85" s="1098"/>
      <c r="E85" s="167" t="s">
        <v>154</v>
      </c>
      <c r="F85" s="841" t="s">
        <v>62</v>
      </c>
      <c r="G85" s="501"/>
      <c r="H85" s="502"/>
      <c r="I85" s="9" t="str">
        <f t="shared" si="17"/>
        <v/>
      </c>
      <c r="J85" s="392"/>
      <c r="K85" s="128" t="str">
        <f t="shared" si="11"/>
        <v/>
      </c>
      <c r="L85" s="392"/>
      <c r="M85" s="9" t="str">
        <f t="shared" si="12"/>
        <v/>
      </c>
      <c r="N85" s="177"/>
      <c r="O85" s="182"/>
      <c r="P85" s="183"/>
      <c r="Q85" s="182"/>
      <c r="R85" s="183"/>
      <c r="S85" s="549"/>
      <c r="T85" s="550"/>
      <c r="U85" s="549"/>
      <c r="V85" s="551"/>
      <c r="W85" s="498"/>
      <c r="AB85" s="2" t="str">
        <f t="shared" si="26"/>
        <v/>
      </c>
    </row>
    <row r="86" spans="1:28" ht="15.75" customHeight="1" x14ac:dyDescent="0.35">
      <c r="A86" s="108" t="str">
        <f t="shared" si="25"/>
        <v>X</v>
      </c>
      <c r="B86" s="1034"/>
      <c r="C86" s="1037"/>
      <c r="D86" s="1099"/>
      <c r="E86" s="168" t="s">
        <v>155</v>
      </c>
      <c r="F86" s="849" t="s">
        <v>62</v>
      </c>
      <c r="G86" s="503"/>
      <c r="H86" s="504"/>
      <c r="I86" s="15" t="str">
        <f t="shared" si="17"/>
        <v/>
      </c>
      <c r="J86" s="393"/>
      <c r="K86" s="134" t="str">
        <f t="shared" si="11"/>
        <v/>
      </c>
      <c r="L86" s="393"/>
      <c r="M86" s="15" t="str">
        <f t="shared" si="12"/>
        <v/>
      </c>
      <c r="N86" s="178"/>
      <c r="O86" s="184"/>
      <c r="P86" s="185"/>
      <c r="Q86" s="184"/>
      <c r="R86" s="185"/>
      <c r="S86" s="552"/>
      <c r="T86" s="553"/>
      <c r="U86" s="552"/>
      <c r="V86" s="554"/>
      <c r="W86" s="499"/>
      <c r="AB86" s="2" t="str">
        <f t="shared" si="26"/>
        <v/>
      </c>
    </row>
    <row r="87" spans="1:28" ht="15.75" customHeight="1" x14ac:dyDescent="0.35">
      <c r="A87" s="108" t="str">
        <f t="shared" si="25"/>
        <v>X</v>
      </c>
      <c r="B87" s="1034"/>
      <c r="C87" s="1037"/>
      <c r="D87" s="1099"/>
      <c r="E87" s="168" t="s">
        <v>156</v>
      </c>
      <c r="F87" s="849" t="s">
        <v>62</v>
      </c>
      <c r="G87" s="503"/>
      <c r="H87" s="504"/>
      <c r="I87" s="15" t="str">
        <f t="shared" si="17"/>
        <v/>
      </c>
      <c r="J87" s="393"/>
      <c r="K87" s="134" t="str">
        <f t="shared" si="11"/>
        <v/>
      </c>
      <c r="L87" s="393"/>
      <c r="M87" s="15" t="str">
        <f t="shared" si="12"/>
        <v/>
      </c>
      <c r="N87" s="178"/>
      <c r="O87" s="184"/>
      <c r="P87" s="185"/>
      <c r="Q87" s="184"/>
      <c r="R87" s="185"/>
      <c r="S87" s="552"/>
      <c r="T87" s="553"/>
      <c r="U87" s="552"/>
      <c r="V87" s="554"/>
      <c r="W87" s="499"/>
      <c r="AB87" s="2" t="str">
        <f t="shared" si="26"/>
        <v/>
      </c>
    </row>
    <row r="88" spans="1:28" ht="15" customHeight="1" x14ac:dyDescent="0.35">
      <c r="A88" s="108" t="str">
        <f t="shared" si="25"/>
        <v>X</v>
      </c>
      <c r="B88" s="1034"/>
      <c r="C88" s="1037"/>
      <c r="D88" s="1099"/>
      <c r="E88" s="168" t="s">
        <v>37</v>
      </c>
      <c r="F88" s="869" t="s">
        <v>62</v>
      </c>
      <c r="G88" s="164"/>
      <c r="H88" s="138"/>
      <c r="I88" s="134" t="str">
        <f t="shared" si="17"/>
        <v/>
      </c>
      <c r="J88" s="393"/>
      <c r="K88" s="134" t="str">
        <f t="shared" si="11"/>
        <v/>
      </c>
      <c r="L88" s="393"/>
      <c r="M88" s="134" t="str">
        <f t="shared" si="12"/>
        <v/>
      </c>
      <c r="N88" s="178"/>
      <c r="O88" s="184"/>
      <c r="P88" s="185"/>
      <c r="Q88" s="184"/>
      <c r="R88" s="185"/>
      <c r="S88" s="552"/>
      <c r="T88" s="553"/>
      <c r="U88" s="552"/>
      <c r="V88" s="554"/>
      <c r="W88" s="499"/>
      <c r="AB88" s="2" t="str">
        <f t="shared" si="26"/>
        <v/>
      </c>
    </row>
    <row r="89" spans="1:28" ht="15" customHeight="1" x14ac:dyDescent="0.35">
      <c r="A89" s="108" t="str">
        <f t="shared" si="25"/>
        <v>X</v>
      </c>
      <c r="B89" s="1034"/>
      <c r="C89" s="1037"/>
      <c r="D89" s="1099"/>
      <c r="E89" s="168" t="s">
        <v>157</v>
      </c>
      <c r="F89" s="869" t="s">
        <v>62</v>
      </c>
      <c r="G89" s="164"/>
      <c r="H89" s="138"/>
      <c r="I89" s="134" t="str">
        <f t="shared" si="17"/>
        <v/>
      </c>
      <c r="J89" s="393"/>
      <c r="K89" s="134" t="str">
        <f t="shared" si="11"/>
        <v/>
      </c>
      <c r="L89" s="393"/>
      <c r="M89" s="134" t="str">
        <f t="shared" si="12"/>
        <v/>
      </c>
      <c r="N89" s="178"/>
      <c r="O89" s="184"/>
      <c r="P89" s="185"/>
      <c r="Q89" s="184"/>
      <c r="R89" s="185"/>
      <c r="S89" s="552"/>
      <c r="T89" s="553"/>
      <c r="U89" s="552"/>
      <c r="V89" s="554"/>
      <c r="W89" s="499"/>
      <c r="AB89" s="2" t="str">
        <f t="shared" si="26"/>
        <v/>
      </c>
    </row>
    <row r="90" spans="1:28" ht="15" customHeight="1" x14ac:dyDescent="0.35">
      <c r="A90" s="108" t="str">
        <f t="shared" si="25"/>
        <v>X</v>
      </c>
      <c r="B90" s="1034"/>
      <c r="C90" s="1037"/>
      <c r="D90" s="1099"/>
      <c r="E90" s="168" t="s">
        <v>38</v>
      </c>
      <c r="F90" s="869" t="s">
        <v>62</v>
      </c>
      <c r="G90" s="164"/>
      <c r="H90" s="138"/>
      <c r="I90" s="134" t="str">
        <f t="shared" si="17"/>
        <v/>
      </c>
      <c r="J90" s="393"/>
      <c r="K90" s="134" t="str">
        <f t="shared" si="11"/>
        <v/>
      </c>
      <c r="L90" s="393"/>
      <c r="M90" s="134" t="str">
        <f t="shared" si="12"/>
        <v/>
      </c>
      <c r="N90" s="178"/>
      <c r="O90" s="184"/>
      <c r="P90" s="185"/>
      <c r="Q90" s="184"/>
      <c r="R90" s="185"/>
      <c r="S90" s="552"/>
      <c r="T90" s="553"/>
      <c r="U90" s="552"/>
      <c r="V90" s="554"/>
      <c r="W90" s="499"/>
      <c r="AB90" s="2" t="str">
        <f t="shared" si="26"/>
        <v/>
      </c>
    </row>
    <row r="91" spans="1:28" ht="15" customHeight="1" x14ac:dyDescent="0.35">
      <c r="A91" s="108" t="str">
        <f t="shared" si="25"/>
        <v>X</v>
      </c>
      <c r="B91" s="1034"/>
      <c r="C91" s="1037"/>
      <c r="D91" s="1099"/>
      <c r="E91" s="168" t="s">
        <v>158</v>
      </c>
      <c r="F91" s="849" t="s">
        <v>62</v>
      </c>
      <c r="G91" s="164"/>
      <c r="H91" s="138"/>
      <c r="I91" s="134" t="str">
        <f t="shared" si="17"/>
        <v/>
      </c>
      <c r="J91" s="393"/>
      <c r="K91" s="134" t="str">
        <f t="shared" si="11"/>
        <v/>
      </c>
      <c r="L91" s="393"/>
      <c r="M91" s="134" t="str">
        <f t="shared" si="12"/>
        <v/>
      </c>
      <c r="N91" s="178"/>
      <c r="O91" s="184"/>
      <c r="P91" s="185"/>
      <c r="Q91" s="184"/>
      <c r="R91" s="185"/>
      <c r="S91" s="552"/>
      <c r="T91" s="553"/>
      <c r="U91" s="552"/>
      <c r="V91" s="554"/>
      <c r="W91" s="499"/>
      <c r="AB91" s="2" t="str">
        <f t="shared" si="26"/>
        <v/>
      </c>
    </row>
    <row r="92" spans="1:28" ht="15" customHeight="1" x14ac:dyDescent="0.35">
      <c r="A92" s="108" t="str">
        <f t="shared" si="25"/>
        <v>X</v>
      </c>
      <c r="B92" s="1034"/>
      <c r="C92" s="1037"/>
      <c r="D92" s="1099"/>
      <c r="E92" s="168" t="s">
        <v>148</v>
      </c>
      <c r="F92" s="849" t="s">
        <v>62</v>
      </c>
      <c r="G92" s="164"/>
      <c r="H92" s="138"/>
      <c r="I92" s="134" t="str">
        <f t="shared" si="17"/>
        <v/>
      </c>
      <c r="J92" s="393"/>
      <c r="K92" s="134" t="str">
        <f t="shared" si="11"/>
        <v/>
      </c>
      <c r="L92" s="393"/>
      <c r="M92" s="134" t="str">
        <f t="shared" si="12"/>
        <v/>
      </c>
      <c r="N92" s="178"/>
      <c r="O92" s="184"/>
      <c r="P92" s="185"/>
      <c r="Q92" s="184"/>
      <c r="R92" s="185"/>
      <c r="S92" s="552"/>
      <c r="T92" s="553"/>
      <c r="U92" s="552"/>
      <c r="V92" s="554"/>
      <c r="W92" s="499"/>
      <c r="AB92" s="2" t="str">
        <f t="shared" si="26"/>
        <v/>
      </c>
    </row>
    <row r="93" spans="1:28" ht="15" customHeight="1" x14ac:dyDescent="0.35">
      <c r="A93" s="108" t="str">
        <f t="shared" si="25"/>
        <v>X</v>
      </c>
      <c r="B93" s="1034"/>
      <c r="C93" s="1037"/>
      <c r="D93" s="1099"/>
      <c r="E93" s="168" t="s">
        <v>149</v>
      </c>
      <c r="F93" s="869" t="s">
        <v>62</v>
      </c>
      <c r="G93" s="164"/>
      <c r="H93" s="138"/>
      <c r="I93" s="134" t="str">
        <f t="shared" si="17"/>
        <v/>
      </c>
      <c r="J93" s="393"/>
      <c r="K93" s="134" t="str">
        <f t="shared" si="11"/>
        <v/>
      </c>
      <c r="L93" s="393"/>
      <c r="M93" s="134" t="str">
        <f t="shared" si="12"/>
        <v/>
      </c>
      <c r="N93" s="178"/>
      <c r="O93" s="184"/>
      <c r="P93" s="185"/>
      <c r="Q93" s="184"/>
      <c r="R93" s="185"/>
      <c r="S93" s="552"/>
      <c r="T93" s="553"/>
      <c r="U93" s="552"/>
      <c r="V93" s="554"/>
      <c r="W93" s="499"/>
      <c r="AB93" s="2" t="str">
        <f t="shared" si="26"/>
        <v/>
      </c>
    </row>
    <row r="94" spans="1:28" ht="15" hidden="1" customHeight="1" x14ac:dyDescent="0.35">
      <c r="A94" s="108" t="str">
        <f t="shared" si="25"/>
        <v/>
      </c>
      <c r="B94" s="1034"/>
      <c r="C94" s="1037"/>
      <c r="D94" s="1099"/>
      <c r="E94" s="168"/>
      <c r="F94" s="869" t="s">
        <v>62</v>
      </c>
      <c r="G94" s="164"/>
      <c r="H94" s="138"/>
      <c r="I94" s="134" t="str">
        <f t="shared" si="17"/>
        <v/>
      </c>
      <c r="J94" s="393"/>
      <c r="K94" s="134" t="str">
        <f t="shared" si="11"/>
        <v/>
      </c>
      <c r="L94" s="393"/>
      <c r="M94" s="134" t="str">
        <f t="shared" si="12"/>
        <v/>
      </c>
      <c r="N94" s="178"/>
      <c r="O94" s="184"/>
      <c r="P94" s="185"/>
      <c r="Q94" s="184"/>
      <c r="R94" s="185"/>
      <c r="S94" s="552"/>
      <c r="T94" s="553"/>
      <c r="U94" s="552"/>
      <c r="V94" s="554"/>
      <c r="W94" s="499" t="s">
        <v>211</v>
      </c>
      <c r="AB94" s="2" t="str">
        <f t="shared" si="26"/>
        <v/>
      </c>
    </row>
    <row r="95" spans="1:28" ht="15" hidden="1" customHeight="1" x14ac:dyDescent="0.35">
      <c r="A95" s="108" t="str">
        <f t="shared" si="25"/>
        <v/>
      </c>
      <c r="B95" s="1034"/>
      <c r="C95" s="1037"/>
      <c r="D95" s="1099"/>
      <c r="E95" s="168"/>
      <c r="F95" s="869" t="s">
        <v>62</v>
      </c>
      <c r="G95" s="164"/>
      <c r="H95" s="138"/>
      <c r="I95" s="134" t="str">
        <f t="shared" si="17"/>
        <v/>
      </c>
      <c r="J95" s="393"/>
      <c r="K95" s="134" t="str">
        <f t="shared" si="11"/>
        <v/>
      </c>
      <c r="L95" s="393"/>
      <c r="M95" s="134" t="str">
        <f t="shared" si="12"/>
        <v/>
      </c>
      <c r="N95" s="178"/>
      <c r="O95" s="184"/>
      <c r="P95" s="185"/>
      <c r="Q95" s="184"/>
      <c r="R95" s="185"/>
      <c r="S95" s="552"/>
      <c r="T95" s="553"/>
      <c r="U95" s="552"/>
      <c r="V95" s="554"/>
      <c r="W95" s="499" t="s">
        <v>211</v>
      </c>
      <c r="AB95" s="2" t="str">
        <f t="shared" si="26"/>
        <v/>
      </c>
    </row>
    <row r="96" spans="1:28" ht="15" customHeight="1" x14ac:dyDescent="0.35">
      <c r="A96" s="108" t="str">
        <f t="shared" si="25"/>
        <v>X</v>
      </c>
      <c r="B96" s="1034"/>
      <c r="C96" s="1037"/>
      <c r="D96" s="1100"/>
      <c r="E96" s="168" t="s">
        <v>152</v>
      </c>
      <c r="F96" s="928" t="s">
        <v>62</v>
      </c>
      <c r="G96" s="164"/>
      <c r="H96" s="138"/>
      <c r="I96" s="134" t="str">
        <f t="shared" si="17"/>
        <v/>
      </c>
      <c r="J96" s="393"/>
      <c r="K96" s="134" t="str">
        <f t="shared" si="11"/>
        <v/>
      </c>
      <c r="L96" s="393"/>
      <c r="M96" s="134" t="str">
        <f t="shared" si="12"/>
        <v/>
      </c>
      <c r="N96" s="178"/>
      <c r="O96" s="184"/>
      <c r="P96" s="185"/>
      <c r="Q96" s="184"/>
      <c r="R96" s="185"/>
      <c r="S96" s="552"/>
      <c r="T96" s="553"/>
      <c r="U96" s="552"/>
      <c r="V96" s="554"/>
      <c r="W96" s="499"/>
      <c r="AB96" s="2" t="str">
        <f t="shared" si="26"/>
        <v/>
      </c>
    </row>
    <row r="97" spans="1:28" ht="15.5" x14ac:dyDescent="0.35">
      <c r="A97" s="108" t="str">
        <f t="shared" si="25"/>
        <v>X</v>
      </c>
      <c r="B97" s="1035"/>
      <c r="C97" s="1038"/>
      <c r="D97" s="655" t="s">
        <v>138</v>
      </c>
      <c r="E97" s="65"/>
      <c r="F97" s="472"/>
      <c r="G97" s="19">
        <f>SUM(G88:G96)</f>
        <v>0</v>
      </c>
      <c r="H97" s="20">
        <f>SUM(H88:H96)</f>
        <v>0</v>
      </c>
      <c r="I97" s="21" t="e">
        <f t="shared" si="17"/>
        <v>#DIV/0!</v>
      </c>
      <c r="J97" s="481">
        <f>SUM(J88:J96)</f>
        <v>0</v>
      </c>
      <c r="K97" s="142" t="e">
        <f t="shared" si="11"/>
        <v>#DIV/0!</v>
      </c>
      <c r="L97" s="481">
        <f>SUM(L88:L96)</f>
        <v>0</v>
      </c>
      <c r="M97" s="21" t="e">
        <f t="shared" si="12"/>
        <v>#DIV/0!</v>
      </c>
      <c r="N97" s="481">
        <f>SUM(N88:N96)</f>
        <v>0</v>
      </c>
      <c r="O97" s="144">
        <f>SUM(O88:O96)</f>
        <v>0</v>
      </c>
      <c r="P97" s="141">
        <f>SUM(P88:P96)</f>
        <v>0</v>
      </c>
      <c r="Q97" s="144">
        <f t="shared" ref="Q97:V97" si="30">SUM(Q88:Q96)</f>
        <v>0</v>
      </c>
      <c r="R97" s="141">
        <f t="shared" si="30"/>
        <v>0</v>
      </c>
      <c r="S97" s="144">
        <f t="shared" si="30"/>
        <v>0</v>
      </c>
      <c r="T97" s="141">
        <f t="shared" si="30"/>
        <v>0</v>
      </c>
      <c r="U97" s="144">
        <f t="shared" si="30"/>
        <v>0</v>
      </c>
      <c r="V97" s="175">
        <f t="shared" si="30"/>
        <v>0</v>
      </c>
      <c r="W97" s="500"/>
      <c r="AB97" s="2">
        <f t="shared" si="26"/>
        <v>0</v>
      </c>
    </row>
    <row r="98" spans="1:28" ht="15.75" customHeight="1" x14ac:dyDescent="0.35">
      <c r="A98" s="108" t="str">
        <f t="shared" si="25"/>
        <v>X</v>
      </c>
      <c r="B98" s="1087" t="s">
        <v>72</v>
      </c>
      <c r="C98" s="1036" t="s">
        <v>76</v>
      </c>
      <c r="D98" s="1091"/>
      <c r="E98" s="167" t="s">
        <v>150</v>
      </c>
      <c r="F98" s="921" t="s">
        <v>62</v>
      </c>
      <c r="G98" s="162"/>
      <c r="H98" s="132"/>
      <c r="I98" s="128" t="str">
        <f t="shared" si="17"/>
        <v/>
      </c>
      <c r="J98" s="392"/>
      <c r="K98" s="128" t="str">
        <f t="shared" si="11"/>
        <v/>
      </c>
      <c r="L98" s="392"/>
      <c r="M98" s="128" t="str">
        <f t="shared" si="12"/>
        <v/>
      </c>
      <c r="N98" s="177"/>
      <c r="O98" s="182"/>
      <c r="P98" s="183"/>
      <c r="Q98" s="182"/>
      <c r="R98" s="183"/>
      <c r="S98" s="549"/>
      <c r="T98" s="550"/>
      <c r="U98" s="549"/>
      <c r="V98" s="551"/>
      <c r="W98" s="372"/>
      <c r="AB98" s="2" t="str">
        <f t="shared" si="26"/>
        <v/>
      </c>
    </row>
    <row r="99" spans="1:28" ht="15.75" customHeight="1" x14ac:dyDescent="0.35">
      <c r="A99" s="108" t="str">
        <f t="shared" si="25"/>
        <v>X</v>
      </c>
      <c r="B99" s="1088"/>
      <c r="C99" s="1101"/>
      <c r="D99" s="1091"/>
      <c r="E99" s="168" t="s">
        <v>153</v>
      </c>
      <c r="F99" s="869" t="s">
        <v>62</v>
      </c>
      <c r="G99" s="164"/>
      <c r="H99" s="138"/>
      <c r="I99" s="134" t="str">
        <f t="shared" si="17"/>
        <v/>
      </c>
      <c r="J99" s="393"/>
      <c r="K99" s="134" t="str">
        <f t="shared" si="11"/>
        <v/>
      </c>
      <c r="L99" s="393"/>
      <c r="M99" s="134" t="str">
        <f t="shared" si="12"/>
        <v/>
      </c>
      <c r="N99" s="178"/>
      <c r="O99" s="184"/>
      <c r="P99" s="185"/>
      <c r="Q99" s="184"/>
      <c r="R99" s="185"/>
      <c r="S99" s="552"/>
      <c r="T99" s="553"/>
      <c r="U99" s="552"/>
      <c r="V99" s="554"/>
      <c r="W99" s="372"/>
      <c r="AB99" s="2" t="str">
        <f t="shared" si="26"/>
        <v/>
      </c>
    </row>
    <row r="100" spans="1:28" ht="15.75" hidden="1" customHeight="1" x14ac:dyDescent="0.35">
      <c r="A100" s="108" t="str">
        <f t="shared" si="25"/>
        <v/>
      </c>
      <c r="B100" s="1088"/>
      <c r="C100" s="1024"/>
      <c r="D100" s="1091"/>
      <c r="E100" s="594"/>
      <c r="F100" s="869" t="s">
        <v>62</v>
      </c>
      <c r="G100" s="592"/>
      <c r="H100" s="593"/>
      <c r="I100" s="134" t="str">
        <f t="shared" si="17"/>
        <v/>
      </c>
      <c r="J100" s="591"/>
      <c r="K100" s="134" t="str">
        <f t="shared" si="11"/>
        <v/>
      </c>
      <c r="L100" s="591"/>
      <c r="M100" s="134" t="str">
        <f t="shared" si="12"/>
        <v/>
      </c>
      <c r="N100" s="580"/>
      <c r="O100" s="574"/>
      <c r="P100" s="575"/>
      <c r="Q100" s="574"/>
      <c r="R100" s="575"/>
      <c r="S100" s="603"/>
      <c r="T100" s="604"/>
      <c r="U100" s="603"/>
      <c r="V100" s="605"/>
      <c r="W100" s="372" t="s">
        <v>211</v>
      </c>
      <c r="AB100" s="2" t="str">
        <f t="shared" si="26"/>
        <v/>
      </c>
    </row>
    <row r="101" spans="1:28" ht="15.75" hidden="1" customHeight="1" x14ac:dyDescent="0.35">
      <c r="A101" s="108" t="str">
        <f t="shared" si="25"/>
        <v/>
      </c>
      <c r="B101" s="1088"/>
      <c r="C101" s="1024"/>
      <c r="D101" s="1091"/>
      <c r="E101" s="594"/>
      <c r="F101" s="869" t="s">
        <v>62</v>
      </c>
      <c r="G101" s="592"/>
      <c r="H101" s="593"/>
      <c r="I101" s="134" t="str">
        <f t="shared" si="17"/>
        <v/>
      </c>
      <c r="J101" s="591"/>
      <c r="K101" s="134" t="str">
        <f t="shared" ref="K101:K124" si="31">IF(L101="","",L101/G101)</f>
        <v/>
      </c>
      <c r="L101" s="591"/>
      <c r="M101" s="134" t="str">
        <f t="shared" ref="M101:M124" si="32">IF(N101="","",N101/L101)</f>
        <v/>
      </c>
      <c r="N101" s="580"/>
      <c r="O101" s="574"/>
      <c r="P101" s="575"/>
      <c r="Q101" s="574"/>
      <c r="R101" s="575"/>
      <c r="S101" s="603"/>
      <c r="T101" s="604"/>
      <c r="U101" s="603"/>
      <c r="V101" s="605"/>
      <c r="W101" s="372" t="s">
        <v>211</v>
      </c>
      <c r="AB101" s="2" t="str">
        <f t="shared" si="26"/>
        <v/>
      </c>
    </row>
    <row r="102" spans="1:28" ht="15.75" customHeight="1" x14ac:dyDescent="0.35">
      <c r="A102" s="108" t="str">
        <f t="shared" si="25"/>
        <v>X</v>
      </c>
      <c r="B102" s="1088"/>
      <c r="C102" s="1024"/>
      <c r="D102" s="1091"/>
      <c r="E102" s="169" t="s">
        <v>36</v>
      </c>
      <c r="F102" s="928" t="s">
        <v>62</v>
      </c>
      <c r="G102" s="166"/>
      <c r="H102" s="146"/>
      <c r="I102" s="142" t="str">
        <f t="shared" si="17"/>
        <v/>
      </c>
      <c r="J102" s="391"/>
      <c r="K102" s="142" t="str">
        <f t="shared" si="31"/>
        <v/>
      </c>
      <c r="L102" s="391"/>
      <c r="M102" s="142" t="str">
        <f t="shared" si="32"/>
        <v/>
      </c>
      <c r="N102" s="179"/>
      <c r="O102" s="186"/>
      <c r="P102" s="187"/>
      <c r="Q102" s="186"/>
      <c r="R102" s="187"/>
      <c r="S102" s="555"/>
      <c r="T102" s="556"/>
      <c r="U102" s="555"/>
      <c r="V102" s="557"/>
      <c r="W102" s="372"/>
      <c r="AB102" s="2" t="str">
        <f t="shared" si="26"/>
        <v/>
      </c>
    </row>
    <row r="103" spans="1:28" ht="15.75" customHeight="1" x14ac:dyDescent="0.35">
      <c r="A103" s="108" t="str">
        <f t="shared" si="25"/>
        <v>X</v>
      </c>
      <c r="B103" s="1089"/>
      <c r="C103" s="1038"/>
      <c r="D103" s="656" t="s">
        <v>138</v>
      </c>
      <c r="E103" s="366"/>
      <c r="F103" s="472"/>
      <c r="G103" s="25">
        <f>SUM(G98:G102)</f>
        <v>0</v>
      </c>
      <c r="H103" s="26">
        <f>SUM(H98:H102)</f>
        <v>0</v>
      </c>
      <c r="I103" s="27" t="e">
        <f t="shared" si="17"/>
        <v>#DIV/0!</v>
      </c>
      <c r="J103" s="369">
        <f>SUM(J98:J102)</f>
        <v>0</v>
      </c>
      <c r="K103" s="148" t="e">
        <f t="shared" si="31"/>
        <v>#DIV/0!</v>
      </c>
      <c r="L103" s="369">
        <f>SUM(L98:L102)</f>
        <v>0</v>
      </c>
      <c r="M103" s="27" t="e">
        <f t="shared" si="32"/>
        <v>#DIV/0!</v>
      </c>
      <c r="N103" s="369">
        <f>SUM(N98:N102)</f>
        <v>0</v>
      </c>
      <c r="O103" s="242">
        <f>SUM(O98:O102)</f>
        <v>0</v>
      </c>
      <c r="P103" s="243">
        <f t="shared" ref="P103:V103" si="33">SUM(P98:P102)</f>
        <v>0</v>
      </c>
      <c r="Q103" s="242">
        <f t="shared" si="33"/>
        <v>0</v>
      </c>
      <c r="R103" s="243">
        <f t="shared" si="33"/>
        <v>0</v>
      </c>
      <c r="S103" s="242">
        <f t="shared" si="33"/>
        <v>0</v>
      </c>
      <c r="T103" s="243">
        <f t="shared" si="33"/>
        <v>0</v>
      </c>
      <c r="U103" s="242">
        <f t="shared" si="33"/>
        <v>0</v>
      </c>
      <c r="V103" s="244">
        <f t="shared" si="33"/>
        <v>0</v>
      </c>
      <c r="W103" s="372"/>
      <c r="AB103" s="2">
        <f t="shared" si="26"/>
        <v>0</v>
      </c>
    </row>
    <row r="104" spans="1:28" ht="15.75" customHeight="1" thickBot="1" x14ac:dyDescent="0.4">
      <c r="A104" s="108" t="str">
        <f t="shared" si="25"/>
        <v>X</v>
      </c>
      <c r="B104" s="1029" t="s">
        <v>3</v>
      </c>
      <c r="C104" s="1039" t="s">
        <v>76</v>
      </c>
      <c r="D104" s="1083">
        <v>17</v>
      </c>
      <c r="E104" s="161" t="s">
        <v>48</v>
      </c>
      <c r="F104" s="447" t="s">
        <v>61</v>
      </c>
      <c r="G104" s="162"/>
      <c r="H104" s="132"/>
      <c r="I104" s="128" t="str">
        <f t="shared" si="17"/>
        <v/>
      </c>
      <c r="J104" s="392"/>
      <c r="K104" s="128" t="str">
        <f t="shared" si="31"/>
        <v/>
      </c>
      <c r="L104" s="392"/>
      <c r="M104" s="128" t="str">
        <f t="shared" si="32"/>
        <v/>
      </c>
      <c r="N104" s="177"/>
      <c r="O104" s="182" t="s">
        <v>21</v>
      </c>
      <c r="P104" s="183" t="s">
        <v>21</v>
      </c>
      <c r="Q104" s="182" t="s">
        <v>21</v>
      </c>
      <c r="R104" s="183" t="s">
        <v>21</v>
      </c>
      <c r="S104" s="130"/>
      <c r="T104" s="127"/>
      <c r="U104" s="130"/>
      <c r="V104" s="152"/>
      <c r="W104" s="372" t="s">
        <v>211</v>
      </c>
      <c r="AB104" s="2" t="str">
        <f t="shared" si="26"/>
        <v/>
      </c>
    </row>
    <row r="105" spans="1:28" ht="15.75" customHeight="1" thickBot="1" x14ac:dyDescent="0.4">
      <c r="A105" s="108" t="str">
        <f t="shared" si="25"/>
        <v>X</v>
      </c>
      <c r="B105" s="1021"/>
      <c r="C105" s="1040"/>
      <c r="D105" s="1083"/>
      <c r="E105" s="163" t="s">
        <v>49</v>
      </c>
      <c r="F105" s="454" t="s">
        <v>61</v>
      </c>
      <c r="G105" s="164"/>
      <c r="H105" s="138"/>
      <c r="I105" s="134" t="str">
        <f t="shared" si="17"/>
        <v/>
      </c>
      <c r="J105" s="393"/>
      <c r="K105" s="134" t="str">
        <f t="shared" si="31"/>
        <v/>
      </c>
      <c r="L105" s="393"/>
      <c r="M105" s="134" t="str">
        <f t="shared" si="32"/>
        <v/>
      </c>
      <c r="N105" s="178"/>
      <c r="O105" s="184" t="s">
        <v>21</v>
      </c>
      <c r="P105" s="185" t="s">
        <v>21</v>
      </c>
      <c r="Q105" s="184" t="s">
        <v>21</v>
      </c>
      <c r="R105" s="185" t="s">
        <v>21</v>
      </c>
      <c r="S105" s="136"/>
      <c r="T105" s="133"/>
      <c r="U105" s="136"/>
      <c r="V105" s="140"/>
      <c r="W105" s="372" t="s">
        <v>211</v>
      </c>
      <c r="AB105" s="2" t="str">
        <f t="shared" si="26"/>
        <v/>
      </c>
    </row>
    <row r="106" spans="1:28" ht="15.75" customHeight="1" thickBot="1" x14ac:dyDescent="0.4">
      <c r="A106" s="108" t="str">
        <f t="shared" si="25"/>
        <v>X</v>
      </c>
      <c r="B106" s="1021"/>
      <c r="C106" s="1040"/>
      <c r="D106" s="1083"/>
      <c r="E106" s="163" t="s">
        <v>81</v>
      </c>
      <c r="F106" s="454" t="s">
        <v>61</v>
      </c>
      <c r="G106" s="164"/>
      <c r="H106" s="138"/>
      <c r="I106" s="134" t="str">
        <f t="shared" si="17"/>
        <v/>
      </c>
      <c r="J106" s="393"/>
      <c r="K106" s="134" t="str">
        <f t="shared" si="31"/>
        <v/>
      </c>
      <c r="L106" s="393"/>
      <c r="M106" s="134" t="str">
        <f t="shared" si="32"/>
        <v/>
      </c>
      <c r="N106" s="178"/>
      <c r="O106" s="184" t="s">
        <v>21</v>
      </c>
      <c r="P106" s="185" t="s">
        <v>21</v>
      </c>
      <c r="Q106" s="184" t="s">
        <v>21</v>
      </c>
      <c r="R106" s="185" t="s">
        <v>21</v>
      </c>
      <c r="S106" s="136"/>
      <c r="T106" s="133"/>
      <c r="U106" s="136"/>
      <c r="V106" s="140"/>
      <c r="W106" s="372" t="s">
        <v>211</v>
      </c>
      <c r="AB106" s="2" t="str">
        <f t="shared" si="26"/>
        <v/>
      </c>
    </row>
    <row r="107" spans="1:28" ht="15.75" customHeight="1" thickBot="1" x14ac:dyDescent="0.4">
      <c r="A107" s="108" t="str">
        <f t="shared" si="25"/>
        <v>X</v>
      </c>
      <c r="B107" s="1021"/>
      <c r="C107" s="1040"/>
      <c r="D107" s="1083"/>
      <c r="E107" s="163" t="s">
        <v>73</v>
      </c>
      <c r="F107" s="454" t="s">
        <v>61</v>
      </c>
      <c r="G107" s="164"/>
      <c r="H107" s="138"/>
      <c r="I107" s="134" t="str">
        <f t="shared" si="17"/>
        <v/>
      </c>
      <c r="J107" s="393"/>
      <c r="K107" s="134" t="str">
        <f t="shared" si="31"/>
        <v/>
      </c>
      <c r="L107" s="393"/>
      <c r="M107" s="134" t="str">
        <f t="shared" si="32"/>
        <v/>
      </c>
      <c r="N107" s="178"/>
      <c r="O107" s="184" t="s">
        <v>21</v>
      </c>
      <c r="P107" s="185" t="s">
        <v>21</v>
      </c>
      <c r="Q107" s="184" t="s">
        <v>21</v>
      </c>
      <c r="R107" s="185" t="s">
        <v>21</v>
      </c>
      <c r="S107" s="136"/>
      <c r="T107" s="133"/>
      <c r="U107" s="136"/>
      <c r="V107" s="140"/>
      <c r="W107" s="372" t="s">
        <v>211</v>
      </c>
      <c r="AB107" s="2" t="str">
        <f t="shared" si="26"/>
        <v/>
      </c>
    </row>
    <row r="108" spans="1:28" ht="15.75" customHeight="1" thickBot="1" x14ac:dyDescent="0.4">
      <c r="A108" s="108" t="str">
        <f t="shared" si="25"/>
        <v>X</v>
      </c>
      <c r="B108" s="1021"/>
      <c r="C108" s="1040"/>
      <c r="D108" s="1083"/>
      <c r="E108" s="163" t="s">
        <v>50</v>
      </c>
      <c r="F108" s="454" t="s">
        <v>61</v>
      </c>
      <c r="G108" s="164"/>
      <c r="H108" s="138"/>
      <c r="I108" s="134" t="str">
        <f t="shared" si="17"/>
        <v/>
      </c>
      <c r="J108" s="393"/>
      <c r="K108" s="134" t="str">
        <f t="shared" si="31"/>
        <v/>
      </c>
      <c r="L108" s="393"/>
      <c r="M108" s="134" t="str">
        <f t="shared" si="32"/>
        <v/>
      </c>
      <c r="N108" s="178"/>
      <c r="O108" s="184" t="s">
        <v>21</v>
      </c>
      <c r="P108" s="185" t="s">
        <v>21</v>
      </c>
      <c r="Q108" s="184" t="s">
        <v>21</v>
      </c>
      <c r="R108" s="185" t="s">
        <v>21</v>
      </c>
      <c r="S108" s="136"/>
      <c r="T108" s="133"/>
      <c r="U108" s="136"/>
      <c r="V108" s="140"/>
      <c r="W108" s="372" t="s">
        <v>211</v>
      </c>
      <c r="AB108" s="2" t="str">
        <f t="shared" si="26"/>
        <v/>
      </c>
    </row>
    <row r="109" spans="1:28" ht="15.75" customHeight="1" thickBot="1" x14ac:dyDescent="0.4">
      <c r="A109" s="108" t="str">
        <f t="shared" si="25"/>
        <v>X</v>
      </c>
      <c r="B109" s="1021"/>
      <c r="C109" s="1040"/>
      <c r="D109" s="1083"/>
      <c r="E109" s="163" t="s">
        <v>144</v>
      </c>
      <c r="F109" s="454" t="s">
        <v>61</v>
      </c>
      <c r="G109" s="164"/>
      <c r="H109" s="138"/>
      <c r="I109" s="134" t="str">
        <f t="shared" si="17"/>
        <v/>
      </c>
      <c r="J109" s="393"/>
      <c r="K109" s="134" t="str">
        <f t="shared" si="31"/>
        <v/>
      </c>
      <c r="L109" s="393"/>
      <c r="M109" s="134" t="str">
        <f t="shared" si="32"/>
        <v/>
      </c>
      <c r="N109" s="178"/>
      <c r="O109" s="184" t="s">
        <v>21</v>
      </c>
      <c r="P109" s="185" t="s">
        <v>21</v>
      </c>
      <c r="Q109" s="184" t="s">
        <v>21</v>
      </c>
      <c r="R109" s="185" t="s">
        <v>21</v>
      </c>
      <c r="S109" s="136"/>
      <c r="T109" s="133"/>
      <c r="U109" s="136"/>
      <c r="V109" s="140"/>
      <c r="W109" s="372" t="s">
        <v>211</v>
      </c>
      <c r="AB109" s="2" t="str">
        <f t="shared" si="26"/>
        <v/>
      </c>
    </row>
    <row r="110" spans="1:28" ht="15.75" customHeight="1" thickBot="1" x14ac:dyDescent="0.4">
      <c r="A110" s="108" t="str">
        <f t="shared" si="25"/>
        <v>X</v>
      </c>
      <c r="B110" s="1021"/>
      <c r="C110" s="1040"/>
      <c r="D110" s="1083"/>
      <c r="E110" s="163" t="s">
        <v>143</v>
      </c>
      <c r="F110" s="454" t="s">
        <v>61</v>
      </c>
      <c r="G110" s="164"/>
      <c r="H110" s="138"/>
      <c r="I110" s="134" t="str">
        <f t="shared" si="17"/>
        <v/>
      </c>
      <c r="J110" s="393"/>
      <c r="K110" s="134" t="str">
        <f t="shared" si="31"/>
        <v/>
      </c>
      <c r="L110" s="393"/>
      <c r="M110" s="134" t="str">
        <f t="shared" si="32"/>
        <v/>
      </c>
      <c r="N110" s="178"/>
      <c r="O110" s="184" t="s">
        <v>21</v>
      </c>
      <c r="P110" s="185" t="s">
        <v>21</v>
      </c>
      <c r="Q110" s="184" t="s">
        <v>21</v>
      </c>
      <c r="R110" s="185" t="s">
        <v>21</v>
      </c>
      <c r="S110" s="136"/>
      <c r="T110" s="133"/>
      <c r="U110" s="136"/>
      <c r="V110" s="140"/>
      <c r="W110" s="372" t="s">
        <v>211</v>
      </c>
      <c r="AB110" s="2" t="str">
        <f t="shared" si="26"/>
        <v/>
      </c>
    </row>
    <row r="111" spans="1:28" ht="15.75" customHeight="1" thickBot="1" x14ac:dyDescent="0.4">
      <c r="A111" s="108" t="str">
        <f t="shared" si="25"/>
        <v>X</v>
      </c>
      <c r="B111" s="1021"/>
      <c r="C111" s="1040"/>
      <c r="D111" s="1083"/>
      <c r="E111" s="163" t="s">
        <v>180</v>
      </c>
      <c r="F111" s="454" t="s">
        <v>61</v>
      </c>
      <c r="G111" s="164">
        <v>299</v>
      </c>
      <c r="H111" s="138">
        <v>299</v>
      </c>
      <c r="I111" s="134">
        <f t="shared" si="17"/>
        <v>0.51170568561872909</v>
      </c>
      <c r="J111" s="393">
        <v>153</v>
      </c>
      <c r="K111" s="134">
        <f t="shared" si="31"/>
        <v>0.37123745819397991</v>
      </c>
      <c r="L111" s="393">
        <v>111</v>
      </c>
      <c r="M111" s="134">
        <f t="shared" si="32"/>
        <v>0.70270270270270274</v>
      </c>
      <c r="N111" s="178">
        <f>61+17</f>
        <v>78</v>
      </c>
      <c r="O111" s="184">
        <v>9</v>
      </c>
      <c r="P111" s="185">
        <v>9</v>
      </c>
      <c r="Q111" s="184">
        <v>7</v>
      </c>
      <c r="R111" s="185">
        <v>7</v>
      </c>
      <c r="S111" s="136"/>
      <c r="T111" s="133"/>
      <c r="U111" s="136"/>
      <c r="V111" s="140"/>
      <c r="W111" s="372" t="s">
        <v>211</v>
      </c>
      <c r="AB111" s="2" t="str">
        <f t="shared" si="26"/>
        <v>Suisse</v>
      </c>
    </row>
    <row r="112" spans="1:28" ht="15.75" customHeight="1" thickBot="1" x14ac:dyDescent="0.4">
      <c r="A112" s="108" t="str">
        <f t="shared" si="25"/>
        <v>X</v>
      </c>
      <c r="B112" s="1021"/>
      <c r="C112" s="1040"/>
      <c r="D112" s="1083"/>
      <c r="E112" s="163" t="s">
        <v>181</v>
      </c>
      <c r="F112" s="454" t="s">
        <v>61</v>
      </c>
      <c r="G112" s="164">
        <v>385</v>
      </c>
      <c r="H112" s="138">
        <v>385</v>
      </c>
      <c r="I112" s="134">
        <f t="shared" ref="I112:I124" si="34">IF(J112="","",J112/G112)</f>
        <v>0.55844155844155841</v>
      </c>
      <c r="J112" s="393">
        <v>215</v>
      </c>
      <c r="K112" s="134">
        <f t="shared" si="31"/>
        <v>0.41558441558441561</v>
      </c>
      <c r="L112" s="393">
        <v>160</v>
      </c>
      <c r="M112" s="134">
        <f t="shared" si="32"/>
        <v>0.71250000000000002</v>
      </c>
      <c r="N112" s="178">
        <f>87+27</f>
        <v>114</v>
      </c>
      <c r="O112" s="184">
        <v>14</v>
      </c>
      <c r="P112" s="185">
        <v>14</v>
      </c>
      <c r="Q112" s="184">
        <v>151</v>
      </c>
      <c r="R112" s="185">
        <v>151</v>
      </c>
      <c r="S112" s="136"/>
      <c r="T112" s="133"/>
      <c r="U112" s="136"/>
      <c r="V112" s="140"/>
      <c r="W112" s="372" t="s">
        <v>211</v>
      </c>
      <c r="AB112" s="2" t="str">
        <f t="shared" si="26"/>
        <v>Suisse</v>
      </c>
    </row>
    <row r="113" spans="1:28" ht="15.75" customHeight="1" thickBot="1" x14ac:dyDescent="0.4">
      <c r="A113" s="108" t="str">
        <f t="shared" si="25"/>
        <v>X</v>
      </c>
      <c r="B113" s="1021"/>
      <c r="C113" s="1040"/>
      <c r="D113" s="1083"/>
      <c r="E113" s="163" t="s">
        <v>182</v>
      </c>
      <c r="F113" s="454" t="s">
        <v>61</v>
      </c>
      <c r="G113" s="164"/>
      <c r="H113" s="138"/>
      <c r="I113" s="134" t="str">
        <f t="shared" si="34"/>
        <v/>
      </c>
      <c r="J113" s="393"/>
      <c r="K113" s="134" t="str">
        <f t="shared" si="31"/>
        <v/>
      </c>
      <c r="L113" s="393"/>
      <c r="M113" s="134" t="str">
        <f t="shared" si="32"/>
        <v/>
      </c>
      <c r="N113" s="178"/>
      <c r="O113" s="184"/>
      <c r="P113" s="185"/>
      <c r="Q113" s="184"/>
      <c r="R113" s="185"/>
      <c r="S113" s="136"/>
      <c r="T113" s="133"/>
      <c r="U113" s="136"/>
      <c r="V113" s="140"/>
      <c r="W113" s="372" t="s">
        <v>211</v>
      </c>
      <c r="AB113" s="2" t="str">
        <f t="shared" si="26"/>
        <v/>
      </c>
    </row>
    <row r="114" spans="1:28" ht="15.75" customHeight="1" thickBot="1" x14ac:dyDescent="0.4">
      <c r="A114" s="108" t="str">
        <f t="shared" si="25"/>
        <v>X</v>
      </c>
      <c r="B114" s="1021"/>
      <c r="C114" s="1040"/>
      <c r="D114" s="1083"/>
      <c r="E114" s="163" t="s">
        <v>183</v>
      </c>
      <c r="F114" s="454" t="s">
        <v>61</v>
      </c>
      <c r="G114" s="164">
        <v>252</v>
      </c>
      <c r="H114" s="138">
        <v>252</v>
      </c>
      <c r="I114" s="134">
        <f t="shared" si="34"/>
        <v>0.31746031746031744</v>
      </c>
      <c r="J114" s="393">
        <v>80</v>
      </c>
      <c r="K114" s="134">
        <f t="shared" si="31"/>
        <v>0.40079365079365081</v>
      </c>
      <c r="L114" s="393">
        <v>101</v>
      </c>
      <c r="M114" s="134">
        <f t="shared" si="32"/>
        <v>0.37623762376237624</v>
      </c>
      <c r="N114" s="178">
        <f>22+16</f>
        <v>38</v>
      </c>
      <c r="O114" s="184">
        <v>33</v>
      </c>
      <c r="P114" s="185">
        <v>33</v>
      </c>
      <c r="Q114" s="184">
        <v>199</v>
      </c>
      <c r="R114" s="185">
        <v>199</v>
      </c>
      <c r="S114" s="136"/>
      <c r="T114" s="133"/>
      <c r="U114" s="136"/>
      <c r="V114" s="140"/>
      <c r="W114" s="372" t="s">
        <v>211</v>
      </c>
      <c r="AB114" s="2" t="str">
        <f t="shared" si="26"/>
        <v>Suisse</v>
      </c>
    </row>
    <row r="115" spans="1:28" ht="15.75" customHeight="1" thickBot="1" x14ac:dyDescent="0.4">
      <c r="A115" s="108" t="str">
        <f t="shared" si="25"/>
        <v>X</v>
      </c>
      <c r="B115" s="1021"/>
      <c r="C115" s="1040"/>
      <c r="D115" s="1083"/>
      <c r="E115" s="163" t="s">
        <v>184</v>
      </c>
      <c r="F115" s="454" t="s">
        <v>61</v>
      </c>
      <c r="G115" s="164">
        <v>17</v>
      </c>
      <c r="H115" s="138">
        <v>17</v>
      </c>
      <c r="I115" s="134">
        <f t="shared" si="34"/>
        <v>0.47058823529411764</v>
      </c>
      <c r="J115" s="393">
        <v>8</v>
      </c>
      <c r="K115" s="134">
        <f t="shared" si="31"/>
        <v>0.35294117647058826</v>
      </c>
      <c r="L115" s="393">
        <v>6</v>
      </c>
      <c r="M115" s="134">
        <f t="shared" si="32"/>
        <v>0.83333333333333337</v>
      </c>
      <c r="N115" s="178">
        <v>5</v>
      </c>
      <c r="O115" s="184">
        <v>3</v>
      </c>
      <c r="P115" s="185">
        <v>3</v>
      </c>
      <c r="Q115" s="184">
        <v>26</v>
      </c>
      <c r="R115" s="185">
        <v>26</v>
      </c>
      <c r="S115" s="136"/>
      <c r="T115" s="133"/>
      <c r="U115" s="136"/>
      <c r="V115" s="140"/>
      <c r="W115" s="372" t="s">
        <v>211</v>
      </c>
      <c r="AB115" s="2" t="str">
        <f t="shared" si="26"/>
        <v>Suisse</v>
      </c>
    </row>
    <row r="116" spans="1:28" ht="15.75" customHeight="1" thickBot="1" x14ac:dyDescent="0.4">
      <c r="A116" s="108" t="str">
        <f t="shared" si="25"/>
        <v>X</v>
      </c>
      <c r="B116" s="1021"/>
      <c r="C116" s="1040"/>
      <c r="D116" s="1083"/>
      <c r="E116" s="163" t="s">
        <v>185</v>
      </c>
      <c r="F116" s="454" t="s">
        <v>61</v>
      </c>
      <c r="G116" s="164">
        <v>24</v>
      </c>
      <c r="H116" s="138">
        <v>24</v>
      </c>
      <c r="I116" s="134">
        <f t="shared" si="34"/>
        <v>0.41666666666666669</v>
      </c>
      <c r="J116" s="393">
        <v>10</v>
      </c>
      <c r="K116" s="134">
        <f t="shared" si="31"/>
        <v>0.33333333333333331</v>
      </c>
      <c r="L116" s="393">
        <v>8</v>
      </c>
      <c r="M116" s="134">
        <f t="shared" si="32"/>
        <v>0.75</v>
      </c>
      <c r="N116" s="178">
        <v>6</v>
      </c>
      <c r="O116" s="184">
        <v>2</v>
      </c>
      <c r="P116" s="185">
        <v>2</v>
      </c>
      <c r="Q116" s="184">
        <v>11</v>
      </c>
      <c r="R116" s="185">
        <v>11</v>
      </c>
      <c r="S116" s="136"/>
      <c r="T116" s="133"/>
      <c r="U116" s="136"/>
      <c r="V116" s="140"/>
      <c r="W116" s="372" t="s">
        <v>211</v>
      </c>
      <c r="AB116" s="2" t="str">
        <f t="shared" si="26"/>
        <v>Suisse</v>
      </c>
    </row>
    <row r="117" spans="1:28" ht="15.75" customHeight="1" thickBot="1" x14ac:dyDescent="0.4">
      <c r="A117" s="108" t="str">
        <f t="shared" si="25"/>
        <v>X</v>
      </c>
      <c r="B117" s="1021"/>
      <c r="C117" s="1040"/>
      <c r="D117" s="1083"/>
      <c r="E117" s="163" t="s">
        <v>80</v>
      </c>
      <c r="F117" s="454" t="s">
        <v>61</v>
      </c>
      <c r="G117" s="164">
        <v>853</v>
      </c>
      <c r="H117" s="138">
        <v>853</v>
      </c>
      <c r="I117" s="134">
        <f t="shared" si="34"/>
        <v>0.43259085580304807</v>
      </c>
      <c r="J117" s="393">
        <v>369</v>
      </c>
      <c r="K117" s="134">
        <f t="shared" si="31"/>
        <v>0.38452520515826494</v>
      </c>
      <c r="L117" s="393">
        <v>328</v>
      </c>
      <c r="M117" s="134">
        <f t="shared" si="32"/>
        <v>0.61280487804878048</v>
      </c>
      <c r="N117" s="178">
        <f>185+16</f>
        <v>201</v>
      </c>
      <c r="O117" s="184">
        <v>59</v>
      </c>
      <c r="P117" s="185">
        <v>59</v>
      </c>
      <c r="Q117" s="184">
        <v>118</v>
      </c>
      <c r="R117" s="185">
        <v>118</v>
      </c>
      <c r="S117" s="136"/>
      <c r="T117" s="133"/>
      <c r="U117" s="136"/>
      <c r="V117" s="140"/>
      <c r="W117" s="372" t="s">
        <v>211</v>
      </c>
      <c r="AB117" s="2" t="str">
        <f t="shared" si="26"/>
        <v>Suisse</v>
      </c>
    </row>
    <row r="118" spans="1:28" ht="15.75" customHeight="1" thickBot="1" x14ac:dyDescent="0.4">
      <c r="A118" s="108" t="str">
        <f t="shared" si="25"/>
        <v>X</v>
      </c>
      <c r="B118" s="1021"/>
      <c r="C118" s="1040"/>
      <c r="D118" s="1083"/>
      <c r="E118" s="163" t="s">
        <v>51</v>
      </c>
      <c r="F118" s="454" t="s">
        <v>61</v>
      </c>
      <c r="G118" s="164">
        <v>822</v>
      </c>
      <c r="H118" s="138">
        <v>822</v>
      </c>
      <c r="I118" s="134">
        <f t="shared" si="34"/>
        <v>0.38442822384428221</v>
      </c>
      <c r="J118" s="393">
        <v>316</v>
      </c>
      <c r="K118" s="134">
        <f t="shared" si="31"/>
        <v>0.4002433090024331</v>
      </c>
      <c r="L118" s="393">
        <v>329</v>
      </c>
      <c r="M118" s="134">
        <f t="shared" si="32"/>
        <v>0.49240121580547114</v>
      </c>
      <c r="N118" s="178">
        <f>131+31</f>
        <v>162</v>
      </c>
      <c r="O118" s="184">
        <v>45</v>
      </c>
      <c r="P118" s="185">
        <v>45</v>
      </c>
      <c r="Q118" s="184">
        <v>63</v>
      </c>
      <c r="R118" s="185">
        <v>63</v>
      </c>
      <c r="S118" s="136"/>
      <c r="T118" s="133"/>
      <c r="U118" s="136"/>
      <c r="V118" s="140"/>
      <c r="W118" s="372" t="s">
        <v>211</v>
      </c>
      <c r="AB118" s="2" t="str">
        <f t="shared" si="26"/>
        <v>Suisse</v>
      </c>
    </row>
    <row r="119" spans="1:28" ht="15.75" hidden="1" customHeight="1" thickBot="1" x14ac:dyDescent="0.4">
      <c r="A119" s="108" t="str">
        <f t="shared" si="25"/>
        <v/>
      </c>
      <c r="B119" s="1021"/>
      <c r="C119" s="1040"/>
      <c r="D119" s="1083"/>
      <c r="E119" s="579"/>
      <c r="F119" s="454" t="s">
        <v>207</v>
      </c>
      <c r="G119" s="592"/>
      <c r="H119" s="593"/>
      <c r="I119" s="134" t="str">
        <f t="shared" si="34"/>
        <v/>
      </c>
      <c r="J119" s="591"/>
      <c r="K119" s="134" t="str">
        <f t="shared" si="31"/>
        <v/>
      </c>
      <c r="L119" s="591"/>
      <c r="M119" s="134" t="str">
        <f t="shared" si="32"/>
        <v/>
      </c>
      <c r="N119" s="580"/>
      <c r="O119" s="574"/>
      <c r="P119" s="575"/>
      <c r="Q119" s="574"/>
      <c r="R119" s="575"/>
      <c r="S119" s="576"/>
      <c r="T119" s="577"/>
      <c r="U119" s="576"/>
      <c r="V119" s="578"/>
      <c r="W119" s="372" t="s">
        <v>211</v>
      </c>
      <c r="AB119" s="2" t="str">
        <f t="shared" si="26"/>
        <v/>
      </c>
    </row>
    <row r="120" spans="1:28" ht="15.75" hidden="1" customHeight="1" thickBot="1" x14ac:dyDescent="0.4">
      <c r="A120" s="108" t="str">
        <f t="shared" si="25"/>
        <v/>
      </c>
      <c r="B120" s="1021"/>
      <c r="C120" s="1040"/>
      <c r="D120" s="1083"/>
      <c r="E120" s="579"/>
      <c r="F120" s="454" t="s">
        <v>207</v>
      </c>
      <c r="G120" s="592"/>
      <c r="H120" s="593"/>
      <c r="I120" s="134" t="str">
        <f t="shared" si="34"/>
        <v/>
      </c>
      <c r="J120" s="591"/>
      <c r="K120" s="134" t="str">
        <f t="shared" si="31"/>
        <v/>
      </c>
      <c r="L120" s="591"/>
      <c r="M120" s="134" t="str">
        <f t="shared" si="32"/>
        <v/>
      </c>
      <c r="N120" s="580"/>
      <c r="O120" s="574"/>
      <c r="P120" s="575"/>
      <c r="Q120" s="574"/>
      <c r="R120" s="575"/>
      <c r="S120" s="576"/>
      <c r="T120" s="577"/>
      <c r="U120" s="576"/>
      <c r="V120" s="578"/>
      <c r="W120" s="372" t="s">
        <v>211</v>
      </c>
      <c r="AB120" s="2" t="str">
        <f t="shared" si="26"/>
        <v/>
      </c>
    </row>
    <row r="121" spans="1:28" ht="15.75" customHeight="1" thickBot="1" x14ac:dyDescent="0.4">
      <c r="A121" s="108" t="str">
        <f t="shared" si="25"/>
        <v>X</v>
      </c>
      <c r="B121" s="1021"/>
      <c r="C121" s="1040"/>
      <c r="D121" s="1083"/>
      <c r="E121" s="165" t="s">
        <v>52</v>
      </c>
      <c r="F121" s="899" t="s">
        <v>61</v>
      </c>
      <c r="G121" s="166"/>
      <c r="H121" s="146"/>
      <c r="I121" s="142" t="str">
        <f t="shared" si="34"/>
        <v/>
      </c>
      <c r="J121" s="391"/>
      <c r="K121" s="142" t="str">
        <f t="shared" si="31"/>
        <v/>
      </c>
      <c r="L121" s="391"/>
      <c r="M121" s="142" t="str">
        <f t="shared" si="32"/>
        <v/>
      </c>
      <c r="N121" s="179"/>
      <c r="O121" s="186" t="s">
        <v>21</v>
      </c>
      <c r="P121" s="187" t="s">
        <v>21</v>
      </c>
      <c r="Q121" s="186" t="s">
        <v>21</v>
      </c>
      <c r="R121" s="187" t="s">
        <v>21</v>
      </c>
      <c r="S121" s="144"/>
      <c r="T121" s="141"/>
      <c r="U121" s="144"/>
      <c r="V121" s="175"/>
      <c r="W121" s="372" t="s">
        <v>211</v>
      </c>
      <c r="AB121" s="2" t="str">
        <f t="shared" si="26"/>
        <v/>
      </c>
    </row>
    <row r="122" spans="1:28" ht="16" thickBot="1" x14ac:dyDescent="0.4">
      <c r="A122" s="108" t="str">
        <f t="shared" si="25"/>
        <v>X</v>
      </c>
      <c r="B122" s="1030"/>
      <c r="C122" s="1040"/>
      <c r="D122" s="657" t="s">
        <v>138</v>
      </c>
      <c r="E122" s="353"/>
      <c r="F122" s="354"/>
      <c r="G122" s="355">
        <f>SUM(G104:G121)</f>
        <v>2652</v>
      </c>
      <c r="H122" s="356">
        <f>SUM(H104:H121)</f>
        <v>2652</v>
      </c>
      <c r="I122" s="27">
        <f t="shared" si="34"/>
        <v>0.43401206636500755</v>
      </c>
      <c r="J122" s="370">
        <f>SUM(J104:J121)</f>
        <v>1151</v>
      </c>
      <c r="K122" s="148">
        <f t="shared" si="31"/>
        <v>0.39328808446455504</v>
      </c>
      <c r="L122" s="370">
        <f>SUM(L104:L121)</f>
        <v>1043</v>
      </c>
      <c r="M122" s="27">
        <f t="shared" si="32"/>
        <v>0.57909875359539786</v>
      </c>
      <c r="N122" s="370">
        <f>SUM(N104:N121)</f>
        <v>604</v>
      </c>
      <c r="O122" s="259"/>
      <c r="P122" s="260"/>
      <c r="Q122" s="259"/>
      <c r="R122" s="260"/>
      <c r="S122" s="259"/>
      <c r="T122" s="260"/>
      <c r="U122" s="259"/>
      <c r="V122" s="261"/>
      <c r="W122" s="372" t="s">
        <v>211</v>
      </c>
      <c r="X122" s="367"/>
      <c r="Y122" s="367"/>
    </row>
    <row r="123" spans="1:28" s="53" customFormat="1" ht="27.75" customHeight="1" thickBot="1" x14ac:dyDescent="0.4">
      <c r="A123" s="108" t="str">
        <f t="shared" si="25"/>
        <v>X</v>
      </c>
      <c r="B123" s="218" t="s">
        <v>77</v>
      </c>
      <c r="C123" s="649"/>
      <c r="D123" s="649">
        <f>SUM(D49:D121)</f>
        <v>51</v>
      </c>
      <c r="E123" s="116">
        <f>COUNTIF(A49:A122,"X")</f>
        <v>63</v>
      </c>
      <c r="F123" s="780">
        <v>57</v>
      </c>
      <c r="G123" s="153">
        <f>G57+G65+G73+G84+G97+G103+G122</f>
        <v>4800</v>
      </c>
      <c r="H123" s="125">
        <f>H57+H65+H73+H84+H97+H103+H122</f>
        <v>4012</v>
      </c>
      <c r="I123" s="122">
        <f t="shared" si="34"/>
        <v>0.46041666666666664</v>
      </c>
      <c r="J123" s="123">
        <f>J57+J65+J73+J84+J97+J103+J122</f>
        <v>2210</v>
      </c>
      <c r="K123" s="122">
        <f t="shared" si="31"/>
        <v>0.38520833333333332</v>
      </c>
      <c r="L123" s="123">
        <f>L57+L65+L73+L84+L97+L103+L122</f>
        <v>1849</v>
      </c>
      <c r="M123" s="394">
        <f t="shared" si="32"/>
        <v>0.40292049756625203</v>
      </c>
      <c r="N123" s="123">
        <f t="shared" ref="N123:V123" si="35">N57+N65+N73+N84+N97+N103+N122</f>
        <v>745</v>
      </c>
      <c r="O123" s="124">
        <f t="shared" si="35"/>
        <v>30</v>
      </c>
      <c r="P123" s="125">
        <f t="shared" si="35"/>
        <v>26</v>
      </c>
      <c r="Q123" s="124">
        <f t="shared" si="35"/>
        <v>5</v>
      </c>
      <c r="R123" s="125">
        <f t="shared" si="35"/>
        <v>0</v>
      </c>
      <c r="S123" s="124">
        <f t="shared" si="35"/>
        <v>505</v>
      </c>
      <c r="T123" s="125">
        <f t="shared" si="35"/>
        <v>424</v>
      </c>
      <c r="U123" s="124">
        <f t="shared" si="35"/>
        <v>21</v>
      </c>
      <c r="V123" s="126">
        <f t="shared" si="35"/>
        <v>14</v>
      </c>
      <c r="W123" s="1014"/>
      <c r="X123" s="760"/>
      <c r="Y123" s="368"/>
      <c r="AB123" s="2"/>
    </row>
    <row r="124" spans="1:28" s="737" customFormat="1" ht="31.5" customHeight="1" thickBot="1" x14ac:dyDescent="0.4">
      <c r="A124" s="108" t="str">
        <f t="shared" si="25"/>
        <v>X</v>
      </c>
      <c r="B124" s="726" t="s">
        <v>66</v>
      </c>
      <c r="C124" s="727"/>
      <c r="D124" s="727">
        <f>D123+D48</f>
        <v>90</v>
      </c>
      <c r="E124" s="728">
        <f>E48+E123</f>
        <v>104</v>
      </c>
      <c r="F124" s="762">
        <v>95</v>
      </c>
      <c r="G124" s="729">
        <f>G48+G123</f>
        <v>5947</v>
      </c>
      <c r="H124" s="730">
        <f>H48+H123</f>
        <v>4834</v>
      </c>
      <c r="I124" s="731">
        <f t="shared" si="34"/>
        <v>0.42895577602152346</v>
      </c>
      <c r="J124" s="732">
        <f>J48+J123</f>
        <v>2551</v>
      </c>
      <c r="K124" s="731">
        <f t="shared" si="31"/>
        <v>0.37413822095174037</v>
      </c>
      <c r="L124" s="732">
        <f>L48+L123</f>
        <v>2225</v>
      </c>
      <c r="M124" s="733">
        <f t="shared" si="32"/>
        <v>0.38831460674157303</v>
      </c>
      <c r="N124" s="732">
        <f>N48+N123</f>
        <v>864</v>
      </c>
      <c r="O124" s="734"/>
      <c r="P124" s="730"/>
      <c r="Q124" s="734"/>
      <c r="R124" s="730"/>
      <c r="S124" s="734">
        <f>S123</f>
        <v>505</v>
      </c>
      <c r="T124" s="730">
        <f>T123</f>
        <v>424</v>
      </c>
      <c r="U124" s="734">
        <f>U123</f>
        <v>21</v>
      </c>
      <c r="V124" s="735">
        <f>V123</f>
        <v>14</v>
      </c>
      <c r="W124" s="1014"/>
      <c r="X124" s="779"/>
      <c r="AB124" s="2"/>
    </row>
    <row r="125" spans="1:28" x14ac:dyDescent="0.35">
      <c r="A125" s="108" t="s">
        <v>208</v>
      </c>
      <c r="B125" s="5"/>
      <c r="C125" s="35"/>
      <c r="D125" s="35"/>
      <c r="E125" s="5"/>
      <c r="F125" s="35"/>
      <c r="G125" s="154"/>
      <c r="H125" s="154"/>
      <c r="I125" s="155"/>
      <c r="J125" s="155"/>
      <c r="K125" s="155"/>
      <c r="L125" s="155"/>
      <c r="M125" s="1082" t="s">
        <v>68</v>
      </c>
      <c r="N125" s="1082"/>
      <c r="O125" s="154"/>
      <c r="P125" s="154"/>
      <c r="Q125" s="154"/>
      <c r="R125" s="154"/>
      <c r="S125" s="154"/>
      <c r="T125" s="154"/>
      <c r="U125" s="154"/>
      <c r="V125" s="154"/>
      <c r="AB125" s="2" t="str">
        <f t="shared" ref="AB125" si="36">IF(G125&gt;0,$F125,"")</f>
        <v/>
      </c>
    </row>
    <row r="126" spans="1:28" x14ac:dyDescent="0.35">
      <c r="A126" s="108" t="s">
        <v>208</v>
      </c>
      <c r="E126" s="114" t="s">
        <v>67</v>
      </c>
      <c r="F126" s="812" t="s">
        <v>209</v>
      </c>
    </row>
    <row r="127" spans="1:28" x14ac:dyDescent="0.35">
      <c r="A127" s="108" t="s">
        <v>208</v>
      </c>
      <c r="E127" s="1" t="s">
        <v>60</v>
      </c>
      <c r="F127" s="2">
        <f>COUNTIF(AB$5:AB$121,$E127)</f>
        <v>34</v>
      </c>
    </row>
    <row r="128" spans="1:28" x14ac:dyDescent="0.35">
      <c r="A128" s="108" t="s">
        <v>208</v>
      </c>
      <c r="E128" s="1" t="s">
        <v>61</v>
      </c>
      <c r="F128" s="2">
        <f t="shared" ref="F128:F129" si="37">COUNTIF(AB$5:AB$121,$E128)</f>
        <v>7</v>
      </c>
    </row>
    <row r="129" spans="1:6" x14ac:dyDescent="0.35">
      <c r="A129" s="108" t="s">
        <v>208</v>
      </c>
      <c r="E129" s="965" t="s">
        <v>62</v>
      </c>
      <c r="F129" s="115">
        <f t="shared" si="37"/>
        <v>18</v>
      </c>
    </row>
    <row r="130" spans="1:6" x14ac:dyDescent="0.35">
      <c r="A130" s="108" t="s">
        <v>208</v>
      </c>
      <c r="E130" s="979" t="s">
        <v>66</v>
      </c>
      <c r="F130" s="980">
        <f t="shared" ref="F130" si="38">SUM(F127:F129)</f>
        <v>59</v>
      </c>
    </row>
    <row r="138" spans="1:6" ht="15" customHeight="1" x14ac:dyDescent="0.35"/>
    <row r="139" spans="1:6" ht="15" customHeight="1" x14ac:dyDescent="0.35"/>
    <row r="140" spans="1:6" ht="15" customHeight="1" x14ac:dyDescent="0.35"/>
    <row r="141" spans="1:6" ht="15" customHeight="1" x14ac:dyDescent="0.35"/>
    <row r="142" spans="1:6" ht="15" customHeight="1" x14ac:dyDescent="0.35"/>
    <row r="143" spans="1:6" ht="15" customHeight="1" x14ac:dyDescent="0.35"/>
    <row r="144" spans="1:6" ht="15" customHeight="1" x14ac:dyDescent="0.35"/>
    <row r="145" ht="15" customHeight="1" x14ac:dyDescent="0.35"/>
    <row r="146" ht="15" customHeight="1" x14ac:dyDescent="0.35"/>
    <row r="147" ht="15.75" customHeight="1" x14ac:dyDescent="0.35"/>
    <row r="148" ht="15.75" customHeight="1" x14ac:dyDescent="0.35"/>
    <row r="149" ht="15" customHeight="1" x14ac:dyDescent="0.35"/>
    <row r="150" ht="15" customHeight="1" x14ac:dyDescent="0.35"/>
    <row r="151" ht="15" customHeight="1" x14ac:dyDescent="0.35"/>
    <row r="152" ht="15" customHeight="1" x14ac:dyDescent="0.35"/>
  </sheetData>
  <autoFilter ref="A1:V130" xr:uid="{00000000-0009-0000-0000-000003000000}">
    <filterColumn colId="0">
      <customFilters>
        <customFilter operator="notEqual" val=" "/>
      </customFilters>
    </filterColumn>
  </autoFilter>
  <mergeCells count="47">
    <mergeCell ref="D7:D22"/>
    <mergeCell ref="B104:B122"/>
    <mergeCell ref="C104:C122"/>
    <mergeCell ref="D104:D121"/>
    <mergeCell ref="M125:N125"/>
    <mergeCell ref="B85:B97"/>
    <mergeCell ref="C85:C97"/>
    <mergeCell ref="D85:D96"/>
    <mergeCell ref="B98:B103"/>
    <mergeCell ref="C98:C103"/>
    <mergeCell ref="D98:D102"/>
    <mergeCell ref="B66:B73"/>
    <mergeCell ref="C66:C73"/>
    <mergeCell ref="D66:D72"/>
    <mergeCell ref="B74:B84"/>
    <mergeCell ref="C74:C84"/>
    <mergeCell ref="D74:D83"/>
    <mergeCell ref="B36:B47"/>
    <mergeCell ref="C36:C47"/>
    <mergeCell ref="D36:D46"/>
    <mergeCell ref="B49:B57"/>
    <mergeCell ref="C49:C57"/>
    <mergeCell ref="D49:D56"/>
    <mergeCell ref="B58:B65"/>
    <mergeCell ref="C58:C65"/>
    <mergeCell ref="D58:D64"/>
    <mergeCell ref="S2:T2"/>
    <mergeCell ref="U2:V2"/>
    <mergeCell ref="B24:B35"/>
    <mergeCell ref="C24:C35"/>
    <mergeCell ref="D24:D34"/>
    <mergeCell ref="I2:I4"/>
    <mergeCell ref="J2:J4"/>
    <mergeCell ref="K2:K4"/>
    <mergeCell ref="L2:L4"/>
    <mergeCell ref="M2:M4"/>
    <mergeCell ref="N2:N4"/>
    <mergeCell ref="B2:B4"/>
    <mergeCell ref="C2:C4"/>
    <mergeCell ref="D2:D4"/>
    <mergeCell ref="B7:B23"/>
    <mergeCell ref="C7:C23"/>
    <mergeCell ref="E2:E4"/>
    <mergeCell ref="F2:F4"/>
    <mergeCell ref="G2:H2"/>
    <mergeCell ref="O2:P2"/>
    <mergeCell ref="Q2:R2"/>
  </mergeCells>
  <pageMargins left="0.23622047244094491" right="0.23622047244094491" top="0.35433070866141736" bottom="0.15748031496062992" header="0.31496062992125984" footer="0.31496062992125984"/>
  <pageSetup paperSize="9" scale="65" orientation="landscape" horizontalDpi="300" verticalDpi="300" r:id="rId1"/>
  <ignoredErrors>
    <ignoredError sqref="G5:G23 N7:R10 N12:R22 O11:R11 N23 N5:N6" formulaRange="1"/>
    <ignoredError sqref="H6:H22 H5 J6:J22 L6:L22 L23 J23 H23" formula="1" formulaRange="1"/>
    <ignoredError sqref="J5 L5" evalError="1" formula="1" formulaRange="1"/>
    <ignoredError sqref="G32:H33 G49:H56 G47:H47 G35:H35 G34:H34 J32:J33 L32:L33 J49:J56 L49:L56" evalError="1"/>
    <ignoredError sqref="I35:J35 L35 L47 J47 I97:M103 I84:M84" evalError="1" formula="1"/>
    <ignoredError sqref="I23 K23 M23 K35 M35 I47 I48 K48 M48 K47 M47 I57:M73 I124:M124 I104:M122 I85:M96 I123 K123 M123 I83 K83 M83 I78:M78 I76 K76 M76 I75 I74 K74 M74 I81:M82 I79 K79 M79 I77 K77 M77 K75 I80 K80 M80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rgb="FF00B050"/>
    <pageSetUpPr fitToPage="1"/>
  </sheetPr>
  <dimension ref="A1:BD152"/>
  <sheetViews>
    <sheetView tabSelected="1" zoomScale="70" zoomScaleNormal="70" workbookViewId="0">
      <pane xSplit="11" ySplit="4" topLeftCell="L15" activePane="bottomRight" state="frozen"/>
      <selection activeCell="I114" sqref="I114"/>
      <selection pane="topRight" activeCell="I114" sqref="I114"/>
      <selection pane="bottomLeft" activeCell="I114" sqref="I114"/>
      <selection pane="bottomRight" activeCell="F74" sqref="F74:F83"/>
    </sheetView>
  </sheetViews>
  <sheetFormatPr baseColWidth="10" defaultColWidth="11.453125" defaultRowHeight="14.5" x14ac:dyDescent="0.35"/>
  <cols>
    <col min="1" max="1" width="3" style="108" customWidth="1"/>
    <col min="2" max="2" width="33.7265625" style="1" customWidth="1"/>
    <col min="3" max="3" width="11.54296875" style="2" customWidth="1"/>
    <col min="4" max="6" width="6" style="2" customWidth="1"/>
    <col min="7" max="7" width="44.81640625" style="1" customWidth="1"/>
    <col min="8" max="10" width="6.81640625" style="2" customWidth="1"/>
    <col min="11" max="11" width="11.7265625" style="2" customWidth="1"/>
    <col min="12" max="17" width="9.26953125" style="2" customWidth="1"/>
    <col min="18" max="20" width="9.26953125" style="4" customWidth="1"/>
    <col min="21" max="23" width="9.26953125" style="2" customWidth="1"/>
    <col min="24" max="26" width="9.26953125" style="4" customWidth="1"/>
    <col min="27" max="29" width="9.26953125" style="2" customWidth="1"/>
    <col min="30" max="32" width="9.26953125" style="3" customWidth="1"/>
    <col min="33" max="35" width="9.26953125" style="4" customWidth="1"/>
    <col min="36" max="43" width="7.54296875" style="711" customWidth="1"/>
    <col min="44" max="44" width="3.26953125" style="956" customWidth="1"/>
    <col min="45" max="16384" width="11.453125" style="1"/>
  </cols>
  <sheetData>
    <row r="1" spans="1:53" s="108" customFormat="1" ht="17.25" customHeight="1" thickBot="1" x14ac:dyDescent="0.4">
      <c r="C1" s="111"/>
      <c r="D1" s="111"/>
      <c r="E1" s="111"/>
      <c r="F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3"/>
      <c r="S1" s="113"/>
      <c r="T1" s="113"/>
      <c r="U1" s="111"/>
      <c r="V1" s="111"/>
      <c r="W1" s="111"/>
      <c r="X1" s="113"/>
      <c r="Y1" s="113"/>
      <c r="Z1" s="113"/>
      <c r="AA1" s="111"/>
      <c r="AB1" s="111"/>
      <c r="AC1" s="111"/>
      <c r="AD1" s="112"/>
      <c r="AE1" s="112"/>
      <c r="AF1" s="112"/>
      <c r="AG1" s="113"/>
      <c r="AH1" s="113"/>
      <c r="AI1" s="113"/>
      <c r="AJ1" s="689"/>
      <c r="AK1" s="689"/>
      <c r="AL1" s="689"/>
      <c r="AM1" s="689"/>
      <c r="AN1" s="689"/>
      <c r="AO1" s="689"/>
      <c r="AP1" s="689"/>
      <c r="AQ1" s="689"/>
      <c r="AR1" s="956"/>
    </row>
    <row r="2" spans="1:53" s="6" customFormat="1" ht="30" customHeight="1" thickBot="1" x14ac:dyDescent="0.4">
      <c r="A2" s="109" t="s">
        <v>208</v>
      </c>
      <c r="B2" s="1048" t="s">
        <v>53</v>
      </c>
      <c r="C2" s="1110" t="s">
        <v>74</v>
      </c>
      <c r="D2" s="1114" t="s">
        <v>206</v>
      </c>
      <c r="E2" s="1114"/>
      <c r="F2" s="1114"/>
      <c r="G2" s="1111" t="s">
        <v>79</v>
      </c>
      <c r="H2" s="1011"/>
      <c r="I2" s="1011"/>
      <c r="J2" s="1012"/>
      <c r="K2" s="1041" t="s">
        <v>59</v>
      </c>
      <c r="L2" s="524" t="s">
        <v>54</v>
      </c>
      <c r="M2" s="525"/>
      <c r="N2" s="525"/>
      <c r="O2" s="525"/>
      <c r="P2" s="525"/>
      <c r="Q2" s="526"/>
      <c r="R2" s="538" t="s">
        <v>160</v>
      </c>
      <c r="S2" s="527"/>
      <c r="T2" s="528"/>
      <c r="U2" s="525"/>
      <c r="V2" s="525"/>
      <c r="W2" s="526"/>
      <c r="X2" s="538" t="s">
        <v>204</v>
      </c>
      <c r="Y2" s="527"/>
      <c r="Z2" s="528"/>
      <c r="AA2" s="525"/>
      <c r="AB2" s="525"/>
      <c r="AC2" s="526"/>
      <c r="AD2" s="538" t="s">
        <v>205</v>
      </c>
      <c r="AE2" s="527"/>
      <c r="AF2" s="528"/>
      <c r="AG2" s="525"/>
      <c r="AH2" s="525"/>
      <c r="AI2" s="526"/>
      <c r="AJ2" s="1112" t="s">
        <v>39</v>
      </c>
      <c r="AK2" s="1113"/>
      <c r="AL2" s="1112" t="s">
        <v>40</v>
      </c>
      <c r="AM2" s="1113"/>
      <c r="AN2" s="1112" t="s">
        <v>41</v>
      </c>
      <c r="AO2" s="1113"/>
      <c r="AP2" s="1102" t="s">
        <v>42</v>
      </c>
      <c r="AQ2" s="1103"/>
      <c r="AR2" s="957"/>
    </row>
    <row r="3" spans="1:53" s="6" customFormat="1" ht="30" customHeight="1" thickBot="1" x14ac:dyDescent="0.4">
      <c r="A3" s="109" t="s">
        <v>208</v>
      </c>
      <c r="B3" s="1048"/>
      <c r="C3" s="1110"/>
      <c r="D3" s="1115"/>
      <c r="E3" s="1115"/>
      <c r="F3" s="1115"/>
      <c r="G3" s="1111"/>
      <c r="H3" s="788"/>
      <c r="I3" s="788"/>
      <c r="J3" s="1013"/>
      <c r="K3" s="1065"/>
      <c r="L3" s="507" t="s">
        <v>159</v>
      </c>
      <c r="M3" s="508"/>
      <c r="N3" s="509"/>
      <c r="O3" s="511" t="s">
        <v>44</v>
      </c>
      <c r="P3" s="508"/>
      <c r="Q3" s="509"/>
      <c r="R3" s="532" t="s">
        <v>161</v>
      </c>
      <c r="S3" s="533"/>
      <c r="T3" s="523"/>
      <c r="U3" s="511" t="s">
        <v>162</v>
      </c>
      <c r="V3" s="508"/>
      <c r="W3" s="509"/>
      <c r="X3" s="532" t="s">
        <v>161</v>
      </c>
      <c r="Y3" s="533"/>
      <c r="Z3" s="523"/>
      <c r="AA3" s="511" t="s">
        <v>162</v>
      </c>
      <c r="AB3" s="508"/>
      <c r="AC3" s="509"/>
      <c r="AD3" s="532" t="s">
        <v>161</v>
      </c>
      <c r="AE3" s="533"/>
      <c r="AF3" s="523"/>
      <c r="AG3" s="511" t="s">
        <v>162</v>
      </c>
      <c r="AH3" s="508"/>
      <c r="AI3" s="509"/>
      <c r="AJ3" s="690"/>
      <c r="AK3" s="691"/>
      <c r="AL3" s="690"/>
      <c r="AM3" s="691"/>
      <c r="AN3" s="690"/>
      <c r="AO3" s="691"/>
      <c r="AP3" s="692"/>
      <c r="AQ3" s="693"/>
      <c r="AR3" s="957"/>
    </row>
    <row r="4" spans="1:53" s="6" customFormat="1" ht="30" customHeight="1" thickBot="1" x14ac:dyDescent="0.4">
      <c r="A4" s="109" t="s">
        <v>208</v>
      </c>
      <c r="B4" s="1048"/>
      <c r="C4" s="1110"/>
      <c r="D4" s="234">
        <v>2020</v>
      </c>
      <c r="E4" s="228">
        <v>2021</v>
      </c>
      <c r="F4" s="229">
        <v>2022</v>
      </c>
      <c r="G4" s="1111"/>
      <c r="H4" s="228">
        <v>2020</v>
      </c>
      <c r="I4" s="228">
        <v>2021</v>
      </c>
      <c r="J4" s="229">
        <v>2022</v>
      </c>
      <c r="K4" s="1066"/>
      <c r="L4" s="505">
        <v>2020</v>
      </c>
      <c r="M4" s="506">
        <v>2021</v>
      </c>
      <c r="N4" s="510">
        <v>2022</v>
      </c>
      <c r="O4" s="512">
        <v>2020</v>
      </c>
      <c r="P4" s="506">
        <v>2021</v>
      </c>
      <c r="Q4" s="510">
        <v>2022</v>
      </c>
      <c r="R4" s="530">
        <v>2020</v>
      </c>
      <c r="S4" s="531">
        <v>2021</v>
      </c>
      <c r="T4" s="529">
        <v>2022</v>
      </c>
      <c r="U4" s="512">
        <v>2020</v>
      </c>
      <c r="V4" s="506">
        <v>2021</v>
      </c>
      <c r="W4" s="510">
        <v>2022</v>
      </c>
      <c r="X4" s="530">
        <v>2020</v>
      </c>
      <c r="Y4" s="531">
        <v>2021</v>
      </c>
      <c r="Z4" s="529">
        <v>2022</v>
      </c>
      <c r="AA4" s="512">
        <v>2020</v>
      </c>
      <c r="AB4" s="506">
        <v>2021</v>
      </c>
      <c r="AC4" s="510">
        <v>2022</v>
      </c>
      <c r="AD4" s="660">
        <v>2020</v>
      </c>
      <c r="AE4" s="661">
        <v>2021</v>
      </c>
      <c r="AF4" s="671">
        <v>2022</v>
      </c>
      <c r="AG4" s="672">
        <v>2020</v>
      </c>
      <c r="AH4" s="662">
        <v>2021</v>
      </c>
      <c r="AI4" s="663">
        <v>2022</v>
      </c>
      <c r="AJ4" s="694" t="s">
        <v>43</v>
      </c>
      <c r="AK4" s="695" t="s">
        <v>44</v>
      </c>
      <c r="AL4" s="694" t="s">
        <v>43</v>
      </c>
      <c r="AM4" s="695" t="s">
        <v>44</v>
      </c>
      <c r="AN4" s="694" t="s">
        <v>43</v>
      </c>
      <c r="AO4" s="695" t="s">
        <v>44</v>
      </c>
      <c r="AP4" s="694" t="s">
        <v>43</v>
      </c>
      <c r="AQ4" s="696" t="s">
        <v>44</v>
      </c>
      <c r="AR4" s="957"/>
      <c r="AY4" s="6">
        <v>2020</v>
      </c>
      <c r="AZ4" s="6">
        <v>2021</v>
      </c>
      <c r="BA4" s="6">
        <v>2022</v>
      </c>
    </row>
    <row r="5" spans="1:53" ht="15.5" x14ac:dyDescent="0.35">
      <c r="A5" s="108" t="str">
        <f>IF(D5="Sous-total","X",IF(G5="","","X"))</f>
        <v>X</v>
      </c>
      <c r="B5" s="170" t="s">
        <v>86</v>
      </c>
      <c r="C5" s="1007" t="s">
        <v>75</v>
      </c>
      <c r="D5" s="794">
        <f>'2020'!D5</f>
        <v>2</v>
      </c>
      <c r="E5" s="789">
        <f>'2021'!D5</f>
        <v>2</v>
      </c>
      <c r="F5" s="800">
        <f>'2022'!D5</f>
        <v>2</v>
      </c>
      <c r="G5" s="804" t="s">
        <v>71</v>
      </c>
      <c r="H5" s="816" t="str">
        <f>IF(L5=0,"","X")</f>
        <v>X</v>
      </c>
      <c r="I5" s="816" t="str">
        <f t="shared" ref="I5:J5" si="0">IF(M5=0,"","X")</f>
        <v>X</v>
      </c>
      <c r="J5" s="817" t="str">
        <f t="shared" si="0"/>
        <v/>
      </c>
      <c r="K5" s="158" t="s">
        <v>60</v>
      </c>
      <c r="L5" s="639">
        <f>'2020'!G5</f>
        <v>63</v>
      </c>
      <c r="M5" s="640">
        <f>'2021'!G5</f>
        <v>102</v>
      </c>
      <c r="N5" s="641">
        <f>'2022'!G5</f>
        <v>0</v>
      </c>
      <c r="O5" s="642">
        <f>'2020'!H5</f>
        <v>29</v>
      </c>
      <c r="P5" s="640">
        <f>'2021'!H5</f>
        <v>94</v>
      </c>
      <c r="Q5" s="641">
        <f>'2022'!H5</f>
        <v>0</v>
      </c>
      <c r="R5" s="388">
        <f t="shared" ref="R5:R35" si="1">IF(L5="",0,IF(U5=0,0,U5/L5))</f>
        <v>3.1746031746031744E-2</v>
      </c>
      <c r="S5" s="171">
        <f t="shared" ref="S5:S35" si="2">IF(M5="",0,IF(V5=0,0,V5/M5))</f>
        <v>1.9607843137254902E-2</v>
      </c>
      <c r="T5" s="643">
        <f t="shared" ref="T5:T35" si="3">IF(N5="",0,IF(W5=0,0,W5/N5))</f>
        <v>0</v>
      </c>
      <c r="U5" s="642">
        <f>'2020'!J5</f>
        <v>2</v>
      </c>
      <c r="V5" s="640">
        <f>'2021'!J5</f>
        <v>2</v>
      </c>
      <c r="W5" s="641">
        <f>'2022'!J5</f>
        <v>0</v>
      </c>
      <c r="X5" s="388">
        <f t="shared" ref="X5:X37" si="4">IF(L5=0,"",IF(AA5="","",AA5/L5))</f>
        <v>0.26984126984126983</v>
      </c>
      <c r="Y5" s="171">
        <f t="shared" ref="Y5:Y37" si="5">IF(M5=0,"",IF(AB5="","",AB5/M5))</f>
        <v>0.17647058823529413</v>
      </c>
      <c r="Z5" s="643" t="str">
        <f t="shared" ref="Z5:Z37" si="6">IF(N5=0,"",IF(AC5="","",AC5/N5))</f>
        <v/>
      </c>
      <c r="AA5" s="642">
        <f>'2020'!L5</f>
        <v>17</v>
      </c>
      <c r="AB5" s="640">
        <f>'2021'!L5</f>
        <v>18</v>
      </c>
      <c r="AC5" s="641">
        <f>'2022'!L5</f>
        <v>0</v>
      </c>
      <c r="AD5" s="664">
        <f t="shared" ref="AD5:AF65" si="7">IF(AA5=0,"",IF(AG5="-","",AG5/AA5))</f>
        <v>0.11764705882352941</v>
      </c>
      <c r="AE5" s="665">
        <f t="shared" si="7"/>
        <v>0.1111111111111111</v>
      </c>
      <c r="AF5" s="673" t="str">
        <f t="shared" si="7"/>
        <v/>
      </c>
      <c r="AG5" s="677">
        <f>'2020'!N5</f>
        <v>2</v>
      </c>
      <c r="AH5" s="678">
        <f>'2021'!N5</f>
        <v>2</v>
      </c>
      <c r="AI5" s="679">
        <f>'2022'!N5</f>
        <v>0</v>
      </c>
      <c r="AJ5" s="697" t="s">
        <v>21</v>
      </c>
      <c r="AK5" s="698" t="s">
        <v>21</v>
      </c>
      <c r="AL5" s="697" t="s">
        <v>21</v>
      </c>
      <c r="AM5" s="698" t="s">
        <v>21</v>
      </c>
      <c r="AN5" s="699" t="s">
        <v>21</v>
      </c>
      <c r="AO5" s="700" t="s">
        <v>21</v>
      </c>
      <c r="AP5" s="699" t="s">
        <v>21</v>
      </c>
      <c r="AQ5" s="701" t="s">
        <v>21</v>
      </c>
      <c r="AY5" s="1" t="str">
        <f t="shared" ref="AY5:AZ5" si="8">IF(H5&lt;&gt;"",$K5,"")</f>
        <v>France</v>
      </c>
      <c r="AZ5" s="1" t="str">
        <f t="shared" si="8"/>
        <v>France</v>
      </c>
      <c r="BA5" s="1" t="str">
        <f>IF(J5&lt;&gt;"",$K5,"")</f>
        <v/>
      </c>
    </row>
    <row r="6" spans="1:53" ht="15.5" x14ac:dyDescent="0.35">
      <c r="A6" s="108" t="str">
        <f t="shared" ref="A6:A69" si="9">IF(D6="Sous-total","X",IF(G6="","","X"))</f>
        <v>X</v>
      </c>
      <c r="B6" s="1005" t="s">
        <v>167</v>
      </c>
      <c r="C6" s="1006" t="s">
        <v>75</v>
      </c>
      <c r="D6" s="1008">
        <f>'2020'!D6</f>
        <v>0</v>
      </c>
      <c r="E6" s="1009">
        <f>'2021'!D6</f>
        <v>0</v>
      </c>
      <c r="F6" s="1010">
        <f>'2022'!D6</f>
        <v>2</v>
      </c>
      <c r="G6" s="805" t="s">
        <v>168</v>
      </c>
      <c r="H6" s="818" t="str">
        <f t="shared" ref="H6:H22" si="10">IF(L6=0,"","X")</f>
        <v/>
      </c>
      <c r="I6" s="818" t="str">
        <f t="shared" ref="I6:I22" si="11">IF(M6=0,"","X")</f>
        <v/>
      </c>
      <c r="J6" s="819" t="str">
        <f>IF(N6=0,"","X")</f>
        <v>X</v>
      </c>
      <c r="K6" s="635" t="s">
        <v>60</v>
      </c>
      <c r="L6" s="644">
        <f>'2020'!G6</f>
        <v>0</v>
      </c>
      <c r="M6" s="645">
        <f>'2021'!G6</f>
        <v>0</v>
      </c>
      <c r="N6" s="646">
        <f>'2022'!G6</f>
        <v>20</v>
      </c>
      <c r="O6" s="647">
        <f>'2020'!H6</f>
        <v>0</v>
      </c>
      <c r="P6" s="645">
        <f>'2021'!H6</f>
        <v>0</v>
      </c>
      <c r="Q6" s="646">
        <f>'2022'!H6</f>
        <v>9</v>
      </c>
      <c r="R6" s="148">
        <f t="shared" si="1"/>
        <v>0</v>
      </c>
      <c r="S6" s="483">
        <f t="shared" si="2"/>
        <v>0</v>
      </c>
      <c r="T6" s="534">
        <f t="shared" si="3"/>
        <v>0.4</v>
      </c>
      <c r="U6" s="647">
        <f>'2020'!J6</f>
        <v>0</v>
      </c>
      <c r="V6" s="645">
        <f>'2021'!J6</f>
        <v>0</v>
      </c>
      <c r="W6" s="646">
        <f>'2022'!J6</f>
        <v>8</v>
      </c>
      <c r="X6" s="148" t="str">
        <f t="shared" si="4"/>
        <v/>
      </c>
      <c r="Y6" s="483" t="str">
        <f t="shared" si="5"/>
        <v/>
      </c>
      <c r="Z6" s="534">
        <f t="shared" si="6"/>
        <v>0.2</v>
      </c>
      <c r="AA6" s="647">
        <f>'2020'!L6</f>
        <v>0</v>
      </c>
      <c r="AB6" s="645">
        <f>'2021'!L6</f>
        <v>0</v>
      </c>
      <c r="AC6" s="646">
        <f>'2022'!L6</f>
        <v>4</v>
      </c>
      <c r="AD6" s="666" t="str">
        <f t="shared" si="7"/>
        <v/>
      </c>
      <c r="AE6" s="667" t="str">
        <f t="shared" si="7"/>
        <v/>
      </c>
      <c r="AF6" s="674">
        <f t="shared" si="7"/>
        <v>0.5</v>
      </c>
      <c r="AG6" s="680">
        <f>'2020'!N6</f>
        <v>0</v>
      </c>
      <c r="AH6" s="681">
        <f>'2021'!N6</f>
        <v>0</v>
      </c>
      <c r="AI6" s="682">
        <f>'2022'!N6</f>
        <v>2</v>
      </c>
      <c r="AJ6" s="702" t="s">
        <v>21</v>
      </c>
      <c r="AK6" s="703" t="s">
        <v>21</v>
      </c>
      <c r="AL6" s="702" t="s">
        <v>21</v>
      </c>
      <c r="AM6" s="703" t="s">
        <v>21</v>
      </c>
      <c r="AN6" s="704" t="s">
        <v>21</v>
      </c>
      <c r="AO6" s="705" t="s">
        <v>21</v>
      </c>
      <c r="AP6" s="704" t="s">
        <v>21</v>
      </c>
      <c r="AQ6" s="706" t="s">
        <v>21</v>
      </c>
      <c r="AY6" s="1" t="str">
        <f t="shared" ref="AY6:AY43" si="12">IF(H6&lt;&gt;"",$K6,"")</f>
        <v/>
      </c>
      <c r="AZ6" s="1" t="str">
        <f t="shared" ref="AZ6:AZ43" si="13">IF(I6&lt;&gt;"",$K6,"")</f>
        <v/>
      </c>
      <c r="BA6" s="1" t="str">
        <f t="shared" ref="BA6:BA43" si="14">IF(J6&lt;&gt;"",$K6,"")</f>
        <v>France</v>
      </c>
    </row>
    <row r="7" spans="1:53" ht="15" customHeight="1" x14ac:dyDescent="0.35">
      <c r="A7" s="108" t="str">
        <f t="shared" si="9"/>
        <v>X</v>
      </c>
      <c r="B7" s="1104" t="s">
        <v>172</v>
      </c>
      <c r="C7" s="1105" t="s">
        <v>75</v>
      </c>
      <c r="D7" s="1107">
        <f>'2020'!D7</f>
        <v>0</v>
      </c>
      <c r="E7" s="1145">
        <f>'2021'!D7</f>
        <v>0</v>
      </c>
      <c r="F7" s="1148">
        <f>'2022'!D7</f>
        <v>18</v>
      </c>
      <c r="G7" s="813" t="s">
        <v>186</v>
      </c>
      <c r="H7" s="832" t="str">
        <f t="shared" si="10"/>
        <v/>
      </c>
      <c r="I7" s="832" t="str">
        <f t="shared" si="11"/>
        <v/>
      </c>
      <c r="J7" s="833" t="str">
        <f t="shared" ref="J7:J22" si="15">IF(N7=0,"","X")</f>
        <v>X</v>
      </c>
      <c r="K7" s="447" t="s">
        <v>60</v>
      </c>
      <c r="L7" s="939">
        <f>'2020'!G7</f>
        <v>0</v>
      </c>
      <c r="M7" s="940">
        <f>'2021'!G7</f>
        <v>0</v>
      </c>
      <c r="N7" s="941">
        <f>'2022'!G7</f>
        <v>23</v>
      </c>
      <c r="O7" s="942">
        <f>'2020'!H7</f>
        <v>0</v>
      </c>
      <c r="P7" s="940">
        <f>'2021'!H7</f>
        <v>0</v>
      </c>
      <c r="Q7" s="941">
        <f>'2022'!H7</f>
        <v>23</v>
      </c>
      <c r="R7" s="943">
        <f t="shared" si="1"/>
        <v>0</v>
      </c>
      <c r="S7" s="944">
        <f t="shared" si="2"/>
        <v>0</v>
      </c>
      <c r="T7" s="945">
        <f t="shared" si="3"/>
        <v>0.47826086956521741</v>
      </c>
      <c r="U7" s="942">
        <f>'2020'!J7</f>
        <v>0</v>
      </c>
      <c r="V7" s="940">
        <f>'2021'!J7</f>
        <v>0</v>
      </c>
      <c r="W7" s="941">
        <f>'2022'!J7</f>
        <v>11</v>
      </c>
      <c r="X7" s="943" t="str">
        <f t="shared" si="4"/>
        <v/>
      </c>
      <c r="Y7" s="944" t="str">
        <f t="shared" si="5"/>
        <v/>
      </c>
      <c r="Z7" s="945">
        <f t="shared" si="6"/>
        <v>0.47826086956521741</v>
      </c>
      <c r="AA7" s="942">
        <f>'2020'!L7</f>
        <v>0</v>
      </c>
      <c r="AB7" s="940">
        <f>'2021'!L7</f>
        <v>0</v>
      </c>
      <c r="AC7" s="941">
        <f>'2022'!L7</f>
        <v>11</v>
      </c>
      <c r="AD7" s="872" t="str">
        <f t="shared" si="7"/>
        <v/>
      </c>
      <c r="AE7" s="873" t="str">
        <f t="shared" si="7"/>
        <v/>
      </c>
      <c r="AF7" s="874">
        <f t="shared" si="7"/>
        <v>0.90909090909090906</v>
      </c>
      <c r="AG7" s="875" t="str">
        <f>'2020'!N7</f>
        <v>-</v>
      </c>
      <c r="AH7" s="876" t="str">
        <f>'2021'!N7</f>
        <v>-</v>
      </c>
      <c r="AI7" s="877">
        <f>'2022'!N7</f>
        <v>10</v>
      </c>
      <c r="AJ7" s="878" t="s">
        <v>21</v>
      </c>
      <c r="AK7" s="879" t="s">
        <v>21</v>
      </c>
      <c r="AL7" s="878" t="s">
        <v>21</v>
      </c>
      <c r="AM7" s="879" t="s">
        <v>21</v>
      </c>
      <c r="AN7" s="880" t="s">
        <v>21</v>
      </c>
      <c r="AO7" s="881" t="s">
        <v>21</v>
      </c>
      <c r="AP7" s="880" t="s">
        <v>21</v>
      </c>
      <c r="AQ7" s="882" t="s">
        <v>21</v>
      </c>
      <c r="AY7" s="1" t="str">
        <f t="shared" si="12"/>
        <v/>
      </c>
      <c r="AZ7" s="1" t="str">
        <f t="shared" si="13"/>
        <v/>
      </c>
      <c r="BA7" s="1" t="str">
        <f t="shared" si="14"/>
        <v>France</v>
      </c>
    </row>
    <row r="8" spans="1:53" ht="15" customHeight="1" x14ac:dyDescent="0.35">
      <c r="A8" s="108" t="str">
        <f t="shared" si="9"/>
        <v>X</v>
      </c>
      <c r="B8" s="1104"/>
      <c r="C8" s="1105"/>
      <c r="D8" s="1108"/>
      <c r="E8" s="1146"/>
      <c r="F8" s="1149"/>
      <c r="G8" s="814" t="s">
        <v>187</v>
      </c>
      <c r="H8" s="834" t="str">
        <f t="shared" si="10"/>
        <v/>
      </c>
      <c r="I8" s="834" t="str">
        <f t="shared" si="11"/>
        <v/>
      </c>
      <c r="J8" s="835" t="str">
        <f t="shared" si="15"/>
        <v>X</v>
      </c>
      <c r="K8" s="454" t="s">
        <v>60</v>
      </c>
      <c r="L8" s="946">
        <f>'2020'!G8</f>
        <v>0</v>
      </c>
      <c r="M8" s="947">
        <f>'2021'!G8</f>
        <v>0</v>
      </c>
      <c r="N8" s="938">
        <f>'2022'!G8</f>
        <v>25</v>
      </c>
      <c r="O8" s="948">
        <f>'2020'!H8</f>
        <v>0</v>
      </c>
      <c r="P8" s="947">
        <f>'2021'!H8</f>
        <v>0</v>
      </c>
      <c r="Q8" s="938">
        <f>'2022'!H8</f>
        <v>13</v>
      </c>
      <c r="R8" s="949">
        <f t="shared" si="1"/>
        <v>0</v>
      </c>
      <c r="S8" s="950">
        <f t="shared" si="2"/>
        <v>0</v>
      </c>
      <c r="T8" s="951">
        <f t="shared" si="3"/>
        <v>0.4</v>
      </c>
      <c r="U8" s="948">
        <f>'2020'!J8</f>
        <v>0</v>
      </c>
      <c r="V8" s="947">
        <f>'2021'!J8</f>
        <v>0</v>
      </c>
      <c r="W8" s="938">
        <f>'2022'!J8</f>
        <v>10</v>
      </c>
      <c r="X8" s="949" t="str">
        <f t="shared" si="4"/>
        <v/>
      </c>
      <c r="Y8" s="950" t="str">
        <f t="shared" si="5"/>
        <v/>
      </c>
      <c r="Z8" s="951">
        <f t="shared" si="6"/>
        <v>0.44</v>
      </c>
      <c r="AA8" s="948">
        <f>'2020'!L8</f>
        <v>0</v>
      </c>
      <c r="AB8" s="947">
        <f>'2021'!L8</f>
        <v>0</v>
      </c>
      <c r="AC8" s="938">
        <f>'2022'!L8</f>
        <v>11</v>
      </c>
      <c r="AD8" s="885" t="str">
        <f t="shared" si="7"/>
        <v/>
      </c>
      <c r="AE8" s="886" t="str">
        <f t="shared" si="7"/>
        <v/>
      </c>
      <c r="AF8" s="887">
        <f t="shared" si="7"/>
        <v>0.63636363636363635</v>
      </c>
      <c r="AG8" s="888" t="str">
        <f>'2020'!N8</f>
        <v>-</v>
      </c>
      <c r="AH8" s="889" t="str">
        <f>'2021'!N8</f>
        <v>-</v>
      </c>
      <c r="AI8" s="890">
        <f>'2022'!N8</f>
        <v>7</v>
      </c>
      <c r="AJ8" s="891" t="s">
        <v>21</v>
      </c>
      <c r="AK8" s="892" t="s">
        <v>21</v>
      </c>
      <c r="AL8" s="891" t="s">
        <v>21</v>
      </c>
      <c r="AM8" s="892" t="s">
        <v>21</v>
      </c>
      <c r="AN8" s="893" t="s">
        <v>21</v>
      </c>
      <c r="AO8" s="894" t="s">
        <v>21</v>
      </c>
      <c r="AP8" s="893" t="s">
        <v>21</v>
      </c>
      <c r="AQ8" s="895" t="s">
        <v>21</v>
      </c>
      <c r="AY8" s="1" t="str">
        <f t="shared" si="12"/>
        <v/>
      </c>
      <c r="AZ8" s="1" t="str">
        <f t="shared" si="13"/>
        <v/>
      </c>
      <c r="BA8" s="1" t="str">
        <f t="shared" si="14"/>
        <v>France</v>
      </c>
    </row>
    <row r="9" spans="1:53" ht="15" customHeight="1" x14ac:dyDescent="0.35">
      <c r="A9" s="108" t="str">
        <f t="shared" si="9"/>
        <v>X</v>
      </c>
      <c r="B9" s="1104"/>
      <c r="C9" s="1105"/>
      <c r="D9" s="1108"/>
      <c r="E9" s="1146"/>
      <c r="F9" s="1149"/>
      <c r="G9" s="814" t="s">
        <v>188</v>
      </c>
      <c r="H9" s="834" t="str">
        <f t="shared" si="10"/>
        <v/>
      </c>
      <c r="I9" s="834" t="str">
        <f t="shared" si="11"/>
        <v/>
      </c>
      <c r="J9" s="835" t="str">
        <f t="shared" si="15"/>
        <v>X</v>
      </c>
      <c r="K9" s="454" t="s">
        <v>60</v>
      </c>
      <c r="L9" s="946">
        <f>'2020'!G9</f>
        <v>0</v>
      </c>
      <c r="M9" s="947">
        <f>'2021'!G9</f>
        <v>0</v>
      </c>
      <c r="N9" s="938">
        <f>'2022'!G9</f>
        <v>20</v>
      </c>
      <c r="O9" s="948">
        <f>'2020'!H9</f>
        <v>0</v>
      </c>
      <c r="P9" s="947">
        <f>'2021'!H9</f>
        <v>0</v>
      </c>
      <c r="Q9" s="938">
        <f>'2022'!H9</f>
        <v>20</v>
      </c>
      <c r="R9" s="949">
        <f t="shared" si="1"/>
        <v>0</v>
      </c>
      <c r="S9" s="950">
        <f t="shared" si="2"/>
        <v>0</v>
      </c>
      <c r="T9" s="951">
        <f t="shared" si="3"/>
        <v>0.45</v>
      </c>
      <c r="U9" s="948">
        <f>'2020'!J9</f>
        <v>0</v>
      </c>
      <c r="V9" s="947">
        <f>'2021'!J9</f>
        <v>0</v>
      </c>
      <c r="W9" s="938">
        <f>'2022'!J9</f>
        <v>9</v>
      </c>
      <c r="X9" s="949" t="str">
        <f t="shared" si="4"/>
        <v/>
      </c>
      <c r="Y9" s="950" t="str">
        <f t="shared" si="5"/>
        <v/>
      </c>
      <c r="Z9" s="951">
        <f t="shared" si="6"/>
        <v>0.4</v>
      </c>
      <c r="AA9" s="948">
        <f>'2020'!L9</f>
        <v>0</v>
      </c>
      <c r="AB9" s="947">
        <f>'2021'!L9</f>
        <v>0</v>
      </c>
      <c r="AC9" s="938">
        <f>'2022'!L9</f>
        <v>8</v>
      </c>
      <c r="AD9" s="885" t="str">
        <f t="shared" si="7"/>
        <v/>
      </c>
      <c r="AE9" s="886" t="str">
        <f t="shared" si="7"/>
        <v/>
      </c>
      <c r="AF9" s="887">
        <f t="shared" si="7"/>
        <v>0.375</v>
      </c>
      <c r="AG9" s="888" t="str">
        <f>'2020'!N9</f>
        <v>-</v>
      </c>
      <c r="AH9" s="889" t="str">
        <f>'2021'!N9</f>
        <v>-</v>
      </c>
      <c r="AI9" s="890">
        <f>'2022'!N9</f>
        <v>3</v>
      </c>
      <c r="AJ9" s="891" t="s">
        <v>21</v>
      </c>
      <c r="AK9" s="892" t="s">
        <v>21</v>
      </c>
      <c r="AL9" s="891" t="s">
        <v>21</v>
      </c>
      <c r="AM9" s="892" t="s">
        <v>21</v>
      </c>
      <c r="AN9" s="893" t="s">
        <v>21</v>
      </c>
      <c r="AO9" s="894" t="s">
        <v>21</v>
      </c>
      <c r="AP9" s="893" t="s">
        <v>21</v>
      </c>
      <c r="AQ9" s="895" t="s">
        <v>21</v>
      </c>
      <c r="AY9" s="1" t="str">
        <f t="shared" si="12"/>
        <v/>
      </c>
      <c r="AZ9" s="1" t="str">
        <f t="shared" si="13"/>
        <v/>
      </c>
      <c r="BA9" s="1" t="str">
        <f t="shared" si="14"/>
        <v>France</v>
      </c>
    </row>
    <row r="10" spans="1:53" ht="15" customHeight="1" x14ac:dyDescent="0.35">
      <c r="A10" s="108" t="str">
        <f t="shared" si="9"/>
        <v>X</v>
      </c>
      <c r="B10" s="1104"/>
      <c r="C10" s="1105"/>
      <c r="D10" s="1108"/>
      <c r="E10" s="1146"/>
      <c r="F10" s="1149"/>
      <c r="G10" s="814" t="s">
        <v>189</v>
      </c>
      <c r="H10" s="834" t="str">
        <f t="shared" si="10"/>
        <v/>
      </c>
      <c r="I10" s="834" t="str">
        <f t="shared" si="11"/>
        <v/>
      </c>
      <c r="J10" s="835" t="str">
        <f t="shared" si="15"/>
        <v>X</v>
      </c>
      <c r="K10" s="454" t="s">
        <v>60</v>
      </c>
      <c r="L10" s="946">
        <f>'2020'!G10</f>
        <v>0</v>
      </c>
      <c r="M10" s="947">
        <f>'2021'!G10</f>
        <v>0</v>
      </c>
      <c r="N10" s="938">
        <f>'2022'!G10</f>
        <v>13</v>
      </c>
      <c r="O10" s="948">
        <f>'2020'!H10</f>
        <v>0</v>
      </c>
      <c r="P10" s="947">
        <f>'2021'!H10</f>
        <v>0</v>
      </c>
      <c r="Q10" s="938">
        <f>'2022'!H10</f>
        <v>12</v>
      </c>
      <c r="R10" s="949">
        <f t="shared" si="1"/>
        <v>0</v>
      </c>
      <c r="S10" s="950">
        <f t="shared" si="2"/>
        <v>0</v>
      </c>
      <c r="T10" s="951">
        <f t="shared" si="3"/>
        <v>0.15384615384615385</v>
      </c>
      <c r="U10" s="948">
        <f>'2020'!J10</f>
        <v>0</v>
      </c>
      <c r="V10" s="947">
        <f>'2021'!J10</f>
        <v>0</v>
      </c>
      <c r="W10" s="938">
        <f>'2022'!J10</f>
        <v>2</v>
      </c>
      <c r="X10" s="949" t="str">
        <f t="shared" si="4"/>
        <v/>
      </c>
      <c r="Y10" s="950" t="str">
        <f t="shared" si="5"/>
        <v/>
      </c>
      <c r="Z10" s="951">
        <f t="shared" si="6"/>
        <v>0.30769230769230771</v>
      </c>
      <c r="AA10" s="948">
        <f>'2020'!L10</f>
        <v>0</v>
      </c>
      <c r="AB10" s="947">
        <f>'2021'!L10</f>
        <v>0</v>
      </c>
      <c r="AC10" s="938">
        <f>'2022'!L10</f>
        <v>4</v>
      </c>
      <c r="AD10" s="885" t="str">
        <f t="shared" si="7"/>
        <v/>
      </c>
      <c r="AE10" s="886" t="str">
        <f t="shared" si="7"/>
        <v/>
      </c>
      <c r="AF10" s="887">
        <f t="shared" si="7"/>
        <v>0.5</v>
      </c>
      <c r="AG10" s="888" t="str">
        <f>'2020'!N10</f>
        <v>-</v>
      </c>
      <c r="AH10" s="889" t="str">
        <f>'2021'!N10</f>
        <v>-</v>
      </c>
      <c r="AI10" s="890">
        <f>'2022'!N10</f>
        <v>2</v>
      </c>
      <c r="AJ10" s="891" t="s">
        <v>21</v>
      </c>
      <c r="AK10" s="892" t="s">
        <v>21</v>
      </c>
      <c r="AL10" s="891" t="s">
        <v>21</v>
      </c>
      <c r="AM10" s="892" t="s">
        <v>21</v>
      </c>
      <c r="AN10" s="893" t="s">
        <v>21</v>
      </c>
      <c r="AO10" s="894" t="s">
        <v>21</v>
      </c>
      <c r="AP10" s="893" t="s">
        <v>21</v>
      </c>
      <c r="AQ10" s="895" t="s">
        <v>21</v>
      </c>
      <c r="AY10" s="1" t="str">
        <f t="shared" si="12"/>
        <v/>
      </c>
      <c r="AZ10" s="1" t="str">
        <f t="shared" si="13"/>
        <v/>
      </c>
      <c r="BA10" s="1" t="str">
        <f t="shared" si="14"/>
        <v>France</v>
      </c>
    </row>
    <row r="11" spans="1:53" ht="15" customHeight="1" x14ac:dyDescent="0.35">
      <c r="A11" s="108" t="str">
        <f t="shared" si="9"/>
        <v>X</v>
      </c>
      <c r="B11" s="1104"/>
      <c r="C11" s="1105"/>
      <c r="D11" s="1108"/>
      <c r="E11" s="1146"/>
      <c r="F11" s="1149"/>
      <c r="G11" s="814" t="s">
        <v>190</v>
      </c>
      <c r="H11" s="834" t="str">
        <f t="shared" si="10"/>
        <v/>
      </c>
      <c r="I11" s="834" t="str">
        <f t="shared" si="11"/>
        <v/>
      </c>
      <c r="J11" s="835" t="str">
        <f t="shared" si="15"/>
        <v>X</v>
      </c>
      <c r="K11" s="454" t="s">
        <v>60</v>
      </c>
      <c r="L11" s="946">
        <f>'2020'!G11</f>
        <v>0</v>
      </c>
      <c r="M11" s="947">
        <f>'2021'!G11</f>
        <v>0</v>
      </c>
      <c r="N11" s="938">
        <f>'2022'!G11</f>
        <v>7</v>
      </c>
      <c r="O11" s="948">
        <f>'2020'!H11</f>
        <v>0</v>
      </c>
      <c r="P11" s="947">
        <f>'2021'!H11</f>
        <v>0</v>
      </c>
      <c r="Q11" s="938">
        <f>'2022'!H11</f>
        <v>6</v>
      </c>
      <c r="R11" s="949">
        <f t="shared" si="1"/>
        <v>0</v>
      </c>
      <c r="S11" s="950">
        <f t="shared" si="2"/>
        <v>0</v>
      </c>
      <c r="T11" s="951">
        <f t="shared" si="3"/>
        <v>0.2857142857142857</v>
      </c>
      <c r="U11" s="948">
        <f>'2020'!J11</f>
        <v>0</v>
      </c>
      <c r="V11" s="947">
        <f>'2021'!J11</f>
        <v>0</v>
      </c>
      <c r="W11" s="938">
        <f>'2022'!J11</f>
        <v>2</v>
      </c>
      <c r="X11" s="949" t="str">
        <f t="shared" si="4"/>
        <v/>
      </c>
      <c r="Y11" s="950" t="str">
        <f t="shared" si="5"/>
        <v/>
      </c>
      <c r="Z11" s="951">
        <f t="shared" si="6"/>
        <v>0</v>
      </c>
      <c r="AA11" s="948">
        <f>'2020'!L11</f>
        <v>0</v>
      </c>
      <c r="AB11" s="947">
        <f>'2021'!L11</f>
        <v>0</v>
      </c>
      <c r="AC11" s="938">
        <f>'2022'!L11</f>
        <v>0</v>
      </c>
      <c r="AD11" s="885" t="str">
        <f t="shared" si="7"/>
        <v/>
      </c>
      <c r="AE11" s="886" t="str">
        <f t="shared" si="7"/>
        <v/>
      </c>
      <c r="AF11" s="887" t="str">
        <f t="shared" si="7"/>
        <v/>
      </c>
      <c r="AG11" s="888" t="str">
        <f>'2020'!N11</f>
        <v>-</v>
      </c>
      <c r="AH11" s="889" t="str">
        <f>'2021'!N11</f>
        <v>-</v>
      </c>
      <c r="AI11" s="890">
        <f>'2022'!N11</f>
        <v>0</v>
      </c>
      <c r="AJ11" s="891" t="s">
        <v>21</v>
      </c>
      <c r="AK11" s="892" t="s">
        <v>21</v>
      </c>
      <c r="AL11" s="891" t="s">
        <v>21</v>
      </c>
      <c r="AM11" s="892" t="s">
        <v>21</v>
      </c>
      <c r="AN11" s="893" t="s">
        <v>21</v>
      </c>
      <c r="AO11" s="894" t="s">
        <v>21</v>
      </c>
      <c r="AP11" s="893" t="s">
        <v>21</v>
      </c>
      <c r="AQ11" s="895" t="s">
        <v>21</v>
      </c>
      <c r="AY11" s="1" t="str">
        <f t="shared" si="12"/>
        <v/>
      </c>
      <c r="AZ11" s="1" t="str">
        <f t="shared" si="13"/>
        <v/>
      </c>
      <c r="BA11" s="1" t="str">
        <f t="shared" si="14"/>
        <v>France</v>
      </c>
    </row>
    <row r="12" spans="1:53" ht="15" customHeight="1" x14ac:dyDescent="0.35">
      <c r="A12" s="108" t="str">
        <f t="shared" si="9"/>
        <v>X</v>
      </c>
      <c r="B12" s="1104"/>
      <c r="C12" s="1105"/>
      <c r="D12" s="1108"/>
      <c r="E12" s="1146"/>
      <c r="F12" s="1149"/>
      <c r="G12" s="814" t="s">
        <v>191</v>
      </c>
      <c r="H12" s="834" t="str">
        <f t="shared" si="10"/>
        <v/>
      </c>
      <c r="I12" s="834" t="str">
        <f t="shared" si="11"/>
        <v/>
      </c>
      <c r="J12" s="835" t="str">
        <f t="shared" si="15"/>
        <v>X</v>
      </c>
      <c r="K12" s="454" t="s">
        <v>62</v>
      </c>
      <c r="L12" s="946">
        <f>'2020'!G12</f>
        <v>0</v>
      </c>
      <c r="M12" s="947">
        <f>'2021'!G12</f>
        <v>0</v>
      </c>
      <c r="N12" s="938">
        <f>'2022'!G12</f>
        <v>74</v>
      </c>
      <c r="O12" s="948">
        <f>'2020'!H12</f>
        <v>0</v>
      </c>
      <c r="P12" s="947">
        <f>'2021'!H12</f>
        <v>0</v>
      </c>
      <c r="Q12" s="938">
        <f>'2022'!H12</f>
        <v>30</v>
      </c>
      <c r="R12" s="949">
        <f t="shared" si="1"/>
        <v>0</v>
      </c>
      <c r="S12" s="950">
        <f t="shared" si="2"/>
        <v>0</v>
      </c>
      <c r="T12" s="951">
        <f t="shared" si="3"/>
        <v>0.29729729729729731</v>
      </c>
      <c r="U12" s="948">
        <f>'2020'!J12</f>
        <v>0</v>
      </c>
      <c r="V12" s="947">
        <f>'2021'!J12</f>
        <v>0</v>
      </c>
      <c r="W12" s="938">
        <f>'2022'!J12</f>
        <v>22</v>
      </c>
      <c r="X12" s="949" t="str">
        <f t="shared" si="4"/>
        <v/>
      </c>
      <c r="Y12" s="950" t="str">
        <f t="shared" si="5"/>
        <v/>
      </c>
      <c r="Z12" s="951">
        <f t="shared" si="6"/>
        <v>0.36486486486486486</v>
      </c>
      <c r="AA12" s="948">
        <f>'2020'!L12</f>
        <v>0</v>
      </c>
      <c r="AB12" s="947">
        <f>'2021'!L12</f>
        <v>0</v>
      </c>
      <c r="AC12" s="938">
        <f>'2022'!L12</f>
        <v>27</v>
      </c>
      <c r="AD12" s="885" t="str">
        <f t="shared" si="7"/>
        <v/>
      </c>
      <c r="AE12" s="886" t="str">
        <f t="shared" si="7"/>
        <v/>
      </c>
      <c r="AF12" s="887">
        <f t="shared" si="7"/>
        <v>0.48148148148148145</v>
      </c>
      <c r="AG12" s="888" t="str">
        <f>'2020'!N12</f>
        <v>-</v>
      </c>
      <c r="AH12" s="889" t="str">
        <f>'2021'!N12</f>
        <v>-</v>
      </c>
      <c r="AI12" s="890">
        <f>'2022'!N12</f>
        <v>13</v>
      </c>
      <c r="AJ12" s="891" t="s">
        <v>21</v>
      </c>
      <c r="AK12" s="892" t="s">
        <v>21</v>
      </c>
      <c r="AL12" s="891" t="s">
        <v>21</v>
      </c>
      <c r="AM12" s="892" t="s">
        <v>21</v>
      </c>
      <c r="AN12" s="893" t="s">
        <v>21</v>
      </c>
      <c r="AO12" s="894" t="s">
        <v>21</v>
      </c>
      <c r="AP12" s="893" t="s">
        <v>21</v>
      </c>
      <c r="AQ12" s="895" t="s">
        <v>21</v>
      </c>
      <c r="AY12" s="1" t="str">
        <f t="shared" si="12"/>
        <v/>
      </c>
      <c r="AZ12" s="1" t="str">
        <f t="shared" si="13"/>
        <v/>
      </c>
      <c r="BA12" s="1" t="str">
        <f t="shared" si="14"/>
        <v>Frontière</v>
      </c>
    </row>
    <row r="13" spans="1:53" ht="15" customHeight="1" x14ac:dyDescent="0.35">
      <c r="A13" s="108" t="str">
        <f t="shared" si="9"/>
        <v>X</v>
      </c>
      <c r="B13" s="1104"/>
      <c r="C13" s="1105"/>
      <c r="D13" s="1108"/>
      <c r="E13" s="1146"/>
      <c r="F13" s="1149"/>
      <c r="G13" s="814" t="s">
        <v>192</v>
      </c>
      <c r="H13" s="834" t="str">
        <f t="shared" si="10"/>
        <v/>
      </c>
      <c r="I13" s="834" t="str">
        <f t="shared" si="11"/>
        <v/>
      </c>
      <c r="J13" s="835" t="str">
        <f t="shared" si="15"/>
        <v>X</v>
      </c>
      <c r="K13" s="454" t="s">
        <v>60</v>
      </c>
      <c r="L13" s="946">
        <f>'2020'!G13</f>
        <v>0</v>
      </c>
      <c r="M13" s="947">
        <f>'2021'!G13</f>
        <v>0</v>
      </c>
      <c r="N13" s="938">
        <f>'2022'!G13</f>
        <v>34</v>
      </c>
      <c r="O13" s="948">
        <f>'2020'!H13</f>
        <v>0</v>
      </c>
      <c r="P13" s="947">
        <f>'2021'!H13</f>
        <v>0</v>
      </c>
      <c r="Q13" s="938">
        <f>'2022'!H13</f>
        <v>34</v>
      </c>
      <c r="R13" s="949">
        <f t="shared" si="1"/>
        <v>0</v>
      </c>
      <c r="S13" s="950">
        <f t="shared" si="2"/>
        <v>0</v>
      </c>
      <c r="T13" s="951">
        <f t="shared" si="3"/>
        <v>0.17647058823529413</v>
      </c>
      <c r="U13" s="948">
        <f>'2020'!J13</f>
        <v>0</v>
      </c>
      <c r="V13" s="947">
        <f>'2021'!J13</f>
        <v>0</v>
      </c>
      <c r="W13" s="938">
        <f>'2022'!J13</f>
        <v>6</v>
      </c>
      <c r="X13" s="949" t="str">
        <f t="shared" si="4"/>
        <v/>
      </c>
      <c r="Y13" s="950" t="str">
        <f t="shared" si="5"/>
        <v/>
      </c>
      <c r="Z13" s="951">
        <f t="shared" si="6"/>
        <v>0.38235294117647056</v>
      </c>
      <c r="AA13" s="948">
        <f>'2020'!L13</f>
        <v>0</v>
      </c>
      <c r="AB13" s="947">
        <f>'2021'!L13</f>
        <v>0</v>
      </c>
      <c r="AC13" s="938">
        <f>'2022'!L13</f>
        <v>13</v>
      </c>
      <c r="AD13" s="885" t="str">
        <f t="shared" si="7"/>
        <v/>
      </c>
      <c r="AE13" s="886" t="str">
        <f t="shared" si="7"/>
        <v/>
      </c>
      <c r="AF13" s="887">
        <f t="shared" si="7"/>
        <v>0.15384615384615385</v>
      </c>
      <c r="AG13" s="888" t="str">
        <f>'2020'!N13</f>
        <v>-</v>
      </c>
      <c r="AH13" s="889" t="str">
        <f>'2021'!N13</f>
        <v>-</v>
      </c>
      <c r="AI13" s="890">
        <f>'2022'!N13</f>
        <v>2</v>
      </c>
      <c r="AJ13" s="891" t="s">
        <v>21</v>
      </c>
      <c r="AK13" s="892" t="s">
        <v>21</v>
      </c>
      <c r="AL13" s="891" t="s">
        <v>21</v>
      </c>
      <c r="AM13" s="892" t="s">
        <v>21</v>
      </c>
      <c r="AN13" s="893" t="s">
        <v>21</v>
      </c>
      <c r="AO13" s="894" t="s">
        <v>21</v>
      </c>
      <c r="AP13" s="893" t="s">
        <v>21</v>
      </c>
      <c r="AQ13" s="895" t="s">
        <v>21</v>
      </c>
      <c r="AY13" s="1" t="str">
        <f t="shared" si="12"/>
        <v/>
      </c>
      <c r="AZ13" s="1" t="str">
        <f t="shared" si="13"/>
        <v/>
      </c>
      <c r="BA13" s="1" t="str">
        <f t="shared" si="14"/>
        <v>France</v>
      </c>
    </row>
    <row r="14" spans="1:53" ht="15" customHeight="1" x14ac:dyDescent="0.35">
      <c r="A14" s="108" t="str">
        <f t="shared" si="9"/>
        <v>X</v>
      </c>
      <c r="B14" s="1104"/>
      <c r="C14" s="1105"/>
      <c r="D14" s="1108"/>
      <c r="E14" s="1146"/>
      <c r="F14" s="1149"/>
      <c r="G14" s="814" t="s">
        <v>193</v>
      </c>
      <c r="H14" s="834" t="str">
        <f t="shared" si="10"/>
        <v/>
      </c>
      <c r="I14" s="834" t="str">
        <f t="shared" si="11"/>
        <v/>
      </c>
      <c r="J14" s="835" t="str">
        <f t="shared" si="15"/>
        <v>X</v>
      </c>
      <c r="K14" s="454" t="s">
        <v>60</v>
      </c>
      <c r="L14" s="946">
        <f>'2020'!G14</f>
        <v>0</v>
      </c>
      <c r="M14" s="947">
        <f>'2021'!G14</f>
        <v>0</v>
      </c>
      <c r="N14" s="938">
        <f>'2022'!G14</f>
        <v>47</v>
      </c>
      <c r="O14" s="948">
        <f>'2020'!H14</f>
        <v>0</v>
      </c>
      <c r="P14" s="947">
        <f>'2021'!H14</f>
        <v>0</v>
      </c>
      <c r="Q14" s="938">
        <f>'2022'!H14</f>
        <v>47</v>
      </c>
      <c r="R14" s="949">
        <f t="shared" si="1"/>
        <v>0</v>
      </c>
      <c r="S14" s="950">
        <f t="shared" si="2"/>
        <v>0</v>
      </c>
      <c r="T14" s="951">
        <f t="shared" si="3"/>
        <v>6.3829787234042548E-2</v>
      </c>
      <c r="U14" s="948">
        <f>'2020'!J14</f>
        <v>0</v>
      </c>
      <c r="V14" s="947">
        <f>'2021'!J14</f>
        <v>0</v>
      </c>
      <c r="W14" s="938">
        <f>'2022'!J14</f>
        <v>3</v>
      </c>
      <c r="X14" s="949" t="str">
        <f t="shared" si="4"/>
        <v/>
      </c>
      <c r="Y14" s="950" t="str">
        <f t="shared" si="5"/>
        <v/>
      </c>
      <c r="Z14" s="951">
        <f t="shared" si="6"/>
        <v>0.31914893617021278</v>
      </c>
      <c r="AA14" s="948">
        <f>'2020'!L14</f>
        <v>0</v>
      </c>
      <c r="AB14" s="947">
        <f>'2021'!L14</f>
        <v>0</v>
      </c>
      <c r="AC14" s="938">
        <f>'2022'!L14</f>
        <v>15</v>
      </c>
      <c r="AD14" s="885" t="str">
        <f t="shared" si="7"/>
        <v/>
      </c>
      <c r="AE14" s="886" t="str">
        <f t="shared" si="7"/>
        <v/>
      </c>
      <c r="AF14" s="887">
        <f t="shared" si="7"/>
        <v>0.2</v>
      </c>
      <c r="AG14" s="888" t="str">
        <f>'2020'!N14</f>
        <v>-</v>
      </c>
      <c r="AH14" s="889" t="str">
        <f>'2021'!N14</f>
        <v>-</v>
      </c>
      <c r="AI14" s="890">
        <f>'2022'!N14</f>
        <v>3</v>
      </c>
      <c r="AJ14" s="891" t="s">
        <v>21</v>
      </c>
      <c r="AK14" s="892" t="s">
        <v>21</v>
      </c>
      <c r="AL14" s="891" t="s">
        <v>21</v>
      </c>
      <c r="AM14" s="892" t="s">
        <v>21</v>
      </c>
      <c r="AN14" s="893" t="s">
        <v>21</v>
      </c>
      <c r="AO14" s="894" t="s">
        <v>21</v>
      </c>
      <c r="AP14" s="893" t="s">
        <v>21</v>
      </c>
      <c r="AQ14" s="895" t="s">
        <v>21</v>
      </c>
      <c r="AY14" s="1" t="str">
        <f t="shared" si="12"/>
        <v/>
      </c>
      <c r="AZ14" s="1" t="str">
        <f t="shared" si="13"/>
        <v/>
      </c>
      <c r="BA14" s="1" t="str">
        <f t="shared" si="14"/>
        <v>France</v>
      </c>
    </row>
    <row r="15" spans="1:53" ht="15" customHeight="1" x14ac:dyDescent="0.35">
      <c r="A15" s="108" t="str">
        <f t="shared" si="9"/>
        <v>X</v>
      </c>
      <c r="B15" s="1104"/>
      <c r="C15" s="1105"/>
      <c r="D15" s="1108"/>
      <c r="E15" s="1146"/>
      <c r="F15" s="1149"/>
      <c r="G15" s="814" t="s">
        <v>194</v>
      </c>
      <c r="H15" s="834" t="str">
        <f t="shared" si="10"/>
        <v/>
      </c>
      <c r="I15" s="834" t="str">
        <f t="shared" si="11"/>
        <v/>
      </c>
      <c r="J15" s="835" t="str">
        <f t="shared" si="15"/>
        <v>X</v>
      </c>
      <c r="K15" s="454" t="s">
        <v>60</v>
      </c>
      <c r="L15" s="946">
        <f>'2020'!G15</f>
        <v>0</v>
      </c>
      <c r="M15" s="947">
        <f>'2021'!G15</f>
        <v>0</v>
      </c>
      <c r="N15" s="938">
        <f>'2022'!G15</f>
        <v>92</v>
      </c>
      <c r="O15" s="948">
        <f>'2020'!H15</f>
        <v>0</v>
      </c>
      <c r="P15" s="947">
        <f>'2021'!H15</f>
        <v>0</v>
      </c>
      <c r="Q15" s="938">
        <f>'2022'!H15</f>
        <v>92</v>
      </c>
      <c r="R15" s="949">
        <f t="shared" si="1"/>
        <v>0</v>
      </c>
      <c r="S15" s="950">
        <f t="shared" si="2"/>
        <v>0</v>
      </c>
      <c r="T15" s="951">
        <f t="shared" si="3"/>
        <v>9.7826086956521743E-2</v>
      </c>
      <c r="U15" s="948">
        <f>'2020'!J15</f>
        <v>0</v>
      </c>
      <c r="V15" s="947">
        <f>'2021'!J15</f>
        <v>0</v>
      </c>
      <c r="W15" s="938">
        <f>'2022'!J15</f>
        <v>9</v>
      </c>
      <c r="X15" s="949" t="str">
        <f t="shared" si="4"/>
        <v/>
      </c>
      <c r="Y15" s="950" t="str">
        <f t="shared" si="5"/>
        <v/>
      </c>
      <c r="Z15" s="951">
        <f t="shared" si="6"/>
        <v>0.45652173913043476</v>
      </c>
      <c r="AA15" s="948">
        <f>'2020'!L15</f>
        <v>0</v>
      </c>
      <c r="AB15" s="947">
        <f>'2021'!L15</f>
        <v>0</v>
      </c>
      <c r="AC15" s="938">
        <f>'2022'!L15</f>
        <v>42</v>
      </c>
      <c r="AD15" s="885" t="str">
        <f t="shared" si="7"/>
        <v/>
      </c>
      <c r="AE15" s="886" t="str">
        <f t="shared" si="7"/>
        <v/>
      </c>
      <c r="AF15" s="887">
        <f t="shared" si="7"/>
        <v>0.14285714285714285</v>
      </c>
      <c r="AG15" s="888" t="str">
        <f>'2020'!N15</f>
        <v>-</v>
      </c>
      <c r="AH15" s="889" t="str">
        <f>'2021'!N15</f>
        <v>-</v>
      </c>
      <c r="AI15" s="890">
        <f>'2022'!N15</f>
        <v>6</v>
      </c>
      <c r="AJ15" s="891" t="s">
        <v>21</v>
      </c>
      <c r="AK15" s="892" t="s">
        <v>21</v>
      </c>
      <c r="AL15" s="891" t="s">
        <v>21</v>
      </c>
      <c r="AM15" s="892" t="s">
        <v>21</v>
      </c>
      <c r="AN15" s="893" t="s">
        <v>21</v>
      </c>
      <c r="AO15" s="894" t="s">
        <v>21</v>
      </c>
      <c r="AP15" s="893" t="s">
        <v>21</v>
      </c>
      <c r="AQ15" s="895" t="s">
        <v>21</v>
      </c>
      <c r="AY15" s="1" t="str">
        <f t="shared" si="12"/>
        <v/>
      </c>
      <c r="AZ15" s="1" t="str">
        <f t="shared" si="13"/>
        <v/>
      </c>
      <c r="BA15" s="1" t="str">
        <f t="shared" si="14"/>
        <v>France</v>
      </c>
    </row>
    <row r="16" spans="1:53" ht="15" customHeight="1" x14ac:dyDescent="0.35">
      <c r="A16" s="108" t="str">
        <f t="shared" si="9"/>
        <v>X</v>
      </c>
      <c r="B16" s="1104"/>
      <c r="C16" s="1105"/>
      <c r="D16" s="1108"/>
      <c r="E16" s="1146"/>
      <c r="F16" s="1149"/>
      <c r="G16" s="814" t="s">
        <v>195</v>
      </c>
      <c r="H16" s="834" t="str">
        <f t="shared" si="10"/>
        <v/>
      </c>
      <c r="I16" s="834" t="str">
        <f t="shared" si="11"/>
        <v/>
      </c>
      <c r="J16" s="835" t="str">
        <f t="shared" si="15"/>
        <v>X</v>
      </c>
      <c r="K16" s="454" t="s">
        <v>60</v>
      </c>
      <c r="L16" s="946">
        <f>'2020'!G16</f>
        <v>0</v>
      </c>
      <c r="M16" s="947">
        <f>'2021'!G16</f>
        <v>0</v>
      </c>
      <c r="N16" s="938">
        <f>'2022'!G16</f>
        <v>77</v>
      </c>
      <c r="O16" s="948">
        <f>'2020'!H16</f>
        <v>0</v>
      </c>
      <c r="P16" s="947">
        <f>'2021'!H16</f>
        <v>0</v>
      </c>
      <c r="Q16" s="938">
        <f>'2022'!H16</f>
        <v>77</v>
      </c>
      <c r="R16" s="949">
        <f t="shared" si="1"/>
        <v>0</v>
      </c>
      <c r="S16" s="950">
        <f t="shared" si="2"/>
        <v>0</v>
      </c>
      <c r="T16" s="951">
        <f t="shared" si="3"/>
        <v>0.14285714285714285</v>
      </c>
      <c r="U16" s="948">
        <f>'2020'!J16</f>
        <v>0</v>
      </c>
      <c r="V16" s="947">
        <f>'2021'!J16</f>
        <v>0</v>
      </c>
      <c r="W16" s="938">
        <f>'2022'!J16</f>
        <v>11</v>
      </c>
      <c r="X16" s="949" t="str">
        <f t="shared" si="4"/>
        <v/>
      </c>
      <c r="Y16" s="950" t="str">
        <f t="shared" si="5"/>
        <v/>
      </c>
      <c r="Z16" s="951">
        <f t="shared" si="6"/>
        <v>0.40259740259740262</v>
      </c>
      <c r="AA16" s="948">
        <f>'2020'!L16</f>
        <v>0</v>
      </c>
      <c r="AB16" s="947">
        <f>'2021'!L16</f>
        <v>0</v>
      </c>
      <c r="AC16" s="938">
        <f>'2022'!L16</f>
        <v>31</v>
      </c>
      <c r="AD16" s="885" t="str">
        <f t="shared" si="7"/>
        <v/>
      </c>
      <c r="AE16" s="886" t="str">
        <f t="shared" si="7"/>
        <v/>
      </c>
      <c r="AF16" s="887">
        <f t="shared" si="7"/>
        <v>0.16129032258064516</v>
      </c>
      <c r="AG16" s="888" t="str">
        <f>'2020'!N16</f>
        <v>-</v>
      </c>
      <c r="AH16" s="889" t="str">
        <f>'2021'!N16</f>
        <v>-</v>
      </c>
      <c r="AI16" s="890">
        <f>'2022'!N16</f>
        <v>5</v>
      </c>
      <c r="AJ16" s="891" t="s">
        <v>21</v>
      </c>
      <c r="AK16" s="892" t="s">
        <v>21</v>
      </c>
      <c r="AL16" s="891" t="s">
        <v>21</v>
      </c>
      <c r="AM16" s="892" t="s">
        <v>21</v>
      </c>
      <c r="AN16" s="893" t="s">
        <v>21</v>
      </c>
      <c r="AO16" s="894" t="s">
        <v>21</v>
      </c>
      <c r="AP16" s="893" t="s">
        <v>21</v>
      </c>
      <c r="AQ16" s="895" t="s">
        <v>21</v>
      </c>
      <c r="AY16" s="1" t="str">
        <f t="shared" si="12"/>
        <v/>
      </c>
      <c r="AZ16" s="1" t="str">
        <f t="shared" si="13"/>
        <v/>
      </c>
      <c r="BA16" s="1" t="str">
        <f t="shared" si="14"/>
        <v>France</v>
      </c>
    </row>
    <row r="17" spans="1:53" ht="15" customHeight="1" x14ac:dyDescent="0.35">
      <c r="A17" s="108" t="str">
        <f t="shared" si="9"/>
        <v>X</v>
      </c>
      <c r="B17" s="1104"/>
      <c r="C17" s="1105"/>
      <c r="D17" s="1108"/>
      <c r="E17" s="1146"/>
      <c r="F17" s="1149"/>
      <c r="G17" s="814" t="s">
        <v>196</v>
      </c>
      <c r="H17" s="834" t="str">
        <f t="shared" si="10"/>
        <v/>
      </c>
      <c r="I17" s="834" t="str">
        <f t="shared" si="11"/>
        <v/>
      </c>
      <c r="J17" s="835" t="str">
        <f t="shared" si="15"/>
        <v>X</v>
      </c>
      <c r="K17" s="454" t="s">
        <v>60</v>
      </c>
      <c r="L17" s="946">
        <f>'2020'!G17</f>
        <v>0</v>
      </c>
      <c r="M17" s="947">
        <f>'2021'!G17</f>
        <v>0</v>
      </c>
      <c r="N17" s="938">
        <f>'2022'!G17</f>
        <v>19</v>
      </c>
      <c r="O17" s="948">
        <f>'2020'!H17</f>
        <v>0</v>
      </c>
      <c r="P17" s="947">
        <f>'2021'!H17</f>
        <v>0</v>
      </c>
      <c r="Q17" s="938">
        <f>'2022'!H17</f>
        <v>19</v>
      </c>
      <c r="R17" s="949">
        <f t="shared" si="1"/>
        <v>0</v>
      </c>
      <c r="S17" s="950">
        <f t="shared" si="2"/>
        <v>0</v>
      </c>
      <c r="T17" s="951">
        <f t="shared" si="3"/>
        <v>0.21052631578947367</v>
      </c>
      <c r="U17" s="948">
        <f>'2020'!J17</f>
        <v>0</v>
      </c>
      <c r="V17" s="947">
        <f>'2021'!J17</f>
        <v>0</v>
      </c>
      <c r="W17" s="938">
        <f>'2022'!J17</f>
        <v>4</v>
      </c>
      <c r="X17" s="949" t="str">
        <f t="shared" si="4"/>
        <v/>
      </c>
      <c r="Y17" s="950" t="str">
        <f t="shared" si="5"/>
        <v/>
      </c>
      <c r="Z17" s="951">
        <f t="shared" si="6"/>
        <v>0.31578947368421051</v>
      </c>
      <c r="AA17" s="948">
        <f>'2020'!L17</f>
        <v>0</v>
      </c>
      <c r="AB17" s="947">
        <f>'2021'!L17</f>
        <v>0</v>
      </c>
      <c r="AC17" s="938">
        <f>'2022'!L17</f>
        <v>6</v>
      </c>
      <c r="AD17" s="885" t="str">
        <f t="shared" si="7"/>
        <v/>
      </c>
      <c r="AE17" s="886" t="str">
        <f t="shared" si="7"/>
        <v/>
      </c>
      <c r="AF17" s="887">
        <f t="shared" si="7"/>
        <v>0.16666666666666666</v>
      </c>
      <c r="AG17" s="888" t="str">
        <f>'2020'!N17</f>
        <v>-</v>
      </c>
      <c r="AH17" s="889" t="str">
        <f>'2021'!N17</f>
        <v>-</v>
      </c>
      <c r="AI17" s="890">
        <f>'2022'!N17</f>
        <v>1</v>
      </c>
      <c r="AJ17" s="891" t="s">
        <v>21</v>
      </c>
      <c r="AK17" s="892" t="s">
        <v>21</v>
      </c>
      <c r="AL17" s="891" t="s">
        <v>21</v>
      </c>
      <c r="AM17" s="892" t="s">
        <v>21</v>
      </c>
      <c r="AN17" s="893" t="s">
        <v>21</v>
      </c>
      <c r="AO17" s="894" t="s">
        <v>21</v>
      </c>
      <c r="AP17" s="893" t="s">
        <v>21</v>
      </c>
      <c r="AQ17" s="895" t="s">
        <v>21</v>
      </c>
      <c r="AY17" s="1" t="str">
        <f t="shared" si="12"/>
        <v/>
      </c>
      <c r="AZ17" s="1" t="str">
        <f t="shared" si="13"/>
        <v/>
      </c>
      <c r="BA17" s="1" t="str">
        <f t="shared" si="14"/>
        <v>France</v>
      </c>
    </row>
    <row r="18" spans="1:53" ht="15" customHeight="1" x14ac:dyDescent="0.35">
      <c r="A18" s="108" t="str">
        <f t="shared" si="9"/>
        <v>X</v>
      </c>
      <c r="B18" s="1104"/>
      <c r="C18" s="1105"/>
      <c r="D18" s="1108"/>
      <c r="E18" s="1146"/>
      <c r="F18" s="1149"/>
      <c r="G18" s="814" t="s">
        <v>197</v>
      </c>
      <c r="H18" s="834" t="str">
        <f t="shared" si="10"/>
        <v/>
      </c>
      <c r="I18" s="834" t="str">
        <f t="shared" si="11"/>
        <v/>
      </c>
      <c r="J18" s="835" t="str">
        <f t="shared" si="15"/>
        <v>X</v>
      </c>
      <c r="K18" s="454" t="s">
        <v>60</v>
      </c>
      <c r="L18" s="946">
        <f>'2020'!G18</f>
        <v>0</v>
      </c>
      <c r="M18" s="947">
        <f>'2021'!G18</f>
        <v>0</v>
      </c>
      <c r="N18" s="938">
        <f>'2022'!G18</f>
        <v>24</v>
      </c>
      <c r="O18" s="948">
        <f>'2020'!H18</f>
        <v>0</v>
      </c>
      <c r="P18" s="947">
        <f>'2021'!H18</f>
        <v>0</v>
      </c>
      <c r="Q18" s="938">
        <f>'2022'!H18</f>
        <v>24</v>
      </c>
      <c r="R18" s="949">
        <f t="shared" si="1"/>
        <v>0</v>
      </c>
      <c r="S18" s="950">
        <f t="shared" si="2"/>
        <v>0</v>
      </c>
      <c r="T18" s="951">
        <f t="shared" si="3"/>
        <v>0.29166666666666669</v>
      </c>
      <c r="U18" s="948">
        <f>'2020'!J18</f>
        <v>0</v>
      </c>
      <c r="V18" s="947">
        <f>'2021'!J18</f>
        <v>0</v>
      </c>
      <c r="W18" s="938">
        <f>'2022'!J18</f>
        <v>7</v>
      </c>
      <c r="X18" s="949" t="str">
        <f t="shared" si="4"/>
        <v/>
      </c>
      <c r="Y18" s="950" t="str">
        <f t="shared" si="5"/>
        <v/>
      </c>
      <c r="Z18" s="951">
        <f t="shared" si="6"/>
        <v>0.54166666666666663</v>
      </c>
      <c r="AA18" s="948">
        <f>'2020'!L18</f>
        <v>0</v>
      </c>
      <c r="AB18" s="947">
        <f>'2021'!L18</f>
        <v>0</v>
      </c>
      <c r="AC18" s="938">
        <f>'2022'!L18</f>
        <v>13</v>
      </c>
      <c r="AD18" s="885" t="str">
        <f t="shared" si="7"/>
        <v/>
      </c>
      <c r="AE18" s="886" t="str">
        <f t="shared" si="7"/>
        <v/>
      </c>
      <c r="AF18" s="887">
        <f t="shared" si="7"/>
        <v>0.46153846153846156</v>
      </c>
      <c r="AG18" s="888" t="str">
        <f>'2020'!N18</f>
        <v>-</v>
      </c>
      <c r="AH18" s="889" t="str">
        <f>'2021'!N18</f>
        <v>-</v>
      </c>
      <c r="AI18" s="890">
        <f>'2022'!N18</f>
        <v>6</v>
      </c>
      <c r="AJ18" s="891" t="s">
        <v>21</v>
      </c>
      <c r="AK18" s="892" t="s">
        <v>21</v>
      </c>
      <c r="AL18" s="891" t="s">
        <v>21</v>
      </c>
      <c r="AM18" s="892" t="s">
        <v>21</v>
      </c>
      <c r="AN18" s="893" t="s">
        <v>21</v>
      </c>
      <c r="AO18" s="894" t="s">
        <v>21</v>
      </c>
      <c r="AP18" s="893" t="s">
        <v>21</v>
      </c>
      <c r="AQ18" s="895" t="s">
        <v>21</v>
      </c>
      <c r="AY18" s="1" t="str">
        <f t="shared" si="12"/>
        <v/>
      </c>
      <c r="AZ18" s="1" t="str">
        <f t="shared" si="13"/>
        <v/>
      </c>
      <c r="BA18" s="1" t="str">
        <f t="shared" si="14"/>
        <v>France</v>
      </c>
    </row>
    <row r="19" spans="1:53" ht="15" customHeight="1" x14ac:dyDescent="0.35">
      <c r="A19" s="108" t="str">
        <f t="shared" si="9"/>
        <v>X</v>
      </c>
      <c r="B19" s="1104"/>
      <c r="C19" s="1105"/>
      <c r="D19" s="1108"/>
      <c r="E19" s="1146"/>
      <c r="F19" s="1149"/>
      <c r="G19" s="814" t="s">
        <v>198</v>
      </c>
      <c r="H19" s="834" t="str">
        <f t="shared" si="10"/>
        <v/>
      </c>
      <c r="I19" s="834" t="str">
        <f t="shared" si="11"/>
        <v/>
      </c>
      <c r="J19" s="835" t="str">
        <f t="shared" si="15"/>
        <v>X</v>
      </c>
      <c r="K19" s="454" t="s">
        <v>60</v>
      </c>
      <c r="L19" s="946">
        <f>'2020'!G19</f>
        <v>0</v>
      </c>
      <c r="M19" s="947">
        <f>'2021'!G19</f>
        <v>0</v>
      </c>
      <c r="N19" s="938">
        <f>'2022'!G19</f>
        <v>101</v>
      </c>
      <c r="O19" s="948">
        <f>'2020'!H19</f>
        <v>0</v>
      </c>
      <c r="P19" s="947">
        <f>'2021'!H19</f>
        <v>0</v>
      </c>
      <c r="Q19" s="938">
        <f>'2022'!H19</f>
        <v>101</v>
      </c>
      <c r="R19" s="949">
        <f t="shared" si="1"/>
        <v>0</v>
      </c>
      <c r="S19" s="950">
        <f t="shared" si="2"/>
        <v>0</v>
      </c>
      <c r="T19" s="951">
        <f t="shared" si="3"/>
        <v>0.14851485148514851</v>
      </c>
      <c r="U19" s="948">
        <f>'2020'!J19</f>
        <v>0</v>
      </c>
      <c r="V19" s="947">
        <f>'2021'!J19</f>
        <v>0</v>
      </c>
      <c r="W19" s="938">
        <f>'2022'!J19</f>
        <v>15</v>
      </c>
      <c r="X19" s="949" t="str">
        <f t="shared" si="4"/>
        <v/>
      </c>
      <c r="Y19" s="950" t="str">
        <f t="shared" si="5"/>
        <v/>
      </c>
      <c r="Z19" s="951">
        <f t="shared" si="6"/>
        <v>0.39603960396039606</v>
      </c>
      <c r="AA19" s="948">
        <f>'2020'!L19</f>
        <v>0</v>
      </c>
      <c r="AB19" s="947">
        <f>'2021'!L19</f>
        <v>0</v>
      </c>
      <c r="AC19" s="938">
        <f>'2022'!L19</f>
        <v>40</v>
      </c>
      <c r="AD19" s="885" t="str">
        <f t="shared" si="7"/>
        <v/>
      </c>
      <c r="AE19" s="886" t="str">
        <f t="shared" si="7"/>
        <v/>
      </c>
      <c r="AF19" s="887">
        <f t="shared" si="7"/>
        <v>0.22500000000000001</v>
      </c>
      <c r="AG19" s="888" t="str">
        <f>'2020'!N19</f>
        <v>-</v>
      </c>
      <c r="AH19" s="889" t="str">
        <f>'2021'!N19</f>
        <v>-</v>
      </c>
      <c r="AI19" s="890">
        <f>'2022'!N19</f>
        <v>9</v>
      </c>
      <c r="AJ19" s="891" t="s">
        <v>21</v>
      </c>
      <c r="AK19" s="892" t="s">
        <v>21</v>
      </c>
      <c r="AL19" s="891" t="s">
        <v>21</v>
      </c>
      <c r="AM19" s="892" t="s">
        <v>21</v>
      </c>
      <c r="AN19" s="893" t="s">
        <v>21</v>
      </c>
      <c r="AO19" s="894" t="s">
        <v>21</v>
      </c>
      <c r="AP19" s="893" t="s">
        <v>21</v>
      </c>
      <c r="AQ19" s="895" t="s">
        <v>21</v>
      </c>
      <c r="AY19" s="1" t="str">
        <f t="shared" si="12"/>
        <v/>
      </c>
      <c r="AZ19" s="1" t="str">
        <f t="shared" si="13"/>
        <v/>
      </c>
      <c r="BA19" s="1" t="str">
        <f t="shared" si="14"/>
        <v>France</v>
      </c>
    </row>
    <row r="20" spans="1:53" ht="15" customHeight="1" x14ac:dyDescent="0.35">
      <c r="A20" s="108" t="str">
        <f t="shared" si="9"/>
        <v>X</v>
      </c>
      <c r="B20" s="1104"/>
      <c r="C20" s="1105"/>
      <c r="D20" s="1108"/>
      <c r="E20" s="1146"/>
      <c r="F20" s="1149"/>
      <c r="G20" s="814" t="s">
        <v>199</v>
      </c>
      <c r="H20" s="834" t="str">
        <f t="shared" si="10"/>
        <v/>
      </c>
      <c r="I20" s="834" t="str">
        <f t="shared" si="11"/>
        <v/>
      </c>
      <c r="J20" s="835" t="str">
        <f t="shared" si="15"/>
        <v>X</v>
      </c>
      <c r="K20" s="454" t="s">
        <v>60</v>
      </c>
      <c r="L20" s="946">
        <f>'2020'!G20</f>
        <v>0</v>
      </c>
      <c r="M20" s="947">
        <f>'2021'!G20</f>
        <v>0</v>
      </c>
      <c r="N20" s="938">
        <f>'2022'!G20</f>
        <v>25</v>
      </c>
      <c r="O20" s="948">
        <f>'2020'!H20</f>
        <v>0</v>
      </c>
      <c r="P20" s="947">
        <f>'2021'!H20</f>
        <v>0</v>
      </c>
      <c r="Q20" s="938">
        <f>'2022'!H20</f>
        <v>25</v>
      </c>
      <c r="R20" s="949">
        <f t="shared" si="1"/>
        <v>0</v>
      </c>
      <c r="S20" s="950">
        <f t="shared" si="2"/>
        <v>0</v>
      </c>
      <c r="T20" s="951">
        <f t="shared" si="3"/>
        <v>0.28000000000000003</v>
      </c>
      <c r="U20" s="948">
        <f>'2020'!J20</f>
        <v>0</v>
      </c>
      <c r="V20" s="947">
        <f>'2021'!J20</f>
        <v>0</v>
      </c>
      <c r="W20" s="938">
        <f>'2022'!J20</f>
        <v>7</v>
      </c>
      <c r="X20" s="949" t="str">
        <f t="shared" si="4"/>
        <v/>
      </c>
      <c r="Y20" s="950" t="str">
        <f t="shared" si="5"/>
        <v/>
      </c>
      <c r="Z20" s="951">
        <f t="shared" si="6"/>
        <v>0.24</v>
      </c>
      <c r="AA20" s="948">
        <f>'2020'!L20</f>
        <v>0</v>
      </c>
      <c r="AB20" s="947">
        <f>'2021'!L20</f>
        <v>0</v>
      </c>
      <c r="AC20" s="938">
        <f>'2022'!L20</f>
        <v>6</v>
      </c>
      <c r="AD20" s="885" t="str">
        <f t="shared" si="7"/>
        <v/>
      </c>
      <c r="AE20" s="886" t="str">
        <f t="shared" si="7"/>
        <v/>
      </c>
      <c r="AF20" s="887">
        <f t="shared" si="7"/>
        <v>0.66666666666666663</v>
      </c>
      <c r="AG20" s="888" t="str">
        <f>'2020'!N20</f>
        <v>-</v>
      </c>
      <c r="AH20" s="889" t="str">
        <f>'2021'!N20</f>
        <v>-</v>
      </c>
      <c r="AI20" s="890">
        <f>'2022'!N20</f>
        <v>4</v>
      </c>
      <c r="AJ20" s="891" t="s">
        <v>21</v>
      </c>
      <c r="AK20" s="892" t="s">
        <v>21</v>
      </c>
      <c r="AL20" s="891" t="s">
        <v>21</v>
      </c>
      <c r="AM20" s="892" t="s">
        <v>21</v>
      </c>
      <c r="AN20" s="893" t="s">
        <v>21</v>
      </c>
      <c r="AO20" s="894" t="s">
        <v>21</v>
      </c>
      <c r="AP20" s="893" t="s">
        <v>21</v>
      </c>
      <c r="AQ20" s="895" t="s">
        <v>21</v>
      </c>
      <c r="AY20" s="1" t="str">
        <f t="shared" si="12"/>
        <v/>
      </c>
      <c r="AZ20" s="1" t="str">
        <f t="shared" si="13"/>
        <v/>
      </c>
      <c r="BA20" s="1" t="str">
        <f t="shared" si="14"/>
        <v>France</v>
      </c>
    </row>
    <row r="21" spans="1:53" ht="15" customHeight="1" x14ac:dyDescent="0.35">
      <c r="A21" s="108" t="str">
        <f t="shared" si="9"/>
        <v>X</v>
      </c>
      <c r="B21" s="1104"/>
      <c r="C21" s="1105"/>
      <c r="D21" s="1108"/>
      <c r="E21" s="1146"/>
      <c r="F21" s="1149"/>
      <c r="G21" s="814" t="s">
        <v>200</v>
      </c>
      <c r="H21" s="834" t="str">
        <f t="shared" si="10"/>
        <v/>
      </c>
      <c r="I21" s="834" t="str">
        <f t="shared" si="11"/>
        <v/>
      </c>
      <c r="J21" s="835" t="str">
        <f t="shared" si="15"/>
        <v>X</v>
      </c>
      <c r="K21" s="454" t="s">
        <v>60</v>
      </c>
      <c r="L21" s="946">
        <f>'2020'!G21</f>
        <v>0</v>
      </c>
      <c r="M21" s="947">
        <f>'2021'!G21</f>
        <v>0</v>
      </c>
      <c r="N21" s="938">
        <f>'2022'!G21</f>
        <v>45</v>
      </c>
      <c r="O21" s="948">
        <f>'2020'!H21</f>
        <v>0</v>
      </c>
      <c r="P21" s="947">
        <f>'2021'!H21</f>
        <v>0</v>
      </c>
      <c r="Q21" s="938">
        <f>'2022'!H21</f>
        <v>45</v>
      </c>
      <c r="R21" s="949">
        <f t="shared" si="1"/>
        <v>0</v>
      </c>
      <c r="S21" s="950">
        <f t="shared" si="2"/>
        <v>0</v>
      </c>
      <c r="T21" s="951">
        <f t="shared" si="3"/>
        <v>0.4</v>
      </c>
      <c r="U21" s="948">
        <f>'2020'!J21</f>
        <v>0</v>
      </c>
      <c r="V21" s="947">
        <f>'2021'!J21</f>
        <v>0</v>
      </c>
      <c r="W21" s="938">
        <f>'2022'!J21</f>
        <v>18</v>
      </c>
      <c r="X21" s="949" t="str">
        <f t="shared" si="4"/>
        <v/>
      </c>
      <c r="Y21" s="950" t="str">
        <f t="shared" si="5"/>
        <v/>
      </c>
      <c r="Z21" s="951">
        <f t="shared" si="6"/>
        <v>0.22222222222222221</v>
      </c>
      <c r="AA21" s="948">
        <f>'2020'!L21</f>
        <v>0</v>
      </c>
      <c r="AB21" s="947">
        <f>'2021'!L21</f>
        <v>0</v>
      </c>
      <c r="AC21" s="938">
        <f>'2022'!L21</f>
        <v>10</v>
      </c>
      <c r="AD21" s="885" t="str">
        <f t="shared" si="7"/>
        <v/>
      </c>
      <c r="AE21" s="886" t="str">
        <f t="shared" si="7"/>
        <v/>
      </c>
      <c r="AF21" s="887">
        <f t="shared" si="7"/>
        <v>0.6</v>
      </c>
      <c r="AG21" s="888" t="str">
        <f>'2020'!N21</f>
        <v>-</v>
      </c>
      <c r="AH21" s="889" t="str">
        <f>'2021'!N21</f>
        <v>-</v>
      </c>
      <c r="AI21" s="890">
        <f>'2022'!N21</f>
        <v>6</v>
      </c>
      <c r="AJ21" s="891" t="s">
        <v>21</v>
      </c>
      <c r="AK21" s="892" t="s">
        <v>21</v>
      </c>
      <c r="AL21" s="891" t="s">
        <v>21</v>
      </c>
      <c r="AM21" s="892" t="s">
        <v>21</v>
      </c>
      <c r="AN21" s="893" t="s">
        <v>21</v>
      </c>
      <c r="AO21" s="894" t="s">
        <v>21</v>
      </c>
      <c r="AP21" s="893" t="s">
        <v>21</v>
      </c>
      <c r="AQ21" s="895" t="s">
        <v>21</v>
      </c>
      <c r="AY21" s="1" t="str">
        <f t="shared" si="12"/>
        <v/>
      </c>
      <c r="AZ21" s="1" t="str">
        <f t="shared" si="13"/>
        <v/>
      </c>
      <c r="BA21" s="1" t="str">
        <f t="shared" si="14"/>
        <v>France</v>
      </c>
    </row>
    <row r="22" spans="1:53" ht="15" customHeight="1" x14ac:dyDescent="0.35">
      <c r="A22" s="108" t="str">
        <f t="shared" si="9"/>
        <v>X</v>
      </c>
      <c r="B22" s="1104"/>
      <c r="C22" s="1105"/>
      <c r="D22" s="1109"/>
      <c r="E22" s="1147"/>
      <c r="F22" s="1150"/>
      <c r="G22" s="896" t="s">
        <v>201</v>
      </c>
      <c r="H22" s="897" t="str">
        <f t="shared" si="10"/>
        <v/>
      </c>
      <c r="I22" s="897" t="str">
        <f t="shared" si="11"/>
        <v/>
      </c>
      <c r="J22" s="898" t="str">
        <f t="shared" si="15"/>
        <v>X</v>
      </c>
      <c r="K22" s="899" t="s">
        <v>62</v>
      </c>
      <c r="L22" s="857">
        <f>'2020'!G22</f>
        <v>0</v>
      </c>
      <c r="M22" s="858">
        <f>'2021'!G22</f>
        <v>0</v>
      </c>
      <c r="N22" s="859">
        <f>'2022'!G22</f>
        <v>68</v>
      </c>
      <c r="O22" s="860">
        <f>'2020'!H22</f>
        <v>0</v>
      </c>
      <c r="P22" s="858">
        <f>'2021'!H22</f>
        <v>0</v>
      </c>
      <c r="Q22" s="859">
        <f>'2022'!H22</f>
        <v>43</v>
      </c>
      <c r="R22" s="464">
        <f t="shared" si="1"/>
        <v>0</v>
      </c>
      <c r="S22" s="900">
        <f t="shared" si="2"/>
        <v>0</v>
      </c>
      <c r="T22" s="901">
        <f t="shared" si="3"/>
        <v>0.51470588235294112</v>
      </c>
      <c r="U22" s="860">
        <f>'2020'!J22</f>
        <v>0</v>
      </c>
      <c r="V22" s="858">
        <f>'2021'!J22</f>
        <v>0</v>
      </c>
      <c r="W22" s="859">
        <f>'2022'!J22</f>
        <v>35</v>
      </c>
      <c r="X22" s="464" t="str">
        <f t="shared" si="4"/>
        <v/>
      </c>
      <c r="Y22" s="900" t="str">
        <f t="shared" si="5"/>
        <v/>
      </c>
      <c r="Z22" s="901">
        <f t="shared" si="6"/>
        <v>0.44117647058823528</v>
      </c>
      <c r="AA22" s="860">
        <f>'2020'!L22</f>
        <v>0</v>
      </c>
      <c r="AB22" s="858">
        <f>'2021'!L22</f>
        <v>0</v>
      </c>
      <c r="AC22" s="859">
        <f>'2022'!L22</f>
        <v>30</v>
      </c>
      <c r="AD22" s="902" t="str">
        <f t="shared" si="7"/>
        <v/>
      </c>
      <c r="AE22" s="903" t="str">
        <f t="shared" si="7"/>
        <v/>
      </c>
      <c r="AF22" s="904">
        <f t="shared" si="7"/>
        <v>0.53333333333333333</v>
      </c>
      <c r="AG22" s="905" t="str">
        <f>'2020'!N22</f>
        <v>-</v>
      </c>
      <c r="AH22" s="906" t="str">
        <f>'2021'!N22</f>
        <v>-</v>
      </c>
      <c r="AI22" s="907">
        <f>'2022'!N22</f>
        <v>16</v>
      </c>
      <c r="AJ22" s="908" t="s">
        <v>21</v>
      </c>
      <c r="AK22" s="909" t="s">
        <v>21</v>
      </c>
      <c r="AL22" s="908" t="s">
        <v>21</v>
      </c>
      <c r="AM22" s="909" t="s">
        <v>21</v>
      </c>
      <c r="AN22" s="910" t="s">
        <v>21</v>
      </c>
      <c r="AO22" s="911" t="s">
        <v>21</v>
      </c>
      <c r="AP22" s="910" t="s">
        <v>21</v>
      </c>
      <c r="AQ22" s="912" t="s">
        <v>21</v>
      </c>
      <c r="AY22" s="1" t="str">
        <f t="shared" si="12"/>
        <v/>
      </c>
      <c r="AZ22" s="1" t="str">
        <f t="shared" si="13"/>
        <v/>
      </c>
      <c r="BA22" s="1" t="str">
        <f t="shared" si="14"/>
        <v>Frontière</v>
      </c>
    </row>
    <row r="23" spans="1:53" ht="15.5" x14ac:dyDescent="0.35">
      <c r="A23" s="108" t="str">
        <f t="shared" si="9"/>
        <v>X</v>
      </c>
      <c r="B23" s="1104"/>
      <c r="C23" s="1106"/>
      <c r="D23" s="795" t="s">
        <v>138</v>
      </c>
      <c r="E23" s="790"/>
      <c r="F23" s="801"/>
      <c r="G23" s="807"/>
      <c r="H23" s="820"/>
      <c r="I23" s="820"/>
      <c r="J23" s="821"/>
      <c r="K23" s="59"/>
      <c r="L23" s="513">
        <f t="shared" ref="L23:Q23" si="16">SUM(L7:L22)</f>
        <v>0</v>
      </c>
      <c r="M23" s="514">
        <f t="shared" si="16"/>
        <v>0</v>
      </c>
      <c r="N23" s="515">
        <f t="shared" si="16"/>
        <v>694</v>
      </c>
      <c r="O23" s="516">
        <f t="shared" si="16"/>
        <v>0</v>
      </c>
      <c r="P23" s="514">
        <f t="shared" si="16"/>
        <v>0</v>
      </c>
      <c r="Q23" s="515">
        <f t="shared" si="16"/>
        <v>611</v>
      </c>
      <c r="R23" s="148">
        <f t="shared" si="1"/>
        <v>0</v>
      </c>
      <c r="S23" s="483">
        <f t="shared" si="2"/>
        <v>0</v>
      </c>
      <c r="T23" s="534">
        <f t="shared" si="3"/>
        <v>0.24639769452449567</v>
      </c>
      <c r="U23" s="516">
        <f>SUM(U7:U22)</f>
        <v>0</v>
      </c>
      <c r="V23" s="514">
        <f>SUM(V7:V22)</f>
        <v>0</v>
      </c>
      <c r="W23" s="515">
        <f>SUM(W7:W22)</f>
        <v>171</v>
      </c>
      <c r="X23" s="148" t="str">
        <f t="shared" si="4"/>
        <v/>
      </c>
      <c r="Y23" s="483" t="str">
        <f t="shared" si="5"/>
        <v/>
      </c>
      <c r="Z23" s="534">
        <f t="shared" si="6"/>
        <v>0.38472622478386165</v>
      </c>
      <c r="AA23" s="516">
        <f t="shared" ref="AA23:AC23" si="17">SUM(AA7:AA22)</f>
        <v>0</v>
      </c>
      <c r="AB23" s="514">
        <f t="shared" si="17"/>
        <v>0</v>
      </c>
      <c r="AC23" s="515">
        <f t="shared" si="17"/>
        <v>267</v>
      </c>
      <c r="AD23" s="668" t="str">
        <f t="shared" si="7"/>
        <v/>
      </c>
      <c r="AE23" s="669" t="str">
        <f t="shared" si="7"/>
        <v/>
      </c>
      <c r="AF23" s="675">
        <f t="shared" si="7"/>
        <v>0.34831460674157305</v>
      </c>
      <c r="AG23" s="683">
        <f t="shared" ref="AG23:AI23" si="18">SUM(AG7:AG22)</f>
        <v>0</v>
      </c>
      <c r="AH23" s="684">
        <f t="shared" si="18"/>
        <v>0</v>
      </c>
      <c r="AI23" s="685">
        <f t="shared" si="18"/>
        <v>93</v>
      </c>
      <c r="AJ23" s="704"/>
      <c r="AK23" s="705"/>
      <c r="AL23" s="704"/>
      <c r="AM23" s="705"/>
      <c r="AN23" s="704"/>
      <c r="AO23" s="705"/>
      <c r="AP23" s="704"/>
      <c r="AQ23" s="706"/>
      <c r="AY23" s="1" t="str">
        <f t="shared" si="12"/>
        <v/>
      </c>
      <c r="AZ23" s="1" t="str">
        <f t="shared" si="13"/>
        <v/>
      </c>
      <c r="BA23" s="1" t="str">
        <f t="shared" si="14"/>
        <v/>
      </c>
    </row>
    <row r="24" spans="1:53" ht="15" customHeight="1" x14ac:dyDescent="0.35">
      <c r="A24" s="108" t="str">
        <f t="shared" si="9"/>
        <v>X</v>
      </c>
      <c r="B24" s="1104" t="s">
        <v>82</v>
      </c>
      <c r="C24" s="1105" t="s">
        <v>75</v>
      </c>
      <c r="D24" s="1107">
        <f>'2020'!D24</f>
        <v>8</v>
      </c>
      <c r="E24" s="1145">
        <f>'2021'!D24</f>
        <v>9</v>
      </c>
      <c r="F24" s="1148">
        <f>'2022'!D24</f>
        <v>11</v>
      </c>
      <c r="G24" s="813" t="s">
        <v>13</v>
      </c>
      <c r="H24" s="832" t="str">
        <f t="shared" ref="H24:H34" si="19">IF(L24=0,"","X")</f>
        <v>X</v>
      </c>
      <c r="I24" s="832" t="str">
        <f t="shared" ref="I24:I34" si="20">IF(M24=0,"","X")</f>
        <v>X</v>
      </c>
      <c r="J24" s="833" t="str">
        <f t="shared" ref="J24:J34" si="21">IF(N24=0,"","X")</f>
        <v>X</v>
      </c>
      <c r="K24" s="447" t="s">
        <v>60</v>
      </c>
      <c r="L24" s="939">
        <f>'2020'!G24</f>
        <v>31</v>
      </c>
      <c r="M24" s="940">
        <f>'2021'!G24</f>
        <v>76</v>
      </c>
      <c r="N24" s="941">
        <f>'2022'!G24</f>
        <v>59</v>
      </c>
      <c r="O24" s="942">
        <f>'2020'!H24</f>
        <v>23</v>
      </c>
      <c r="P24" s="940">
        <f>'2021'!H24</f>
        <v>50</v>
      </c>
      <c r="Q24" s="941">
        <f>'2022'!H24</f>
        <v>21</v>
      </c>
      <c r="R24" s="943">
        <f t="shared" si="1"/>
        <v>0.32258064516129031</v>
      </c>
      <c r="S24" s="944">
        <f t="shared" si="2"/>
        <v>0.22368421052631579</v>
      </c>
      <c r="T24" s="945">
        <f t="shared" si="3"/>
        <v>0.47457627118644069</v>
      </c>
      <c r="U24" s="942">
        <f>'2020'!J24</f>
        <v>10</v>
      </c>
      <c r="V24" s="940">
        <f>'2021'!J24</f>
        <v>17</v>
      </c>
      <c r="W24" s="941">
        <f>'2022'!J24</f>
        <v>28</v>
      </c>
      <c r="X24" s="943">
        <f t="shared" si="4"/>
        <v>0.32258064516129031</v>
      </c>
      <c r="Y24" s="944">
        <f t="shared" si="5"/>
        <v>0.36842105263157893</v>
      </c>
      <c r="Z24" s="945">
        <f t="shared" si="6"/>
        <v>0.33898305084745761</v>
      </c>
      <c r="AA24" s="942">
        <f>'2020'!L24</f>
        <v>10</v>
      </c>
      <c r="AB24" s="940">
        <f>'2021'!L24</f>
        <v>28</v>
      </c>
      <c r="AC24" s="941">
        <f>'2022'!L24</f>
        <v>20</v>
      </c>
      <c r="AD24" s="872" t="str">
        <f t="shared" si="7"/>
        <v/>
      </c>
      <c r="AE24" s="873" t="str">
        <f t="shared" si="7"/>
        <v/>
      </c>
      <c r="AF24" s="874">
        <f t="shared" si="7"/>
        <v>0</v>
      </c>
      <c r="AG24" s="875" t="str">
        <f>'2020'!N24</f>
        <v>-</v>
      </c>
      <c r="AH24" s="876" t="str">
        <f>'2021'!N24</f>
        <v>-</v>
      </c>
      <c r="AI24" s="877">
        <f>'2022'!N24</f>
        <v>0</v>
      </c>
      <c r="AJ24" s="878" t="s">
        <v>21</v>
      </c>
      <c r="AK24" s="879" t="s">
        <v>21</v>
      </c>
      <c r="AL24" s="878" t="s">
        <v>21</v>
      </c>
      <c r="AM24" s="879" t="s">
        <v>21</v>
      </c>
      <c r="AN24" s="880" t="s">
        <v>21</v>
      </c>
      <c r="AO24" s="881" t="s">
        <v>21</v>
      </c>
      <c r="AP24" s="880" t="s">
        <v>21</v>
      </c>
      <c r="AQ24" s="882" t="s">
        <v>21</v>
      </c>
      <c r="AY24" s="1" t="str">
        <f t="shared" si="12"/>
        <v>France</v>
      </c>
      <c r="AZ24" s="1" t="str">
        <f t="shared" si="13"/>
        <v>France</v>
      </c>
      <c r="BA24" s="1" t="str">
        <f t="shared" si="14"/>
        <v>France</v>
      </c>
    </row>
    <row r="25" spans="1:53" ht="15" customHeight="1" x14ac:dyDescent="0.35">
      <c r="A25" s="108" t="str">
        <f t="shared" si="9"/>
        <v>X</v>
      </c>
      <c r="B25" s="1104"/>
      <c r="C25" s="1105"/>
      <c r="D25" s="1108"/>
      <c r="E25" s="1146"/>
      <c r="F25" s="1149"/>
      <c r="G25" s="814" t="s">
        <v>14</v>
      </c>
      <c r="H25" s="834" t="str">
        <f t="shared" si="19"/>
        <v>X</v>
      </c>
      <c r="I25" s="834" t="str">
        <f t="shared" si="20"/>
        <v>X</v>
      </c>
      <c r="J25" s="835" t="str">
        <f t="shared" si="21"/>
        <v>X</v>
      </c>
      <c r="K25" s="454" t="s">
        <v>60</v>
      </c>
      <c r="L25" s="946">
        <f>'2020'!G25</f>
        <v>25</v>
      </c>
      <c r="M25" s="947">
        <f>'2021'!G25</f>
        <v>45</v>
      </c>
      <c r="N25" s="938">
        <f>'2022'!G25</f>
        <v>32</v>
      </c>
      <c r="O25" s="948">
        <f>'2020'!H25</f>
        <v>13</v>
      </c>
      <c r="P25" s="947">
        <f>'2021'!H25</f>
        <v>27</v>
      </c>
      <c r="Q25" s="938">
        <f>'2022'!H25</f>
        <v>16</v>
      </c>
      <c r="R25" s="949">
        <f t="shared" ref="R25:R34" si="22">IF(L25="",0,IF(U25=0,0,U25/L25))</f>
        <v>0.48</v>
      </c>
      <c r="S25" s="950">
        <f t="shared" ref="S25:S34" si="23">IF(M25="",0,IF(V25=0,0,V25/M25))</f>
        <v>0.46666666666666667</v>
      </c>
      <c r="T25" s="951">
        <f t="shared" ref="T25:T34" si="24">IF(N25="",0,IF(W25=0,0,W25/N25))</f>
        <v>0.34375</v>
      </c>
      <c r="U25" s="948">
        <f>'2020'!J25</f>
        <v>12</v>
      </c>
      <c r="V25" s="947">
        <f>'2021'!J25</f>
        <v>21</v>
      </c>
      <c r="W25" s="938">
        <f>'2022'!J25</f>
        <v>11</v>
      </c>
      <c r="X25" s="949">
        <f t="shared" si="4"/>
        <v>0.36</v>
      </c>
      <c r="Y25" s="950">
        <f t="shared" si="5"/>
        <v>0.31111111111111112</v>
      </c>
      <c r="Z25" s="951">
        <f t="shared" si="6"/>
        <v>0.1875</v>
      </c>
      <c r="AA25" s="948">
        <f>'2020'!L25</f>
        <v>9</v>
      </c>
      <c r="AB25" s="947">
        <f>'2021'!L25</f>
        <v>14</v>
      </c>
      <c r="AC25" s="938">
        <f>'2022'!L25</f>
        <v>6</v>
      </c>
      <c r="AD25" s="885" t="str">
        <f t="shared" si="7"/>
        <v/>
      </c>
      <c r="AE25" s="886" t="str">
        <f t="shared" si="7"/>
        <v/>
      </c>
      <c r="AF25" s="887">
        <f t="shared" si="7"/>
        <v>0</v>
      </c>
      <c r="AG25" s="888" t="str">
        <f>'2020'!N25</f>
        <v>-</v>
      </c>
      <c r="AH25" s="889" t="str">
        <f>'2021'!N25</f>
        <v>-</v>
      </c>
      <c r="AI25" s="890">
        <f>'2022'!N25</f>
        <v>0</v>
      </c>
      <c r="AJ25" s="891" t="s">
        <v>21</v>
      </c>
      <c r="AK25" s="892" t="s">
        <v>21</v>
      </c>
      <c r="AL25" s="891" t="s">
        <v>21</v>
      </c>
      <c r="AM25" s="892" t="s">
        <v>21</v>
      </c>
      <c r="AN25" s="893" t="s">
        <v>21</v>
      </c>
      <c r="AO25" s="894" t="s">
        <v>21</v>
      </c>
      <c r="AP25" s="893" t="s">
        <v>21</v>
      </c>
      <c r="AQ25" s="895" t="s">
        <v>21</v>
      </c>
      <c r="AY25" s="1" t="str">
        <f t="shared" si="12"/>
        <v>France</v>
      </c>
      <c r="AZ25" s="1" t="str">
        <f t="shared" si="13"/>
        <v>France</v>
      </c>
      <c r="BA25" s="1" t="str">
        <f t="shared" si="14"/>
        <v>France</v>
      </c>
    </row>
    <row r="26" spans="1:53" ht="15" customHeight="1" x14ac:dyDescent="0.35">
      <c r="A26" s="108" t="str">
        <f t="shared" si="9"/>
        <v>X</v>
      </c>
      <c r="B26" s="1104"/>
      <c r="C26" s="1105"/>
      <c r="D26" s="1108"/>
      <c r="E26" s="1146"/>
      <c r="F26" s="1149"/>
      <c r="G26" s="814" t="s">
        <v>15</v>
      </c>
      <c r="H26" s="834" t="str">
        <f t="shared" si="19"/>
        <v>X</v>
      </c>
      <c r="I26" s="834" t="str">
        <f t="shared" si="20"/>
        <v>X</v>
      </c>
      <c r="J26" s="835" t="str">
        <f t="shared" si="21"/>
        <v>X</v>
      </c>
      <c r="K26" s="454" t="s">
        <v>60</v>
      </c>
      <c r="L26" s="946">
        <f>'2020'!G26</f>
        <v>18</v>
      </c>
      <c r="M26" s="947">
        <f>'2021'!G26</f>
        <v>16</v>
      </c>
      <c r="N26" s="938">
        <f>'2022'!G26</f>
        <v>21</v>
      </c>
      <c r="O26" s="948">
        <f>'2020'!H26</f>
        <v>10</v>
      </c>
      <c r="P26" s="947">
        <f>'2021'!H26</f>
        <v>10</v>
      </c>
      <c r="Q26" s="938">
        <f>'2022'!H26</f>
        <v>8</v>
      </c>
      <c r="R26" s="949">
        <f t="shared" si="22"/>
        <v>0.5</v>
      </c>
      <c r="S26" s="950">
        <f t="shared" si="23"/>
        <v>0.3125</v>
      </c>
      <c r="T26" s="951">
        <f t="shared" si="24"/>
        <v>0.19047619047619047</v>
      </c>
      <c r="U26" s="948">
        <f>'2020'!J26</f>
        <v>9</v>
      </c>
      <c r="V26" s="947">
        <f>'2021'!J26</f>
        <v>5</v>
      </c>
      <c r="W26" s="938">
        <f>'2022'!J26</f>
        <v>4</v>
      </c>
      <c r="X26" s="949">
        <f t="shared" si="4"/>
        <v>0.16666666666666666</v>
      </c>
      <c r="Y26" s="950">
        <f t="shared" si="5"/>
        <v>0.1875</v>
      </c>
      <c r="Z26" s="951">
        <f t="shared" si="6"/>
        <v>0.23809523809523808</v>
      </c>
      <c r="AA26" s="948">
        <f>'2020'!L26</f>
        <v>3</v>
      </c>
      <c r="AB26" s="947">
        <f>'2021'!L26</f>
        <v>3</v>
      </c>
      <c r="AC26" s="938">
        <f>'2022'!L26</f>
        <v>5</v>
      </c>
      <c r="AD26" s="885" t="str">
        <f t="shared" si="7"/>
        <v/>
      </c>
      <c r="AE26" s="886" t="str">
        <f t="shared" si="7"/>
        <v/>
      </c>
      <c r="AF26" s="887">
        <f t="shared" si="7"/>
        <v>0</v>
      </c>
      <c r="AG26" s="888" t="str">
        <f>'2020'!N26</f>
        <v>-</v>
      </c>
      <c r="AH26" s="889" t="str">
        <f>'2021'!N26</f>
        <v>-</v>
      </c>
      <c r="AI26" s="890">
        <f>'2022'!N26</f>
        <v>0</v>
      </c>
      <c r="AJ26" s="891" t="s">
        <v>21</v>
      </c>
      <c r="AK26" s="892" t="s">
        <v>21</v>
      </c>
      <c r="AL26" s="891" t="s">
        <v>21</v>
      </c>
      <c r="AM26" s="892" t="s">
        <v>21</v>
      </c>
      <c r="AN26" s="893" t="s">
        <v>21</v>
      </c>
      <c r="AO26" s="894" t="s">
        <v>21</v>
      </c>
      <c r="AP26" s="893" t="s">
        <v>21</v>
      </c>
      <c r="AQ26" s="895" t="s">
        <v>21</v>
      </c>
      <c r="AY26" s="1" t="str">
        <f t="shared" si="12"/>
        <v>France</v>
      </c>
      <c r="AZ26" s="1" t="str">
        <f t="shared" si="13"/>
        <v>France</v>
      </c>
      <c r="BA26" s="1" t="str">
        <f t="shared" si="14"/>
        <v>France</v>
      </c>
    </row>
    <row r="27" spans="1:53" ht="15" customHeight="1" x14ac:dyDescent="0.35">
      <c r="A27" s="108" t="str">
        <f t="shared" si="9"/>
        <v>X</v>
      </c>
      <c r="B27" s="1104"/>
      <c r="C27" s="1105"/>
      <c r="D27" s="1108"/>
      <c r="E27" s="1146"/>
      <c r="F27" s="1149"/>
      <c r="G27" s="814" t="s">
        <v>141</v>
      </c>
      <c r="H27" s="834" t="str">
        <f t="shared" si="19"/>
        <v/>
      </c>
      <c r="I27" s="834" t="str">
        <f t="shared" si="20"/>
        <v>X</v>
      </c>
      <c r="J27" s="835" t="str">
        <f t="shared" si="21"/>
        <v>X</v>
      </c>
      <c r="K27" s="454" t="s">
        <v>60</v>
      </c>
      <c r="L27" s="946">
        <f>'2020'!G27</f>
        <v>0</v>
      </c>
      <c r="M27" s="947">
        <f>'2021'!G27</f>
        <v>56</v>
      </c>
      <c r="N27" s="938">
        <f>'2022'!G27</f>
        <v>55</v>
      </c>
      <c r="O27" s="948">
        <f>'2020'!H27</f>
        <v>0</v>
      </c>
      <c r="P27" s="947">
        <f>'2021'!H27</f>
        <v>36</v>
      </c>
      <c r="Q27" s="938">
        <f>'2022'!H27</f>
        <v>21</v>
      </c>
      <c r="R27" s="949">
        <f t="shared" si="22"/>
        <v>0</v>
      </c>
      <c r="S27" s="950">
        <f t="shared" si="23"/>
        <v>0.21428571428571427</v>
      </c>
      <c r="T27" s="951">
        <f t="shared" si="24"/>
        <v>0.32727272727272727</v>
      </c>
      <c r="U27" s="948">
        <f>'2020'!J27</f>
        <v>0</v>
      </c>
      <c r="V27" s="947">
        <f>'2021'!J27</f>
        <v>12</v>
      </c>
      <c r="W27" s="938">
        <f>'2022'!J27</f>
        <v>18</v>
      </c>
      <c r="X27" s="949" t="str">
        <f t="shared" si="4"/>
        <v/>
      </c>
      <c r="Y27" s="950">
        <f t="shared" si="5"/>
        <v>0.17857142857142858</v>
      </c>
      <c r="Z27" s="951">
        <f t="shared" si="6"/>
        <v>0.32727272727272727</v>
      </c>
      <c r="AA27" s="948">
        <f>'2020'!L27</f>
        <v>0</v>
      </c>
      <c r="AB27" s="947">
        <f>'2021'!L27</f>
        <v>10</v>
      </c>
      <c r="AC27" s="938">
        <f>'2022'!L27</f>
        <v>18</v>
      </c>
      <c r="AD27" s="885" t="str">
        <f t="shared" si="7"/>
        <v/>
      </c>
      <c r="AE27" s="886" t="str">
        <f t="shared" si="7"/>
        <v/>
      </c>
      <c r="AF27" s="887">
        <f t="shared" si="7"/>
        <v>0</v>
      </c>
      <c r="AG27" s="888" t="str">
        <f>'2020'!N27</f>
        <v>-</v>
      </c>
      <c r="AH27" s="889" t="str">
        <f>'2021'!N27</f>
        <v>-</v>
      </c>
      <c r="AI27" s="890">
        <f>'2022'!N27</f>
        <v>0</v>
      </c>
      <c r="AJ27" s="891" t="s">
        <v>21</v>
      </c>
      <c r="AK27" s="892" t="s">
        <v>21</v>
      </c>
      <c r="AL27" s="891" t="s">
        <v>21</v>
      </c>
      <c r="AM27" s="892" t="s">
        <v>21</v>
      </c>
      <c r="AN27" s="893" t="s">
        <v>21</v>
      </c>
      <c r="AO27" s="894" t="s">
        <v>21</v>
      </c>
      <c r="AP27" s="893" t="s">
        <v>21</v>
      </c>
      <c r="AQ27" s="895" t="s">
        <v>21</v>
      </c>
      <c r="AY27" s="1" t="str">
        <f t="shared" si="12"/>
        <v/>
      </c>
      <c r="AZ27" s="1" t="str">
        <f t="shared" si="13"/>
        <v>France</v>
      </c>
      <c r="BA27" s="1" t="str">
        <f t="shared" si="14"/>
        <v>France</v>
      </c>
    </row>
    <row r="28" spans="1:53" ht="15" customHeight="1" x14ac:dyDescent="0.35">
      <c r="A28" s="108" t="str">
        <f t="shared" si="9"/>
        <v>X</v>
      </c>
      <c r="B28" s="1104"/>
      <c r="C28" s="1105"/>
      <c r="D28" s="1108"/>
      <c r="E28" s="1146"/>
      <c r="F28" s="1149"/>
      <c r="G28" s="814" t="s">
        <v>16</v>
      </c>
      <c r="H28" s="834" t="str">
        <f t="shared" si="19"/>
        <v>X</v>
      </c>
      <c r="I28" s="834" t="str">
        <f t="shared" si="20"/>
        <v>X</v>
      </c>
      <c r="J28" s="835" t="str">
        <f t="shared" si="21"/>
        <v>X</v>
      </c>
      <c r="K28" s="454" t="s">
        <v>60</v>
      </c>
      <c r="L28" s="946">
        <f>'2020'!G28</f>
        <v>14</v>
      </c>
      <c r="M28" s="947">
        <f>'2021'!G28</f>
        <v>13</v>
      </c>
      <c r="N28" s="938">
        <f>'2022'!G28</f>
        <v>6</v>
      </c>
      <c r="O28" s="948">
        <f>'2020'!H28</f>
        <v>9</v>
      </c>
      <c r="P28" s="947">
        <f>'2021'!H28</f>
        <v>8</v>
      </c>
      <c r="Q28" s="938">
        <f>'2022'!H28</f>
        <v>2</v>
      </c>
      <c r="R28" s="949">
        <f t="shared" si="22"/>
        <v>7.1428571428571425E-2</v>
      </c>
      <c r="S28" s="950">
        <f t="shared" si="23"/>
        <v>0.53846153846153844</v>
      </c>
      <c r="T28" s="951">
        <f t="shared" si="24"/>
        <v>0.33333333333333331</v>
      </c>
      <c r="U28" s="948">
        <f>'2020'!J28</f>
        <v>1</v>
      </c>
      <c r="V28" s="947">
        <f>'2021'!J28</f>
        <v>7</v>
      </c>
      <c r="W28" s="938">
        <f>'2022'!J28</f>
        <v>2</v>
      </c>
      <c r="X28" s="949">
        <f t="shared" si="4"/>
        <v>7.1428571428571425E-2</v>
      </c>
      <c r="Y28" s="950">
        <f t="shared" si="5"/>
        <v>0.46153846153846156</v>
      </c>
      <c r="Z28" s="951">
        <f t="shared" si="6"/>
        <v>0.16666666666666666</v>
      </c>
      <c r="AA28" s="948">
        <f>'2020'!L28</f>
        <v>1</v>
      </c>
      <c r="AB28" s="947">
        <f>'2021'!L28</f>
        <v>6</v>
      </c>
      <c r="AC28" s="938">
        <f>'2022'!L28</f>
        <v>1</v>
      </c>
      <c r="AD28" s="885" t="str">
        <f t="shared" si="7"/>
        <v/>
      </c>
      <c r="AE28" s="886" t="str">
        <f t="shared" si="7"/>
        <v/>
      </c>
      <c r="AF28" s="887">
        <f t="shared" si="7"/>
        <v>0</v>
      </c>
      <c r="AG28" s="888" t="str">
        <f>'2020'!N28</f>
        <v>-</v>
      </c>
      <c r="AH28" s="889" t="str">
        <f>'2021'!N28</f>
        <v>-</v>
      </c>
      <c r="AI28" s="890">
        <f>'2022'!N28</f>
        <v>0</v>
      </c>
      <c r="AJ28" s="891" t="s">
        <v>21</v>
      </c>
      <c r="AK28" s="892" t="s">
        <v>21</v>
      </c>
      <c r="AL28" s="891" t="s">
        <v>21</v>
      </c>
      <c r="AM28" s="892" t="s">
        <v>21</v>
      </c>
      <c r="AN28" s="893" t="s">
        <v>21</v>
      </c>
      <c r="AO28" s="894" t="s">
        <v>21</v>
      </c>
      <c r="AP28" s="893" t="s">
        <v>21</v>
      </c>
      <c r="AQ28" s="895" t="s">
        <v>21</v>
      </c>
      <c r="AY28" s="1" t="str">
        <f t="shared" si="12"/>
        <v>France</v>
      </c>
      <c r="AZ28" s="1" t="str">
        <f t="shared" si="13"/>
        <v>France</v>
      </c>
      <c r="BA28" s="1" t="str">
        <f t="shared" si="14"/>
        <v>France</v>
      </c>
    </row>
    <row r="29" spans="1:53" ht="15" customHeight="1" x14ac:dyDescent="0.35">
      <c r="A29" s="108" t="str">
        <f t="shared" si="9"/>
        <v>X</v>
      </c>
      <c r="B29" s="1104"/>
      <c r="C29" s="1105"/>
      <c r="D29" s="1108"/>
      <c r="E29" s="1146"/>
      <c r="F29" s="1149"/>
      <c r="G29" s="814" t="s">
        <v>17</v>
      </c>
      <c r="H29" s="834" t="str">
        <f t="shared" si="19"/>
        <v>X</v>
      </c>
      <c r="I29" s="834" t="str">
        <f t="shared" si="20"/>
        <v>X</v>
      </c>
      <c r="J29" s="835" t="str">
        <f t="shared" si="21"/>
        <v>X</v>
      </c>
      <c r="K29" s="454" t="s">
        <v>60</v>
      </c>
      <c r="L29" s="946">
        <f>'2020'!G29</f>
        <v>24</v>
      </c>
      <c r="M29" s="947">
        <f>'2021'!G29</f>
        <v>24</v>
      </c>
      <c r="N29" s="938">
        <f>'2022'!G29</f>
        <v>20</v>
      </c>
      <c r="O29" s="948">
        <f>'2020'!H29</f>
        <v>16</v>
      </c>
      <c r="P29" s="947">
        <f>'2021'!H29</f>
        <v>20</v>
      </c>
      <c r="Q29" s="938">
        <f>'2022'!H29</f>
        <v>6</v>
      </c>
      <c r="R29" s="949">
        <f t="shared" si="22"/>
        <v>4.1666666666666664E-2</v>
      </c>
      <c r="S29" s="950">
        <f t="shared" si="23"/>
        <v>0.29166666666666669</v>
      </c>
      <c r="T29" s="951">
        <f t="shared" si="24"/>
        <v>0.25</v>
      </c>
      <c r="U29" s="948">
        <f>'2020'!J29</f>
        <v>1</v>
      </c>
      <c r="V29" s="947">
        <f>'2021'!J29</f>
        <v>7</v>
      </c>
      <c r="W29" s="938">
        <f>'2022'!J29</f>
        <v>5</v>
      </c>
      <c r="X29" s="949">
        <f t="shared" si="4"/>
        <v>0.20833333333333334</v>
      </c>
      <c r="Y29" s="950">
        <f t="shared" si="5"/>
        <v>0.29166666666666669</v>
      </c>
      <c r="Z29" s="951">
        <f t="shared" si="6"/>
        <v>0.2</v>
      </c>
      <c r="AA29" s="948">
        <f>'2020'!L29</f>
        <v>5</v>
      </c>
      <c r="AB29" s="947">
        <f>'2021'!L29</f>
        <v>7</v>
      </c>
      <c r="AC29" s="938">
        <f>'2022'!L29</f>
        <v>4</v>
      </c>
      <c r="AD29" s="885" t="str">
        <f t="shared" si="7"/>
        <v/>
      </c>
      <c r="AE29" s="886" t="str">
        <f t="shared" si="7"/>
        <v/>
      </c>
      <c r="AF29" s="887">
        <f t="shared" si="7"/>
        <v>0</v>
      </c>
      <c r="AG29" s="888" t="str">
        <f>'2020'!N29</f>
        <v>-</v>
      </c>
      <c r="AH29" s="889" t="str">
        <f>'2021'!N29</f>
        <v>-</v>
      </c>
      <c r="AI29" s="890">
        <f>'2022'!N29</f>
        <v>0</v>
      </c>
      <c r="AJ29" s="891" t="s">
        <v>21</v>
      </c>
      <c r="AK29" s="892" t="s">
        <v>21</v>
      </c>
      <c r="AL29" s="891" t="s">
        <v>21</v>
      </c>
      <c r="AM29" s="892" t="s">
        <v>21</v>
      </c>
      <c r="AN29" s="893" t="s">
        <v>21</v>
      </c>
      <c r="AO29" s="894" t="s">
        <v>21</v>
      </c>
      <c r="AP29" s="893" t="s">
        <v>21</v>
      </c>
      <c r="AQ29" s="895" t="s">
        <v>21</v>
      </c>
      <c r="AY29" s="1" t="str">
        <f t="shared" si="12"/>
        <v>France</v>
      </c>
      <c r="AZ29" s="1" t="str">
        <f t="shared" si="13"/>
        <v>France</v>
      </c>
      <c r="BA29" s="1" t="str">
        <f t="shared" si="14"/>
        <v>France</v>
      </c>
    </row>
    <row r="30" spans="1:53" ht="15" customHeight="1" x14ac:dyDescent="0.35">
      <c r="A30" s="108" t="str">
        <f t="shared" si="9"/>
        <v>X</v>
      </c>
      <c r="B30" s="1104"/>
      <c r="C30" s="1105"/>
      <c r="D30" s="1108"/>
      <c r="E30" s="1146"/>
      <c r="F30" s="1149"/>
      <c r="G30" s="814" t="s">
        <v>18</v>
      </c>
      <c r="H30" s="834" t="str">
        <f t="shared" si="19"/>
        <v>X</v>
      </c>
      <c r="I30" s="834" t="str">
        <f t="shared" si="20"/>
        <v>X</v>
      </c>
      <c r="J30" s="835" t="str">
        <f t="shared" si="21"/>
        <v>X</v>
      </c>
      <c r="K30" s="454" t="s">
        <v>60</v>
      </c>
      <c r="L30" s="946">
        <f>'2020'!G30</f>
        <v>29</v>
      </c>
      <c r="M30" s="947">
        <f>'2021'!G30</f>
        <v>33</v>
      </c>
      <c r="N30" s="938">
        <f>'2022'!G30</f>
        <v>20</v>
      </c>
      <c r="O30" s="948">
        <f>'2020'!H30</f>
        <v>21</v>
      </c>
      <c r="P30" s="947">
        <f>'2021'!H30</f>
        <v>25</v>
      </c>
      <c r="Q30" s="938">
        <f>'2022'!H30</f>
        <v>9</v>
      </c>
      <c r="R30" s="949">
        <f t="shared" si="22"/>
        <v>0</v>
      </c>
      <c r="S30" s="950">
        <f t="shared" si="23"/>
        <v>0</v>
      </c>
      <c r="T30" s="951">
        <f t="shared" si="24"/>
        <v>0.25</v>
      </c>
      <c r="U30" s="948">
        <f>'2020'!J30</f>
        <v>0</v>
      </c>
      <c r="V30" s="947">
        <f>'2021'!J30</f>
        <v>0</v>
      </c>
      <c r="W30" s="938">
        <f>'2022'!J30</f>
        <v>5</v>
      </c>
      <c r="X30" s="949">
        <f t="shared" si="4"/>
        <v>0.41379310344827586</v>
      </c>
      <c r="Y30" s="950">
        <f t="shared" si="5"/>
        <v>0.21212121212121213</v>
      </c>
      <c r="Z30" s="951">
        <f t="shared" si="6"/>
        <v>0.25</v>
      </c>
      <c r="AA30" s="948">
        <f>'2020'!L30</f>
        <v>12</v>
      </c>
      <c r="AB30" s="947">
        <f>'2021'!L30</f>
        <v>7</v>
      </c>
      <c r="AC30" s="938">
        <f>'2022'!L30</f>
        <v>5</v>
      </c>
      <c r="AD30" s="885" t="str">
        <f t="shared" si="7"/>
        <v/>
      </c>
      <c r="AE30" s="886" t="str">
        <f t="shared" si="7"/>
        <v/>
      </c>
      <c r="AF30" s="887">
        <f t="shared" si="7"/>
        <v>0</v>
      </c>
      <c r="AG30" s="888" t="str">
        <f>'2020'!N30</f>
        <v>-</v>
      </c>
      <c r="AH30" s="889" t="str">
        <f>'2021'!N30</f>
        <v>-</v>
      </c>
      <c r="AI30" s="890">
        <f>'2022'!N30</f>
        <v>0</v>
      </c>
      <c r="AJ30" s="891" t="s">
        <v>21</v>
      </c>
      <c r="AK30" s="892" t="s">
        <v>21</v>
      </c>
      <c r="AL30" s="891" t="s">
        <v>21</v>
      </c>
      <c r="AM30" s="892" t="s">
        <v>21</v>
      </c>
      <c r="AN30" s="893" t="s">
        <v>21</v>
      </c>
      <c r="AO30" s="894" t="s">
        <v>21</v>
      </c>
      <c r="AP30" s="893" t="s">
        <v>21</v>
      </c>
      <c r="AQ30" s="895" t="s">
        <v>21</v>
      </c>
      <c r="AY30" s="1" t="str">
        <f t="shared" si="12"/>
        <v>France</v>
      </c>
      <c r="AZ30" s="1" t="str">
        <f t="shared" si="13"/>
        <v>France</v>
      </c>
      <c r="BA30" s="1" t="str">
        <f t="shared" si="14"/>
        <v>France</v>
      </c>
    </row>
    <row r="31" spans="1:53" ht="15" customHeight="1" x14ac:dyDescent="0.35">
      <c r="A31" s="108" t="str">
        <f t="shared" si="9"/>
        <v>X</v>
      </c>
      <c r="B31" s="1104"/>
      <c r="C31" s="1105"/>
      <c r="D31" s="1108"/>
      <c r="E31" s="1146"/>
      <c r="F31" s="1149"/>
      <c r="G31" s="814" t="s">
        <v>19</v>
      </c>
      <c r="H31" s="834" t="str">
        <f t="shared" si="19"/>
        <v>X</v>
      </c>
      <c r="I31" s="834" t="str">
        <f t="shared" si="20"/>
        <v>X</v>
      </c>
      <c r="J31" s="835" t="str">
        <f t="shared" si="21"/>
        <v>X</v>
      </c>
      <c r="K31" s="454" t="s">
        <v>60</v>
      </c>
      <c r="L31" s="946">
        <f>'2020'!G31</f>
        <v>27</v>
      </c>
      <c r="M31" s="947">
        <f>'2021'!G31</f>
        <v>32</v>
      </c>
      <c r="N31" s="938">
        <f>'2022'!G31</f>
        <v>35</v>
      </c>
      <c r="O31" s="948">
        <f>'2020'!H31</f>
        <v>17</v>
      </c>
      <c r="P31" s="947">
        <f>'2021'!H31</f>
        <v>17</v>
      </c>
      <c r="Q31" s="938">
        <f>'2022'!H31</f>
        <v>9</v>
      </c>
      <c r="R31" s="949">
        <f t="shared" si="22"/>
        <v>0.25925925925925924</v>
      </c>
      <c r="S31" s="950">
        <f t="shared" si="23"/>
        <v>0.15625</v>
      </c>
      <c r="T31" s="951">
        <f t="shared" si="24"/>
        <v>0.31428571428571428</v>
      </c>
      <c r="U31" s="948">
        <f>'2020'!J31</f>
        <v>7</v>
      </c>
      <c r="V31" s="947">
        <f>'2021'!J31</f>
        <v>5</v>
      </c>
      <c r="W31" s="938">
        <f>'2022'!J31</f>
        <v>11</v>
      </c>
      <c r="X31" s="949">
        <f t="shared" si="4"/>
        <v>0.48148148148148145</v>
      </c>
      <c r="Y31" s="950">
        <f t="shared" si="5"/>
        <v>0.375</v>
      </c>
      <c r="Z31" s="951">
        <f t="shared" si="6"/>
        <v>0.22857142857142856</v>
      </c>
      <c r="AA31" s="948">
        <f>'2020'!L31</f>
        <v>13</v>
      </c>
      <c r="AB31" s="947">
        <f>'2021'!L31</f>
        <v>12</v>
      </c>
      <c r="AC31" s="938">
        <f>'2022'!L31</f>
        <v>8</v>
      </c>
      <c r="AD31" s="885" t="str">
        <f t="shared" si="7"/>
        <v/>
      </c>
      <c r="AE31" s="886" t="str">
        <f t="shared" si="7"/>
        <v/>
      </c>
      <c r="AF31" s="887">
        <f t="shared" si="7"/>
        <v>0</v>
      </c>
      <c r="AG31" s="888" t="str">
        <f>'2020'!N31</f>
        <v>-</v>
      </c>
      <c r="AH31" s="889" t="str">
        <f>'2021'!N31</f>
        <v>-</v>
      </c>
      <c r="AI31" s="890">
        <f>'2022'!N31</f>
        <v>0</v>
      </c>
      <c r="AJ31" s="891" t="s">
        <v>21</v>
      </c>
      <c r="AK31" s="892" t="s">
        <v>21</v>
      </c>
      <c r="AL31" s="891" t="s">
        <v>21</v>
      </c>
      <c r="AM31" s="892" t="s">
        <v>21</v>
      </c>
      <c r="AN31" s="893" t="s">
        <v>21</v>
      </c>
      <c r="AO31" s="894" t="s">
        <v>21</v>
      </c>
      <c r="AP31" s="893" t="s">
        <v>21</v>
      </c>
      <c r="AQ31" s="895" t="s">
        <v>21</v>
      </c>
      <c r="AY31" s="1" t="str">
        <f t="shared" si="12"/>
        <v>France</v>
      </c>
      <c r="AZ31" s="1" t="str">
        <f t="shared" si="13"/>
        <v>France</v>
      </c>
      <c r="BA31" s="1" t="str">
        <f t="shared" si="14"/>
        <v>France</v>
      </c>
    </row>
    <row r="32" spans="1:53" ht="15" customHeight="1" x14ac:dyDescent="0.35">
      <c r="A32" s="108" t="str">
        <f t="shared" si="9"/>
        <v>X</v>
      </c>
      <c r="B32" s="1104"/>
      <c r="C32" s="1105"/>
      <c r="D32" s="1108"/>
      <c r="E32" s="1146"/>
      <c r="F32" s="1149"/>
      <c r="G32" s="814" t="s">
        <v>173</v>
      </c>
      <c r="H32" s="834" t="str">
        <f t="shared" si="19"/>
        <v/>
      </c>
      <c r="I32" s="834" t="str">
        <f t="shared" si="20"/>
        <v/>
      </c>
      <c r="J32" s="835" t="str">
        <f t="shared" si="21"/>
        <v>X</v>
      </c>
      <c r="K32" s="454" t="s">
        <v>60</v>
      </c>
      <c r="L32" s="946">
        <f>'2020'!G32</f>
        <v>0</v>
      </c>
      <c r="M32" s="947">
        <f>'2021'!G32</f>
        <v>0</v>
      </c>
      <c r="N32" s="938">
        <f>'2022'!G32</f>
        <v>15</v>
      </c>
      <c r="O32" s="948">
        <f>'2020'!H32</f>
        <v>0</v>
      </c>
      <c r="P32" s="947">
        <f>'2021'!H32</f>
        <v>0</v>
      </c>
      <c r="Q32" s="938">
        <f>'2022'!H32</f>
        <v>7</v>
      </c>
      <c r="R32" s="949">
        <f t="shared" si="22"/>
        <v>0</v>
      </c>
      <c r="S32" s="950">
        <f t="shared" si="23"/>
        <v>0</v>
      </c>
      <c r="T32" s="951">
        <f t="shared" si="24"/>
        <v>0.2</v>
      </c>
      <c r="U32" s="948">
        <f>'2020'!J32</f>
        <v>0</v>
      </c>
      <c r="V32" s="947">
        <f>'2021'!J32</f>
        <v>0</v>
      </c>
      <c r="W32" s="938">
        <f>'2022'!J32</f>
        <v>3</v>
      </c>
      <c r="X32" s="949" t="str">
        <f t="shared" si="4"/>
        <v/>
      </c>
      <c r="Y32" s="950" t="str">
        <f t="shared" si="5"/>
        <v/>
      </c>
      <c r="Z32" s="951">
        <f t="shared" si="6"/>
        <v>0</v>
      </c>
      <c r="AA32" s="948">
        <f>'2020'!L32</f>
        <v>0</v>
      </c>
      <c r="AB32" s="947">
        <f>'2021'!L32</f>
        <v>0</v>
      </c>
      <c r="AC32" s="938">
        <f>'2022'!L32</f>
        <v>0</v>
      </c>
      <c r="AD32" s="885" t="str">
        <f t="shared" si="7"/>
        <v/>
      </c>
      <c r="AE32" s="886" t="str">
        <f t="shared" si="7"/>
        <v/>
      </c>
      <c r="AF32" s="887" t="str">
        <f t="shared" si="7"/>
        <v/>
      </c>
      <c r="AG32" s="888" t="str">
        <f>'2020'!N32</f>
        <v>-</v>
      </c>
      <c r="AH32" s="889" t="str">
        <f>'2021'!N32</f>
        <v>-</v>
      </c>
      <c r="AI32" s="890">
        <f>'2022'!N32</f>
        <v>0</v>
      </c>
      <c r="AJ32" s="891" t="s">
        <v>21</v>
      </c>
      <c r="AK32" s="892" t="s">
        <v>21</v>
      </c>
      <c r="AL32" s="891" t="s">
        <v>21</v>
      </c>
      <c r="AM32" s="892" t="s">
        <v>21</v>
      </c>
      <c r="AN32" s="893" t="s">
        <v>21</v>
      </c>
      <c r="AO32" s="894" t="s">
        <v>21</v>
      </c>
      <c r="AP32" s="893" t="s">
        <v>21</v>
      </c>
      <c r="AQ32" s="895" t="s">
        <v>21</v>
      </c>
      <c r="AY32" s="1" t="str">
        <f t="shared" si="12"/>
        <v/>
      </c>
      <c r="AZ32" s="1" t="str">
        <f t="shared" si="13"/>
        <v/>
      </c>
      <c r="BA32" s="1" t="str">
        <f t="shared" si="14"/>
        <v>France</v>
      </c>
    </row>
    <row r="33" spans="1:56" ht="15" customHeight="1" x14ac:dyDescent="0.35">
      <c r="A33" s="108" t="str">
        <f t="shared" si="9"/>
        <v>X</v>
      </c>
      <c r="B33" s="1104"/>
      <c r="C33" s="1105"/>
      <c r="D33" s="1108"/>
      <c r="E33" s="1146"/>
      <c r="F33" s="1149"/>
      <c r="G33" s="814" t="s">
        <v>174</v>
      </c>
      <c r="H33" s="834" t="str">
        <f t="shared" si="19"/>
        <v/>
      </c>
      <c r="I33" s="834" t="str">
        <f t="shared" si="20"/>
        <v/>
      </c>
      <c r="J33" s="835" t="str">
        <f t="shared" si="21"/>
        <v>X</v>
      </c>
      <c r="K33" s="454" t="s">
        <v>60</v>
      </c>
      <c r="L33" s="946">
        <f>'2020'!G33</f>
        <v>0</v>
      </c>
      <c r="M33" s="947">
        <f>'2021'!G33</f>
        <v>0</v>
      </c>
      <c r="N33" s="938">
        <f>'2022'!G33</f>
        <v>22</v>
      </c>
      <c r="O33" s="948">
        <f>'2020'!H33</f>
        <v>0</v>
      </c>
      <c r="P33" s="947">
        <f>'2021'!H33</f>
        <v>0</v>
      </c>
      <c r="Q33" s="938">
        <f>'2022'!H33</f>
        <v>7</v>
      </c>
      <c r="R33" s="949">
        <f t="shared" si="22"/>
        <v>0</v>
      </c>
      <c r="S33" s="950">
        <f t="shared" si="23"/>
        <v>0</v>
      </c>
      <c r="T33" s="951">
        <f t="shared" si="24"/>
        <v>9.0909090909090912E-2</v>
      </c>
      <c r="U33" s="948">
        <f>'2020'!J33</f>
        <v>0</v>
      </c>
      <c r="V33" s="947">
        <f>'2021'!J33</f>
        <v>0</v>
      </c>
      <c r="W33" s="938">
        <f>'2022'!J33</f>
        <v>2</v>
      </c>
      <c r="X33" s="949" t="str">
        <f t="shared" si="4"/>
        <v/>
      </c>
      <c r="Y33" s="950" t="str">
        <f t="shared" si="5"/>
        <v/>
      </c>
      <c r="Z33" s="951">
        <f t="shared" si="6"/>
        <v>0.22727272727272727</v>
      </c>
      <c r="AA33" s="948">
        <f>'2020'!L33</f>
        <v>0</v>
      </c>
      <c r="AB33" s="947">
        <f>'2021'!L33</f>
        <v>0</v>
      </c>
      <c r="AC33" s="938">
        <f>'2022'!L33</f>
        <v>5</v>
      </c>
      <c r="AD33" s="885" t="str">
        <f t="shared" si="7"/>
        <v/>
      </c>
      <c r="AE33" s="886" t="str">
        <f t="shared" si="7"/>
        <v/>
      </c>
      <c r="AF33" s="887">
        <f t="shared" si="7"/>
        <v>0</v>
      </c>
      <c r="AG33" s="888" t="str">
        <f>'2020'!N33</f>
        <v>-</v>
      </c>
      <c r="AH33" s="889" t="str">
        <f>'2021'!N33</f>
        <v>-</v>
      </c>
      <c r="AI33" s="890">
        <f>'2022'!N33</f>
        <v>0</v>
      </c>
      <c r="AJ33" s="891" t="s">
        <v>21</v>
      </c>
      <c r="AK33" s="892" t="s">
        <v>21</v>
      </c>
      <c r="AL33" s="891" t="s">
        <v>21</v>
      </c>
      <c r="AM33" s="892" t="s">
        <v>21</v>
      </c>
      <c r="AN33" s="893" t="s">
        <v>21</v>
      </c>
      <c r="AO33" s="894" t="s">
        <v>21</v>
      </c>
      <c r="AP33" s="893" t="s">
        <v>21</v>
      </c>
      <c r="AQ33" s="895" t="s">
        <v>21</v>
      </c>
      <c r="AY33" s="1" t="str">
        <f t="shared" si="12"/>
        <v/>
      </c>
      <c r="AZ33" s="1" t="str">
        <f t="shared" si="13"/>
        <v/>
      </c>
      <c r="BA33" s="1" t="str">
        <f t="shared" si="14"/>
        <v>France</v>
      </c>
    </row>
    <row r="34" spans="1:56" ht="15" customHeight="1" x14ac:dyDescent="0.35">
      <c r="A34" s="108" t="str">
        <f t="shared" si="9"/>
        <v>X</v>
      </c>
      <c r="B34" s="1104"/>
      <c r="C34" s="1105"/>
      <c r="D34" s="1109"/>
      <c r="E34" s="1147"/>
      <c r="F34" s="1150"/>
      <c r="G34" s="896" t="s">
        <v>5</v>
      </c>
      <c r="H34" s="897" t="str">
        <f t="shared" si="19"/>
        <v>X</v>
      </c>
      <c r="I34" s="897" t="str">
        <f t="shared" si="20"/>
        <v/>
      </c>
      <c r="J34" s="898" t="str">
        <f t="shared" si="21"/>
        <v/>
      </c>
      <c r="K34" s="899" t="s">
        <v>60</v>
      </c>
      <c r="L34" s="857">
        <f>'2020'!G34</f>
        <v>4</v>
      </c>
      <c r="M34" s="858">
        <f>'2021'!G34</f>
        <v>0</v>
      </c>
      <c r="N34" s="859">
        <f>'2022'!G34</f>
        <v>0</v>
      </c>
      <c r="O34" s="860">
        <f>'2020'!H34</f>
        <v>2</v>
      </c>
      <c r="P34" s="858">
        <f>'2021'!H34</f>
        <v>0</v>
      </c>
      <c r="Q34" s="859">
        <f>'2022'!H34</f>
        <v>0</v>
      </c>
      <c r="R34" s="464">
        <f t="shared" si="22"/>
        <v>0.5</v>
      </c>
      <c r="S34" s="900">
        <f t="shared" si="23"/>
        <v>0</v>
      </c>
      <c r="T34" s="901">
        <f t="shared" si="24"/>
        <v>0</v>
      </c>
      <c r="U34" s="860">
        <f>'2020'!J34</f>
        <v>2</v>
      </c>
      <c r="V34" s="858">
        <f>'2021'!J34</f>
        <v>0</v>
      </c>
      <c r="W34" s="859">
        <f>'2022'!J34</f>
        <v>0</v>
      </c>
      <c r="X34" s="464">
        <f t="shared" si="4"/>
        <v>0</v>
      </c>
      <c r="Y34" s="900" t="str">
        <f t="shared" si="5"/>
        <v/>
      </c>
      <c r="Z34" s="901" t="str">
        <f t="shared" si="6"/>
        <v/>
      </c>
      <c r="AA34" s="860">
        <f>'2020'!L34</f>
        <v>0</v>
      </c>
      <c r="AB34" s="858">
        <f>'2021'!L34</f>
        <v>0</v>
      </c>
      <c r="AC34" s="859">
        <f>'2022'!L34</f>
        <v>0</v>
      </c>
      <c r="AD34" s="902" t="str">
        <f t="shared" si="7"/>
        <v/>
      </c>
      <c r="AE34" s="903" t="str">
        <f t="shared" si="7"/>
        <v/>
      </c>
      <c r="AF34" s="904" t="str">
        <f t="shared" si="7"/>
        <v/>
      </c>
      <c r="AG34" s="905" t="str">
        <f>'2020'!N34</f>
        <v>-</v>
      </c>
      <c r="AH34" s="906" t="str">
        <f>'2021'!N34</f>
        <v>-</v>
      </c>
      <c r="AI34" s="907">
        <f>'2022'!N34</f>
        <v>0</v>
      </c>
      <c r="AJ34" s="908" t="s">
        <v>21</v>
      </c>
      <c r="AK34" s="909" t="s">
        <v>21</v>
      </c>
      <c r="AL34" s="908" t="s">
        <v>21</v>
      </c>
      <c r="AM34" s="909" t="s">
        <v>21</v>
      </c>
      <c r="AN34" s="910" t="s">
        <v>21</v>
      </c>
      <c r="AO34" s="911" t="s">
        <v>21</v>
      </c>
      <c r="AP34" s="910" t="s">
        <v>21</v>
      </c>
      <c r="AQ34" s="912" t="s">
        <v>21</v>
      </c>
      <c r="AY34" s="1" t="str">
        <f t="shared" si="12"/>
        <v>France</v>
      </c>
      <c r="AZ34" s="1" t="str">
        <f t="shared" si="13"/>
        <v/>
      </c>
      <c r="BA34" s="1" t="str">
        <f t="shared" si="14"/>
        <v/>
      </c>
    </row>
    <row r="35" spans="1:56" ht="15.5" x14ac:dyDescent="0.35">
      <c r="A35" s="108" t="str">
        <f t="shared" si="9"/>
        <v>X</v>
      </c>
      <c r="B35" s="1104"/>
      <c r="C35" s="1106"/>
      <c r="D35" s="795" t="s">
        <v>138</v>
      </c>
      <c r="E35" s="790"/>
      <c r="F35" s="801"/>
      <c r="G35" s="807"/>
      <c r="H35" s="820"/>
      <c r="I35" s="820"/>
      <c r="J35" s="821"/>
      <c r="K35" s="59"/>
      <c r="L35" s="513">
        <f t="shared" ref="L35:Q35" si="25">SUM(L24:L34)</f>
        <v>172</v>
      </c>
      <c r="M35" s="514">
        <f t="shared" si="25"/>
        <v>295</v>
      </c>
      <c r="N35" s="515">
        <f t="shared" si="25"/>
        <v>285</v>
      </c>
      <c r="O35" s="516">
        <f t="shared" si="25"/>
        <v>111</v>
      </c>
      <c r="P35" s="514">
        <f t="shared" si="25"/>
        <v>193</v>
      </c>
      <c r="Q35" s="515">
        <f t="shared" si="25"/>
        <v>106</v>
      </c>
      <c r="R35" s="148">
        <f t="shared" si="1"/>
        <v>0.2441860465116279</v>
      </c>
      <c r="S35" s="483">
        <f t="shared" si="2"/>
        <v>0.25084745762711863</v>
      </c>
      <c r="T35" s="534">
        <f t="shared" si="3"/>
        <v>0.31228070175438599</v>
      </c>
      <c r="U35" s="516">
        <f>SUM(U24:U34)</f>
        <v>42</v>
      </c>
      <c r="V35" s="514">
        <f>SUM(V24:V34)</f>
        <v>74</v>
      </c>
      <c r="W35" s="515">
        <f>SUM(W24:W34)</f>
        <v>89</v>
      </c>
      <c r="X35" s="148">
        <f t="shared" si="4"/>
        <v>0.30813953488372092</v>
      </c>
      <c r="Y35" s="483">
        <f t="shared" si="5"/>
        <v>0.29491525423728815</v>
      </c>
      <c r="Z35" s="534">
        <f t="shared" si="6"/>
        <v>0.25263157894736843</v>
      </c>
      <c r="AA35" s="516">
        <f t="shared" ref="AA35:AC35" si="26">SUM(AA24:AA34)</f>
        <v>53</v>
      </c>
      <c r="AB35" s="514">
        <f t="shared" si="26"/>
        <v>87</v>
      </c>
      <c r="AC35" s="515">
        <f t="shared" si="26"/>
        <v>72</v>
      </c>
      <c r="AD35" s="668">
        <f t="shared" si="7"/>
        <v>0</v>
      </c>
      <c r="AE35" s="669">
        <f t="shared" si="7"/>
        <v>0</v>
      </c>
      <c r="AF35" s="675">
        <f t="shared" si="7"/>
        <v>0</v>
      </c>
      <c r="AG35" s="683">
        <f t="shared" ref="AG35" si="27">SUM(AG24:AG34)</f>
        <v>0</v>
      </c>
      <c r="AH35" s="684">
        <f t="shared" ref="AH35" si="28">SUM(AH24:AH34)</f>
        <v>0</v>
      </c>
      <c r="AI35" s="685">
        <f t="shared" ref="AI35" si="29">SUM(AI24:AI34)</f>
        <v>0</v>
      </c>
      <c r="AJ35" s="704"/>
      <c r="AK35" s="705"/>
      <c r="AL35" s="704"/>
      <c r="AM35" s="705"/>
      <c r="AN35" s="704"/>
      <c r="AO35" s="705"/>
      <c r="AP35" s="704"/>
      <c r="AQ35" s="706"/>
      <c r="AY35" s="1" t="str">
        <f t="shared" si="12"/>
        <v/>
      </c>
      <c r="AZ35" s="1" t="str">
        <f t="shared" si="13"/>
        <v/>
      </c>
      <c r="BA35" s="1" t="str">
        <f t="shared" si="14"/>
        <v/>
      </c>
    </row>
    <row r="36" spans="1:56" x14ac:dyDescent="0.35">
      <c r="A36" s="108" t="str">
        <f t="shared" si="9"/>
        <v>X</v>
      </c>
      <c r="B36" s="1104" t="s">
        <v>83</v>
      </c>
      <c r="C36" s="1105" t="s">
        <v>75</v>
      </c>
      <c r="D36" s="1128">
        <f>'2020'!D36</f>
        <v>9</v>
      </c>
      <c r="E36" s="1151">
        <f>'2021'!D36</f>
        <v>9</v>
      </c>
      <c r="F36" s="1142">
        <f>'2022'!D36</f>
        <v>6</v>
      </c>
      <c r="G36" s="813" t="s">
        <v>10</v>
      </c>
      <c r="H36" s="832" t="str">
        <f t="shared" ref="H36:H46" si="30">IF(L36=0,"","X")</f>
        <v>X</v>
      </c>
      <c r="I36" s="832" t="str">
        <f t="shared" ref="I36:I46" si="31">IF(M36=0,"","X")</f>
        <v>X</v>
      </c>
      <c r="J36" s="833" t="str">
        <f t="shared" ref="J36:J46" si="32">IF(N36=0,"","X")</f>
        <v>X</v>
      </c>
      <c r="K36" s="447" t="s">
        <v>60</v>
      </c>
      <c r="L36" s="842">
        <f>'2020'!G36</f>
        <v>37</v>
      </c>
      <c r="M36" s="843">
        <f>'2021'!G36</f>
        <v>46</v>
      </c>
      <c r="N36" s="844">
        <f>'2022'!G36</f>
        <v>50</v>
      </c>
      <c r="O36" s="845">
        <f>'2020'!H36</f>
        <v>23</v>
      </c>
      <c r="P36" s="843">
        <f>'2021'!H36</f>
        <v>32</v>
      </c>
      <c r="Q36" s="844">
        <f>'2022'!H36</f>
        <v>37</v>
      </c>
      <c r="R36" s="450">
        <f t="shared" ref="R36:R37" si="33">IF(L36="",0,IF(U36=0,0,U36/L36))</f>
        <v>0.38</v>
      </c>
      <c r="S36" s="870">
        <f t="shared" ref="S36:S46" si="34">IF(M36="",0,IF(V36=0,0,V36/M36))</f>
        <v>0.65217391304347827</v>
      </c>
      <c r="T36" s="871">
        <f t="shared" ref="T36:T46" si="35">IF(N36="",0,IF(W36=0,0,W36/N36))</f>
        <v>0.68</v>
      </c>
      <c r="U36" s="845">
        <f>'2020'!J36</f>
        <v>14.06</v>
      </c>
      <c r="V36" s="843">
        <f>'2021'!J36</f>
        <v>30</v>
      </c>
      <c r="W36" s="844">
        <f>'2022'!J36</f>
        <v>34</v>
      </c>
      <c r="X36" s="450">
        <f t="shared" si="4"/>
        <v>0.16</v>
      </c>
      <c r="Y36" s="870">
        <f t="shared" si="5"/>
        <v>0.19565217391304349</v>
      </c>
      <c r="Z36" s="871">
        <f t="shared" si="6"/>
        <v>0.22</v>
      </c>
      <c r="AA36" s="845">
        <f>'2020'!L36</f>
        <v>5.92</v>
      </c>
      <c r="AB36" s="843">
        <f>'2021'!L36</f>
        <v>9</v>
      </c>
      <c r="AC36" s="844">
        <f>'2022'!L36</f>
        <v>11</v>
      </c>
      <c r="AD36" s="872">
        <f t="shared" si="7"/>
        <v>1</v>
      </c>
      <c r="AE36" s="873">
        <f t="shared" si="7"/>
        <v>1</v>
      </c>
      <c r="AF36" s="874">
        <f t="shared" si="7"/>
        <v>0.81818181818181823</v>
      </c>
      <c r="AG36" s="875">
        <f>'2020'!N36</f>
        <v>5.92</v>
      </c>
      <c r="AH36" s="876">
        <f>'2021'!N36</f>
        <v>9</v>
      </c>
      <c r="AI36" s="877">
        <f>IF('2022'!N36="","-",'2022'!N36)</f>
        <v>9</v>
      </c>
      <c r="AJ36" s="878" t="s">
        <v>21</v>
      </c>
      <c r="AK36" s="879" t="s">
        <v>21</v>
      </c>
      <c r="AL36" s="878" t="s">
        <v>21</v>
      </c>
      <c r="AM36" s="879" t="s">
        <v>21</v>
      </c>
      <c r="AN36" s="880" t="s">
        <v>21</v>
      </c>
      <c r="AO36" s="881" t="s">
        <v>21</v>
      </c>
      <c r="AP36" s="880" t="s">
        <v>21</v>
      </c>
      <c r="AQ36" s="882" t="s">
        <v>21</v>
      </c>
      <c r="AY36" s="1" t="str">
        <f t="shared" si="12"/>
        <v>France</v>
      </c>
      <c r="AZ36" s="1" t="str">
        <f t="shared" si="13"/>
        <v>France</v>
      </c>
      <c r="BA36" s="1" t="str">
        <f t="shared" si="14"/>
        <v>France</v>
      </c>
    </row>
    <row r="37" spans="1:56" x14ac:dyDescent="0.35">
      <c r="A37" s="108" t="str">
        <f t="shared" si="9"/>
        <v>X</v>
      </c>
      <c r="B37" s="1104"/>
      <c r="C37" s="1105"/>
      <c r="D37" s="1129"/>
      <c r="E37" s="1152"/>
      <c r="F37" s="1143"/>
      <c r="G37" s="814" t="s">
        <v>11</v>
      </c>
      <c r="H37" s="834" t="str">
        <f t="shared" si="30"/>
        <v>X</v>
      </c>
      <c r="I37" s="834" t="str">
        <f t="shared" si="31"/>
        <v>X</v>
      </c>
      <c r="J37" s="835" t="str">
        <f t="shared" si="32"/>
        <v>X</v>
      </c>
      <c r="K37" s="454" t="s">
        <v>60</v>
      </c>
      <c r="L37" s="850">
        <f>'2020'!G37</f>
        <v>33</v>
      </c>
      <c r="M37" s="851">
        <f>'2021'!G37</f>
        <v>28</v>
      </c>
      <c r="N37" s="852">
        <f>'2022'!G37</f>
        <v>26</v>
      </c>
      <c r="O37" s="853">
        <f>'2020'!H37</f>
        <v>15</v>
      </c>
      <c r="P37" s="851">
        <f>'2021'!H37</f>
        <v>17</v>
      </c>
      <c r="Q37" s="852">
        <f>'2022'!H37</f>
        <v>17</v>
      </c>
      <c r="R37" s="457">
        <f t="shared" si="33"/>
        <v>0.3</v>
      </c>
      <c r="S37" s="883">
        <f t="shared" si="34"/>
        <v>0.6428571428571429</v>
      </c>
      <c r="T37" s="884">
        <f t="shared" si="35"/>
        <v>0.42307692307692307</v>
      </c>
      <c r="U37" s="853">
        <f>'2020'!J37</f>
        <v>9.9</v>
      </c>
      <c r="V37" s="851">
        <f>'2021'!J37</f>
        <v>18</v>
      </c>
      <c r="W37" s="852">
        <f>'2022'!J37</f>
        <v>11</v>
      </c>
      <c r="X37" s="457">
        <f t="shared" si="4"/>
        <v>0.09</v>
      </c>
      <c r="Y37" s="883">
        <f t="shared" si="5"/>
        <v>0.32142857142857145</v>
      </c>
      <c r="Z37" s="884">
        <f t="shared" si="6"/>
        <v>0.23076923076923078</v>
      </c>
      <c r="AA37" s="853">
        <f>'2020'!L37</f>
        <v>2.9699999999999998</v>
      </c>
      <c r="AB37" s="851">
        <f>'2021'!L37</f>
        <v>9</v>
      </c>
      <c r="AC37" s="852">
        <f>'2022'!L37</f>
        <v>6</v>
      </c>
      <c r="AD37" s="885">
        <f t="shared" si="7"/>
        <v>1</v>
      </c>
      <c r="AE37" s="886">
        <f t="shared" si="7"/>
        <v>0.77777777777777779</v>
      </c>
      <c r="AF37" s="887">
        <f t="shared" si="7"/>
        <v>0.66666666666666663</v>
      </c>
      <c r="AG37" s="888">
        <f>'2020'!N37</f>
        <v>2.9699999999999998</v>
      </c>
      <c r="AH37" s="889">
        <f>'2021'!N37</f>
        <v>7</v>
      </c>
      <c r="AI37" s="890">
        <f>IF('2022'!N37="","-",'2022'!N37)</f>
        <v>4</v>
      </c>
      <c r="AJ37" s="891" t="s">
        <v>21</v>
      </c>
      <c r="AK37" s="892" t="s">
        <v>21</v>
      </c>
      <c r="AL37" s="891" t="s">
        <v>21</v>
      </c>
      <c r="AM37" s="892" t="s">
        <v>21</v>
      </c>
      <c r="AN37" s="893" t="s">
        <v>21</v>
      </c>
      <c r="AO37" s="894" t="s">
        <v>21</v>
      </c>
      <c r="AP37" s="893" t="s">
        <v>21</v>
      </c>
      <c r="AQ37" s="895" t="s">
        <v>21</v>
      </c>
      <c r="AY37" s="1" t="str">
        <f t="shared" si="12"/>
        <v>France</v>
      </c>
      <c r="AZ37" s="1" t="str">
        <f t="shared" si="13"/>
        <v>France</v>
      </c>
      <c r="BA37" s="1" t="str">
        <f t="shared" si="14"/>
        <v>France</v>
      </c>
    </row>
    <row r="38" spans="1:56" x14ac:dyDescent="0.35">
      <c r="A38" s="108" t="str">
        <f t="shared" si="9"/>
        <v>X</v>
      </c>
      <c r="B38" s="1104"/>
      <c r="C38" s="1105"/>
      <c r="D38" s="1129"/>
      <c r="E38" s="1152"/>
      <c r="F38" s="1143"/>
      <c r="G38" s="814" t="s">
        <v>12</v>
      </c>
      <c r="H38" s="834" t="str">
        <f t="shared" si="30"/>
        <v>X</v>
      </c>
      <c r="I38" s="834" t="str">
        <f t="shared" si="31"/>
        <v>X</v>
      </c>
      <c r="J38" s="835" t="str">
        <f t="shared" si="32"/>
        <v/>
      </c>
      <c r="K38" s="454" t="s">
        <v>60</v>
      </c>
      <c r="L38" s="850">
        <f>'2020'!G38</f>
        <v>6</v>
      </c>
      <c r="M38" s="851">
        <f>'2021'!G38</f>
        <v>5</v>
      </c>
      <c r="N38" s="938"/>
      <c r="O38" s="853">
        <f>'2020'!H38</f>
        <v>5</v>
      </c>
      <c r="P38" s="851">
        <f>'2021'!H38</f>
        <v>5</v>
      </c>
      <c r="Q38" s="852" t="str">
        <f>'2022'!H38</f>
        <v/>
      </c>
      <c r="R38" s="457">
        <f>IF(L38="",0,IF(U38=0,0,U38/L38))</f>
        <v>0</v>
      </c>
      <c r="S38" s="883">
        <f t="shared" si="34"/>
        <v>0.6</v>
      </c>
      <c r="T38" s="884">
        <f t="shared" si="35"/>
        <v>0</v>
      </c>
      <c r="U38" s="853">
        <f>'2020'!J38</f>
        <v>0</v>
      </c>
      <c r="V38" s="851">
        <f>'2021'!J38</f>
        <v>3</v>
      </c>
      <c r="W38" s="852" t="str">
        <f>'2022'!J38</f>
        <v/>
      </c>
      <c r="X38" s="457">
        <f t="shared" ref="X38:Y38" si="36">IF(L38=0,"",IF(AA38="","",AA38/L38))</f>
        <v>0</v>
      </c>
      <c r="Y38" s="883">
        <f t="shared" si="36"/>
        <v>0.2</v>
      </c>
      <c r="Z38" s="884" t="str">
        <f>IF(N38=0,"",IF(AC38="","",AC38/N38))</f>
        <v/>
      </c>
      <c r="AA38" s="853">
        <f>'2020'!L38</f>
        <v>0</v>
      </c>
      <c r="AB38" s="851">
        <f>'2021'!L38</f>
        <v>1</v>
      </c>
      <c r="AC38" s="852" t="str">
        <f>'2022'!L38</f>
        <v/>
      </c>
      <c r="AD38" s="885" t="str">
        <f t="shared" si="7"/>
        <v/>
      </c>
      <c r="AE38" s="886">
        <f t="shared" si="7"/>
        <v>1</v>
      </c>
      <c r="AF38" s="887" t="str">
        <f t="shared" si="7"/>
        <v/>
      </c>
      <c r="AG38" s="888">
        <f>'2020'!N38</f>
        <v>0</v>
      </c>
      <c r="AH38" s="889">
        <f>'2021'!N38</f>
        <v>1</v>
      </c>
      <c r="AI38" s="890" t="str">
        <f>IF('2022'!N38="","-",'2022'!N38)</f>
        <v>-</v>
      </c>
      <c r="AJ38" s="891" t="s">
        <v>21</v>
      </c>
      <c r="AK38" s="892" t="s">
        <v>21</v>
      </c>
      <c r="AL38" s="891" t="s">
        <v>21</v>
      </c>
      <c r="AM38" s="892" t="s">
        <v>21</v>
      </c>
      <c r="AN38" s="893" t="s">
        <v>21</v>
      </c>
      <c r="AO38" s="894" t="s">
        <v>21</v>
      </c>
      <c r="AP38" s="893" t="s">
        <v>21</v>
      </c>
      <c r="AQ38" s="895" t="s">
        <v>21</v>
      </c>
      <c r="AY38" s="1" t="str">
        <f t="shared" si="12"/>
        <v>France</v>
      </c>
      <c r="AZ38" s="1" t="str">
        <f t="shared" si="13"/>
        <v>France</v>
      </c>
      <c r="BA38" s="1" t="str">
        <f t="shared" si="14"/>
        <v/>
      </c>
    </row>
    <row r="39" spans="1:56" x14ac:dyDescent="0.35">
      <c r="A39" s="108" t="str">
        <f t="shared" si="9"/>
        <v>X</v>
      </c>
      <c r="B39" s="1104"/>
      <c r="C39" s="1105"/>
      <c r="D39" s="1129"/>
      <c r="E39" s="1152"/>
      <c r="F39" s="1143"/>
      <c r="G39" s="814" t="s">
        <v>7</v>
      </c>
      <c r="H39" s="834" t="str">
        <f t="shared" si="30"/>
        <v>X</v>
      </c>
      <c r="I39" s="834" t="str">
        <f t="shared" si="31"/>
        <v>X</v>
      </c>
      <c r="J39" s="835" t="str">
        <f t="shared" si="32"/>
        <v>X</v>
      </c>
      <c r="K39" s="454" t="s">
        <v>60</v>
      </c>
      <c r="L39" s="850">
        <f>'2020'!G39</f>
        <v>25</v>
      </c>
      <c r="M39" s="851">
        <f>'2021'!G39</f>
        <v>45</v>
      </c>
      <c r="N39" s="852">
        <f>'2022'!G39</f>
        <v>29</v>
      </c>
      <c r="O39" s="853">
        <f>'2020'!H39</f>
        <v>15</v>
      </c>
      <c r="P39" s="851">
        <f>'2021'!H39</f>
        <v>26</v>
      </c>
      <c r="Q39" s="852">
        <f>'2022'!H39</f>
        <v>16</v>
      </c>
      <c r="R39" s="457">
        <f t="shared" ref="R39:R46" si="37">IF(L39="",0,IF(U39=0,0,U39/L39))</f>
        <v>0.28000000000000003</v>
      </c>
      <c r="S39" s="883">
        <f t="shared" si="34"/>
        <v>0.26666666666666666</v>
      </c>
      <c r="T39" s="884">
        <f t="shared" si="35"/>
        <v>0.37931034482758619</v>
      </c>
      <c r="U39" s="853">
        <f>'2020'!J39</f>
        <v>7.0000000000000009</v>
      </c>
      <c r="V39" s="851">
        <f>'2021'!J39</f>
        <v>12</v>
      </c>
      <c r="W39" s="852">
        <f>'2022'!J39</f>
        <v>11</v>
      </c>
      <c r="X39" s="457">
        <f t="shared" ref="X39:X97" si="38">IF(L39=0,"",IF(AA39="","",AA39/L39))</f>
        <v>0.16</v>
      </c>
      <c r="Y39" s="883">
        <f t="shared" ref="Y39:Y97" si="39">IF(M39=0,"",IF(AB39="","",AB39/M39))</f>
        <v>0.26666666666666666</v>
      </c>
      <c r="Z39" s="884">
        <f t="shared" ref="Z39:Z97" si="40">IF(N39=0,"",IF(AC39="","",AC39/N39))</f>
        <v>0.31034482758620691</v>
      </c>
      <c r="AA39" s="853">
        <f>'2020'!L39</f>
        <v>4</v>
      </c>
      <c r="AB39" s="851">
        <f>'2021'!L39</f>
        <v>12</v>
      </c>
      <c r="AC39" s="852">
        <f>'2022'!L39</f>
        <v>9</v>
      </c>
      <c r="AD39" s="885">
        <f t="shared" si="7"/>
        <v>0.25</v>
      </c>
      <c r="AE39" s="886">
        <f t="shared" si="7"/>
        <v>0.25</v>
      </c>
      <c r="AF39" s="887">
        <f t="shared" si="7"/>
        <v>0.55555555555555558</v>
      </c>
      <c r="AG39" s="888">
        <f>'2020'!N39</f>
        <v>1</v>
      </c>
      <c r="AH39" s="889">
        <f>'2021'!N39</f>
        <v>3</v>
      </c>
      <c r="AI39" s="890">
        <f>IF('2022'!N39="","-",'2022'!N39)</f>
        <v>5</v>
      </c>
      <c r="AJ39" s="891" t="s">
        <v>21</v>
      </c>
      <c r="AK39" s="892" t="s">
        <v>21</v>
      </c>
      <c r="AL39" s="891" t="s">
        <v>21</v>
      </c>
      <c r="AM39" s="892" t="s">
        <v>21</v>
      </c>
      <c r="AN39" s="893" t="s">
        <v>21</v>
      </c>
      <c r="AO39" s="894" t="s">
        <v>21</v>
      </c>
      <c r="AP39" s="893" t="s">
        <v>21</v>
      </c>
      <c r="AQ39" s="895" t="s">
        <v>21</v>
      </c>
      <c r="AY39" s="1" t="str">
        <f t="shared" si="12"/>
        <v>France</v>
      </c>
      <c r="AZ39" s="1" t="str">
        <f t="shared" si="13"/>
        <v>France</v>
      </c>
      <c r="BA39" s="1" t="str">
        <f t="shared" si="14"/>
        <v>France</v>
      </c>
    </row>
    <row r="40" spans="1:56" x14ac:dyDescent="0.35">
      <c r="A40" s="108" t="str">
        <f t="shared" si="9"/>
        <v>X</v>
      </c>
      <c r="B40" s="1104"/>
      <c r="C40" s="1105"/>
      <c r="D40" s="1129"/>
      <c r="E40" s="1152"/>
      <c r="F40" s="1143"/>
      <c r="G40" s="814" t="s">
        <v>132</v>
      </c>
      <c r="H40" s="834" t="str">
        <f t="shared" si="30"/>
        <v>X</v>
      </c>
      <c r="I40" s="834" t="str">
        <f t="shared" si="31"/>
        <v>X</v>
      </c>
      <c r="J40" s="835" t="str">
        <f t="shared" si="32"/>
        <v>X</v>
      </c>
      <c r="K40" s="454" t="s">
        <v>60</v>
      </c>
      <c r="L40" s="850">
        <f>'2020'!G40</f>
        <v>15</v>
      </c>
      <c r="M40" s="851">
        <f>'2021'!G40</f>
        <v>14</v>
      </c>
      <c r="N40" s="852">
        <f>'2022'!G40</f>
        <v>18</v>
      </c>
      <c r="O40" s="853">
        <f>'2020'!H40</f>
        <v>9</v>
      </c>
      <c r="P40" s="851">
        <f>'2021'!H40</f>
        <v>9</v>
      </c>
      <c r="Q40" s="852">
        <f>'2022'!H40</f>
        <v>9</v>
      </c>
      <c r="R40" s="457">
        <f t="shared" si="37"/>
        <v>0.13</v>
      </c>
      <c r="S40" s="883">
        <f t="shared" si="34"/>
        <v>0.21428571428571427</v>
      </c>
      <c r="T40" s="884">
        <f t="shared" si="35"/>
        <v>0.33333333333333331</v>
      </c>
      <c r="U40" s="853">
        <f>'2020'!J40</f>
        <v>1.9500000000000002</v>
      </c>
      <c r="V40" s="851">
        <f>'2021'!J40</f>
        <v>3</v>
      </c>
      <c r="W40" s="852">
        <f>'2022'!J40</f>
        <v>6</v>
      </c>
      <c r="X40" s="457">
        <f t="shared" si="38"/>
        <v>7.0000000000000007E-2</v>
      </c>
      <c r="Y40" s="883">
        <f t="shared" si="39"/>
        <v>0.14285714285714285</v>
      </c>
      <c r="Z40" s="884">
        <f t="shared" si="40"/>
        <v>0.16666666666666666</v>
      </c>
      <c r="AA40" s="853">
        <f>'2020'!L40</f>
        <v>1.05</v>
      </c>
      <c r="AB40" s="851">
        <f>'2021'!L40</f>
        <v>2</v>
      </c>
      <c r="AC40" s="852">
        <f>'2022'!L40</f>
        <v>3</v>
      </c>
      <c r="AD40" s="885">
        <f t="shared" si="7"/>
        <v>0</v>
      </c>
      <c r="AE40" s="886">
        <f t="shared" si="7"/>
        <v>0.5</v>
      </c>
      <c r="AF40" s="887">
        <f t="shared" si="7"/>
        <v>1</v>
      </c>
      <c r="AG40" s="888">
        <f>'2020'!N40</f>
        <v>0</v>
      </c>
      <c r="AH40" s="889">
        <f>'2021'!N40</f>
        <v>1</v>
      </c>
      <c r="AI40" s="890">
        <f>IF('2022'!N40="","-",'2022'!N40)</f>
        <v>3</v>
      </c>
      <c r="AJ40" s="891" t="s">
        <v>21</v>
      </c>
      <c r="AK40" s="892" t="s">
        <v>21</v>
      </c>
      <c r="AL40" s="891" t="s">
        <v>21</v>
      </c>
      <c r="AM40" s="892" t="s">
        <v>21</v>
      </c>
      <c r="AN40" s="893" t="s">
        <v>21</v>
      </c>
      <c r="AO40" s="894" t="s">
        <v>21</v>
      </c>
      <c r="AP40" s="893" t="s">
        <v>21</v>
      </c>
      <c r="AQ40" s="895" t="s">
        <v>21</v>
      </c>
      <c r="AY40" s="1" t="str">
        <f t="shared" si="12"/>
        <v>France</v>
      </c>
      <c r="AZ40" s="1" t="str">
        <f t="shared" si="13"/>
        <v>France</v>
      </c>
      <c r="BA40" s="1" t="str">
        <f t="shared" si="14"/>
        <v>France</v>
      </c>
    </row>
    <row r="41" spans="1:56" x14ac:dyDescent="0.35">
      <c r="A41" s="108" t="str">
        <f t="shared" si="9"/>
        <v>X</v>
      </c>
      <c r="B41" s="1104"/>
      <c r="C41" s="1105"/>
      <c r="D41" s="1129"/>
      <c r="E41" s="1152"/>
      <c r="F41" s="1143"/>
      <c r="G41" s="814" t="s">
        <v>8</v>
      </c>
      <c r="H41" s="834" t="str">
        <f t="shared" si="30"/>
        <v>X</v>
      </c>
      <c r="I41" s="834" t="str">
        <f t="shared" si="31"/>
        <v>X</v>
      </c>
      <c r="J41" s="835" t="str">
        <f t="shared" si="32"/>
        <v/>
      </c>
      <c r="K41" s="454" t="s">
        <v>60</v>
      </c>
      <c r="L41" s="850">
        <f>'2020'!G41</f>
        <v>16</v>
      </c>
      <c r="M41" s="851">
        <f>'2021'!G41</f>
        <v>31</v>
      </c>
      <c r="N41" s="852"/>
      <c r="O41" s="853">
        <f>'2020'!H41</f>
        <v>14</v>
      </c>
      <c r="P41" s="851">
        <f>'2021'!H41</f>
        <v>23</v>
      </c>
      <c r="Q41" s="852" t="str">
        <f>'2022'!H41</f>
        <v/>
      </c>
      <c r="R41" s="457">
        <f t="shared" si="37"/>
        <v>0.38</v>
      </c>
      <c r="S41" s="883">
        <f t="shared" si="34"/>
        <v>0.54838709677419351</v>
      </c>
      <c r="T41" s="884">
        <f t="shared" si="35"/>
        <v>0</v>
      </c>
      <c r="U41" s="853">
        <f>'2020'!J41</f>
        <v>6.08</v>
      </c>
      <c r="V41" s="851">
        <f>'2021'!J41</f>
        <v>17</v>
      </c>
      <c r="W41" s="852" t="str">
        <f>'2022'!J41</f>
        <v/>
      </c>
      <c r="X41" s="457">
        <f t="shared" si="38"/>
        <v>0.13</v>
      </c>
      <c r="Y41" s="883">
        <f t="shared" si="39"/>
        <v>0.16129032258064516</v>
      </c>
      <c r="Z41" s="884" t="str">
        <f t="shared" si="40"/>
        <v/>
      </c>
      <c r="AA41" s="853">
        <f>'2020'!L41</f>
        <v>2.08</v>
      </c>
      <c r="AB41" s="851">
        <f>'2021'!L41</f>
        <v>5</v>
      </c>
      <c r="AC41" s="852" t="str">
        <f>'2022'!L41</f>
        <v/>
      </c>
      <c r="AD41" s="885">
        <f t="shared" si="7"/>
        <v>1</v>
      </c>
      <c r="AE41" s="886">
        <f t="shared" si="7"/>
        <v>1</v>
      </c>
      <c r="AF41" s="887" t="str">
        <f t="shared" si="7"/>
        <v/>
      </c>
      <c r="AG41" s="888">
        <f>'2020'!N41</f>
        <v>2.08</v>
      </c>
      <c r="AH41" s="889">
        <f>'2021'!N41</f>
        <v>5</v>
      </c>
      <c r="AI41" s="890" t="str">
        <f>IF('2022'!N41="","-",'2022'!N41)</f>
        <v>-</v>
      </c>
      <c r="AJ41" s="891" t="s">
        <v>21</v>
      </c>
      <c r="AK41" s="892" t="s">
        <v>21</v>
      </c>
      <c r="AL41" s="891" t="s">
        <v>21</v>
      </c>
      <c r="AM41" s="892" t="s">
        <v>21</v>
      </c>
      <c r="AN41" s="893" t="s">
        <v>21</v>
      </c>
      <c r="AO41" s="894" t="s">
        <v>21</v>
      </c>
      <c r="AP41" s="893" t="s">
        <v>21</v>
      </c>
      <c r="AQ41" s="895" t="s">
        <v>21</v>
      </c>
      <c r="AY41" s="1" t="str">
        <f t="shared" si="12"/>
        <v>France</v>
      </c>
      <c r="AZ41" s="1" t="str">
        <f t="shared" si="13"/>
        <v>France</v>
      </c>
      <c r="BA41" s="1" t="str">
        <f t="shared" si="14"/>
        <v/>
      </c>
    </row>
    <row r="42" spans="1:56" x14ac:dyDescent="0.35">
      <c r="A42" s="108" t="str">
        <f t="shared" si="9"/>
        <v>X</v>
      </c>
      <c r="B42" s="1104"/>
      <c r="C42" s="1105"/>
      <c r="D42" s="1129"/>
      <c r="E42" s="1152"/>
      <c r="F42" s="1143"/>
      <c r="G42" s="814" t="s">
        <v>6</v>
      </c>
      <c r="H42" s="834" t="str">
        <f t="shared" si="30"/>
        <v>X</v>
      </c>
      <c r="I42" s="834" t="str">
        <f t="shared" si="31"/>
        <v>X</v>
      </c>
      <c r="J42" s="835" t="str">
        <f t="shared" si="32"/>
        <v>X</v>
      </c>
      <c r="K42" s="454" t="s">
        <v>60</v>
      </c>
      <c r="L42" s="850">
        <f>'2020'!G42</f>
        <v>7</v>
      </c>
      <c r="M42" s="851">
        <f>'2021'!G42</f>
        <v>12</v>
      </c>
      <c r="N42" s="852">
        <f>'2022'!G42</f>
        <v>14</v>
      </c>
      <c r="O42" s="853">
        <f>'2020'!H42</f>
        <v>5</v>
      </c>
      <c r="P42" s="851">
        <f>'2021'!H42</f>
        <v>7</v>
      </c>
      <c r="Q42" s="852">
        <f>'2022'!H42</f>
        <v>10</v>
      </c>
      <c r="R42" s="457">
        <f t="shared" si="37"/>
        <v>0.14000000000000001</v>
      </c>
      <c r="S42" s="883">
        <f t="shared" si="34"/>
        <v>0.33333333333333331</v>
      </c>
      <c r="T42" s="884">
        <f t="shared" si="35"/>
        <v>0.2857142857142857</v>
      </c>
      <c r="U42" s="853">
        <f>'2020'!J42</f>
        <v>0.98000000000000009</v>
      </c>
      <c r="V42" s="851">
        <f>'2021'!J42</f>
        <v>4</v>
      </c>
      <c r="W42" s="852">
        <f>'2022'!J42</f>
        <v>4</v>
      </c>
      <c r="X42" s="457">
        <f t="shared" si="38"/>
        <v>0</v>
      </c>
      <c r="Y42" s="883">
        <f t="shared" si="39"/>
        <v>0.33333333333333331</v>
      </c>
      <c r="Z42" s="884">
        <f t="shared" si="40"/>
        <v>0.21428571428571427</v>
      </c>
      <c r="AA42" s="853">
        <f>'2020'!L42</f>
        <v>0</v>
      </c>
      <c r="AB42" s="851">
        <f>'2021'!L42</f>
        <v>4</v>
      </c>
      <c r="AC42" s="852">
        <f>'2022'!L42</f>
        <v>3</v>
      </c>
      <c r="AD42" s="885" t="str">
        <f t="shared" si="7"/>
        <v/>
      </c>
      <c r="AE42" s="886">
        <f t="shared" si="7"/>
        <v>0.5</v>
      </c>
      <c r="AF42" s="887">
        <f t="shared" si="7"/>
        <v>0.66666666666666663</v>
      </c>
      <c r="AG42" s="888">
        <f>'2020'!N42</f>
        <v>0</v>
      </c>
      <c r="AH42" s="889">
        <f>'2021'!N42</f>
        <v>2</v>
      </c>
      <c r="AI42" s="890">
        <f>IF('2022'!N42="","-",'2022'!N42)</f>
        <v>2</v>
      </c>
      <c r="AJ42" s="891" t="s">
        <v>21</v>
      </c>
      <c r="AK42" s="892" t="s">
        <v>21</v>
      </c>
      <c r="AL42" s="891" t="s">
        <v>21</v>
      </c>
      <c r="AM42" s="892" t="s">
        <v>21</v>
      </c>
      <c r="AN42" s="893" t="s">
        <v>21</v>
      </c>
      <c r="AO42" s="894" t="s">
        <v>21</v>
      </c>
      <c r="AP42" s="893" t="s">
        <v>21</v>
      </c>
      <c r="AQ42" s="895" t="s">
        <v>21</v>
      </c>
      <c r="AY42" s="1" t="str">
        <f t="shared" si="12"/>
        <v>France</v>
      </c>
      <c r="AZ42" s="1" t="str">
        <f t="shared" si="13"/>
        <v>France</v>
      </c>
      <c r="BA42" s="1" t="str">
        <f t="shared" si="14"/>
        <v>France</v>
      </c>
    </row>
    <row r="43" spans="1:56" hidden="1" x14ac:dyDescent="0.35">
      <c r="A43" s="108" t="str">
        <f t="shared" si="9"/>
        <v/>
      </c>
      <c r="B43" s="1104"/>
      <c r="C43" s="1105"/>
      <c r="D43" s="1129"/>
      <c r="E43" s="1152"/>
      <c r="F43" s="1143"/>
      <c r="G43" s="814"/>
      <c r="H43" s="834" t="str">
        <f t="shared" si="30"/>
        <v/>
      </c>
      <c r="I43" s="834" t="str">
        <f t="shared" si="31"/>
        <v/>
      </c>
      <c r="J43" s="835" t="str">
        <f t="shared" si="32"/>
        <v/>
      </c>
      <c r="K43" s="454" t="s">
        <v>207</v>
      </c>
      <c r="L43" s="850"/>
      <c r="M43" s="851"/>
      <c r="N43" s="852"/>
      <c r="O43" s="853"/>
      <c r="P43" s="851"/>
      <c r="Q43" s="852"/>
      <c r="R43" s="457">
        <f t="shared" si="37"/>
        <v>0</v>
      </c>
      <c r="S43" s="883">
        <f t="shared" si="34"/>
        <v>0</v>
      </c>
      <c r="T43" s="884">
        <f t="shared" si="35"/>
        <v>0</v>
      </c>
      <c r="U43" s="853"/>
      <c r="V43" s="851"/>
      <c r="W43" s="852"/>
      <c r="X43" s="457" t="str">
        <f t="shared" si="38"/>
        <v/>
      </c>
      <c r="Y43" s="883" t="str">
        <f t="shared" si="39"/>
        <v/>
      </c>
      <c r="Z43" s="884" t="str">
        <f t="shared" si="40"/>
        <v/>
      </c>
      <c r="AA43" s="853">
        <f>'2020'!L43</f>
        <v>0</v>
      </c>
      <c r="AB43" s="851">
        <f>'2021'!L43</f>
        <v>0</v>
      </c>
      <c r="AC43" s="852" t="str">
        <f>'2022'!L43</f>
        <v/>
      </c>
      <c r="AD43" s="885" t="str">
        <f t="shared" si="7"/>
        <v/>
      </c>
      <c r="AE43" s="886" t="str">
        <f t="shared" si="7"/>
        <v/>
      </c>
      <c r="AF43" s="887" t="str">
        <f t="shared" si="7"/>
        <v/>
      </c>
      <c r="AG43" s="888">
        <f>'2020'!N43</f>
        <v>0</v>
      </c>
      <c r="AH43" s="889">
        <f>'2021'!N43</f>
        <v>0</v>
      </c>
      <c r="AI43" s="890" t="str">
        <f>IF('2022'!N43="","-",'2022'!N43)</f>
        <v>-</v>
      </c>
      <c r="AJ43" s="891"/>
      <c r="AK43" s="892"/>
      <c r="AL43" s="891"/>
      <c r="AM43" s="892"/>
      <c r="AN43" s="893"/>
      <c r="AO43" s="894"/>
      <c r="AP43" s="893"/>
      <c r="AQ43" s="895"/>
      <c r="AY43" s="1" t="str">
        <f t="shared" si="12"/>
        <v/>
      </c>
      <c r="AZ43" s="1" t="str">
        <f t="shared" si="13"/>
        <v/>
      </c>
      <c r="BA43" s="1" t="str">
        <f t="shared" si="14"/>
        <v/>
      </c>
    </row>
    <row r="44" spans="1:56" hidden="1" x14ac:dyDescent="0.35">
      <c r="A44" s="108" t="str">
        <f t="shared" si="9"/>
        <v/>
      </c>
      <c r="B44" s="1104"/>
      <c r="C44" s="1105"/>
      <c r="D44" s="1129"/>
      <c r="E44" s="1152"/>
      <c r="F44" s="1143"/>
      <c r="G44" s="814"/>
      <c r="H44" s="834" t="str">
        <f t="shared" si="30"/>
        <v/>
      </c>
      <c r="I44" s="834" t="str">
        <f t="shared" si="31"/>
        <v/>
      </c>
      <c r="J44" s="835" t="str">
        <f t="shared" si="32"/>
        <v/>
      </c>
      <c r="K44" s="454" t="s">
        <v>207</v>
      </c>
      <c r="L44" s="850"/>
      <c r="M44" s="851"/>
      <c r="N44" s="852"/>
      <c r="O44" s="853"/>
      <c r="P44" s="851"/>
      <c r="Q44" s="852"/>
      <c r="R44" s="457">
        <f t="shared" si="37"/>
        <v>0</v>
      </c>
      <c r="S44" s="883">
        <f t="shared" si="34"/>
        <v>0</v>
      </c>
      <c r="T44" s="884">
        <f t="shared" si="35"/>
        <v>0</v>
      </c>
      <c r="U44" s="853"/>
      <c r="V44" s="851"/>
      <c r="W44" s="852"/>
      <c r="X44" s="457" t="str">
        <f t="shared" si="38"/>
        <v/>
      </c>
      <c r="Y44" s="883" t="str">
        <f t="shared" si="39"/>
        <v/>
      </c>
      <c r="Z44" s="884" t="str">
        <f t="shared" si="40"/>
        <v/>
      </c>
      <c r="AA44" s="853">
        <f>'2020'!L44</f>
        <v>0</v>
      </c>
      <c r="AB44" s="851">
        <f>'2021'!L44</f>
        <v>0</v>
      </c>
      <c r="AC44" s="852" t="str">
        <f>'2022'!L44</f>
        <v/>
      </c>
      <c r="AD44" s="885" t="str">
        <f t="shared" si="7"/>
        <v/>
      </c>
      <c r="AE44" s="886" t="str">
        <f t="shared" si="7"/>
        <v/>
      </c>
      <c r="AF44" s="887" t="str">
        <f t="shared" si="7"/>
        <v/>
      </c>
      <c r="AG44" s="888">
        <f>'2020'!N44</f>
        <v>0</v>
      </c>
      <c r="AH44" s="889">
        <f>'2021'!N44</f>
        <v>0</v>
      </c>
      <c r="AI44" s="890" t="str">
        <f>IF('2022'!N44="","-",'2022'!N44)</f>
        <v>-</v>
      </c>
      <c r="AJ44" s="891"/>
      <c r="AK44" s="892"/>
      <c r="AL44" s="891"/>
      <c r="AM44" s="892"/>
      <c r="AN44" s="893"/>
      <c r="AO44" s="894"/>
      <c r="AP44" s="893"/>
      <c r="AQ44" s="895"/>
      <c r="AY44" s="1" t="str">
        <f t="shared" ref="AY44:AY107" si="41">IF(H44&lt;&gt;"",$K44,"")</f>
        <v/>
      </c>
      <c r="AZ44" s="1" t="str">
        <f t="shared" ref="AZ44:AZ107" si="42">IF(I44&lt;&gt;"",$K44,"")</f>
        <v/>
      </c>
      <c r="BA44" s="1" t="str">
        <f t="shared" ref="BA44:BA107" si="43">IF(J44&lt;&gt;"",$K44,"")</f>
        <v/>
      </c>
    </row>
    <row r="45" spans="1:56" x14ac:dyDescent="0.35">
      <c r="A45" s="108" t="str">
        <f t="shared" si="9"/>
        <v>X</v>
      </c>
      <c r="B45" s="1104"/>
      <c r="C45" s="1105"/>
      <c r="D45" s="1129"/>
      <c r="E45" s="1152"/>
      <c r="F45" s="1143"/>
      <c r="G45" s="814" t="s">
        <v>202</v>
      </c>
      <c r="H45" s="834" t="str">
        <f t="shared" si="30"/>
        <v/>
      </c>
      <c r="I45" s="834" t="str">
        <f t="shared" si="31"/>
        <v/>
      </c>
      <c r="J45" s="835" t="str">
        <f t="shared" si="32"/>
        <v>X</v>
      </c>
      <c r="K45" s="454" t="s">
        <v>60</v>
      </c>
      <c r="L45" s="850">
        <f>'2020'!G45</f>
        <v>0</v>
      </c>
      <c r="M45" s="851">
        <f>'2021'!G45</f>
        <v>0</v>
      </c>
      <c r="N45" s="852">
        <f>'2022'!G45</f>
        <v>11</v>
      </c>
      <c r="O45" s="853">
        <f>'2020'!H45</f>
        <v>0</v>
      </c>
      <c r="P45" s="851">
        <f>'2021'!H45</f>
        <v>0</v>
      </c>
      <c r="Q45" s="852">
        <f>'2022'!H45</f>
        <v>7</v>
      </c>
      <c r="R45" s="457">
        <f t="shared" ref="R45" si="44">IF(L45="",0,IF(U45=0,0,U45/L45))</f>
        <v>0</v>
      </c>
      <c r="S45" s="883">
        <f t="shared" ref="S45" si="45">IF(M45="",0,IF(V45=0,0,V45/M45))</f>
        <v>0</v>
      </c>
      <c r="T45" s="884">
        <f t="shared" ref="T45" si="46">IF(N45="",0,IF(W45=0,0,W45/N45))</f>
        <v>0.63636363636363635</v>
      </c>
      <c r="U45" s="853">
        <f>'2020'!J45</f>
        <v>0</v>
      </c>
      <c r="V45" s="851">
        <f>'2021'!J45</f>
        <v>0</v>
      </c>
      <c r="W45" s="852">
        <f>'2022'!J45</f>
        <v>7</v>
      </c>
      <c r="X45" s="457" t="str">
        <f t="shared" ref="X45" si="47">IF(L45=0,"",IF(AA45="","",AA45/L45))</f>
        <v/>
      </c>
      <c r="Y45" s="883" t="str">
        <f t="shared" ref="Y45" si="48">IF(M45=0,"",IF(AB45="","",AB45/M45))</f>
        <v/>
      </c>
      <c r="Z45" s="884">
        <f t="shared" ref="Z45" si="49">IF(N45=0,"",IF(AC45="","",AC45/N45))</f>
        <v>9.0909090909090912E-2</v>
      </c>
      <c r="AA45" s="853">
        <f>'2020'!L45</f>
        <v>0</v>
      </c>
      <c r="AB45" s="851">
        <f>'2021'!L45</f>
        <v>0</v>
      </c>
      <c r="AC45" s="852">
        <f>'2022'!L45</f>
        <v>1</v>
      </c>
      <c r="AD45" s="885" t="str">
        <f t="shared" ref="AD45" si="50">IF(AA45=0,"",IF(AG45="-","",AG45/AA45))</f>
        <v/>
      </c>
      <c r="AE45" s="886" t="str">
        <f t="shared" ref="AE45" si="51">IF(AB45=0,"",IF(AH45="-","",AH45/AB45))</f>
        <v/>
      </c>
      <c r="AF45" s="887">
        <f t="shared" ref="AF45" si="52">IF(AC45=0,"",IF(AI45="-","",AI45/AC45))</f>
        <v>1</v>
      </c>
      <c r="AG45" s="888">
        <f>'2020'!N45</f>
        <v>0</v>
      </c>
      <c r="AH45" s="889">
        <f>'2021'!N45</f>
        <v>0</v>
      </c>
      <c r="AI45" s="890">
        <f>IF('2022'!N45="","-",'2022'!N45)</f>
        <v>1</v>
      </c>
      <c r="AJ45" s="891"/>
      <c r="AK45" s="892"/>
      <c r="AL45" s="891"/>
      <c r="AM45" s="892"/>
      <c r="AN45" s="893"/>
      <c r="AO45" s="894"/>
      <c r="AP45" s="893"/>
      <c r="AQ45" s="895"/>
      <c r="AY45" s="1" t="str">
        <f t="shared" si="41"/>
        <v/>
      </c>
      <c r="AZ45" s="1" t="str">
        <f t="shared" si="42"/>
        <v/>
      </c>
      <c r="BA45" s="1" t="str">
        <f t="shared" si="43"/>
        <v>France</v>
      </c>
    </row>
    <row r="46" spans="1:56" x14ac:dyDescent="0.35">
      <c r="A46" s="108" t="str">
        <f t="shared" si="9"/>
        <v>X</v>
      </c>
      <c r="B46" s="1104"/>
      <c r="C46" s="1105"/>
      <c r="D46" s="1130"/>
      <c r="E46" s="1153"/>
      <c r="F46" s="1144"/>
      <c r="G46" s="896" t="s">
        <v>9</v>
      </c>
      <c r="H46" s="897" t="str">
        <f t="shared" si="30"/>
        <v>X</v>
      </c>
      <c r="I46" s="897" t="str">
        <f t="shared" si="31"/>
        <v>X</v>
      </c>
      <c r="J46" s="898" t="str">
        <f t="shared" si="32"/>
        <v/>
      </c>
      <c r="K46" s="899" t="s">
        <v>60</v>
      </c>
      <c r="L46" s="857">
        <f>'2020'!G46</f>
        <v>20</v>
      </c>
      <c r="M46" s="858">
        <f>'2021'!G46</f>
        <v>17</v>
      </c>
      <c r="N46" s="859"/>
      <c r="O46" s="860">
        <f>'2020'!H46</f>
        <v>9</v>
      </c>
      <c r="P46" s="858">
        <f>'2021'!H46</f>
        <v>9</v>
      </c>
      <c r="Q46" s="859" t="str">
        <f>'2022'!H46</f>
        <v/>
      </c>
      <c r="R46" s="464">
        <f t="shared" si="37"/>
        <v>0.25</v>
      </c>
      <c r="S46" s="900">
        <f t="shared" si="34"/>
        <v>0.41176470588235292</v>
      </c>
      <c r="T46" s="901">
        <f t="shared" si="35"/>
        <v>0</v>
      </c>
      <c r="U46" s="860">
        <f>'2020'!J46</f>
        <v>5</v>
      </c>
      <c r="V46" s="858">
        <f>'2021'!J46</f>
        <v>7</v>
      </c>
      <c r="W46" s="859" t="str">
        <f>'2022'!J46</f>
        <v/>
      </c>
      <c r="X46" s="464">
        <f t="shared" si="38"/>
        <v>0.15</v>
      </c>
      <c r="Y46" s="900">
        <f t="shared" si="39"/>
        <v>0.23529411764705882</v>
      </c>
      <c r="Z46" s="901" t="str">
        <f t="shared" si="40"/>
        <v/>
      </c>
      <c r="AA46" s="860">
        <f>'2020'!L46</f>
        <v>3</v>
      </c>
      <c r="AB46" s="858">
        <f>'2021'!L46</f>
        <v>4</v>
      </c>
      <c r="AC46" s="859" t="str">
        <f>'2022'!L46</f>
        <v/>
      </c>
      <c r="AD46" s="902">
        <f t="shared" si="7"/>
        <v>0.33</v>
      </c>
      <c r="AE46" s="903">
        <f t="shared" si="7"/>
        <v>0.25</v>
      </c>
      <c r="AF46" s="904" t="str">
        <f t="shared" si="7"/>
        <v/>
      </c>
      <c r="AG46" s="905">
        <f>'2020'!N46</f>
        <v>0.99</v>
      </c>
      <c r="AH46" s="906">
        <f>'2021'!N46</f>
        <v>1</v>
      </c>
      <c r="AI46" s="907" t="str">
        <f>IF('2022'!N46="","-",'2022'!N46)</f>
        <v>-</v>
      </c>
      <c r="AJ46" s="908" t="s">
        <v>21</v>
      </c>
      <c r="AK46" s="909" t="s">
        <v>21</v>
      </c>
      <c r="AL46" s="908" t="s">
        <v>21</v>
      </c>
      <c r="AM46" s="909" t="s">
        <v>21</v>
      </c>
      <c r="AN46" s="910" t="s">
        <v>21</v>
      </c>
      <c r="AO46" s="911" t="s">
        <v>21</v>
      </c>
      <c r="AP46" s="910" t="s">
        <v>21</v>
      </c>
      <c r="AQ46" s="912" t="s">
        <v>21</v>
      </c>
      <c r="AY46" s="1" t="str">
        <f t="shared" si="41"/>
        <v>France</v>
      </c>
      <c r="AZ46" s="1" t="str">
        <f t="shared" si="42"/>
        <v>France</v>
      </c>
      <c r="BA46" s="1" t="str">
        <f t="shared" si="43"/>
        <v/>
      </c>
    </row>
    <row r="47" spans="1:56" ht="16" thickBot="1" x14ac:dyDescent="0.4">
      <c r="A47" s="108" t="str">
        <f t="shared" si="9"/>
        <v>X</v>
      </c>
      <c r="B47" s="1134"/>
      <c r="C47" s="1135"/>
      <c r="D47" s="953" t="s">
        <v>138</v>
      </c>
      <c r="E47" s="954"/>
      <c r="F47" s="955"/>
      <c r="G47" s="918"/>
      <c r="H47" s="919"/>
      <c r="I47" s="919"/>
      <c r="J47" s="920"/>
      <c r="K47" s="395"/>
      <c r="L47" s="513">
        <f>SUM(L36:L46)</f>
        <v>159</v>
      </c>
      <c r="M47" s="514">
        <f t="shared" ref="M47:Q47" si="53">SUM(M36:M46)</f>
        <v>198</v>
      </c>
      <c r="N47" s="515">
        <f t="shared" si="53"/>
        <v>148</v>
      </c>
      <c r="O47" s="516">
        <f t="shared" si="53"/>
        <v>95</v>
      </c>
      <c r="P47" s="514">
        <f t="shared" si="53"/>
        <v>128</v>
      </c>
      <c r="Q47" s="515">
        <f t="shared" si="53"/>
        <v>96</v>
      </c>
      <c r="R47" s="148">
        <f t="shared" ref="R47:R103" si="54">IF(L47="",0,IF(U47=0,0,U47/L47))</f>
        <v>0.28283018867924525</v>
      </c>
      <c r="S47" s="483">
        <f t="shared" ref="S47:S103" si="55">IF(M47="",0,IF(V47=0,0,V47/M47))</f>
        <v>0.47474747474747475</v>
      </c>
      <c r="T47" s="534">
        <f t="shared" ref="T47:T103" si="56">IF(N47="",0,IF(W47=0,0,W47/N47))</f>
        <v>0.49324324324324326</v>
      </c>
      <c r="U47" s="516">
        <f t="shared" ref="U47:W47" si="57">SUM(U36:U46)</f>
        <v>44.97</v>
      </c>
      <c r="V47" s="514">
        <f t="shared" si="57"/>
        <v>94</v>
      </c>
      <c r="W47" s="515">
        <f t="shared" si="57"/>
        <v>73</v>
      </c>
      <c r="X47" s="148">
        <f t="shared" si="38"/>
        <v>0.11962264150943398</v>
      </c>
      <c r="Y47" s="483">
        <f t="shared" si="39"/>
        <v>0.23232323232323232</v>
      </c>
      <c r="Z47" s="534">
        <f t="shared" si="40"/>
        <v>0.22297297297297297</v>
      </c>
      <c r="AA47" s="516">
        <f t="shared" ref="AA47:AC47" si="58">SUM(AA36:AA46)</f>
        <v>19.020000000000003</v>
      </c>
      <c r="AB47" s="514">
        <f t="shared" si="58"/>
        <v>46</v>
      </c>
      <c r="AC47" s="515">
        <f t="shared" si="58"/>
        <v>33</v>
      </c>
      <c r="AD47" s="668">
        <f t="shared" si="7"/>
        <v>0.68138801261829651</v>
      </c>
      <c r="AE47" s="669">
        <f t="shared" si="7"/>
        <v>0.63043478260869568</v>
      </c>
      <c r="AF47" s="675">
        <f t="shared" si="7"/>
        <v>0.72727272727272729</v>
      </c>
      <c r="AG47" s="683">
        <f t="shared" ref="AG47:AI47" si="59">SUM(AG36:AG46)</f>
        <v>12.96</v>
      </c>
      <c r="AH47" s="913">
        <f t="shared" si="59"/>
        <v>29</v>
      </c>
      <c r="AI47" s="914">
        <f t="shared" si="59"/>
        <v>24</v>
      </c>
      <c r="AJ47" s="915"/>
      <c r="AK47" s="916"/>
      <c r="AL47" s="915"/>
      <c r="AM47" s="916"/>
      <c r="AN47" s="915"/>
      <c r="AO47" s="916"/>
      <c r="AP47" s="915"/>
      <c r="AQ47" s="917"/>
      <c r="AY47" s="1" t="str">
        <f t="shared" si="41"/>
        <v/>
      </c>
      <c r="AZ47" s="1" t="str">
        <f t="shared" si="42"/>
        <v/>
      </c>
      <c r="BA47" s="1" t="str">
        <f t="shared" si="43"/>
        <v/>
      </c>
    </row>
    <row r="48" spans="1:56" s="760" customFormat="1" ht="31.5" customHeight="1" thickBot="1" x14ac:dyDescent="0.4">
      <c r="A48" s="108" t="str">
        <f t="shared" si="9"/>
        <v>X</v>
      </c>
      <c r="B48" s="750" t="s">
        <v>78</v>
      </c>
      <c r="C48" s="796"/>
      <c r="D48" s="797">
        <f>SUM(D5:D46)</f>
        <v>19</v>
      </c>
      <c r="E48" s="792">
        <f t="shared" ref="E48:F48" si="60">SUM(E5:E46)</f>
        <v>20</v>
      </c>
      <c r="F48" s="802">
        <f t="shared" si="60"/>
        <v>39</v>
      </c>
      <c r="G48" s="806">
        <f>COUNTIF(A5:A47,"X")</f>
        <v>41</v>
      </c>
      <c r="H48" s="828">
        <f>COUNTIF(H$5:H$47,"X")</f>
        <v>17</v>
      </c>
      <c r="I48" s="828">
        <f t="shared" ref="I48:J48" si="61">COUNTIF(I$5:I$47,"X")</f>
        <v>17</v>
      </c>
      <c r="J48" s="829">
        <f t="shared" si="61"/>
        <v>33</v>
      </c>
      <c r="K48" s="780">
        <v>38</v>
      </c>
      <c r="L48" s="781">
        <f>L5+L6+L23+L35+L47</f>
        <v>394</v>
      </c>
      <c r="M48" s="782">
        <f t="shared" ref="M48:Q48" si="62">M5+M6+M23+M35+M47</f>
        <v>595</v>
      </c>
      <c r="N48" s="783">
        <f t="shared" si="62"/>
        <v>1147</v>
      </c>
      <c r="O48" s="784">
        <f t="shared" si="62"/>
        <v>235</v>
      </c>
      <c r="P48" s="782">
        <f t="shared" si="62"/>
        <v>415</v>
      </c>
      <c r="Q48" s="783">
        <f t="shared" si="62"/>
        <v>822</v>
      </c>
      <c r="R48" s="751">
        <f t="shared" si="54"/>
        <v>0.22581218274111675</v>
      </c>
      <c r="S48" s="752">
        <f t="shared" si="55"/>
        <v>0.2857142857142857</v>
      </c>
      <c r="T48" s="753">
        <f t="shared" si="56"/>
        <v>0.29729729729729731</v>
      </c>
      <c r="U48" s="784">
        <f t="shared" ref="U48:W48" si="63">U5+U6+U23+U35+U47</f>
        <v>88.97</v>
      </c>
      <c r="V48" s="782">
        <f t="shared" si="63"/>
        <v>170</v>
      </c>
      <c r="W48" s="783">
        <f t="shared" si="63"/>
        <v>341</v>
      </c>
      <c r="X48" s="751">
        <f t="shared" si="38"/>
        <v>0.22593908629441628</v>
      </c>
      <c r="Y48" s="752">
        <f t="shared" si="39"/>
        <v>0.253781512605042</v>
      </c>
      <c r="Z48" s="753">
        <f t="shared" si="40"/>
        <v>0.32781168265039234</v>
      </c>
      <c r="AA48" s="784">
        <f t="shared" ref="AA48:AC48" si="64">AA5+AA6+AA23+AA35+AA47</f>
        <v>89.02000000000001</v>
      </c>
      <c r="AB48" s="782">
        <f t="shared" si="64"/>
        <v>151</v>
      </c>
      <c r="AC48" s="783">
        <f t="shared" si="64"/>
        <v>376</v>
      </c>
      <c r="AD48" s="754">
        <f t="shared" si="7"/>
        <v>0.16805212311840034</v>
      </c>
      <c r="AE48" s="755">
        <f t="shared" si="7"/>
        <v>0.20529801324503311</v>
      </c>
      <c r="AF48" s="756">
        <f t="shared" si="7"/>
        <v>0.31648936170212766</v>
      </c>
      <c r="AG48" s="785">
        <f t="shared" ref="AG48:AI48" si="65">AG5+AG6+AG23+AG35+AG47</f>
        <v>14.96</v>
      </c>
      <c r="AH48" s="786">
        <f t="shared" si="65"/>
        <v>31</v>
      </c>
      <c r="AI48" s="787">
        <f t="shared" si="65"/>
        <v>119</v>
      </c>
      <c r="AJ48" s="757"/>
      <c r="AK48" s="758"/>
      <c r="AL48" s="757"/>
      <c r="AM48" s="758"/>
      <c r="AN48" s="757"/>
      <c r="AO48" s="758"/>
      <c r="AP48" s="757"/>
      <c r="AQ48" s="759"/>
      <c r="AR48" s="958"/>
      <c r="AY48" s="1">
        <f t="shared" si="41"/>
        <v>38</v>
      </c>
      <c r="AZ48" s="1">
        <f t="shared" si="42"/>
        <v>38</v>
      </c>
      <c r="BA48" s="1">
        <f t="shared" si="43"/>
        <v>38</v>
      </c>
      <c r="BB48" s="1"/>
      <c r="BC48" s="1"/>
      <c r="BD48" s="1"/>
    </row>
    <row r="49" spans="1:53" ht="15" customHeight="1" thickBot="1" x14ac:dyDescent="0.4">
      <c r="A49" s="108" t="str">
        <f t="shared" si="9"/>
        <v>X</v>
      </c>
      <c r="B49" s="1136" t="s">
        <v>84</v>
      </c>
      <c r="C49" s="1138" t="s">
        <v>76</v>
      </c>
      <c r="D49" s="1140">
        <f>'2020'!D49</f>
        <v>31</v>
      </c>
      <c r="E49" s="1154">
        <f>'2021'!D49</f>
        <v>6</v>
      </c>
      <c r="F49" s="1156">
        <f>'2022'!D49</f>
        <v>10</v>
      </c>
      <c r="G49" s="982" t="s">
        <v>25</v>
      </c>
      <c r="H49" s="983" t="str">
        <f t="shared" ref="H49:H56" si="66">IF(L49=0,"","X")</f>
        <v>X</v>
      </c>
      <c r="I49" s="983" t="str">
        <f t="shared" ref="I49:I56" si="67">IF(M49=0,"","X")</f>
        <v/>
      </c>
      <c r="J49" s="984" t="str">
        <f t="shared" ref="J49:J56" si="68">IF(N49=0,"","X")</f>
        <v/>
      </c>
      <c r="K49" s="985" t="s">
        <v>60</v>
      </c>
      <c r="L49" s="986">
        <f>'2020'!G49</f>
        <v>603</v>
      </c>
      <c r="M49" s="987">
        <f>'2021'!G49</f>
        <v>0</v>
      </c>
      <c r="N49" s="988">
        <f>'2022'!G49</f>
        <v>0</v>
      </c>
      <c r="O49" s="989">
        <f>'2020'!H49</f>
        <v>173</v>
      </c>
      <c r="P49" s="987">
        <f>'2021'!H49</f>
        <v>0</v>
      </c>
      <c r="Q49" s="988">
        <f>'2022'!H49</f>
        <v>0</v>
      </c>
      <c r="R49" s="990">
        <f t="shared" si="54"/>
        <v>0.43283582089552236</v>
      </c>
      <c r="S49" s="991">
        <f t="shared" si="55"/>
        <v>0</v>
      </c>
      <c r="T49" s="992">
        <f t="shared" si="56"/>
        <v>0</v>
      </c>
      <c r="U49" s="989">
        <f>'2020'!J49</f>
        <v>261</v>
      </c>
      <c r="V49" s="987">
        <f>'2021'!J49</f>
        <v>0</v>
      </c>
      <c r="W49" s="988">
        <f>'2022'!J49</f>
        <v>0</v>
      </c>
      <c r="X49" s="990">
        <f t="shared" si="38"/>
        <v>0.40132669983416253</v>
      </c>
      <c r="Y49" s="991" t="str">
        <f t="shared" si="39"/>
        <v/>
      </c>
      <c r="Z49" s="992" t="str">
        <f t="shared" si="40"/>
        <v/>
      </c>
      <c r="AA49" s="989">
        <f>'2020'!L49</f>
        <v>242</v>
      </c>
      <c r="AB49" s="987">
        <f>'2021'!L49</f>
        <v>0</v>
      </c>
      <c r="AC49" s="988">
        <f>'2022'!L49</f>
        <v>0</v>
      </c>
      <c r="AD49" s="993" t="str">
        <f t="shared" si="7"/>
        <v/>
      </c>
      <c r="AE49" s="994" t="str">
        <f t="shared" si="7"/>
        <v/>
      </c>
      <c r="AF49" s="995" t="str">
        <f t="shared" si="7"/>
        <v/>
      </c>
      <c r="AG49" s="996" t="str">
        <f>'2020'!N49</f>
        <v>-</v>
      </c>
      <c r="AH49" s="997" t="str">
        <f>'2021'!N49</f>
        <v>-</v>
      </c>
      <c r="AI49" s="998">
        <f>'2022'!N49</f>
        <v>0</v>
      </c>
      <c r="AJ49" s="999" t="s">
        <v>21</v>
      </c>
      <c r="AK49" s="1000" t="s">
        <v>21</v>
      </c>
      <c r="AL49" s="999" t="s">
        <v>21</v>
      </c>
      <c r="AM49" s="1000" t="s">
        <v>21</v>
      </c>
      <c r="AN49" s="1001"/>
      <c r="AO49" s="1002"/>
      <c r="AP49" s="1001"/>
      <c r="AQ49" s="1003"/>
      <c r="AY49" s="1" t="str">
        <f t="shared" si="41"/>
        <v>France</v>
      </c>
      <c r="AZ49" s="1" t="str">
        <f t="shared" si="42"/>
        <v/>
      </c>
      <c r="BA49" s="1" t="str">
        <f t="shared" si="43"/>
        <v/>
      </c>
    </row>
    <row r="50" spans="1:53" ht="15" customHeight="1" thickBot="1" x14ac:dyDescent="0.4">
      <c r="A50" s="108" t="str">
        <f t="shared" si="9"/>
        <v>X</v>
      </c>
      <c r="B50" s="1136"/>
      <c r="C50" s="1138"/>
      <c r="D50" s="1140"/>
      <c r="E50" s="1154"/>
      <c r="F50" s="1156"/>
      <c r="G50" s="846" t="s">
        <v>26</v>
      </c>
      <c r="H50" s="847" t="str">
        <f t="shared" si="66"/>
        <v>X</v>
      </c>
      <c r="I50" s="847" t="str">
        <f t="shared" si="67"/>
        <v/>
      </c>
      <c r="J50" s="848" t="str">
        <f t="shared" si="68"/>
        <v>X</v>
      </c>
      <c r="K50" s="869" t="s">
        <v>60</v>
      </c>
      <c r="L50" s="850">
        <f>'2020'!G50</f>
        <v>354</v>
      </c>
      <c r="M50" s="851">
        <f>'2021'!G50</f>
        <v>0</v>
      </c>
      <c r="N50" s="852">
        <f>'2022'!G50</f>
        <v>620</v>
      </c>
      <c r="O50" s="853">
        <f>'2020'!H50</f>
        <v>103</v>
      </c>
      <c r="P50" s="851">
        <f>'2021'!H50</f>
        <v>0</v>
      </c>
      <c r="Q50" s="852">
        <f>'2022'!H50</f>
        <v>331</v>
      </c>
      <c r="R50" s="457">
        <f t="shared" ref="R50:R56" si="69">IF(L50="",0,IF(U50=0,0,U50/L50))</f>
        <v>0.40112994350282488</v>
      </c>
      <c r="S50" s="883">
        <f t="shared" ref="S50:S56" si="70">IF(M50="",0,IF(V50=0,0,V50/M50))</f>
        <v>0</v>
      </c>
      <c r="T50" s="884">
        <f t="shared" ref="T50:T56" si="71">IF(N50="",0,IF(W50=0,0,W50/N50))</f>
        <v>0.43870967741935485</v>
      </c>
      <c r="U50" s="853">
        <f>'2020'!J50</f>
        <v>142</v>
      </c>
      <c r="V50" s="851">
        <f>'2021'!J50</f>
        <v>0</v>
      </c>
      <c r="W50" s="852">
        <f>'2022'!J50</f>
        <v>272</v>
      </c>
      <c r="X50" s="457">
        <f t="shared" ref="X50:X56" si="72">IF(L50=0,"",IF(AA50="","",AA50/L50))</f>
        <v>0.45480225988700562</v>
      </c>
      <c r="Y50" s="883" t="str">
        <f t="shared" ref="Y50:Y56" si="73">IF(M50=0,"",IF(AB50="","",AB50/M50))</f>
        <v/>
      </c>
      <c r="Z50" s="884">
        <f t="shared" ref="Z50:Z56" si="74">IF(N50=0,"",IF(AC50="","",AC50/N50))</f>
        <v>0.36774193548387096</v>
      </c>
      <c r="AA50" s="853">
        <f>'2020'!L50</f>
        <v>161</v>
      </c>
      <c r="AB50" s="851">
        <f>'2021'!L50</f>
        <v>0</v>
      </c>
      <c r="AC50" s="852">
        <f>'2022'!L50</f>
        <v>228</v>
      </c>
      <c r="AD50" s="885" t="str">
        <f t="shared" ref="AD50:AD56" si="75">IF(AA50=0,"",IF(AG50="-","",AG50/AA50))</f>
        <v/>
      </c>
      <c r="AE50" s="886" t="str">
        <f t="shared" ref="AE50:AE56" si="76">IF(AB50=0,"",IF(AH50="-","",AH50/AB50))</f>
        <v/>
      </c>
      <c r="AF50" s="887">
        <f t="shared" ref="AF50:AF56" si="77">IF(AC50=0,"",IF(AI50="-","",AI50/AC50))</f>
        <v>0</v>
      </c>
      <c r="AG50" s="888" t="str">
        <f>'2020'!N50</f>
        <v>-</v>
      </c>
      <c r="AH50" s="889" t="str">
        <f>'2021'!N50</f>
        <v>-</v>
      </c>
      <c r="AI50" s="890">
        <f>'2022'!N50</f>
        <v>0</v>
      </c>
      <c r="AJ50" s="891" t="s">
        <v>21</v>
      </c>
      <c r="AK50" s="892" t="s">
        <v>21</v>
      </c>
      <c r="AL50" s="891" t="s">
        <v>21</v>
      </c>
      <c r="AM50" s="892" t="s">
        <v>21</v>
      </c>
      <c r="AN50" s="893"/>
      <c r="AO50" s="894"/>
      <c r="AP50" s="893"/>
      <c r="AQ50" s="895"/>
      <c r="AY50" s="1" t="str">
        <f t="shared" si="41"/>
        <v>France</v>
      </c>
      <c r="AZ50" s="1" t="str">
        <f t="shared" si="42"/>
        <v/>
      </c>
      <c r="BA50" s="1" t="str">
        <f t="shared" si="43"/>
        <v>France</v>
      </c>
    </row>
    <row r="51" spans="1:53" ht="15" customHeight="1" thickBot="1" x14ac:dyDescent="0.4">
      <c r="A51" s="108" t="str">
        <f t="shared" si="9"/>
        <v>X</v>
      </c>
      <c r="B51" s="1136"/>
      <c r="C51" s="1138"/>
      <c r="D51" s="1140"/>
      <c r="E51" s="1154"/>
      <c r="F51" s="1156"/>
      <c r="G51" s="846" t="s">
        <v>58</v>
      </c>
      <c r="H51" s="847" t="str">
        <f t="shared" si="66"/>
        <v>X</v>
      </c>
      <c r="I51" s="847" t="str">
        <f t="shared" si="67"/>
        <v>X</v>
      </c>
      <c r="J51" s="848" t="str">
        <f t="shared" si="68"/>
        <v>X</v>
      </c>
      <c r="K51" s="869" t="s">
        <v>60</v>
      </c>
      <c r="L51" s="850">
        <f>'2020'!G51</f>
        <v>222</v>
      </c>
      <c r="M51" s="851">
        <f>'2021'!G51</f>
        <v>228</v>
      </c>
      <c r="N51" s="852">
        <f>'2022'!G51</f>
        <v>325</v>
      </c>
      <c r="O51" s="853">
        <f>'2020'!H51</f>
        <v>66</v>
      </c>
      <c r="P51" s="851">
        <f>'2021'!H51</f>
        <v>125</v>
      </c>
      <c r="Q51" s="852">
        <f>'2022'!H51</f>
        <v>227</v>
      </c>
      <c r="R51" s="457">
        <f t="shared" si="69"/>
        <v>0.61711711711711714</v>
      </c>
      <c r="S51" s="883">
        <f t="shared" si="70"/>
        <v>0.39473684210526316</v>
      </c>
      <c r="T51" s="884">
        <f t="shared" si="71"/>
        <v>0.51692307692307693</v>
      </c>
      <c r="U51" s="853">
        <f>'2020'!J51</f>
        <v>137</v>
      </c>
      <c r="V51" s="851">
        <f>'2021'!J51</f>
        <v>90</v>
      </c>
      <c r="W51" s="852">
        <f>'2022'!J51</f>
        <v>168</v>
      </c>
      <c r="X51" s="457">
        <f t="shared" si="72"/>
        <v>0.3963963963963964</v>
      </c>
      <c r="Y51" s="883">
        <f t="shared" si="73"/>
        <v>0.39912280701754388</v>
      </c>
      <c r="Z51" s="884">
        <f t="shared" si="74"/>
        <v>0.4</v>
      </c>
      <c r="AA51" s="853">
        <f>'2020'!L51</f>
        <v>88</v>
      </c>
      <c r="AB51" s="851">
        <f>'2021'!L51</f>
        <v>91</v>
      </c>
      <c r="AC51" s="852">
        <f>'2022'!L51</f>
        <v>130</v>
      </c>
      <c r="AD51" s="885" t="str">
        <f t="shared" si="75"/>
        <v/>
      </c>
      <c r="AE51" s="886" t="str">
        <f t="shared" si="76"/>
        <v/>
      </c>
      <c r="AF51" s="887">
        <f t="shared" si="77"/>
        <v>0</v>
      </c>
      <c r="AG51" s="888" t="str">
        <f>'2020'!N51</f>
        <v>-</v>
      </c>
      <c r="AH51" s="889" t="str">
        <f>'2021'!N51</f>
        <v>-</v>
      </c>
      <c r="AI51" s="890">
        <f>'2022'!N51</f>
        <v>0</v>
      </c>
      <c r="AJ51" s="891" t="s">
        <v>21</v>
      </c>
      <c r="AK51" s="892" t="s">
        <v>21</v>
      </c>
      <c r="AL51" s="891" t="s">
        <v>21</v>
      </c>
      <c r="AM51" s="892" t="s">
        <v>21</v>
      </c>
      <c r="AN51" s="893" t="s">
        <v>21</v>
      </c>
      <c r="AO51" s="894" t="s">
        <v>21</v>
      </c>
      <c r="AP51" s="893" t="s">
        <v>21</v>
      </c>
      <c r="AQ51" s="895" t="s">
        <v>21</v>
      </c>
      <c r="AY51" s="1" t="str">
        <f t="shared" si="41"/>
        <v>France</v>
      </c>
      <c r="AZ51" s="1" t="str">
        <f t="shared" si="42"/>
        <v>France</v>
      </c>
      <c r="BA51" s="1" t="str">
        <f t="shared" si="43"/>
        <v>France</v>
      </c>
    </row>
    <row r="52" spans="1:53" ht="15" customHeight="1" thickBot="1" x14ac:dyDescent="0.4">
      <c r="A52" s="108" t="str">
        <f t="shared" si="9"/>
        <v>X</v>
      </c>
      <c r="B52" s="1136"/>
      <c r="C52" s="1138"/>
      <c r="D52" s="1140"/>
      <c r="E52" s="1154"/>
      <c r="F52" s="1156"/>
      <c r="G52" s="846" t="s">
        <v>24</v>
      </c>
      <c r="H52" s="847" t="str">
        <f t="shared" si="66"/>
        <v>X</v>
      </c>
      <c r="I52" s="847" t="str">
        <f t="shared" si="67"/>
        <v>X</v>
      </c>
      <c r="J52" s="848" t="str">
        <f t="shared" si="68"/>
        <v>X</v>
      </c>
      <c r="K52" s="869" t="s">
        <v>62</v>
      </c>
      <c r="L52" s="850">
        <f>'2020'!G52</f>
        <v>106</v>
      </c>
      <c r="M52" s="851">
        <f>'2021'!G52</f>
        <v>141</v>
      </c>
      <c r="N52" s="852">
        <f>'2022'!G52</f>
        <v>180</v>
      </c>
      <c r="O52" s="853">
        <f>'2020'!H52</f>
        <v>35</v>
      </c>
      <c r="P52" s="851">
        <f>'2021'!H52</f>
        <v>80</v>
      </c>
      <c r="Q52" s="852">
        <f>'2022'!H52</f>
        <v>92</v>
      </c>
      <c r="R52" s="457">
        <f t="shared" si="69"/>
        <v>0.36792452830188677</v>
      </c>
      <c r="S52" s="883">
        <f t="shared" si="70"/>
        <v>0.46099290780141844</v>
      </c>
      <c r="T52" s="884">
        <f t="shared" si="71"/>
        <v>0.43888888888888888</v>
      </c>
      <c r="U52" s="853">
        <f>'2020'!J52</f>
        <v>39</v>
      </c>
      <c r="V52" s="851">
        <f>'2021'!J52</f>
        <v>65</v>
      </c>
      <c r="W52" s="852">
        <f>'2022'!J52</f>
        <v>79</v>
      </c>
      <c r="X52" s="457">
        <f t="shared" si="72"/>
        <v>0.45283018867924529</v>
      </c>
      <c r="Y52" s="883">
        <f t="shared" si="73"/>
        <v>0.43971631205673761</v>
      </c>
      <c r="Z52" s="884">
        <f t="shared" si="74"/>
        <v>0.40555555555555556</v>
      </c>
      <c r="AA52" s="853">
        <f>'2020'!L52</f>
        <v>48</v>
      </c>
      <c r="AB52" s="851">
        <f>'2021'!L52</f>
        <v>62</v>
      </c>
      <c r="AC52" s="852">
        <f>'2022'!L52</f>
        <v>73</v>
      </c>
      <c r="AD52" s="885" t="str">
        <f t="shared" si="75"/>
        <v/>
      </c>
      <c r="AE52" s="886" t="str">
        <f t="shared" si="76"/>
        <v/>
      </c>
      <c r="AF52" s="887">
        <f t="shared" si="77"/>
        <v>0</v>
      </c>
      <c r="AG52" s="888" t="str">
        <f>'2020'!N52</f>
        <v>-</v>
      </c>
      <c r="AH52" s="889" t="str">
        <f>'2021'!N52</f>
        <v>-</v>
      </c>
      <c r="AI52" s="890">
        <f>'2022'!N52</f>
        <v>0</v>
      </c>
      <c r="AJ52" s="891" t="s">
        <v>21</v>
      </c>
      <c r="AK52" s="892" t="s">
        <v>21</v>
      </c>
      <c r="AL52" s="891" t="s">
        <v>21</v>
      </c>
      <c r="AM52" s="892" t="s">
        <v>21</v>
      </c>
      <c r="AN52" s="893"/>
      <c r="AO52" s="894"/>
      <c r="AP52" s="893"/>
      <c r="AQ52" s="895"/>
      <c r="AY52" s="1" t="str">
        <f t="shared" si="41"/>
        <v>Frontière</v>
      </c>
      <c r="AZ52" s="1" t="str">
        <f t="shared" si="42"/>
        <v>Frontière</v>
      </c>
      <c r="BA52" s="1" t="str">
        <f t="shared" si="43"/>
        <v>Frontière</v>
      </c>
    </row>
    <row r="53" spans="1:53" ht="15" customHeight="1" thickBot="1" x14ac:dyDescent="0.4">
      <c r="A53" s="108" t="str">
        <f t="shared" si="9"/>
        <v>X</v>
      </c>
      <c r="B53" s="1136"/>
      <c r="C53" s="1138"/>
      <c r="D53" s="1140"/>
      <c r="E53" s="1154"/>
      <c r="F53" s="1156"/>
      <c r="G53" s="846" t="s">
        <v>23</v>
      </c>
      <c r="H53" s="847" t="str">
        <f t="shared" si="66"/>
        <v>X</v>
      </c>
      <c r="I53" s="847" t="str">
        <f t="shared" si="67"/>
        <v>X</v>
      </c>
      <c r="J53" s="848" t="str">
        <f t="shared" si="68"/>
        <v>X</v>
      </c>
      <c r="K53" s="869" t="s">
        <v>60</v>
      </c>
      <c r="L53" s="850">
        <f>'2020'!G53</f>
        <v>206</v>
      </c>
      <c r="M53" s="851">
        <f>'2021'!G53</f>
        <v>234</v>
      </c>
      <c r="N53" s="852">
        <f>'2022'!G53</f>
        <v>366</v>
      </c>
      <c r="O53" s="853">
        <f>'2020'!H53</f>
        <v>70</v>
      </c>
      <c r="P53" s="851">
        <f>'2021'!H53</f>
        <v>127</v>
      </c>
      <c r="Q53" s="852">
        <f>'2022'!H53</f>
        <v>180</v>
      </c>
      <c r="R53" s="457">
        <f t="shared" si="69"/>
        <v>0.42233009708737862</v>
      </c>
      <c r="S53" s="883">
        <f t="shared" si="70"/>
        <v>0.42307692307692307</v>
      </c>
      <c r="T53" s="884">
        <f t="shared" si="71"/>
        <v>0.43169398907103823</v>
      </c>
      <c r="U53" s="853">
        <f>'2020'!J53</f>
        <v>87</v>
      </c>
      <c r="V53" s="851">
        <f>'2021'!J53</f>
        <v>99</v>
      </c>
      <c r="W53" s="852">
        <f>'2022'!J53</f>
        <v>158</v>
      </c>
      <c r="X53" s="457">
        <f t="shared" si="72"/>
        <v>0.40291262135922329</v>
      </c>
      <c r="Y53" s="883">
        <f t="shared" si="73"/>
        <v>0.47863247863247865</v>
      </c>
      <c r="Z53" s="884">
        <f t="shared" si="74"/>
        <v>0.39071038251366119</v>
      </c>
      <c r="AA53" s="853">
        <f>'2020'!L53</f>
        <v>83</v>
      </c>
      <c r="AB53" s="851">
        <f>'2021'!L53</f>
        <v>112</v>
      </c>
      <c r="AC53" s="852">
        <f>'2022'!L53</f>
        <v>143</v>
      </c>
      <c r="AD53" s="885" t="str">
        <f t="shared" si="75"/>
        <v/>
      </c>
      <c r="AE53" s="886" t="str">
        <f t="shared" si="76"/>
        <v/>
      </c>
      <c r="AF53" s="887">
        <f t="shared" si="77"/>
        <v>0</v>
      </c>
      <c r="AG53" s="888" t="str">
        <f>'2020'!N53</f>
        <v>-</v>
      </c>
      <c r="AH53" s="889" t="str">
        <f>'2021'!N53</f>
        <v>-</v>
      </c>
      <c r="AI53" s="890">
        <f>'2022'!N53</f>
        <v>0</v>
      </c>
      <c r="AJ53" s="891" t="s">
        <v>21</v>
      </c>
      <c r="AK53" s="892" t="s">
        <v>21</v>
      </c>
      <c r="AL53" s="891" t="s">
        <v>21</v>
      </c>
      <c r="AM53" s="892" t="s">
        <v>21</v>
      </c>
      <c r="AN53" s="893" t="s">
        <v>21</v>
      </c>
      <c r="AO53" s="894" t="s">
        <v>21</v>
      </c>
      <c r="AP53" s="893" t="s">
        <v>21</v>
      </c>
      <c r="AQ53" s="895" t="s">
        <v>21</v>
      </c>
      <c r="AY53" s="1" t="str">
        <f t="shared" si="41"/>
        <v>France</v>
      </c>
      <c r="AZ53" s="1" t="str">
        <f t="shared" si="42"/>
        <v>France</v>
      </c>
      <c r="BA53" s="1" t="str">
        <f t="shared" si="43"/>
        <v>France</v>
      </c>
    </row>
    <row r="54" spans="1:53" ht="15" hidden="1" customHeight="1" thickBot="1" x14ac:dyDescent="0.4">
      <c r="A54" s="108" t="str">
        <f t="shared" si="9"/>
        <v/>
      </c>
      <c r="B54" s="1136"/>
      <c r="C54" s="1138"/>
      <c r="D54" s="1140"/>
      <c r="E54" s="1154"/>
      <c r="F54" s="1156"/>
      <c r="G54" s="846"/>
      <c r="H54" s="847" t="str">
        <f t="shared" si="66"/>
        <v/>
      </c>
      <c r="I54" s="847" t="str">
        <f t="shared" si="67"/>
        <v/>
      </c>
      <c r="J54" s="848" t="str">
        <f t="shared" si="68"/>
        <v/>
      </c>
      <c r="K54" s="869" t="s">
        <v>207</v>
      </c>
      <c r="L54" s="850">
        <f>'2020'!G54</f>
        <v>0</v>
      </c>
      <c r="M54" s="851">
        <f>'2021'!G54</f>
        <v>0</v>
      </c>
      <c r="N54" s="852">
        <f>'2022'!G54</f>
        <v>0</v>
      </c>
      <c r="O54" s="853">
        <f>'2020'!H54</f>
        <v>0</v>
      </c>
      <c r="P54" s="851">
        <f>'2021'!H54</f>
        <v>0</v>
      </c>
      <c r="Q54" s="852">
        <f>'2022'!H54</f>
        <v>0</v>
      </c>
      <c r="R54" s="457">
        <f t="shared" si="69"/>
        <v>0</v>
      </c>
      <c r="S54" s="883">
        <f t="shared" si="70"/>
        <v>0</v>
      </c>
      <c r="T54" s="884">
        <f t="shared" si="71"/>
        <v>0</v>
      </c>
      <c r="U54" s="853">
        <f>'2020'!J54</f>
        <v>0</v>
      </c>
      <c r="V54" s="851">
        <f>'2021'!J54</f>
        <v>0</v>
      </c>
      <c r="W54" s="852">
        <f>'2022'!J54</f>
        <v>0</v>
      </c>
      <c r="X54" s="457" t="str">
        <f t="shared" si="72"/>
        <v/>
      </c>
      <c r="Y54" s="883" t="str">
        <f t="shared" si="73"/>
        <v/>
      </c>
      <c r="Z54" s="884" t="str">
        <f t="shared" si="74"/>
        <v/>
      </c>
      <c r="AA54" s="853">
        <f>'2020'!L54</f>
        <v>0</v>
      </c>
      <c r="AB54" s="851">
        <f>'2021'!L54</f>
        <v>0</v>
      </c>
      <c r="AC54" s="852">
        <f>'2022'!L54</f>
        <v>0</v>
      </c>
      <c r="AD54" s="885" t="str">
        <f t="shared" si="75"/>
        <v/>
      </c>
      <c r="AE54" s="886" t="str">
        <f t="shared" si="76"/>
        <v/>
      </c>
      <c r="AF54" s="887" t="str">
        <f t="shared" si="77"/>
        <v/>
      </c>
      <c r="AG54" s="888">
        <f>'2020'!N54</f>
        <v>0</v>
      </c>
      <c r="AH54" s="889">
        <f>'2021'!N54</f>
        <v>0</v>
      </c>
      <c r="AI54" s="890">
        <f>'2022'!N54</f>
        <v>0</v>
      </c>
      <c r="AJ54" s="891"/>
      <c r="AK54" s="892"/>
      <c r="AL54" s="891"/>
      <c r="AM54" s="892"/>
      <c r="AN54" s="893"/>
      <c r="AO54" s="894"/>
      <c r="AP54" s="893"/>
      <c r="AQ54" s="895"/>
      <c r="AY54" s="1" t="str">
        <f t="shared" si="41"/>
        <v/>
      </c>
      <c r="AZ54" s="1" t="str">
        <f t="shared" si="42"/>
        <v/>
      </c>
      <c r="BA54" s="1" t="str">
        <f t="shared" si="43"/>
        <v/>
      </c>
    </row>
    <row r="55" spans="1:53" ht="15" hidden="1" customHeight="1" thickBot="1" x14ac:dyDescent="0.4">
      <c r="A55" s="108" t="str">
        <f t="shared" si="9"/>
        <v/>
      </c>
      <c r="B55" s="1136"/>
      <c r="C55" s="1138"/>
      <c r="D55" s="1140"/>
      <c r="E55" s="1154"/>
      <c r="F55" s="1156"/>
      <c r="G55" s="846"/>
      <c r="H55" s="847" t="str">
        <f t="shared" si="66"/>
        <v/>
      </c>
      <c r="I55" s="847" t="str">
        <f t="shared" si="67"/>
        <v/>
      </c>
      <c r="J55" s="848" t="str">
        <f t="shared" si="68"/>
        <v/>
      </c>
      <c r="K55" s="869" t="s">
        <v>207</v>
      </c>
      <c r="L55" s="850">
        <f>'2020'!G55</f>
        <v>0</v>
      </c>
      <c r="M55" s="851">
        <f>'2021'!G55</f>
        <v>0</v>
      </c>
      <c r="N55" s="852">
        <f>'2022'!G55</f>
        <v>0</v>
      </c>
      <c r="O55" s="853">
        <f>'2020'!H55</f>
        <v>0</v>
      </c>
      <c r="P55" s="851">
        <f>'2021'!H55</f>
        <v>0</v>
      </c>
      <c r="Q55" s="852">
        <f>'2022'!H55</f>
        <v>0</v>
      </c>
      <c r="R55" s="457">
        <f t="shared" si="69"/>
        <v>0</v>
      </c>
      <c r="S55" s="883">
        <f t="shared" si="70"/>
        <v>0</v>
      </c>
      <c r="T55" s="884">
        <f t="shared" si="71"/>
        <v>0</v>
      </c>
      <c r="U55" s="853">
        <f>'2020'!J55</f>
        <v>0</v>
      </c>
      <c r="V55" s="851">
        <f>'2021'!J55</f>
        <v>0</v>
      </c>
      <c r="W55" s="852">
        <f>'2022'!J55</f>
        <v>0</v>
      </c>
      <c r="X55" s="457" t="str">
        <f t="shared" si="72"/>
        <v/>
      </c>
      <c r="Y55" s="883" t="str">
        <f t="shared" si="73"/>
        <v/>
      </c>
      <c r="Z55" s="884" t="str">
        <f t="shared" si="74"/>
        <v/>
      </c>
      <c r="AA55" s="853">
        <f>'2020'!L55</f>
        <v>0</v>
      </c>
      <c r="AB55" s="851">
        <f>'2021'!L55</f>
        <v>0</v>
      </c>
      <c r="AC55" s="852">
        <f>'2022'!L55</f>
        <v>0</v>
      </c>
      <c r="AD55" s="885" t="str">
        <f t="shared" si="75"/>
        <v/>
      </c>
      <c r="AE55" s="886" t="str">
        <f t="shared" si="76"/>
        <v/>
      </c>
      <c r="AF55" s="887" t="str">
        <f t="shared" si="77"/>
        <v/>
      </c>
      <c r="AG55" s="888">
        <f>'2020'!N55</f>
        <v>0</v>
      </c>
      <c r="AH55" s="889">
        <f>'2021'!N55</f>
        <v>0</v>
      </c>
      <c r="AI55" s="890">
        <f>'2022'!N55</f>
        <v>0</v>
      </c>
      <c r="AJ55" s="891"/>
      <c r="AK55" s="892"/>
      <c r="AL55" s="891"/>
      <c r="AM55" s="892"/>
      <c r="AN55" s="893"/>
      <c r="AO55" s="894"/>
      <c r="AP55" s="893"/>
      <c r="AQ55" s="895"/>
      <c r="AY55" s="1" t="str">
        <f t="shared" si="41"/>
        <v/>
      </c>
      <c r="AZ55" s="1" t="str">
        <f t="shared" si="42"/>
        <v/>
      </c>
      <c r="BA55" s="1" t="str">
        <f t="shared" si="43"/>
        <v/>
      </c>
    </row>
    <row r="56" spans="1:53" ht="15" customHeight="1" thickBot="1" x14ac:dyDescent="0.4">
      <c r="A56" s="108" t="str">
        <f t="shared" si="9"/>
        <v>X</v>
      </c>
      <c r="B56" s="1136"/>
      <c r="C56" s="1138"/>
      <c r="D56" s="1141"/>
      <c r="E56" s="1155"/>
      <c r="F56" s="1157"/>
      <c r="G56" s="854" t="s">
        <v>22</v>
      </c>
      <c r="H56" s="855" t="str">
        <f t="shared" si="66"/>
        <v>X</v>
      </c>
      <c r="I56" s="855" t="str">
        <f t="shared" si="67"/>
        <v>X</v>
      </c>
      <c r="J56" s="856" t="str">
        <f t="shared" si="68"/>
        <v>X</v>
      </c>
      <c r="K56" s="928" t="s">
        <v>62</v>
      </c>
      <c r="L56" s="857">
        <f>'2020'!G56</f>
        <v>173</v>
      </c>
      <c r="M56" s="858">
        <f>'2021'!G56</f>
        <v>157</v>
      </c>
      <c r="N56" s="859">
        <f>'2022'!G56</f>
        <v>123</v>
      </c>
      <c r="O56" s="860">
        <f>'2020'!H56</f>
        <v>62</v>
      </c>
      <c r="P56" s="858">
        <f>'2021'!H56</f>
        <v>82</v>
      </c>
      <c r="Q56" s="859">
        <f>'2022'!H56</f>
        <v>90</v>
      </c>
      <c r="R56" s="464">
        <f t="shared" si="69"/>
        <v>0.22543352601156069</v>
      </c>
      <c r="S56" s="900">
        <f t="shared" si="70"/>
        <v>0.22929936305732485</v>
      </c>
      <c r="T56" s="901">
        <f t="shared" si="71"/>
        <v>0.32520325203252032</v>
      </c>
      <c r="U56" s="860">
        <f>'2020'!J56</f>
        <v>39</v>
      </c>
      <c r="V56" s="858">
        <f>'2021'!J56</f>
        <v>36</v>
      </c>
      <c r="W56" s="859">
        <f>'2022'!J56</f>
        <v>40</v>
      </c>
      <c r="X56" s="464">
        <f t="shared" si="72"/>
        <v>0.43352601156069365</v>
      </c>
      <c r="Y56" s="900">
        <f t="shared" si="73"/>
        <v>0.31210191082802546</v>
      </c>
      <c r="Z56" s="901">
        <f t="shared" si="74"/>
        <v>0.34959349593495936</v>
      </c>
      <c r="AA56" s="860">
        <f>'2020'!L56</f>
        <v>75</v>
      </c>
      <c r="AB56" s="858">
        <f>'2021'!L56</f>
        <v>49</v>
      </c>
      <c r="AC56" s="859">
        <f>'2022'!L56</f>
        <v>43</v>
      </c>
      <c r="AD56" s="902" t="str">
        <f t="shared" si="75"/>
        <v/>
      </c>
      <c r="AE56" s="903" t="str">
        <f t="shared" si="76"/>
        <v/>
      </c>
      <c r="AF56" s="904">
        <f t="shared" si="77"/>
        <v>0</v>
      </c>
      <c r="AG56" s="905" t="str">
        <f>'2020'!N56</f>
        <v>-</v>
      </c>
      <c r="AH56" s="906" t="str">
        <f>'2021'!N56</f>
        <v>-</v>
      </c>
      <c r="AI56" s="907">
        <f>'2022'!N56</f>
        <v>0</v>
      </c>
      <c r="AJ56" s="908" t="s">
        <v>21</v>
      </c>
      <c r="AK56" s="909" t="s">
        <v>21</v>
      </c>
      <c r="AL56" s="908" t="s">
        <v>21</v>
      </c>
      <c r="AM56" s="909" t="s">
        <v>21</v>
      </c>
      <c r="AN56" s="910"/>
      <c r="AO56" s="911"/>
      <c r="AP56" s="910"/>
      <c r="AQ56" s="912"/>
      <c r="AY56" s="1" t="str">
        <f t="shared" si="41"/>
        <v>Frontière</v>
      </c>
      <c r="AZ56" s="1" t="str">
        <f t="shared" si="42"/>
        <v>Frontière</v>
      </c>
      <c r="BA56" s="1" t="str">
        <f t="shared" si="43"/>
        <v>Frontière</v>
      </c>
    </row>
    <row r="57" spans="1:53" ht="15.5" x14ac:dyDescent="0.35">
      <c r="A57" s="108" t="str">
        <f t="shared" si="9"/>
        <v>X</v>
      </c>
      <c r="B57" s="1137"/>
      <c r="C57" s="1139"/>
      <c r="D57" s="795" t="s">
        <v>138</v>
      </c>
      <c r="E57" s="790"/>
      <c r="F57" s="801"/>
      <c r="G57" s="807"/>
      <c r="H57" s="820"/>
      <c r="I57" s="820"/>
      <c r="J57" s="821"/>
      <c r="K57" s="59"/>
      <c r="L57" s="513">
        <f>SUM(L49:L56)</f>
        <v>1664</v>
      </c>
      <c r="M57" s="514">
        <f t="shared" ref="M57:Q57" si="78">SUM(M49:M56)</f>
        <v>760</v>
      </c>
      <c r="N57" s="515">
        <f t="shared" si="78"/>
        <v>1614</v>
      </c>
      <c r="O57" s="516">
        <f t="shared" si="78"/>
        <v>509</v>
      </c>
      <c r="P57" s="514">
        <f t="shared" si="78"/>
        <v>414</v>
      </c>
      <c r="Q57" s="515">
        <f t="shared" si="78"/>
        <v>920</v>
      </c>
      <c r="R57" s="148">
        <f t="shared" si="54"/>
        <v>0.42367788461538464</v>
      </c>
      <c r="S57" s="483">
        <f t="shared" si="55"/>
        <v>0.38157894736842107</v>
      </c>
      <c r="T57" s="534">
        <f t="shared" si="56"/>
        <v>0.44423791821561337</v>
      </c>
      <c r="U57" s="516">
        <f>SUM(U49:U56)</f>
        <v>705</v>
      </c>
      <c r="V57" s="514">
        <f t="shared" ref="V57:W57" si="79">SUM(V49:V56)</f>
        <v>290</v>
      </c>
      <c r="W57" s="515">
        <f t="shared" si="79"/>
        <v>717</v>
      </c>
      <c r="X57" s="148">
        <f t="shared" si="38"/>
        <v>0.41887019230769229</v>
      </c>
      <c r="Y57" s="483">
        <f t="shared" si="39"/>
        <v>0.41315789473684211</v>
      </c>
      <c r="Z57" s="534">
        <f t="shared" si="40"/>
        <v>0.38228004956629491</v>
      </c>
      <c r="AA57" s="516">
        <f>SUM(AA49:AA56)</f>
        <v>697</v>
      </c>
      <c r="AB57" s="514">
        <f t="shared" ref="AB57:AC57" si="80">SUM(AB49:AB56)</f>
        <v>314</v>
      </c>
      <c r="AC57" s="515">
        <f t="shared" si="80"/>
        <v>617</v>
      </c>
      <c r="AD57" s="668">
        <f t="shared" si="7"/>
        <v>0</v>
      </c>
      <c r="AE57" s="669">
        <f t="shared" si="7"/>
        <v>0</v>
      </c>
      <c r="AF57" s="675">
        <f t="shared" si="7"/>
        <v>0</v>
      </c>
      <c r="AG57" s="683">
        <f t="shared" ref="AG57:AI57" si="81">SUM(AG49:AG56)</f>
        <v>0</v>
      </c>
      <c r="AH57" s="684">
        <f t="shared" si="81"/>
        <v>0</v>
      </c>
      <c r="AI57" s="685">
        <f t="shared" si="81"/>
        <v>0</v>
      </c>
      <c r="AJ57" s="704">
        <f t="shared" ref="AJ57" si="82">SUM(AJ49:AJ56)</f>
        <v>0</v>
      </c>
      <c r="AK57" s="705">
        <f t="shared" ref="AK57" si="83">SUM(AK49:AK56)</f>
        <v>0</v>
      </c>
      <c r="AL57" s="704">
        <f t="shared" ref="AL57" si="84">SUM(AL49:AL56)</f>
        <v>0</v>
      </c>
      <c r="AM57" s="705">
        <f t="shared" ref="AM57" si="85">SUM(AM49:AM56)</f>
        <v>0</v>
      </c>
      <c r="AN57" s="704">
        <f t="shared" ref="AN57" si="86">SUM(AN49:AN56)</f>
        <v>0</v>
      </c>
      <c r="AO57" s="705">
        <f t="shared" ref="AO57" si="87">SUM(AO49:AO56)</f>
        <v>0</v>
      </c>
      <c r="AP57" s="704">
        <f t="shared" ref="AP57" si="88">SUM(AP49:AP56)</f>
        <v>0</v>
      </c>
      <c r="AQ57" s="706">
        <f t="shared" ref="AQ57" si="89">SUM(AQ49:AQ56)</f>
        <v>0</v>
      </c>
      <c r="AY57" s="1" t="str">
        <f t="shared" si="41"/>
        <v/>
      </c>
      <c r="AZ57" s="1" t="str">
        <f t="shared" si="42"/>
        <v/>
      </c>
      <c r="BA57" s="1" t="str">
        <f t="shared" si="43"/>
        <v/>
      </c>
    </row>
    <row r="58" spans="1:53" x14ac:dyDescent="0.35">
      <c r="A58" s="108" t="str">
        <f t="shared" si="9"/>
        <v>X</v>
      </c>
      <c r="B58" s="1119" t="s">
        <v>171</v>
      </c>
      <c r="C58" s="1116" t="s">
        <v>76</v>
      </c>
      <c r="D58" s="1128">
        <f>'2020'!D58</f>
        <v>0</v>
      </c>
      <c r="E58" s="1151">
        <f>'2021'!D58</f>
        <v>0</v>
      </c>
      <c r="F58" s="1142">
        <f>'2022'!D58</f>
        <v>2</v>
      </c>
      <c r="G58" s="813" t="s">
        <v>175</v>
      </c>
      <c r="H58" s="832" t="str">
        <f t="shared" ref="H58:H64" si="90">IF(L58=0,"","X")</f>
        <v/>
      </c>
      <c r="I58" s="832" t="str">
        <f t="shared" ref="I58:I64" si="91">IF(M58=0,"","X")</f>
        <v/>
      </c>
      <c r="J58" s="833" t="str">
        <f t="shared" ref="J58:J64" si="92">IF(N58=0,"","X")</f>
        <v>X</v>
      </c>
      <c r="K58" s="447" t="s">
        <v>62</v>
      </c>
      <c r="L58" s="842">
        <f>'2020'!G58</f>
        <v>0</v>
      </c>
      <c r="M58" s="843">
        <f>'2021'!G58</f>
        <v>0</v>
      </c>
      <c r="N58" s="844">
        <f>'2022'!G58</f>
        <v>20</v>
      </c>
      <c r="O58" s="845">
        <f>'2020'!H58</f>
        <v>0</v>
      </c>
      <c r="P58" s="843">
        <f>'2021'!H58</f>
        <v>0</v>
      </c>
      <c r="Q58" s="844">
        <f>'2022'!H58</f>
        <v>8</v>
      </c>
      <c r="R58" s="450">
        <f t="shared" ref="R58:R64" si="93">IF(L58="",0,IF(U58=0,0,U58/L58))</f>
        <v>0</v>
      </c>
      <c r="S58" s="870">
        <f t="shared" ref="S58:S64" si="94">IF(M58="",0,IF(V58=0,0,V58/M58))</f>
        <v>0</v>
      </c>
      <c r="T58" s="871">
        <f t="shared" ref="T58:T64" si="95">IF(N58="",0,IF(W58=0,0,W58/N58))</f>
        <v>0.65</v>
      </c>
      <c r="U58" s="845">
        <f>'2020'!J58</f>
        <v>0</v>
      </c>
      <c r="V58" s="843">
        <f>'2021'!J58</f>
        <v>0</v>
      </c>
      <c r="W58" s="844">
        <f>'2022'!J58</f>
        <v>13</v>
      </c>
      <c r="X58" s="450" t="str">
        <f t="shared" ref="X58:X64" si="96">IF(L58=0,"",IF(AA58="","",AA58/L58))</f>
        <v/>
      </c>
      <c r="Y58" s="870" t="str">
        <f t="shared" ref="Y58:Y64" si="97">IF(M58=0,"",IF(AB58="","",AB58/M58))</f>
        <v/>
      </c>
      <c r="Z58" s="871">
        <f t="shared" ref="Z58:Z64" si="98">IF(N58=0,"",IF(AC58="","",AC58/N58))</f>
        <v>0.25</v>
      </c>
      <c r="AA58" s="845">
        <f>'2020'!L58</f>
        <v>0</v>
      </c>
      <c r="AB58" s="843">
        <f>'2021'!L58</f>
        <v>0</v>
      </c>
      <c r="AC58" s="844">
        <f>'2022'!L58</f>
        <v>5</v>
      </c>
      <c r="AD58" s="872" t="str">
        <f t="shared" ref="AD58:AD64" si="99">IF(AA58=0,"",IF(AG58="-","",AG58/AA58))</f>
        <v/>
      </c>
      <c r="AE58" s="873" t="str">
        <f t="shared" ref="AE58:AE64" si="100">IF(AB58=0,"",IF(AH58="-","",AH58/AB58))</f>
        <v/>
      </c>
      <c r="AF58" s="874">
        <f t="shared" ref="AF58:AF64" si="101">IF(AC58=0,"",IF(AI58="-","",AI58/AC58))</f>
        <v>0.8</v>
      </c>
      <c r="AG58" s="875">
        <f>'2020'!N58</f>
        <v>0</v>
      </c>
      <c r="AH58" s="876">
        <f>'2021'!N58</f>
        <v>0</v>
      </c>
      <c r="AI58" s="877">
        <f>'2022'!N58</f>
        <v>4</v>
      </c>
      <c r="AJ58" s="878" t="s">
        <v>21</v>
      </c>
      <c r="AK58" s="879" t="s">
        <v>21</v>
      </c>
      <c r="AL58" s="878" t="s">
        <v>21</v>
      </c>
      <c r="AM58" s="879" t="s">
        <v>21</v>
      </c>
      <c r="AN58" s="922">
        <v>51</v>
      </c>
      <c r="AO58" s="923">
        <v>36</v>
      </c>
      <c r="AP58" s="922">
        <v>2</v>
      </c>
      <c r="AQ58" s="924">
        <v>2</v>
      </c>
      <c r="AS58" s="1" t="s">
        <v>176</v>
      </c>
      <c r="AY58" s="1" t="str">
        <f t="shared" si="41"/>
        <v/>
      </c>
      <c r="AZ58" s="1" t="str">
        <f t="shared" si="42"/>
        <v/>
      </c>
      <c r="BA58" s="1" t="str">
        <f t="shared" si="43"/>
        <v>Frontière</v>
      </c>
    </row>
    <row r="59" spans="1:53" x14ac:dyDescent="0.35">
      <c r="A59" s="108" t="str">
        <f t="shared" si="9"/>
        <v>X</v>
      </c>
      <c r="B59" s="1119"/>
      <c r="C59" s="1116"/>
      <c r="D59" s="1129"/>
      <c r="E59" s="1152"/>
      <c r="F59" s="1143"/>
      <c r="G59" s="814" t="s">
        <v>177</v>
      </c>
      <c r="H59" s="834" t="str">
        <f t="shared" si="90"/>
        <v/>
      </c>
      <c r="I59" s="834" t="str">
        <f t="shared" si="91"/>
        <v/>
      </c>
      <c r="J59" s="835" t="str">
        <f t="shared" si="92"/>
        <v>X</v>
      </c>
      <c r="K59" s="454" t="s">
        <v>62</v>
      </c>
      <c r="L59" s="850">
        <f>'2020'!G59</f>
        <v>0</v>
      </c>
      <c r="M59" s="851">
        <f>'2021'!G59</f>
        <v>0</v>
      </c>
      <c r="N59" s="852">
        <f>'2022'!G59</f>
        <v>11</v>
      </c>
      <c r="O59" s="853">
        <f>'2020'!H59</f>
        <v>0</v>
      </c>
      <c r="P59" s="851">
        <f>'2021'!H59</f>
        <v>0</v>
      </c>
      <c r="Q59" s="852">
        <f>'2022'!H59</f>
        <v>4</v>
      </c>
      <c r="R59" s="457">
        <f t="shared" si="93"/>
        <v>0</v>
      </c>
      <c r="S59" s="883">
        <f t="shared" si="94"/>
        <v>0</v>
      </c>
      <c r="T59" s="884">
        <f t="shared" si="95"/>
        <v>0.54545454545454541</v>
      </c>
      <c r="U59" s="853">
        <f>'2020'!J59</f>
        <v>0</v>
      </c>
      <c r="V59" s="851">
        <f>'2021'!J59</f>
        <v>0</v>
      </c>
      <c r="W59" s="852">
        <f>'2022'!J59</f>
        <v>6</v>
      </c>
      <c r="X59" s="457" t="str">
        <f t="shared" si="96"/>
        <v/>
      </c>
      <c r="Y59" s="883" t="str">
        <f t="shared" si="97"/>
        <v/>
      </c>
      <c r="Z59" s="884">
        <f t="shared" si="98"/>
        <v>0.18181818181818182</v>
      </c>
      <c r="AA59" s="853">
        <f>'2020'!L59</f>
        <v>0</v>
      </c>
      <c r="AB59" s="851">
        <f>'2021'!L59</f>
        <v>0</v>
      </c>
      <c r="AC59" s="852">
        <f>'2022'!L59</f>
        <v>2</v>
      </c>
      <c r="AD59" s="885" t="str">
        <f t="shared" si="99"/>
        <v/>
      </c>
      <c r="AE59" s="886" t="str">
        <f t="shared" si="100"/>
        <v/>
      </c>
      <c r="AF59" s="887">
        <f t="shared" si="101"/>
        <v>0.5</v>
      </c>
      <c r="AG59" s="888">
        <f>'2020'!N59</f>
        <v>0</v>
      </c>
      <c r="AH59" s="889">
        <f>'2021'!N59</f>
        <v>0</v>
      </c>
      <c r="AI59" s="890">
        <f>'2022'!N59</f>
        <v>1</v>
      </c>
      <c r="AJ59" s="891" t="s">
        <v>21</v>
      </c>
      <c r="AK59" s="892" t="s">
        <v>21</v>
      </c>
      <c r="AL59" s="891" t="s">
        <v>21</v>
      </c>
      <c r="AM59" s="892" t="s">
        <v>21</v>
      </c>
      <c r="AN59" s="925">
        <v>112</v>
      </c>
      <c r="AO59" s="926">
        <v>82</v>
      </c>
      <c r="AP59" s="925">
        <v>5</v>
      </c>
      <c r="AQ59" s="927">
        <v>4</v>
      </c>
      <c r="AS59" s="1" t="s">
        <v>178</v>
      </c>
      <c r="AY59" s="1" t="str">
        <f t="shared" si="41"/>
        <v/>
      </c>
      <c r="AZ59" s="1" t="str">
        <f t="shared" si="42"/>
        <v/>
      </c>
      <c r="BA59" s="1" t="str">
        <f t="shared" si="43"/>
        <v>Frontière</v>
      </c>
    </row>
    <row r="60" spans="1:53" hidden="1" x14ac:dyDescent="0.35">
      <c r="A60" s="108" t="str">
        <f t="shared" si="9"/>
        <v/>
      </c>
      <c r="B60" s="1119"/>
      <c r="C60" s="1116"/>
      <c r="D60" s="1129"/>
      <c r="E60" s="1152"/>
      <c r="F60" s="1143"/>
      <c r="G60" s="814"/>
      <c r="H60" s="834" t="str">
        <f t="shared" si="90"/>
        <v/>
      </c>
      <c r="I60" s="834" t="str">
        <f t="shared" si="91"/>
        <v/>
      </c>
      <c r="J60" s="835" t="str">
        <f t="shared" si="92"/>
        <v/>
      </c>
      <c r="K60" s="454"/>
      <c r="L60" s="850">
        <f>'2020'!G60</f>
        <v>0</v>
      </c>
      <c r="M60" s="851">
        <f>'2021'!G60</f>
        <v>0</v>
      </c>
      <c r="N60" s="852">
        <f>'2022'!G60</f>
        <v>0</v>
      </c>
      <c r="O60" s="853">
        <f>'2020'!H60</f>
        <v>0</v>
      </c>
      <c r="P60" s="851">
        <f>'2021'!H60</f>
        <v>0</v>
      </c>
      <c r="Q60" s="852">
        <f>'2022'!H60</f>
        <v>0</v>
      </c>
      <c r="R60" s="457">
        <f t="shared" si="93"/>
        <v>0</v>
      </c>
      <c r="S60" s="883">
        <f t="shared" si="94"/>
        <v>0</v>
      </c>
      <c r="T60" s="884">
        <f t="shared" si="95"/>
        <v>0</v>
      </c>
      <c r="U60" s="853">
        <f>'2020'!J60</f>
        <v>0</v>
      </c>
      <c r="V60" s="851">
        <f>'2021'!J60</f>
        <v>0</v>
      </c>
      <c r="W60" s="852">
        <f>'2022'!J60</f>
        <v>0</v>
      </c>
      <c r="X60" s="457" t="str">
        <f t="shared" si="96"/>
        <v/>
      </c>
      <c r="Y60" s="883" t="str">
        <f t="shared" si="97"/>
        <v/>
      </c>
      <c r="Z60" s="884" t="str">
        <f t="shared" si="98"/>
        <v/>
      </c>
      <c r="AA60" s="853">
        <f>'2020'!L60</f>
        <v>0</v>
      </c>
      <c r="AB60" s="851">
        <f>'2021'!L60</f>
        <v>0</v>
      </c>
      <c r="AC60" s="852">
        <f>'2022'!L60</f>
        <v>0</v>
      </c>
      <c r="AD60" s="885" t="str">
        <f t="shared" si="99"/>
        <v/>
      </c>
      <c r="AE60" s="886" t="str">
        <f t="shared" si="100"/>
        <v/>
      </c>
      <c r="AF60" s="887" t="str">
        <f t="shared" si="101"/>
        <v/>
      </c>
      <c r="AG60" s="888">
        <f>'2020'!N60</f>
        <v>0</v>
      </c>
      <c r="AH60" s="889">
        <f>'2021'!N60</f>
        <v>0</v>
      </c>
      <c r="AI60" s="890">
        <f>'2022'!N60</f>
        <v>0</v>
      </c>
      <c r="AJ60" s="891" t="s">
        <v>21</v>
      </c>
      <c r="AK60" s="892" t="s">
        <v>21</v>
      </c>
      <c r="AL60" s="891" t="s">
        <v>21</v>
      </c>
      <c r="AM60" s="892" t="s">
        <v>21</v>
      </c>
      <c r="AN60" s="925">
        <v>22</v>
      </c>
      <c r="AO60" s="926">
        <v>20</v>
      </c>
      <c r="AP60" s="925">
        <v>0</v>
      </c>
      <c r="AQ60" s="927">
        <v>0</v>
      </c>
      <c r="AY60" s="1" t="str">
        <f t="shared" si="41"/>
        <v/>
      </c>
      <c r="AZ60" s="1" t="str">
        <f t="shared" si="42"/>
        <v/>
      </c>
      <c r="BA60" s="1" t="str">
        <f t="shared" si="43"/>
        <v/>
      </c>
    </row>
    <row r="61" spans="1:53" hidden="1" x14ac:dyDescent="0.35">
      <c r="A61" s="108" t="str">
        <f t="shared" si="9"/>
        <v/>
      </c>
      <c r="B61" s="1119"/>
      <c r="C61" s="1116"/>
      <c r="D61" s="1129"/>
      <c r="E61" s="1152"/>
      <c r="F61" s="1143"/>
      <c r="G61" s="814"/>
      <c r="H61" s="834" t="str">
        <f t="shared" si="90"/>
        <v/>
      </c>
      <c r="I61" s="834" t="str">
        <f t="shared" si="91"/>
        <v/>
      </c>
      <c r="J61" s="835" t="str">
        <f t="shared" si="92"/>
        <v/>
      </c>
      <c r="K61" s="454"/>
      <c r="L61" s="850">
        <f>'2020'!G61</f>
        <v>0</v>
      </c>
      <c r="M61" s="851">
        <f>'2021'!G61</f>
        <v>0</v>
      </c>
      <c r="N61" s="852">
        <f>'2022'!G61</f>
        <v>0</v>
      </c>
      <c r="O61" s="853">
        <f>'2020'!H61</f>
        <v>0</v>
      </c>
      <c r="P61" s="851">
        <f>'2021'!H61</f>
        <v>0</v>
      </c>
      <c r="Q61" s="852">
        <f>'2022'!H61</f>
        <v>0</v>
      </c>
      <c r="R61" s="457">
        <f t="shared" si="93"/>
        <v>0</v>
      </c>
      <c r="S61" s="883">
        <f t="shared" si="94"/>
        <v>0</v>
      </c>
      <c r="T61" s="884">
        <f t="shared" si="95"/>
        <v>0</v>
      </c>
      <c r="U61" s="853">
        <f>'2020'!J61</f>
        <v>0</v>
      </c>
      <c r="V61" s="851">
        <f>'2021'!J61</f>
        <v>0</v>
      </c>
      <c r="W61" s="852">
        <f>'2022'!J61</f>
        <v>0</v>
      </c>
      <c r="X61" s="457" t="str">
        <f t="shared" si="96"/>
        <v/>
      </c>
      <c r="Y61" s="883" t="str">
        <f t="shared" si="97"/>
        <v/>
      </c>
      <c r="Z61" s="884" t="str">
        <f t="shared" si="98"/>
        <v/>
      </c>
      <c r="AA61" s="853">
        <f>'2020'!L61</f>
        <v>0</v>
      </c>
      <c r="AB61" s="851">
        <f>'2021'!L61</f>
        <v>0</v>
      </c>
      <c r="AC61" s="852">
        <f>'2022'!L61</f>
        <v>0</v>
      </c>
      <c r="AD61" s="885" t="str">
        <f t="shared" si="99"/>
        <v/>
      </c>
      <c r="AE61" s="886" t="str">
        <f t="shared" si="100"/>
        <v/>
      </c>
      <c r="AF61" s="887" t="str">
        <f t="shared" si="101"/>
        <v/>
      </c>
      <c r="AG61" s="888">
        <f>'2020'!N61</f>
        <v>0</v>
      </c>
      <c r="AH61" s="889">
        <f>'2021'!N61</f>
        <v>0</v>
      </c>
      <c r="AI61" s="890">
        <f>'2022'!N61</f>
        <v>0</v>
      </c>
      <c r="AJ61" s="891" t="s">
        <v>21</v>
      </c>
      <c r="AK61" s="892" t="s">
        <v>21</v>
      </c>
      <c r="AL61" s="891" t="s">
        <v>21</v>
      </c>
      <c r="AM61" s="892" t="s">
        <v>21</v>
      </c>
      <c r="AN61" s="925">
        <v>46</v>
      </c>
      <c r="AO61" s="926">
        <v>31</v>
      </c>
      <c r="AP61" s="925">
        <v>3</v>
      </c>
      <c r="AQ61" s="927">
        <v>2</v>
      </c>
      <c r="AY61" s="1" t="str">
        <f t="shared" si="41"/>
        <v/>
      </c>
      <c r="AZ61" s="1" t="str">
        <f t="shared" si="42"/>
        <v/>
      </c>
      <c r="BA61" s="1" t="str">
        <f t="shared" si="43"/>
        <v/>
      </c>
    </row>
    <row r="62" spans="1:53" hidden="1" x14ac:dyDescent="0.35">
      <c r="A62" s="108" t="str">
        <f t="shared" si="9"/>
        <v/>
      </c>
      <c r="B62" s="1119"/>
      <c r="C62" s="1116"/>
      <c r="D62" s="1129"/>
      <c r="E62" s="1152"/>
      <c r="F62" s="1143"/>
      <c r="G62" s="814"/>
      <c r="H62" s="834" t="str">
        <f t="shared" si="90"/>
        <v/>
      </c>
      <c r="I62" s="834" t="str">
        <f t="shared" si="91"/>
        <v/>
      </c>
      <c r="J62" s="835" t="str">
        <f t="shared" si="92"/>
        <v/>
      </c>
      <c r="K62" s="454" t="s">
        <v>207</v>
      </c>
      <c r="L62" s="850">
        <f>'2020'!G62</f>
        <v>0</v>
      </c>
      <c r="M62" s="851">
        <f>'2021'!G62</f>
        <v>0</v>
      </c>
      <c r="N62" s="852">
        <f>'2022'!G62</f>
        <v>0</v>
      </c>
      <c r="O62" s="853">
        <f>'2020'!H62</f>
        <v>0</v>
      </c>
      <c r="P62" s="851">
        <f>'2021'!H62</f>
        <v>0</v>
      </c>
      <c r="Q62" s="852">
        <f>'2022'!H62</f>
        <v>0</v>
      </c>
      <c r="R62" s="457">
        <f t="shared" si="93"/>
        <v>0</v>
      </c>
      <c r="S62" s="883">
        <f t="shared" si="94"/>
        <v>0</v>
      </c>
      <c r="T62" s="884">
        <f t="shared" si="95"/>
        <v>0</v>
      </c>
      <c r="U62" s="853">
        <f>'2020'!J62</f>
        <v>0</v>
      </c>
      <c r="V62" s="851">
        <f>'2021'!J62</f>
        <v>0</v>
      </c>
      <c r="W62" s="852">
        <f>'2022'!J62</f>
        <v>0</v>
      </c>
      <c r="X62" s="457" t="str">
        <f t="shared" si="96"/>
        <v/>
      </c>
      <c r="Y62" s="883" t="str">
        <f t="shared" si="97"/>
        <v/>
      </c>
      <c r="Z62" s="884" t="str">
        <f t="shared" si="98"/>
        <v/>
      </c>
      <c r="AA62" s="853">
        <f>'2020'!L62</f>
        <v>0</v>
      </c>
      <c r="AB62" s="851">
        <f>'2021'!L62</f>
        <v>0</v>
      </c>
      <c r="AC62" s="852">
        <f>'2022'!L62</f>
        <v>0</v>
      </c>
      <c r="AD62" s="885" t="str">
        <f t="shared" si="99"/>
        <v/>
      </c>
      <c r="AE62" s="886" t="str">
        <f t="shared" si="100"/>
        <v/>
      </c>
      <c r="AF62" s="887" t="str">
        <f t="shared" si="101"/>
        <v/>
      </c>
      <c r="AG62" s="888">
        <f>'2020'!N62</f>
        <v>0</v>
      </c>
      <c r="AH62" s="889">
        <f>'2021'!N62</f>
        <v>0</v>
      </c>
      <c r="AI62" s="890">
        <f>'2022'!N62</f>
        <v>0</v>
      </c>
      <c r="AJ62" s="891" t="s">
        <v>21</v>
      </c>
      <c r="AK62" s="892" t="s">
        <v>21</v>
      </c>
      <c r="AL62" s="891" t="s">
        <v>21</v>
      </c>
      <c r="AM62" s="892" t="s">
        <v>21</v>
      </c>
      <c r="AN62" s="925">
        <v>46</v>
      </c>
      <c r="AO62" s="926">
        <v>31</v>
      </c>
      <c r="AP62" s="925">
        <v>3</v>
      </c>
      <c r="AQ62" s="927">
        <v>2</v>
      </c>
      <c r="AY62" s="1" t="str">
        <f t="shared" si="41"/>
        <v/>
      </c>
      <c r="AZ62" s="1" t="str">
        <f t="shared" si="42"/>
        <v/>
      </c>
      <c r="BA62" s="1" t="str">
        <f t="shared" si="43"/>
        <v/>
      </c>
    </row>
    <row r="63" spans="1:53" hidden="1" x14ac:dyDescent="0.35">
      <c r="A63" s="108" t="str">
        <f t="shared" si="9"/>
        <v/>
      </c>
      <c r="B63" s="1119"/>
      <c r="C63" s="1116"/>
      <c r="D63" s="1129"/>
      <c r="E63" s="1152"/>
      <c r="F63" s="1143"/>
      <c r="G63" s="814"/>
      <c r="H63" s="834" t="str">
        <f t="shared" si="90"/>
        <v/>
      </c>
      <c r="I63" s="834" t="str">
        <f t="shared" si="91"/>
        <v/>
      </c>
      <c r="J63" s="835" t="str">
        <f t="shared" si="92"/>
        <v/>
      </c>
      <c r="K63" s="454" t="s">
        <v>207</v>
      </c>
      <c r="L63" s="850">
        <f>'2020'!G63</f>
        <v>0</v>
      </c>
      <c r="M63" s="851">
        <f>'2021'!G63</f>
        <v>0</v>
      </c>
      <c r="N63" s="852">
        <f>'2022'!G63</f>
        <v>0</v>
      </c>
      <c r="O63" s="853">
        <f>'2020'!H63</f>
        <v>0</v>
      </c>
      <c r="P63" s="851">
        <f>'2021'!H63</f>
        <v>0</v>
      </c>
      <c r="Q63" s="852">
        <f>'2022'!H63</f>
        <v>0</v>
      </c>
      <c r="R63" s="457">
        <f t="shared" si="93"/>
        <v>0</v>
      </c>
      <c r="S63" s="883">
        <f t="shared" si="94"/>
        <v>0</v>
      </c>
      <c r="T63" s="884">
        <f t="shared" si="95"/>
        <v>0</v>
      </c>
      <c r="U63" s="853">
        <f>'2020'!J63</f>
        <v>0</v>
      </c>
      <c r="V63" s="851">
        <f>'2021'!J63</f>
        <v>0</v>
      </c>
      <c r="W63" s="852">
        <f>'2022'!J63</f>
        <v>0</v>
      </c>
      <c r="X63" s="457" t="str">
        <f t="shared" si="96"/>
        <v/>
      </c>
      <c r="Y63" s="883" t="str">
        <f t="shared" si="97"/>
        <v/>
      </c>
      <c r="Z63" s="884" t="str">
        <f t="shared" si="98"/>
        <v/>
      </c>
      <c r="AA63" s="853">
        <f>'2020'!L63</f>
        <v>0</v>
      </c>
      <c r="AB63" s="851">
        <f>'2021'!L63</f>
        <v>0</v>
      </c>
      <c r="AC63" s="852">
        <f>'2022'!L63</f>
        <v>0</v>
      </c>
      <c r="AD63" s="885" t="str">
        <f t="shared" si="99"/>
        <v/>
      </c>
      <c r="AE63" s="886" t="str">
        <f t="shared" si="100"/>
        <v/>
      </c>
      <c r="AF63" s="887" t="str">
        <f t="shared" si="101"/>
        <v/>
      </c>
      <c r="AG63" s="888">
        <f>'2020'!N63</f>
        <v>0</v>
      </c>
      <c r="AH63" s="889">
        <f>'2021'!N63</f>
        <v>0</v>
      </c>
      <c r="AI63" s="890">
        <f>'2022'!N63</f>
        <v>0</v>
      </c>
      <c r="AJ63" s="891" t="s">
        <v>21</v>
      </c>
      <c r="AK63" s="892" t="s">
        <v>21</v>
      </c>
      <c r="AL63" s="891" t="s">
        <v>21</v>
      </c>
      <c r="AM63" s="892" t="s">
        <v>21</v>
      </c>
      <c r="AN63" s="925">
        <v>46</v>
      </c>
      <c r="AO63" s="926">
        <v>31</v>
      </c>
      <c r="AP63" s="925">
        <v>3</v>
      </c>
      <c r="AQ63" s="927">
        <v>2</v>
      </c>
      <c r="AY63" s="1" t="str">
        <f t="shared" si="41"/>
        <v/>
      </c>
      <c r="AZ63" s="1" t="str">
        <f t="shared" si="42"/>
        <v/>
      </c>
      <c r="BA63" s="1" t="str">
        <f t="shared" si="43"/>
        <v/>
      </c>
    </row>
    <row r="64" spans="1:53" hidden="1" x14ac:dyDescent="0.35">
      <c r="A64" s="108" t="str">
        <f t="shared" si="9"/>
        <v/>
      </c>
      <c r="B64" s="1119"/>
      <c r="C64" s="1116"/>
      <c r="D64" s="1130"/>
      <c r="E64" s="1153"/>
      <c r="F64" s="1144"/>
      <c r="G64" s="815"/>
      <c r="H64" s="836" t="str">
        <f t="shared" si="90"/>
        <v/>
      </c>
      <c r="I64" s="836" t="str">
        <f t="shared" si="91"/>
        <v/>
      </c>
      <c r="J64" s="837" t="str">
        <f t="shared" si="92"/>
        <v/>
      </c>
      <c r="K64" s="461"/>
      <c r="L64" s="857">
        <f>'2020'!G64</f>
        <v>0</v>
      </c>
      <c r="M64" s="858">
        <f>'2021'!G64</f>
        <v>0</v>
      </c>
      <c r="N64" s="859">
        <f>'2022'!G64</f>
        <v>0</v>
      </c>
      <c r="O64" s="860">
        <f>'2020'!H64</f>
        <v>0</v>
      </c>
      <c r="P64" s="858">
        <f>'2021'!H64</f>
        <v>0</v>
      </c>
      <c r="Q64" s="859">
        <f>'2022'!H64</f>
        <v>0</v>
      </c>
      <c r="R64" s="464">
        <f t="shared" si="93"/>
        <v>0</v>
      </c>
      <c r="S64" s="900">
        <f t="shared" si="94"/>
        <v>0</v>
      </c>
      <c r="T64" s="901">
        <f t="shared" si="95"/>
        <v>0</v>
      </c>
      <c r="U64" s="860">
        <f>'2020'!J64</f>
        <v>0</v>
      </c>
      <c r="V64" s="858">
        <f>'2021'!J64</f>
        <v>0</v>
      </c>
      <c r="W64" s="859">
        <f>'2022'!J64</f>
        <v>0</v>
      </c>
      <c r="X64" s="464" t="str">
        <f t="shared" si="96"/>
        <v/>
      </c>
      <c r="Y64" s="900" t="str">
        <f t="shared" si="97"/>
        <v/>
      </c>
      <c r="Z64" s="901" t="str">
        <f t="shared" si="98"/>
        <v/>
      </c>
      <c r="AA64" s="860">
        <f>'2020'!L64</f>
        <v>0</v>
      </c>
      <c r="AB64" s="858">
        <f>'2021'!L64</f>
        <v>0</v>
      </c>
      <c r="AC64" s="859">
        <f>'2022'!L64</f>
        <v>0</v>
      </c>
      <c r="AD64" s="902" t="str">
        <f t="shared" si="99"/>
        <v/>
      </c>
      <c r="AE64" s="903" t="str">
        <f t="shared" si="100"/>
        <v/>
      </c>
      <c r="AF64" s="904" t="str">
        <f t="shared" si="101"/>
        <v/>
      </c>
      <c r="AG64" s="905">
        <f>'2020'!N64</f>
        <v>0</v>
      </c>
      <c r="AH64" s="906">
        <f>'2021'!N64</f>
        <v>0</v>
      </c>
      <c r="AI64" s="907">
        <f>'2022'!N64</f>
        <v>0</v>
      </c>
      <c r="AJ64" s="908" t="s">
        <v>21</v>
      </c>
      <c r="AK64" s="909" t="s">
        <v>21</v>
      </c>
      <c r="AL64" s="908" t="s">
        <v>21</v>
      </c>
      <c r="AM64" s="909" t="s">
        <v>21</v>
      </c>
      <c r="AN64" s="929">
        <v>40</v>
      </c>
      <c r="AO64" s="930">
        <v>40</v>
      </c>
      <c r="AP64" s="929">
        <v>4</v>
      </c>
      <c r="AQ64" s="931">
        <v>4</v>
      </c>
      <c r="AY64" s="1" t="str">
        <f t="shared" si="41"/>
        <v/>
      </c>
      <c r="AZ64" s="1" t="str">
        <f t="shared" si="42"/>
        <v/>
      </c>
      <c r="BA64" s="1" t="str">
        <f t="shared" si="43"/>
        <v/>
      </c>
    </row>
    <row r="65" spans="1:53" ht="15.5" x14ac:dyDescent="0.35">
      <c r="A65" s="108" t="str">
        <f t="shared" si="9"/>
        <v>X</v>
      </c>
      <c r="B65" s="1127"/>
      <c r="C65" s="1116"/>
      <c r="D65" s="795" t="s">
        <v>138</v>
      </c>
      <c r="E65" s="790"/>
      <c r="F65" s="801"/>
      <c r="G65" s="808"/>
      <c r="H65" s="822"/>
      <c r="I65" s="822"/>
      <c r="J65" s="823"/>
      <c r="K65" s="365"/>
      <c r="L65" s="513">
        <f>SUM(L58:L64)</f>
        <v>0</v>
      </c>
      <c r="M65" s="514">
        <f t="shared" ref="M65:Q65" si="102">SUM(M58:M64)</f>
        <v>0</v>
      </c>
      <c r="N65" s="515">
        <f t="shared" si="102"/>
        <v>31</v>
      </c>
      <c r="O65" s="516">
        <f t="shared" si="102"/>
        <v>0</v>
      </c>
      <c r="P65" s="514">
        <f t="shared" si="102"/>
        <v>0</v>
      </c>
      <c r="Q65" s="515">
        <f t="shared" si="102"/>
        <v>12</v>
      </c>
      <c r="R65" s="148">
        <f t="shared" si="54"/>
        <v>0</v>
      </c>
      <c r="S65" s="483">
        <f t="shared" si="55"/>
        <v>0</v>
      </c>
      <c r="T65" s="534">
        <f t="shared" si="56"/>
        <v>0.61290322580645162</v>
      </c>
      <c r="U65" s="516">
        <f>SUM(U58:U64)</f>
        <v>0</v>
      </c>
      <c r="V65" s="514">
        <f t="shared" ref="V65:W65" si="103">SUM(V58:V64)</f>
        <v>0</v>
      </c>
      <c r="W65" s="515">
        <f t="shared" si="103"/>
        <v>19</v>
      </c>
      <c r="X65" s="148" t="str">
        <f t="shared" si="38"/>
        <v/>
      </c>
      <c r="Y65" s="483" t="str">
        <f t="shared" si="39"/>
        <v/>
      </c>
      <c r="Z65" s="534">
        <f t="shared" si="40"/>
        <v>0.22580645161290322</v>
      </c>
      <c r="AA65" s="516">
        <f>SUM(AA58:AA64)</f>
        <v>0</v>
      </c>
      <c r="AB65" s="514">
        <f t="shared" ref="AB65:AC65" si="104">SUM(AB58:AB64)</f>
        <v>0</v>
      </c>
      <c r="AC65" s="515">
        <f t="shared" si="104"/>
        <v>7</v>
      </c>
      <c r="AD65" s="668" t="str">
        <f t="shared" si="7"/>
        <v/>
      </c>
      <c r="AE65" s="669" t="str">
        <f t="shared" si="7"/>
        <v/>
      </c>
      <c r="AF65" s="675">
        <f t="shared" si="7"/>
        <v>0.7142857142857143</v>
      </c>
      <c r="AG65" s="683">
        <f t="shared" ref="AG65:AI65" si="105">SUM(AG58:AG64)</f>
        <v>0</v>
      </c>
      <c r="AH65" s="684">
        <f t="shared" si="105"/>
        <v>0</v>
      </c>
      <c r="AI65" s="685">
        <f t="shared" si="105"/>
        <v>5</v>
      </c>
      <c r="AJ65" s="704">
        <f t="shared" ref="AJ65" si="106">SUM(AJ58:AJ64)</f>
        <v>0</v>
      </c>
      <c r="AK65" s="705">
        <f t="shared" ref="AK65" si="107">SUM(AK58:AK64)</f>
        <v>0</v>
      </c>
      <c r="AL65" s="704">
        <f t="shared" ref="AL65" si="108">SUM(AL58:AL64)</f>
        <v>0</v>
      </c>
      <c r="AM65" s="705">
        <f t="shared" ref="AM65" si="109">SUM(AM58:AM64)</f>
        <v>0</v>
      </c>
      <c r="AN65" s="704">
        <f t="shared" ref="AN65" si="110">SUM(AN58:AN64)</f>
        <v>363</v>
      </c>
      <c r="AO65" s="705">
        <f t="shared" ref="AO65" si="111">SUM(AO58:AO64)</f>
        <v>271</v>
      </c>
      <c r="AP65" s="704">
        <f t="shared" ref="AP65" si="112">SUM(AP58:AP64)</f>
        <v>20</v>
      </c>
      <c r="AQ65" s="706">
        <f t="shared" ref="AQ65" si="113">SUM(AQ58:AQ64)</f>
        <v>16</v>
      </c>
      <c r="AY65" s="1" t="str">
        <f t="shared" si="41"/>
        <v/>
      </c>
      <c r="AZ65" s="1" t="str">
        <f t="shared" si="42"/>
        <v/>
      </c>
      <c r="BA65" s="1" t="str">
        <f t="shared" si="43"/>
        <v/>
      </c>
    </row>
    <row r="66" spans="1:53" x14ac:dyDescent="0.35">
      <c r="A66" s="108" t="str">
        <f t="shared" si="9"/>
        <v>X</v>
      </c>
      <c r="B66" s="1119" t="s">
        <v>1</v>
      </c>
      <c r="C66" s="1116" t="s">
        <v>76</v>
      </c>
      <c r="D66" s="1128">
        <f>'2020'!D66</f>
        <v>12</v>
      </c>
      <c r="E66" s="1151">
        <f>'2021'!D66</f>
        <v>11</v>
      </c>
      <c r="F66" s="1142">
        <f>'2022'!D66</f>
        <v>10</v>
      </c>
      <c r="G66" s="813" t="s">
        <v>27</v>
      </c>
      <c r="H66" s="832" t="str">
        <f t="shared" ref="H66:H72" si="114">IF(L66=0,"","X")</f>
        <v>X</v>
      </c>
      <c r="I66" s="832" t="str">
        <f t="shared" ref="I66:I72" si="115">IF(M66=0,"","X")</f>
        <v>X</v>
      </c>
      <c r="J66" s="833" t="str">
        <f t="shared" ref="J66:J72" si="116">IF(N66=0,"","X")</f>
        <v>X</v>
      </c>
      <c r="K66" s="447" t="s">
        <v>62</v>
      </c>
      <c r="L66" s="842">
        <f>'2020'!G66</f>
        <v>33</v>
      </c>
      <c r="M66" s="843">
        <f>'2021'!G66</f>
        <v>53</v>
      </c>
      <c r="N66" s="844">
        <f>'2022'!G66</f>
        <v>35</v>
      </c>
      <c r="O66" s="845">
        <f>'2020'!H66</f>
        <v>33</v>
      </c>
      <c r="P66" s="843">
        <f>'2021'!H66</f>
        <v>38</v>
      </c>
      <c r="Q66" s="844">
        <f>'2022'!H66</f>
        <v>35</v>
      </c>
      <c r="R66" s="450">
        <f t="shared" ref="R66:R72" si="117">IF(L66="",0,IF(U66=0,0,U66/L66))</f>
        <v>0.63636363636363635</v>
      </c>
      <c r="S66" s="870">
        <f t="shared" ref="S66:S72" si="118">IF(M66="",0,IF(V66=0,0,V66/M66))</f>
        <v>0.60377358490566035</v>
      </c>
      <c r="T66" s="871">
        <f t="shared" ref="T66:T72" si="119">IF(N66="",0,IF(W66=0,0,W66/N66))</f>
        <v>0.77142857142857146</v>
      </c>
      <c r="U66" s="845">
        <f>'2020'!J66</f>
        <v>21</v>
      </c>
      <c r="V66" s="843">
        <f>'2021'!J66</f>
        <v>32</v>
      </c>
      <c r="W66" s="844">
        <f>'2022'!J66</f>
        <v>27</v>
      </c>
      <c r="X66" s="450">
        <f t="shared" ref="X66:X72" si="120">IF(L66=0,"",IF(AA66="","",AA66/L66))</f>
        <v>0.24242424242424243</v>
      </c>
      <c r="Y66" s="870">
        <f t="shared" ref="Y66:Y72" si="121">IF(M66=0,"",IF(AB66="","",AB66/M66))</f>
        <v>0.22641509433962265</v>
      </c>
      <c r="Z66" s="871">
        <f t="shared" ref="Z66:Z72" si="122">IF(N66=0,"",IF(AC66="","",AC66/N66))</f>
        <v>0.4</v>
      </c>
      <c r="AA66" s="845">
        <f>'2020'!L66</f>
        <v>8</v>
      </c>
      <c r="AB66" s="843">
        <f>'2021'!L66</f>
        <v>12</v>
      </c>
      <c r="AC66" s="844">
        <f>'2022'!L66</f>
        <v>14</v>
      </c>
      <c r="AD66" s="872">
        <f t="shared" ref="AD66:AD72" si="123">IF(AA66=0,"",IF(AG66="-","",AG66/AA66))</f>
        <v>0.875</v>
      </c>
      <c r="AE66" s="873">
        <f t="shared" ref="AE66:AE72" si="124">IF(AB66=0,"",IF(AH66="-","",AH66/AB66))</f>
        <v>0.83333333333333337</v>
      </c>
      <c r="AF66" s="874">
        <f t="shared" ref="AF66:AF72" si="125">IF(AC66=0,"",IF(AI66="-","",AI66/AC66))</f>
        <v>0.7142857142857143</v>
      </c>
      <c r="AG66" s="875">
        <f>'2020'!N66</f>
        <v>7</v>
      </c>
      <c r="AH66" s="876">
        <f>'2021'!N66</f>
        <v>10</v>
      </c>
      <c r="AI66" s="877">
        <f>'2022'!N66</f>
        <v>10</v>
      </c>
      <c r="AJ66" s="878" t="s">
        <v>21</v>
      </c>
      <c r="AK66" s="879" t="s">
        <v>21</v>
      </c>
      <c r="AL66" s="878" t="s">
        <v>21</v>
      </c>
      <c r="AM66" s="879" t="s">
        <v>21</v>
      </c>
      <c r="AN66" s="922">
        <v>51</v>
      </c>
      <c r="AO66" s="923">
        <v>36</v>
      </c>
      <c r="AP66" s="922">
        <v>2</v>
      </c>
      <c r="AQ66" s="924">
        <v>2</v>
      </c>
      <c r="AY66" s="1" t="str">
        <f t="shared" si="41"/>
        <v>Frontière</v>
      </c>
      <c r="AZ66" s="1" t="str">
        <f t="shared" si="42"/>
        <v>Frontière</v>
      </c>
      <c r="BA66" s="1" t="str">
        <f t="shared" si="43"/>
        <v>Frontière</v>
      </c>
    </row>
    <row r="67" spans="1:53" x14ac:dyDescent="0.35">
      <c r="A67" s="108" t="str">
        <f t="shared" si="9"/>
        <v>X</v>
      </c>
      <c r="B67" s="1119"/>
      <c r="C67" s="1116"/>
      <c r="D67" s="1129"/>
      <c r="E67" s="1152"/>
      <c r="F67" s="1143"/>
      <c r="G67" s="814" t="s">
        <v>28</v>
      </c>
      <c r="H67" s="834" t="str">
        <f t="shared" si="114"/>
        <v>X</v>
      </c>
      <c r="I67" s="834" t="str">
        <f t="shared" si="115"/>
        <v>X</v>
      </c>
      <c r="J67" s="835" t="str">
        <f t="shared" si="116"/>
        <v>X</v>
      </c>
      <c r="K67" s="454" t="s">
        <v>62</v>
      </c>
      <c r="L67" s="850">
        <f>'2020'!G67</f>
        <v>88</v>
      </c>
      <c r="M67" s="851">
        <f>'2021'!G67</f>
        <v>117</v>
      </c>
      <c r="N67" s="852">
        <f>'2022'!G67</f>
        <v>93</v>
      </c>
      <c r="O67" s="853">
        <f>'2020'!H67</f>
        <v>88</v>
      </c>
      <c r="P67" s="851">
        <f>'2021'!H67</f>
        <v>86</v>
      </c>
      <c r="Q67" s="852">
        <f>'2022'!H67</f>
        <v>93</v>
      </c>
      <c r="R67" s="457">
        <f t="shared" si="117"/>
        <v>0.60227272727272729</v>
      </c>
      <c r="S67" s="883">
        <f t="shared" si="118"/>
        <v>0.69230769230769229</v>
      </c>
      <c r="T67" s="884">
        <f t="shared" si="119"/>
        <v>0.78494623655913975</v>
      </c>
      <c r="U67" s="853">
        <f>'2020'!J67</f>
        <v>53</v>
      </c>
      <c r="V67" s="851">
        <f>'2021'!J67</f>
        <v>81</v>
      </c>
      <c r="W67" s="852">
        <f>'2022'!J67</f>
        <v>73</v>
      </c>
      <c r="X67" s="457">
        <f t="shared" si="120"/>
        <v>0.36363636363636365</v>
      </c>
      <c r="Y67" s="883">
        <f t="shared" si="121"/>
        <v>0.40170940170940173</v>
      </c>
      <c r="Z67" s="884">
        <f t="shared" si="122"/>
        <v>0.37634408602150538</v>
      </c>
      <c r="AA67" s="853">
        <f>'2020'!L67</f>
        <v>32</v>
      </c>
      <c r="AB67" s="851">
        <f>'2021'!L67</f>
        <v>47</v>
      </c>
      <c r="AC67" s="852">
        <f>'2022'!L67</f>
        <v>35</v>
      </c>
      <c r="AD67" s="885">
        <f t="shared" si="123"/>
        <v>0.84375</v>
      </c>
      <c r="AE67" s="886">
        <f t="shared" si="124"/>
        <v>0.7021276595744681</v>
      </c>
      <c r="AF67" s="887">
        <f t="shared" si="125"/>
        <v>0.94285714285714284</v>
      </c>
      <c r="AG67" s="888">
        <f>'2020'!N67</f>
        <v>27</v>
      </c>
      <c r="AH67" s="889">
        <f>'2021'!N67</f>
        <v>33</v>
      </c>
      <c r="AI67" s="890">
        <f>'2022'!N67</f>
        <v>33</v>
      </c>
      <c r="AJ67" s="891" t="s">
        <v>21</v>
      </c>
      <c r="AK67" s="892" t="s">
        <v>21</v>
      </c>
      <c r="AL67" s="891" t="s">
        <v>21</v>
      </c>
      <c r="AM67" s="892" t="s">
        <v>21</v>
      </c>
      <c r="AN67" s="925">
        <v>112</v>
      </c>
      <c r="AO67" s="926">
        <v>82</v>
      </c>
      <c r="AP67" s="925">
        <v>5</v>
      </c>
      <c r="AQ67" s="927">
        <v>4</v>
      </c>
      <c r="AY67" s="1" t="str">
        <f t="shared" si="41"/>
        <v>Frontière</v>
      </c>
      <c r="AZ67" s="1" t="str">
        <f t="shared" si="42"/>
        <v>Frontière</v>
      </c>
      <c r="BA67" s="1" t="str">
        <f t="shared" si="43"/>
        <v>Frontière</v>
      </c>
    </row>
    <row r="68" spans="1:53" x14ac:dyDescent="0.35">
      <c r="A68" s="108" t="str">
        <f t="shared" si="9"/>
        <v>X</v>
      </c>
      <c r="B68" s="1119"/>
      <c r="C68" s="1116"/>
      <c r="D68" s="1129"/>
      <c r="E68" s="1152"/>
      <c r="F68" s="1143"/>
      <c r="G68" s="814" t="s">
        <v>29</v>
      </c>
      <c r="H68" s="834" t="str">
        <f t="shared" si="114"/>
        <v>X</v>
      </c>
      <c r="I68" s="834" t="str">
        <f t="shared" si="115"/>
        <v>X</v>
      </c>
      <c r="J68" s="835" t="str">
        <f t="shared" si="116"/>
        <v>X</v>
      </c>
      <c r="K68" s="454" t="s">
        <v>62</v>
      </c>
      <c r="L68" s="850">
        <f>'2020'!G68</f>
        <v>14</v>
      </c>
      <c r="M68" s="851">
        <f>'2021'!G68</f>
        <v>22</v>
      </c>
      <c r="N68" s="852">
        <f>'2022'!G68</f>
        <v>25</v>
      </c>
      <c r="O68" s="853">
        <f>'2020'!H68</f>
        <v>14</v>
      </c>
      <c r="P68" s="851">
        <f>'2021'!H68</f>
        <v>20</v>
      </c>
      <c r="Q68" s="852">
        <f>'2022'!H68</f>
        <v>25</v>
      </c>
      <c r="R68" s="457">
        <f t="shared" si="117"/>
        <v>0.6428571428571429</v>
      </c>
      <c r="S68" s="883">
        <f t="shared" si="118"/>
        <v>0.72727272727272729</v>
      </c>
      <c r="T68" s="884">
        <f t="shared" si="119"/>
        <v>0.76</v>
      </c>
      <c r="U68" s="853">
        <f>'2020'!J68</f>
        <v>9</v>
      </c>
      <c r="V68" s="851">
        <f>'2021'!J68</f>
        <v>16</v>
      </c>
      <c r="W68" s="852">
        <f>'2022'!J68</f>
        <v>19</v>
      </c>
      <c r="X68" s="457">
        <f t="shared" si="120"/>
        <v>0.5</v>
      </c>
      <c r="Y68" s="883">
        <f t="shared" si="121"/>
        <v>0.54545454545454541</v>
      </c>
      <c r="Z68" s="884">
        <f t="shared" si="122"/>
        <v>0.44</v>
      </c>
      <c r="AA68" s="853">
        <f>'2020'!L68</f>
        <v>7</v>
      </c>
      <c r="AB68" s="851">
        <f>'2021'!L68</f>
        <v>12</v>
      </c>
      <c r="AC68" s="852">
        <f>'2022'!L68</f>
        <v>11</v>
      </c>
      <c r="AD68" s="885">
        <f t="shared" si="123"/>
        <v>0.5714285714285714</v>
      </c>
      <c r="AE68" s="886">
        <f t="shared" si="124"/>
        <v>0.75</v>
      </c>
      <c r="AF68" s="887">
        <f t="shared" si="125"/>
        <v>0.81818181818181823</v>
      </c>
      <c r="AG68" s="888">
        <f>'2020'!N68</f>
        <v>4</v>
      </c>
      <c r="AH68" s="889">
        <f>'2021'!N68</f>
        <v>9</v>
      </c>
      <c r="AI68" s="890">
        <f>'2022'!N68</f>
        <v>9</v>
      </c>
      <c r="AJ68" s="891" t="s">
        <v>21</v>
      </c>
      <c r="AK68" s="892" t="s">
        <v>21</v>
      </c>
      <c r="AL68" s="891" t="s">
        <v>21</v>
      </c>
      <c r="AM68" s="892" t="s">
        <v>21</v>
      </c>
      <c r="AN68" s="925">
        <v>22</v>
      </c>
      <c r="AO68" s="926">
        <v>20</v>
      </c>
      <c r="AP68" s="925">
        <v>0</v>
      </c>
      <c r="AQ68" s="927">
        <v>0</v>
      </c>
      <c r="AY68" s="1" t="str">
        <f t="shared" si="41"/>
        <v>Frontière</v>
      </c>
      <c r="AZ68" s="1" t="str">
        <f t="shared" si="42"/>
        <v>Frontière</v>
      </c>
      <c r="BA68" s="1" t="str">
        <f t="shared" si="43"/>
        <v>Frontière</v>
      </c>
    </row>
    <row r="69" spans="1:53" x14ac:dyDescent="0.35">
      <c r="A69" s="108" t="str">
        <f t="shared" si="9"/>
        <v>X</v>
      </c>
      <c r="B69" s="1119"/>
      <c r="C69" s="1116"/>
      <c r="D69" s="1129"/>
      <c r="E69" s="1152"/>
      <c r="F69" s="1143"/>
      <c r="G69" s="814" t="s">
        <v>30</v>
      </c>
      <c r="H69" s="834" t="str">
        <f t="shared" si="114"/>
        <v>X</v>
      </c>
      <c r="I69" s="834" t="str">
        <f t="shared" si="115"/>
        <v>X</v>
      </c>
      <c r="J69" s="835" t="str">
        <f t="shared" si="116"/>
        <v>X</v>
      </c>
      <c r="K69" s="454" t="s">
        <v>62</v>
      </c>
      <c r="L69" s="850">
        <f>'2020'!G69</f>
        <v>23</v>
      </c>
      <c r="M69" s="851">
        <f>'2021'!G69</f>
        <v>49</v>
      </c>
      <c r="N69" s="852">
        <f>'2022'!G69</f>
        <v>37</v>
      </c>
      <c r="O69" s="853">
        <f>'2020'!H69</f>
        <v>23</v>
      </c>
      <c r="P69" s="851">
        <f>'2021'!H69</f>
        <v>33</v>
      </c>
      <c r="Q69" s="852">
        <f>'2022'!H69</f>
        <v>37</v>
      </c>
      <c r="R69" s="457">
        <f t="shared" si="117"/>
        <v>0.65217391304347827</v>
      </c>
      <c r="S69" s="883">
        <f t="shared" si="118"/>
        <v>0.7142857142857143</v>
      </c>
      <c r="T69" s="884">
        <f t="shared" si="119"/>
        <v>0.64864864864864868</v>
      </c>
      <c r="U69" s="853">
        <f>'2020'!J69</f>
        <v>15</v>
      </c>
      <c r="V69" s="851">
        <f>'2021'!J69</f>
        <v>35</v>
      </c>
      <c r="W69" s="852">
        <f>'2022'!J69</f>
        <v>24</v>
      </c>
      <c r="X69" s="457">
        <f t="shared" si="120"/>
        <v>0.47826086956521741</v>
      </c>
      <c r="Y69" s="883">
        <f t="shared" si="121"/>
        <v>0.40816326530612246</v>
      </c>
      <c r="Z69" s="884">
        <f t="shared" si="122"/>
        <v>0.40540540540540543</v>
      </c>
      <c r="AA69" s="853">
        <f>'2020'!L69</f>
        <v>11</v>
      </c>
      <c r="AB69" s="851">
        <f>'2021'!L69</f>
        <v>20</v>
      </c>
      <c r="AC69" s="852">
        <f>'2022'!L69</f>
        <v>15</v>
      </c>
      <c r="AD69" s="885">
        <f t="shared" si="123"/>
        <v>0.72727272727272729</v>
      </c>
      <c r="AE69" s="886">
        <f t="shared" si="124"/>
        <v>0.85</v>
      </c>
      <c r="AF69" s="887">
        <f t="shared" si="125"/>
        <v>0.73333333333333328</v>
      </c>
      <c r="AG69" s="888">
        <f>'2020'!N69</f>
        <v>8</v>
      </c>
      <c r="AH69" s="889">
        <f>'2021'!N69</f>
        <v>17</v>
      </c>
      <c r="AI69" s="890">
        <f>'2022'!N69</f>
        <v>11</v>
      </c>
      <c r="AJ69" s="891" t="s">
        <v>21</v>
      </c>
      <c r="AK69" s="892" t="s">
        <v>21</v>
      </c>
      <c r="AL69" s="891" t="s">
        <v>21</v>
      </c>
      <c r="AM69" s="892" t="s">
        <v>21</v>
      </c>
      <c r="AN69" s="925">
        <v>46</v>
      </c>
      <c r="AO69" s="926">
        <v>31</v>
      </c>
      <c r="AP69" s="925">
        <v>3</v>
      </c>
      <c r="AQ69" s="927">
        <v>2</v>
      </c>
      <c r="AY69" s="1" t="str">
        <f t="shared" si="41"/>
        <v>Frontière</v>
      </c>
      <c r="AZ69" s="1" t="str">
        <f t="shared" si="42"/>
        <v>Frontière</v>
      </c>
      <c r="BA69" s="1" t="str">
        <f t="shared" si="43"/>
        <v>Frontière</v>
      </c>
    </row>
    <row r="70" spans="1:53" x14ac:dyDescent="0.35">
      <c r="A70" s="108" t="str">
        <f t="shared" ref="A70:A130" si="126">IF(D70="Sous-total","X",IF(G70="","","X"))</f>
        <v>X</v>
      </c>
      <c r="B70" s="1119"/>
      <c r="C70" s="1116"/>
      <c r="D70" s="1129"/>
      <c r="E70" s="1152"/>
      <c r="F70" s="1143"/>
      <c r="G70" s="814" t="s">
        <v>179</v>
      </c>
      <c r="H70" s="834" t="str">
        <f t="shared" si="114"/>
        <v/>
      </c>
      <c r="I70" s="834" t="str">
        <f t="shared" si="115"/>
        <v/>
      </c>
      <c r="J70" s="835" t="str">
        <f t="shared" si="116"/>
        <v>X</v>
      </c>
      <c r="K70" s="454" t="s">
        <v>62</v>
      </c>
      <c r="L70" s="850">
        <f>'2020'!G70</f>
        <v>0</v>
      </c>
      <c r="M70" s="851">
        <f>'2021'!G70</f>
        <v>0</v>
      </c>
      <c r="N70" s="852">
        <f>'2022'!G70</f>
        <v>11</v>
      </c>
      <c r="O70" s="853">
        <f>'2020'!H70</f>
        <v>0</v>
      </c>
      <c r="P70" s="851">
        <f>'2021'!H70</f>
        <v>0</v>
      </c>
      <c r="Q70" s="852">
        <f>'2022'!H70</f>
        <v>11</v>
      </c>
      <c r="R70" s="457">
        <f t="shared" si="117"/>
        <v>0</v>
      </c>
      <c r="S70" s="883">
        <f t="shared" si="118"/>
        <v>0</v>
      </c>
      <c r="T70" s="884">
        <f t="shared" si="119"/>
        <v>0.81818181818181823</v>
      </c>
      <c r="U70" s="853">
        <f>'2020'!J70</f>
        <v>0</v>
      </c>
      <c r="V70" s="851">
        <f>'2021'!J70</f>
        <v>0</v>
      </c>
      <c r="W70" s="852">
        <f>'2022'!J70</f>
        <v>9</v>
      </c>
      <c r="X70" s="457" t="str">
        <f t="shared" si="120"/>
        <v/>
      </c>
      <c r="Y70" s="883" t="str">
        <f t="shared" si="121"/>
        <v/>
      </c>
      <c r="Z70" s="884">
        <f t="shared" si="122"/>
        <v>0.36363636363636365</v>
      </c>
      <c r="AA70" s="853">
        <f>'2020'!L70</f>
        <v>0</v>
      </c>
      <c r="AB70" s="851">
        <f>'2021'!L70</f>
        <v>0</v>
      </c>
      <c r="AC70" s="852">
        <f>'2022'!L70</f>
        <v>4</v>
      </c>
      <c r="AD70" s="885" t="str">
        <f t="shared" si="123"/>
        <v/>
      </c>
      <c r="AE70" s="886" t="str">
        <f t="shared" si="124"/>
        <v/>
      </c>
      <c r="AF70" s="887">
        <f t="shared" si="125"/>
        <v>1</v>
      </c>
      <c r="AG70" s="888">
        <f>'2020'!N70</f>
        <v>0</v>
      </c>
      <c r="AH70" s="889">
        <f>'2021'!N70</f>
        <v>0</v>
      </c>
      <c r="AI70" s="890">
        <f>'2022'!N70</f>
        <v>4</v>
      </c>
      <c r="AJ70" s="891"/>
      <c r="AK70" s="892"/>
      <c r="AL70" s="891"/>
      <c r="AM70" s="892"/>
      <c r="AN70" s="925"/>
      <c r="AO70" s="926"/>
      <c r="AP70" s="925"/>
      <c r="AQ70" s="927"/>
      <c r="AY70" s="1" t="str">
        <f t="shared" si="41"/>
        <v/>
      </c>
      <c r="AZ70" s="1" t="str">
        <f t="shared" si="42"/>
        <v/>
      </c>
      <c r="BA70" s="1" t="str">
        <f t="shared" si="43"/>
        <v>Frontière</v>
      </c>
    </row>
    <row r="71" spans="1:53" hidden="1" x14ac:dyDescent="0.35">
      <c r="A71" s="108" t="str">
        <f t="shared" si="126"/>
        <v/>
      </c>
      <c r="B71" s="1119"/>
      <c r="C71" s="1116"/>
      <c r="D71" s="1129"/>
      <c r="E71" s="1152"/>
      <c r="F71" s="1143"/>
      <c r="G71" s="814"/>
      <c r="H71" s="834" t="str">
        <f t="shared" si="114"/>
        <v/>
      </c>
      <c r="I71" s="834" t="str">
        <f t="shared" si="115"/>
        <v/>
      </c>
      <c r="J71" s="835" t="str">
        <f t="shared" si="116"/>
        <v/>
      </c>
      <c r="K71" s="454" t="s">
        <v>207</v>
      </c>
      <c r="L71" s="850">
        <f>'2020'!G71</f>
        <v>0</v>
      </c>
      <c r="M71" s="851">
        <f>'2021'!G71</f>
        <v>0</v>
      </c>
      <c r="N71" s="852">
        <f>'2022'!G71</f>
        <v>0</v>
      </c>
      <c r="O71" s="853">
        <f>'2020'!H71</f>
        <v>0</v>
      </c>
      <c r="P71" s="851">
        <f>'2021'!H71</f>
        <v>0</v>
      </c>
      <c r="Q71" s="852">
        <f>'2022'!H71</f>
        <v>0</v>
      </c>
      <c r="R71" s="457">
        <f t="shared" si="117"/>
        <v>0</v>
      </c>
      <c r="S71" s="883">
        <f t="shared" si="118"/>
        <v>0</v>
      </c>
      <c r="T71" s="884">
        <f t="shared" si="119"/>
        <v>0</v>
      </c>
      <c r="U71" s="853">
        <f>'2020'!J71</f>
        <v>0</v>
      </c>
      <c r="V71" s="851">
        <f>'2021'!J71</f>
        <v>0</v>
      </c>
      <c r="W71" s="852">
        <f>'2022'!J71</f>
        <v>0</v>
      </c>
      <c r="X71" s="457" t="str">
        <f t="shared" si="120"/>
        <v/>
      </c>
      <c r="Y71" s="883" t="str">
        <f t="shared" si="121"/>
        <v/>
      </c>
      <c r="Z71" s="884" t="str">
        <f t="shared" si="122"/>
        <v/>
      </c>
      <c r="AA71" s="853">
        <f>'2020'!L71</f>
        <v>0</v>
      </c>
      <c r="AB71" s="851">
        <f>'2021'!L71</f>
        <v>0</v>
      </c>
      <c r="AC71" s="852">
        <f>'2022'!L71</f>
        <v>0</v>
      </c>
      <c r="AD71" s="885" t="str">
        <f t="shared" si="123"/>
        <v/>
      </c>
      <c r="AE71" s="886" t="str">
        <f t="shared" si="124"/>
        <v/>
      </c>
      <c r="AF71" s="887" t="str">
        <f t="shared" si="125"/>
        <v/>
      </c>
      <c r="AG71" s="888">
        <f>'2020'!N71</f>
        <v>0</v>
      </c>
      <c r="AH71" s="889">
        <f>'2021'!N71</f>
        <v>0</v>
      </c>
      <c r="AI71" s="890">
        <f>'2022'!N71</f>
        <v>0</v>
      </c>
      <c r="AJ71" s="891"/>
      <c r="AK71" s="892"/>
      <c r="AL71" s="891"/>
      <c r="AM71" s="892"/>
      <c r="AN71" s="925"/>
      <c r="AO71" s="926"/>
      <c r="AP71" s="925"/>
      <c r="AQ71" s="927"/>
      <c r="AY71" s="1" t="str">
        <f t="shared" si="41"/>
        <v/>
      </c>
      <c r="AZ71" s="1" t="str">
        <f t="shared" si="42"/>
        <v/>
      </c>
      <c r="BA71" s="1" t="str">
        <f t="shared" si="43"/>
        <v/>
      </c>
    </row>
    <row r="72" spans="1:53" x14ac:dyDescent="0.35">
      <c r="A72" s="108" t="str">
        <f t="shared" si="126"/>
        <v>X</v>
      </c>
      <c r="B72" s="1119"/>
      <c r="C72" s="1116"/>
      <c r="D72" s="1130"/>
      <c r="E72" s="1153"/>
      <c r="F72" s="1144"/>
      <c r="G72" s="815" t="s">
        <v>31</v>
      </c>
      <c r="H72" s="836" t="str">
        <f t="shared" si="114"/>
        <v>X</v>
      </c>
      <c r="I72" s="836" t="str">
        <f t="shared" si="115"/>
        <v>X</v>
      </c>
      <c r="J72" s="837" t="str">
        <f t="shared" si="116"/>
        <v/>
      </c>
      <c r="K72" s="461" t="s">
        <v>62</v>
      </c>
      <c r="L72" s="857">
        <f>'2020'!G72</f>
        <v>36</v>
      </c>
      <c r="M72" s="858">
        <f>'2021'!G72</f>
        <v>44</v>
      </c>
      <c r="N72" s="859">
        <f>'2022'!G72</f>
        <v>0</v>
      </c>
      <c r="O72" s="860">
        <f>'2020'!H72</f>
        <v>36</v>
      </c>
      <c r="P72" s="858">
        <f>'2021'!H72</f>
        <v>44</v>
      </c>
      <c r="Q72" s="859">
        <f>'2022'!H72</f>
        <v>0</v>
      </c>
      <c r="R72" s="464">
        <f t="shared" si="117"/>
        <v>0.5</v>
      </c>
      <c r="S72" s="900">
        <f t="shared" si="118"/>
        <v>0.63636363636363635</v>
      </c>
      <c r="T72" s="901">
        <f t="shared" si="119"/>
        <v>0</v>
      </c>
      <c r="U72" s="860">
        <f>'2020'!J72</f>
        <v>18</v>
      </c>
      <c r="V72" s="858">
        <f>'2021'!J72</f>
        <v>28</v>
      </c>
      <c r="W72" s="859">
        <f>'2022'!J72</f>
        <v>0</v>
      </c>
      <c r="X72" s="464">
        <f t="shared" si="120"/>
        <v>0.47222222222222221</v>
      </c>
      <c r="Y72" s="900">
        <f t="shared" si="121"/>
        <v>0.36363636363636365</v>
      </c>
      <c r="Z72" s="901" t="str">
        <f t="shared" si="122"/>
        <v/>
      </c>
      <c r="AA72" s="860">
        <f>'2020'!L72</f>
        <v>17</v>
      </c>
      <c r="AB72" s="858">
        <f>'2021'!L72</f>
        <v>16</v>
      </c>
      <c r="AC72" s="859">
        <f>'2022'!L72</f>
        <v>0</v>
      </c>
      <c r="AD72" s="902">
        <f t="shared" si="123"/>
        <v>0.76470588235294112</v>
      </c>
      <c r="AE72" s="903">
        <f t="shared" si="124"/>
        <v>0.9375</v>
      </c>
      <c r="AF72" s="904" t="str">
        <f t="shared" si="125"/>
        <v/>
      </c>
      <c r="AG72" s="905">
        <f>'2020'!N72</f>
        <v>13</v>
      </c>
      <c r="AH72" s="906">
        <f>'2021'!N72</f>
        <v>15</v>
      </c>
      <c r="AI72" s="907">
        <f>'2022'!N72</f>
        <v>0</v>
      </c>
      <c r="AJ72" s="908" t="s">
        <v>21</v>
      </c>
      <c r="AK72" s="909" t="s">
        <v>21</v>
      </c>
      <c r="AL72" s="908" t="s">
        <v>21</v>
      </c>
      <c r="AM72" s="909" t="s">
        <v>21</v>
      </c>
      <c r="AN72" s="929">
        <v>40</v>
      </c>
      <c r="AO72" s="930">
        <v>40</v>
      </c>
      <c r="AP72" s="929">
        <v>4</v>
      </c>
      <c r="AQ72" s="931">
        <v>4</v>
      </c>
      <c r="AS72" s="956" t="s">
        <v>203</v>
      </c>
      <c r="AY72" s="1" t="str">
        <f t="shared" si="41"/>
        <v>Frontière</v>
      </c>
      <c r="AZ72" s="1" t="str">
        <f t="shared" si="42"/>
        <v>Frontière</v>
      </c>
      <c r="BA72" s="1" t="str">
        <f t="shared" si="43"/>
        <v/>
      </c>
    </row>
    <row r="73" spans="1:53" ht="15.5" x14ac:dyDescent="0.35">
      <c r="A73" s="108" t="str">
        <f t="shared" si="126"/>
        <v>X</v>
      </c>
      <c r="B73" s="1127"/>
      <c r="C73" s="1116"/>
      <c r="D73" s="795" t="s">
        <v>138</v>
      </c>
      <c r="E73" s="790"/>
      <c r="F73" s="801"/>
      <c r="G73" s="808"/>
      <c r="H73" s="822"/>
      <c r="I73" s="822"/>
      <c r="J73" s="823"/>
      <c r="K73" s="365"/>
      <c r="L73" s="513">
        <f>SUM(L66:L72)</f>
        <v>194</v>
      </c>
      <c r="M73" s="514">
        <f t="shared" ref="M73:Q73" si="127">SUM(M66:M72)</f>
        <v>285</v>
      </c>
      <c r="N73" s="515">
        <f t="shared" si="127"/>
        <v>201</v>
      </c>
      <c r="O73" s="516">
        <f t="shared" si="127"/>
        <v>194</v>
      </c>
      <c r="P73" s="514">
        <f t="shared" si="127"/>
        <v>221</v>
      </c>
      <c r="Q73" s="515">
        <f t="shared" si="127"/>
        <v>201</v>
      </c>
      <c r="R73" s="148">
        <f t="shared" si="54"/>
        <v>0.59793814432989689</v>
      </c>
      <c r="S73" s="483">
        <f t="shared" si="55"/>
        <v>0.67368421052631577</v>
      </c>
      <c r="T73" s="534">
        <f t="shared" si="56"/>
        <v>0.75621890547263682</v>
      </c>
      <c r="U73" s="516">
        <f>SUM(U66:U72)</f>
        <v>116</v>
      </c>
      <c r="V73" s="514">
        <f t="shared" ref="V73:W73" si="128">SUM(V66:V72)</f>
        <v>192</v>
      </c>
      <c r="W73" s="515">
        <f t="shared" si="128"/>
        <v>152</v>
      </c>
      <c r="X73" s="148">
        <f t="shared" si="38"/>
        <v>0.38659793814432991</v>
      </c>
      <c r="Y73" s="483">
        <f t="shared" si="39"/>
        <v>0.37543859649122807</v>
      </c>
      <c r="Z73" s="534">
        <f t="shared" si="40"/>
        <v>0.39303482587064675</v>
      </c>
      <c r="AA73" s="516">
        <f>SUM(AA66:AA72)</f>
        <v>75</v>
      </c>
      <c r="AB73" s="514">
        <f t="shared" ref="AB73:AC73" si="129">SUM(AB66:AB72)</f>
        <v>107</v>
      </c>
      <c r="AC73" s="515">
        <f t="shared" si="129"/>
        <v>79</v>
      </c>
      <c r="AD73" s="668">
        <f t="shared" ref="AD73:AF87" si="130">IF(AA73=0,"",IF(AG73="-","",AG73/AA73))</f>
        <v>0.78666666666666663</v>
      </c>
      <c r="AE73" s="669">
        <f t="shared" si="130"/>
        <v>0.78504672897196259</v>
      </c>
      <c r="AF73" s="675">
        <f t="shared" si="130"/>
        <v>0.84810126582278478</v>
      </c>
      <c r="AG73" s="683">
        <f t="shared" ref="AG73:AI73" si="131">SUM(AG66:AG72)</f>
        <v>59</v>
      </c>
      <c r="AH73" s="684">
        <f t="shared" si="131"/>
        <v>84</v>
      </c>
      <c r="AI73" s="685">
        <f t="shared" si="131"/>
        <v>67</v>
      </c>
      <c r="AJ73" s="704">
        <f t="shared" ref="AJ73" si="132">SUM(AJ66:AJ72)</f>
        <v>0</v>
      </c>
      <c r="AK73" s="705">
        <f t="shared" ref="AK73" si="133">SUM(AK66:AK72)</f>
        <v>0</v>
      </c>
      <c r="AL73" s="704">
        <f t="shared" ref="AL73" si="134">SUM(AL66:AL72)</f>
        <v>0</v>
      </c>
      <c r="AM73" s="705">
        <f t="shared" ref="AM73" si="135">SUM(AM66:AM72)</f>
        <v>0</v>
      </c>
      <c r="AN73" s="704">
        <f t="shared" ref="AN73" si="136">SUM(AN66:AN72)</f>
        <v>271</v>
      </c>
      <c r="AO73" s="705">
        <f t="shared" ref="AO73" si="137">SUM(AO66:AO72)</f>
        <v>209</v>
      </c>
      <c r="AP73" s="704">
        <f t="shared" ref="AP73" si="138">SUM(AP66:AP72)</f>
        <v>14</v>
      </c>
      <c r="AQ73" s="706">
        <f t="shared" ref="AQ73" si="139">SUM(AQ66:AQ72)</f>
        <v>12</v>
      </c>
      <c r="AY73" s="1" t="str">
        <f t="shared" si="41"/>
        <v/>
      </c>
      <c r="AZ73" s="1" t="str">
        <f t="shared" si="42"/>
        <v/>
      </c>
      <c r="BA73" s="1" t="str">
        <f t="shared" si="43"/>
        <v/>
      </c>
    </row>
    <row r="74" spans="1:53" ht="15" customHeight="1" x14ac:dyDescent="0.35">
      <c r="A74" s="108" t="str">
        <f t="shared" si="126"/>
        <v>X</v>
      </c>
      <c r="B74" s="1119" t="s">
        <v>45</v>
      </c>
      <c r="C74" s="1105" t="s">
        <v>76</v>
      </c>
      <c r="D74" s="1131">
        <f>'2020'!D74</f>
        <v>10</v>
      </c>
      <c r="E74" s="1158">
        <f>'2021'!D74</f>
        <v>17</v>
      </c>
      <c r="F74" s="1161">
        <f>'2022'!D74</f>
        <v>12</v>
      </c>
      <c r="G74" s="838" t="s">
        <v>32</v>
      </c>
      <c r="H74" s="839" t="str">
        <f t="shared" ref="H74:H83" si="140">IF(L74=0,"","X")</f>
        <v>X</v>
      </c>
      <c r="I74" s="839" t="str">
        <f t="shared" ref="I74:I83" si="141">IF(M74=0,"","X")</f>
        <v>X</v>
      </c>
      <c r="J74" s="840" t="str">
        <f t="shared" ref="J74:J83" si="142">IF(N74=0,"","X")</f>
        <v>X</v>
      </c>
      <c r="K74" s="841" t="s">
        <v>62</v>
      </c>
      <c r="L74" s="842">
        <f>'2020'!G74</f>
        <v>59</v>
      </c>
      <c r="M74" s="843">
        <f>'2021'!G74</f>
        <v>76</v>
      </c>
      <c r="N74" s="844">
        <f>'2022'!G74</f>
        <v>94</v>
      </c>
      <c r="O74" s="845">
        <f>'2020'!H74</f>
        <v>59</v>
      </c>
      <c r="P74" s="843">
        <f>'2021'!H74</f>
        <v>76</v>
      </c>
      <c r="Q74" s="844">
        <f>'2022'!H74</f>
        <v>82</v>
      </c>
      <c r="R74" s="450">
        <f t="shared" ref="R74:R83" si="143">IF(L74="",0,IF(U74=0,0,U74/L74))</f>
        <v>0.51</v>
      </c>
      <c r="S74" s="870">
        <f t="shared" ref="S74:S83" si="144">IF(M74="",0,IF(V74=0,0,V74/M74))</f>
        <v>0.5</v>
      </c>
      <c r="T74" s="871">
        <f t="shared" ref="T74:T83" si="145">IF(N74="",0,IF(W74=0,0,W74/N74))</f>
        <v>0.47872340425531917</v>
      </c>
      <c r="U74" s="845">
        <f>'2020'!J74</f>
        <v>30.09</v>
      </c>
      <c r="V74" s="843">
        <f>'2021'!J74</f>
        <v>38</v>
      </c>
      <c r="W74" s="844">
        <f>'2022'!J74</f>
        <v>45</v>
      </c>
      <c r="X74" s="450">
        <f t="shared" ref="X74:X83" si="146">IF(L74=0,"",IF(AA74="","",AA74/L74))</f>
        <v>0.44</v>
      </c>
      <c r="Y74" s="870">
        <f t="shared" ref="Y74:Y83" si="147">IF(M74=0,"",IF(AB74="","",AB74/M74))</f>
        <v>0.38157894736842107</v>
      </c>
      <c r="Z74" s="871">
        <f t="shared" ref="Z74:Z83" si="148">IF(N74=0,"",IF(AC74="","",AC74/N74))</f>
        <v>0.34042553191489361</v>
      </c>
      <c r="AA74" s="845">
        <f>'2020'!L74</f>
        <v>25.96</v>
      </c>
      <c r="AB74" s="843">
        <f>'2021'!L74</f>
        <v>29</v>
      </c>
      <c r="AC74" s="844">
        <f>'2022'!L74</f>
        <v>32</v>
      </c>
      <c r="AD74" s="872">
        <f t="shared" si="130"/>
        <v>0.62000000000000011</v>
      </c>
      <c r="AE74" s="873">
        <f t="shared" si="130"/>
        <v>0.72413793103448276</v>
      </c>
      <c r="AF74" s="874">
        <f t="shared" si="130"/>
        <v>0.59375</v>
      </c>
      <c r="AG74" s="875">
        <f>'2020'!N74</f>
        <v>16.095200000000002</v>
      </c>
      <c r="AH74" s="876">
        <f>'2021'!N74</f>
        <v>21</v>
      </c>
      <c r="AI74" s="877">
        <f>'2022'!N74</f>
        <v>19</v>
      </c>
      <c r="AJ74" s="878" t="s">
        <v>21</v>
      </c>
      <c r="AK74" s="879" t="s">
        <v>21</v>
      </c>
      <c r="AL74" s="878" t="s">
        <v>21</v>
      </c>
      <c r="AM74" s="879" t="s">
        <v>21</v>
      </c>
      <c r="AN74" s="922">
        <v>75</v>
      </c>
      <c r="AO74" s="923">
        <v>75</v>
      </c>
      <c r="AP74" s="922">
        <v>1</v>
      </c>
      <c r="AQ74" s="924">
        <v>1</v>
      </c>
      <c r="AY74" s="1" t="str">
        <f t="shared" si="41"/>
        <v>Frontière</v>
      </c>
      <c r="AZ74" s="1" t="str">
        <f t="shared" si="42"/>
        <v>Frontière</v>
      </c>
      <c r="BA74" s="1" t="str">
        <f t="shared" si="43"/>
        <v>Frontière</v>
      </c>
    </row>
    <row r="75" spans="1:53" ht="15" customHeight="1" x14ac:dyDescent="0.35">
      <c r="A75" s="108" t="str">
        <f t="shared" si="126"/>
        <v>X</v>
      </c>
      <c r="B75" s="1119"/>
      <c r="C75" s="1105"/>
      <c r="D75" s="1132"/>
      <c r="E75" s="1159"/>
      <c r="F75" s="1162"/>
      <c r="G75" s="846" t="s">
        <v>33</v>
      </c>
      <c r="H75" s="847" t="str">
        <f t="shared" si="140"/>
        <v>X</v>
      </c>
      <c r="I75" s="847" t="str">
        <f t="shared" si="141"/>
        <v>X</v>
      </c>
      <c r="J75" s="848" t="str">
        <f t="shared" si="142"/>
        <v>X</v>
      </c>
      <c r="K75" s="849" t="s">
        <v>62</v>
      </c>
      <c r="L75" s="850">
        <f>'2020'!G75</f>
        <v>45</v>
      </c>
      <c r="M75" s="851">
        <f>'2021'!G75</f>
        <v>80</v>
      </c>
      <c r="N75" s="852">
        <f>'2022'!G75</f>
        <v>100</v>
      </c>
      <c r="O75" s="853">
        <f>'2020'!H75</f>
        <v>45</v>
      </c>
      <c r="P75" s="851">
        <f>'2021'!H75</f>
        <v>80</v>
      </c>
      <c r="Q75" s="852">
        <f>'2022'!H75</f>
        <v>70</v>
      </c>
      <c r="R75" s="457">
        <f t="shared" si="143"/>
        <v>0.57999999999999996</v>
      </c>
      <c r="S75" s="883">
        <f t="shared" si="144"/>
        <v>0.63749999999999996</v>
      </c>
      <c r="T75" s="884">
        <f t="shared" si="145"/>
        <v>0.61</v>
      </c>
      <c r="U75" s="853">
        <f>'2020'!J75</f>
        <v>26.099999999999998</v>
      </c>
      <c r="V75" s="851">
        <f>'2021'!J75</f>
        <v>51</v>
      </c>
      <c r="W75" s="852">
        <f>'2022'!J75</f>
        <v>61</v>
      </c>
      <c r="X75" s="457">
        <f t="shared" si="146"/>
        <v>0.44</v>
      </c>
      <c r="Y75" s="883">
        <f t="shared" si="147"/>
        <v>0.5</v>
      </c>
      <c r="Z75" s="884">
        <f t="shared" si="148"/>
        <v>0.32</v>
      </c>
      <c r="AA75" s="853">
        <f>'2020'!L75</f>
        <v>19.8</v>
      </c>
      <c r="AB75" s="851">
        <f>'2021'!L75</f>
        <v>40</v>
      </c>
      <c r="AC75" s="852">
        <f>'2022'!L75</f>
        <v>32</v>
      </c>
      <c r="AD75" s="885">
        <f t="shared" si="130"/>
        <v>0.65</v>
      </c>
      <c r="AE75" s="886">
        <f t="shared" si="130"/>
        <v>0.65</v>
      </c>
      <c r="AF75" s="887">
        <f t="shared" si="130"/>
        <v>0.625</v>
      </c>
      <c r="AG75" s="888">
        <f>'2020'!N75</f>
        <v>12.870000000000001</v>
      </c>
      <c r="AH75" s="889">
        <f>'2021'!N75</f>
        <v>26</v>
      </c>
      <c r="AI75" s="890">
        <f>'2022'!N75</f>
        <v>20</v>
      </c>
      <c r="AJ75" s="891" t="s">
        <v>21</v>
      </c>
      <c r="AK75" s="892" t="s">
        <v>21</v>
      </c>
      <c r="AL75" s="891" t="s">
        <v>21</v>
      </c>
      <c r="AM75" s="892" t="s">
        <v>21</v>
      </c>
      <c r="AN75" s="925">
        <v>74</v>
      </c>
      <c r="AO75" s="926">
        <v>74</v>
      </c>
      <c r="AP75" s="925">
        <v>6</v>
      </c>
      <c r="AQ75" s="927">
        <v>6</v>
      </c>
      <c r="AY75" s="1" t="str">
        <f t="shared" si="41"/>
        <v>Frontière</v>
      </c>
      <c r="AZ75" s="1" t="str">
        <f t="shared" si="42"/>
        <v>Frontière</v>
      </c>
      <c r="BA75" s="1" t="str">
        <f t="shared" si="43"/>
        <v>Frontière</v>
      </c>
    </row>
    <row r="76" spans="1:53" ht="15" customHeight="1" x14ac:dyDescent="0.35">
      <c r="A76" s="108" t="str">
        <f t="shared" si="126"/>
        <v>X</v>
      </c>
      <c r="B76" s="1119"/>
      <c r="C76" s="1105"/>
      <c r="D76" s="1132"/>
      <c r="E76" s="1159"/>
      <c r="F76" s="1162"/>
      <c r="G76" s="846" t="s">
        <v>47</v>
      </c>
      <c r="H76" s="847" t="str">
        <f t="shared" si="140"/>
        <v>X</v>
      </c>
      <c r="I76" s="847" t="str">
        <f t="shared" si="141"/>
        <v>X</v>
      </c>
      <c r="J76" s="848" t="str">
        <f t="shared" si="142"/>
        <v>X</v>
      </c>
      <c r="K76" s="849" t="s">
        <v>62</v>
      </c>
      <c r="L76" s="850">
        <f>'2020'!G76</f>
        <v>16</v>
      </c>
      <c r="M76" s="851">
        <f>'2021'!G76</f>
        <v>31</v>
      </c>
      <c r="N76" s="852">
        <f>'2022'!G76</f>
        <v>32</v>
      </c>
      <c r="O76" s="853">
        <f>'2020'!H76</f>
        <v>16</v>
      </c>
      <c r="P76" s="851">
        <f>'2021'!H76</f>
        <v>31</v>
      </c>
      <c r="Q76" s="852">
        <f>'2022'!H76</f>
        <v>28</v>
      </c>
      <c r="R76" s="457">
        <f t="shared" si="143"/>
        <v>0.44</v>
      </c>
      <c r="S76" s="883">
        <f t="shared" si="144"/>
        <v>0.32258064516129031</v>
      </c>
      <c r="T76" s="884">
        <f t="shared" si="145"/>
        <v>0.59375</v>
      </c>
      <c r="U76" s="853">
        <f>'2020'!J76</f>
        <v>7.04</v>
      </c>
      <c r="V76" s="851">
        <f>'2021'!J76</f>
        <v>10</v>
      </c>
      <c r="W76" s="852">
        <f>'2022'!J76</f>
        <v>19</v>
      </c>
      <c r="X76" s="457">
        <f t="shared" si="146"/>
        <v>0.31</v>
      </c>
      <c r="Y76" s="883">
        <f t="shared" si="147"/>
        <v>0.35483870967741937</v>
      </c>
      <c r="Z76" s="884">
        <f t="shared" si="148"/>
        <v>0.28125</v>
      </c>
      <c r="AA76" s="853">
        <f>'2020'!L76</f>
        <v>4.96</v>
      </c>
      <c r="AB76" s="851">
        <f>'2021'!L76</f>
        <v>11</v>
      </c>
      <c r="AC76" s="852">
        <f>'2022'!L76</f>
        <v>9</v>
      </c>
      <c r="AD76" s="885">
        <f t="shared" si="130"/>
        <v>0.4</v>
      </c>
      <c r="AE76" s="886">
        <f t="shared" si="130"/>
        <v>0.45454545454545453</v>
      </c>
      <c r="AF76" s="887">
        <f t="shared" si="130"/>
        <v>0.66666666666666663</v>
      </c>
      <c r="AG76" s="888">
        <f>'2020'!N76</f>
        <v>1.984</v>
      </c>
      <c r="AH76" s="889">
        <f>'2021'!N76</f>
        <v>5</v>
      </c>
      <c r="AI76" s="890">
        <f>'2022'!N76</f>
        <v>6</v>
      </c>
      <c r="AJ76" s="891" t="s">
        <v>21</v>
      </c>
      <c r="AK76" s="892" t="s">
        <v>21</v>
      </c>
      <c r="AL76" s="891" t="s">
        <v>21</v>
      </c>
      <c r="AM76" s="892" t="s">
        <v>21</v>
      </c>
      <c r="AN76" s="925">
        <v>31</v>
      </c>
      <c r="AO76" s="926">
        <v>31</v>
      </c>
      <c r="AP76" s="925">
        <v>0</v>
      </c>
      <c r="AQ76" s="927">
        <v>0</v>
      </c>
      <c r="AY76" s="1" t="str">
        <f t="shared" si="41"/>
        <v>Frontière</v>
      </c>
      <c r="AZ76" s="1" t="str">
        <f t="shared" si="42"/>
        <v>Frontière</v>
      </c>
      <c r="BA76" s="1" t="str">
        <f t="shared" si="43"/>
        <v>Frontière</v>
      </c>
    </row>
    <row r="77" spans="1:53" ht="15" customHeight="1" x14ac:dyDescent="0.35">
      <c r="A77" s="108" t="str">
        <f t="shared" si="126"/>
        <v>X</v>
      </c>
      <c r="B77" s="1119"/>
      <c r="C77" s="1105"/>
      <c r="D77" s="1132"/>
      <c r="E77" s="1159"/>
      <c r="F77" s="1162"/>
      <c r="G77" s="846" t="s">
        <v>46</v>
      </c>
      <c r="H77" s="847" t="str">
        <f t="shared" si="140"/>
        <v>X</v>
      </c>
      <c r="I77" s="847" t="str">
        <f t="shared" si="141"/>
        <v>X</v>
      </c>
      <c r="J77" s="848" t="str">
        <f t="shared" si="142"/>
        <v>X</v>
      </c>
      <c r="K77" s="849" t="s">
        <v>62</v>
      </c>
      <c r="L77" s="850">
        <f>'2020'!G77</f>
        <v>31</v>
      </c>
      <c r="M77" s="851">
        <f>'2021'!G77</f>
        <v>15</v>
      </c>
      <c r="N77" s="852">
        <f>'2022'!G77</f>
        <v>42</v>
      </c>
      <c r="O77" s="853">
        <f>'2020'!H77</f>
        <v>31</v>
      </c>
      <c r="P77" s="851">
        <f>'2021'!H77</f>
        <v>15</v>
      </c>
      <c r="Q77" s="852">
        <f>'2022'!H77</f>
        <v>16</v>
      </c>
      <c r="R77" s="457">
        <f t="shared" si="143"/>
        <v>0.28999999999999998</v>
      </c>
      <c r="S77" s="883">
        <f t="shared" si="144"/>
        <v>0.33333333333333331</v>
      </c>
      <c r="T77" s="884">
        <f t="shared" si="145"/>
        <v>0.69047619047619047</v>
      </c>
      <c r="U77" s="853">
        <f>'2020'!J77</f>
        <v>8.99</v>
      </c>
      <c r="V77" s="851">
        <f>'2021'!J77</f>
        <v>5</v>
      </c>
      <c r="W77" s="852">
        <f>'2022'!J77</f>
        <v>29</v>
      </c>
      <c r="X77" s="457">
        <f t="shared" si="146"/>
        <v>0.32</v>
      </c>
      <c r="Y77" s="883">
        <f t="shared" si="147"/>
        <v>0</v>
      </c>
      <c r="Z77" s="884">
        <f t="shared" si="148"/>
        <v>0.47619047619047616</v>
      </c>
      <c r="AA77" s="853">
        <f>'2020'!L77</f>
        <v>9.92</v>
      </c>
      <c r="AB77" s="851">
        <f>'2021'!L77</f>
        <v>0</v>
      </c>
      <c r="AC77" s="852">
        <f>'2022'!L77</f>
        <v>20</v>
      </c>
      <c r="AD77" s="885">
        <f t="shared" si="130"/>
        <v>0.3</v>
      </c>
      <c r="AE77" s="886" t="str">
        <f t="shared" si="130"/>
        <v/>
      </c>
      <c r="AF77" s="887">
        <f t="shared" si="130"/>
        <v>0.75</v>
      </c>
      <c r="AG77" s="888">
        <f>'2020'!N77</f>
        <v>2.976</v>
      </c>
      <c r="AH77" s="889">
        <f>'2021'!N77</f>
        <v>0</v>
      </c>
      <c r="AI77" s="890">
        <f>'2022'!N77</f>
        <v>15</v>
      </c>
      <c r="AJ77" s="891" t="s">
        <v>21</v>
      </c>
      <c r="AK77" s="892" t="s">
        <v>21</v>
      </c>
      <c r="AL77" s="891" t="s">
        <v>21</v>
      </c>
      <c r="AM77" s="892" t="s">
        <v>21</v>
      </c>
      <c r="AN77" s="925">
        <v>15</v>
      </c>
      <c r="AO77" s="926">
        <v>15</v>
      </c>
      <c r="AP77" s="925">
        <v>0</v>
      </c>
      <c r="AQ77" s="927">
        <v>0</v>
      </c>
      <c r="AY77" s="1" t="str">
        <f t="shared" si="41"/>
        <v>Frontière</v>
      </c>
      <c r="AZ77" s="1" t="str">
        <f t="shared" si="42"/>
        <v>Frontière</v>
      </c>
      <c r="BA77" s="1" t="str">
        <f t="shared" si="43"/>
        <v>Frontière</v>
      </c>
    </row>
    <row r="78" spans="1:53" ht="15" customHeight="1" x14ac:dyDescent="0.35">
      <c r="A78" s="108" t="str">
        <f t="shared" si="126"/>
        <v>X</v>
      </c>
      <c r="B78" s="1119"/>
      <c r="C78" s="1105"/>
      <c r="D78" s="1132"/>
      <c r="E78" s="1159"/>
      <c r="F78" s="1162"/>
      <c r="G78" s="846" t="s">
        <v>35</v>
      </c>
      <c r="H78" s="847" t="str">
        <f t="shared" si="140"/>
        <v>X</v>
      </c>
      <c r="I78" s="847" t="str">
        <f t="shared" si="141"/>
        <v>X</v>
      </c>
      <c r="J78" s="848" t="str">
        <f t="shared" si="142"/>
        <v/>
      </c>
      <c r="K78" s="849" t="s">
        <v>62</v>
      </c>
      <c r="L78" s="850">
        <f>'2020'!G78</f>
        <v>3</v>
      </c>
      <c r="M78" s="851">
        <f>'2021'!G78</f>
        <v>2</v>
      </c>
      <c r="N78" s="852">
        <f>'2022'!G78</f>
        <v>0</v>
      </c>
      <c r="O78" s="853">
        <f>'2020'!H78</f>
        <v>3</v>
      </c>
      <c r="P78" s="851">
        <f>'2021'!H78</f>
        <v>2</v>
      </c>
      <c r="Q78" s="852">
        <f>'2022'!H78</f>
        <v>0</v>
      </c>
      <c r="R78" s="457">
        <f t="shared" si="143"/>
        <v>0</v>
      </c>
      <c r="S78" s="883">
        <f t="shared" si="144"/>
        <v>0.5</v>
      </c>
      <c r="T78" s="884">
        <f t="shared" si="145"/>
        <v>0</v>
      </c>
      <c r="U78" s="853">
        <f>'2020'!J78</f>
        <v>0</v>
      </c>
      <c r="V78" s="851">
        <f>'2021'!J78</f>
        <v>1</v>
      </c>
      <c r="W78" s="852">
        <f>'2022'!J78</f>
        <v>0</v>
      </c>
      <c r="X78" s="457">
        <f t="shared" si="146"/>
        <v>0</v>
      </c>
      <c r="Y78" s="883">
        <f t="shared" si="147"/>
        <v>0.5</v>
      </c>
      <c r="Z78" s="884" t="str">
        <f t="shared" si="148"/>
        <v/>
      </c>
      <c r="AA78" s="853">
        <f>'2020'!L78</f>
        <v>0</v>
      </c>
      <c r="AB78" s="851">
        <f>'2021'!L78</f>
        <v>1</v>
      </c>
      <c r="AC78" s="852">
        <f>'2022'!L78</f>
        <v>0</v>
      </c>
      <c r="AD78" s="885" t="str">
        <f t="shared" si="130"/>
        <v/>
      </c>
      <c r="AE78" s="886">
        <f t="shared" si="130"/>
        <v>1</v>
      </c>
      <c r="AF78" s="887" t="str">
        <f t="shared" si="130"/>
        <v/>
      </c>
      <c r="AG78" s="888" t="str">
        <f>'2020'!N78</f>
        <v>-</v>
      </c>
      <c r="AH78" s="889">
        <f>'2021'!N78</f>
        <v>1</v>
      </c>
      <c r="AI78" s="890">
        <f>'2022'!N78</f>
        <v>0</v>
      </c>
      <c r="AJ78" s="891" t="s">
        <v>21</v>
      </c>
      <c r="AK78" s="892" t="s">
        <v>21</v>
      </c>
      <c r="AL78" s="891" t="s">
        <v>21</v>
      </c>
      <c r="AM78" s="892" t="s">
        <v>21</v>
      </c>
      <c r="AN78" s="925">
        <v>1</v>
      </c>
      <c r="AO78" s="926">
        <v>1</v>
      </c>
      <c r="AP78" s="925">
        <v>1</v>
      </c>
      <c r="AQ78" s="927">
        <v>1</v>
      </c>
      <c r="AY78" s="1" t="str">
        <f t="shared" si="41"/>
        <v>Frontière</v>
      </c>
      <c r="AZ78" s="1" t="str">
        <f t="shared" si="42"/>
        <v>Frontière</v>
      </c>
      <c r="BA78" s="1" t="str">
        <f t="shared" si="43"/>
        <v/>
      </c>
    </row>
    <row r="79" spans="1:53" ht="15" customHeight="1" x14ac:dyDescent="0.35">
      <c r="A79" s="108" t="str">
        <f t="shared" si="126"/>
        <v>X</v>
      </c>
      <c r="B79" s="1119"/>
      <c r="C79" s="1105"/>
      <c r="D79" s="1132"/>
      <c r="E79" s="1159"/>
      <c r="F79" s="1162"/>
      <c r="G79" s="846" t="s">
        <v>34</v>
      </c>
      <c r="H79" s="847" t="str">
        <f t="shared" si="140"/>
        <v>X</v>
      </c>
      <c r="I79" s="847" t="str">
        <f t="shared" si="141"/>
        <v>X</v>
      </c>
      <c r="J79" s="848" t="str">
        <f t="shared" si="142"/>
        <v>X</v>
      </c>
      <c r="K79" s="849" t="s">
        <v>62</v>
      </c>
      <c r="L79" s="850">
        <f>'2020'!G79</f>
        <v>13</v>
      </c>
      <c r="M79" s="851">
        <f>'2021'!G79</f>
        <v>15</v>
      </c>
      <c r="N79" s="852">
        <f>'2022'!G79</f>
        <v>17</v>
      </c>
      <c r="O79" s="853">
        <f>'2020'!H79</f>
        <v>13</v>
      </c>
      <c r="P79" s="851">
        <f>'2021'!H79</f>
        <v>15</v>
      </c>
      <c r="Q79" s="852">
        <f>'2022'!H79</f>
        <v>14</v>
      </c>
      <c r="R79" s="457">
        <f t="shared" si="143"/>
        <v>0.23</v>
      </c>
      <c r="S79" s="883">
        <f t="shared" si="144"/>
        <v>0.53333333333333333</v>
      </c>
      <c r="T79" s="884">
        <f t="shared" si="145"/>
        <v>0.29411764705882354</v>
      </c>
      <c r="U79" s="853">
        <f>'2020'!J79</f>
        <v>2.99</v>
      </c>
      <c r="V79" s="851">
        <f>'2021'!J79</f>
        <v>8</v>
      </c>
      <c r="W79" s="852">
        <f>'2022'!J79</f>
        <v>5</v>
      </c>
      <c r="X79" s="457">
        <f t="shared" si="146"/>
        <v>0.15</v>
      </c>
      <c r="Y79" s="883">
        <f t="shared" si="147"/>
        <v>0.26666666666666666</v>
      </c>
      <c r="Z79" s="884">
        <f t="shared" si="148"/>
        <v>0.11764705882352941</v>
      </c>
      <c r="AA79" s="853">
        <f>'2020'!L79</f>
        <v>1.95</v>
      </c>
      <c r="AB79" s="851">
        <f>'2021'!L79</f>
        <v>4</v>
      </c>
      <c r="AC79" s="852">
        <f>'2022'!L79</f>
        <v>2</v>
      </c>
      <c r="AD79" s="885">
        <f t="shared" si="130"/>
        <v>0.5</v>
      </c>
      <c r="AE79" s="886">
        <f t="shared" si="130"/>
        <v>0.5</v>
      </c>
      <c r="AF79" s="887">
        <f t="shared" si="130"/>
        <v>0.5</v>
      </c>
      <c r="AG79" s="888">
        <f>'2020'!N79</f>
        <v>0.97499999999999998</v>
      </c>
      <c r="AH79" s="889">
        <f>'2021'!N79</f>
        <v>2</v>
      </c>
      <c r="AI79" s="890">
        <f>'2022'!N79</f>
        <v>1</v>
      </c>
      <c r="AJ79" s="891" t="s">
        <v>21</v>
      </c>
      <c r="AK79" s="892" t="s">
        <v>21</v>
      </c>
      <c r="AL79" s="891" t="s">
        <v>21</v>
      </c>
      <c r="AM79" s="892" t="s">
        <v>21</v>
      </c>
      <c r="AN79" s="925">
        <v>13</v>
      </c>
      <c r="AO79" s="926">
        <v>13</v>
      </c>
      <c r="AP79" s="925">
        <v>2</v>
      </c>
      <c r="AQ79" s="927">
        <v>2</v>
      </c>
      <c r="AY79" s="1" t="str">
        <f t="shared" si="41"/>
        <v>Frontière</v>
      </c>
      <c r="AZ79" s="1" t="str">
        <f t="shared" si="42"/>
        <v>Frontière</v>
      </c>
      <c r="BA79" s="1" t="str">
        <f t="shared" si="43"/>
        <v>Frontière</v>
      </c>
    </row>
    <row r="80" spans="1:53" ht="15.75" customHeight="1" x14ac:dyDescent="0.35">
      <c r="A80" s="108" t="str">
        <f t="shared" si="126"/>
        <v>X</v>
      </c>
      <c r="B80" s="1119"/>
      <c r="C80" s="1105"/>
      <c r="D80" s="1132"/>
      <c r="E80" s="1159"/>
      <c r="F80" s="1162"/>
      <c r="G80" s="846" t="s">
        <v>147</v>
      </c>
      <c r="H80" s="847" t="str">
        <f t="shared" si="140"/>
        <v/>
      </c>
      <c r="I80" s="847" t="str">
        <f t="shared" si="141"/>
        <v>X</v>
      </c>
      <c r="J80" s="848" t="str">
        <f t="shared" si="142"/>
        <v>X</v>
      </c>
      <c r="K80" s="849" t="s">
        <v>62</v>
      </c>
      <c r="L80" s="850">
        <f>'2020'!G80</f>
        <v>0</v>
      </c>
      <c r="M80" s="851">
        <f>'2021'!G80</f>
        <v>12</v>
      </c>
      <c r="N80" s="852">
        <f>'2022'!G80</f>
        <v>12</v>
      </c>
      <c r="O80" s="853">
        <f>'2020'!H80</f>
        <v>0</v>
      </c>
      <c r="P80" s="851">
        <f>'2021'!H80</f>
        <v>12</v>
      </c>
      <c r="Q80" s="852">
        <f>'2022'!H80</f>
        <v>12</v>
      </c>
      <c r="R80" s="457">
        <f t="shared" si="143"/>
        <v>0</v>
      </c>
      <c r="S80" s="883">
        <f t="shared" si="144"/>
        <v>0.83333333333333337</v>
      </c>
      <c r="T80" s="884">
        <f t="shared" si="145"/>
        <v>0.83333333333333337</v>
      </c>
      <c r="U80" s="853">
        <f>'2020'!J80</f>
        <v>0</v>
      </c>
      <c r="V80" s="851">
        <f>'2021'!J80</f>
        <v>10</v>
      </c>
      <c r="W80" s="852">
        <f>'2022'!J80</f>
        <v>10</v>
      </c>
      <c r="X80" s="457" t="str">
        <f t="shared" si="146"/>
        <v/>
      </c>
      <c r="Y80" s="883">
        <f t="shared" si="147"/>
        <v>0.58333333333333337</v>
      </c>
      <c r="Z80" s="884">
        <f t="shared" si="148"/>
        <v>0.58333333333333337</v>
      </c>
      <c r="AA80" s="853">
        <f>'2020'!L80</f>
        <v>0</v>
      </c>
      <c r="AB80" s="851">
        <f>'2021'!L80</f>
        <v>7</v>
      </c>
      <c r="AC80" s="852">
        <f>'2022'!L80</f>
        <v>7</v>
      </c>
      <c r="AD80" s="885" t="str">
        <f t="shared" si="130"/>
        <v/>
      </c>
      <c r="AE80" s="886">
        <f t="shared" si="130"/>
        <v>1</v>
      </c>
      <c r="AF80" s="887">
        <f t="shared" si="130"/>
        <v>1</v>
      </c>
      <c r="AG80" s="888">
        <f>'2020'!N80</f>
        <v>0</v>
      </c>
      <c r="AH80" s="889">
        <f>'2021'!N80</f>
        <v>7</v>
      </c>
      <c r="AI80" s="890">
        <f>'2022'!N80</f>
        <v>7</v>
      </c>
      <c r="AJ80" s="891" t="s">
        <v>21</v>
      </c>
      <c r="AK80" s="892" t="s">
        <v>21</v>
      </c>
      <c r="AL80" s="891" t="s">
        <v>21</v>
      </c>
      <c r="AM80" s="892" t="s">
        <v>21</v>
      </c>
      <c r="AN80" s="925">
        <v>12</v>
      </c>
      <c r="AO80" s="926">
        <v>12</v>
      </c>
      <c r="AP80" s="925">
        <v>0</v>
      </c>
      <c r="AQ80" s="927">
        <v>0</v>
      </c>
      <c r="AY80" s="1" t="str">
        <f t="shared" si="41"/>
        <v/>
      </c>
      <c r="AZ80" s="1" t="str">
        <f t="shared" si="42"/>
        <v>Frontière</v>
      </c>
      <c r="BA80" s="1" t="str">
        <f t="shared" si="43"/>
        <v>Frontière</v>
      </c>
    </row>
    <row r="81" spans="1:53" ht="15.75" hidden="1" customHeight="1" x14ac:dyDescent="0.35">
      <c r="A81" s="108" t="str">
        <f t="shared" si="126"/>
        <v/>
      </c>
      <c r="B81" s="1119"/>
      <c r="C81" s="1105"/>
      <c r="D81" s="1132"/>
      <c r="E81" s="1159"/>
      <c r="F81" s="1162"/>
      <c r="G81" s="846"/>
      <c r="H81" s="847" t="str">
        <f t="shared" si="140"/>
        <v/>
      </c>
      <c r="I81" s="847" t="str">
        <f t="shared" si="141"/>
        <v/>
      </c>
      <c r="J81" s="848" t="str">
        <f t="shared" si="142"/>
        <v/>
      </c>
      <c r="K81" s="849" t="s">
        <v>62</v>
      </c>
      <c r="L81" s="850">
        <f>'2020'!G81</f>
        <v>0</v>
      </c>
      <c r="M81" s="851">
        <f>'2021'!G81</f>
        <v>0</v>
      </c>
      <c r="N81" s="852">
        <f>'2022'!G81</f>
        <v>0</v>
      </c>
      <c r="O81" s="853">
        <f>'2020'!H81</f>
        <v>0</v>
      </c>
      <c r="P81" s="851">
        <f>'2021'!H81</f>
        <v>0</v>
      </c>
      <c r="Q81" s="852">
        <f>'2022'!H81</f>
        <v>0</v>
      </c>
      <c r="R81" s="457">
        <f t="shared" si="143"/>
        <v>0</v>
      </c>
      <c r="S81" s="883">
        <f t="shared" si="144"/>
        <v>0</v>
      </c>
      <c r="T81" s="884">
        <f t="shared" si="145"/>
        <v>0</v>
      </c>
      <c r="U81" s="853">
        <f>'2020'!J81</f>
        <v>0</v>
      </c>
      <c r="V81" s="851">
        <f>'2021'!J81</f>
        <v>0</v>
      </c>
      <c r="W81" s="852">
        <f>'2022'!J81</f>
        <v>0</v>
      </c>
      <c r="X81" s="457" t="str">
        <f t="shared" si="146"/>
        <v/>
      </c>
      <c r="Y81" s="883" t="str">
        <f t="shared" si="147"/>
        <v/>
      </c>
      <c r="Z81" s="884" t="str">
        <f t="shared" si="148"/>
        <v/>
      </c>
      <c r="AA81" s="853">
        <f>'2020'!L81</f>
        <v>0</v>
      </c>
      <c r="AB81" s="851">
        <f>'2021'!L81</f>
        <v>0</v>
      </c>
      <c r="AC81" s="852">
        <f>'2022'!L81</f>
        <v>0</v>
      </c>
      <c r="AD81" s="885" t="str">
        <f t="shared" si="130"/>
        <v/>
      </c>
      <c r="AE81" s="886" t="str">
        <f t="shared" si="130"/>
        <v/>
      </c>
      <c r="AF81" s="887" t="str">
        <f t="shared" si="130"/>
        <v/>
      </c>
      <c r="AG81" s="888">
        <f>'2020'!N81</f>
        <v>0</v>
      </c>
      <c r="AH81" s="889">
        <f>'2021'!N81</f>
        <v>0</v>
      </c>
      <c r="AI81" s="890">
        <f>'2022'!N81</f>
        <v>0</v>
      </c>
      <c r="AJ81" s="891"/>
      <c r="AK81" s="892"/>
      <c r="AL81" s="891"/>
      <c r="AM81" s="892"/>
      <c r="AN81" s="925"/>
      <c r="AO81" s="926"/>
      <c r="AP81" s="925"/>
      <c r="AQ81" s="927"/>
      <c r="AY81" s="1" t="str">
        <f t="shared" si="41"/>
        <v/>
      </c>
      <c r="AZ81" s="1" t="str">
        <f t="shared" si="42"/>
        <v/>
      </c>
      <c r="BA81" s="1" t="str">
        <f t="shared" si="43"/>
        <v/>
      </c>
    </row>
    <row r="82" spans="1:53" ht="15.75" hidden="1" customHeight="1" x14ac:dyDescent="0.35">
      <c r="A82" s="108" t="str">
        <f t="shared" si="126"/>
        <v/>
      </c>
      <c r="B82" s="1119"/>
      <c r="C82" s="1105"/>
      <c r="D82" s="1132"/>
      <c r="E82" s="1159"/>
      <c r="F82" s="1162"/>
      <c r="G82" s="846"/>
      <c r="H82" s="847" t="str">
        <f t="shared" si="140"/>
        <v/>
      </c>
      <c r="I82" s="847" t="str">
        <f t="shared" si="141"/>
        <v/>
      </c>
      <c r="J82" s="848" t="str">
        <f t="shared" si="142"/>
        <v/>
      </c>
      <c r="K82" s="849" t="s">
        <v>62</v>
      </c>
      <c r="L82" s="850">
        <f>'2020'!G82</f>
        <v>0</v>
      </c>
      <c r="M82" s="851">
        <f>'2021'!G82</f>
        <v>0</v>
      </c>
      <c r="N82" s="852">
        <f>'2022'!G82</f>
        <v>0</v>
      </c>
      <c r="O82" s="853">
        <f>'2020'!H82</f>
        <v>0</v>
      </c>
      <c r="P82" s="851">
        <f>'2021'!H82</f>
        <v>0</v>
      </c>
      <c r="Q82" s="852">
        <f>'2022'!H82</f>
        <v>0</v>
      </c>
      <c r="R82" s="457">
        <f t="shared" si="143"/>
        <v>0</v>
      </c>
      <c r="S82" s="883">
        <f t="shared" si="144"/>
        <v>0</v>
      </c>
      <c r="T82" s="884">
        <f t="shared" si="145"/>
        <v>0</v>
      </c>
      <c r="U82" s="853">
        <f>'2020'!J82</f>
        <v>0</v>
      </c>
      <c r="V82" s="851">
        <f>'2021'!J82</f>
        <v>0</v>
      </c>
      <c r="W82" s="852">
        <f>'2022'!J82</f>
        <v>0</v>
      </c>
      <c r="X82" s="457" t="str">
        <f t="shared" si="146"/>
        <v/>
      </c>
      <c r="Y82" s="883" t="str">
        <f t="shared" si="147"/>
        <v/>
      </c>
      <c r="Z82" s="884" t="str">
        <f t="shared" si="148"/>
        <v/>
      </c>
      <c r="AA82" s="853">
        <f>'2020'!L82</f>
        <v>0</v>
      </c>
      <c r="AB82" s="851">
        <f>'2021'!L82</f>
        <v>0</v>
      </c>
      <c r="AC82" s="852">
        <f>'2022'!L82</f>
        <v>0</v>
      </c>
      <c r="AD82" s="885" t="str">
        <f t="shared" si="130"/>
        <v/>
      </c>
      <c r="AE82" s="886" t="str">
        <f t="shared" si="130"/>
        <v/>
      </c>
      <c r="AF82" s="887" t="str">
        <f t="shared" si="130"/>
        <v/>
      </c>
      <c r="AG82" s="888">
        <f>'2020'!N82</f>
        <v>0</v>
      </c>
      <c r="AH82" s="889">
        <f>'2021'!N82</f>
        <v>0</v>
      </c>
      <c r="AI82" s="890">
        <f>'2022'!N82</f>
        <v>0</v>
      </c>
      <c r="AJ82" s="891"/>
      <c r="AK82" s="892"/>
      <c r="AL82" s="891"/>
      <c r="AM82" s="892"/>
      <c r="AN82" s="925"/>
      <c r="AO82" s="926"/>
      <c r="AP82" s="925"/>
      <c r="AQ82" s="927"/>
      <c r="AY82" s="1" t="str">
        <f t="shared" si="41"/>
        <v/>
      </c>
      <c r="AZ82" s="1" t="str">
        <f t="shared" si="42"/>
        <v/>
      </c>
      <c r="BA82" s="1" t="str">
        <f t="shared" si="43"/>
        <v/>
      </c>
    </row>
    <row r="83" spans="1:53" ht="15.75" customHeight="1" x14ac:dyDescent="0.35">
      <c r="A83" s="108" t="str">
        <f t="shared" si="126"/>
        <v>X</v>
      </c>
      <c r="B83" s="1119"/>
      <c r="C83" s="1105"/>
      <c r="D83" s="1133"/>
      <c r="E83" s="1160"/>
      <c r="F83" s="1163"/>
      <c r="G83" s="854" t="s">
        <v>146</v>
      </c>
      <c r="H83" s="855" t="str">
        <f t="shared" si="140"/>
        <v/>
      </c>
      <c r="I83" s="855" t="str">
        <f t="shared" si="141"/>
        <v>X</v>
      </c>
      <c r="J83" s="856" t="str">
        <f t="shared" si="142"/>
        <v>X</v>
      </c>
      <c r="K83" s="461" t="s">
        <v>62</v>
      </c>
      <c r="L83" s="857">
        <f>'2020'!G83</f>
        <v>0</v>
      </c>
      <c r="M83" s="858">
        <f>'2021'!G83</f>
        <v>14</v>
      </c>
      <c r="N83" s="859">
        <f>'2022'!G83</f>
        <v>5</v>
      </c>
      <c r="O83" s="860">
        <f>'2020'!H83</f>
        <v>0</v>
      </c>
      <c r="P83" s="858">
        <f>'2021'!H83</f>
        <v>14</v>
      </c>
      <c r="Q83" s="859">
        <f>'2022'!H83</f>
        <v>5</v>
      </c>
      <c r="R83" s="464">
        <f t="shared" si="143"/>
        <v>0</v>
      </c>
      <c r="S83" s="900">
        <f t="shared" si="144"/>
        <v>1</v>
      </c>
      <c r="T83" s="901">
        <f t="shared" si="145"/>
        <v>0.4</v>
      </c>
      <c r="U83" s="860">
        <f>'2020'!J83</f>
        <v>0</v>
      </c>
      <c r="V83" s="858">
        <f>'2021'!J83</f>
        <v>14</v>
      </c>
      <c r="W83" s="859">
        <f>'2022'!J83</f>
        <v>2</v>
      </c>
      <c r="X83" s="464" t="str">
        <f t="shared" si="146"/>
        <v/>
      </c>
      <c r="Y83" s="900">
        <f t="shared" si="147"/>
        <v>0.35714285714285715</v>
      </c>
      <c r="Z83" s="901">
        <f t="shared" si="148"/>
        <v>0.2</v>
      </c>
      <c r="AA83" s="860">
        <f>'2020'!L83</f>
        <v>0</v>
      </c>
      <c r="AB83" s="858">
        <f>'2021'!L83</f>
        <v>5</v>
      </c>
      <c r="AC83" s="859">
        <f>'2022'!L83</f>
        <v>1</v>
      </c>
      <c r="AD83" s="902" t="str">
        <f t="shared" si="130"/>
        <v/>
      </c>
      <c r="AE83" s="903">
        <f t="shared" si="130"/>
        <v>1</v>
      </c>
      <c r="AF83" s="904">
        <f t="shared" si="130"/>
        <v>1</v>
      </c>
      <c r="AG83" s="905">
        <f>'2020'!N83</f>
        <v>0</v>
      </c>
      <c r="AH83" s="906">
        <f>'2021'!N83</f>
        <v>5</v>
      </c>
      <c r="AI83" s="907">
        <f>'2022'!N83</f>
        <v>1</v>
      </c>
      <c r="AJ83" s="908" t="s">
        <v>21</v>
      </c>
      <c r="AK83" s="909" t="s">
        <v>21</v>
      </c>
      <c r="AL83" s="908" t="s">
        <v>21</v>
      </c>
      <c r="AM83" s="909" t="s">
        <v>21</v>
      </c>
      <c r="AN83" s="929">
        <v>14</v>
      </c>
      <c r="AO83" s="930">
        <v>14</v>
      </c>
      <c r="AP83" s="929">
        <v>0</v>
      </c>
      <c r="AQ83" s="931">
        <v>0</v>
      </c>
      <c r="AY83" s="1" t="str">
        <f t="shared" si="41"/>
        <v/>
      </c>
      <c r="AZ83" s="1" t="str">
        <f t="shared" si="42"/>
        <v>Frontière</v>
      </c>
      <c r="BA83" s="1" t="str">
        <f t="shared" si="43"/>
        <v>Frontière</v>
      </c>
    </row>
    <row r="84" spans="1:53" ht="15.5" x14ac:dyDescent="0.35">
      <c r="A84" s="108" t="str">
        <f t="shared" si="126"/>
        <v>X</v>
      </c>
      <c r="B84" s="1127"/>
      <c r="C84" s="1105"/>
      <c r="D84" s="795" t="s">
        <v>138</v>
      </c>
      <c r="E84" s="790"/>
      <c r="F84" s="801"/>
      <c r="G84" s="809"/>
      <c r="H84" s="824"/>
      <c r="I84" s="824"/>
      <c r="J84" s="825"/>
      <c r="K84" s="365"/>
      <c r="L84" s="513">
        <f>SUM(L74:L83)</f>
        <v>167</v>
      </c>
      <c r="M84" s="514">
        <f t="shared" ref="M84:Q84" si="149">SUM(M74:M83)</f>
        <v>245</v>
      </c>
      <c r="N84" s="515">
        <f t="shared" si="149"/>
        <v>302</v>
      </c>
      <c r="O84" s="516">
        <f t="shared" si="149"/>
        <v>167</v>
      </c>
      <c r="P84" s="514">
        <f t="shared" si="149"/>
        <v>245</v>
      </c>
      <c r="Q84" s="515">
        <f t="shared" si="149"/>
        <v>227</v>
      </c>
      <c r="R84" s="148">
        <f t="shared" si="54"/>
        <v>0.45035928143712572</v>
      </c>
      <c r="S84" s="483">
        <f t="shared" si="55"/>
        <v>0.5591836734693878</v>
      </c>
      <c r="T84" s="534">
        <f t="shared" si="56"/>
        <v>0.56622516556291391</v>
      </c>
      <c r="U84" s="516">
        <f>SUM(U74:U83)</f>
        <v>75.209999999999994</v>
      </c>
      <c r="V84" s="514">
        <f t="shared" ref="V84:W84" si="150">SUM(V74:V83)</f>
        <v>137</v>
      </c>
      <c r="W84" s="515">
        <f t="shared" si="150"/>
        <v>171</v>
      </c>
      <c r="X84" s="148">
        <f t="shared" si="38"/>
        <v>0.37479041916167671</v>
      </c>
      <c r="Y84" s="483">
        <f t="shared" si="39"/>
        <v>0.39591836734693875</v>
      </c>
      <c r="Z84" s="534">
        <f t="shared" si="40"/>
        <v>0.34105960264900664</v>
      </c>
      <c r="AA84" s="516">
        <f>SUM(AA74:AA83)</f>
        <v>62.590000000000011</v>
      </c>
      <c r="AB84" s="514">
        <f t="shared" ref="AB84:AC84" si="151">SUM(AB74:AB83)</f>
        <v>97</v>
      </c>
      <c r="AC84" s="515">
        <f t="shared" si="151"/>
        <v>103</v>
      </c>
      <c r="AD84" s="668">
        <f t="shared" si="130"/>
        <v>0.55760025563189008</v>
      </c>
      <c r="AE84" s="669">
        <f t="shared" si="130"/>
        <v>0.69072164948453607</v>
      </c>
      <c r="AF84" s="675">
        <f t="shared" si="130"/>
        <v>0.66990291262135926</v>
      </c>
      <c r="AG84" s="683">
        <f t="shared" ref="AG84:AI84" si="152">SUM(AG74:AG83)</f>
        <v>34.900200000000005</v>
      </c>
      <c r="AH84" s="684">
        <f t="shared" si="152"/>
        <v>67</v>
      </c>
      <c r="AI84" s="685">
        <f t="shared" si="152"/>
        <v>69</v>
      </c>
      <c r="AJ84" s="704">
        <f t="shared" ref="AJ84" si="153">SUM(AJ74:AJ83)</f>
        <v>0</v>
      </c>
      <c r="AK84" s="705">
        <f t="shared" ref="AK84" si="154">SUM(AK74:AK83)</f>
        <v>0</v>
      </c>
      <c r="AL84" s="704">
        <f t="shared" ref="AL84" si="155">SUM(AL74:AL83)</f>
        <v>0</v>
      </c>
      <c r="AM84" s="705">
        <f t="shared" ref="AM84" si="156">SUM(AM74:AM83)</f>
        <v>0</v>
      </c>
      <c r="AN84" s="704">
        <f t="shared" ref="AN84" si="157">SUM(AN74:AN83)</f>
        <v>235</v>
      </c>
      <c r="AO84" s="705">
        <f t="shared" ref="AO84" si="158">SUM(AO74:AO83)</f>
        <v>235</v>
      </c>
      <c r="AP84" s="704">
        <f t="shared" ref="AP84" si="159">SUM(AP74:AP83)</f>
        <v>10</v>
      </c>
      <c r="AQ84" s="706">
        <f t="shared" ref="AQ84" si="160">SUM(AQ74:AQ83)</f>
        <v>10</v>
      </c>
      <c r="AY84" s="1" t="str">
        <f t="shared" si="41"/>
        <v/>
      </c>
      <c r="AZ84" s="1" t="str">
        <f t="shared" si="42"/>
        <v/>
      </c>
      <c r="BA84" s="1" t="str">
        <f t="shared" si="43"/>
        <v/>
      </c>
    </row>
    <row r="85" spans="1:53" x14ac:dyDescent="0.35">
      <c r="A85" s="108" t="str">
        <f t="shared" si="126"/>
        <v>X</v>
      </c>
      <c r="B85" s="1104" t="s">
        <v>151</v>
      </c>
      <c r="C85" s="1116" t="s">
        <v>76</v>
      </c>
      <c r="D85" s="1117">
        <f>'2020'!D85</f>
        <v>14</v>
      </c>
      <c r="E85" s="1123">
        <f>'2021'!D85</f>
        <v>17</v>
      </c>
      <c r="F85" s="1124">
        <f>'2022'!D85</f>
        <v>0</v>
      </c>
      <c r="G85" s="838" t="s">
        <v>154</v>
      </c>
      <c r="H85" s="839" t="str">
        <f t="shared" ref="H85:H96" si="161">IF(L85=0,"","X")</f>
        <v/>
      </c>
      <c r="I85" s="839" t="str">
        <f t="shared" ref="I85:I96" si="162">IF(M85=0,"","X")</f>
        <v/>
      </c>
      <c r="J85" s="840" t="str">
        <f t="shared" ref="J85:J96" si="163">IF(N85=0,"","X")</f>
        <v/>
      </c>
      <c r="K85" s="841" t="s">
        <v>62</v>
      </c>
      <c r="L85" s="861">
        <f>'2020'!G85</f>
        <v>0</v>
      </c>
      <c r="M85" s="862">
        <f>'2021'!G85</f>
        <v>0</v>
      </c>
      <c r="N85" s="863">
        <f>'2022'!G85</f>
        <v>0</v>
      </c>
      <c r="O85" s="864">
        <f>'2020'!H85</f>
        <v>0</v>
      </c>
      <c r="P85" s="862">
        <f>'2021'!H85</f>
        <v>0</v>
      </c>
      <c r="Q85" s="863">
        <f>'2022'!H85</f>
        <v>0</v>
      </c>
      <c r="R85" s="450">
        <f t="shared" ref="R85:R96" si="164">IF(L85="",0,IF(U85=0,0,U85/L85))</f>
        <v>0</v>
      </c>
      <c r="S85" s="870">
        <f t="shared" ref="S85:S96" si="165">IF(M85="",0,IF(V85=0,0,V85/M85))</f>
        <v>0</v>
      </c>
      <c r="T85" s="871">
        <f t="shared" ref="T85:T96" si="166">IF(N85="",0,IF(W85=0,0,W85/N85))</f>
        <v>0</v>
      </c>
      <c r="U85" s="864">
        <f>'2020'!J85</f>
        <v>0</v>
      </c>
      <c r="V85" s="862">
        <f>'2021'!J85</f>
        <v>0</v>
      </c>
      <c r="W85" s="863">
        <f>'2022'!J85</f>
        <v>0</v>
      </c>
      <c r="X85" s="450" t="str">
        <f t="shared" ref="X85:X96" si="167">IF(L85=0,"",IF(AA85="","",AA85/L85))</f>
        <v/>
      </c>
      <c r="Y85" s="870" t="str">
        <f t="shared" ref="Y85:Y96" si="168">IF(M85=0,"",IF(AB85="","",AB85/M85))</f>
        <v/>
      </c>
      <c r="Z85" s="871" t="str">
        <f t="shared" ref="Z85:Z96" si="169">IF(N85=0,"",IF(AC85="","",AC85/N85))</f>
        <v/>
      </c>
      <c r="AA85" s="864">
        <f>'2020'!L85</f>
        <v>0</v>
      </c>
      <c r="AB85" s="862">
        <f>'2021'!L85</f>
        <v>0</v>
      </c>
      <c r="AC85" s="863">
        <f>'2022'!L85</f>
        <v>0</v>
      </c>
      <c r="AD85" s="932" t="str">
        <f t="shared" si="130"/>
        <v/>
      </c>
      <c r="AE85" s="933" t="str">
        <f t="shared" si="130"/>
        <v/>
      </c>
      <c r="AF85" s="934" t="str">
        <f t="shared" si="130"/>
        <v/>
      </c>
      <c r="AG85" s="875">
        <f>'2020'!N85</f>
        <v>0</v>
      </c>
      <c r="AH85" s="876">
        <f>'2021'!N85</f>
        <v>0</v>
      </c>
      <c r="AI85" s="877">
        <f>'2022'!N85</f>
        <v>0</v>
      </c>
      <c r="AJ85" s="878"/>
      <c r="AK85" s="879"/>
      <c r="AL85" s="878"/>
      <c r="AM85" s="879"/>
      <c r="AN85" s="922"/>
      <c r="AO85" s="923"/>
      <c r="AP85" s="922"/>
      <c r="AQ85" s="924"/>
      <c r="AR85" s="959"/>
      <c r="AY85" s="1" t="str">
        <f t="shared" si="41"/>
        <v/>
      </c>
      <c r="AZ85" s="1" t="str">
        <f t="shared" si="42"/>
        <v/>
      </c>
      <c r="BA85" s="1" t="str">
        <f t="shared" si="43"/>
        <v/>
      </c>
    </row>
    <row r="86" spans="1:53" ht="15.75" customHeight="1" x14ac:dyDescent="0.35">
      <c r="A86" s="108" t="str">
        <f t="shared" si="126"/>
        <v>X</v>
      </c>
      <c r="B86" s="1104"/>
      <c r="C86" s="1116"/>
      <c r="D86" s="1117"/>
      <c r="E86" s="1123"/>
      <c r="F86" s="1124"/>
      <c r="G86" s="846" t="s">
        <v>155</v>
      </c>
      <c r="H86" s="847" t="str">
        <f t="shared" si="161"/>
        <v/>
      </c>
      <c r="I86" s="847" t="str">
        <f t="shared" si="162"/>
        <v/>
      </c>
      <c r="J86" s="848" t="str">
        <f t="shared" si="163"/>
        <v/>
      </c>
      <c r="K86" s="849" t="s">
        <v>62</v>
      </c>
      <c r="L86" s="865">
        <f>'2020'!G86</f>
        <v>0</v>
      </c>
      <c r="M86" s="866">
        <f>'2021'!G86</f>
        <v>0</v>
      </c>
      <c r="N86" s="867">
        <f>'2022'!G86</f>
        <v>0</v>
      </c>
      <c r="O86" s="868">
        <f>'2020'!H86</f>
        <v>0</v>
      </c>
      <c r="P86" s="866">
        <f>'2021'!H86</f>
        <v>0</v>
      </c>
      <c r="Q86" s="867">
        <f>'2022'!H86</f>
        <v>0</v>
      </c>
      <c r="R86" s="457">
        <f t="shared" si="164"/>
        <v>0</v>
      </c>
      <c r="S86" s="883">
        <f t="shared" si="165"/>
        <v>0</v>
      </c>
      <c r="T86" s="884">
        <f t="shared" si="166"/>
        <v>0</v>
      </c>
      <c r="U86" s="868">
        <f>'2020'!J86</f>
        <v>0</v>
      </c>
      <c r="V86" s="866">
        <f>'2021'!J86</f>
        <v>0</v>
      </c>
      <c r="W86" s="867">
        <f>'2022'!J86</f>
        <v>0</v>
      </c>
      <c r="X86" s="457" t="str">
        <f t="shared" si="167"/>
        <v/>
      </c>
      <c r="Y86" s="883" t="str">
        <f t="shared" si="168"/>
        <v/>
      </c>
      <c r="Z86" s="884" t="str">
        <f t="shared" si="169"/>
        <v/>
      </c>
      <c r="AA86" s="868">
        <f>'2020'!L86</f>
        <v>0</v>
      </c>
      <c r="AB86" s="866">
        <f>'2021'!L86</f>
        <v>0</v>
      </c>
      <c r="AC86" s="867">
        <f>'2022'!L86</f>
        <v>0</v>
      </c>
      <c r="AD86" s="935" t="str">
        <f t="shared" si="130"/>
        <v/>
      </c>
      <c r="AE86" s="936" t="str">
        <f t="shared" si="130"/>
        <v/>
      </c>
      <c r="AF86" s="937" t="str">
        <f t="shared" si="130"/>
        <v/>
      </c>
      <c r="AG86" s="888">
        <f>'2020'!N86</f>
        <v>0</v>
      </c>
      <c r="AH86" s="889">
        <f>'2021'!N86</f>
        <v>0</v>
      </c>
      <c r="AI86" s="890">
        <f>'2022'!N86</f>
        <v>0</v>
      </c>
      <c r="AJ86" s="891"/>
      <c r="AK86" s="892"/>
      <c r="AL86" s="891"/>
      <c r="AM86" s="892"/>
      <c r="AN86" s="925"/>
      <c r="AO86" s="926"/>
      <c r="AP86" s="925"/>
      <c r="AQ86" s="927"/>
      <c r="AR86" s="960"/>
      <c r="AY86" s="1" t="str">
        <f t="shared" si="41"/>
        <v/>
      </c>
      <c r="AZ86" s="1" t="str">
        <f t="shared" si="42"/>
        <v/>
      </c>
      <c r="BA86" s="1" t="str">
        <f t="shared" si="43"/>
        <v/>
      </c>
    </row>
    <row r="87" spans="1:53" ht="15.75" customHeight="1" x14ac:dyDescent="0.35">
      <c r="A87" s="108" t="str">
        <f t="shared" si="126"/>
        <v>X</v>
      </c>
      <c r="B87" s="1104"/>
      <c r="C87" s="1116"/>
      <c r="D87" s="1117"/>
      <c r="E87" s="1123"/>
      <c r="F87" s="1124"/>
      <c r="G87" s="846" t="s">
        <v>156</v>
      </c>
      <c r="H87" s="847" t="str">
        <f t="shared" si="161"/>
        <v/>
      </c>
      <c r="I87" s="847" t="str">
        <f t="shared" si="162"/>
        <v/>
      </c>
      <c r="J87" s="848" t="str">
        <f t="shared" si="163"/>
        <v/>
      </c>
      <c r="K87" s="849" t="s">
        <v>62</v>
      </c>
      <c r="L87" s="865">
        <f>'2020'!G87</f>
        <v>0</v>
      </c>
      <c r="M87" s="866">
        <f>'2021'!G87</f>
        <v>0</v>
      </c>
      <c r="N87" s="867">
        <f>'2022'!G87</f>
        <v>0</v>
      </c>
      <c r="O87" s="868">
        <f>'2020'!H87</f>
        <v>0</v>
      </c>
      <c r="P87" s="866">
        <f>'2021'!H87</f>
        <v>0</v>
      </c>
      <c r="Q87" s="867">
        <f>'2022'!H87</f>
        <v>0</v>
      </c>
      <c r="R87" s="457">
        <f t="shared" si="164"/>
        <v>0</v>
      </c>
      <c r="S87" s="883">
        <f t="shared" si="165"/>
        <v>0</v>
      </c>
      <c r="T87" s="884">
        <f t="shared" si="166"/>
        <v>0</v>
      </c>
      <c r="U87" s="868">
        <f>'2020'!J87</f>
        <v>0</v>
      </c>
      <c r="V87" s="866">
        <f>'2021'!J87</f>
        <v>0</v>
      </c>
      <c r="W87" s="867">
        <f>'2022'!J87</f>
        <v>0</v>
      </c>
      <c r="X87" s="457" t="str">
        <f t="shared" si="167"/>
        <v/>
      </c>
      <c r="Y87" s="883" t="str">
        <f t="shared" si="168"/>
        <v/>
      </c>
      <c r="Z87" s="884" t="str">
        <f t="shared" si="169"/>
        <v/>
      </c>
      <c r="AA87" s="868">
        <f>'2020'!L87</f>
        <v>0</v>
      </c>
      <c r="AB87" s="866">
        <f>'2021'!L87</f>
        <v>0</v>
      </c>
      <c r="AC87" s="867">
        <f>'2022'!L87</f>
        <v>0</v>
      </c>
      <c r="AD87" s="935" t="str">
        <f t="shared" si="130"/>
        <v/>
      </c>
      <c r="AE87" s="936" t="str">
        <f t="shared" si="130"/>
        <v/>
      </c>
      <c r="AF87" s="937" t="str">
        <f t="shared" si="130"/>
        <v/>
      </c>
      <c r="AG87" s="888">
        <f>'2020'!N87</f>
        <v>0</v>
      </c>
      <c r="AH87" s="889">
        <f>'2021'!N87</f>
        <v>0</v>
      </c>
      <c r="AI87" s="890">
        <f>'2022'!N87</f>
        <v>0</v>
      </c>
      <c r="AJ87" s="891"/>
      <c r="AK87" s="892"/>
      <c r="AL87" s="891"/>
      <c r="AM87" s="892"/>
      <c r="AN87" s="925"/>
      <c r="AO87" s="926"/>
      <c r="AP87" s="925"/>
      <c r="AQ87" s="927"/>
      <c r="AR87" s="960"/>
      <c r="AY87" s="1" t="str">
        <f t="shared" si="41"/>
        <v/>
      </c>
      <c r="AZ87" s="1" t="str">
        <f t="shared" si="42"/>
        <v/>
      </c>
      <c r="BA87" s="1" t="str">
        <f t="shared" si="43"/>
        <v/>
      </c>
    </row>
    <row r="88" spans="1:53" ht="15" customHeight="1" x14ac:dyDescent="0.35">
      <c r="A88" s="108" t="str">
        <f t="shared" si="126"/>
        <v>X</v>
      </c>
      <c r="B88" s="1104"/>
      <c r="C88" s="1116"/>
      <c r="D88" s="1117"/>
      <c r="E88" s="1123"/>
      <c r="F88" s="1124"/>
      <c r="G88" s="846" t="s">
        <v>37</v>
      </c>
      <c r="H88" s="847" t="str">
        <f t="shared" si="161"/>
        <v>X</v>
      </c>
      <c r="I88" s="847" t="str">
        <f t="shared" si="162"/>
        <v>X</v>
      </c>
      <c r="J88" s="848" t="str">
        <f t="shared" si="163"/>
        <v/>
      </c>
      <c r="K88" s="869" t="s">
        <v>62</v>
      </c>
      <c r="L88" s="850">
        <f>'2020'!G88</f>
        <v>217</v>
      </c>
      <c r="M88" s="851">
        <f>'2021'!G88</f>
        <v>346</v>
      </c>
      <c r="N88" s="852">
        <f>'2022'!G88</f>
        <v>0</v>
      </c>
      <c r="O88" s="853">
        <f>'2020'!H88</f>
        <v>102</v>
      </c>
      <c r="P88" s="851">
        <f>'2021'!H88</f>
        <v>174</v>
      </c>
      <c r="Q88" s="852">
        <f>'2022'!H88</f>
        <v>0</v>
      </c>
      <c r="R88" s="457">
        <f t="shared" si="164"/>
        <v>0.28999999999999998</v>
      </c>
      <c r="S88" s="883">
        <f t="shared" si="165"/>
        <v>0.31502890173410403</v>
      </c>
      <c r="T88" s="884">
        <f t="shared" si="166"/>
        <v>0</v>
      </c>
      <c r="U88" s="853">
        <f>'2020'!J88</f>
        <v>62.929999999999993</v>
      </c>
      <c r="V88" s="851">
        <f>'2021'!J88</f>
        <v>109</v>
      </c>
      <c r="W88" s="852">
        <f>'2022'!J88</f>
        <v>0</v>
      </c>
      <c r="X88" s="457">
        <f t="shared" si="167"/>
        <v>0.31797235023041476</v>
      </c>
      <c r="Y88" s="883">
        <f t="shared" si="168"/>
        <v>0.23699421965317918</v>
      </c>
      <c r="Z88" s="884" t="str">
        <f t="shared" si="169"/>
        <v/>
      </c>
      <c r="AA88" s="853">
        <f>'2020'!L88</f>
        <v>69</v>
      </c>
      <c r="AB88" s="851">
        <f>'2021'!L88</f>
        <v>82</v>
      </c>
      <c r="AC88" s="852">
        <f>'2022'!L88</f>
        <v>0</v>
      </c>
      <c r="AD88" s="885" t="str">
        <f t="shared" ref="AD88:AD96" si="170">IF(AA88=0,"",IF(AG88="-","",AG88/AA88))</f>
        <v/>
      </c>
      <c r="AE88" s="886">
        <f t="shared" ref="AE88:AE96" si="171">IF(AB88=0,"",IF(AH88="-","",AH88/AB88))</f>
        <v>0.52439024390243905</v>
      </c>
      <c r="AF88" s="887" t="str">
        <f t="shared" ref="AF88:AF96" si="172">IF(AC88=0,"",IF(AI88="-","",AI88/AC88))</f>
        <v/>
      </c>
      <c r="AG88" s="888" t="str">
        <f>'2020'!N88</f>
        <v>-</v>
      </c>
      <c r="AH88" s="889">
        <f>'2021'!N88</f>
        <v>43</v>
      </c>
      <c r="AI88" s="890">
        <f>'2022'!N88</f>
        <v>0</v>
      </c>
      <c r="AJ88" s="891">
        <v>11</v>
      </c>
      <c r="AK88" s="892">
        <v>7</v>
      </c>
      <c r="AL88" s="891">
        <v>50</v>
      </c>
      <c r="AM88" s="892">
        <v>36</v>
      </c>
      <c r="AN88" s="925">
        <v>374</v>
      </c>
      <c r="AO88" s="926">
        <v>195</v>
      </c>
      <c r="AP88" s="925">
        <v>22</v>
      </c>
      <c r="AQ88" s="927">
        <v>15</v>
      </c>
      <c r="AR88" s="960"/>
      <c r="AY88" s="1" t="str">
        <f t="shared" si="41"/>
        <v>Frontière</v>
      </c>
      <c r="AZ88" s="1" t="str">
        <f t="shared" si="42"/>
        <v>Frontière</v>
      </c>
      <c r="BA88" s="1" t="str">
        <f t="shared" si="43"/>
        <v/>
      </c>
    </row>
    <row r="89" spans="1:53" ht="15" customHeight="1" x14ac:dyDescent="0.35">
      <c r="A89" s="108" t="str">
        <f t="shared" si="126"/>
        <v>X</v>
      </c>
      <c r="B89" s="1104"/>
      <c r="C89" s="1116"/>
      <c r="D89" s="1117"/>
      <c r="E89" s="1123"/>
      <c r="F89" s="1124"/>
      <c r="G89" s="846" t="s">
        <v>157</v>
      </c>
      <c r="H89" s="847" t="str">
        <f t="shared" si="161"/>
        <v>X</v>
      </c>
      <c r="I89" s="847" t="str">
        <f t="shared" si="162"/>
        <v>X</v>
      </c>
      <c r="J89" s="848" t="str">
        <f t="shared" si="163"/>
        <v/>
      </c>
      <c r="K89" s="869" t="s">
        <v>62</v>
      </c>
      <c r="L89" s="850">
        <f>'2020'!G89</f>
        <v>156</v>
      </c>
      <c r="M89" s="851">
        <f>'2021'!G89</f>
        <v>230</v>
      </c>
      <c r="N89" s="852">
        <f>'2022'!G89</f>
        <v>0</v>
      </c>
      <c r="O89" s="853">
        <f>'2020'!H89</f>
        <v>87</v>
      </c>
      <c r="P89" s="851">
        <f>'2021'!H89</f>
        <v>116</v>
      </c>
      <c r="Q89" s="852">
        <f>'2022'!H89</f>
        <v>0</v>
      </c>
      <c r="R89" s="457">
        <f t="shared" si="164"/>
        <v>0.4</v>
      </c>
      <c r="S89" s="883">
        <f t="shared" si="165"/>
        <v>0.4</v>
      </c>
      <c r="T89" s="884">
        <f t="shared" si="166"/>
        <v>0</v>
      </c>
      <c r="U89" s="853">
        <f>'2020'!J89</f>
        <v>62.400000000000006</v>
      </c>
      <c r="V89" s="851">
        <f>'2021'!J89</f>
        <v>92</v>
      </c>
      <c r="W89" s="852">
        <f>'2022'!J89</f>
        <v>0</v>
      </c>
      <c r="X89" s="457">
        <f t="shared" si="167"/>
        <v>0.39102564102564102</v>
      </c>
      <c r="Y89" s="883">
        <f t="shared" si="168"/>
        <v>0.33478260869565218</v>
      </c>
      <c r="Z89" s="884" t="str">
        <f t="shared" si="169"/>
        <v/>
      </c>
      <c r="AA89" s="853">
        <f>'2020'!L89</f>
        <v>61</v>
      </c>
      <c r="AB89" s="851">
        <f>'2021'!L89</f>
        <v>77</v>
      </c>
      <c r="AC89" s="852">
        <f>'2022'!L89</f>
        <v>0</v>
      </c>
      <c r="AD89" s="885" t="str">
        <f t="shared" si="170"/>
        <v/>
      </c>
      <c r="AE89" s="886">
        <f t="shared" si="171"/>
        <v>0.45454545454545453</v>
      </c>
      <c r="AF89" s="887" t="str">
        <f t="shared" si="172"/>
        <v/>
      </c>
      <c r="AG89" s="888" t="str">
        <f>'2020'!N89</f>
        <v>-</v>
      </c>
      <c r="AH89" s="889">
        <f>'2021'!N89</f>
        <v>35</v>
      </c>
      <c r="AI89" s="890">
        <f>'2022'!N89</f>
        <v>0</v>
      </c>
      <c r="AJ89" s="891">
        <v>20</v>
      </c>
      <c r="AK89" s="892">
        <v>9</v>
      </c>
      <c r="AL89" s="891">
        <v>4</v>
      </c>
      <c r="AM89" s="892">
        <v>3</v>
      </c>
      <c r="AN89" s="925">
        <v>216</v>
      </c>
      <c r="AO89" s="926">
        <v>106</v>
      </c>
      <c r="AP89" s="925">
        <v>18</v>
      </c>
      <c r="AQ89" s="927">
        <v>10</v>
      </c>
      <c r="AR89" s="960"/>
      <c r="AY89" s="1" t="str">
        <f t="shared" si="41"/>
        <v>Frontière</v>
      </c>
      <c r="AZ89" s="1" t="str">
        <f t="shared" si="42"/>
        <v>Frontière</v>
      </c>
      <c r="BA89" s="1" t="str">
        <f t="shared" si="43"/>
        <v/>
      </c>
    </row>
    <row r="90" spans="1:53" ht="15" customHeight="1" x14ac:dyDescent="0.35">
      <c r="A90" s="108" t="str">
        <f t="shared" si="126"/>
        <v>X</v>
      </c>
      <c r="B90" s="1104"/>
      <c r="C90" s="1116"/>
      <c r="D90" s="1117"/>
      <c r="E90" s="1123"/>
      <c r="F90" s="1124"/>
      <c r="G90" s="846" t="s">
        <v>38</v>
      </c>
      <c r="H90" s="847" t="str">
        <f t="shared" si="161"/>
        <v>X</v>
      </c>
      <c r="I90" s="847" t="str">
        <f t="shared" si="162"/>
        <v>X</v>
      </c>
      <c r="J90" s="848" t="str">
        <f t="shared" si="163"/>
        <v/>
      </c>
      <c r="K90" s="869" t="s">
        <v>62</v>
      </c>
      <c r="L90" s="850">
        <f>'2020'!G90</f>
        <v>167</v>
      </c>
      <c r="M90" s="851">
        <f>'2021'!G90</f>
        <v>239</v>
      </c>
      <c r="N90" s="852">
        <f>'2022'!G90</f>
        <v>0</v>
      </c>
      <c r="O90" s="853">
        <f>'2020'!H90</f>
        <v>80</v>
      </c>
      <c r="P90" s="851">
        <f>'2021'!H90</f>
        <v>114</v>
      </c>
      <c r="Q90" s="852">
        <f>'2022'!H90</f>
        <v>0</v>
      </c>
      <c r="R90" s="457">
        <f t="shared" si="164"/>
        <v>0.26</v>
      </c>
      <c r="S90" s="883">
        <f t="shared" si="165"/>
        <v>0.35564853556485354</v>
      </c>
      <c r="T90" s="884">
        <f t="shared" si="166"/>
        <v>0</v>
      </c>
      <c r="U90" s="853">
        <f>'2020'!J90</f>
        <v>43.42</v>
      </c>
      <c r="V90" s="851">
        <f>'2021'!J90</f>
        <v>85</v>
      </c>
      <c r="W90" s="852">
        <f>'2022'!J90</f>
        <v>0</v>
      </c>
      <c r="X90" s="457">
        <f t="shared" si="167"/>
        <v>0.3712574850299401</v>
      </c>
      <c r="Y90" s="883">
        <f t="shared" si="168"/>
        <v>0.32217573221757323</v>
      </c>
      <c r="Z90" s="884" t="str">
        <f t="shared" si="169"/>
        <v/>
      </c>
      <c r="AA90" s="853">
        <f>'2020'!L90</f>
        <v>62</v>
      </c>
      <c r="AB90" s="851">
        <f>'2021'!L90</f>
        <v>77</v>
      </c>
      <c r="AC90" s="852">
        <f>'2022'!L90</f>
        <v>0</v>
      </c>
      <c r="AD90" s="885" t="str">
        <f t="shared" si="170"/>
        <v/>
      </c>
      <c r="AE90" s="886">
        <f t="shared" si="171"/>
        <v>0.38961038961038963</v>
      </c>
      <c r="AF90" s="887" t="str">
        <f t="shared" si="172"/>
        <v/>
      </c>
      <c r="AG90" s="888" t="str">
        <f>'2020'!N90</f>
        <v>-</v>
      </c>
      <c r="AH90" s="889">
        <f>'2021'!N90</f>
        <v>30</v>
      </c>
      <c r="AI90" s="890">
        <f>'2022'!N90</f>
        <v>0</v>
      </c>
      <c r="AJ90" s="891">
        <v>13</v>
      </c>
      <c r="AK90" s="892">
        <v>5</v>
      </c>
      <c r="AL90" s="891">
        <v>36</v>
      </c>
      <c r="AM90" s="892">
        <v>17</v>
      </c>
      <c r="AN90" s="925">
        <v>228</v>
      </c>
      <c r="AO90" s="926">
        <v>105</v>
      </c>
      <c r="AP90" s="925">
        <v>47</v>
      </c>
      <c r="AQ90" s="927">
        <v>26</v>
      </c>
      <c r="AR90" s="960"/>
      <c r="AY90" s="1" t="str">
        <f t="shared" si="41"/>
        <v>Frontière</v>
      </c>
      <c r="AZ90" s="1" t="str">
        <f t="shared" si="42"/>
        <v>Frontière</v>
      </c>
      <c r="BA90" s="1" t="str">
        <f t="shared" si="43"/>
        <v/>
      </c>
    </row>
    <row r="91" spans="1:53" ht="15" customHeight="1" x14ac:dyDescent="0.35">
      <c r="A91" s="108" t="str">
        <f t="shared" si="126"/>
        <v>X</v>
      </c>
      <c r="B91" s="1104"/>
      <c r="C91" s="1116"/>
      <c r="D91" s="1117"/>
      <c r="E91" s="1123"/>
      <c r="F91" s="1124"/>
      <c r="G91" s="846" t="s">
        <v>158</v>
      </c>
      <c r="H91" s="847" t="str">
        <f t="shared" si="161"/>
        <v/>
      </c>
      <c r="I91" s="847" t="str">
        <f t="shared" si="162"/>
        <v/>
      </c>
      <c r="J91" s="848" t="str">
        <f t="shared" si="163"/>
        <v/>
      </c>
      <c r="K91" s="849" t="s">
        <v>62</v>
      </c>
      <c r="L91" s="850">
        <f>'2020'!G91</f>
        <v>0</v>
      </c>
      <c r="M91" s="851">
        <f>'2021'!G91</f>
        <v>0</v>
      </c>
      <c r="N91" s="852">
        <f>'2022'!G91</f>
        <v>0</v>
      </c>
      <c r="O91" s="853">
        <f>'2020'!H91</f>
        <v>0</v>
      </c>
      <c r="P91" s="851">
        <f>'2021'!H91</f>
        <v>0</v>
      </c>
      <c r="Q91" s="852">
        <f>'2022'!H91</f>
        <v>0</v>
      </c>
      <c r="R91" s="457">
        <f t="shared" si="164"/>
        <v>0</v>
      </c>
      <c r="S91" s="883">
        <f t="shared" si="165"/>
        <v>0</v>
      </c>
      <c r="T91" s="884">
        <f t="shared" si="166"/>
        <v>0</v>
      </c>
      <c r="U91" s="853">
        <f>'2020'!J91</f>
        <v>0</v>
      </c>
      <c r="V91" s="851">
        <f>'2021'!J91</f>
        <v>0</v>
      </c>
      <c r="W91" s="852">
        <f>'2022'!J91</f>
        <v>0</v>
      </c>
      <c r="X91" s="457" t="str">
        <f t="shared" si="167"/>
        <v/>
      </c>
      <c r="Y91" s="883" t="str">
        <f t="shared" si="168"/>
        <v/>
      </c>
      <c r="Z91" s="884" t="str">
        <f t="shared" si="169"/>
        <v/>
      </c>
      <c r="AA91" s="853">
        <f>'2020'!L91</f>
        <v>0</v>
      </c>
      <c r="AB91" s="851">
        <f>'2021'!L91</f>
        <v>0</v>
      </c>
      <c r="AC91" s="852">
        <f>'2022'!L91</f>
        <v>0</v>
      </c>
      <c r="AD91" s="885" t="str">
        <f t="shared" si="170"/>
        <v/>
      </c>
      <c r="AE91" s="886" t="str">
        <f t="shared" si="171"/>
        <v/>
      </c>
      <c r="AF91" s="887" t="str">
        <f t="shared" si="172"/>
        <v/>
      </c>
      <c r="AG91" s="888">
        <f>'2020'!N91</f>
        <v>0</v>
      </c>
      <c r="AH91" s="889">
        <f>'2021'!N91</f>
        <v>0</v>
      </c>
      <c r="AI91" s="890">
        <f>'2022'!N91</f>
        <v>0</v>
      </c>
      <c r="AJ91" s="891"/>
      <c r="AK91" s="892"/>
      <c r="AL91" s="891"/>
      <c r="AM91" s="892"/>
      <c r="AN91" s="925"/>
      <c r="AO91" s="926"/>
      <c r="AP91" s="925"/>
      <c r="AQ91" s="927"/>
      <c r="AR91" s="960"/>
      <c r="AY91" s="1" t="str">
        <f t="shared" si="41"/>
        <v/>
      </c>
      <c r="AZ91" s="1" t="str">
        <f t="shared" si="42"/>
        <v/>
      </c>
      <c r="BA91" s="1" t="str">
        <f t="shared" si="43"/>
        <v/>
      </c>
    </row>
    <row r="92" spans="1:53" ht="15" customHeight="1" x14ac:dyDescent="0.35">
      <c r="A92" s="108" t="str">
        <f t="shared" si="126"/>
        <v>X</v>
      </c>
      <c r="B92" s="1104"/>
      <c r="C92" s="1116"/>
      <c r="D92" s="1117"/>
      <c r="E92" s="1123"/>
      <c r="F92" s="1124"/>
      <c r="G92" s="846" t="s">
        <v>148</v>
      </c>
      <c r="H92" s="847" t="str">
        <f t="shared" si="161"/>
        <v/>
      </c>
      <c r="I92" s="847" t="str">
        <f t="shared" si="162"/>
        <v>X</v>
      </c>
      <c r="J92" s="848" t="str">
        <f t="shared" si="163"/>
        <v/>
      </c>
      <c r="K92" s="849" t="s">
        <v>62</v>
      </c>
      <c r="L92" s="850">
        <f>'2020'!G92</f>
        <v>0</v>
      </c>
      <c r="M92" s="851">
        <f>'2021'!G92</f>
        <v>40</v>
      </c>
      <c r="N92" s="852">
        <f>'2022'!G92</f>
        <v>0</v>
      </c>
      <c r="O92" s="853">
        <f>'2020'!H92</f>
        <v>0</v>
      </c>
      <c r="P92" s="851">
        <f>'2021'!H92</f>
        <v>20</v>
      </c>
      <c r="Q92" s="852">
        <f>'2022'!H92</f>
        <v>0</v>
      </c>
      <c r="R92" s="457">
        <f t="shared" si="164"/>
        <v>0</v>
      </c>
      <c r="S92" s="883">
        <f t="shared" si="165"/>
        <v>0.375</v>
      </c>
      <c r="T92" s="884">
        <f t="shared" si="166"/>
        <v>0</v>
      </c>
      <c r="U92" s="853">
        <f>'2020'!J92</f>
        <v>0</v>
      </c>
      <c r="V92" s="851">
        <f>'2021'!J92</f>
        <v>15</v>
      </c>
      <c r="W92" s="852">
        <f>'2022'!J92</f>
        <v>0</v>
      </c>
      <c r="X92" s="457" t="str">
        <f t="shared" si="167"/>
        <v/>
      </c>
      <c r="Y92" s="883">
        <f t="shared" si="168"/>
        <v>0.32500000000000001</v>
      </c>
      <c r="Z92" s="884" t="str">
        <f t="shared" si="169"/>
        <v/>
      </c>
      <c r="AA92" s="853">
        <f>'2020'!L92</f>
        <v>0</v>
      </c>
      <c r="AB92" s="851">
        <f>'2021'!L92</f>
        <v>13</v>
      </c>
      <c r="AC92" s="852">
        <f>'2022'!L92</f>
        <v>0</v>
      </c>
      <c r="AD92" s="885" t="str">
        <f t="shared" si="170"/>
        <v/>
      </c>
      <c r="AE92" s="886">
        <f t="shared" si="171"/>
        <v>0.53846153846153844</v>
      </c>
      <c r="AF92" s="887" t="str">
        <f t="shared" si="172"/>
        <v/>
      </c>
      <c r="AG92" s="888">
        <f>'2020'!N92</f>
        <v>0</v>
      </c>
      <c r="AH92" s="889">
        <f>'2021'!N92</f>
        <v>7</v>
      </c>
      <c r="AI92" s="890">
        <f>'2022'!N92</f>
        <v>0</v>
      </c>
      <c r="AJ92" s="891">
        <v>0</v>
      </c>
      <c r="AK92" s="892">
        <v>0</v>
      </c>
      <c r="AL92" s="891">
        <v>0</v>
      </c>
      <c r="AM92" s="892">
        <v>0</v>
      </c>
      <c r="AN92" s="925">
        <v>28</v>
      </c>
      <c r="AO92" s="926">
        <v>15</v>
      </c>
      <c r="AP92" s="925">
        <v>12</v>
      </c>
      <c r="AQ92" s="927">
        <v>5</v>
      </c>
      <c r="AR92" s="960"/>
      <c r="AY92" s="1" t="str">
        <f t="shared" si="41"/>
        <v/>
      </c>
      <c r="AZ92" s="1" t="str">
        <f t="shared" si="42"/>
        <v>Frontière</v>
      </c>
      <c r="BA92" s="1" t="str">
        <f t="shared" si="43"/>
        <v/>
      </c>
    </row>
    <row r="93" spans="1:53" ht="15" customHeight="1" x14ac:dyDescent="0.35">
      <c r="A93" s="108" t="str">
        <f t="shared" si="126"/>
        <v>X</v>
      </c>
      <c r="B93" s="1104"/>
      <c r="C93" s="1116"/>
      <c r="D93" s="1117"/>
      <c r="E93" s="1123"/>
      <c r="F93" s="1124"/>
      <c r="G93" s="846" t="s">
        <v>149</v>
      </c>
      <c r="H93" s="847" t="str">
        <f t="shared" si="161"/>
        <v/>
      </c>
      <c r="I93" s="847" t="str">
        <f t="shared" si="162"/>
        <v>X</v>
      </c>
      <c r="J93" s="848" t="str">
        <f t="shared" si="163"/>
        <v/>
      </c>
      <c r="K93" s="869" t="s">
        <v>62</v>
      </c>
      <c r="L93" s="850">
        <f>'2020'!G93</f>
        <v>0</v>
      </c>
      <c r="M93" s="851">
        <f>'2021'!G93</f>
        <v>24</v>
      </c>
      <c r="N93" s="852">
        <f>'2022'!G93</f>
        <v>0</v>
      </c>
      <c r="O93" s="853">
        <f>'2020'!H93</f>
        <v>0</v>
      </c>
      <c r="P93" s="851">
        <f>'2021'!H93</f>
        <v>18</v>
      </c>
      <c r="Q93" s="852">
        <f>'2022'!H93</f>
        <v>0</v>
      </c>
      <c r="R93" s="457">
        <f t="shared" si="164"/>
        <v>0</v>
      </c>
      <c r="S93" s="883">
        <f t="shared" si="165"/>
        <v>0.45833333333333331</v>
      </c>
      <c r="T93" s="884">
        <f t="shared" si="166"/>
        <v>0</v>
      </c>
      <c r="U93" s="853">
        <f>'2020'!J93</f>
        <v>0</v>
      </c>
      <c r="V93" s="851">
        <f>'2021'!J93</f>
        <v>11</v>
      </c>
      <c r="W93" s="852">
        <f>'2022'!J93</f>
        <v>0</v>
      </c>
      <c r="X93" s="457" t="str">
        <f t="shared" si="167"/>
        <v/>
      </c>
      <c r="Y93" s="883">
        <f t="shared" si="168"/>
        <v>0.33333333333333331</v>
      </c>
      <c r="Z93" s="884" t="str">
        <f t="shared" si="169"/>
        <v/>
      </c>
      <c r="AA93" s="853">
        <f>'2020'!L93</f>
        <v>0</v>
      </c>
      <c r="AB93" s="851">
        <f>'2021'!L93</f>
        <v>8</v>
      </c>
      <c r="AC93" s="852">
        <f>'2022'!L93</f>
        <v>0</v>
      </c>
      <c r="AD93" s="885" t="str">
        <f t="shared" si="170"/>
        <v/>
      </c>
      <c r="AE93" s="886">
        <f t="shared" si="171"/>
        <v>0.5</v>
      </c>
      <c r="AF93" s="887" t="str">
        <f t="shared" si="172"/>
        <v/>
      </c>
      <c r="AG93" s="888">
        <f>'2020'!N93</f>
        <v>0</v>
      </c>
      <c r="AH93" s="889">
        <f>'2021'!N93</f>
        <v>4</v>
      </c>
      <c r="AI93" s="890">
        <f>'2022'!N93</f>
        <v>0</v>
      </c>
      <c r="AJ93" s="891">
        <v>1</v>
      </c>
      <c r="AK93" s="892">
        <v>1</v>
      </c>
      <c r="AL93" s="891">
        <v>10</v>
      </c>
      <c r="AM93" s="892">
        <v>9</v>
      </c>
      <c r="AN93" s="925">
        <v>32</v>
      </c>
      <c r="AO93" s="926">
        <v>25</v>
      </c>
      <c r="AP93" s="925">
        <v>2</v>
      </c>
      <c r="AQ93" s="927">
        <v>2</v>
      </c>
      <c r="AR93" s="960"/>
      <c r="AY93" s="1" t="str">
        <f t="shared" si="41"/>
        <v/>
      </c>
      <c r="AZ93" s="1" t="str">
        <f t="shared" si="42"/>
        <v>Frontière</v>
      </c>
      <c r="BA93" s="1" t="str">
        <f t="shared" si="43"/>
        <v/>
      </c>
    </row>
    <row r="94" spans="1:53" ht="15" hidden="1" customHeight="1" x14ac:dyDescent="0.35">
      <c r="A94" s="108" t="str">
        <f t="shared" si="126"/>
        <v/>
      </c>
      <c r="B94" s="1104"/>
      <c r="C94" s="1116"/>
      <c r="D94" s="1117"/>
      <c r="E94" s="1123"/>
      <c r="F94" s="1124"/>
      <c r="G94" s="846"/>
      <c r="H94" s="847" t="str">
        <f t="shared" si="161"/>
        <v/>
      </c>
      <c r="I94" s="847" t="str">
        <f t="shared" si="162"/>
        <v/>
      </c>
      <c r="J94" s="848" t="str">
        <f t="shared" si="163"/>
        <v/>
      </c>
      <c r="K94" s="869" t="s">
        <v>62</v>
      </c>
      <c r="L94" s="850">
        <f>'2020'!G94</f>
        <v>0</v>
      </c>
      <c r="M94" s="851">
        <f>'2021'!G94</f>
        <v>0</v>
      </c>
      <c r="N94" s="852">
        <f>'2022'!G94</f>
        <v>0</v>
      </c>
      <c r="O94" s="853">
        <f>'2020'!H94</f>
        <v>0</v>
      </c>
      <c r="P94" s="851">
        <f>'2021'!H94</f>
        <v>0</v>
      </c>
      <c r="Q94" s="852">
        <f>'2022'!H94</f>
        <v>0</v>
      </c>
      <c r="R94" s="457">
        <f t="shared" si="164"/>
        <v>0</v>
      </c>
      <c r="S94" s="883">
        <f t="shared" si="165"/>
        <v>0</v>
      </c>
      <c r="T94" s="884">
        <f t="shared" si="166"/>
        <v>0</v>
      </c>
      <c r="U94" s="853">
        <f>'2020'!J94</f>
        <v>0</v>
      </c>
      <c r="V94" s="851">
        <f>'2021'!J94</f>
        <v>0</v>
      </c>
      <c r="W94" s="852">
        <f>'2022'!J94</f>
        <v>0</v>
      </c>
      <c r="X94" s="457" t="str">
        <f t="shared" si="167"/>
        <v/>
      </c>
      <c r="Y94" s="883" t="str">
        <f t="shared" si="168"/>
        <v/>
      </c>
      <c r="Z94" s="884" t="str">
        <f t="shared" si="169"/>
        <v/>
      </c>
      <c r="AA94" s="853">
        <f>'2020'!L94</f>
        <v>0</v>
      </c>
      <c r="AB94" s="851">
        <f>'2021'!L94</f>
        <v>0</v>
      </c>
      <c r="AC94" s="852">
        <f>'2022'!L94</f>
        <v>0</v>
      </c>
      <c r="AD94" s="885" t="str">
        <f t="shared" si="170"/>
        <v/>
      </c>
      <c r="AE94" s="886" t="str">
        <f t="shared" si="171"/>
        <v/>
      </c>
      <c r="AF94" s="887" t="str">
        <f t="shared" si="172"/>
        <v/>
      </c>
      <c r="AG94" s="888">
        <f>'2020'!N94</f>
        <v>0</v>
      </c>
      <c r="AH94" s="889">
        <f>'2021'!N94</f>
        <v>0</v>
      </c>
      <c r="AI94" s="890">
        <f>'2022'!N94</f>
        <v>0</v>
      </c>
      <c r="AJ94" s="891"/>
      <c r="AK94" s="892"/>
      <c r="AL94" s="891"/>
      <c r="AM94" s="892"/>
      <c r="AN94" s="925"/>
      <c r="AO94" s="926"/>
      <c r="AP94" s="925"/>
      <c r="AQ94" s="927"/>
      <c r="AR94" s="960"/>
      <c r="AY94" s="1" t="str">
        <f t="shared" si="41"/>
        <v/>
      </c>
      <c r="AZ94" s="1" t="str">
        <f t="shared" si="42"/>
        <v/>
      </c>
      <c r="BA94" s="1" t="str">
        <f t="shared" si="43"/>
        <v/>
      </c>
    </row>
    <row r="95" spans="1:53" ht="15" hidden="1" customHeight="1" x14ac:dyDescent="0.35">
      <c r="A95" s="108" t="str">
        <f t="shared" si="126"/>
        <v/>
      </c>
      <c r="B95" s="1104"/>
      <c r="C95" s="1116"/>
      <c r="D95" s="1117"/>
      <c r="E95" s="1123"/>
      <c r="F95" s="1124"/>
      <c r="G95" s="846"/>
      <c r="H95" s="847" t="str">
        <f t="shared" si="161"/>
        <v/>
      </c>
      <c r="I95" s="847" t="str">
        <f t="shared" si="162"/>
        <v/>
      </c>
      <c r="J95" s="848" t="str">
        <f t="shared" si="163"/>
        <v/>
      </c>
      <c r="K95" s="869" t="s">
        <v>62</v>
      </c>
      <c r="L95" s="850">
        <f>'2020'!G95</f>
        <v>0</v>
      </c>
      <c r="M95" s="851">
        <f>'2021'!G95</f>
        <v>0</v>
      </c>
      <c r="N95" s="852">
        <f>'2022'!G95</f>
        <v>0</v>
      </c>
      <c r="O95" s="853">
        <f>'2020'!H95</f>
        <v>0</v>
      </c>
      <c r="P95" s="851">
        <f>'2021'!H95</f>
        <v>0</v>
      </c>
      <c r="Q95" s="852">
        <f>'2022'!H95</f>
        <v>0</v>
      </c>
      <c r="R95" s="457">
        <f t="shared" si="164"/>
        <v>0</v>
      </c>
      <c r="S95" s="883">
        <f t="shared" si="165"/>
        <v>0</v>
      </c>
      <c r="T95" s="884">
        <f t="shared" si="166"/>
        <v>0</v>
      </c>
      <c r="U95" s="853">
        <f>'2020'!J95</f>
        <v>0</v>
      </c>
      <c r="V95" s="851">
        <f>'2021'!J95</f>
        <v>0</v>
      </c>
      <c r="W95" s="852">
        <f>'2022'!J95</f>
        <v>0</v>
      </c>
      <c r="X95" s="457" t="str">
        <f t="shared" si="167"/>
        <v/>
      </c>
      <c r="Y95" s="883" t="str">
        <f t="shared" si="168"/>
        <v/>
      </c>
      <c r="Z95" s="884" t="str">
        <f t="shared" si="169"/>
        <v/>
      </c>
      <c r="AA95" s="853">
        <f>'2020'!L95</f>
        <v>0</v>
      </c>
      <c r="AB95" s="851">
        <f>'2021'!L95</f>
        <v>0</v>
      </c>
      <c r="AC95" s="852">
        <f>'2022'!L95</f>
        <v>0</v>
      </c>
      <c r="AD95" s="885" t="str">
        <f t="shared" si="170"/>
        <v/>
      </c>
      <c r="AE95" s="886" t="str">
        <f t="shared" si="171"/>
        <v/>
      </c>
      <c r="AF95" s="887" t="str">
        <f t="shared" si="172"/>
        <v/>
      </c>
      <c r="AG95" s="888">
        <f>'2020'!N95</f>
        <v>0</v>
      </c>
      <c r="AH95" s="889">
        <f>'2021'!N95</f>
        <v>0</v>
      </c>
      <c r="AI95" s="890">
        <f>'2022'!N95</f>
        <v>0</v>
      </c>
      <c r="AJ95" s="891"/>
      <c r="AK95" s="892"/>
      <c r="AL95" s="891"/>
      <c r="AM95" s="892"/>
      <c r="AN95" s="925"/>
      <c r="AO95" s="926"/>
      <c r="AP95" s="925"/>
      <c r="AQ95" s="927"/>
      <c r="AR95" s="960"/>
      <c r="AY95" s="1" t="str">
        <f t="shared" si="41"/>
        <v/>
      </c>
      <c r="AZ95" s="1" t="str">
        <f t="shared" si="42"/>
        <v/>
      </c>
      <c r="BA95" s="1" t="str">
        <f t="shared" si="43"/>
        <v/>
      </c>
    </row>
    <row r="96" spans="1:53" ht="15" customHeight="1" x14ac:dyDescent="0.35">
      <c r="A96" s="108" t="str">
        <f t="shared" si="126"/>
        <v>X</v>
      </c>
      <c r="B96" s="1104"/>
      <c r="C96" s="1116"/>
      <c r="D96" s="1117"/>
      <c r="E96" s="1123"/>
      <c r="F96" s="1124"/>
      <c r="G96" s="854" t="s">
        <v>152</v>
      </c>
      <c r="H96" s="855" t="str">
        <f t="shared" si="161"/>
        <v/>
      </c>
      <c r="I96" s="855" t="str">
        <f t="shared" si="162"/>
        <v>X</v>
      </c>
      <c r="J96" s="856" t="str">
        <f t="shared" si="163"/>
        <v/>
      </c>
      <c r="K96" s="928" t="s">
        <v>62</v>
      </c>
      <c r="L96" s="857">
        <f>'2020'!G96</f>
        <v>0</v>
      </c>
      <c r="M96" s="858">
        <f>'2021'!G96</f>
        <v>3</v>
      </c>
      <c r="N96" s="859">
        <f>'2022'!G96</f>
        <v>0</v>
      </c>
      <c r="O96" s="860">
        <f>'2020'!H96</f>
        <v>0</v>
      </c>
      <c r="P96" s="858">
        <f>'2021'!H96</f>
        <v>3</v>
      </c>
      <c r="Q96" s="859">
        <f>'2022'!H96</f>
        <v>0</v>
      </c>
      <c r="R96" s="464">
        <f t="shared" si="164"/>
        <v>0</v>
      </c>
      <c r="S96" s="900">
        <f t="shared" si="165"/>
        <v>0.66666666666666663</v>
      </c>
      <c r="T96" s="901">
        <f t="shared" si="166"/>
        <v>0</v>
      </c>
      <c r="U96" s="860">
        <f>'2020'!J96</f>
        <v>0</v>
      </c>
      <c r="V96" s="858">
        <f>'2021'!J96</f>
        <v>2</v>
      </c>
      <c r="W96" s="859">
        <f>'2022'!J96</f>
        <v>0</v>
      </c>
      <c r="X96" s="464" t="str">
        <f t="shared" si="167"/>
        <v/>
      </c>
      <c r="Y96" s="900">
        <f t="shared" si="168"/>
        <v>0.66666666666666663</v>
      </c>
      <c r="Z96" s="901" t="str">
        <f t="shared" si="169"/>
        <v/>
      </c>
      <c r="AA96" s="860">
        <f>'2020'!L96</f>
        <v>0</v>
      </c>
      <c r="AB96" s="858">
        <f>'2021'!L96</f>
        <v>2</v>
      </c>
      <c r="AC96" s="859">
        <f>'2022'!L96</f>
        <v>0</v>
      </c>
      <c r="AD96" s="902" t="str">
        <f t="shared" si="170"/>
        <v/>
      </c>
      <c r="AE96" s="903">
        <f t="shared" si="171"/>
        <v>0.5</v>
      </c>
      <c r="AF96" s="904" t="str">
        <f t="shared" si="172"/>
        <v/>
      </c>
      <c r="AG96" s="905">
        <f>'2020'!N96</f>
        <v>0</v>
      </c>
      <c r="AH96" s="906">
        <f>'2021'!N96</f>
        <v>1</v>
      </c>
      <c r="AI96" s="907">
        <f>'2022'!N96</f>
        <v>0</v>
      </c>
      <c r="AJ96" s="908">
        <v>0</v>
      </c>
      <c r="AK96" s="909">
        <v>0</v>
      </c>
      <c r="AL96" s="908">
        <v>0</v>
      </c>
      <c r="AM96" s="909">
        <v>0</v>
      </c>
      <c r="AN96" s="929">
        <v>3</v>
      </c>
      <c r="AO96" s="930">
        <v>3</v>
      </c>
      <c r="AP96" s="929">
        <v>0</v>
      </c>
      <c r="AQ96" s="931">
        <v>0</v>
      </c>
      <c r="AR96" s="960"/>
      <c r="AY96" s="1" t="str">
        <f t="shared" si="41"/>
        <v/>
      </c>
      <c r="AZ96" s="1" t="str">
        <f t="shared" si="42"/>
        <v>Frontière</v>
      </c>
      <c r="BA96" s="1" t="str">
        <f t="shared" si="43"/>
        <v/>
      </c>
    </row>
    <row r="97" spans="1:53" ht="15.5" x14ac:dyDescent="0.35">
      <c r="A97" s="108" t="str">
        <f t="shared" si="126"/>
        <v>X</v>
      </c>
      <c r="B97" s="1104"/>
      <c r="C97" s="1116"/>
      <c r="D97" s="798" t="s">
        <v>138</v>
      </c>
      <c r="E97" s="793"/>
      <c r="F97" s="803"/>
      <c r="G97" s="809"/>
      <c r="H97" s="824"/>
      <c r="I97" s="824"/>
      <c r="J97" s="825"/>
      <c r="K97" s="472"/>
      <c r="L97" s="513">
        <f>SUM(L85:L96)</f>
        <v>540</v>
      </c>
      <c r="M97" s="514">
        <f t="shared" ref="M97:Q97" si="173">SUM(M85:M96)</f>
        <v>882</v>
      </c>
      <c r="N97" s="515">
        <f t="shared" si="173"/>
        <v>0</v>
      </c>
      <c r="O97" s="516">
        <f t="shared" si="173"/>
        <v>269</v>
      </c>
      <c r="P97" s="514">
        <f t="shared" si="173"/>
        <v>445</v>
      </c>
      <c r="Q97" s="515">
        <f t="shared" si="173"/>
        <v>0</v>
      </c>
      <c r="R97" s="148">
        <f t="shared" si="54"/>
        <v>0.3125</v>
      </c>
      <c r="S97" s="483">
        <f t="shared" si="55"/>
        <v>0.35600907029478457</v>
      </c>
      <c r="T97" s="534">
        <f t="shared" si="56"/>
        <v>0</v>
      </c>
      <c r="U97" s="516">
        <f t="shared" ref="U97:W97" si="174">SUM(U85:U96)</f>
        <v>168.75</v>
      </c>
      <c r="V97" s="514">
        <f t="shared" si="174"/>
        <v>314</v>
      </c>
      <c r="W97" s="515">
        <f t="shared" si="174"/>
        <v>0</v>
      </c>
      <c r="X97" s="148">
        <f t="shared" si="38"/>
        <v>0.35555555555555557</v>
      </c>
      <c r="Y97" s="483" t="str">
        <f t="shared" si="39"/>
        <v/>
      </c>
      <c r="Z97" s="534" t="str">
        <f t="shared" si="40"/>
        <v/>
      </c>
      <c r="AA97" s="516">
        <f>SUM(AA85:AA96)</f>
        <v>192</v>
      </c>
      <c r="AB97" s="514"/>
      <c r="AC97" s="515"/>
      <c r="AD97" s="668">
        <f t="shared" ref="AD97:AF124" si="175">IF(AA97=0,"",IF(AG97="-","",AG97/AA97))</f>
        <v>0</v>
      </c>
      <c r="AE97" s="669" t="str">
        <f t="shared" si="175"/>
        <v/>
      </c>
      <c r="AF97" s="675" t="str">
        <f t="shared" si="175"/>
        <v/>
      </c>
      <c r="AG97" s="683">
        <f t="shared" ref="AG97:AQ97" si="176">SUM(AG85:AG96)</f>
        <v>0</v>
      </c>
      <c r="AH97" s="684">
        <f t="shared" si="176"/>
        <v>120</v>
      </c>
      <c r="AI97" s="685">
        <f t="shared" si="176"/>
        <v>0</v>
      </c>
      <c r="AJ97" s="704">
        <f t="shared" si="176"/>
        <v>45</v>
      </c>
      <c r="AK97" s="705">
        <f t="shared" si="176"/>
        <v>22</v>
      </c>
      <c r="AL97" s="704">
        <f t="shared" si="176"/>
        <v>100</v>
      </c>
      <c r="AM97" s="705">
        <f t="shared" si="176"/>
        <v>65</v>
      </c>
      <c r="AN97" s="704">
        <f t="shared" si="176"/>
        <v>881</v>
      </c>
      <c r="AO97" s="705">
        <f t="shared" si="176"/>
        <v>449</v>
      </c>
      <c r="AP97" s="704">
        <f t="shared" si="176"/>
        <v>101</v>
      </c>
      <c r="AQ97" s="706">
        <f t="shared" si="176"/>
        <v>58</v>
      </c>
      <c r="AR97" s="961"/>
      <c r="AY97" s="1" t="str">
        <f t="shared" si="41"/>
        <v/>
      </c>
      <c r="AZ97" s="1" t="str">
        <f t="shared" si="42"/>
        <v/>
      </c>
      <c r="BA97" s="1" t="str">
        <f t="shared" si="43"/>
        <v/>
      </c>
    </row>
    <row r="98" spans="1:53" ht="15.75" customHeight="1" x14ac:dyDescent="0.35">
      <c r="A98" s="108" t="str">
        <f t="shared" si="126"/>
        <v>X</v>
      </c>
      <c r="B98" s="1118" t="s">
        <v>72</v>
      </c>
      <c r="C98" s="1116" t="s">
        <v>76</v>
      </c>
      <c r="D98" s="1117">
        <f>'2020'!D98</f>
        <v>2</v>
      </c>
      <c r="E98" s="1123">
        <f>'2021'!D98</f>
        <v>5</v>
      </c>
      <c r="F98" s="1124">
        <f>'2022'!D98</f>
        <v>0</v>
      </c>
      <c r="G98" s="838" t="s">
        <v>150</v>
      </c>
      <c r="H98" s="839" t="str">
        <f t="shared" ref="H98:H102" si="177">IF(L98=0,"","X")</f>
        <v>X</v>
      </c>
      <c r="I98" s="839" t="str">
        <f t="shared" ref="I98:I102" si="178">IF(M98=0,"","X")</f>
        <v>X</v>
      </c>
      <c r="J98" s="840" t="str">
        <f t="shared" ref="J98:J102" si="179">IF(N98=0,"","X")</f>
        <v/>
      </c>
      <c r="K98" s="921" t="s">
        <v>62</v>
      </c>
      <c r="L98" s="842">
        <f>'2020'!G98</f>
        <v>21</v>
      </c>
      <c r="M98" s="843">
        <f>'2021'!G98</f>
        <v>47</v>
      </c>
      <c r="N98" s="844">
        <f>'2022'!G98</f>
        <v>0</v>
      </c>
      <c r="O98" s="845">
        <f>'2020'!H98</f>
        <v>8</v>
      </c>
      <c r="P98" s="843">
        <f>'2021'!H98</f>
        <v>38</v>
      </c>
      <c r="Q98" s="844">
        <f>'2022'!H98</f>
        <v>0</v>
      </c>
      <c r="R98" s="450">
        <f t="shared" ref="R98:R102" si="180">IF(L98="",0,IF(U98=0,0,U98/L98))</f>
        <v>0.28999999999999998</v>
      </c>
      <c r="S98" s="870">
        <f t="shared" ref="S98:S102" si="181">IF(M98="",0,IF(V98=0,0,V98/M98))</f>
        <v>0.19148936170212766</v>
      </c>
      <c r="T98" s="871">
        <f t="shared" ref="T98:T102" si="182">IF(N98="",0,IF(W98=0,0,W98/N98))</f>
        <v>0</v>
      </c>
      <c r="U98" s="845">
        <f>'2020'!J98</f>
        <v>6.09</v>
      </c>
      <c r="V98" s="843">
        <f>'2021'!J98</f>
        <v>9</v>
      </c>
      <c r="W98" s="844">
        <f>'2022'!J98</f>
        <v>0</v>
      </c>
      <c r="X98" s="450">
        <f t="shared" ref="X98:X102" si="183">IF(L98=0,"",IF(AA98="","",AA98/L98))</f>
        <v>0.32</v>
      </c>
      <c r="Y98" s="870">
        <f t="shared" ref="Y98:Y102" si="184">IF(M98=0,"",IF(AB98="","",AB98/M98))</f>
        <v>0.23404255319148937</v>
      </c>
      <c r="Z98" s="871" t="str">
        <f t="shared" ref="Z98:Z102" si="185">IF(N98=0,"",IF(AC98="","",AC98/N98))</f>
        <v/>
      </c>
      <c r="AA98" s="845">
        <f>'2020'!L98</f>
        <v>6.72</v>
      </c>
      <c r="AB98" s="843">
        <f>'2021'!L98</f>
        <v>11</v>
      </c>
      <c r="AC98" s="844">
        <f>'2022'!L98</f>
        <v>0</v>
      </c>
      <c r="AD98" s="872">
        <f t="shared" si="175"/>
        <v>0</v>
      </c>
      <c r="AE98" s="873">
        <f t="shared" si="175"/>
        <v>0.54545454545454541</v>
      </c>
      <c r="AF98" s="874" t="str">
        <f t="shared" si="175"/>
        <v/>
      </c>
      <c r="AG98" s="875">
        <f>'2020'!N98</f>
        <v>0</v>
      </c>
      <c r="AH98" s="876">
        <f>'2021'!N98</f>
        <v>6</v>
      </c>
      <c r="AI98" s="877">
        <f>'2022'!N98</f>
        <v>0</v>
      </c>
      <c r="AJ98" s="878">
        <v>1</v>
      </c>
      <c r="AK98" s="879">
        <v>0</v>
      </c>
      <c r="AL98" s="878">
        <v>1</v>
      </c>
      <c r="AM98" s="879">
        <v>1</v>
      </c>
      <c r="AN98" s="922">
        <v>45</v>
      </c>
      <c r="AO98" s="923">
        <v>38</v>
      </c>
      <c r="AP98" s="922">
        <v>3</v>
      </c>
      <c r="AQ98" s="924">
        <v>1</v>
      </c>
      <c r="AY98" s="1" t="str">
        <f t="shared" si="41"/>
        <v>Frontière</v>
      </c>
      <c r="AZ98" s="1" t="str">
        <f t="shared" si="42"/>
        <v>Frontière</v>
      </c>
      <c r="BA98" s="1" t="str">
        <f t="shared" si="43"/>
        <v/>
      </c>
    </row>
    <row r="99" spans="1:53" ht="15.75" customHeight="1" x14ac:dyDescent="0.35">
      <c r="A99" s="108" t="str">
        <f t="shared" si="126"/>
        <v>X</v>
      </c>
      <c r="B99" s="1118"/>
      <c r="C99" s="1116"/>
      <c r="D99" s="1117"/>
      <c r="E99" s="1123"/>
      <c r="F99" s="1124"/>
      <c r="G99" s="846" t="s">
        <v>153</v>
      </c>
      <c r="H99" s="847" t="str">
        <f t="shared" si="177"/>
        <v/>
      </c>
      <c r="I99" s="847" t="str">
        <f t="shared" si="178"/>
        <v>X</v>
      </c>
      <c r="J99" s="848" t="str">
        <f t="shared" si="179"/>
        <v/>
      </c>
      <c r="K99" s="869" t="s">
        <v>62</v>
      </c>
      <c r="L99" s="850">
        <f>'2020'!G99</f>
        <v>0</v>
      </c>
      <c r="M99" s="851">
        <f>'2021'!G99</f>
        <v>23</v>
      </c>
      <c r="N99" s="852">
        <f>'2022'!G99</f>
        <v>0</v>
      </c>
      <c r="O99" s="853">
        <f>'2020'!H99</f>
        <v>0</v>
      </c>
      <c r="P99" s="851">
        <f>'2021'!H99</f>
        <v>7</v>
      </c>
      <c r="Q99" s="852">
        <f>'2022'!H99</f>
        <v>0</v>
      </c>
      <c r="R99" s="457">
        <f t="shared" si="180"/>
        <v>0</v>
      </c>
      <c r="S99" s="883">
        <f t="shared" si="181"/>
        <v>0.39130434782608697</v>
      </c>
      <c r="T99" s="884">
        <f t="shared" si="182"/>
        <v>0</v>
      </c>
      <c r="U99" s="853">
        <f>'2020'!J99</f>
        <v>0</v>
      </c>
      <c r="V99" s="851">
        <f>'2021'!J99</f>
        <v>9</v>
      </c>
      <c r="W99" s="852">
        <f>'2022'!J99</f>
        <v>0</v>
      </c>
      <c r="X99" s="457" t="str">
        <f t="shared" si="183"/>
        <v/>
      </c>
      <c r="Y99" s="883">
        <f t="shared" si="184"/>
        <v>0.39130434782608697</v>
      </c>
      <c r="Z99" s="884" t="str">
        <f t="shared" si="185"/>
        <v/>
      </c>
      <c r="AA99" s="853">
        <f>'2020'!L99</f>
        <v>0</v>
      </c>
      <c r="AB99" s="851">
        <f>'2021'!L99</f>
        <v>9</v>
      </c>
      <c r="AC99" s="852">
        <f>'2022'!L99</f>
        <v>0</v>
      </c>
      <c r="AD99" s="885" t="str">
        <f t="shared" si="175"/>
        <v/>
      </c>
      <c r="AE99" s="886">
        <f t="shared" si="175"/>
        <v>0.55555555555555558</v>
      </c>
      <c r="AF99" s="887" t="str">
        <f t="shared" si="175"/>
        <v/>
      </c>
      <c r="AG99" s="888">
        <f>'2020'!N99</f>
        <v>0</v>
      </c>
      <c r="AH99" s="889">
        <f>'2021'!N99</f>
        <v>5</v>
      </c>
      <c r="AI99" s="890">
        <f>'2022'!N99</f>
        <v>0</v>
      </c>
      <c r="AJ99" s="891">
        <v>0</v>
      </c>
      <c r="AK99" s="892">
        <v>0</v>
      </c>
      <c r="AL99" s="891">
        <v>8</v>
      </c>
      <c r="AM99" s="892">
        <v>7</v>
      </c>
      <c r="AN99" s="925">
        <v>22</v>
      </c>
      <c r="AO99" s="926">
        <v>10</v>
      </c>
      <c r="AP99" s="925">
        <v>9</v>
      </c>
      <c r="AQ99" s="927">
        <v>4</v>
      </c>
      <c r="AY99" s="1" t="str">
        <f t="shared" si="41"/>
        <v/>
      </c>
      <c r="AZ99" s="1" t="str">
        <f t="shared" si="42"/>
        <v>Frontière</v>
      </c>
      <c r="BA99" s="1" t="str">
        <f t="shared" si="43"/>
        <v/>
      </c>
    </row>
    <row r="100" spans="1:53" ht="15.75" hidden="1" customHeight="1" x14ac:dyDescent="0.35">
      <c r="A100" s="108" t="str">
        <f t="shared" si="126"/>
        <v/>
      </c>
      <c r="B100" s="1118"/>
      <c r="C100" s="1116"/>
      <c r="D100" s="1117"/>
      <c r="E100" s="1123"/>
      <c r="F100" s="1124"/>
      <c r="G100" s="846"/>
      <c r="H100" s="847" t="str">
        <f t="shared" si="177"/>
        <v/>
      </c>
      <c r="I100" s="847" t="str">
        <f t="shared" si="178"/>
        <v/>
      </c>
      <c r="J100" s="848" t="str">
        <f t="shared" si="179"/>
        <v/>
      </c>
      <c r="K100" s="869" t="s">
        <v>62</v>
      </c>
      <c r="L100" s="850">
        <f>'2020'!G100</f>
        <v>0</v>
      </c>
      <c r="M100" s="851">
        <f>'2021'!G100</f>
        <v>0</v>
      </c>
      <c r="N100" s="852">
        <f>'2022'!G100</f>
        <v>0</v>
      </c>
      <c r="O100" s="853">
        <f>'2020'!H100</f>
        <v>0</v>
      </c>
      <c r="P100" s="851">
        <f>'2021'!H100</f>
        <v>0</v>
      </c>
      <c r="Q100" s="852">
        <f>'2022'!H100</f>
        <v>0</v>
      </c>
      <c r="R100" s="457">
        <f t="shared" si="180"/>
        <v>0</v>
      </c>
      <c r="S100" s="883">
        <f t="shared" si="181"/>
        <v>0</v>
      </c>
      <c r="T100" s="884">
        <f t="shared" si="182"/>
        <v>0</v>
      </c>
      <c r="U100" s="853">
        <f>'2020'!J100</f>
        <v>0</v>
      </c>
      <c r="V100" s="851">
        <f>'2021'!J100</f>
        <v>0</v>
      </c>
      <c r="W100" s="852">
        <f>'2022'!J100</f>
        <v>0</v>
      </c>
      <c r="X100" s="457" t="str">
        <f t="shared" si="183"/>
        <v/>
      </c>
      <c r="Y100" s="883" t="str">
        <f t="shared" si="184"/>
        <v/>
      </c>
      <c r="Z100" s="884" t="str">
        <f t="shared" si="185"/>
        <v/>
      </c>
      <c r="AA100" s="853">
        <f>'2020'!L100</f>
        <v>0</v>
      </c>
      <c r="AB100" s="851">
        <f>'2021'!L100</f>
        <v>0</v>
      </c>
      <c r="AC100" s="852">
        <f>'2022'!L100</f>
        <v>0</v>
      </c>
      <c r="AD100" s="885" t="str">
        <f t="shared" si="175"/>
        <v/>
      </c>
      <c r="AE100" s="886" t="str">
        <f t="shared" si="175"/>
        <v/>
      </c>
      <c r="AF100" s="887" t="str">
        <f t="shared" si="175"/>
        <v/>
      </c>
      <c r="AG100" s="888">
        <f>'2020'!N100</f>
        <v>0</v>
      </c>
      <c r="AH100" s="889">
        <f>'2021'!N100</f>
        <v>0</v>
      </c>
      <c r="AI100" s="890">
        <f>'2022'!N100</f>
        <v>0</v>
      </c>
      <c r="AJ100" s="891"/>
      <c r="AK100" s="892"/>
      <c r="AL100" s="891"/>
      <c r="AM100" s="892"/>
      <c r="AN100" s="925"/>
      <c r="AO100" s="926"/>
      <c r="AP100" s="925"/>
      <c r="AQ100" s="927"/>
      <c r="AY100" s="1" t="str">
        <f t="shared" si="41"/>
        <v/>
      </c>
      <c r="AZ100" s="1" t="str">
        <f t="shared" si="42"/>
        <v/>
      </c>
      <c r="BA100" s="1" t="str">
        <f t="shared" si="43"/>
        <v/>
      </c>
    </row>
    <row r="101" spans="1:53" ht="15.75" hidden="1" customHeight="1" x14ac:dyDescent="0.35">
      <c r="A101" s="108" t="str">
        <f t="shared" si="126"/>
        <v/>
      </c>
      <c r="B101" s="1118"/>
      <c r="C101" s="1116"/>
      <c r="D101" s="1117"/>
      <c r="E101" s="1123"/>
      <c r="F101" s="1124"/>
      <c r="G101" s="846"/>
      <c r="H101" s="847" t="str">
        <f t="shared" si="177"/>
        <v/>
      </c>
      <c r="I101" s="847" t="str">
        <f t="shared" si="178"/>
        <v/>
      </c>
      <c r="J101" s="848" t="str">
        <f t="shared" si="179"/>
        <v/>
      </c>
      <c r="K101" s="869" t="s">
        <v>62</v>
      </c>
      <c r="L101" s="850">
        <f>'2020'!G101</f>
        <v>0</v>
      </c>
      <c r="M101" s="851">
        <f>'2021'!G101</f>
        <v>0</v>
      </c>
      <c r="N101" s="852">
        <f>'2022'!G101</f>
        <v>0</v>
      </c>
      <c r="O101" s="853">
        <f>'2020'!H101</f>
        <v>0</v>
      </c>
      <c r="P101" s="851">
        <f>'2021'!H101</f>
        <v>0</v>
      </c>
      <c r="Q101" s="852">
        <f>'2022'!H101</f>
        <v>0</v>
      </c>
      <c r="R101" s="457">
        <f t="shared" si="180"/>
        <v>0</v>
      </c>
      <c r="S101" s="883">
        <f t="shared" si="181"/>
        <v>0</v>
      </c>
      <c r="T101" s="884">
        <f t="shared" si="182"/>
        <v>0</v>
      </c>
      <c r="U101" s="853">
        <f>'2020'!J101</f>
        <v>0</v>
      </c>
      <c r="V101" s="851">
        <f>'2021'!J101</f>
        <v>0</v>
      </c>
      <c r="W101" s="852">
        <f>'2022'!J101</f>
        <v>0</v>
      </c>
      <c r="X101" s="457" t="str">
        <f t="shared" si="183"/>
        <v/>
      </c>
      <c r="Y101" s="883" t="str">
        <f t="shared" si="184"/>
        <v/>
      </c>
      <c r="Z101" s="884" t="str">
        <f t="shared" si="185"/>
        <v/>
      </c>
      <c r="AA101" s="853">
        <f>'2020'!L101</f>
        <v>0</v>
      </c>
      <c r="AB101" s="851">
        <f>'2021'!L101</f>
        <v>0</v>
      </c>
      <c r="AC101" s="852">
        <f>'2022'!L101</f>
        <v>0</v>
      </c>
      <c r="AD101" s="885" t="str">
        <f t="shared" si="175"/>
        <v/>
      </c>
      <c r="AE101" s="886" t="str">
        <f t="shared" si="175"/>
        <v/>
      </c>
      <c r="AF101" s="887" t="str">
        <f t="shared" si="175"/>
        <v/>
      </c>
      <c r="AG101" s="888">
        <f>'2020'!N101</f>
        <v>0</v>
      </c>
      <c r="AH101" s="889">
        <f>'2021'!N101</f>
        <v>0</v>
      </c>
      <c r="AI101" s="890">
        <f>'2022'!N101</f>
        <v>0</v>
      </c>
      <c r="AJ101" s="891"/>
      <c r="AK101" s="892"/>
      <c r="AL101" s="891"/>
      <c r="AM101" s="892"/>
      <c r="AN101" s="925"/>
      <c r="AO101" s="926"/>
      <c r="AP101" s="925"/>
      <c r="AQ101" s="927"/>
      <c r="AY101" s="1" t="str">
        <f t="shared" si="41"/>
        <v/>
      </c>
      <c r="AZ101" s="1" t="str">
        <f t="shared" si="42"/>
        <v/>
      </c>
      <c r="BA101" s="1" t="str">
        <f t="shared" si="43"/>
        <v/>
      </c>
    </row>
    <row r="102" spans="1:53" ht="15.75" customHeight="1" x14ac:dyDescent="0.35">
      <c r="A102" s="108" t="str">
        <f t="shared" si="126"/>
        <v>X</v>
      </c>
      <c r="B102" s="1118"/>
      <c r="C102" s="1116"/>
      <c r="D102" s="1117"/>
      <c r="E102" s="1123"/>
      <c r="F102" s="1124"/>
      <c r="G102" s="854" t="s">
        <v>36</v>
      </c>
      <c r="H102" s="855" t="str">
        <f t="shared" si="177"/>
        <v/>
      </c>
      <c r="I102" s="855" t="str">
        <f t="shared" si="178"/>
        <v>X</v>
      </c>
      <c r="J102" s="856" t="str">
        <f t="shared" si="179"/>
        <v/>
      </c>
      <c r="K102" s="928" t="s">
        <v>62</v>
      </c>
      <c r="L102" s="857">
        <f>'2020'!G102</f>
        <v>0</v>
      </c>
      <c r="M102" s="858">
        <f>'2021'!G102</f>
        <v>13</v>
      </c>
      <c r="N102" s="859">
        <f>'2022'!G102</f>
        <v>0</v>
      </c>
      <c r="O102" s="860">
        <f>'2020'!H102</f>
        <v>0</v>
      </c>
      <c r="P102" s="858">
        <f>'2021'!H102</f>
        <v>11</v>
      </c>
      <c r="Q102" s="859">
        <f>'2022'!H102</f>
        <v>0</v>
      </c>
      <c r="R102" s="464">
        <f t="shared" si="180"/>
        <v>0</v>
      </c>
      <c r="S102" s="900">
        <f t="shared" si="181"/>
        <v>0.38461538461538464</v>
      </c>
      <c r="T102" s="901">
        <f t="shared" si="182"/>
        <v>0</v>
      </c>
      <c r="U102" s="860">
        <f>'2020'!J102</f>
        <v>0</v>
      </c>
      <c r="V102" s="858">
        <f>'2021'!J102</f>
        <v>5</v>
      </c>
      <c r="W102" s="859">
        <f>'2022'!J102</f>
        <v>0</v>
      </c>
      <c r="X102" s="464" t="str">
        <f t="shared" si="183"/>
        <v/>
      </c>
      <c r="Y102" s="900">
        <f t="shared" si="184"/>
        <v>0.23076923076923078</v>
      </c>
      <c r="Z102" s="901" t="str">
        <f t="shared" si="185"/>
        <v/>
      </c>
      <c r="AA102" s="860">
        <f>'2020'!L102</f>
        <v>0</v>
      </c>
      <c r="AB102" s="858">
        <f>'2021'!L102</f>
        <v>3</v>
      </c>
      <c r="AC102" s="859">
        <f>'2022'!L102</f>
        <v>0</v>
      </c>
      <c r="AD102" s="902" t="str">
        <f t="shared" si="175"/>
        <v/>
      </c>
      <c r="AE102" s="903">
        <f t="shared" si="175"/>
        <v>0.66666666666666663</v>
      </c>
      <c r="AF102" s="904" t="str">
        <f t="shared" si="175"/>
        <v/>
      </c>
      <c r="AG102" s="905">
        <f>'2020'!N102</f>
        <v>0</v>
      </c>
      <c r="AH102" s="906">
        <f>'2021'!N102</f>
        <v>2</v>
      </c>
      <c r="AI102" s="907">
        <f>'2022'!N102</f>
        <v>0</v>
      </c>
      <c r="AJ102" s="908">
        <v>0</v>
      </c>
      <c r="AK102" s="909">
        <v>0</v>
      </c>
      <c r="AL102" s="908">
        <v>2</v>
      </c>
      <c r="AM102" s="909">
        <v>1</v>
      </c>
      <c r="AN102" s="929">
        <v>11</v>
      </c>
      <c r="AO102" s="930">
        <v>8</v>
      </c>
      <c r="AP102" s="929">
        <v>4</v>
      </c>
      <c r="AQ102" s="931">
        <v>4</v>
      </c>
      <c r="AY102" s="1" t="str">
        <f t="shared" si="41"/>
        <v/>
      </c>
      <c r="AZ102" s="1" t="str">
        <f t="shared" si="42"/>
        <v>Frontière</v>
      </c>
      <c r="BA102" s="1" t="str">
        <f t="shared" si="43"/>
        <v/>
      </c>
    </row>
    <row r="103" spans="1:53" ht="15.75" customHeight="1" x14ac:dyDescent="0.35">
      <c r="A103" s="108" t="str">
        <f t="shared" si="126"/>
        <v>X</v>
      </c>
      <c r="B103" s="1118"/>
      <c r="C103" s="1116"/>
      <c r="D103" s="798" t="s">
        <v>138</v>
      </c>
      <c r="E103" s="793"/>
      <c r="F103" s="803"/>
      <c r="G103" s="809"/>
      <c r="H103" s="824"/>
      <c r="I103" s="824"/>
      <c r="J103" s="825"/>
      <c r="K103" s="472"/>
      <c r="L103" s="513">
        <f>SUM(L98:L102)</f>
        <v>21</v>
      </c>
      <c r="M103" s="514">
        <f t="shared" ref="M103:Q103" si="186">SUM(M98:M102)</f>
        <v>83</v>
      </c>
      <c r="N103" s="515">
        <f t="shared" si="186"/>
        <v>0</v>
      </c>
      <c r="O103" s="516">
        <f t="shared" si="186"/>
        <v>8</v>
      </c>
      <c r="P103" s="514">
        <f t="shared" si="186"/>
        <v>56</v>
      </c>
      <c r="Q103" s="515">
        <f t="shared" si="186"/>
        <v>0</v>
      </c>
      <c r="R103" s="148">
        <f t="shared" si="54"/>
        <v>0.28999999999999998</v>
      </c>
      <c r="S103" s="483">
        <f t="shared" si="55"/>
        <v>0.27710843373493976</v>
      </c>
      <c r="T103" s="534">
        <f t="shared" si="56"/>
        <v>0</v>
      </c>
      <c r="U103" s="516">
        <f>SUM(U98:U102)</f>
        <v>6.09</v>
      </c>
      <c r="V103" s="514">
        <f t="shared" ref="V103:W103" si="187">SUM(V98:V102)</f>
        <v>23</v>
      </c>
      <c r="W103" s="515">
        <f t="shared" si="187"/>
        <v>0</v>
      </c>
      <c r="X103" s="148">
        <f t="shared" ref="X103:X124" si="188">IF(L103=0,"",IF(AA103="","",AA103/L103))</f>
        <v>0.32</v>
      </c>
      <c r="Y103" s="483">
        <f t="shared" ref="Y103:Y124" si="189">IF(M103=0,"",IF(AB103="","",AB103/M103))</f>
        <v>0.27710843373493976</v>
      </c>
      <c r="Z103" s="534" t="str">
        <f t="shared" ref="Z103:Z124" si="190">IF(N103=0,"",IF(AC103="","",AC103/N103))</f>
        <v/>
      </c>
      <c r="AA103" s="516">
        <f t="shared" ref="AA103:AC103" si="191">SUM(AA98:AA102)</f>
        <v>6.72</v>
      </c>
      <c r="AB103" s="514">
        <f t="shared" si="191"/>
        <v>23</v>
      </c>
      <c r="AC103" s="515">
        <f t="shared" si="191"/>
        <v>0</v>
      </c>
      <c r="AD103" s="668">
        <f t="shared" si="175"/>
        <v>0</v>
      </c>
      <c r="AE103" s="669">
        <f t="shared" si="175"/>
        <v>0.56521739130434778</v>
      </c>
      <c r="AF103" s="675" t="str">
        <f t="shared" si="175"/>
        <v/>
      </c>
      <c r="AG103" s="683">
        <f t="shared" ref="AG103:AQ103" si="192">SUM(AG98:AG102)</f>
        <v>0</v>
      </c>
      <c r="AH103" s="684">
        <f t="shared" si="192"/>
        <v>13</v>
      </c>
      <c r="AI103" s="685">
        <f t="shared" si="192"/>
        <v>0</v>
      </c>
      <c r="AJ103" s="704">
        <f t="shared" si="192"/>
        <v>1</v>
      </c>
      <c r="AK103" s="705">
        <f t="shared" si="192"/>
        <v>0</v>
      </c>
      <c r="AL103" s="704">
        <f t="shared" si="192"/>
        <v>11</v>
      </c>
      <c r="AM103" s="705">
        <f t="shared" si="192"/>
        <v>9</v>
      </c>
      <c r="AN103" s="704">
        <f t="shared" si="192"/>
        <v>78</v>
      </c>
      <c r="AO103" s="705">
        <f t="shared" si="192"/>
        <v>56</v>
      </c>
      <c r="AP103" s="704">
        <f t="shared" si="192"/>
        <v>16</v>
      </c>
      <c r="AQ103" s="706">
        <f t="shared" si="192"/>
        <v>9</v>
      </c>
      <c r="AY103" s="1" t="str">
        <f t="shared" si="41"/>
        <v/>
      </c>
      <c r="AZ103" s="1" t="str">
        <f t="shared" si="42"/>
        <v/>
      </c>
      <c r="BA103" s="1" t="str">
        <f t="shared" si="43"/>
        <v/>
      </c>
    </row>
    <row r="104" spans="1:53" ht="15.75" customHeight="1" x14ac:dyDescent="0.35">
      <c r="A104" s="108" t="str">
        <f t="shared" si="126"/>
        <v>X</v>
      </c>
      <c r="B104" s="1119" t="s">
        <v>3</v>
      </c>
      <c r="C104" s="1116" t="s">
        <v>76</v>
      </c>
      <c r="D104" s="1122">
        <f>'2020'!D104</f>
        <v>14</v>
      </c>
      <c r="E104" s="1125">
        <f>'2021'!D104</f>
        <v>11</v>
      </c>
      <c r="F104" s="1126">
        <f>'2022'!D104</f>
        <v>17</v>
      </c>
      <c r="G104" s="813" t="s">
        <v>48</v>
      </c>
      <c r="H104" s="832" t="str">
        <f t="shared" ref="H104:H121" si="193">IF(L104=0,"","X")</f>
        <v>X</v>
      </c>
      <c r="I104" s="832" t="str">
        <f t="shared" ref="I104:I121" si="194">IF(M104=0,"","X")</f>
        <v/>
      </c>
      <c r="J104" s="833" t="str">
        <f t="shared" ref="J104:J121" si="195">IF(N104=0,"","X")</f>
        <v/>
      </c>
      <c r="K104" s="447" t="s">
        <v>61</v>
      </c>
      <c r="L104" s="842">
        <f>'2020'!G104</f>
        <v>42</v>
      </c>
      <c r="M104" s="843">
        <f>'2021'!G104</f>
        <v>0</v>
      </c>
      <c r="N104" s="844">
        <f>'2022'!G104</f>
        <v>0</v>
      </c>
      <c r="O104" s="845">
        <f>'2020'!H104</f>
        <v>42</v>
      </c>
      <c r="P104" s="843">
        <f>'2021'!H104</f>
        <v>0</v>
      </c>
      <c r="Q104" s="844">
        <f>'2022'!H104</f>
        <v>0</v>
      </c>
      <c r="R104" s="450">
        <f t="shared" ref="R104:R121" si="196">IF(L104="",0,IF(U104=0,0,U104/L104))</f>
        <v>0.40476190476190477</v>
      </c>
      <c r="S104" s="870">
        <f t="shared" ref="S104:S121" si="197">IF(M104="",0,IF(V104=0,0,V104/M104))</f>
        <v>0</v>
      </c>
      <c r="T104" s="871">
        <f t="shared" ref="T104:T121" si="198">IF(N104="",0,IF(W104=0,0,W104/N104))</f>
        <v>0</v>
      </c>
      <c r="U104" s="845">
        <f>'2020'!J104</f>
        <v>17</v>
      </c>
      <c r="V104" s="843">
        <f>'2021'!J104</f>
        <v>0</v>
      </c>
      <c r="W104" s="844">
        <f>'2022'!J104</f>
        <v>0</v>
      </c>
      <c r="X104" s="450">
        <f t="shared" si="188"/>
        <v>0.5</v>
      </c>
      <c r="Y104" s="870" t="str">
        <f t="shared" si="189"/>
        <v/>
      </c>
      <c r="Z104" s="871" t="str">
        <f t="shared" si="190"/>
        <v/>
      </c>
      <c r="AA104" s="845">
        <f>'2020'!L104</f>
        <v>21</v>
      </c>
      <c r="AB104" s="843">
        <f>'2021'!L104</f>
        <v>0</v>
      </c>
      <c r="AC104" s="844">
        <f>'2022'!L104</f>
        <v>0</v>
      </c>
      <c r="AD104" s="872">
        <f t="shared" si="175"/>
        <v>0</v>
      </c>
      <c r="AE104" s="873" t="str">
        <f t="shared" si="175"/>
        <v/>
      </c>
      <c r="AF104" s="874" t="str">
        <f t="shared" si="175"/>
        <v/>
      </c>
      <c r="AG104" s="875">
        <f>'2020'!N104</f>
        <v>0</v>
      </c>
      <c r="AH104" s="876">
        <f>'2021'!N104</f>
        <v>0</v>
      </c>
      <c r="AI104" s="877">
        <f>'2022'!N104</f>
        <v>0</v>
      </c>
      <c r="AJ104" s="878" t="s">
        <v>21</v>
      </c>
      <c r="AK104" s="879" t="s">
        <v>21</v>
      </c>
      <c r="AL104" s="878" t="s">
        <v>21</v>
      </c>
      <c r="AM104" s="879" t="s">
        <v>21</v>
      </c>
      <c r="AN104" s="880"/>
      <c r="AO104" s="881"/>
      <c r="AP104" s="880"/>
      <c r="AQ104" s="882"/>
      <c r="AY104" s="1" t="str">
        <f t="shared" si="41"/>
        <v>Suisse</v>
      </c>
      <c r="AZ104" s="1" t="str">
        <f t="shared" si="42"/>
        <v/>
      </c>
      <c r="BA104" s="1" t="str">
        <f t="shared" si="43"/>
        <v/>
      </c>
    </row>
    <row r="105" spans="1:53" ht="15.75" customHeight="1" x14ac:dyDescent="0.35">
      <c r="A105" s="108" t="str">
        <f t="shared" si="126"/>
        <v>X</v>
      </c>
      <c r="B105" s="1119"/>
      <c r="C105" s="1116"/>
      <c r="D105" s="1122"/>
      <c r="E105" s="1125"/>
      <c r="F105" s="1126"/>
      <c r="G105" s="814" t="s">
        <v>49</v>
      </c>
      <c r="H105" s="834" t="str">
        <f t="shared" si="193"/>
        <v>X</v>
      </c>
      <c r="I105" s="834" t="str">
        <f t="shared" si="194"/>
        <v/>
      </c>
      <c r="J105" s="835" t="str">
        <f t="shared" si="195"/>
        <v/>
      </c>
      <c r="K105" s="454" t="s">
        <v>61</v>
      </c>
      <c r="L105" s="850">
        <f>'2020'!G105</f>
        <v>283</v>
      </c>
      <c r="M105" s="851">
        <f>'2021'!G105</f>
        <v>0</v>
      </c>
      <c r="N105" s="852">
        <f>'2022'!G105</f>
        <v>0</v>
      </c>
      <c r="O105" s="853">
        <f>'2020'!H105</f>
        <v>283</v>
      </c>
      <c r="P105" s="851">
        <f>'2021'!H105</f>
        <v>0</v>
      </c>
      <c r="Q105" s="852">
        <f>'2022'!H105</f>
        <v>0</v>
      </c>
      <c r="R105" s="457">
        <f t="shared" si="196"/>
        <v>0.14840989399293286</v>
      </c>
      <c r="S105" s="883">
        <f t="shared" si="197"/>
        <v>0</v>
      </c>
      <c r="T105" s="884">
        <f t="shared" si="198"/>
        <v>0</v>
      </c>
      <c r="U105" s="853">
        <f>'2020'!J105</f>
        <v>42</v>
      </c>
      <c r="V105" s="851">
        <f>'2021'!J105</f>
        <v>0</v>
      </c>
      <c r="W105" s="852">
        <f>'2022'!J105</f>
        <v>0</v>
      </c>
      <c r="X105" s="457">
        <f t="shared" si="188"/>
        <v>0.39575971731448761</v>
      </c>
      <c r="Y105" s="883" t="str">
        <f t="shared" si="189"/>
        <v/>
      </c>
      <c r="Z105" s="884" t="str">
        <f t="shared" si="190"/>
        <v/>
      </c>
      <c r="AA105" s="853">
        <f>'2020'!L105</f>
        <v>112</v>
      </c>
      <c r="AB105" s="851">
        <f>'2021'!L105</f>
        <v>0</v>
      </c>
      <c r="AC105" s="852">
        <f>'2022'!L105</f>
        <v>0</v>
      </c>
      <c r="AD105" s="885">
        <f t="shared" si="175"/>
        <v>0</v>
      </c>
      <c r="AE105" s="886" t="str">
        <f t="shared" si="175"/>
        <v/>
      </c>
      <c r="AF105" s="887" t="str">
        <f t="shared" si="175"/>
        <v/>
      </c>
      <c r="AG105" s="888">
        <f>'2020'!N105</f>
        <v>0</v>
      </c>
      <c r="AH105" s="889">
        <f>'2021'!N105</f>
        <v>0</v>
      </c>
      <c r="AI105" s="890">
        <f>'2022'!N105</f>
        <v>0</v>
      </c>
      <c r="AJ105" s="891" t="s">
        <v>21</v>
      </c>
      <c r="AK105" s="892" t="s">
        <v>21</v>
      </c>
      <c r="AL105" s="891" t="s">
        <v>21</v>
      </c>
      <c r="AM105" s="892" t="s">
        <v>21</v>
      </c>
      <c r="AN105" s="893"/>
      <c r="AO105" s="894"/>
      <c r="AP105" s="893"/>
      <c r="AQ105" s="895"/>
      <c r="AY105" s="1" t="str">
        <f t="shared" si="41"/>
        <v>Suisse</v>
      </c>
      <c r="AZ105" s="1" t="str">
        <f t="shared" si="42"/>
        <v/>
      </c>
      <c r="BA105" s="1" t="str">
        <f t="shared" si="43"/>
        <v/>
      </c>
    </row>
    <row r="106" spans="1:53" ht="15.75" customHeight="1" x14ac:dyDescent="0.35">
      <c r="A106" s="108" t="str">
        <f t="shared" si="126"/>
        <v>X</v>
      </c>
      <c r="B106" s="1119"/>
      <c r="C106" s="1116"/>
      <c r="D106" s="1122"/>
      <c r="E106" s="1125"/>
      <c r="F106" s="1126"/>
      <c r="G106" s="814" t="s">
        <v>81</v>
      </c>
      <c r="H106" s="834" t="str">
        <f t="shared" si="193"/>
        <v>X</v>
      </c>
      <c r="I106" s="834" t="str">
        <f t="shared" si="194"/>
        <v/>
      </c>
      <c r="J106" s="835" t="str">
        <f t="shared" si="195"/>
        <v/>
      </c>
      <c r="K106" s="454" t="s">
        <v>61</v>
      </c>
      <c r="L106" s="850">
        <f>'2020'!G106</f>
        <v>79</v>
      </c>
      <c r="M106" s="851">
        <f>'2021'!G106</f>
        <v>0</v>
      </c>
      <c r="N106" s="852">
        <f>'2022'!G106</f>
        <v>0</v>
      </c>
      <c r="O106" s="853">
        <f>'2020'!H106</f>
        <v>79</v>
      </c>
      <c r="P106" s="851">
        <f>'2021'!H106</f>
        <v>0</v>
      </c>
      <c r="Q106" s="852">
        <f>'2022'!H106</f>
        <v>0</v>
      </c>
      <c r="R106" s="457">
        <f t="shared" si="196"/>
        <v>0.36708860759493672</v>
      </c>
      <c r="S106" s="883">
        <f t="shared" si="197"/>
        <v>0</v>
      </c>
      <c r="T106" s="884">
        <f t="shared" si="198"/>
        <v>0</v>
      </c>
      <c r="U106" s="853">
        <f>'2020'!J106</f>
        <v>29</v>
      </c>
      <c r="V106" s="851">
        <f>'2021'!J106</f>
        <v>0</v>
      </c>
      <c r="W106" s="852">
        <f>'2022'!J106</f>
        <v>0</v>
      </c>
      <c r="X106" s="457">
        <f t="shared" si="188"/>
        <v>0.41772151898734178</v>
      </c>
      <c r="Y106" s="883" t="str">
        <f t="shared" si="189"/>
        <v/>
      </c>
      <c r="Z106" s="884" t="str">
        <f t="shared" si="190"/>
        <v/>
      </c>
      <c r="AA106" s="853">
        <f>'2020'!L106</f>
        <v>33</v>
      </c>
      <c r="AB106" s="851">
        <f>'2021'!L106</f>
        <v>0</v>
      </c>
      <c r="AC106" s="852">
        <f>'2022'!L106</f>
        <v>0</v>
      </c>
      <c r="AD106" s="885">
        <f t="shared" si="175"/>
        <v>0</v>
      </c>
      <c r="AE106" s="886" t="str">
        <f t="shared" si="175"/>
        <v/>
      </c>
      <c r="AF106" s="887" t="str">
        <f t="shared" si="175"/>
        <v/>
      </c>
      <c r="AG106" s="888">
        <f>'2020'!N106</f>
        <v>0</v>
      </c>
      <c r="AH106" s="889">
        <f>'2021'!N106</f>
        <v>0</v>
      </c>
      <c r="AI106" s="890">
        <f>'2022'!N106</f>
        <v>0</v>
      </c>
      <c r="AJ106" s="891" t="s">
        <v>21</v>
      </c>
      <c r="AK106" s="892" t="s">
        <v>21</v>
      </c>
      <c r="AL106" s="891" t="s">
        <v>21</v>
      </c>
      <c r="AM106" s="892" t="s">
        <v>21</v>
      </c>
      <c r="AN106" s="893"/>
      <c r="AO106" s="894"/>
      <c r="AP106" s="893"/>
      <c r="AQ106" s="895"/>
      <c r="AY106" s="1" t="str">
        <f t="shared" si="41"/>
        <v>Suisse</v>
      </c>
      <c r="AZ106" s="1" t="str">
        <f t="shared" si="42"/>
        <v/>
      </c>
      <c r="BA106" s="1" t="str">
        <f t="shared" si="43"/>
        <v/>
      </c>
    </row>
    <row r="107" spans="1:53" ht="15.75" customHeight="1" x14ac:dyDescent="0.35">
      <c r="A107" s="108" t="str">
        <f t="shared" si="126"/>
        <v>X</v>
      </c>
      <c r="B107" s="1119"/>
      <c r="C107" s="1116"/>
      <c r="D107" s="1122"/>
      <c r="E107" s="1125"/>
      <c r="F107" s="1126"/>
      <c r="G107" s="814" t="s">
        <v>73</v>
      </c>
      <c r="H107" s="834" t="str">
        <f t="shared" si="193"/>
        <v>X</v>
      </c>
      <c r="I107" s="834" t="str">
        <f t="shared" si="194"/>
        <v/>
      </c>
      <c r="J107" s="835" t="str">
        <f t="shared" si="195"/>
        <v/>
      </c>
      <c r="K107" s="454" t="s">
        <v>61</v>
      </c>
      <c r="L107" s="850">
        <f>'2020'!G107</f>
        <v>108</v>
      </c>
      <c r="M107" s="851">
        <f>'2021'!G107</f>
        <v>0</v>
      </c>
      <c r="N107" s="852">
        <f>'2022'!G107</f>
        <v>0</v>
      </c>
      <c r="O107" s="853">
        <f>'2020'!H107</f>
        <v>108</v>
      </c>
      <c r="P107" s="851">
        <f>'2021'!H107</f>
        <v>0</v>
      </c>
      <c r="Q107" s="852">
        <f>'2022'!H107</f>
        <v>0</v>
      </c>
      <c r="R107" s="457">
        <f t="shared" si="196"/>
        <v>0.43518518518518517</v>
      </c>
      <c r="S107" s="883">
        <f t="shared" si="197"/>
        <v>0</v>
      </c>
      <c r="T107" s="884">
        <f t="shared" si="198"/>
        <v>0</v>
      </c>
      <c r="U107" s="853">
        <f>'2020'!J107</f>
        <v>47</v>
      </c>
      <c r="V107" s="851">
        <f>'2021'!J107</f>
        <v>0</v>
      </c>
      <c r="W107" s="852">
        <f>'2022'!J107</f>
        <v>0</v>
      </c>
      <c r="X107" s="457">
        <f t="shared" si="188"/>
        <v>0.47222222222222221</v>
      </c>
      <c r="Y107" s="883" t="str">
        <f t="shared" si="189"/>
        <v/>
      </c>
      <c r="Z107" s="884" t="str">
        <f t="shared" si="190"/>
        <v/>
      </c>
      <c r="AA107" s="853">
        <f>'2020'!L107</f>
        <v>51</v>
      </c>
      <c r="AB107" s="851">
        <f>'2021'!L107</f>
        <v>0</v>
      </c>
      <c r="AC107" s="852">
        <f>'2022'!L107</f>
        <v>0</v>
      </c>
      <c r="AD107" s="885">
        <f t="shared" si="175"/>
        <v>0</v>
      </c>
      <c r="AE107" s="886" t="str">
        <f t="shared" si="175"/>
        <v/>
      </c>
      <c r="AF107" s="887" t="str">
        <f t="shared" si="175"/>
        <v/>
      </c>
      <c r="AG107" s="888">
        <f>'2020'!N107</f>
        <v>0</v>
      </c>
      <c r="AH107" s="889">
        <f>'2021'!N107</f>
        <v>0</v>
      </c>
      <c r="AI107" s="890">
        <f>'2022'!N107</f>
        <v>0</v>
      </c>
      <c r="AJ107" s="891" t="s">
        <v>21</v>
      </c>
      <c r="AK107" s="892" t="s">
        <v>21</v>
      </c>
      <c r="AL107" s="891" t="s">
        <v>21</v>
      </c>
      <c r="AM107" s="892" t="s">
        <v>21</v>
      </c>
      <c r="AN107" s="893"/>
      <c r="AO107" s="894"/>
      <c r="AP107" s="893"/>
      <c r="AQ107" s="895"/>
      <c r="AY107" s="1" t="str">
        <f t="shared" si="41"/>
        <v>Suisse</v>
      </c>
      <c r="AZ107" s="1" t="str">
        <f t="shared" si="42"/>
        <v/>
      </c>
      <c r="BA107" s="1" t="str">
        <f t="shared" si="43"/>
        <v/>
      </c>
    </row>
    <row r="108" spans="1:53" ht="15.75" customHeight="1" x14ac:dyDescent="0.35">
      <c r="A108" s="108" t="str">
        <f t="shared" si="126"/>
        <v>X</v>
      </c>
      <c r="B108" s="1119"/>
      <c r="C108" s="1116"/>
      <c r="D108" s="1122"/>
      <c r="E108" s="1125"/>
      <c r="F108" s="1126"/>
      <c r="G108" s="814" t="s">
        <v>50</v>
      </c>
      <c r="H108" s="834" t="str">
        <f t="shared" si="193"/>
        <v>X</v>
      </c>
      <c r="I108" s="834" t="str">
        <f t="shared" si="194"/>
        <v/>
      </c>
      <c r="J108" s="835" t="str">
        <f t="shared" si="195"/>
        <v/>
      </c>
      <c r="K108" s="454" t="s">
        <v>61</v>
      </c>
      <c r="L108" s="850">
        <f>'2020'!G108</f>
        <v>117</v>
      </c>
      <c r="M108" s="851">
        <f>'2021'!G108</f>
        <v>0</v>
      </c>
      <c r="N108" s="852">
        <f>'2022'!G108</f>
        <v>0</v>
      </c>
      <c r="O108" s="853">
        <f>'2020'!H108</f>
        <v>117</v>
      </c>
      <c r="P108" s="851">
        <f>'2021'!H108</f>
        <v>0</v>
      </c>
      <c r="Q108" s="852">
        <f>'2022'!H108</f>
        <v>0</v>
      </c>
      <c r="R108" s="457">
        <f t="shared" si="196"/>
        <v>0.35897435897435898</v>
      </c>
      <c r="S108" s="883">
        <f t="shared" si="197"/>
        <v>0</v>
      </c>
      <c r="T108" s="884">
        <f t="shared" si="198"/>
        <v>0</v>
      </c>
      <c r="U108" s="853">
        <f>'2020'!J108</f>
        <v>42</v>
      </c>
      <c r="V108" s="851">
        <f>'2021'!J108</f>
        <v>0</v>
      </c>
      <c r="W108" s="852">
        <f>'2022'!J108</f>
        <v>0</v>
      </c>
      <c r="X108" s="457">
        <f t="shared" si="188"/>
        <v>0.44444444444444442</v>
      </c>
      <c r="Y108" s="883" t="str">
        <f t="shared" si="189"/>
        <v/>
      </c>
      <c r="Z108" s="884" t="str">
        <f t="shared" si="190"/>
        <v/>
      </c>
      <c r="AA108" s="853">
        <f>'2020'!L108</f>
        <v>52</v>
      </c>
      <c r="AB108" s="851">
        <f>'2021'!L108</f>
        <v>0</v>
      </c>
      <c r="AC108" s="852">
        <f>'2022'!L108</f>
        <v>0</v>
      </c>
      <c r="AD108" s="885">
        <f t="shared" si="175"/>
        <v>0</v>
      </c>
      <c r="AE108" s="886" t="str">
        <f t="shared" si="175"/>
        <v/>
      </c>
      <c r="AF108" s="887" t="str">
        <f t="shared" si="175"/>
        <v/>
      </c>
      <c r="AG108" s="888">
        <f>'2020'!N108</f>
        <v>0</v>
      </c>
      <c r="AH108" s="889">
        <f>'2021'!N108</f>
        <v>0</v>
      </c>
      <c r="AI108" s="890">
        <f>'2022'!N108</f>
        <v>0</v>
      </c>
      <c r="AJ108" s="891" t="s">
        <v>21</v>
      </c>
      <c r="AK108" s="892" t="s">
        <v>21</v>
      </c>
      <c r="AL108" s="891" t="s">
        <v>21</v>
      </c>
      <c r="AM108" s="892" t="s">
        <v>21</v>
      </c>
      <c r="AN108" s="893"/>
      <c r="AO108" s="894"/>
      <c r="AP108" s="893"/>
      <c r="AQ108" s="895"/>
      <c r="AY108" s="1" t="str">
        <f t="shared" ref="AY108:AY121" si="199">IF(H108&lt;&gt;"",$K108,"")</f>
        <v>Suisse</v>
      </c>
      <c r="AZ108" s="1" t="str">
        <f t="shared" ref="AZ108:AZ121" si="200">IF(I108&lt;&gt;"",$K108,"")</f>
        <v/>
      </c>
      <c r="BA108" s="1" t="str">
        <f t="shared" ref="BA108:BA121" si="201">IF(J108&lt;&gt;"",$K108,"")</f>
        <v/>
      </c>
    </row>
    <row r="109" spans="1:53" ht="15.75" customHeight="1" x14ac:dyDescent="0.35">
      <c r="A109" s="108" t="str">
        <f t="shared" si="126"/>
        <v>X</v>
      </c>
      <c r="B109" s="1119"/>
      <c r="C109" s="1116"/>
      <c r="D109" s="1122"/>
      <c r="E109" s="1125"/>
      <c r="F109" s="1126"/>
      <c r="G109" s="814" t="s">
        <v>144</v>
      </c>
      <c r="H109" s="834" t="str">
        <f t="shared" si="193"/>
        <v/>
      </c>
      <c r="I109" s="834" t="str">
        <f t="shared" si="194"/>
        <v>X</v>
      </c>
      <c r="J109" s="835" t="str">
        <f t="shared" si="195"/>
        <v/>
      </c>
      <c r="K109" s="454" t="s">
        <v>61</v>
      </c>
      <c r="L109" s="850">
        <f>'2020'!G109</f>
        <v>0</v>
      </c>
      <c r="M109" s="851">
        <f>'2021'!G109</f>
        <v>159</v>
      </c>
      <c r="N109" s="852">
        <f>'2022'!G109</f>
        <v>0</v>
      </c>
      <c r="O109" s="853">
        <f>'2020'!H109</f>
        <v>0</v>
      </c>
      <c r="P109" s="851">
        <f>'2021'!H109</f>
        <v>159</v>
      </c>
      <c r="Q109" s="852">
        <f>'2022'!H109</f>
        <v>0</v>
      </c>
      <c r="R109" s="457">
        <f t="shared" si="196"/>
        <v>0</v>
      </c>
      <c r="S109" s="883">
        <f t="shared" si="197"/>
        <v>0.34591194968553457</v>
      </c>
      <c r="T109" s="884">
        <f t="shared" si="198"/>
        <v>0</v>
      </c>
      <c r="U109" s="853">
        <f>'2020'!J109</f>
        <v>0</v>
      </c>
      <c r="V109" s="851">
        <f>'2021'!J109</f>
        <v>55</v>
      </c>
      <c r="W109" s="852">
        <f>'2022'!J109</f>
        <v>0</v>
      </c>
      <c r="X109" s="457" t="str">
        <f t="shared" si="188"/>
        <v/>
      </c>
      <c r="Y109" s="883">
        <f t="shared" si="189"/>
        <v>0.41509433962264153</v>
      </c>
      <c r="Z109" s="884" t="str">
        <f t="shared" si="190"/>
        <v/>
      </c>
      <c r="AA109" s="853">
        <f>'2020'!L109</f>
        <v>0</v>
      </c>
      <c r="AB109" s="851">
        <f>'2021'!L109</f>
        <v>66</v>
      </c>
      <c r="AC109" s="852">
        <f>'2022'!L109</f>
        <v>0</v>
      </c>
      <c r="AD109" s="885" t="str">
        <f t="shared" si="175"/>
        <v/>
      </c>
      <c r="AE109" s="886">
        <f t="shared" si="175"/>
        <v>0.46969696969696972</v>
      </c>
      <c r="AF109" s="887" t="str">
        <f t="shared" si="175"/>
        <v/>
      </c>
      <c r="AG109" s="888">
        <f>'2020'!N109</f>
        <v>0</v>
      </c>
      <c r="AH109" s="889">
        <f>'2021'!N109</f>
        <v>31</v>
      </c>
      <c r="AI109" s="890">
        <f>'2022'!N109</f>
        <v>0</v>
      </c>
      <c r="AJ109" s="891" t="s">
        <v>21</v>
      </c>
      <c r="AK109" s="892" t="s">
        <v>21</v>
      </c>
      <c r="AL109" s="891" t="s">
        <v>21</v>
      </c>
      <c r="AM109" s="892" t="s">
        <v>21</v>
      </c>
      <c r="AN109" s="893"/>
      <c r="AO109" s="894"/>
      <c r="AP109" s="893"/>
      <c r="AQ109" s="895"/>
      <c r="AY109" s="1" t="str">
        <f t="shared" si="199"/>
        <v/>
      </c>
      <c r="AZ109" s="1" t="str">
        <f t="shared" si="200"/>
        <v>Suisse</v>
      </c>
      <c r="BA109" s="1" t="str">
        <f t="shared" si="201"/>
        <v/>
      </c>
    </row>
    <row r="110" spans="1:53" ht="15.75" customHeight="1" x14ac:dyDescent="0.35">
      <c r="A110" s="108" t="str">
        <f t="shared" si="126"/>
        <v>X</v>
      </c>
      <c r="B110" s="1119"/>
      <c r="C110" s="1116"/>
      <c r="D110" s="1122"/>
      <c r="E110" s="1125"/>
      <c r="F110" s="1126"/>
      <c r="G110" s="814" t="s">
        <v>143</v>
      </c>
      <c r="H110" s="834" t="str">
        <f t="shared" si="193"/>
        <v/>
      </c>
      <c r="I110" s="834" t="str">
        <f t="shared" si="194"/>
        <v>X</v>
      </c>
      <c r="J110" s="835" t="str">
        <f t="shared" si="195"/>
        <v/>
      </c>
      <c r="K110" s="454" t="s">
        <v>61</v>
      </c>
      <c r="L110" s="850">
        <f>'2020'!G110</f>
        <v>0</v>
      </c>
      <c r="M110" s="851">
        <f>'2021'!G110</f>
        <v>165</v>
      </c>
      <c r="N110" s="852">
        <f>'2022'!G110</f>
        <v>0</v>
      </c>
      <c r="O110" s="853">
        <f>'2020'!H110</f>
        <v>0</v>
      </c>
      <c r="P110" s="851">
        <f>'2021'!H110</f>
        <v>165</v>
      </c>
      <c r="Q110" s="852">
        <f>'2022'!H110</f>
        <v>0</v>
      </c>
      <c r="R110" s="457">
        <f t="shared" si="196"/>
        <v>0</v>
      </c>
      <c r="S110" s="883">
        <f t="shared" si="197"/>
        <v>0</v>
      </c>
      <c r="T110" s="884">
        <f t="shared" si="198"/>
        <v>0</v>
      </c>
      <c r="U110" s="853">
        <f>'2020'!J110</f>
        <v>0</v>
      </c>
      <c r="V110" s="851">
        <f>'2021'!J110</f>
        <v>0</v>
      </c>
      <c r="W110" s="852">
        <f>'2022'!J110</f>
        <v>0</v>
      </c>
      <c r="X110" s="457" t="str">
        <f t="shared" si="188"/>
        <v/>
      </c>
      <c r="Y110" s="883">
        <f t="shared" si="189"/>
        <v>0</v>
      </c>
      <c r="Z110" s="884" t="str">
        <f t="shared" si="190"/>
        <v/>
      </c>
      <c r="AA110" s="853">
        <f>'2020'!L110</f>
        <v>0</v>
      </c>
      <c r="AB110" s="851">
        <f>'2021'!L110</f>
        <v>0</v>
      </c>
      <c r="AC110" s="852">
        <f>'2022'!L110</f>
        <v>0</v>
      </c>
      <c r="AD110" s="885" t="str">
        <f t="shared" si="175"/>
        <v/>
      </c>
      <c r="AE110" s="886" t="str">
        <f t="shared" si="175"/>
        <v/>
      </c>
      <c r="AF110" s="887" t="str">
        <f t="shared" si="175"/>
        <v/>
      </c>
      <c r="AG110" s="888">
        <f>'2020'!N110</f>
        <v>0</v>
      </c>
      <c r="AH110" s="889">
        <f>'2021'!N110</f>
        <v>0</v>
      </c>
      <c r="AI110" s="890">
        <f>'2022'!N110</f>
        <v>0</v>
      </c>
      <c r="AJ110" s="891" t="s">
        <v>21</v>
      </c>
      <c r="AK110" s="892" t="s">
        <v>21</v>
      </c>
      <c r="AL110" s="891" t="s">
        <v>21</v>
      </c>
      <c r="AM110" s="892" t="s">
        <v>21</v>
      </c>
      <c r="AN110" s="893"/>
      <c r="AO110" s="894"/>
      <c r="AP110" s="893"/>
      <c r="AQ110" s="895"/>
      <c r="AY110" s="1" t="str">
        <f t="shared" si="199"/>
        <v/>
      </c>
      <c r="AZ110" s="1" t="str">
        <f t="shared" si="200"/>
        <v>Suisse</v>
      </c>
      <c r="BA110" s="1" t="str">
        <f t="shared" si="201"/>
        <v/>
      </c>
    </row>
    <row r="111" spans="1:53" ht="15.75" customHeight="1" x14ac:dyDescent="0.35">
      <c r="A111" s="108" t="str">
        <f t="shared" si="126"/>
        <v>X</v>
      </c>
      <c r="B111" s="1119"/>
      <c r="C111" s="1116"/>
      <c r="D111" s="1122"/>
      <c r="E111" s="1125"/>
      <c r="F111" s="1126"/>
      <c r="G111" s="814" t="s">
        <v>180</v>
      </c>
      <c r="H111" s="834" t="str">
        <f t="shared" si="193"/>
        <v/>
      </c>
      <c r="I111" s="834" t="str">
        <f t="shared" si="194"/>
        <v/>
      </c>
      <c r="J111" s="835" t="str">
        <f t="shared" si="195"/>
        <v>X</v>
      </c>
      <c r="K111" s="454" t="s">
        <v>61</v>
      </c>
      <c r="L111" s="850">
        <f>'2020'!G111</f>
        <v>0</v>
      </c>
      <c r="M111" s="851">
        <f>'2021'!G111</f>
        <v>0</v>
      </c>
      <c r="N111" s="852">
        <f>'2022'!G111</f>
        <v>299</v>
      </c>
      <c r="O111" s="853">
        <f>'2020'!H111</f>
        <v>0</v>
      </c>
      <c r="P111" s="851">
        <f>'2021'!H111</f>
        <v>0</v>
      </c>
      <c r="Q111" s="852">
        <f>'2022'!H111</f>
        <v>299</v>
      </c>
      <c r="R111" s="457">
        <f t="shared" si="196"/>
        <v>0</v>
      </c>
      <c r="S111" s="883">
        <f t="shared" si="197"/>
        <v>0</v>
      </c>
      <c r="T111" s="884">
        <f t="shared" si="198"/>
        <v>0.51170568561872909</v>
      </c>
      <c r="U111" s="853">
        <f>'2020'!J111</f>
        <v>0</v>
      </c>
      <c r="V111" s="851">
        <f>'2021'!J111</f>
        <v>0</v>
      </c>
      <c r="W111" s="852">
        <f>'2022'!J111</f>
        <v>153</v>
      </c>
      <c r="X111" s="457" t="str">
        <f t="shared" si="188"/>
        <v/>
      </c>
      <c r="Y111" s="883" t="str">
        <f t="shared" si="189"/>
        <v/>
      </c>
      <c r="Z111" s="884">
        <f t="shared" si="190"/>
        <v>0.37123745819397991</v>
      </c>
      <c r="AA111" s="853">
        <f>'2020'!L111</f>
        <v>0</v>
      </c>
      <c r="AB111" s="851">
        <f>'2021'!L111</f>
        <v>0</v>
      </c>
      <c r="AC111" s="852">
        <f>'2022'!L111</f>
        <v>111</v>
      </c>
      <c r="AD111" s="885" t="str">
        <f t="shared" si="175"/>
        <v/>
      </c>
      <c r="AE111" s="886" t="str">
        <f t="shared" si="175"/>
        <v/>
      </c>
      <c r="AF111" s="887">
        <f t="shared" si="175"/>
        <v>0.70270270270270274</v>
      </c>
      <c r="AG111" s="888">
        <f>'2020'!N111</f>
        <v>0</v>
      </c>
      <c r="AH111" s="889">
        <f>'2021'!N111</f>
        <v>0</v>
      </c>
      <c r="AI111" s="890">
        <f>'2022'!N111</f>
        <v>78</v>
      </c>
      <c r="AJ111" s="891" t="s">
        <v>21</v>
      </c>
      <c r="AK111" s="892" t="s">
        <v>21</v>
      </c>
      <c r="AL111" s="891" t="s">
        <v>21</v>
      </c>
      <c r="AM111" s="892" t="s">
        <v>21</v>
      </c>
      <c r="AN111" s="893"/>
      <c r="AO111" s="894"/>
      <c r="AP111" s="893"/>
      <c r="AQ111" s="895"/>
      <c r="AY111" s="1" t="str">
        <f t="shared" si="199"/>
        <v/>
      </c>
      <c r="AZ111" s="1" t="str">
        <f t="shared" si="200"/>
        <v/>
      </c>
      <c r="BA111" s="1" t="str">
        <f t="shared" si="201"/>
        <v>Suisse</v>
      </c>
    </row>
    <row r="112" spans="1:53" ht="15.75" customHeight="1" x14ac:dyDescent="0.35">
      <c r="A112" s="108" t="str">
        <f t="shared" si="126"/>
        <v>X</v>
      </c>
      <c r="B112" s="1119"/>
      <c r="C112" s="1116"/>
      <c r="D112" s="1122"/>
      <c r="E112" s="1125"/>
      <c r="F112" s="1126"/>
      <c r="G112" s="814" t="s">
        <v>181</v>
      </c>
      <c r="H112" s="834" t="str">
        <f t="shared" si="193"/>
        <v/>
      </c>
      <c r="I112" s="834" t="str">
        <f t="shared" si="194"/>
        <v/>
      </c>
      <c r="J112" s="835" t="str">
        <f t="shared" si="195"/>
        <v>X</v>
      </c>
      <c r="K112" s="454" t="s">
        <v>61</v>
      </c>
      <c r="L112" s="850">
        <f>'2020'!G112</f>
        <v>0</v>
      </c>
      <c r="M112" s="851">
        <f>'2021'!G112</f>
        <v>0</v>
      </c>
      <c r="N112" s="852">
        <f>'2022'!G112</f>
        <v>385</v>
      </c>
      <c r="O112" s="853">
        <f>'2020'!H112</f>
        <v>0</v>
      </c>
      <c r="P112" s="851">
        <f>'2021'!H112</f>
        <v>0</v>
      </c>
      <c r="Q112" s="852">
        <f>'2022'!H112</f>
        <v>385</v>
      </c>
      <c r="R112" s="457">
        <f t="shared" si="196"/>
        <v>0</v>
      </c>
      <c r="S112" s="883">
        <f t="shared" si="197"/>
        <v>0</v>
      </c>
      <c r="T112" s="884">
        <f t="shared" si="198"/>
        <v>0.55844155844155841</v>
      </c>
      <c r="U112" s="853">
        <f>'2020'!J112</f>
        <v>0</v>
      </c>
      <c r="V112" s="851">
        <f>'2021'!J112</f>
        <v>0</v>
      </c>
      <c r="W112" s="852">
        <f>'2022'!J112</f>
        <v>215</v>
      </c>
      <c r="X112" s="457" t="str">
        <f t="shared" si="188"/>
        <v/>
      </c>
      <c r="Y112" s="883" t="str">
        <f t="shared" si="189"/>
        <v/>
      </c>
      <c r="Z112" s="884">
        <f t="shared" si="190"/>
        <v>0.41558441558441561</v>
      </c>
      <c r="AA112" s="853">
        <f>'2020'!L112</f>
        <v>0</v>
      </c>
      <c r="AB112" s="851">
        <f>'2021'!L112</f>
        <v>0</v>
      </c>
      <c r="AC112" s="852">
        <f>'2022'!L112</f>
        <v>160</v>
      </c>
      <c r="AD112" s="885" t="str">
        <f t="shared" si="175"/>
        <v/>
      </c>
      <c r="AE112" s="886" t="str">
        <f t="shared" si="175"/>
        <v/>
      </c>
      <c r="AF112" s="887">
        <f t="shared" si="175"/>
        <v>0.71250000000000002</v>
      </c>
      <c r="AG112" s="888">
        <f>'2020'!N112</f>
        <v>0</v>
      </c>
      <c r="AH112" s="889">
        <f>'2021'!N112</f>
        <v>0</v>
      </c>
      <c r="AI112" s="890">
        <f>'2022'!N112</f>
        <v>114</v>
      </c>
      <c r="AJ112" s="891" t="s">
        <v>21</v>
      </c>
      <c r="AK112" s="892" t="s">
        <v>21</v>
      </c>
      <c r="AL112" s="891" t="s">
        <v>21</v>
      </c>
      <c r="AM112" s="892" t="s">
        <v>21</v>
      </c>
      <c r="AN112" s="893"/>
      <c r="AO112" s="894"/>
      <c r="AP112" s="893"/>
      <c r="AQ112" s="895"/>
      <c r="AY112" s="1" t="str">
        <f t="shared" si="199"/>
        <v/>
      </c>
      <c r="AZ112" s="1" t="str">
        <f t="shared" si="200"/>
        <v/>
      </c>
      <c r="BA112" s="1" t="str">
        <f t="shared" si="201"/>
        <v>Suisse</v>
      </c>
    </row>
    <row r="113" spans="1:53" ht="15.75" customHeight="1" x14ac:dyDescent="0.35">
      <c r="A113" s="108" t="str">
        <f t="shared" si="126"/>
        <v>X</v>
      </c>
      <c r="B113" s="1119"/>
      <c r="C113" s="1116"/>
      <c r="D113" s="1122"/>
      <c r="E113" s="1125"/>
      <c r="F113" s="1126"/>
      <c r="G113" s="814" t="s">
        <v>182</v>
      </c>
      <c r="H113" s="834" t="str">
        <f t="shared" si="193"/>
        <v/>
      </c>
      <c r="I113" s="834" t="str">
        <f t="shared" si="194"/>
        <v/>
      </c>
      <c r="J113" s="835" t="str">
        <f t="shared" si="195"/>
        <v/>
      </c>
      <c r="K113" s="454" t="s">
        <v>61</v>
      </c>
      <c r="L113" s="850">
        <f>'2020'!G113</f>
        <v>0</v>
      </c>
      <c r="M113" s="851">
        <f>'2021'!G113</f>
        <v>0</v>
      </c>
      <c r="N113" s="852">
        <f>'2022'!G113</f>
        <v>0</v>
      </c>
      <c r="O113" s="853">
        <f>'2020'!H113</f>
        <v>0</v>
      </c>
      <c r="P113" s="851">
        <f>'2021'!H113</f>
        <v>0</v>
      </c>
      <c r="Q113" s="852">
        <f>'2022'!H113</f>
        <v>0</v>
      </c>
      <c r="R113" s="457">
        <f t="shared" si="196"/>
        <v>0</v>
      </c>
      <c r="S113" s="883">
        <f t="shared" si="197"/>
        <v>0</v>
      </c>
      <c r="T113" s="884">
        <f t="shared" si="198"/>
        <v>0</v>
      </c>
      <c r="U113" s="853">
        <f>'2020'!J113</f>
        <v>0</v>
      </c>
      <c r="V113" s="851">
        <f>'2021'!J113</f>
        <v>0</v>
      </c>
      <c r="W113" s="852">
        <f>'2022'!J113</f>
        <v>0</v>
      </c>
      <c r="X113" s="457" t="str">
        <f t="shared" si="188"/>
        <v/>
      </c>
      <c r="Y113" s="883" t="str">
        <f t="shared" si="189"/>
        <v/>
      </c>
      <c r="Z113" s="884" t="str">
        <f t="shared" si="190"/>
        <v/>
      </c>
      <c r="AA113" s="853">
        <f>'2020'!L113</f>
        <v>0</v>
      </c>
      <c r="AB113" s="851">
        <f>'2021'!L113</f>
        <v>0</v>
      </c>
      <c r="AC113" s="852">
        <f>'2022'!L113</f>
        <v>0</v>
      </c>
      <c r="AD113" s="885" t="str">
        <f t="shared" si="175"/>
        <v/>
      </c>
      <c r="AE113" s="886" t="str">
        <f t="shared" si="175"/>
        <v/>
      </c>
      <c r="AF113" s="887" t="str">
        <f t="shared" si="175"/>
        <v/>
      </c>
      <c r="AG113" s="888">
        <f>'2020'!N113</f>
        <v>0</v>
      </c>
      <c r="AH113" s="889">
        <f>'2021'!N113</f>
        <v>0</v>
      </c>
      <c r="AI113" s="890">
        <f>'2022'!N113</f>
        <v>0</v>
      </c>
      <c r="AJ113" s="891" t="s">
        <v>21</v>
      </c>
      <c r="AK113" s="892" t="s">
        <v>21</v>
      </c>
      <c r="AL113" s="891" t="s">
        <v>21</v>
      </c>
      <c r="AM113" s="892" t="s">
        <v>21</v>
      </c>
      <c r="AN113" s="893"/>
      <c r="AO113" s="894"/>
      <c r="AP113" s="893"/>
      <c r="AQ113" s="895"/>
      <c r="AY113" s="1" t="str">
        <f t="shared" si="199"/>
        <v/>
      </c>
      <c r="AZ113" s="1" t="str">
        <f t="shared" si="200"/>
        <v/>
      </c>
      <c r="BA113" s="1" t="str">
        <f t="shared" si="201"/>
        <v/>
      </c>
    </row>
    <row r="114" spans="1:53" ht="15.75" customHeight="1" x14ac:dyDescent="0.35">
      <c r="A114" s="108" t="str">
        <f t="shared" si="126"/>
        <v>X</v>
      </c>
      <c r="B114" s="1119"/>
      <c r="C114" s="1116"/>
      <c r="D114" s="1122"/>
      <c r="E114" s="1125"/>
      <c r="F114" s="1126"/>
      <c r="G114" s="814" t="s">
        <v>183</v>
      </c>
      <c r="H114" s="834" t="str">
        <f t="shared" si="193"/>
        <v/>
      </c>
      <c r="I114" s="834" t="str">
        <f t="shared" si="194"/>
        <v/>
      </c>
      <c r="J114" s="835" t="str">
        <f t="shared" si="195"/>
        <v>X</v>
      </c>
      <c r="K114" s="454" t="s">
        <v>61</v>
      </c>
      <c r="L114" s="850">
        <f>'2020'!G114</f>
        <v>0</v>
      </c>
      <c r="M114" s="851">
        <f>'2021'!G114</f>
        <v>0</v>
      </c>
      <c r="N114" s="852">
        <f>'2022'!G114</f>
        <v>252</v>
      </c>
      <c r="O114" s="853">
        <f>'2020'!H114</f>
        <v>0</v>
      </c>
      <c r="P114" s="851">
        <f>'2021'!H114</f>
        <v>0</v>
      </c>
      <c r="Q114" s="852">
        <f>'2022'!H114</f>
        <v>252</v>
      </c>
      <c r="R114" s="457">
        <f t="shared" si="196"/>
        <v>0</v>
      </c>
      <c r="S114" s="883">
        <f t="shared" si="197"/>
        <v>0</v>
      </c>
      <c r="T114" s="884">
        <f t="shared" si="198"/>
        <v>0.31746031746031744</v>
      </c>
      <c r="U114" s="853">
        <f>'2020'!J114</f>
        <v>0</v>
      </c>
      <c r="V114" s="851">
        <f>'2021'!J114</f>
        <v>0</v>
      </c>
      <c r="W114" s="852">
        <f>'2022'!J114</f>
        <v>80</v>
      </c>
      <c r="X114" s="457" t="str">
        <f t="shared" si="188"/>
        <v/>
      </c>
      <c r="Y114" s="883" t="str">
        <f t="shared" si="189"/>
        <v/>
      </c>
      <c r="Z114" s="884">
        <f t="shared" si="190"/>
        <v>0.40079365079365081</v>
      </c>
      <c r="AA114" s="853">
        <f>'2020'!L114</f>
        <v>0</v>
      </c>
      <c r="AB114" s="851">
        <f>'2021'!L114</f>
        <v>0</v>
      </c>
      <c r="AC114" s="852">
        <f>'2022'!L114</f>
        <v>101</v>
      </c>
      <c r="AD114" s="885" t="str">
        <f t="shared" si="175"/>
        <v/>
      </c>
      <c r="AE114" s="886" t="str">
        <f t="shared" si="175"/>
        <v/>
      </c>
      <c r="AF114" s="887">
        <f t="shared" si="175"/>
        <v>0.37623762376237624</v>
      </c>
      <c r="AG114" s="888">
        <f>'2020'!N114</f>
        <v>0</v>
      </c>
      <c r="AH114" s="889">
        <f>'2021'!N114</f>
        <v>0</v>
      </c>
      <c r="AI114" s="890">
        <f>'2022'!N114</f>
        <v>38</v>
      </c>
      <c r="AJ114" s="891" t="s">
        <v>21</v>
      </c>
      <c r="AK114" s="892" t="s">
        <v>21</v>
      </c>
      <c r="AL114" s="891" t="s">
        <v>21</v>
      </c>
      <c r="AM114" s="892" t="s">
        <v>21</v>
      </c>
      <c r="AN114" s="893"/>
      <c r="AO114" s="894"/>
      <c r="AP114" s="893"/>
      <c r="AQ114" s="895"/>
      <c r="AY114" s="1" t="str">
        <f t="shared" si="199"/>
        <v/>
      </c>
      <c r="AZ114" s="1" t="str">
        <f t="shared" si="200"/>
        <v/>
      </c>
      <c r="BA114" s="1" t="str">
        <f t="shared" si="201"/>
        <v>Suisse</v>
      </c>
    </row>
    <row r="115" spans="1:53" ht="15.75" customHeight="1" x14ac:dyDescent="0.35">
      <c r="A115" s="108" t="str">
        <f t="shared" si="126"/>
        <v>X</v>
      </c>
      <c r="B115" s="1119"/>
      <c r="C115" s="1116"/>
      <c r="D115" s="1122"/>
      <c r="E115" s="1125"/>
      <c r="F115" s="1126"/>
      <c r="G115" s="814" t="s">
        <v>184</v>
      </c>
      <c r="H115" s="834" t="str">
        <f t="shared" si="193"/>
        <v/>
      </c>
      <c r="I115" s="834" t="str">
        <f t="shared" si="194"/>
        <v/>
      </c>
      <c r="J115" s="835" t="str">
        <f t="shared" si="195"/>
        <v>X</v>
      </c>
      <c r="K115" s="454" t="s">
        <v>61</v>
      </c>
      <c r="L115" s="850">
        <f>'2020'!G115</f>
        <v>0</v>
      </c>
      <c r="M115" s="851">
        <f>'2021'!G115</f>
        <v>0</v>
      </c>
      <c r="N115" s="852">
        <f>'2022'!G115</f>
        <v>17</v>
      </c>
      <c r="O115" s="853">
        <f>'2020'!H115</f>
        <v>0</v>
      </c>
      <c r="P115" s="851">
        <f>'2021'!H115</f>
        <v>0</v>
      </c>
      <c r="Q115" s="852">
        <f>'2022'!H115</f>
        <v>17</v>
      </c>
      <c r="R115" s="457">
        <f t="shared" si="196"/>
        <v>0</v>
      </c>
      <c r="S115" s="883">
        <f t="shared" si="197"/>
        <v>0</v>
      </c>
      <c r="T115" s="884">
        <f t="shared" si="198"/>
        <v>0.47058823529411764</v>
      </c>
      <c r="U115" s="853">
        <f>'2020'!J115</f>
        <v>0</v>
      </c>
      <c r="V115" s="851">
        <f>'2021'!J115</f>
        <v>0</v>
      </c>
      <c r="W115" s="852">
        <f>'2022'!J115</f>
        <v>8</v>
      </c>
      <c r="X115" s="457" t="str">
        <f t="shared" si="188"/>
        <v/>
      </c>
      <c r="Y115" s="883" t="str">
        <f t="shared" si="189"/>
        <v/>
      </c>
      <c r="Z115" s="884">
        <f t="shared" si="190"/>
        <v>0.35294117647058826</v>
      </c>
      <c r="AA115" s="853">
        <f>'2020'!L115</f>
        <v>0</v>
      </c>
      <c r="AB115" s="851">
        <f>'2021'!L115</f>
        <v>0</v>
      </c>
      <c r="AC115" s="852">
        <f>'2022'!L115</f>
        <v>6</v>
      </c>
      <c r="AD115" s="885" t="str">
        <f t="shared" si="175"/>
        <v/>
      </c>
      <c r="AE115" s="886" t="str">
        <f t="shared" si="175"/>
        <v/>
      </c>
      <c r="AF115" s="887">
        <f t="shared" si="175"/>
        <v>0.83333333333333337</v>
      </c>
      <c r="AG115" s="888">
        <f>'2020'!N115</f>
        <v>0</v>
      </c>
      <c r="AH115" s="889">
        <f>'2021'!N115</f>
        <v>0</v>
      </c>
      <c r="AI115" s="890">
        <f>'2022'!N115</f>
        <v>5</v>
      </c>
      <c r="AJ115" s="891" t="s">
        <v>21</v>
      </c>
      <c r="AK115" s="892" t="s">
        <v>21</v>
      </c>
      <c r="AL115" s="891" t="s">
        <v>21</v>
      </c>
      <c r="AM115" s="892" t="s">
        <v>21</v>
      </c>
      <c r="AN115" s="893"/>
      <c r="AO115" s="894"/>
      <c r="AP115" s="893"/>
      <c r="AQ115" s="895"/>
      <c r="AY115" s="1" t="str">
        <f t="shared" si="199"/>
        <v/>
      </c>
      <c r="AZ115" s="1" t="str">
        <f t="shared" si="200"/>
        <v/>
      </c>
      <c r="BA115" s="1" t="str">
        <f t="shared" si="201"/>
        <v>Suisse</v>
      </c>
    </row>
    <row r="116" spans="1:53" ht="15.75" customHeight="1" x14ac:dyDescent="0.35">
      <c r="A116" s="108" t="str">
        <f t="shared" si="126"/>
        <v>X</v>
      </c>
      <c r="B116" s="1119"/>
      <c r="C116" s="1116"/>
      <c r="D116" s="1122"/>
      <c r="E116" s="1125"/>
      <c r="F116" s="1126"/>
      <c r="G116" s="814" t="s">
        <v>185</v>
      </c>
      <c r="H116" s="834" t="str">
        <f t="shared" si="193"/>
        <v/>
      </c>
      <c r="I116" s="834" t="str">
        <f t="shared" si="194"/>
        <v/>
      </c>
      <c r="J116" s="835" t="str">
        <f t="shared" si="195"/>
        <v>X</v>
      </c>
      <c r="K116" s="454" t="s">
        <v>61</v>
      </c>
      <c r="L116" s="850">
        <f>'2020'!G116</f>
        <v>0</v>
      </c>
      <c r="M116" s="851">
        <f>'2021'!G116</f>
        <v>0</v>
      </c>
      <c r="N116" s="852">
        <f>'2022'!G116</f>
        <v>24</v>
      </c>
      <c r="O116" s="853">
        <f>'2020'!H116</f>
        <v>0</v>
      </c>
      <c r="P116" s="851">
        <f>'2021'!H116</f>
        <v>0</v>
      </c>
      <c r="Q116" s="852">
        <f>'2022'!H116</f>
        <v>24</v>
      </c>
      <c r="R116" s="457">
        <f t="shared" si="196"/>
        <v>0</v>
      </c>
      <c r="S116" s="883">
        <f t="shared" si="197"/>
        <v>0</v>
      </c>
      <c r="T116" s="884">
        <f t="shared" si="198"/>
        <v>0.41666666666666669</v>
      </c>
      <c r="U116" s="853">
        <f>'2020'!J116</f>
        <v>0</v>
      </c>
      <c r="V116" s="851">
        <f>'2021'!J116</f>
        <v>0</v>
      </c>
      <c r="W116" s="852">
        <f>'2022'!J116</f>
        <v>10</v>
      </c>
      <c r="X116" s="457" t="str">
        <f t="shared" si="188"/>
        <v/>
      </c>
      <c r="Y116" s="883" t="str">
        <f t="shared" si="189"/>
        <v/>
      </c>
      <c r="Z116" s="884">
        <f t="shared" si="190"/>
        <v>0.33333333333333331</v>
      </c>
      <c r="AA116" s="853">
        <f>'2020'!L116</f>
        <v>0</v>
      </c>
      <c r="AB116" s="851">
        <f>'2021'!L116</f>
        <v>0</v>
      </c>
      <c r="AC116" s="852">
        <f>'2022'!L116</f>
        <v>8</v>
      </c>
      <c r="AD116" s="885" t="str">
        <f t="shared" si="175"/>
        <v/>
      </c>
      <c r="AE116" s="886" t="str">
        <f t="shared" si="175"/>
        <v/>
      </c>
      <c r="AF116" s="887">
        <f t="shared" si="175"/>
        <v>0.75</v>
      </c>
      <c r="AG116" s="888">
        <f>'2020'!N116</f>
        <v>0</v>
      </c>
      <c r="AH116" s="889">
        <f>'2021'!N116</f>
        <v>0</v>
      </c>
      <c r="AI116" s="890">
        <f>'2022'!N116</f>
        <v>6</v>
      </c>
      <c r="AJ116" s="891" t="s">
        <v>21</v>
      </c>
      <c r="AK116" s="892" t="s">
        <v>21</v>
      </c>
      <c r="AL116" s="891" t="s">
        <v>21</v>
      </c>
      <c r="AM116" s="892" t="s">
        <v>21</v>
      </c>
      <c r="AN116" s="893"/>
      <c r="AO116" s="894"/>
      <c r="AP116" s="893"/>
      <c r="AQ116" s="895"/>
      <c r="AY116" s="1" t="str">
        <f t="shared" si="199"/>
        <v/>
      </c>
      <c r="AZ116" s="1" t="str">
        <f t="shared" si="200"/>
        <v/>
      </c>
      <c r="BA116" s="1" t="str">
        <f t="shared" si="201"/>
        <v>Suisse</v>
      </c>
    </row>
    <row r="117" spans="1:53" ht="15.75" customHeight="1" x14ac:dyDescent="0.35">
      <c r="A117" s="108" t="str">
        <f t="shared" si="126"/>
        <v>X</v>
      </c>
      <c r="B117" s="1119"/>
      <c r="C117" s="1116"/>
      <c r="D117" s="1122"/>
      <c r="E117" s="1125"/>
      <c r="F117" s="1126"/>
      <c r="G117" s="814" t="s">
        <v>80</v>
      </c>
      <c r="H117" s="834" t="str">
        <f t="shared" si="193"/>
        <v>X</v>
      </c>
      <c r="I117" s="834" t="str">
        <f t="shared" si="194"/>
        <v>X</v>
      </c>
      <c r="J117" s="835" t="str">
        <f t="shared" si="195"/>
        <v>X</v>
      </c>
      <c r="K117" s="454" t="s">
        <v>61</v>
      </c>
      <c r="L117" s="850">
        <f>'2020'!G117</f>
        <v>651</v>
      </c>
      <c r="M117" s="851">
        <f>'2021'!G117</f>
        <v>773</v>
      </c>
      <c r="N117" s="852">
        <f>'2022'!G117</f>
        <v>853</v>
      </c>
      <c r="O117" s="853">
        <f>'2020'!H117</f>
        <v>651</v>
      </c>
      <c r="P117" s="851">
        <f>'2021'!H117</f>
        <v>773</v>
      </c>
      <c r="Q117" s="852">
        <f>'2022'!H117</f>
        <v>853</v>
      </c>
      <c r="R117" s="457">
        <f t="shared" si="196"/>
        <v>0</v>
      </c>
      <c r="S117" s="883">
        <f t="shared" si="197"/>
        <v>0.39327296248382926</v>
      </c>
      <c r="T117" s="884">
        <f t="shared" si="198"/>
        <v>0.43259085580304807</v>
      </c>
      <c r="U117" s="853">
        <f>'2020'!J117</f>
        <v>0</v>
      </c>
      <c r="V117" s="851">
        <f>'2021'!J117</f>
        <v>304</v>
      </c>
      <c r="W117" s="852">
        <f>'2022'!J117</f>
        <v>369</v>
      </c>
      <c r="X117" s="457">
        <f t="shared" si="188"/>
        <v>0.38402457757296465</v>
      </c>
      <c r="Y117" s="883">
        <f t="shared" si="189"/>
        <v>0.43078913324708928</v>
      </c>
      <c r="Z117" s="884">
        <f t="shared" si="190"/>
        <v>0.38452520515826494</v>
      </c>
      <c r="AA117" s="853">
        <f>'2020'!L117</f>
        <v>250</v>
      </c>
      <c r="AB117" s="851">
        <f>'2021'!L117</f>
        <v>333</v>
      </c>
      <c r="AC117" s="852">
        <f>'2022'!L117</f>
        <v>328</v>
      </c>
      <c r="AD117" s="885">
        <f t="shared" si="175"/>
        <v>0</v>
      </c>
      <c r="AE117" s="886">
        <f t="shared" si="175"/>
        <v>0.57657657657657657</v>
      </c>
      <c r="AF117" s="887">
        <f t="shared" si="175"/>
        <v>0.61280487804878048</v>
      </c>
      <c r="AG117" s="888">
        <f>'2020'!N117</f>
        <v>0</v>
      </c>
      <c r="AH117" s="889">
        <f>'2021'!N117</f>
        <v>192</v>
      </c>
      <c r="AI117" s="890">
        <f>'2022'!N117</f>
        <v>201</v>
      </c>
      <c r="AJ117" s="891" t="s">
        <v>21</v>
      </c>
      <c r="AK117" s="892" t="s">
        <v>21</v>
      </c>
      <c r="AL117" s="891" t="s">
        <v>21</v>
      </c>
      <c r="AM117" s="892" t="s">
        <v>21</v>
      </c>
      <c r="AN117" s="893"/>
      <c r="AO117" s="894"/>
      <c r="AP117" s="893"/>
      <c r="AQ117" s="895"/>
      <c r="AY117" s="1" t="str">
        <f t="shared" si="199"/>
        <v>Suisse</v>
      </c>
      <c r="AZ117" s="1" t="str">
        <f t="shared" si="200"/>
        <v>Suisse</v>
      </c>
      <c r="BA117" s="1" t="str">
        <f t="shared" si="201"/>
        <v>Suisse</v>
      </c>
    </row>
    <row r="118" spans="1:53" ht="15.75" customHeight="1" x14ac:dyDescent="0.35">
      <c r="A118" s="108" t="str">
        <f t="shared" si="126"/>
        <v>X</v>
      </c>
      <c r="B118" s="1119"/>
      <c r="C118" s="1116"/>
      <c r="D118" s="1122"/>
      <c r="E118" s="1125"/>
      <c r="F118" s="1126"/>
      <c r="G118" s="814" t="s">
        <v>51</v>
      </c>
      <c r="H118" s="834" t="str">
        <f t="shared" si="193"/>
        <v>X</v>
      </c>
      <c r="I118" s="834" t="str">
        <f t="shared" si="194"/>
        <v>X</v>
      </c>
      <c r="J118" s="835" t="str">
        <f t="shared" si="195"/>
        <v>X</v>
      </c>
      <c r="K118" s="454" t="s">
        <v>61</v>
      </c>
      <c r="L118" s="850">
        <f>'2020'!G118</f>
        <v>615</v>
      </c>
      <c r="M118" s="851">
        <f>'2021'!G118</f>
        <v>629</v>
      </c>
      <c r="N118" s="852">
        <f>'2022'!G118</f>
        <v>822</v>
      </c>
      <c r="O118" s="853">
        <f>'2020'!H118</f>
        <v>615</v>
      </c>
      <c r="P118" s="851">
        <f>'2021'!H118</f>
        <v>629</v>
      </c>
      <c r="Q118" s="852">
        <f>'2022'!H118</f>
        <v>822</v>
      </c>
      <c r="R118" s="457">
        <f t="shared" si="196"/>
        <v>0</v>
      </c>
      <c r="S118" s="883">
        <f t="shared" si="197"/>
        <v>0.47058823529411764</v>
      </c>
      <c r="T118" s="884">
        <f t="shared" si="198"/>
        <v>0.38442822384428221</v>
      </c>
      <c r="U118" s="853">
        <f>'2020'!J118</f>
        <v>0</v>
      </c>
      <c r="V118" s="851">
        <f>'2021'!J118</f>
        <v>296</v>
      </c>
      <c r="W118" s="852">
        <f>'2022'!J118</f>
        <v>316</v>
      </c>
      <c r="X118" s="457">
        <f t="shared" si="188"/>
        <v>0.39186991869918697</v>
      </c>
      <c r="Y118" s="883">
        <f t="shared" si="189"/>
        <v>0.49443561208267089</v>
      </c>
      <c r="Z118" s="884">
        <f t="shared" si="190"/>
        <v>0.4002433090024331</v>
      </c>
      <c r="AA118" s="853">
        <f>'2020'!L118</f>
        <v>241</v>
      </c>
      <c r="AB118" s="851">
        <f>'2021'!L118</f>
        <v>311</v>
      </c>
      <c r="AC118" s="852">
        <f>'2022'!L118</f>
        <v>329</v>
      </c>
      <c r="AD118" s="885">
        <f t="shared" si="175"/>
        <v>0</v>
      </c>
      <c r="AE118" s="886">
        <f t="shared" si="175"/>
        <v>0.58520900321543412</v>
      </c>
      <c r="AF118" s="887">
        <f t="shared" si="175"/>
        <v>0.49240121580547114</v>
      </c>
      <c r="AG118" s="888">
        <f>'2020'!N118</f>
        <v>0</v>
      </c>
      <c r="AH118" s="889">
        <f>'2021'!N118</f>
        <v>182</v>
      </c>
      <c r="AI118" s="890">
        <f>'2022'!N118</f>
        <v>162</v>
      </c>
      <c r="AJ118" s="891" t="s">
        <v>21</v>
      </c>
      <c r="AK118" s="892" t="s">
        <v>21</v>
      </c>
      <c r="AL118" s="891" t="s">
        <v>21</v>
      </c>
      <c r="AM118" s="892" t="s">
        <v>21</v>
      </c>
      <c r="AN118" s="893"/>
      <c r="AO118" s="894"/>
      <c r="AP118" s="893"/>
      <c r="AQ118" s="895"/>
      <c r="AY118" s="1" t="str">
        <f t="shared" si="199"/>
        <v>Suisse</v>
      </c>
      <c r="AZ118" s="1" t="str">
        <f t="shared" si="200"/>
        <v>Suisse</v>
      </c>
      <c r="BA118" s="1" t="str">
        <f t="shared" si="201"/>
        <v>Suisse</v>
      </c>
    </row>
    <row r="119" spans="1:53" ht="15.75" hidden="1" customHeight="1" x14ac:dyDescent="0.35">
      <c r="A119" s="108" t="str">
        <f t="shared" si="126"/>
        <v/>
      </c>
      <c r="B119" s="1119"/>
      <c r="C119" s="1116"/>
      <c r="D119" s="1122"/>
      <c r="E119" s="1125"/>
      <c r="F119" s="1126"/>
      <c r="G119" s="814"/>
      <c r="H119" s="834" t="str">
        <f t="shared" si="193"/>
        <v/>
      </c>
      <c r="I119" s="834" t="str">
        <f t="shared" si="194"/>
        <v/>
      </c>
      <c r="J119" s="835" t="str">
        <f t="shared" si="195"/>
        <v/>
      </c>
      <c r="K119" s="454" t="s">
        <v>207</v>
      </c>
      <c r="L119" s="850">
        <f>'2020'!G119</f>
        <v>0</v>
      </c>
      <c r="M119" s="851">
        <f>'2021'!G119</f>
        <v>0</v>
      </c>
      <c r="N119" s="852">
        <f>'2022'!G119</f>
        <v>0</v>
      </c>
      <c r="O119" s="853">
        <f>'2020'!H119</f>
        <v>0</v>
      </c>
      <c r="P119" s="851">
        <f>'2021'!H119</f>
        <v>0</v>
      </c>
      <c r="Q119" s="852">
        <f>'2022'!H119</f>
        <v>0</v>
      </c>
      <c r="R119" s="457">
        <f t="shared" si="196"/>
        <v>0</v>
      </c>
      <c r="S119" s="883">
        <f t="shared" si="197"/>
        <v>0</v>
      </c>
      <c r="T119" s="884">
        <f t="shared" si="198"/>
        <v>0</v>
      </c>
      <c r="U119" s="853">
        <f>'2020'!J119</f>
        <v>0</v>
      </c>
      <c r="V119" s="851">
        <f>'2021'!J119</f>
        <v>0</v>
      </c>
      <c r="W119" s="852">
        <f>'2022'!J119</f>
        <v>0</v>
      </c>
      <c r="X119" s="457" t="str">
        <f t="shared" si="188"/>
        <v/>
      </c>
      <c r="Y119" s="883" t="str">
        <f t="shared" si="189"/>
        <v/>
      </c>
      <c r="Z119" s="884" t="str">
        <f t="shared" si="190"/>
        <v/>
      </c>
      <c r="AA119" s="853">
        <f>'2020'!L119</f>
        <v>0</v>
      </c>
      <c r="AB119" s="851">
        <f>'2021'!L119</f>
        <v>0</v>
      </c>
      <c r="AC119" s="852">
        <f>'2022'!L119</f>
        <v>0</v>
      </c>
      <c r="AD119" s="885" t="str">
        <f t="shared" si="175"/>
        <v/>
      </c>
      <c r="AE119" s="886" t="str">
        <f t="shared" si="175"/>
        <v/>
      </c>
      <c r="AF119" s="887" t="str">
        <f t="shared" si="175"/>
        <v/>
      </c>
      <c r="AG119" s="888">
        <f>'2020'!N119</f>
        <v>0</v>
      </c>
      <c r="AH119" s="889">
        <f>'2021'!N119</f>
        <v>0</v>
      </c>
      <c r="AI119" s="890">
        <f>'2022'!N119</f>
        <v>0</v>
      </c>
      <c r="AJ119" s="891"/>
      <c r="AK119" s="892"/>
      <c r="AL119" s="891"/>
      <c r="AM119" s="892"/>
      <c r="AN119" s="893"/>
      <c r="AO119" s="894"/>
      <c r="AP119" s="893"/>
      <c r="AQ119" s="895"/>
      <c r="AY119" s="1" t="str">
        <f t="shared" si="199"/>
        <v/>
      </c>
      <c r="AZ119" s="1" t="str">
        <f t="shared" si="200"/>
        <v/>
      </c>
      <c r="BA119" s="1" t="str">
        <f t="shared" si="201"/>
        <v/>
      </c>
    </row>
    <row r="120" spans="1:53" ht="15.75" hidden="1" customHeight="1" x14ac:dyDescent="0.35">
      <c r="A120" s="108" t="str">
        <f t="shared" si="126"/>
        <v/>
      </c>
      <c r="B120" s="1119"/>
      <c r="C120" s="1116"/>
      <c r="D120" s="1122"/>
      <c r="E120" s="1125"/>
      <c r="F120" s="1126"/>
      <c r="G120" s="814"/>
      <c r="H120" s="834" t="str">
        <f t="shared" si="193"/>
        <v/>
      </c>
      <c r="I120" s="834" t="str">
        <f t="shared" si="194"/>
        <v/>
      </c>
      <c r="J120" s="835" t="str">
        <f t="shared" si="195"/>
        <v/>
      </c>
      <c r="K120" s="454" t="s">
        <v>207</v>
      </c>
      <c r="L120" s="850">
        <f>'2020'!G120</f>
        <v>0</v>
      </c>
      <c r="M120" s="851">
        <f>'2021'!G120</f>
        <v>0</v>
      </c>
      <c r="N120" s="852">
        <f>'2022'!G120</f>
        <v>0</v>
      </c>
      <c r="O120" s="853">
        <f>'2020'!H120</f>
        <v>0</v>
      </c>
      <c r="P120" s="851">
        <f>'2021'!H120</f>
        <v>0</v>
      </c>
      <c r="Q120" s="852">
        <f>'2022'!H120</f>
        <v>0</v>
      </c>
      <c r="R120" s="457">
        <f t="shared" si="196"/>
        <v>0</v>
      </c>
      <c r="S120" s="883">
        <f t="shared" si="197"/>
        <v>0</v>
      </c>
      <c r="T120" s="884">
        <f t="shared" si="198"/>
        <v>0</v>
      </c>
      <c r="U120" s="853">
        <f>'2020'!J120</f>
        <v>0</v>
      </c>
      <c r="V120" s="851">
        <f>'2021'!J120</f>
        <v>0</v>
      </c>
      <c r="W120" s="852">
        <f>'2022'!J120</f>
        <v>0</v>
      </c>
      <c r="X120" s="457" t="str">
        <f t="shared" si="188"/>
        <v/>
      </c>
      <c r="Y120" s="883" t="str">
        <f t="shared" si="189"/>
        <v/>
      </c>
      <c r="Z120" s="884" t="str">
        <f t="shared" si="190"/>
        <v/>
      </c>
      <c r="AA120" s="853">
        <f>'2020'!L120</f>
        <v>0</v>
      </c>
      <c r="AB120" s="851">
        <f>'2021'!L120</f>
        <v>0</v>
      </c>
      <c r="AC120" s="852">
        <f>'2022'!L120</f>
        <v>0</v>
      </c>
      <c r="AD120" s="885" t="str">
        <f t="shared" si="175"/>
        <v/>
      </c>
      <c r="AE120" s="886" t="str">
        <f t="shared" si="175"/>
        <v/>
      </c>
      <c r="AF120" s="887" t="str">
        <f t="shared" si="175"/>
        <v/>
      </c>
      <c r="AG120" s="888">
        <f>'2020'!N120</f>
        <v>0</v>
      </c>
      <c r="AH120" s="889">
        <f>'2021'!N120</f>
        <v>0</v>
      </c>
      <c r="AI120" s="890">
        <f>'2022'!N120</f>
        <v>0</v>
      </c>
      <c r="AJ120" s="891"/>
      <c r="AK120" s="892"/>
      <c r="AL120" s="891"/>
      <c r="AM120" s="892"/>
      <c r="AN120" s="893"/>
      <c r="AO120" s="894"/>
      <c r="AP120" s="893"/>
      <c r="AQ120" s="895"/>
      <c r="AY120" s="1" t="str">
        <f t="shared" si="199"/>
        <v/>
      </c>
      <c r="AZ120" s="1" t="str">
        <f t="shared" si="200"/>
        <v/>
      </c>
      <c r="BA120" s="1" t="str">
        <f t="shared" si="201"/>
        <v/>
      </c>
    </row>
    <row r="121" spans="1:53" ht="15.75" customHeight="1" x14ac:dyDescent="0.35">
      <c r="A121" s="108" t="str">
        <f t="shared" si="126"/>
        <v>X</v>
      </c>
      <c r="B121" s="1119"/>
      <c r="C121" s="1116"/>
      <c r="D121" s="1122"/>
      <c r="E121" s="1125"/>
      <c r="F121" s="1126"/>
      <c r="G121" s="896" t="s">
        <v>52</v>
      </c>
      <c r="H121" s="897" t="str">
        <f t="shared" si="193"/>
        <v>X</v>
      </c>
      <c r="I121" s="897" t="str">
        <f t="shared" si="194"/>
        <v/>
      </c>
      <c r="J121" s="898" t="str">
        <f t="shared" si="195"/>
        <v/>
      </c>
      <c r="K121" s="899" t="s">
        <v>61</v>
      </c>
      <c r="L121" s="857">
        <f>'2020'!G121</f>
        <v>316</v>
      </c>
      <c r="M121" s="858">
        <f>'2021'!G121</f>
        <v>0</v>
      </c>
      <c r="N121" s="859">
        <f>'2022'!G121</f>
        <v>0</v>
      </c>
      <c r="O121" s="860">
        <f>'2020'!H121</f>
        <v>316</v>
      </c>
      <c r="P121" s="858">
        <f>'2021'!H121</f>
        <v>0</v>
      </c>
      <c r="Q121" s="859">
        <f>'2022'!H121</f>
        <v>0</v>
      </c>
      <c r="R121" s="464">
        <f t="shared" si="196"/>
        <v>0.2848101265822785</v>
      </c>
      <c r="S121" s="900">
        <f t="shared" si="197"/>
        <v>0</v>
      </c>
      <c r="T121" s="901">
        <f t="shared" si="198"/>
        <v>0</v>
      </c>
      <c r="U121" s="860">
        <f>'2020'!J121</f>
        <v>90</v>
      </c>
      <c r="V121" s="858">
        <f>'2021'!J121</f>
        <v>0</v>
      </c>
      <c r="W121" s="859">
        <f>'2022'!J121</f>
        <v>0</v>
      </c>
      <c r="X121" s="464">
        <f t="shared" si="188"/>
        <v>0.39240506329113922</v>
      </c>
      <c r="Y121" s="900" t="str">
        <f t="shared" si="189"/>
        <v/>
      </c>
      <c r="Z121" s="901" t="str">
        <f t="shared" si="190"/>
        <v/>
      </c>
      <c r="AA121" s="860">
        <f>'2020'!L121</f>
        <v>124</v>
      </c>
      <c r="AB121" s="858">
        <f>'2021'!L121</f>
        <v>0</v>
      </c>
      <c r="AC121" s="859">
        <f>'2022'!L121</f>
        <v>0</v>
      </c>
      <c r="AD121" s="902">
        <f t="shared" si="175"/>
        <v>0</v>
      </c>
      <c r="AE121" s="903" t="str">
        <f t="shared" si="175"/>
        <v/>
      </c>
      <c r="AF121" s="904" t="str">
        <f t="shared" si="175"/>
        <v/>
      </c>
      <c r="AG121" s="905">
        <f>'2020'!N121</f>
        <v>0</v>
      </c>
      <c r="AH121" s="906">
        <f>'2021'!N121</f>
        <v>0</v>
      </c>
      <c r="AI121" s="907">
        <f>'2022'!N121</f>
        <v>0</v>
      </c>
      <c r="AJ121" s="908" t="s">
        <v>21</v>
      </c>
      <c r="AK121" s="909" t="s">
        <v>21</v>
      </c>
      <c r="AL121" s="908" t="s">
        <v>21</v>
      </c>
      <c r="AM121" s="909" t="s">
        <v>21</v>
      </c>
      <c r="AN121" s="910"/>
      <c r="AO121" s="911"/>
      <c r="AP121" s="910"/>
      <c r="AQ121" s="912"/>
      <c r="AY121" s="1" t="str">
        <f t="shared" si="199"/>
        <v>Suisse</v>
      </c>
      <c r="AZ121" s="1" t="str">
        <f t="shared" si="200"/>
        <v/>
      </c>
      <c r="BA121" s="1" t="str">
        <f t="shared" si="201"/>
        <v/>
      </c>
    </row>
    <row r="122" spans="1:53" ht="16" thickBot="1" x14ac:dyDescent="0.4">
      <c r="A122" s="108" t="str">
        <f t="shared" si="126"/>
        <v>X</v>
      </c>
      <c r="B122" s="1120"/>
      <c r="C122" s="1121"/>
      <c r="D122" s="953" t="s">
        <v>138</v>
      </c>
      <c r="E122" s="954"/>
      <c r="F122" s="955"/>
      <c r="G122" s="810"/>
      <c r="H122" s="826">
        <f t="shared" ref="H122:J122" si="202">SUM(H104:H121)</f>
        <v>0</v>
      </c>
      <c r="I122" s="826">
        <f t="shared" si="202"/>
        <v>0</v>
      </c>
      <c r="J122" s="827">
        <f t="shared" si="202"/>
        <v>0</v>
      </c>
      <c r="K122" s="354"/>
      <c r="L122" s="517">
        <f t="shared" ref="L122:Q122" si="203">SUM(L104:L121)</f>
        <v>2211</v>
      </c>
      <c r="M122" s="518">
        <f t="shared" si="203"/>
        <v>1726</v>
      </c>
      <c r="N122" s="519">
        <f t="shared" si="203"/>
        <v>2652</v>
      </c>
      <c r="O122" s="520">
        <f t="shared" si="203"/>
        <v>2211</v>
      </c>
      <c r="P122" s="518">
        <f t="shared" si="203"/>
        <v>1726</v>
      </c>
      <c r="Q122" s="519">
        <f t="shared" si="203"/>
        <v>2652</v>
      </c>
      <c r="R122" s="535">
        <f t="shared" ref="R122:R124" si="204">IF(L122="",0,IF(U122=0,0,U122/L122))</f>
        <v>0.12075983717774763</v>
      </c>
      <c r="S122" s="536">
        <f t="shared" ref="S122:S124" si="205">IF(M122="",0,IF(V122=0,0,V122/M122))</f>
        <v>0.37949015063731173</v>
      </c>
      <c r="T122" s="537">
        <f t="shared" ref="T122:T124" si="206">IF(N122="",0,IF(W122=0,0,W122/N122))</f>
        <v>0.43401206636500755</v>
      </c>
      <c r="U122" s="520">
        <f>SUM(U104:U121)</f>
        <v>267</v>
      </c>
      <c r="V122" s="518">
        <f>SUM(V104:V121)</f>
        <v>655</v>
      </c>
      <c r="W122" s="519">
        <f>SUM(W104:W121)</f>
        <v>1151</v>
      </c>
      <c r="X122" s="535">
        <f t="shared" si="188"/>
        <v>0.39981908638625058</v>
      </c>
      <c r="Y122" s="536">
        <f t="shared" si="189"/>
        <v>0.41135573580533025</v>
      </c>
      <c r="Z122" s="537">
        <f t="shared" si="190"/>
        <v>0.39328808446455504</v>
      </c>
      <c r="AA122" s="520">
        <f t="shared" ref="AA122:AC122" si="207">SUM(AA104:AA121)</f>
        <v>884</v>
      </c>
      <c r="AB122" s="518">
        <f t="shared" si="207"/>
        <v>710</v>
      </c>
      <c r="AC122" s="519">
        <f t="shared" si="207"/>
        <v>1043</v>
      </c>
      <c r="AD122" s="668">
        <f t="shared" si="175"/>
        <v>0</v>
      </c>
      <c r="AE122" s="670">
        <f t="shared" si="175"/>
        <v>0.57042253521126762</v>
      </c>
      <c r="AF122" s="676">
        <f t="shared" si="175"/>
        <v>0.57909875359539786</v>
      </c>
      <c r="AG122" s="686">
        <f t="shared" ref="AG122:AQ122" si="208">SUM(AG104:AG121)</f>
        <v>0</v>
      </c>
      <c r="AH122" s="687">
        <f t="shared" si="208"/>
        <v>405</v>
      </c>
      <c r="AI122" s="688">
        <f t="shared" si="208"/>
        <v>604</v>
      </c>
      <c r="AJ122" s="707">
        <f t="shared" si="208"/>
        <v>0</v>
      </c>
      <c r="AK122" s="708">
        <f t="shared" si="208"/>
        <v>0</v>
      </c>
      <c r="AL122" s="707">
        <f t="shared" si="208"/>
        <v>0</v>
      </c>
      <c r="AM122" s="708">
        <f t="shared" si="208"/>
        <v>0</v>
      </c>
      <c r="AN122" s="707">
        <f t="shared" si="208"/>
        <v>0</v>
      </c>
      <c r="AO122" s="708">
        <f t="shared" si="208"/>
        <v>0</v>
      </c>
      <c r="AP122" s="707">
        <f t="shared" si="208"/>
        <v>0</v>
      </c>
      <c r="AQ122" s="709">
        <f t="shared" si="208"/>
        <v>0</v>
      </c>
      <c r="AS122" s="367"/>
    </row>
    <row r="123" spans="1:53" s="760" customFormat="1" ht="31.5" customHeight="1" thickBot="1" x14ac:dyDescent="0.4">
      <c r="A123" s="108" t="str">
        <f t="shared" si="126"/>
        <v>X</v>
      </c>
      <c r="B123" s="750" t="s">
        <v>77</v>
      </c>
      <c r="C123" s="796"/>
      <c r="D123" s="797">
        <f>SUM(D49:D121)</f>
        <v>83</v>
      </c>
      <c r="E123" s="791">
        <f t="shared" ref="E123:F123" si="209">SUM(E49:E121)</f>
        <v>67</v>
      </c>
      <c r="F123" s="796">
        <f t="shared" si="209"/>
        <v>51</v>
      </c>
      <c r="G123" s="806">
        <f>COUNTIF(A49:A122,"X")</f>
        <v>58</v>
      </c>
      <c r="H123" s="828">
        <f>COUNTIF(H$49:H$121,"X")</f>
        <v>29</v>
      </c>
      <c r="I123" s="828">
        <f t="shared" ref="I123:J123" si="210">COUNTIF(I$49:I$121,"X")</f>
        <v>30</v>
      </c>
      <c r="J123" s="829">
        <f t="shared" si="210"/>
        <v>26</v>
      </c>
      <c r="K123" s="780">
        <v>57</v>
      </c>
      <c r="L123" s="781">
        <f>L57+L65+L73+L84+L97+L103+L122</f>
        <v>4797</v>
      </c>
      <c r="M123" s="782">
        <f t="shared" ref="M123:Q123" si="211">M57+M65+M73+M84+M97+M103+M122</f>
        <v>3981</v>
      </c>
      <c r="N123" s="783">
        <f t="shared" si="211"/>
        <v>4800</v>
      </c>
      <c r="O123" s="784">
        <f t="shared" si="211"/>
        <v>3358</v>
      </c>
      <c r="P123" s="782">
        <f t="shared" si="211"/>
        <v>3107</v>
      </c>
      <c r="Q123" s="783">
        <f t="shared" si="211"/>
        <v>4012</v>
      </c>
      <c r="R123" s="751">
        <f t="shared" si="204"/>
        <v>0.27893475088597036</v>
      </c>
      <c r="S123" s="752">
        <f t="shared" si="205"/>
        <v>0.4046721929163527</v>
      </c>
      <c r="T123" s="753">
        <f t="shared" si="206"/>
        <v>0.46041666666666664</v>
      </c>
      <c r="U123" s="784">
        <f t="shared" ref="U123:W123" si="212">U57+U65+U73+U84+U97+U103+U122</f>
        <v>1338.05</v>
      </c>
      <c r="V123" s="782">
        <f t="shared" si="212"/>
        <v>1611</v>
      </c>
      <c r="W123" s="783">
        <f t="shared" si="212"/>
        <v>2210</v>
      </c>
      <c r="X123" s="751">
        <f t="shared" si="188"/>
        <v>0.39968938920158437</v>
      </c>
      <c r="Y123" s="752">
        <f t="shared" si="189"/>
        <v>0.31424265259984929</v>
      </c>
      <c r="Z123" s="753">
        <f t="shared" si="190"/>
        <v>0.38520833333333332</v>
      </c>
      <c r="AA123" s="784">
        <f t="shared" ref="AA123:AC123" si="213">AA57+AA65+AA73+AA84+AA97+AA103+AA122</f>
        <v>1917.3100000000002</v>
      </c>
      <c r="AB123" s="782">
        <f t="shared" si="213"/>
        <v>1251</v>
      </c>
      <c r="AC123" s="783">
        <f t="shared" si="213"/>
        <v>1849</v>
      </c>
      <c r="AD123" s="754">
        <f t="shared" si="175"/>
        <v>4.8974970140457208E-2</v>
      </c>
      <c r="AE123" s="755">
        <f t="shared" si="175"/>
        <v>0.55075939248601125</v>
      </c>
      <c r="AF123" s="756">
        <f t="shared" si="175"/>
        <v>0.40292049756625203</v>
      </c>
      <c r="AG123" s="785">
        <f t="shared" ref="AG123:AI123" si="214">AG57+AG65+AG73+AG84+AG97+AG103+AG122</f>
        <v>93.900200000000012</v>
      </c>
      <c r="AH123" s="786">
        <f t="shared" si="214"/>
        <v>689</v>
      </c>
      <c r="AI123" s="787">
        <f t="shared" si="214"/>
        <v>745</v>
      </c>
      <c r="AJ123" s="757"/>
      <c r="AK123" s="758"/>
      <c r="AL123" s="757"/>
      <c r="AM123" s="758"/>
      <c r="AN123" s="757">
        <f>AN57+AN73+AN84+AN97+AN103</f>
        <v>1465</v>
      </c>
      <c r="AO123" s="758">
        <f>AO57+AO73+AO84+AO97+AO103</f>
        <v>949</v>
      </c>
      <c r="AP123" s="757">
        <f>AP57+AP73+AP84+AP97+AP103</f>
        <v>141</v>
      </c>
      <c r="AQ123" s="759">
        <f>AQ57+AQ73+AQ84+AQ97+AQ103</f>
        <v>89</v>
      </c>
      <c r="AR123" s="958"/>
      <c r="AY123" s="1" t="str">
        <f t="shared" ref="AY123:AY124" si="215">IF(H123="X",$K123,"")</f>
        <v/>
      </c>
      <c r="AZ123" s="1" t="str">
        <f t="shared" ref="AZ123:AZ124" si="216">IF(I123="X",$K123,"")</f>
        <v/>
      </c>
      <c r="BA123" s="1" t="str">
        <f t="shared" ref="BA123:BA124" si="217">IF(J123="X",$K123,"")</f>
        <v/>
      </c>
    </row>
    <row r="124" spans="1:53" s="779" customFormat="1" ht="31.5" customHeight="1" thickBot="1" x14ac:dyDescent="0.4">
      <c r="A124" s="108" t="str">
        <f t="shared" si="126"/>
        <v>X</v>
      </c>
      <c r="B124" s="761" t="s">
        <v>66</v>
      </c>
      <c r="C124" s="799"/>
      <c r="D124" s="963">
        <f>D123+D48</f>
        <v>102</v>
      </c>
      <c r="E124" s="964">
        <f t="shared" ref="E124:F124" si="218">E123+E48</f>
        <v>87</v>
      </c>
      <c r="F124" s="799">
        <f t="shared" si="218"/>
        <v>90</v>
      </c>
      <c r="G124" s="811">
        <f>G48+G123</f>
        <v>99</v>
      </c>
      <c r="H124" s="830">
        <f t="shared" ref="H124:J124" si="219">H48+H123</f>
        <v>46</v>
      </c>
      <c r="I124" s="830">
        <f t="shared" si="219"/>
        <v>47</v>
      </c>
      <c r="J124" s="831">
        <f t="shared" si="219"/>
        <v>59</v>
      </c>
      <c r="K124" s="762">
        <v>95</v>
      </c>
      <c r="L124" s="763">
        <f>L48+L123</f>
        <v>5191</v>
      </c>
      <c r="M124" s="764">
        <f t="shared" ref="M124:Q124" si="220">M48+M123</f>
        <v>4576</v>
      </c>
      <c r="N124" s="765">
        <f t="shared" si="220"/>
        <v>5947</v>
      </c>
      <c r="O124" s="766">
        <f t="shared" si="220"/>
        <v>3593</v>
      </c>
      <c r="P124" s="764">
        <f t="shared" si="220"/>
        <v>3522</v>
      </c>
      <c r="Q124" s="765">
        <f t="shared" si="220"/>
        <v>4834</v>
      </c>
      <c r="R124" s="767">
        <f t="shared" si="204"/>
        <v>0.27490271623964552</v>
      </c>
      <c r="S124" s="768">
        <f t="shared" si="205"/>
        <v>0.38920454545454547</v>
      </c>
      <c r="T124" s="769">
        <f t="shared" si="206"/>
        <v>0.42895577602152346</v>
      </c>
      <c r="U124" s="766">
        <f t="shared" ref="U124:W124" si="221">U48+U123</f>
        <v>1427.02</v>
      </c>
      <c r="V124" s="764">
        <f t="shared" si="221"/>
        <v>1781</v>
      </c>
      <c r="W124" s="765">
        <f t="shared" si="221"/>
        <v>2551</v>
      </c>
      <c r="X124" s="767">
        <f t="shared" si="188"/>
        <v>0.38650163744943172</v>
      </c>
      <c r="Y124" s="768">
        <f t="shared" si="189"/>
        <v>0.30638111888111891</v>
      </c>
      <c r="Z124" s="769">
        <f t="shared" si="190"/>
        <v>0.37413822095174037</v>
      </c>
      <c r="AA124" s="766">
        <f t="shared" ref="AA124:AC124" si="222">AA48+AA123</f>
        <v>2006.3300000000002</v>
      </c>
      <c r="AB124" s="764">
        <f t="shared" si="222"/>
        <v>1402</v>
      </c>
      <c r="AC124" s="765">
        <f t="shared" si="222"/>
        <v>2225</v>
      </c>
      <c r="AD124" s="770">
        <f t="shared" si="175"/>
        <v>5.4258372251822985E-2</v>
      </c>
      <c r="AE124" s="771">
        <f t="shared" si="175"/>
        <v>0.51355206847360912</v>
      </c>
      <c r="AF124" s="772">
        <f t="shared" si="175"/>
        <v>0.38831460674157303</v>
      </c>
      <c r="AG124" s="773">
        <f t="shared" ref="AG124:AI124" si="223">AG48+AG123</f>
        <v>108.86020000000002</v>
      </c>
      <c r="AH124" s="774">
        <f t="shared" si="223"/>
        <v>720</v>
      </c>
      <c r="AI124" s="775">
        <f t="shared" si="223"/>
        <v>864</v>
      </c>
      <c r="AJ124" s="776"/>
      <c r="AK124" s="777"/>
      <c r="AL124" s="776"/>
      <c r="AM124" s="777"/>
      <c r="AN124" s="776">
        <f>AN123</f>
        <v>1465</v>
      </c>
      <c r="AO124" s="777">
        <f>AO123</f>
        <v>949</v>
      </c>
      <c r="AP124" s="776">
        <f>AP123</f>
        <v>141</v>
      </c>
      <c r="AQ124" s="778">
        <f>AQ123</f>
        <v>89</v>
      </c>
      <c r="AR124" s="962"/>
      <c r="AY124" s="1" t="str">
        <f t="shared" si="215"/>
        <v/>
      </c>
      <c r="AZ124" s="1" t="str">
        <f t="shared" si="216"/>
        <v/>
      </c>
      <c r="BA124" s="1" t="str">
        <f t="shared" si="217"/>
        <v/>
      </c>
    </row>
    <row r="125" spans="1:53" x14ac:dyDescent="0.35">
      <c r="A125" s="108" t="s">
        <v>208</v>
      </c>
      <c r="B125" s="5"/>
      <c r="C125" s="35"/>
      <c r="D125" s="35"/>
      <c r="E125" s="35"/>
      <c r="F125" s="35"/>
      <c r="G125" s="5"/>
      <c r="H125" s="35"/>
      <c r="I125" s="35"/>
      <c r="J125" s="35"/>
      <c r="K125" s="35"/>
      <c r="L125" s="154"/>
      <c r="M125" s="154"/>
      <c r="N125" s="154"/>
      <c r="O125" s="154"/>
      <c r="P125" s="154"/>
      <c r="Q125" s="154"/>
      <c r="R125" s="155"/>
      <c r="S125" s="155"/>
      <c r="T125" s="155"/>
      <c r="U125" s="154"/>
      <c r="V125" s="154"/>
      <c r="W125" s="154"/>
      <c r="X125" s="155"/>
      <c r="Y125" s="155"/>
      <c r="Z125" s="155"/>
      <c r="AA125" s="154"/>
      <c r="AB125" s="154"/>
      <c r="AC125" s="154"/>
      <c r="AD125" s="1082" t="s">
        <v>68</v>
      </c>
      <c r="AE125" s="1082"/>
      <c r="AF125" s="1082"/>
      <c r="AG125" s="1082"/>
      <c r="AH125" s="1004"/>
      <c r="AI125" s="1004"/>
      <c r="AJ125" s="710"/>
      <c r="AK125" s="710"/>
      <c r="AL125" s="710"/>
      <c r="AM125" s="710"/>
      <c r="AN125" s="710"/>
      <c r="AO125" s="710"/>
      <c r="AP125" s="710"/>
      <c r="AQ125" s="710"/>
    </row>
    <row r="126" spans="1:53" x14ac:dyDescent="0.35">
      <c r="A126" s="108" t="str">
        <f t="shared" si="126"/>
        <v>X</v>
      </c>
      <c r="G126" s="114" t="s">
        <v>210</v>
      </c>
      <c r="H126" s="812">
        <v>2020</v>
      </c>
      <c r="I126" s="812">
        <v>2021</v>
      </c>
      <c r="J126" s="812">
        <v>2022</v>
      </c>
    </row>
    <row r="127" spans="1:53" x14ac:dyDescent="0.35">
      <c r="A127" s="108" t="str">
        <f t="shared" si="126"/>
        <v>X</v>
      </c>
      <c r="G127" s="1" t="s">
        <v>60</v>
      </c>
      <c r="H127" s="2">
        <f>COUNTIF(AY$5:AY$121,$G127)</f>
        <v>21</v>
      </c>
      <c r="I127" s="2">
        <f t="shared" ref="I127:J129" si="224">COUNTIF(AZ$5:AZ$121,$G127)</f>
        <v>19</v>
      </c>
      <c r="J127" s="2">
        <f>COUNTIF(BA$5:BA$121,$G127)</f>
        <v>34</v>
      </c>
    </row>
    <row r="128" spans="1:53" x14ac:dyDescent="0.35">
      <c r="A128" s="108" t="str">
        <f t="shared" si="126"/>
        <v>X</v>
      </c>
      <c r="G128" s="1" t="s">
        <v>61</v>
      </c>
      <c r="H128" s="2">
        <f t="shared" ref="H128:H129" si="225">COUNTIF(AY$5:AY$121,$G128)</f>
        <v>8</v>
      </c>
      <c r="I128" s="2">
        <f t="shared" si="224"/>
        <v>4</v>
      </c>
      <c r="J128" s="2">
        <f t="shared" si="224"/>
        <v>7</v>
      </c>
    </row>
    <row r="129" spans="1:10" x14ac:dyDescent="0.35">
      <c r="A129" s="108" t="str">
        <f t="shared" si="126"/>
        <v>X</v>
      </c>
      <c r="G129" s="965" t="s">
        <v>62</v>
      </c>
      <c r="H129" s="115">
        <f t="shared" si="225"/>
        <v>17</v>
      </c>
      <c r="I129" s="115">
        <f t="shared" si="224"/>
        <v>24</v>
      </c>
      <c r="J129" s="115">
        <f t="shared" si="224"/>
        <v>18</v>
      </c>
    </row>
    <row r="130" spans="1:10" x14ac:dyDescent="0.35">
      <c r="A130" s="108" t="str">
        <f t="shared" si="126"/>
        <v>X</v>
      </c>
      <c r="G130" s="966" t="s">
        <v>66</v>
      </c>
      <c r="H130" s="967">
        <f>SUM(H127:H129)</f>
        <v>46</v>
      </c>
      <c r="I130" s="967">
        <f t="shared" ref="I130:J130" si="226">SUM(I127:I129)</f>
        <v>47</v>
      </c>
      <c r="J130" s="967">
        <f t="shared" si="226"/>
        <v>59</v>
      </c>
    </row>
    <row r="138" spans="1:10" ht="15" customHeight="1" x14ac:dyDescent="0.35"/>
    <row r="139" spans="1:10" ht="15" customHeight="1" x14ac:dyDescent="0.35"/>
    <row r="140" spans="1:10" ht="15" customHeight="1" x14ac:dyDescent="0.35"/>
    <row r="141" spans="1:10" ht="15" customHeight="1" x14ac:dyDescent="0.35"/>
    <row r="142" spans="1:10" ht="15" customHeight="1" x14ac:dyDescent="0.35"/>
    <row r="143" spans="1:10" ht="15" customHeight="1" x14ac:dyDescent="0.35"/>
    <row r="144" spans="1:10" ht="15" customHeight="1" x14ac:dyDescent="0.35"/>
    <row r="145" ht="15" customHeight="1" x14ac:dyDescent="0.35"/>
    <row r="146" ht="15" customHeight="1" x14ac:dyDescent="0.35"/>
    <row r="147" ht="15.75" customHeight="1" x14ac:dyDescent="0.35"/>
    <row r="148" ht="15.75" customHeight="1" x14ac:dyDescent="0.35"/>
    <row r="149" ht="15" customHeight="1" x14ac:dyDescent="0.35"/>
    <row r="150" ht="15" customHeight="1" x14ac:dyDescent="0.35"/>
    <row r="151" ht="15" customHeight="1" x14ac:dyDescent="0.35"/>
    <row r="152" ht="15" customHeight="1" x14ac:dyDescent="0.35"/>
  </sheetData>
  <sheetProtection password="D0CE" sheet="1" objects="1" scenarios="1"/>
  <autoFilter ref="A1:AQ130" xr:uid="{00000000-0009-0000-0000-000004000000}">
    <filterColumn colId="0">
      <customFilters>
        <customFilter operator="notEqual" val=" "/>
      </customFilters>
    </filterColumn>
  </autoFilter>
  <mergeCells count="60">
    <mergeCell ref="E66:E72"/>
    <mergeCell ref="F66:F72"/>
    <mergeCell ref="E74:E83"/>
    <mergeCell ref="F74:F83"/>
    <mergeCell ref="E85:E96"/>
    <mergeCell ref="F85:F96"/>
    <mergeCell ref="F58:F64"/>
    <mergeCell ref="E7:E22"/>
    <mergeCell ref="F7:F22"/>
    <mergeCell ref="E24:E34"/>
    <mergeCell ref="F24:F34"/>
    <mergeCell ref="E36:E46"/>
    <mergeCell ref="F36:F46"/>
    <mergeCell ref="E49:E56"/>
    <mergeCell ref="F49:F56"/>
    <mergeCell ref="E58:E64"/>
    <mergeCell ref="B36:B47"/>
    <mergeCell ref="C36:C47"/>
    <mergeCell ref="D36:D46"/>
    <mergeCell ref="B49:B57"/>
    <mergeCell ref="B58:B65"/>
    <mergeCell ref="C58:C65"/>
    <mergeCell ref="D58:D64"/>
    <mergeCell ref="C49:C57"/>
    <mergeCell ref="D49:D56"/>
    <mergeCell ref="B66:B73"/>
    <mergeCell ref="C66:C73"/>
    <mergeCell ref="D66:D72"/>
    <mergeCell ref="B74:B84"/>
    <mergeCell ref="C74:C84"/>
    <mergeCell ref="D74:D83"/>
    <mergeCell ref="AD125:AG125"/>
    <mergeCell ref="B85:B97"/>
    <mergeCell ref="C85:C97"/>
    <mergeCell ref="D85:D96"/>
    <mergeCell ref="B98:B103"/>
    <mergeCell ref="C98:C103"/>
    <mergeCell ref="D98:D102"/>
    <mergeCell ref="B104:B122"/>
    <mergeCell ref="C104:C122"/>
    <mergeCell ref="D104:D121"/>
    <mergeCell ref="E98:E102"/>
    <mergeCell ref="F98:F102"/>
    <mergeCell ref="E104:E121"/>
    <mergeCell ref="F104:F121"/>
    <mergeCell ref="AP2:AQ2"/>
    <mergeCell ref="B24:B35"/>
    <mergeCell ref="C24:C35"/>
    <mergeCell ref="D24:D34"/>
    <mergeCell ref="B2:B4"/>
    <mergeCell ref="C2:C4"/>
    <mergeCell ref="G2:G4"/>
    <mergeCell ref="K2:K4"/>
    <mergeCell ref="B7:B23"/>
    <mergeCell ref="AJ2:AK2"/>
    <mergeCell ref="AL2:AM2"/>
    <mergeCell ref="AN2:AO2"/>
    <mergeCell ref="C7:C23"/>
    <mergeCell ref="D7:D22"/>
    <mergeCell ref="D2:F3"/>
  </mergeCells>
  <conditionalFormatting sqref="S34">
    <cfRule type="cellIs" dxfId="35" priority="38" operator="equal">
      <formula>0</formula>
    </cfRule>
  </conditionalFormatting>
  <conditionalFormatting sqref="R5:T5 R36:T43 R49:T56 R66:T72 R74:T83 R85:T96 R98:T102 R104:T110 R24:T34 R117:T121 R46:T46">
    <cfRule type="cellIs" dxfId="34" priority="37" operator="equal">
      <formula>0</formula>
    </cfRule>
  </conditionalFormatting>
  <conditionalFormatting sqref="R5:T5 R66:T110 R117:T122 R24:T44 R124:T124 R49:T57 R46:T47">
    <cfRule type="cellIs" dxfId="33" priority="36" operator="equal">
      <formula>0</formula>
    </cfRule>
  </conditionalFormatting>
  <conditionalFormatting sqref="R6:T6">
    <cfRule type="cellIs" dxfId="32" priority="35" operator="equal">
      <formula>0</formula>
    </cfRule>
  </conditionalFormatting>
  <conditionalFormatting sqref="R6:T6">
    <cfRule type="cellIs" dxfId="31" priority="34" operator="equal">
      <formula>0</formula>
    </cfRule>
  </conditionalFormatting>
  <conditionalFormatting sqref="S22">
    <cfRule type="cellIs" dxfId="30" priority="33" operator="equal">
      <formula>0</formula>
    </cfRule>
  </conditionalFormatting>
  <conditionalFormatting sqref="R7:T22">
    <cfRule type="cellIs" dxfId="29" priority="32" operator="equal">
      <formula>0</formula>
    </cfRule>
  </conditionalFormatting>
  <conditionalFormatting sqref="R7:T23">
    <cfRule type="cellIs" dxfId="28" priority="31" operator="equal">
      <formula>0</formula>
    </cfRule>
  </conditionalFormatting>
  <conditionalFormatting sqref="R58:T64">
    <cfRule type="cellIs" dxfId="27" priority="30" operator="equal">
      <formula>0</formula>
    </cfRule>
  </conditionalFormatting>
  <conditionalFormatting sqref="R58:T65">
    <cfRule type="cellIs" dxfId="26" priority="29" operator="equal">
      <formula>0</formula>
    </cfRule>
  </conditionalFormatting>
  <conditionalFormatting sqref="R111:T116">
    <cfRule type="cellIs" dxfId="25" priority="26" operator="equal">
      <formula>0</formula>
    </cfRule>
  </conditionalFormatting>
  <conditionalFormatting sqref="R111:T116">
    <cfRule type="cellIs" dxfId="24" priority="25" operator="equal">
      <formula>0</formula>
    </cfRule>
  </conditionalFormatting>
  <conditionalFormatting sqref="R44:T44">
    <cfRule type="cellIs" dxfId="23" priority="24" operator="equal">
      <formula>0</formula>
    </cfRule>
  </conditionalFormatting>
  <conditionalFormatting sqref="R44:T44">
    <cfRule type="cellIs" dxfId="22" priority="23" operator="equal">
      <formula>0</formula>
    </cfRule>
  </conditionalFormatting>
  <conditionalFormatting sqref="Y34">
    <cfRule type="cellIs" dxfId="21" priority="22" operator="equal">
      <formula>0</formula>
    </cfRule>
  </conditionalFormatting>
  <conditionalFormatting sqref="X5:Z5 X49:Z56 X66:Z72 X74:Z83 X85:Z96 X98:Z102 X104:Z110 X24:Z34 X117:Z121 X46:Z46 X36:Z43">
    <cfRule type="cellIs" dxfId="20" priority="21" operator="equal">
      <formula>0</formula>
    </cfRule>
  </conditionalFormatting>
  <conditionalFormatting sqref="X5:Z5 X66:Z110 X117:Z122 X24:Z44 X124:Z124 X49:Z57 X46:Z47">
    <cfRule type="cellIs" dxfId="19" priority="20" operator="equal">
      <formula>0</formula>
    </cfRule>
  </conditionalFormatting>
  <conditionalFormatting sqref="X6:Z6">
    <cfRule type="cellIs" dxfId="18" priority="19" operator="equal">
      <formula>0</formula>
    </cfRule>
  </conditionalFormatting>
  <conditionalFormatting sqref="X6:Z6">
    <cfRule type="cellIs" dxfId="17" priority="18" operator="equal">
      <formula>0</formula>
    </cfRule>
  </conditionalFormatting>
  <conditionalFormatting sqref="Y22">
    <cfRule type="cellIs" dxfId="16" priority="17" operator="equal">
      <formula>0</formula>
    </cfRule>
  </conditionalFormatting>
  <conditionalFormatting sqref="X7:Z22">
    <cfRule type="cellIs" dxfId="15" priority="16" operator="equal">
      <formula>0</formula>
    </cfRule>
  </conditionalFormatting>
  <conditionalFormatting sqref="X7:Z23">
    <cfRule type="cellIs" dxfId="14" priority="15" operator="equal">
      <formula>0</formula>
    </cfRule>
  </conditionalFormatting>
  <conditionalFormatting sqref="X58:Z64">
    <cfRule type="cellIs" dxfId="13" priority="14" operator="equal">
      <formula>0</formula>
    </cfRule>
  </conditionalFormatting>
  <conditionalFormatting sqref="X58:Z65">
    <cfRule type="cellIs" dxfId="12" priority="13" operator="equal">
      <formula>0</formula>
    </cfRule>
  </conditionalFormatting>
  <conditionalFormatting sqref="X111:Z116">
    <cfRule type="cellIs" dxfId="11" priority="12" operator="equal">
      <formula>0</formula>
    </cfRule>
  </conditionalFormatting>
  <conditionalFormatting sqref="X111:Z116">
    <cfRule type="cellIs" dxfId="10" priority="11" operator="equal">
      <formula>0</formula>
    </cfRule>
  </conditionalFormatting>
  <conditionalFormatting sqref="X44:Z44">
    <cfRule type="cellIs" dxfId="9" priority="10" operator="equal">
      <formula>0</formula>
    </cfRule>
  </conditionalFormatting>
  <conditionalFormatting sqref="X44:Z44">
    <cfRule type="cellIs" dxfId="8" priority="9" operator="equal">
      <formula>0</formula>
    </cfRule>
  </conditionalFormatting>
  <conditionalFormatting sqref="R123:T123">
    <cfRule type="cellIs" dxfId="7" priority="8" operator="equal">
      <formula>0</formula>
    </cfRule>
  </conditionalFormatting>
  <conditionalFormatting sqref="X123:Z123">
    <cfRule type="cellIs" dxfId="6" priority="7" operator="equal">
      <formula>0</formula>
    </cfRule>
  </conditionalFormatting>
  <conditionalFormatting sqref="R48:T48">
    <cfRule type="cellIs" dxfId="5" priority="6" operator="equal">
      <formula>0</formula>
    </cfRule>
  </conditionalFormatting>
  <conditionalFormatting sqref="X48:Z48">
    <cfRule type="cellIs" dxfId="4" priority="5" operator="equal">
      <formula>0</formula>
    </cfRule>
  </conditionalFormatting>
  <conditionalFormatting sqref="R45:T45">
    <cfRule type="cellIs" dxfId="3" priority="4" operator="equal">
      <formula>0</formula>
    </cfRule>
  </conditionalFormatting>
  <conditionalFormatting sqref="R45:T45">
    <cfRule type="cellIs" dxfId="2" priority="3" operator="equal">
      <formula>0</formula>
    </cfRule>
  </conditionalFormatting>
  <conditionalFormatting sqref="X45:Z45">
    <cfRule type="cellIs" dxfId="1" priority="2" operator="equal">
      <formula>0</formula>
    </cfRule>
  </conditionalFormatting>
  <conditionalFormatting sqref="X45:Z45">
    <cfRule type="cellIs" dxfId="0" priority="1" operator="equal">
      <formula>0</formula>
    </cfRule>
  </conditionalFormatting>
  <pageMargins left="0.23622047244094491" right="0.23622047244094491" top="0.35433070866141736" bottom="0.15748031496062992" header="0.31496062992125984" footer="0.31496062992125984"/>
  <pageSetup paperSize="9" scale="65" orientation="landscape" horizontalDpi="300" verticalDpi="300" r:id="rId1"/>
  <ignoredErrors>
    <ignoredError sqref="O35" formulaRange="1"/>
    <ignoredError sqref="Z38 X38:Y38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99CC"/>
    <pageSetUpPr fitToPage="1"/>
  </sheetPr>
  <dimension ref="A1:Y142"/>
  <sheetViews>
    <sheetView zoomScale="70" zoomScaleNormal="70" workbookViewId="0">
      <pane ySplit="4" topLeftCell="A44" activePane="bottomLeft" state="frozen"/>
      <selection activeCell="C3" sqref="C3:F3"/>
      <selection pane="bottomLeft" activeCell="B1" sqref="A1:B1048576"/>
    </sheetView>
  </sheetViews>
  <sheetFormatPr baseColWidth="10" defaultColWidth="11.453125" defaultRowHeight="14.5" x14ac:dyDescent="0.35"/>
  <cols>
    <col min="1" max="1" width="1.81640625" style="108" hidden="1" customWidth="1"/>
    <col min="2" max="2" width="38.81640625" style="1" customWidth="1"/>
    <col min="3" max="3" width="11.54296875" style="2" customWidth="1"/>
    <col min="4" max="4" width="15.26953125" style="2" customWidth="1"/>
    <col min="5" max="5" width="42.81640625" style="1" bestFit="1" customWidth="1"/>
    <col min="6" max="6" width="11.1796875" style="2" hidden="1" customWidth="1"/>
    <col min="7" max="7" width="11.453125" style="2"/>
    <col min="8" max="8" width="8.453125" style="2" customWidth="1"/>
    <col min="9" max="9" width="11.453125" style="2"/>
    <col min="10" max="10" width="8.453125" style="2" customWidth="1"/>
    <col min="11" max="11" width="11.453125" style="4" customWidth="1"/>
    <col min="12" max="12" width="8.453125" style="4" customWidth="1"/>
    <col min="13" max="13" width="11.453125" style="4" customWidth="1"/>
    <col min="14" max="14" width="8.453125" style="3" customWidth="1"/>
    <col min="15" max="16" width="11.453125" style="4" customWidth="1"/>
    <col min="17" max="24" width="7.54296875" style="2" customWidth="1"/>
    <col min="25" max="16384" width="11.453125" style="1"/>
  </cols>
  <sheetData>
    <row r="1" spans="1:25" s="108" customFormat="1" ht="2.25" customHeight="1" thickBot="1" x14ac:dyDescent="0.4">
      <c r="C1" s="111"/>
      <c r="D1" s="111"/>
      <c r="F1" s="111"/>
      <c r="G1" s="111"/>
      <c r="H1" s="111"/>
      <c r="I1" s="111"/>
      <c r="J1" s="111"/>
      <c r="K1" s="113"/>
      <c r="L1" s="113"/>
      <c r="M1" s="113"/>
      <c r="N1" s="112"/>
      <c r="O1" s="113"/>
      <c r="P1" s="113"/>
      <c r="Q1" s="111"/>
      <c r="R1" s="111"/>
      <c r="S1" s="111"/>
      <c r="T1" s="111"/>
      <c r="U1" s="111"/>
      <c r="V1" s="111"/>
      <c r="W1" s="111"/>
      <c r="X1" s="111"/>
    </row>
    <row r="2" spans="1:25" s="6" customFormat="1" ht="30" customHeight="1" thickBot="1" x14ac:dyDescent="0.4">
      <c r="A2" s="109"/>
      <c r="B2" s="1048" t="s">
        <v>53</v>
      </c>
      <c r="C2" s="1049" t="s">
        <v>74</v>
      </c>
      <c r="D2" s="1049" t="s">
        <v>69</v>
      </c>
      <c r="E2" s="1069" t="s">
        <v>79</v>
      </c>
      <c r="F2" s="1041" t="s">
        <v>59</v>
      </c>
      <c r="G2" s="1182" t="s">
        <v>135</v>
      </c>
      <c r="H2" s="1183"/>
      <c r="I2" s="1183"/>
      <c r="J2" s="1184"/>
      <c r="K2" s="1180" t="s">
        <v>136</v>
      </c>
      <c r="L2" s="1180"/>
      <c r="M2" s="1180" t="s">
        <v>137</v>
      </c>
      <c r="N2" s="1180"/>
      <c r="O2" s="1180" t="s">
        <v>139</v>
      </c>
      <c r="P2" s="1180"/>
      <c r="Q2" s="1114" t="s">
        <v>39</v>
      </c>
      <c r="R2" s="1114"/>
      <c r="S2" s="1114" t="s">
        <v>40</v>
      </c>
      <c r="T2" s="1114"/>
      <c r="U2" s="1114" t="s">
        <v>41</v>
      </c>
      <c r="V2" s="1114"/>
      <c r="W2" s="1114" t="s">
        <v>42</v>
      </c>
      <c r="X2" s="1041"/>
      <c r="Y2" s="105"/>
    </row>
    <row r="3" spans="1:25" s="6" customFormat="1" ht="30" customHeight="1" thickBot="1" x14ac:dyDescent="0.4">
      <c r="A3" s="109"/>
      <c r="B3" s="1048"/>
      <c r="C3" s="1049"/>
      <c r="D3" s="1049"/>
      <c r="E3" s="1069"/>
      <c r="F3" s="1065"/>
      <c r="G3" s="1185" t="s">
        <v>66</v>
      </c>
      <c r="H3" s="1186"/>
      <c r="I3" s="1186" t="s">
        <v>44</v>
      </c>
      <c r="J3" s="1187"/>
      <c r="K3" s="1181"/>
      <c r="L3" s="1181"/>
      <c r="M3" s="1181"/>
      <c r="N3" s="1181"/>
      <c r="O3" s="1181"/>
      <c r="P3" s="1181"/>
      <c r="Q3" s="288"/>
      <c r="R3" s="226"/>
      <c r="S3" s="288"/>
      <c r="T3" s="226"/>
      <c r="U3" s="1177" t="s">
        <v>142</v>
      </c>
      <c r="V3" s="1178"/>
      <c r="W3" s="1177" t="s">
        <v>142</v>
      </c>
      <c r="X3" s="1179"/>
      <c r="Y3" s="105"/>
    </row>
    <row r="4" spans="1:25" s="6" customFormat="1" ht="30" customHeight="1" thickBot="1" x14ac:dyDescent="0.4">
      <c r="A4" s="109"/>
      <c r="B4" s="1048"/>
      <c r="C4" s="1049"/>
      <c r="D4" s="1049"/>
      <c r="E4" s="1069"/>
      <c r="F4" s="1066"/>
      <c r="G4" s="227" t="s">
        <v>133</v>
      </c>
      <c r="H4" s="228" t="s">
        <v>134</v>
      </c>
      <c r="I4" s="228" t="s">
        <v>133</v>
      </c>
      <c r="J4" s="229" t="s">
        <v>134</v>
      </c>
      <c r="K4" s="232" t="s">
        <v>133</v>
      </c>
      <c r="L4" s="233" t="s">
        <v>134</v>
      </c>
      <c r="M4" s="232" t="s">
        <v>133</v>
      </c>
      <c r="N4" s="233" t="s">
        <v>134</v>
      </c>
      <c r="O4" s="232" t="s">
        <v>133</v>
      </c>
      <c r="P4" s="233" t="s">
        <v>134</v>
      </c>
      <c r="Q4" s="234" t="s">
        <v>43</v>
      </c>
      <c r="R4" s="229" t="s">
        <v>44</v>
      </c>
      <c r="S4" s="234" t="s">
        <v>43</v>
      </c>
      <c r="T4" s="229" t="s">
        <v>44</v>
      </c>
      <c r="U4" s="234" t="s">
        <v>133</v>
      </c>
      <c r="V4" s="229" t="s">
        <v>134</v>
      </c>
      <c r="W4" s="234" t="s">
        <v>133</v>
      </c>
      <c r="X4" s="231" t="s">
        <v>134</v>
      </c>
      <c r="Y4" s="105"/>
    </row>
    <row r="5" spans="1:25" ht="15.5" x14ac:dyDescent="0.35">
      <c r="A5" s="108">
        <v>1</v>
      </c>
      <c r="B5" s="170" t="s">
        <v>86</v>
      </c>
      <c r="C5" s="540" t="s">
        <v>75</v>
      </c>
      <c r="D5" s="544">
        <f>'2021'!D5-'2020'!D5</f>
        <v>0</v>
      </c>
      <c r="E5" s="293" t="s">
        <v>71</v>
      </c>
      <c r="F5" s="294" t="s">
        <v>60</v>
      </c>
      <c r="G5" s="295">
        <f>'2021'!G5-'2020'!G5</f>
        <v>39</v>
      </c>
      <c r="H5" s="335">
        <f>IF('2021'!G5=0,0,IF('2020'!G5=0,0,'2021'!G5/'2020'!G5-1))</f>
        <v>0.61904761904761907</v>
      </c>
      <c r="I5" s="326">
        <f>'2021'!H5-'2020'!H5</f>
        <v>65</v>
      </c>
      <c r="J5" s="342">
        <f>IF('2021'!H5=0,0,IF('2020'!H5=0,0,'2021'!H5/'2020'!H5-1))</f>
        <v>2.2413793103448274</v>
      </c>
      <c r="K5" s="256">
        <f>'2021'!J5-'2020'!J5</f>
        <v>0</v>
      </c>
      <c r="L5" s="342">
        <f>'2021'!I5-'2020'!I5</f>
        <v>-1.2138188608776843E-2</v>
      </c>
      <c r="M5" s="256">
        <f>'2021'!L5-'2020'!L5</f>
        <v>1</v>
      </c>
      <c r="N5" s="342">
        <f>'2021'!K5-'2020'!K5</f>
        <v>-9.3370681605975697E-2</v>
      </c>
      <c r="O5" s="256">
        <f>IF('2020'!N5="-",0,'2021'!N5-'2020'!N5)</f>
        <v>0</v>
      </c>
      <c r="P5" s="342">
        <f>'2021'!M5-'2020'!M5</f>
        <v>-6.5359477124183052E-3</v>
      </c>
      <c r="Q5" s="180"/>
      <c r="R5" s="181"/>
      <c r="S5" s="180"/>
      <c r="T5" s="181"/>
      <c r="U5" s="172" t="s">
        <v>21</v>
      </c>
      <c r="V5" s="173" t="s">
        <v>21</v>
      </c>
      <c r="W5" s="172" t="s">
        <v>21</v>
      </c>
      <c r="X5" s="174" t="s">
        <v>21</v>
      </c>
      <c r="Y5" s="106"/>
    </row>
    <row r="6" spans="1:25" ht="15.5" x14ac:dyDescent="0.35">
      <c r="A6" s="108">
        <v>1</v>
      </c>
      <c r="B6" s="633" t="s">
        <v>167</v>
      </c>
      <c r="C6" s="539" t="s">
        <v>75</v>
      </c>
      <c r="D6" s="543">
        <f>'2021'!D24-'2020'!D24</f>
        <v>1</v>
      </c>
      <c r="E6" s="306" t="s">
        <v>168</v>
      </c>
      <c r="F6" s="307" t="s">
        <v>60</v>
      </c>
      <c r="G6" s="308">
        <f>'2021'!G24-'2020'!G24</f>
        <v>45</v>
      </c>
      <c r="H6" s="339">
        <f>IF('2021'!G24=0,0,IF('2020'!G24=0,0,'2021'!G24/'2020'!G24-1))</f>
        <v>1.4516129032258065</v>
      </c>
      <c r="I6" s="330">
        <f>'2021'!H24-'2020'!H24</f>
        <v>27</v>
      </c>
      <c r="J6" s="346">
        <f>IF('2021'!H24=0,0,IF('2020'!H24=0,0,'2021'!H24/'2020'!H24-1))</f>
        <v>1.1739130434782608</v>
      </c>
      <c r="K6" s="257">
        <f>'2021'!J24-'2020'!J24</f>
        <v>7</v>
      </c>
      <c r="L6" s="346">
        <f>'2021'!I24-'2020'!I24</f>
        <v>-9.8896434634974523E-2</v>
      </c>
      <c r="M6" s="257">
        <f>'2021'!L24-'2020'!L24</f>
        <v>18</v>
      </c>
      <c r="N6" s="346">
        <f>'2021'!K24-'2020'!K24</f>
        <v>4.5840407470288613E-2</v>
      </c>
      <c r="O6" s="257">
        <f>IF('2020'!N24="-",0,'2021'!N24-'2020'!N24)</f>
        <v>0</v>
      </c>
      <c r="P6" s="346" t="e">
        <f>'2021'!M24-'2020'!M24</f>
        <v>#VALUE!</v>
      </c>
      <c r="Q6" s="188"/>
      <c r="R6" s="189"/>
      <c r="S6" s="188"/>
      <c r="T6" s="189"/>
      <c r="U6" s="242" t="s">
        <v>21</v>
      </c>
      <c r="V6" s="243" t="s">
        <v>21</v>
      </c>
      <c r="W6" s="242" t="s">
        <v>21</v>
      </c>
      <c r="X6" s="244" t="s">
        <v>21</v>
      </c>
      <c r="Y6" s="106"/>
    </row>
    <row r="7" spans="1:25" ht="15" customHeight="1" x14ac:dyDescent="0.35">
      <c r="A7" s="108">
        <v>2</v>
      </c>
      <c r="B7" s="1104" t="s">
        <v>169</v>
      </c>
      <c r="C7" s="1188" t="s">
        <v>75</v>
      </c>
      <c r="D7" s="1176">
        <v>9</v>
      </c>
      <c r="E7" s="296" t="s">
        <v>170</v>
      </c>
      <c r="F7" s="297" t="s">
        <v>60</v>
      </c>
      <c r="G7" s="298">
        <f>'2021'!G7-'2020'!G7</f>
        <v>0</v>
      </c>
      <c r="H7" s="336">
        <f>IF('2021'!G7=0,0,IF('2020'!G7=0,0,'2021'!G7/'2020'!G7-1))</f>
        <v>0</v>
      </c>
      <c r="I7" s="327">
        <f>'2021'!H7-'2020'!H7</f>
        <v>0</v>
      </c>
      <c r="J7" s="343">
        <f>IF('2021'!H7=0,0,IF('2020'!H7=0,0,'2021'!H7/'2020'!H7-1))</f>
        <v>0</v>
      </c>
      <c r="K7" s="252">
        <f>'2021'!J7-'2020'!J7</f>
        <v>0</v>
      </c>
      <c r="L7" s="343" t="e">
        <f>'2021'!I7-'2020'!I7</f>
        <v>#DIV/0!</v>
      </c>
      <c r="M7" s="252">
        <f>'2021'!L7-'2020'!L7</f>
        <v>0</v>
      </c>
      <c r="N7" s="343" t="e">
        <f>'2021'!K7-'2020'!K7</f>
        <v>#DIV/0!</v>
      </c>
      <c r="O7" s="252"/>
      <c r="P7" s="343"/>
      <c r="Q7" s="182"/>
      <c r="R7" s="183"/>
      <c r="S7" s="182"/>
      <c r="T7" s="183"/>
      <c r="U7" s="130" t="s">
        <v>21</v>
      </c>
      <c r="V7" s="127" t="s">
        <v>21</v>
      </c>
      <c r="W7" s="130" t="s">
        <v>21</v>
      </c>
      <c r="X7" s="152" t="s">
        <v>21</v>
      </c>
      <c r="Y7" s="106"/>
    </row>
    <row r="8" spans="1:25" ht="15" customHeight="1" x14ac:dyDescent="0.35">
      <c r="A8" s="108">
        <v>3</v>
      </c>
      <c r="B8" s="1104"/>
      <c r="C8" s="1188"/>
      <c r="D8" s="1176"/>
      <c r="E8" s="299" t="s">
        <v>170</v>
      </c>
      <c r="F8" s="300" t="s">
        <v>60</v>
      </c>
      <c r="G8" s="301">
        <f>'2021'!G8-'2020'!G8</f>
        <v>0</v>
      </c>
      <c r="H8" s="337">
        <f>IF('2021'!G8=0,0,IF('2020'!G8=0,0,'2021'!G8/'2020'!G8-1))</f>
        <v>0</v>
      </c>
      <c r="I8" s="328">
        <f>'2021'!H8-'2020'!H8</f>
        <v>0</v>
      </c>
      <c r="J8" s="344">
        <f>IF(I8=0,0,'2021'!H8/'2020'!H8-1)</f>
        <v>0</v>
      </c>
      <c r="K8" s="253">
        <f>'2021'!J8-'2020'!J8</f>
        <v>0</v>
      </c>
      <c r="L8" s="344" t="e">
        <f>'2021'!I8-'2020'!I8</f>
        <v>#DIV/0!</v>
      </c>
      <c r="M8" s="253">
        <f>'2021'!L8-'2020'!L8</f>
        <v>0</v>
      </c>
      <c r="N8" s="344" t="e">
        <f>'2021'!K8-'2020'!K8</f>
        <v>#DIV/0!</v>
      </c>
      <c r="O8" s="253"/>
      <c r="P8" s="344"/>
      <c r="Q8" s="184"/>
      <c r="R8" s="185"/>
      <c r="S8" s="184"/>
      <c r="T8" s="185"/>
      <c r="U8" s="136" t="s">
        <v>21</v>
      </c>
      <c r="V8" s="133" t="s">
        <v>21</v>
      </c>
      <c r="W8" s="136" t="s">
        <v>21</v>
      </c>
      <c r="X8" s="140" t="s">
        <v>21</v>
      </c>
      <c r="Y8" s="106"/>
    </row>
    <row r="9" spans="1:25" ht="15" customHeight="1" x14ac:dyDescent="0.35">
      <c r="A9" s="108">
        <v>4</v>
      </c>
      <c r="B9" s="1104"/>
      <c r="C9" s="1188"/>
      <c r="D9" s="1176"/>
      <c r="E9" s="299" t="s">
        <v>170</v>
      </c>
      <c r="F9" s="300" t="s">
        <v>60</v>
      </c>
      <c r="G9" s="301">
        <f>'2021'!G9-'2020'!G9</f>
        <v>0</v>
      </c>
      <c r="H9" s="337">
        <f>IF('2021'!G9=0,0,IF('2020'!G9=0,0,'2021'!G9/'2020'!G9-1))</f>
        <v>0</v>
      </c>
      <c r="I9" s="328">
        <f>'2021'!H9-'2020'!H9</f>
        <v>0</v>
      </c>
      <c r="J9" s="344">
        <f>IF(I9=0,0,'2021'!H9/'2020'!H9-1)</f>
        <v>0</v>
      </c>
      <c r="K9" s="253">
        <f>'2021'!J9-'2020'!J9</f>
        <v>0</v>
      </c>
      <c r="L9" s="344" t="e">
        <f>'2021'!I9-'2020'!I9</f>
        <v>#DIV/0!</v>
      </c>
      <c r="M9" s="253">
        <f>'2021'!L9-'2020'!L9</f>
        <v>0</v>
      </c>
      <c r="N9" s="344" t="e">
        <f>'2021'!K9-'2020'!K9</f>
        <v>#DIV/0!</v>
      </c>
      <c r="O9" s="253"/>
      <c r="P9" s="344"/>
      <c r="Q9" s="184"/>
      <c r="R9" s="185"/>
      <c r="S9" s="184"/>
      <c r="T9" s="185"/>
      <c r="U9" s="136" t="s">
        <v>21</v>
      </c>
      <c r="V9" s="133" t="s">
        <v>21</v>
      </c>
      <c r="W9" s="136" t="s">
        <v>21</v>
      </c>
      <c r="X9" s="140" t="s">
        <v>21</v>
      </c>
      <c r="Y9" s="106"/>
    </row>
    <row r="10" spans="1:25" ht="15" customHeight="1" x14ac:dyDescent="0.35">
      <c r="A10" s="108">
        <v>5</v>
      </c>
      <c r="B10" s="1104"/>
      <c r="C10" s="1188"/>
      <c r="D10" s="1176"/>
      <c r="E10" s="299" t="s">
        <v>170</v>
      </c>
      <c r="F10" s="300"/>
      <c r="G10" s="301">
        <f>'2021'!G10-'2020'!G10</f>
        <v>0</v>
      </c>
      <c r="H10" s="337">
        <f>IF('2021'!G10=0,0,IF('2020'!G10=0,0,'2021'!G10/'2020'!G10-1))</f>
        <v>0</v>
      </c>
      <c r="I10" s="328">
        <f>'2021'!H10-'2020'!H10</f>
        <v>0</v>
      </c>
      <c r="J10" s="344">
        <f>IF(I10=0,0,'2021'!H10/'2020'!H10-1)</f>
        <v>0</v>
      </c>
      <c r="K10" s="253">
        <f>'2021'!J10-'2020'!J10</f>
        <v>0</v>
      </c>
      <c r="L10" s="344" t="e">
        <f>'2021'!I10-'2020'!I10</f>
        <v>#DIV/0!</v>
      </c>
      <c r="M10" s="253">
        <f>'2021'!L10-'2020'!L10</f>
        <v>0</v>
      </c>
      <c r="N10" s="344" t="e">
        <f>'2021'!K10-'2020'!K10</f>
        <v>#DIV/0!</v>
      </c>
      <c r="O10" s="253"/>
      <c r="P10" s="344"/>
      <c r="Q10" s="184"/>
      <c r="R10" s="185"/>
      <c r="S10" s="184"/>
      <c r="T10" s="185"/>
      <c r="U10" s="136"/>
      <c r="V10" s="133"/>
      <c r="W10" s="136"/>
      <c r="X10" s="140"/>
      <c r="Y10" s="106"/>
    </row>
    <row r="11" spans="1:25" ht="15" customHeight="1" x14ac:dyDescent="0.35">
      <c r="A11" s="108">
        <v>6</v>
      </c>
      <c r="B11" s="1104"/>
      <c r="C11" s="1188"/>
      <c r="D11" s="1176"/>
      <c r="E11" s="299" t="s">
        <v>170</v>
      </c>
      <c r="F11" s="300" t="s">
        <v>60</v>
      </c>
      <c r="G11" s="301">
        <f>'2021'!G11-'2020'!G11</f>
        <v>0</v>
      </c>
      <c r="H11" s="337">
        <f>IF('2021'!G11=0,0,IF('2020'!G11=0,0,'2021'!G11/'2020'!G11-1))</f>
        <v>0</v>
      </c>
      <c r="I11" s="328">
        <f>'2021'!H11-'2020'!H11</f>
        <v>0</v>
      </c>
      <c r="J11" s="344">
        <f>IF(I11=0,0,'2021'!H11/'2020'!H11-1)</f>
        <v>0</v>
      </c>
      <c r="K11" s="253">
        <f>'2021'!J11-'2020'!J11</f>
        <v>0</v>
      </c>
      <c r="L11" s="344" t="e">
        <f>'2021'!I11-'2020'!I11</f>
        <v>#DIV/0!</v>
      </c>
      <c r="M11" s="253">
        <f>'2021'!L11-'2020'!L11</f>
        <v>0</v>
      </c>
      <c r="N11" s="344" t="e">
        <f>'2021'!K11-'2020'!K11</f>
        <v>#DIV/0!</v>
      </c>
      <c r="O11" s="253"/>
      <c r="P11" s="344"/>
      <c r="Q11" s="184"/>
      <c r="R11" s="185"/>
      <c r="S11" s="184"/>
      <c r="T11" s="185"/>
      <c r="U11" s="136" t="s">
        <v>21</v>
      </c>
      <c r="V11" s="133" t="s">
        <v>21</v>
      </c>
      <c r="W11" s="136" t="s">
        <v>21</v>
      </c>
      <c r="X11" s="140" t="s">
        <v>21</v>
      </c>
      <c r="Y11" s="106"/>
    </row>
    <row r="12" spans="1:25" ht="15" customHeight="1" x14ac:dyDescent="0.35">
      <c r="A12" s="108">
        <v>7</v>
      </c>
      <c r="B12" s="1104"/>
      <c r="C12" s="1188"/>
      <c r="D12" s="1176"/>
      <c r="E12" s="299" t="s">
        <v>170</v>
      </c>
      <c r="F12" s="300" t="s">
        <v>60</v>
      </c>
      <c r="G12" s="301">
        <f>'2021'!G15-'2020'!G15</f>
        <v>0</v>
      </c>
      <c r="H12" s="337">
        <f>IF('2021'!G15=0,0,IF('2020'!G15=0,0,'2021'!G15/'2020'!G15-1))</f>
        <v>0</v>
      </c>
      <c r="I12" s="328">
        <f>'2021'!H15-'2020'!H15</f>
        <v>0</v>
      </c>
      <c r="J12" s="344">
        <f>IF(I12=0,0,'2021'!H15/'2020'!H15-1)</f>
        <v>0</v>
      </c>
      <c r="K12" s="253">
        <f>'2021'!J15-'2020'!J15</f>
        <v>0</v>
      </c>
      <c r="L12" s="344" t="e">
        <f>'2021'!I15-'2020'!I15</f>
        <v>#DIV/0!</v>
      </c>
      <c r="M12" s="253">
        <f>'2021'!L15-'2020'!L15</f>
        <v>0</v>
      </c>
      <c r="N12" s="344" t="e">
        <f>'2021'!K15-'2020'!K15</f>
        <v>#DIV/0!</v>
      </c>
      <c r="O12" s="253"/>
      <c r="P12" s="344"/>
      <c r="Q12" s="184"/>
      <c r="R12" s="185"/>
      <c r="S12" s="184"/>
      <c r="T12" s="185"/>
      <c r="U12" s="136" t="s">
        <v>21</v>
      </c>
      <c r="V12" s="133" t="s">
        <v>21</v>
      </c>
      <c r="W12" s="136" t="s">
        <v>21</v>
      </c>
      <c r="X12" s="140" t="s">
        <v>21</v>
      </c>
      <c r="Y12" s="106"/>
    </row>
    <row r="13" spans="1:25" ht="15" customHeight="1" x14ac:dyDescent="0.35">
      <c r="A13" s="108">
        <v>8</v>
      </c>
      <c r="B13" s="1104"/>
      <c r="C13" s="1188"/>
      <c r="D13" s="1176"/>
      <c r="E13" s="299" t="s">
        <v>170</v>
      </c>
      <c r="F13" s="300" t="s">
        <v>60</v>
      </c>
      <c r="G13" s="301">
        <f>'2021'!G16-'2020'!G16</f>
        <v>0</v>
      </c>
      <c r="H13" s="337">
        <f>IF('2021'!G16=0,0,IF('2020'!G16=0,0,'2021'!G16/'2020'!G16-1))</f>
        <v>0</v>
      </c>
      <c r="I13" s="328">
        <f>'2021'!H16-'2020'!H16</f>
        <v>0</v>
      </c>
      <c r="J13" s="344">
        <f>IF(I13=0,0,'2021'!H16/'2020'!H16-1)</f>
        <v>0</v>
      </c>
      <c r="K13" s="253">
        <f>'2021'!J16-'2020'!J16</f>
        <v>0</v>
      </c>
      <c r="L13" s="344" t="e">
        <f>'2021'!I16-'2020'!I16</f>
        <v>#DIV/0!</v>
      </c>
      <c r="M13" s="253">
        <f>'2021'!L16-'2020'!L16</f>
        <v>0</v>
      </c>
      <c r="N13" s="344" t="e">
        <f>'2021'!K16-'2020'!K16</f>
        <v>#DIV/0!</v>
      </c>
      <c r="O13" s="253"/>
      <c r="P13" s="344"/>
      <c r="Q13" s="184"/>
      <c r="R13" s="185"/>
      <c r="S13" s="184"/>
      <c r="T13" s="185"/>
      <c r="U13" s="136" t="s">
        <v>21</v>
      </c>
      <c r="V13" s="133" t="s">
        <v>21</v>
      </c>
      <c r="W13" s="136" t="s">
        <v>21</v>
      </c>
      <c r="X13" s="140" t="s">
        <v>21</v>
      </c>
      <c r="Y13" s="106"/>
    </row>
    <row r="14" spans="1:25" ht="15" customHeight="1" x14ac:dyDescent="0.35">
      <c r="A14" s="108">
        <v>9</v>
      </c>
      <c r="B14" s="1104"/>
      <c r="C14" s="1188"/>
      <c r="D14" s="1176"/>
      <c r="E14" s="299" t="s">
        <v>170</v>
      </c>
      <c r="F14" s="300" t="s">
        <v>60</v>
      </c>
      <c r="G14" s="301">
        <f>'2021'!G17-'2020'!G17</f>
        <v>0</v>
      </c>
      <c r="H14" s="337">
        <f>IF('2021'!G17=0,0,IF('2020'!G17=0,0,'2021'!G17/'2020'!G17-1))</f>
        <v>0</v>
      </c>
      <c r="I14" s="328">
        <f>'2021'!H17-'2020'!H17</f>
        <v>0</v>
      </c>
      <c r="J14" s="344">
        <f>IF(I14=0,0,'2021'!H17/'2020'!H17-1)</f>
        <v>0</v>
      </c>
      <c r="K14" s="253">
        <f>'2021'!J17-'2020'!J17</f>
        <v>0</v>
      </c>
      <c r="L14" s="344" t="e">
        <f>'2021'!I17-'2020'!I17</f>
        <v>#DIV/0!</v>
      </c>
      <c r="M14" s="253">
        <f>'2021'!L17-'2020'!L17</f>
        <v>0</v>
      </c>
      <c r="N14" s="344" t="e">
        <f>'2021'!K17-'2020'!K17</f>
        <v>#DIV/0!</v>
      </c>
      <c r="O14" s="253"/>
      <c r="P14" s="344"/>
      <c r="Q14" s="184"/>
      <c r="R14" s="185"/>
      <c r="S14" s="184"/>
      <c r="T14" s="185"/>
      <c r="U14" s="136" t="s">
        <v>21</v>
      </c>
      <c r="V14" s="133" t="s">
        <v>21</v>
      </c>
      <c r="W14" s="136" t="s">
        <v>21</v>
      </c>
      <c r="X14" s="140" t="s">
        <v>21</v>
      </c>
      <c r="Y14" s="106"/>
    </row>
    <row r="15" spans="1:25" ht="15" customHeight="1" x14ac:dyDescent="0.35">
      <c r="B15" s="1104"/>
      <c r="C15" s="1188"/>
      <c r="D15" s="1176"/>
      <c r="E15" s="567" t="s">
        <v>170</v>
      </c>
      <c r="F15" s="568"/>
      <c r="G15" s="569">
        <f>'2021'!G18-'2020'!G18</f>
        <v>0</v>
      </c>
      <c r="H15" s="570">
        <f>IF('2021'!G18=0,0,IF('2020'!G18=0,0,'2021'!G18/'2020'!G18-1))</f>
        <v>0</v>
      </c>
      <c r="I15" s="571">
        <f>'2021'!H18-'2020'!H18</f>
        <v>0</v>
      </c>
      <c r="J15" s="572">
        <f>IF(I15=0,0,'2021'!H18/'2020'!H18-1)</f>
        <v>0</v>
      </c>
      <c r="K15" s="573">
        <f>'2021'!J18-'2020'!J18</f>
        <v>0</v>
      </c>
      <c r="L15" s="572" t="e">
        <f>'2021'!I18-'2020'!I18</f>
        <v>#DIV/0!</v>
      </c>
      <c r="M15" s="573">
        <f>'2021'!L18-'2020'!L18</f>
        <v>0</v>
      </c>
      <c r="N15" s="572" t="e">
        <f>'2021'!K18-'2020'!K18</f>
        <v>#DIV/0!</v>
      </c>
      <c r="O15" s="573"/>
      <c r="P15" s="572"/>
      <c r="Q15" s="574"/>
      <c r="R15" s="575"/>
      <c r="S15" s="574"/>
      <c r="T15" s="575"/>
      <c r="U15" s="576"/>
      <c r="V15" s="577"/>
      <c r="W15" s="576"/>
      <c r="X15" s="578"/>
      <c r="Y15" s="106"/>
    </row>
    <row r="16" spans="1:25" ht="15" customHeight="1" x14ac:dyDescent="0.35">
      <c r="B16" s="1104"/>
      <c r="C16" s="1188"/>
      <c r="D16" s="1176"/>
      <c r="E16" s="567" t="s">
        <v>170</v>
      </c>
      <c r="F16" s="568"/>
      <c r="G16" s="569">
        <f>'2021'!G19-'2020'!G19</f>
        <v>0</v>
      </c>
      <c r="H16" s="570">
        <f>IF('2021'!G19=0,0,IF('2020'!G19=0,0,'2021'!G19/'2020'!G19-1))</f>
        <v>0</v>
      </c>
      <c r="I16" s="571">
        <f>'2021'!H19-'2020'!H19</f>
        <v>0</v>
      </c>
      <c r="J16" s="572">
        <f>IF(I16=0,0,'2021'!H19/'2020'!H19-1)</f>
        <v>0</v>
      </c>
      <c r="K16" s="573">
        <f>'2021'!J19-'2020'!J19</f>
        <v>0</v>
      </c>
      <c r="L16" s="572" t="e">
        <f>'2021'!I19-'2020'!I19</f>
        <v>#DIV/0!</v>
      </c>
      <c r="M16" s="573">
        <f>'2021'!L19-'2020'!L19</f>
        <v>0</v>
      </c>
      <c r="N16" s="572" t="e">
        <f>'2021'!K19-'2020'!K19</f>
        <v>#DIV/0!</v>
      </c>
      <c r="O16" s="573"/>
      <c r="P16" s="572"/>
      <c r="Q16" s="574"/>
      <c r="R16" s="575"/>
      <c r="S16" s="574"/>
      <c r="T16" s="575"/>
      <c r="U16" s="576"/>
      <c r="V16" s="577"/>
      <c r="W16" s="576"/>
      <c r="X16" s="578"/>
      <c r="Y16" s="106"/>
    </row>
    <row r="17" spans="1:25" ht="15" customHeight="1" x14ac:dyDescent="0.35">
      <c r="B17" s="1104"/>
      <c r="C17" s="1188"/>
      <c r="D17" s="1176"/>
      <c r="E17" s="567"/>
      <c r="F17" s="568"/>
      <c r="G17" s="569"/>
      <c r="H17" s="570"/>
      <c r="I17" s="571"/>
      <c r="J17" s="572"/>
      <c r="K17" s="573"/>
      <c r="L17" s="572"/>
      <c r="M17" s="573"/>
      <c r="N17" s="572"/>
      <c r="O17" s="573"/>
      <c r="P17" s="572"/>
      <c r="Q17" s="574"/>
      <c r="R17" s="575"/>
      <c r="S17" s="574"/>
      <c r="T17" s="575"/>
      <c r="U17" s="576"/>
      <c r="V17" s="577"/>
      <c r="W17" s="576"/>
      <c r="X17" s="578"/>
      <c r="Y17" s="106"/>
    </row>
    <row r="18" spans="1:25" ht="15" customHeight="1" x14ac:dyDescent="0.35">
      <c r="B18" s="1104"/>
      <c r="C18" s="1188"/>
      <c r="D18" s="1176"/>
      <c r="E18" s="567"/>
      <c r="F18" s="568"/>
      <c r="G18" s="569"/>
      <c r="H18" s="570"/>
      <c r="I18" s="571"/>
      <c r="J18" s="572"/>
      <c r="K18" s="573"/>
      <c r="L18" s="572"/>
      <c r="M18" s="573"/>
      <c r="N18" s="572"/>
      <c r="O18" s="573"/>
      <c r="P18" s="572"/>
      <c r="Q18" s="574"/>
      <c r="R18" s="575"/>
      <c r="S18" s="574"/>
      <c r="T18" s="575"/>
      <c r="U18" s="576"/>
      <c r="V18" s="577"/>
      <c r="W18" s="576"/>
      <c r="X18" s="578"/>
      <c r="Y18" s="106"/>
    </row>
    <row r="19" spans="1:25" ht="15" customHeight="1" x14ac:dyDescent="0.35">
      <c r="A19" s="108">
        <v>10</v>
      </c>
      <c r="B19" s="1104"/>
      <c r="C19" s="1188"/>
      <c r="D19" s="1176"/>
      <c r="E19" s="302" t="s">
        <v>170</v>
      </c>
      <c r="F19" s="303" t="s">
        <v>60</v>
      </c>
      <c r="G19" s="304">
        <f>'2021'!G22-'2020'!G22</f>
        <v>0</v>
      </c>
      <c r="H19" s="338">
        <f>IF('2021'!G22=0,0,IF('2020'!G22=0,0,'2021'!G22/'2020'!G22-1))</f>
        <v>0</v>
      </c>
      <c r="I19" s="329">
        <f>'2021'!H22-'2020'!H22</f>
        <v>0</v>
      </c>
      <c r="J19" s="345">
        <f>IF(I19=0,0,'2021'!H22/'2020'!H22-1)</f>
        <v>0</v>
      </c>
      <c r="K19" s="254">
        <f>'2021'!J22-'2020'!J22</f>
        <v>0</v>
      </c>
      <c r="L19" s="345" t="e">
        <f>'2021'!I22-'2020'!I22</f>
        <v>#DIV/0!</v>
      </c>
      <c r="M19" s="254">
        <f>'2021'!L22-'2020'!L22</f>
        <v>0</v>
      </c>
      <c r="N19" s="345" t="e">
        <f>'2021'!K22-'2020'!K22</f>
        <v>#DIV/0!</v>
      </c>
      <c r="O19" s="254"/>
      <c r="P19" s="345"/>
      <c r="Q19" s="186"/>
      <c r="R19" s="187"/>
      <c r="S19" s="186"/>
      <c r="T19" s="187"/>
      <c r="U19" s="144"/>
      <c r="V19" s="141"/>
      <c r="W19" s="144"/>
      <c r="X19" s="175"/>
      <c r="Y19" s="106"/>
    </row>
    <row r="20" spans="1:25" ht="15.5" x14ac:dyDescent="0.35">
      <c r="B20" s="1104"/>
      <c r="C20" s="1189"/>
      <c r="D20" s="542" t="s">
        <v>138</v>
      </c>
      <c r="E20" s="306"/>
      <c r="F20" s="307"/>
      <c r="G20" s="308">
        <f>SUM(G7:G19)</f>
        <v>0</v>
      </c>
      <c r="H20" s="339" t="e">
        <f>G20/SUM('2020'!G7:G9,'2020'!G11:G17)</f>
        <v>#DIV/0!</v>
      </c>
      <c r="I20" s="330">
        <f>SUM(I7:I19)</f>
        <v>0</v>
      </c>
      <c r="J20" s="346" t="e">
        <f>I20/SUM('2020'!H7:H9,'2020'!H11:H17)</f>
        <v>#DIV/0!</v>
      </c>
      <c r="K20" s="257">
        <f>SUM(K7:K19)</f>
        <v>0</v>
      </c>
      <c r="L20" s="346" t="e">
        <f>K20/SUM('2020'!J7:J9,'2020'!J11:J17)</f>
        <v>#DIV/0!</v>
      </c>
      <c r="M20" s="257">
        <f>SUM(M7:M19)</f>
        <v>0</v>
      </c>
      <c r="N20" s="346" t="e">
        <f>M20/SUM('2020'!L7:L9,'2020'!L11:L17)</f>
        <v>#DIV/0!</v>
      </c>
      <c r="O20" s="257"/>
      <c r="P20" s="346"/>
      <c r="Q20" s="188"/>
      <c r="R20" s="189"/>
      <c r="S20" s="188"/>
      <c r="T20" s="189"/>
      <c r="U20" s="242"/>
      <c r="V20" s="243"/>
      <c r="W20" s="242"/>
      <c r="X20" s="244"/>
      <c r="Y20" s="106"/>
    </row>
    <row r="21" spans="1:25" ht="15" customHeight="1" x14ac:dyDescent="0.35">
      <c r="A21" s="108">
        <v>2</v>
      </c>
      <c r="B21" s="1104" t="s">
        <v>82</v>
      </c>
      <c r="C21" s="1188" t="s">
        <v>75</v>
      </c>
      <c r="D21" s="1176">
        <f>'2021'!D24-'2020'!D24</f>
        <v>1</v>
      </c>
      <c r="E21" s="296" t="s">
        <v>13</v>
      </c>
      <c r="F21" s="297" t="s">
        <v>60</v>
      </c>
      <c r="G21" s="298">
        <f>'2021'!G24-'2020'!G24</f>
        <v>45</v>
      </c>
      <c r="H21" s="336">
        <f>IF('2021'!G24=0,0,IF('2020'!G24=0,0,'2021'!G24/'2020'!G24-1))</f>
        <v>1.4516129032258065</v>
      </c>
      <c r="I21" s="327">
        <f>'2021'!H24-'2020'!H24</f>
        <v>27</v>
      </c>
      <c r="J21" s="343">
        <f>IF('2021'!H24=0,0,IF('2020'!H24=0,0,'2021'!H24/'2020'!H24-1))</f>
        <v>1.1739130434782608</v>
      </c>
      <c r="K21" s="252">
        <f>'2021'!J24-'2020'!J24</f>
        <v>7</v>
      </c>
      <c r="L21" s="343">
        <f>'2021'!I24-'2020'!I24</f>
        <v>-9.8896434634974523E-2</v>
      </c>
      <c r="M21" s="252">
        <f>'2021'!L24-'2020'!L24</f>
        <v>18</v>
      </c>
      <c r="N21" s="343">
        <f>'2021'!K24-'2020'!K24</f>
        <v>4.5840407470288613E-2</v>
      </c>
      <c r="O21" s="252"/>
      <c r="P21" s="343"/>
      <c r="Q21" s="182"/>
      <c r="R21" s="183"/>
      <c r="S21" s="182"/>
      <c r="T21" s="183"/>
      <c r="U21" s="130" t="s">
        <v>21</v>
      </c>
      <c r="V21" s="127" t="s">
        <v>21</v>
      </c>
      <c r="W21" s="130" t="s">
        <v>21</v>
      </c>
      <c r="X21" s="152" t="s">
        <v>21</v>
      </c>
      <c r="Y21" s="106"/>
    </row>
    <row r="22" spans="1:25" ht="15" customHeight="1" x14ac:dyDescent="0.35">
      <c r="A22" s="108">
        <v>3</v>
      </c>
      <c r="B22" s="1104"/>
      <c r="C22" s="1188"/>
      <c r="D22" s="1176"/>
      <c r="E22" s="299" t="s">
        <v>14</v>
      </c>
      <c r="F22" s="300" t="s">
        <v>60</v>
      </c>
      <c r="G22" s="301">
        <f>'2021'!G25-'2020'!G25</f>
        <v>20</v>
      </c>
      <c r="H22" s="337">
        <f>IF('2021'!G25=0,0,IF('2020'!G25=0,0,'2021'!G25/'2020'!G25-1))</f>
        <v>0.8</v>
      </c>
      <c r="I22" s="328">
        <f>'2021'!H25-'2020'!H25</f>
        <v>14</v>
      </c>
      <c r="J22" s="344">
        <f>IF(I22=0,0,'2021'!H25/'2020'!H25-1)</f>
        <v>1.0769230769230771</v>
      </c>
      <c r="K22" s="253">
        <f>'2021'!J25-'2020'!J25</f>
        <v>9</v>
      </c>
      <c r="L22" s="344">
        <f>'2021'!I25-'2020'!I25</f>
        <v>-1.3333333333333308E-2</v>
      </c>
      <c r="M22" s="253">
        <f>'2021'!L25-'2020'!L25</f>
        <v>5</v>
      </c>
      <c r="N22" s="344">
        <f>'2021'!K25-'2020'!K25</f>
        <v>-4.8888888888888871E-2</v>
      </c>
      <c r="O22" s="253"/>
      <c r="P22" s="344"/>
      <c r="Q22" s="184"/>
      <c r="R22" s="185"/>
      <c r="S22" s="184"/>
      <c r="T22" s="185"/>
      <c r="U22" s="136" t="s">
        <v>21</v>
      </c>
      <c r="V22" s="133" t="s">
        <v>21</v>
      </c>
      <c r="W22" s="136" t="s">
        <v>21</v>
      </c>
      <c r="X22" s="140" t="s">
        <v>21</v>
      </c>
      <c r="Y22" s="106"/>
    </row>
    <row r="23" spans="1:25" ht="15" customHeight="1" x14ac:dyDescent="0.35">
      <c r="A23" s="108">
        <v>4</v>
      </c>
      <c r="B23" s="1104"/>
      <c r="C23" s="1188"/>
      <c r="D23" s="1176"/>
      <c r="E23" s="299" t="s">
        <v>15</v>
      </c>
      <c r="F23" s="300" t="s">
        <v>60</v>
      </c>
      <c r="G23" s="301">
        <f>'2021'!G26-'2020'!G26</f>
        <v>-2</v>
      </c>
      <c r="H23" s="337">
        <f>IF('2021'!G26=0,0,IF('2020'!G26=0,0,'2021'!G26/'2020'!G26-1))</f>
        <v>-0.11111111111111116</v>
      </c>
      <c r="I23" s="328">
        <f>'2021'!H26-'2020'!H26</f>
        <v>0</v>
      </c>
      <c r="J23" s="344">
        <f>IF(I23=0,0,'2021'!H26/'2020'!H26-1)</f>
        <v>0</v>
      </c>
      <c r="K23" s="253">
        <f>'2021'!J26-'2020'!J26</f>
        <v>-4</v>
      </c>
      <c r="L23" s="344">
        <f>'2021'!I26-'2020'!I26</f>
        <v>-0.1875</v>
      </c>
      <c r="M23" s="253">
        <f>'2021'!L26-'2020'!L26</f>
        <v>0</v>
      </c>
      <c r="N23" s="344">
        <f>'2021'!K26-'2020'!K26</f>
        <v>2.0833333333333343E-2</v>
      </c>
      <c r="O23" s="253"/>
      <c r="P23" s="344"/>
      <c r="Q23" s="184"/>
      <c r="R23" s="185"/>
      <c r="S23" s="184"/>
      <c r="T23" s="185"/>
      <c r="U23" s="136" t="s">
        <v>21</v>
      </c>
      <c r="V23" s="133" t="s">
        <v>21</v>
      </c>
      <c r="W23" s="136" t="s">
        <v>21</v>
      </c>
      <c r="X23" s="140" t="s">
        <v>21</v>
      </c>
      <c r="Y23" s="106"/>
    </row>
    <row r="24" spans="1:25" ht="15" customHeight="1" x14ac:dyDescent="0.35">
      <c r="A24" s="108">
        <v>5</v>
      </c>
      <c r="B24" s="1104"/>
      <c r="C24" s="1188"/>
      <c r="D24" s="1176"/>
      <c r="E24" s="299" t="s">
        <v>140</v>
      </c>
      <c r="F24" s="300"/>
      <c r="G24" s="301"/>
      <c r="H24" s="337"/>
      <c r="I24" s="328"/>
      <c r="J24" s="344"/>
      <c r="K24" s="253"/>
      <c r="L24" s="344">
        <f>'2021'!I27-'2020'!I27</f>
        <v>-0.2857142857142857</v>
      </c>
      <c r="M24" s="253"/>
      <c r="N24" s="344">
        <f>'2021'!K27-'2020'!K27</f>
        <v>1.1904761904761918E-2</v>
      </c>
      <c r="O24" s="253"/>
      <c r="P24" s="344"/>
      <c r="Q24" s="184"/>
      <c r="R24" s="185"/>
      <c r="S24" s="184"/>
      <c r="T24" s="185"/>
      <c r="U24" s="136"/>
      <c r="V24" s="133"/>
      <c r="W24" s="136"/>
      <c r="X24" s="140"/>
      <c r="Y24" s="106"/>
    </row>
    <row r="25" spans="1:25" ht="15" customHeight="1" x14ac:dyDescent="0.35">
      <c r="A25" s="108">
        <v>6</v>
      </c>
      <c r="B25" s="1104"/>
      <c r="C25" s="1188"/>
      <c r="D25" s="1176"/>
      <c r="E25" s="299" t="s">
        <v>16</v>
      </c>
      <c r="F25" s="300" t="s">
        <v>60</v>
      </c>
      <c r="G25" s="301">
        <f>'2021'!G28-'2020'!G28</f>
        <v>-1</v>
      </c>
      <c r="H25" s="337">
        <f>IF('2021'!G28=0,0,IF('2020'!G28=0,0,'2021'!G28/'2020'!G28-1))</f>
        <v>-7.1428571428571397E-2</v>
      </c>
      <c r="I25" s="328">
        <f>'2021'!H28-'2020'!H28</f>
        <v>-1</v>
      </c>
      <c r="J25" s="344">
        <f>IF(I25=0,0,'2021'!H28/'2020'!H28-1)</f>
        <v>-0.11111111111111116</v>
      </c>
      <c r="K25" s="253">
        <f>'2021'!J28-'2020'!J28</f>
        <v>6</v>
      </c>
      <c r="L25" s="344">
        <f>'2021'!I28-'2020'!I28</f>
        <v>0.46703296703296704</v>
      </c>
      <c r="M25" s="253">
        <f>'2021'!L28-'2020'!L28</f>
        <v>5</v>
      </c>
      <c r="N25" s="344">
        <f>'2021'!K28-'2020'!K28</f>
        <v>0.39010989010989017</v>
      </c>
      <c r="O25" s="253"/>
      <c r="P25" s="344"/>
      <c r="Q25" s="184"/>
      <c r="R25" s="185"/>
      <c r="S25" s="184"/>
      <c r="T25" s="185"/>
      <c r="U25" s="136" t="s">
        <v>21</v>
      </c>
      <c r="V25" s="133" t="s">
        <v>21</v>
      </c>
      <c r="W25" s="136" t="s">
        <v>21</v>
      </c>
      <c r="X25" s="140" t="s">
        <v>21</v>
      </c>
      <c r="Y25" s="106"/>
    </row>
    <row r="26" spans="1:25" ht="15" customHeight="1" x14ac:dyDescent="0.35">
      <c r="A26" s="108">
        <v>7</v>
      </c>
      <c r="B26" s="1104"/>
      <c r="C26" s="1188"/>
      <c r="D26" s="1176"/>
      <c r="E26" s="299" t="s">
        <v>17</v>
      </c>
      <c r="F26" s="300" t="s">
        <v>60</v>
      </c>
      <c r="G26" s="301">
        <f>'2021'!G29-'2020'!G29</f>
        <v>0</v>
      </c>
      <c r="H26" s="337">
        <f>IF('2021'!G29=0,0,IF('2020'!G29=0,0,'2021'!G29/'2020'!G29-1))</f>
        <v>0</v>
      </c>
      <c r="I26" s="328">
        <f>'2021'!H29-'2020'!H29</f>
        <v>4</v>
      </c>
      <c r="J26" s="344">
        <f>IF(I26=0,0,'2021'!H29/'2020'!H29-1)</f>
        <v>0.25</v>
      </c>
      <c r="K26" s="253">
        <f>'2021'!J29-'2020'!J29</f>
        <v>6</v>
      </c>
      <c r="L26" s="344">
        <f>'2021'!I29-'2020'!I29</f>
        <v>0.25</v>
      </c>
      <c r="M26" s="253">
        <f>'2021'!L29-'2020'!L29</f>
        <v>2</v>
      </c>
      <c r="N26" s="344">
        <f>'2021'!K29-'2020'!K29</f>
        <v>8.3333333333333343E-2</v>
      </c>
      <c r="O26" s="253"/>
      <c r="P26" s="344"/>
      <c r="Q26" s="184"/>
      <c r="R26" s="185"/>
      <c r="S26" s="184"/>
      <c r="T26" s="185"/>
      <c r="U26" s="136" t="s">
        <v>21</v>
      </c>
      <c r="V26" s="133" t="s">
        <v>21</v>
      </c>
      <c r="W26" s="136" t="s">
        <v>21</v>
      </c>
      <c r="X26" s="140" t="s">
        <v>21</v>
      </c>
      <c r="Y26" s="106"/>
    </row>
    <row r="27" spans="1:25" ht="15" customHeight="1" x14ac:dyDescent="0.35">
      <c r="A27" s="108">
        <v>8</v>
      </c>
      <c r="B27" s="1104"/>
      <c r="C27" s="1188"/>
      <c r="D27" s="1176"/>
      <c r="E27" s="299" t="s">
        <v>18</v>
      </c>
      <c r="F27" s="300" t="s">
        <v>60</v>
      </c>
      <c r="G27" s="301">
        <f>'2021'!G30-'2020'!G30</f>
        <v>4</v>
      </c>
      <c r="H27" s="337">
        <f>IF('2021'!G30=0,0,IF('2020'!G30=0,0,'2021'!G30/'2020'!G30-1))</f>
        <v>0.13793103448275867</v>
      </c>
      <c r="I27" s="328">
        <f>'2021'!H30-'2020'!H30</f>
        <v>4</v>
      </c>
      <c r="J27" s="344">
        <f>IF(I27=0,0,'2021'!H30/'2020'!H30-1)</f>
        <v>0.19047619047619047</v>
      </c>
      <c r="K27" s="253">
        <f>'2021'!J30-'2020'!J30</f>
        <v>0</v>
      </c>
      <c r="L27" s="344">
        <f>'2021'!I30-'2020'!I30</f>
        <v>0</v>
      </c>
      <c r="M27" s="253">
        <f>'2021'!L30-'2020'!L30</f>
        <v>-5</v>
      </c>
      <c r="N27" s="344">
        <f>'2021'!K30-'2020'!K30</f>
        <v>-0.20167189132706373</v>
      </c>
      <c r="O27" s="253"/>
      <c r="P27" s="344"/>
      <c r="Q27" s="184"/>
      <c r="R27" s="185"/>
      <c r="S27" s="184"/>
      <c r="T27" s="185"/>
      <c r="U27" s="136" t="s">
        <v>21</v>
      </c>
      <c r="V27" s="133" t="s">
        <v>21</v>
      </c>
      <c r="W27" s="136" t="s">
        <v>21</v>
      </c>
      <c r="X27" s="140" t="s">
        <v>21</v>
      </c>
      <c r="Y27" s="106"/>
    </row>
    <row r="28" spans="1:25" ht="15" customHeight="1" x14ac:dyDescent="0.35">
      <c r="A28" s="108">
        <v>9</v>
      </c>
      <c r="B28" s="1104"/>
      <c r="C28" s="1188"/>
      <c r="D28" s="1176"/>
      <c r="E28" s="299" t="s">
        <v>19</v>
      </c>
      <c r="F28" s="300" t="s">
        <v>60</v>
      </c>
      <c r="G28" s="301">
        <f>'2021'!G31-'2020'!G31</f>
        <v>5</v>
      </c>
      <c r="H28" s="337">
        <f>IF('2021'!G31=0,0,IF('2020'!G31=0,0,'2021'!G31/'2020'!G31-1))</f>
        <v>0.18518518518518512</v>
      </c>
      <c r="I28" s="328">
        <f>'2021'!H31-'2020'!H31</f>
        <v>0</v>
      </c>
      <c r="J28" s="344">
        <f>IF(I28=0,0,'2021'!H31/'2020'!H31-1)</f>
        <v>0</v>
      </c>
      <c r="K28" s="253">
        <f>'2021'!J31-'2020'!J31</f>
        <v>-2</v>
      </c>
      <c r="L28" s="344">
        <f>'2021'!I31-'2020'!I31</f>
        <v>-0.10300925925925924</v>
      </c>
      <c r="M28" s="253">
        <f>'2021'!L31-'2020'!L31</f>
        <v>-1</v>
      </c>
      <c r="N28" s="344">
        <f>'2021'!K31-'2020'!K31</f>
        <v>-0.10648148148148145</v>
      </c>
      <c r="O28" s="253"/>
      <c r="P28" s="344"/>
      <c r="Q28" s="184"/>
      <c r="R28" s="185"/>
      <c r="S28" s="184"/>
      <c r="T28" s="185"/>
      <c r="U28" s="136" t="s">
        <v>21</v>
      </c>
      <c r="V28" s="133" t="s">
        <v>21</v>
      </c>
      <c r="W28" s="136" t="s">
        <v>21</v>
      </c>
      <c r="X28" s="140" t="s">
        <v>21</v>
      </c>
      <c r="Y28" s="106"/>
    </row>
    <row r="29" spans="1:25" ht="15" customHeight="1" x14ac:dyDescent="0.35">
      <c r="B29" s="1104"/>
      <c r="C29" s="1188"/>
      <c r="D29" s="1176"/>
      <c r="E29" s="567"/>
      <c r="F29" s="568"/>
      <c r="G29" s="569"/>
      <c r="H29" s="570"/>
      <c r="I29" s="571"/>
      <c r="J29" s="572"/>
      <c r="K29" s="573"/>
      <c r="L29" s="572"/>
      <c r="M29" s="573"/>
      <c r="N29" s="572"/>
      <c r="O29" s="573"/>
      <c r="P29" s="572"/>
      <c r="Q29" s="574"/>
      <c r="R29" s="575"/>
      <c r="S29" s="574"/>
      <c r="T29" s="575"/>
      <c r="U29" s="576"/>
      <c r="V29" s="577"/>
      <c r="W29" s="576"/>
      <c r="X29" s="578"/>
      <c r="Y29" s="106"/>
    </row>
    <row r="30" spans="1:25" ht="15" customHeight="1" x14ac:dyDescent="0.35">
      <c r="B30" s="1104"/>
      <c r="C30" s="1188"/>
      <c r="D30" s="1176"/>
      <c r="E30" s="567"/>
      <c r="F30" s="568"/>
      <c r="G30" s="569"/>
      <c r="H30" s="570"/>
      <c r="I30" s="571"/>
      <c r="J30" s="572"/>
      <c r="K30" s="573"/>
      <c r="L30" s="572"/>
      <c r="M30" s="573"/>
      <c r="N30" s="572"/>
      <c r="O30" s="573"/>
      <c r="P30" s="572"/>
      <c r="Q30" s="574"/>
      <c r="R30" s="575"/>
      <c r="S30" s="574"/>
      <c r="T30" s="575"/>
      <c r="U30" s="576"/>
      <c r="V30" s="577"/>
      <c r="W30" s="576"/>
      <c r="X30" s="578"/>
      <c r="Y30" s="106"/>
    </row>
    <row r="31" spans="1:25" ht="15" customHeight="1" x14ac:dyDescent="0.35">
      <c r="A31" s="108">
        <v>10</v>
      </c>
      <c r="B31" s="1104"/>
      <c r="C31" s="1188"/>
      <c r="D31" s="1176"/>
      <c r="E31" s="302" t="s">
        <v>5</v>
      </c>
      <c r="F31" s="303" t="s">
        <v>60</v>
      </c>
      <c r="G31" s="304"/>
      <c r="H31" s="338"/>
      <c r="I31" s="329"/>
      <c r="J31" s="345"/>
      <c r="K31" s="254"/>
      <c r="L31" s="345"/>
      <c r="M31" s="254"/>
      <c r="N31" s="345"/>
      <c r="O31" s="254"/>
      <c r="P31" s="345"/>
      <c r="Q31" s="186"/>
      <c r="R31" s="187"/>
      <c r="S31" s="186"/>
      <c r="T31" s="187"/>
      <c r="U31" s="144"/>
      <c r="V31" s="141"/>
      <c r="W31" s="144"/>
      <c r="X31" s="175"/>
      <c r="Y31" s="106"/>
    </row>
    <row r="32" spans="1:25" ht="15.5" x14ac:dyDescent="0.35">
      <c r="B32" s="1104"/>
      <c r="C32" s="1189"/>
      <c r="D32" s="305" t="s">
        <v>138</v>
      </c>
      <c r="E32" s="306"/>
      <c r="F32" s="307"/>
      <c r="G32" s="308">
        <f>SUM(G21:G31)</f>
        <v>71</v>
      </c>
      <c r="H32" s="339">
        <f>G32/SUM('2020'!G24:G26,'2020'!G28:G31)</f>
        <v>0.42261904761904762</v>
      </c>
      <c r="I32" s="330">
        <f>SUM(I21:I31)</f>
        <v>48</v>
      </c>
      <c r="J32" s="346">
        <f>I32/SUM('2020'!H24:H26,'2020'!H28:H31)</f>
        <v>0.44036697247706424</v>
      </c>
      <c r="K32" s="257">
        <f>SUM(K21:K31)</f>
        <v>22</v>
      </c>
      <c r="L32" s="346">
        <f>K32/SUM('2020'!J24:J26,'2020'!J28:J31)</f>
        <v>0.55000000000000004</v>
      </c>
      <c r="M32" s="257">
        <f>SUM(M21:M31)</f>
        <v>24</v>
      </c>
      <c r="N32" s="346">
        <f>M32/SUM('2020'!L24:L26,'2020'!L28:L31)</f>
        <v>0.45283018867924529</v>
      </c>
      <c r="O32" s="257"/>
      <c r="P32" s="346"/>
      <c r="Q32" s="188"/>
      <c r="R32" s="189"/>
      <c r="S32" s="188"/>
      <c r="T32" s="189"/>
      <c r="U32" s="242"/>
      <c r="V32" s="243"/>
      <c r="W32" s="242"/>
      <c r="X32" s="244"/>
      <c r="Y32" s="106"/>
    </row>
    <row r="33" spans="1:25" x14ac:dyDescent="0.35">
      <c r="A33" s="108">
        <v>11</v>
      </c>
      <c r="B33" s="1033" t="s">
        <v>83</v>
      </c>
      <c r="C33" s="1026" t="s">
        <v>75</v>
      </c>
      <c r="D33" s="1164">
        <f>'2021'!D36-'2020'!D36</f>
        <v>0</v>
      </c>
      <c r="E33" s="296" t="s">
        <v>10</v>
      </c>
      <c r="F33" s="297" t="s">
        <v>60</v>
      </c>
      <c r="G33" s="298">
        <f>'2021'!G36-'2020'!G36</f>
        <v>9</v>
      </c>
      <c r="H33" s="336">
        <f>IF('2021'!G36=0,0,IF('2020'!G36=0,0,'2021'!G36/'2020'!G36-1))</f>
        <v>0.2432432432432432</v>
      </c>
      <c r="I33" s="327">
        <f>'2021'!H36-'2020'!H36</f>
        <v>9</v>
      </c>
      <c r="J33" s="343">
        <f>IF('2021'!H36=0,0,IF('2020'!H36=0,0,'2021'!H36/'2020'!H36-1))</f>
        <v>0.39130434782608692</v>
      </c>
      <c r="K33" s="252">
        <f>'2021'!J36-'2020'!J36</f>
        <v>15.94</v>
      </c>
      <c r="L33" s="343">
        <f>'2021'!I36-'2020'!I36</f>
        <v>0.27217391304347827</v>
      </c>
      <c r="M33" s="252">
        <f>'2021'!L36-'2020'!L36</f>
        <v>3.08</v>
      </c>
      <c r="N33" s="343">
        <f>'2021'!K36-'2020'!K36</f>
        <v>3.5652173913043483E-2</v>
      </c>
      <c r="O33" s="252">
        <f>IF('2020'!N36="-",0,'2021'!N36-'2020'!N36)</f>
        <v>3.08</v>
      </c>
      <c r="P33" s="343">
        <f>'2021'!M36-'2020'!M36</f>
        <v>0</v>
      </c>
      <c r="Q33" s="182"/>
      <c r="R33" s="183"/>
      <c r="S33" s="182"/>
      <c r="T33" s="183"/>
      <c r="U33" s="130" t="s">
        <v>21</v>
      </c>
      <c r="V33" s="127" t="s">
        <v>21</v>
      </c>
      <c r="W33" s="130" t="s">
        <v>21</v>
      </c>
      <c r="X33" s="152" t="s">
        <v>21</v>
      </c>
      <c r="Y33" s="106"/>
    </row>
    <row r="34" spans="1:25" x14ac:dyDescent="0.35">
      <c r="A34" s="108">
        <v>12</v>
      </c>
      <c r="B34" s="1034"/>
      <c r="C34" s="1027"/>
      <c r="D34" s="1164"/>
      <c r="E34" s="299" t="s">
        <v>11</v>
      </c>
      <c r="F34" s="300" t="s">
        <v>60</v>
      </c>
      <c r="G34" s="301">
        <f>'2021'!G37-'2020'!G37</f>
        <v>-5</v>
      </c>
      <c r="H34" s="337">
        <f>IF('2021'!G37=0,0,IF('2020'!G37=0,0,'2021'!G37/'2020'!G37-1))</f>
        <v>-0.15151515151515149</v>
      </c>
      <c r="I34" s="328">
        <f>'2021'!H37-'2020'!H37</f>
        <v>2</v>
      </c>
      <c r="J34" s="344">
        <f>IF(I34=0,0,'2021'!H37/'2020'!H37-1)</f>
        <v>0.1333333333333333</v>
      </c>
      <c r="K34" s="253">
        <f>'2021'!J37-'2020'!J37</f>
        <v>8.1</v>
      </c>
      <c r="L34" s="344">
        <f>'2021'!I37-'2020'!I37</f>
        <v>0.34285714285714292</v>
      </c>
      <c r="M34" s="253">
        <f>'2021'!L37-'2020'!L37</f>
        <v>6.03</v>
      </c>
      <c r="N34" s="344">
        <f>'2021'!K37-'2020'!K37</f>
        <v>0.23142857142857146</v>
      </c>
      <c r="O34" s="253">
        <f>IF('2020'!N37="-",0,'2021'!N37-'2020'!N37)</f>
        <v>4.03</v>
      </c>
      <c r="P34" s="344">
        <f>'2021'!M37-'2020'!M37</f>
        <v>-0.22222222222222221</v>
      </c>
      <c r="Q34" s="184"/>
      <c r="R34" s="185"/>
      <c r="S34" s="184"/>
      <c r="T34" s="185"/>
      <c r="U34" s="136" t="s">
        <v>21</v>
      </c>
      <c r="V34" s="133" t="s">
        <v>21</v>
      </c>
      <c r="W34" s="136" t="s">
        <v>21</v>
      </c>
      <c r="X34" s="140" t="s">
        <v>21</v>
      </c>
      <c r="Y34" s="106"/>
    </row>
    <row r="35" spans="1:25" x14ac:dyDescent="0.35">
      <c r="A35" s="108">
        <v>13</v>
      </c>
      <c r="B35" s="1034"/>
      <c r="C35" s="1027"/>
      <c r="D35" s="1164"/>
      <c r="E35" s="299" t="s">
        <v>12</v>
      </c>
      <c r="F35" s="300" t="s">
        <v>60</v>
      </c>
      <c r="G35" s="301">
        <f>'2021'!G38-'2020'!G38</f>
        <v>-1</v>
      </c>
      <c r="H35" s="337">
        <f>IF('2021'!G38=0,0,IF('2020'!G38=0,0,'2021'!G38/'2020'!G38-1))</f>
        <v>-0.16666666666666663</v>
      </c>
      <c r="I35" s="328">
        <f>'2021'!H38-'2020'!H38</f>
        <v>0</v>
      </c>
      <c r="J35" s="344">
        <f>IF(I35=0,0,'2021'!H38/'2020'!H38-1)</f>
        <v>0</v>
      </c>
      <c r="K35" s="253">
        <f>'2021'!J38-'2020'!J38</f>
        <v>3</v>
      </c>
      <c r="L35" s="344">
        <f>'2021'!I38-'2020'!I38</f>
        <v>0.6</v>
      </c>
      <c r="M35" s="253">
        <f>'2021'!L38-'2020'!L38</f>
        <v>1</v>
      </c>
      <c r="N35" s="344">
        <f>'2021'!K38-'2020'!K38</f>
        <v>0.2</v>
      </c>
      <c r="O35" s="253">
        <f>IF('2020'!N38="-",0,'2021'!N38-'2020'!N38)</f>
        <v>1</v>
      </c>
      <c r="P35" s="344">
        <f>'2021'!M38-'2020'!M38</f>
        <v>1</v>
      </c>
      <c r="Q35" s="184"/>
      <c r="R35" s="185"/>
      <c r="S35" s="184"/>
      <c r="T35" s="185"/>
      <c r="U35" s="136" t="s">
        <v>21</v>
      </c>
      <c r="V35" s="133" t="s">
        <v>21</v>
      </c>
      <c r="W35" s="136" t="s">
        <v>21</v>
      </c>
      <c r="X35" s="140" t="s">
        <v>21</v>
      </c>
      <c r="Y35" s="106"/>
    </row>
    <row r="36" spans="1:25" x14ac:dyDescent="0.35">
      <c r="A36" s="108">
        <v>14</v>
      </c>
      <c r="B36" s="1034"/>
      <c r="C36" s="1027"/>
      <c r="D36" s="1164"/>
      <c r="E36" s="299" t="s">
        <v>7</v>
      </c>
      <c r="F36" s="300" t="s">
        <v>60</v>
      </c>
      <c r="G36" s="301">
        <f>'2021'!G39-'2020'!G39</f>
        <v>20</v>
      </c>
      <c r="H36" s="337">
        <f>IF('2021'!G39=0,0,IF('2020'!G39=0,0,'2021'!G39/'2020'!G39-1))</f>
        <v>0.8</v>
      </c>
      <c r="I36" s="328">
        <f>'2021'!H39-'2020'!H39</f>
        <v>11</v>
      </c>
      <c r="J36" s="344">
        <f>IF(I36=0,0,'2021'!H39/'2020'!H39-1)</f>
        <v>0.73333333333333339</v>
      </c>
      <c r="K36" s="253">
        <f>'2021'!J39-'2020'!J39</f>
        <v>4.9999999999999991</v>
      </c>
      <c r="L36" s="344">
        <f>'2021'!I39-'2020'!I39</f>
        <v>-1.3333333333333364E-2</v>
      </c>
      <c r="M36" s="253">
        <f>'2021'!L39-'2020'!L39</f>
        <v>8</v>
      </c>
      <c r="N36" s="344">
        <f>'2021'!K39-'2020'!K39</f>
        <v>0.10666666666666666</v>
      </c>
      <c r="O36" s="253">
        <f>IF('2020'!N39="-",0,'2021'!N39-'2020'!N39)</f>
        <v>2</v>
      </c>
      <c r="P36" s="344">
        <f>'2021'!M39-'2020'!M39</f>
        <v>0</v>
      </c>
      <c r="Q36" s="184"/>
      <c r="R36" s="185"/>
      <c r="S36" s="184"/>
      <c r="T36" s="185"/>
      <c r="U36" s="136" t="s">
        <v>21</v>
      </c>
      <c r="V36" s="133" t="s">
        <v>21</v>
      </c>
      <c r="W36" s="136" t="s">
        <v>21</v>
      </c>
      <c r="X36" s="140" t="s">
        <v>21</v>
      </c>
      <c r="Y36" s="106"/>
    </row>
    <row r="37" spans="1:25" x14ac:dyDescent="0.35">
      <c r="A37" s="108">
        <v>15</v>
      </c>
      <c r="B37" s="1034"/>
      <c r="C37" s="1027"/>
      <c r="D37" s="1164"/>
      <c r="E37" s="299" t="s">
        <v>132</v>
      </c>
      <c r="F37" s="300" t="s">
        <v>60</v>
      </c>
      <c r="G37" s="301">
        <f>'2021'!G40-'2020'!G40</f>
        <v>-1</v>
      </c>
      <c r="H37" s="337">
        <f>IF('2021'!G40=0,0,IF('2020'!G40=0,0,'2021'!G40/'2020'!G40-1))</f>
        <v>-6.6666666666666652E-2</v>
      </c>
      <c r="I37" s="328">
        <f>'2021'!H40-'2020'!H40</f>
        <v>0</v>
      </c>
      <c r="J37" s="344">
        <f>IF(I37=0,0,'2021'!H40/'2020'!H40-1)</f>
        <v>0</v>
      </c>
      <c r="K37" s="253">
        <f>'2021'!J40-'2020'!J40</f>
        <v>1.0499999999999998</v>
      </c>
      <c r="L37" s="344">
        <f>'2021'!I40-'2020'!I40</f>
        <v>8.4285714285714269E-2</v>
      </c>
      <c r="M37" s="253">
        <f>'2021'!L40-'2020'!L40</f>
        <v>0.95</v>
      </c>
      <c r="N37" s="344">
        <f>'2021'!K40-'2020'!K40</f>
        <v>7.2857142857142843E-2</v>
      </c>
      <c r="O37" s="253">
        <f>IF('2020'!N40="-",0,'2021'!N40-'2020'!N40)</f>
        <v>1</v>
      </c>
      <c r="P37" s="344">
        <f>'2021'!M40-'2020'!M40</f>
        <v>0.5</v>
      </c>
      <c r="Q37" s="184"/>
      <c r="R37" s="185"/>
      <c r="S37" s="184"/>
      <c r="T37" s="185"/>
      <c r="U37" s="136" t="s">
        <v>21</v>
      </c>
      <c r="V37" s="133" t="s">
        <v>21</v>
      </c>
      <c r="W37" s="136" t="s">
        <v>21</v>
      </c>
      <c r="X37" s="140" t="s">
        <v>21</v>
      </c>
      <c r="Y37" s="106"/>
    </row>
    <row r="38" spans="1:25" x14ac:dyDescent="0.35">
      <c r="A38" s="108">
        <v>16</v>
      </c>
      <c r="B38" s="1034"/>
      <c r="C38" s="1027"/>
      <c r="D38" s="1164"/>
      <c r="E38" s="299" t="s">
        <v>8</v>
      </c>
      <c r="F38" s="300" t="s">
        <v>60</v>
      </c>
      <c r="G38" s="301">
        <f>'2021'!G41-'2020'!G41</f>
        <v>15</v>
      </c>
      <c r="H38" s="337">
        <f>IF('2021'!G41=0,0,IF('2020'!G41=0,0,'2021'!G41/'2020'!G41-1))</f>
        <v>0.9375</v>
      </c>
      <c r="I38" s="328">
        <f>'2021'!H41-'2020'!H41</f>
        <v>9</v>
      </c>
      <c r="J38" s="344">
        <f>IF(I38=0,0,'2021'!H41/'2020'!H41-1)</f>
        <v>0.64285714285714279</v>
      </c>
      <c r="K38" s="253">
        <f>'2021'!J41-'2020'!J41</f>
        <v>10.92</v>
      </c>
      <c r="L38" s="344">
        <f>'2021'!I41-'2020'!I41</f>
        <v>0.1683870967741935</v>
      </c>
      <c r="M38" s="253">
        <f>'2021'!L41-'2020'!L41</f>
        <v>2.92</v>
      </c>
      <c r="N38" s="344">
        <f>'2021'!K41-'2020'!K41</f>
        <v>3.1290322580645152E-2</v>
      </c>
      <c r="O38" s="253">
        <f>IF('2020'!N41="-",0,'2021'!N41-'2020'!N41)</f>
        <v>2.92</v>
      </c>
      <c r="P38" s="344">
        <f>'2021'!M41-'2020'!M41</f>
        <v>0</v>
      </c>
      <c r="Q38" s="184"/>
      <c r="R38" s="185"/>
      <c r="S38" s="184"/>
      <c r="T38" s="185"/>
      <c r="U38" s="136" t="s">
        <v>21</v>
      </c>
      <c r="V38" s="133" t="s">
        <v>21</v>
      </c>
      <c r="W38" s="136" t="s">
        <v>21</v>
      </c>
      <c r="X38" s="140" t="s">
        <v>21</v>
      </c>
      <c r="Y38" s="106"/>
    </row>
    <row r="39" spans="1:25" x14ac:dyDescent="0.35">
      <c r="A39" s="108">
        <v>17</v>
      </c>
      <c r="B39" s="1034"/>
      <c r="C39" s="1027"/>
      <c r="D39" s="1164"/>
      <c r="E39" s="299" t="s">
        <v>6</v>
      </c>
      <c r="F39" s="300" t="s">
        <v>60</v>
      </c>
      <c r="G39" s="301">
        <f>'2021'!G42-'2020'!G42</f>
        <v>5</v>
      </c>
      <c r="H39" s="337">
        <f>IF('2021'!G42=0,0,IF('2020'!G42=0,0,'2021'!G42/'2020'!G42-1))</f>
        <v>0.71428571428571419</v>
      </c>
      <c r="I39" s="328">
        <f>'2021'!H42-'2020'!H42</f>
        <v>2</v>
      </c>
      <c r="J39" s="344">
        <f>IF(I39=0,0,'2021'!H42/'2020'!H42-1)</f>
        <v>0.39999999999999991</v>
      </c>
      <c r="K39" s="253">
        <f>'2021'!J42-'2020'!J42</f>
        <v>3.02</v>
      </c>
      <c r="L39" s="344">
        <f>'2021'!I42-'2020'!I42</f>
        <v>0.1933333333333333</v>
      </c>
      <c r="M39" s="253">
        <f>'2021'!L42-'2020'!L42</f>
        <v>4</v>
      </c>
      <c r="N39" s="344">
        <f>'2021'!K42-'2020'!K42</f>
        <v>0.33333333333333331</v>
      </c>
      <c r="O39" s="253">
        <f>IF('2020'!N42="-",0,'2021'!N42-'2020'!N42)</f>
        <v>2</v>
      </c>
      <c r="P39" s="344">
        <f>'2021'!M42-'2020'!M42</f>
        <v>0.5</v>
      </c>
      <c r="Q39" s="184"/>
      <c r="R39" s="185"/>
      <c r="S39" s="184"/>
      <c r="T39" s="185"/>
      <c r="U39" s="136" t="s">
        <v>21</v>
      </c>
      <c r="V39" s="133" t="s">
        <v>21</v>
      </c>
      <c r="W39" s="136" t="s">
        <v>21</v>
      </c>
      <c r="X39" s="140" t="s">
        <v>21</v>
      </c>
      <c r="Y39" s="106"/>
    </row>
    <row r="40" spans="1:25" x14ac:dyDescent="0.35">
      <c r="B40" s="1034"/>
      <c r="C40" s="1027"/>
      <c r="D40" s="1164"/>
      <c r="E40" s="567"/>
      <c r="F40" s="568"/>
      <c r="G40" s="569"/>
      <c r="H40" s="570"/>
      <c r="I40" s="571"/>
      <c r="J40" s="572"/>
      <c r="K40" s="573"/>
      <c r="L40" s="572"/>
      <c r="M40" s="573"/>
      <c r="N40" s="572"/>
      <c r="O40" s="573"/>
      <c r="P40" s="572"/>
      <c r="Q40" s="574"/>
      <c r="R40" s="575"/>
      <c r="S40" s="574"/>
      <c r="T40" s="575"/>
      <c r="U40" s="576"/>
      <c r="V40" s="577"/>
      <c r="W40" s="576"/>
      <c r="X40" s="578"/>
      <c r="Y40" s="106"/>
    </row>
    <row r="41" spans="1:25" x14ac:dyDescent="0.35">
      <c r="B41" s="1034"/>
      <c r="C41" s="1027"/>
      <c r="D41" s="1164"/>
      <c r="E41" s="567"/>
      <c r="F41" s="568"/>
      <c r="G41" s="569"/>
      <c r="H41" s="570"/>
      <c r="I41" s="571"/>
      <c r="J41" s="572"/>
      <c r="K41" s="573"/>
      <c r="L41" s="572"/>
      <c r="M41" s="573"/>
      <c r="N41" s="572"/>
      <c r="O41" s="573"/>
      <c r="P41" s="572"/>
      <c r="Q41" s="574"/>
      <c r="R41" s="575"/>
      <c r="S41" s="574"/>
      <c r="T41" s="575"/>
      <c r="U41" s="576"/>
      <c r="V41" s="577"/>
      <c r="W41" s="576"/>
      <c r="X41" s="578"/>
      <c r="Y41" s="106"/>
    </row>
    <row r="42" spans="1:25" x14ac:dyDescent="0.35">
      <c r="A42" s="108">
        <v>18</v>
      </c>
      <c r="B42" s="1034"/>
      <c r="C42" s="1027"/>
      <c r="D42" s="1164"/>
      <c r="E42" s="302" t="s">
        <v>9</v>
      </c>
      <c r="F42" s="303" t="s">
        <v>60</v>
      </c>
      <c r="G42" s="304">
        <f>'2021'!G46-'2020'!G46</f>
        <v>-3</v>
      </c>
      <c r="H42" s="338">
        <f>IF('2021'!G46=0,0,IF('2020'!G46=0,0,'2021'!G46/'2020'!G46-1))</f>
        <v>-0.15000000000000002</v>
      </c>
      <c r="I42" s="329">
        <f>'2021'!H46-'2020'!H46</f>
        <v>0</v>
      </c>
      <c r="J42" s="345">
        <f>IF(I42=0,0,'2021'!H46/'2020'!H46-1)</f>
        <v>0</v>
      </c>
      <c r="K42" s="254">
        <f>'2021'!J46-'2020'!J46</f>
        <v>2</v>
      </c>
      <c r="L42" s="345">
        <f>'2021'!I46-'2020'!I46</f>
        <v>0.16176470588235292</v>
      </c>
      <c r="M42" s="254">
        <f>'2021'!L46-'2020'!L46</f>
        <v>1</v>
      </c>
      <c r="N42" s="345">
        <f>'2021'!K46-'2020'!K46</f>
        <v>8.5294117647058826E-2</v>
      </c>
      <c r="O42" s="254">
        <f>IF('2020'!N46="-",0,'2021'!N46-'2020'!N46)</f>
        <v>1.0000000000000009E-2</v>
      </c>
      <c r="P42" s="345">
        <f>'2021'!M46-'2020'!M46</f>
        <v>-8.0000000000000016E-2</v>
      </c>
      <c r="Q42" s="186"/>
      <c r="R42" s="187"/>
      <c r="S42" s="186"/>
      <c r="T42" s="187"/>
      <c r="U42" s="144" t="s">
        <v>21</v>
      </c>
      <c r="V42" s="141" t="s">
        <v>21</v>
      </c>
      <c r="W42" s="144" t="s">
        <v>21</v>
      </c>
      <c r="X42" s="175" t="s">
        <v>21</v>
      </c>
      <c r="Y42" s="106"/>
    </row>
    <row r="43" spans="1:25" ht="16" thickBot="1" x14ac:dyDescent="0.4">
      <c r="B43" s="1058"/>
      <c r="C43" s="1062"/>
      <c r="D43" s="309" t="s">
        <v>138</v>
      </c>
      <c r="E43" s="310"/>
      <c r="F43" s="311"/>
      <c r="G43" s="308">
        <f>SUM(G33:G42)</f>
        <v>39</v>
      </c>
      <c r="H43" s="339">
        <f>G43/SUM('2020'!G36:G46)</f>
        <v>0.24528301886792453</v>
      </c>
      <c r="I43" s="330">
        <f>SUM(I33:I42)</f>
        <v>33</v>
      </c>
      <c r="J43" s="346">
        <f>I43/SUM('2020'!H36:H46)</f>
        <v>0.3473684210526316</v>
      </c>
      <c r="K43" s="257">
        <f>SUM(K33:K42)</f>
        <v>49.03</v>
      </c>
      <c r="L43" s="346">
        <f>K43/SUM('2020'!J36:J46)</f>
        <v>1.0902824104958861</v>
      </c>
      <c r="M43" s="257">
        <f>SUM(M33:M42)</f>
        <v>26.979999999999997</v>
      </c>
      <c r="N43" s="346">
        <f>M43/SUM('2020'!L36:L46)</f>
        <v>1.41850683491062</v>
      </c>
      <c r="O43" s="257">
        <f>SUM(O33:O42)</f>
        <v>16.040000000000003</v>
      </c>
      <c r="P43" s="346">
        <f>O43/SUM('2020'!N36:N46)</f>
        <v>1.2376543209876545</v>
      </c>
      <c r="Q43" s="251"/>
      <c r="R43" s="258"/>
      <c r="S43" s="251"/>
      <c r="T43" s="258"/>
      <c r="U43" s="259"/>
      <c r="V43" s="260"/>
      <c r="W43" s="259"/>
      <c r="X43" s="261"/>
      <c r="Y43" s="106"/>
    </row>
    <row r="44" spans="1:25" s="53" customFormat="1" ht="21" customHeight="1" thickBot="1" x14ac:dyDescent="0.4">
      <c r="A44" s="110"/>
      <c r="B44" s="218" t="s">
        <v>78</v>
      </c>
      <c r="C44" s="219"/>
      <c r="D44" s="313">
        <f>SUM(D5:D42)</f>
        <v>11</v>
      </c>
      <c r="E44" s="314">
        <f>COUNT(A5:A43)</f>
        <v>28</v>
      </c>
      <c r="F44" s="315">
        <f>COUNT(K5:K42)</f>
        <v>30</v>
      </c>
      <c r="G44" s="316">
        <f>G5+G32+G43</f>
        <v>149</v>
      </c>
      <c r="H44" s="341">
        <f>G44/'2020'!G48</f>
        <v>0.37817258883248733</v>
      </c>
      <c r="I44" s="332">
        <f>I5+I32+I43</f>
        <v>146</v>
      </c>
      <c r="J44" s="348">
        <f>I44/'2020'!H48</f>
        <v>0.62127659574468086</v>
      </c>
      <c r="K44" s="262">
        <f>K5+K32+K43</f>
        <v>71.03</v>
      </c>
      <c r="L44" s="487">
        <f>K44/'2020'!J48</f>
        <v>0.79835899741485894</v>
      </c>
      <c r="M44" s="262">
        <f>M5+M32+M43</f>
        <v>51.98</v>
      </c>
      <c r="N44" s="487">
        <f>M44/'2020'!L48</f>
        <v>0.58391372725230273</v>
      </c>
      <c r="O44" s="262">
        <f>O5+O32+O43</f>
        <v>16.040000000000003</v>
      </c>
      <c r="P44" s="348">
        <f>O44/'2020'!N48</f>
        <v>1.072192513368984</v>
      </c>
      <c r="Q44" s="263"/>
      <c r="R44" s="264"/>
      <c r="S44" s="263"/>
      <c r="T44" s="264"/>
      <c r="U44" s="265"/>
      <c r="V44" s="266"/>
      <c r="W44" s="265"/>
      <c r="X44" s="267"/>
      <c r="Y44" s="107"/>
    </row>
    <row r="45" spans="1:25" ht="15" customHeight="1" x14ac:dyDescent="0.35">
      <c r="A45" s="108">
        <v>19</v>
      </c>
      <c r="B45" s="1020" t="s">
        <v>84</v>
      </c>
      <c r="C45" s="1023" t="s">
        <v>76</v>
      </c>
      <c r="D45" s="1190">
        <f>'2021'!D49-'2020'!D49</f>
        <v>-25</v>
      </c>
      <c r="E45" s="296" t="s">
        <v>25</v>
      </c>
      <c r="F45" s="297" t="s">
        <v>60</v>
      </c>
      <c r="G45" s="298"/>
      <c r="H45" s="336"/>
      <c r="I45" s="327"/>
      <c r="J45" s="343"/>
      <c r="K45" s="252"/>
      <c r="L45" s="343"/>
      <c r="M45" s="252"/>
      <c r="N45" s="343"/>
      <c r="O45" s="252"/>
      <c r="P45" s="343"/>
      <c r="Q45" s="268"/>
      <c r="R45" s="269"/>
      <c r="S45" s="268"/>
      <c r="T45" s="269"/>
      <c r="U45" s="270"/>
      <c r="V45" s="230"/>
      <c r="W45" s="270"/>
      <c r="X45" s="271"/>
      <c r="Y45" s="106"/>
    </row>
    <row r="46" spans="1:25" ht="15" customHeight="1" x14ac:dyDescent="0.35">
      <c r="A46" s="108">
        <v>20</v>
      </c>
      <c r="B46" s="1021"/>
      <c r="C46" s="1024"/>
      <c r="D46" s="1164"/>
      <c r="E46" s="299" t="s">
        <v>26</v>
      </c>
      <c r="F46" s="300" t="s">
        <v>60</v>
      </c>
      <c r="G46" s="301"/>
      <c r="H46" s="337"/>
      <c r="I46" s="328"/>
      <c r="J46" s="344"/>
      <c r="K46" s="253"/>
      <c r="L46" s="344"/>
      <c r="M46" s="253"/>
      <c r="N46" s="344"/>
      <c r="O46" s="253"/>
      <c r="P46" s="344"/>
      <c r="Q46" s="184"/>
      <c r="R46" s="185"/>
      <c r="S46" s="184"/>
      <c r="T46" s="185"/>
      <c r="U46" s="137"/>
      <c r="V46" s="138"/>
      <c r="W46" s="137"/>
      <c r="X46" s="139"/>
      <c r="Y46" s="106"/>
    </row>
    <row r="47" spans="1:25" ht="15" customHeight="1" x14ac:dyDescent="0.35">
      <c r="A47" s="108">
        <v>21</v>
      </c>
      <c r="B47" s="1021"/>
      <c r="C47" s="1024"/>
      <c r="D47" s="1164"/>
      <c r="E47" s="299" t="s">
        <v>58</v>
      </c>
      <c r="F47" s="300" t="s">
        <v>60</v>
      </c>
      <c r="G47" s="301">
        <f>'2021'!G51-'2020'!G51</f>
        <v>6</v>
      </c>
      <c r="H47" s="337">
        <f>IF('2021'!G51=0,0,IF('2020'!G51=0,0,'2021'!G51/'2020'!G51-1))</f>
        <v>2.7027027027026973E-2</v>
      </c>
      <c r="I47" s="328">
        <f>'2021'!H51-'2020'!H51</f>
        <v>59</v>
      </c>
      <c r="J47" s="344">
        <f>IF(I47=0,0,'2021'!H51/'2020'!H51-1)</f>
        <v>0.89393939393939403</v>
      </c>
      <c r="K47" s="253">
        <f>'2021'!J51-'2020'!J51</f>
        <v>-47</v>
      </c>
      <c r="L47" s="344">
        <f>IF('2021'!J51=0,0,IF('2020'!J51=0,0,'2021'!J51/'2020'!J51-1))</f>
        <v>-0.34306569343065696</v>
      </c>
      <c r="M47" s="253">
        <f>'2021'!L51-'2020'!L51</f>
        <v>3</v>
      </c>
      <c r="N47" s="344">
        <f>IF('2021'!L51=0,0,IF('2020'!L51=0,0,'2021'!L51/'2020'!L51-1))</f>
        <v>3.4090909090909172E-2</v>
      </c>
      <c r="O47" s="253">
        <f>IF('2020'!N51="-",0,'2021'!N51-'2020'!N51)</f>
        <v>0</v>
      </c>
      <c r="P47" s="344">
        <f>IF('2021'!N51=0,0,IF('2020'!N51="-",0,'2021'!N51/'2020'!N51-1))</f>
        <v>0</v>
      </c>
      <c r="Q47" s="184"/>
      <c r="R47" s="185"/>
      <c r="S47" s="184"/>
      <c r="T47" s="185"/>
      <c r="U47" s="136" t="s">
        <v>21</v>
      </c>
      <c r="V47" s="133" t="s">
        <v>21</v>
      </c>
      <c r="W47" s="136" t="s">
        <v>21</v>
      </c>
      <c r="X47" s="140" t="s">
        <v>21</v>
      </c>
      <c r="Y47" s="106"/>
    </row>
    <row r="48" spans="1:25" ht="15" customHeight="1" x14ac:dyDescent="0.35">
      <c r="A48" s="108">
        <v>22</v>
      </c>
      <c r="B48" s="1021"/>
      <c r="C48" s="1024"/>
      <c r="D48" s="1164"/>
      <c r="E48" s="317" t="s">
        <v>24</v>
      </c>
      <c r="F48" s="318" t="s">
        <v>62</v>
      </c>
      <c r="G48" s="301">
        <f>'2021'!G52-'2020'!G52</f>
        <v>35</v>
      </c>
      <c r="H48" s="337">
        <f>IF('2021'!G52=0,0,IF('2020'!G52=0,0,'2021'!G52/'2020'!G52-1))</f>
        <v>0.33018867924528306</v>
      </c>
      <c r="I48" s="328">
        <f>'2021'!H52-'2020'!H52</f>
        <v>45</v>
      </c>
      <c r="J48" s="344">
        <f>IF(I48=0,0,'2021'!H52/'2020'!H52-1)</f>
        <v>1.2857142857142856</v>
      </c>
      <c r="K48" s="253">
        <f>'2021'!J52-'2020'!J52</f>
        <v>26</v>
      </c>
      <c r="L48" s="344">
        <f>IF('2021'!J52=0,0,IF('2020'!J52=0,0,'2021'!J52/'2020'!J52-1))</f>
        <v>0.66666666666666674</v>
      </c>
      <c r="M48" s="253">
        <f>'2021'!L52-'2020'!L52</f>
        <v>14</v>
      </c>
      <c r="N48" s="344">
        <f>IF('2021'!L52=0,0,IF('2020'!L52=0,0,'2021'!L52/'2020'!L52-1))</f>
        <v>0.29166666666666674</v>
      </c>
      <c r="O48" s="253">
        <f>IF('2020'!N52="-",0,'2021'!N52-'2020'!N52)</f>
        <v>0</v>
      </c>
      <c r="P48" s="344">
        <f>IF('2021'!N52=0,0,IF('2020'!N52="-",0,'2021'!N52/'2020'!N52-1))</f>
        <v>0</v>
      </c>
      <c r="Q48" s="184"/>
      <c r="R48" s="185"/>
      <c r="S48" s="184"/>
      <c r="T48" s="185"/>
      <c r="U48" s="137"/>
      <c r="V48" s="138"/>
      <c r="W48" s="137"/>
      <c r="X48" s="139"/>
      <c r="Y48" s="106"/>
    </row>
    <row r="49" spans="1:25" ht="15" customHeight="1" x14ac:dyDescent="0.35">
      <c r="A49" s="108">
        <v>23</v>
      </c>
      <c r="B49" s="1021"/>
      <c r="C49" s="1024"/>
      <c r="D49" s="1164"/>
      <c r="E49" s="299" t="s">
        <v>23</v>
      </c>
      <c r="F49" s="300" t="s">
        <v>60</v>
      </c>
      <c r="G49" s="301">
        <f>'2021'!G53-'2020'!G53</f>
        <v>28</v>
      </c>
      <c r="H49" s="337">
        <f>IF('2021'!G53=0,0,IF('2020'!G53=0,0,'2021'!G53/'2020'!G53-1))</f>
        <v>0.13592233009708732</v>
      </c>
      <c r="I49" s="328">
        <f>'2021'!H53-'2020'!H53</f>
        <v>57</v>
      </c>
      <c r="J49" s="344">
        <f>IF(I49=0,0,'2021'!H53/'2020'!H53-1)</f>
        <v>0.81428571428571428</v>
      </c>
      <c r="K49" s="253">
        <f>'2021'!J53-'2020'!J53</f>
        <v>12</v>
      </c>
      <c r="L49" s="344">
        <f>IF('2021'!J53=0,0,IF('2020'!J53=0,0,'2021'!J53/'2020'!J53-1))</f>
        <v>0.13793103448275867</v>
      </c>
      <c r="M49" s="253">
        <f>'2021'!L53-'2020'!L53</f>
        <v>29</v>
      </c>
      <c r="N49" s="344">
        <f>IF('2021'!L53=0,0,IF('2020'!L53=0,0,'2021'!L53/'2020'!L53-1))</f>
        <v>0.34939759036144569</v>
      </c>
      <c r="O49" s="253">
        <f>IF('2020'!N53="-",0,'2021'!N53-'2020'!N53)</f>
        <v>0</v>
      </c>
      <c r="P49" s="344">
        <f>IF('2021'!N53=0,0,IF('2020'!N53="-",0,'2021'!N53/'2020'!N53-1))</f>
        <v>0</v>
      </c>
      <c r="Q49" s="184"/>
      <c r="R49" s="185"/>
      <c r="S49" s="184"/>
      <c r="T49" s="185"/>
      <c r="U49" s="136" t="s">
        <v>21</v>
      </c>
      <c r="V49" s="133" t="s">
        <v>21</v>
      </c>
      <c r="W49" s="136" t="s">
        <v>21</v>
      </c>
      <c r="X49" s="140" t="s">
        <v>21</v>
      </c>
      <c r="Y49" s="106"/>
    </row>
    <row r="50" spans="1:25" ht="15" customHeight="1" x14ac:dyDescent="0.35">
      <c r="B50" s="1021"/>
      <c r="C50" s="1024"/>
      <c r="D50" s="1164"/>
      <c r="E50" s="567"/>
      <c r="F50" s="568"/>
      <c r="G50" s="569"/>
      <c r="H50" s="570"/>
      <c r="I50" s="571"/>
      <c r="J50" s="572"/>
      <c r="K50" s="573"/>
      <c r="L50" s="572"/>
      <c r="M50" s="573"/>
      <c r="N50" s="572"/>
      <c r="O50" s="573"/>
      <c r="P50" s="572"/>
      <c r="Q50" s="574"/>
      <c r="R50" s="575"/>
      <c r="S50" s="574"/>
      <c r="T50" s="575"/>
      <c r="U50" s="576"/>
      <c r="V50" s="577"/>
      <c r="W50" s="576"/>
      <c r="X50" s="578"/>
      <c r="Y50" s="106"/>
    </row>
    <row r="51" spans="1:25" ht="15" customHeight="1" x14ac:dyDescent="0.35">
      <c r="B51" s="1021"/>
      <c r="C51" s="1024"/>
      <c r="D51" s="1164"/>
      <c r="E51" s="567"/>
      <c r="F51" s="568"/>
      <c r="G51" s="569"/>
      <c r="H51" s="570"/>
      <c r="I51" s="571"/>
      <c r="J51" s="572"/>
      <c r="K51" s="573"/>
      <c r="L51" s="572"/>
      <c r="M51" s="573"/>
      <c r="N51" s="572"/>
      <c r="O51" s="573"/>
      <c r="P51" s="572"/>
      <c r="Q51" s="574"/>
      <c r="R51" s="575"/>
      <c r="S51" s="574"/>
      <c r="T51" s="575"/>
      <c r="U51" s="576"/>
      <c r="V51" s="577"/>
      <c r="W51" s="576"/>
      <c r="X51" s="578"/>
      <c r="Y51" s="106"/>
    </row>
    <row r="52" spans="1:25" ht="15" customHeight="1" x14ac:dyDescent="0.35">
      <c r="A52" s="108">
        <v>24</v>
      </c>
      <c r="B52" s="1021"/>
      <c r="C52" s="1024"/>
      <c r="D52" s="1164"/>
      <c r="E52" s="302" t="s">
        <v>22</v>
      </c>
      <c r="F52" s="303" t="s">
        <v>62</v>
      </c>
      <c r="G52" s="304">
        <f>'2021'!G56-'2020'!G56</f>
        <v>-16</v>
      </c>
      <c r="H52" s="338">
        <f>IF('2021'!G56=0,0,IF('2020'!G56=0,0,'2021'!G56/'2020'!G56-1))</f>
        <v>-9.2485549132947931E-2</v>
      </c>
      <c r="I52" s="329">
        <f>'2021'!H56-'2020'!H56</f>
        <v>20</v>
      </c>
      <c r="J52" s="345">
        <f>IF(I52=0,0,'2021'!H56/'2020'!H56-1)</f>
        <v>0.32258064516129026</v>
      </c>
      <c r="K52" s="254">
        <f>'2021'!J56-'2020'!J56</f>
        <v>-3</v>
      </c>
      <c r="L52" s="345">
        <f>IF('2021'!J56=0,0,IF('2020'!J56=0,0,'2021'!J56/'2020'!J56-1))</f>
        <v>-7.6923076923076872E-2</v>
      </c>
      <c r="M52" s="254">
        <f>'2021'!L56-'2020'!L56</f>
        <v>-26</v>
      </c>
      <c r="N52" s="345">
        <f>IF('2021'!L56=0,0,IF('2020'!L56=0,0,'2021'!L56/'2020'!L56-1))</f>
        <v>-0.34666666666666668</v>
      </c>
      <c r="O52" s="254">
        <f>IF('2020'!N56="-",0,'2021'!N56-'2020'!N56)</f>
        <v>0</v>
      </c>
      <c r="P52" s="345">
        <f>IF('2021'!N56=0,0,IF('2020'!N56="-",0,'2021'!N56/'2020'!N56-1))</f>
        <v>0</v>
      </c>
      <c r="Q52" s="186"/>
      <c r="R52" s="187"/>
      <c r="S52" s="186"/>
      <c r="T52" s="187"/>
      <c r="U52" s="145"/>
      <c r="V52" s="146"/>
      <c r="W52" s="145"/>
      <c r="X52" s="147"/>
      <c r="Y52" s="106"/>
    </row>
    <row r="53" spans="1:25" ht="15.5" x14ac:dyDescent="0.35">
      <c r="B53" s="1022"/>
      <c r="C53" s="1025"/>
      <c r="D53" s="324" t="s">
        <v>138</v>
      </c>
      <c r="E53" s="306"/>
      <c r="F53" s="307"/>
      <c r="G53" s="308">
        <f>SUM(G45:G52)</f>
        <v>53</v>
      </c>
      <c r="H53" s="339">
        <f>G53/SUM('2020'!G51:G56)</f>
        <v>7.4964639321074958E-2</v>
      </c>
      <c r="I53" s="330">
        <f>SUM(I45:I52)</f>
        <v>181</v>
      </c>
      <c r="J53" s="346">
        <f>I53/SUM('2020'!H51:H56)</f>
        <v>0.77682403433476399</v>
      </c>
      <c r="K53" s="257">
        <f>SUM(K45:K52)</f>
        <v>-12</v>
      </c>
      <c r="L53" s="346">
        <f>K53/SUM('2020'!J51:J56)</f>
        <v>-3.9735099337748346E-2</v>
      </c>
      <c r="M53" s="257">
        <f>SUM(M45:M52)</f>
        <v>20</v>
      </c>
      <c r="N53" s="346">
        <f>M53/SUM('2020'!L51:L56)</f>
        <v>6.8027210884353748E-2</v>
      </c>
      <c r="O53" s="257">
        <f>SUM(O45:O52)</f>
        <v>0</v>
      </c>
      <c r="P53" s="346" t="e">
        <f>O53/SUM('2020'!N51:N56)</f>
        <v>#DIV/0!</v>
      </c>
      <c r="Q53" s="188"/>
      <c r="R53" s="189"/>
      <c r="S53" s="188"/>
      <c r="T53" s="189"/>
      <c r="U53" s="149"/>
      <c r="V53" s="150"/>
      <c r="W53" s="149"/>
      <c r="X53" s="151"/>
      <c r="Y53" s="106"/>
    </row>
    <row r="54" spans="1:25" x14ac:dyDescent="0.35">
      <c r="A54" s="108">
        <v>25</v>
      </c>
      <c r="B54" s="1021" t="s">
        <v>171</v>
      </c>
      <c r="C54" s="1024" t="s">
        <v>76</v>
      </c>
      <c r="D54" s="1165">
        <f>'2021'!D50-'2020'!D58</f>
        <v>0</v>
      </c>
      <c r="E54" s="296" t="s">
        <v>170</v>
      </c>
      <c r="F54" s="297" t="s">
        <v>62</v>
      </c>
      <c r="G54" s="298">
        <f>'2021'!G50-'2020'!G58</f>
        <v>0</v>
      </c>
      <c r="H54" s="336">
        <f>IF('2021'!G50=0,0,IF('2020'!G58=0,0,'2021'!G50/'2020'!G58-1))</f>
        <v>0</v>
      </c>
      <c r="I54" s="327">
        <f>'2021'!H50-'2020'!H58</f>
        <v>0</v>
      </c>
      <c r="J54" s="343">
        <f>IF(I54=0,0,'2021'!H50/'2020'!H58-1)</f>
        <v>0</v>
      </c>
      <c r="K54" s="252">
        <f>'2021'!J50-'2020'!J58</f>
        <v>0</v>
      </c>
      <c r="L54" s="343">
        <f>IF('2021'!J50=0,0,IF('2020'!J58=0,0,'2021'!J50/'2020'!J58-1))</f>
        <v>0</v>
      </c>
      <c r="M54" s="252">
        <f>'2021'!L50-'2020'!L58</f>
        <v>0</v>
      </c>
      <c r="N54" s="343">
        <f>IF('2021'!L50=0,0,IF('2020'!L58=0,0,'2021'!L50/'2020'!L58-1))</f>
        <v>0</v>
      </c>
      <c r="O54" s="252" t="e">
        <f>IF('2020'!N58="-",0,'2021'!N50-'2020'!N58)</f>
        <v>#VALUE!</v>
      </c>
      <c r="P54" s="343" t="e">
        <f>IF('2021'!N50=0,0,IF('2020'!N58="-",0,'2021'!N50/'2020'!N58-1))</f>
        <v>#VALUE!</v>
      </c>
      <c r="Q54" s="182"/>
      <c r="R54" s="183"/>
      <c r="S54" s="182"/>
      <c r="T54" s="183"/>
      <c r="U54" s="131">
        <f>'2021'!S50-'2020'!S58</f>
        <v>0</v>
      </c>
      <c r="V54" s="374">
        <f>IF('2021'!S50=0,0,IF('2020'!S58=0,0,'2021'!S50/'2020'!S58-1))</f>
        <v>0</v>
      </c>
      <c r="W54" s="131">
        <f>'2021'!U50-'2020'!U58</f>
        <v>0</v>
      </c>
      <c r="X54" s="375">
        <f>IF('2021'!U50=0,0,IF('2020'!U58=0,0,'2021'!U50/'2020'!U58-1))</f>
        <v>0</v>
      </c>
      <c r="Y54" s="106"/>
    </row>
    <row r="55" spans="1:25" x14ac:dyDescent="0.35">
      <c r="A55" s="108">
        <v>26</v>
      </c>
      <c r="B55" s="1021"/>
      <c r="C55" s="1024"/>
      <c r="D55" s="1166"/>
      <c r="E55" s="299" t="s">
        <v>170</v>
      </c>
      <c r="F55" s="300" t="s">
        <v>62</v>
      </c>
      <c r="G55" s="301">
        <f>'2021'!G51-'2020'!G59</f>
        <v>228</v>
      </c>
      <c r="H55" s="337">
        <f>IF('2021'!G51=0,0,IF('2020'!G59=0,0,'2021'!G51/'2020'!G59-1))</f>
        <v>0</v>
      </c>
      <c r="I55" s="328">
        <f>'2021'!H51-'2020'!H59</f>
        <v>125</v>
      </c>
      <c r="J55" s="344" t="e">
        <f>IF(I55=0,0,'2021'!H51/'2020'!H59-1)</f>
        <v>#DIV/0!</v>
      </c>
      <c r="K55" s="253">
        <f>'2021'!J51-'2020'!J59</f>
        <v>90</v>
      </c>
      <c r="L55" s="344">
        <f>IF('2021'!J51=0,0,IF('2020'!J59=0,0,'2021'!J51/'2020'!J59-1))</f>
        <v>0</v>
      </c>
      <c r="M55" s="253">
        <f>'2021'!L51-'2020'!L59</f>
        <v>91</v>
      </c>
      <c r="N55" s="344">
        <f>IF('2021'!L51=0,0,IF('2020'!L59=0,0,'2021'!L51/'2020'!L59-1))</f>
        <v>0</v>
      </c>
      <c r="O55" s="253" t="e">
        <f>IF('2020'!N59="-",0,'2021'!N51-'2020'!N59)</f>
        <v>#VALUE!</v>
      </c>
      <c r="P55" s="344" t="e">
        <f>IF('2021'!N51=0,0,IF('2020'!N59="-",0,'2021'!N51/'2020'!N59-1))</f>
        <v>#VALUE!</v>
      </c>
      <c r="Q55" s="184"/>
      <c r="R55" s="185"/>
      <c r="S55" s="184"/>
      <c r="T55" s="185"/>
      <c r="U55" s="137" t="e">
        <f>'2021'!S51-'2020'!S59</f>
        <v>#VALUE!</v>
      </c>
      <c r="V55" s="376">
        <f>IF('2021'!S51=0,0,IF('2020'!S59=0,0,'2021'!S51/'2020'!S59-1))</f>
        <v>0</v>
      </c>
      <c r="W55" s="137" t="e">
        <f>'2021'!U51-'2020'!U59</f>
        <v>#VALUE!</v>
      </c>
      <c r="X55" s="378">
        <f>IF('2021'!U51=0,0,IF('2020'!U59=0,0,'2021'!U51/'2020'!U59-1))</f>
        <v>0</v>
      </c>
      <c r="Y55" s="106"/>
    </row>
    <row r="56" spans="1:25" x14ac:dyDescent="0.35">
      <c r="A56" s="108">
        <v>27</v>
      </c>
      <c r="B56" s="1021"/>
      <c r="C56" s="1024"/>
      <c r="D56" s="1166"/>
      <c r="E56" s="299" t="s">
        <v>170</v>
      </c>
      <c r="F56" s="300" t="s">
        <v>62</v>
      </c>
      <c r="G56" s="301">
        <f>'2021'!G52-'2020'!G60</f>
        <v>141</v>
      </c>
      <c r="H56" s="337">
        <f>IF('2021'!G52=0,0,IF('2020'!G60=0,0,'2021'!G52/'2020'!G60-1))</f>
        <v>0</v>
      </c>
      <c r="I56" s="328">
        <f>'2021'!H52-'2020'!H60</f>
        <v>80</v>
      </c>
      <c r="J56" s="344" t="e">
        <f>IF(I56=0,0,'2021'!H52/'2020'!H60-1)</f>
        <v>#DIV/0!</v>
      </c>
      <c r="K56" s="253">
        <f>'2021'!J52-'2020'!J60</f>
        <v>65</v>
      </c>
      <c r="L56" s="344">
        <f>IF('2021'!J52=0,0,IF('2020'!J60=0,0,'2021'!J52/'2020'!J60-1))</f>
        <v>0</v>
      </c>
      <c r="M56" s="253">
        <f>'2021'!L52-'2020'!L60</f>
        <v>62</v>
      </c>
      <c r="N56" s="344">
        <f>IF('2021'!L52=0,0,IF('2020'!L60=0,0,'2021'!L52/'2020'!L60-1))</f>
        <v>0</v>
      </c>
      <c r="O56" s="253" t="e">
        <f>IF('2020'!N60="-",0,'2021'!N52-'2020'!N60)</f>
        <v>#VALUE!</v>
      </c>
      <c r="P56" s="344" t="e">
        <f>IF('2021'!N52=0,0,IF('2020'!N60="-",0,'2021'!N52/'2020'!N60-1))</f>
        <v>#VALUE!</v>
      </c>
      <c r="Q56" s="184"/>
      <c r="R56" s="185"/>
      <c r="S56" s="184"/>
      <c r="T56" s="185"/>
      <c r="U56" s="137">
        <f>'2021'!S52-'2020'!S60</f>
        <v>0</v>
      </c>
      <c r="V56" s="376">
        <f>IF('2021'!S52=0,0,IF('2020'!S60=0,0,'2021'!S52/'2020'!S60-1))</f>
        <v>0</v>
      </c>
      <c r="W56" s="137">
        <f>'2021'!U52-'2020'!U60</f>
        <v>0</v>
      </c>
      <c r="X56" s="378">
        <f>IF('2021'!U52=0,0,IF('2020'!U60=0,0,'2021'!U52/'2020'!U60-1))</f>
        <v>0</v>
      </c>
      <c r="Y56" s="106"/>
    </row>
    <row r="57" spans="1:25" x14ac:dyDescent="0.35">
      <c r="A57" s="108">
        <v>28</v>
      </c>
      <c r="B57" s="1021"/>
      <c r="C57" s="1024"/>
      <c r="D57" s="1166"/>
      <c r="E57" s="299" t="s">
        <v>170</v>
      </c>
      <c r="F57" s="300" t="s">
        <v>62</v>
      </c>
      <c r="G57" s="301">
        <f>'2021'!G53-'2020'!G61</f>
        <v>234</v>
      </c>
      <c r="H57" s="337">
        <f>IF('2021'!G53=0,0,IF('2020'!G61=0,0,'2021'!G53/'2020'!G61-1))</f>
        <v>0</v>
      </c>
      <c r="I57" s="328">
        <f>'2021'!H53-'2020'!H61</f>
        <v>127</v>
      </c>
      <c r="J57" s="344" t="e">
        <f>IF(I57=0,0,'2021'!H53/'2020'!H61-1)</f>
        <v>#DIV/0!</v>
      </c>
      <c r="K57" s="253">
        <f>'2021'!J53-'2020'!J61</f>
        <v>99</v>
      </c>
      <c r="L57" s="344">
        <f>IF('2021'!J53=0,0,IF('2020'!J61=0,0,'2021'!J53/'2020'!J61-1))</f>
        <v>0</v>
      </c>
      <c r="M57" s="253">
        <f>'2021'!L53-'2020'!L61</f>
        <v>112</v>
      </c>
      <c r="N57" s="344">
        <f>IF('2021'!L53=0,0,IF('2020'!L61=0,0,'2021'!L53/'2020'!L61-1))</f>
        <v>0</v>
      </c>
      <c r="O57" s="253" t="e">
        <f>IF('2020'!N61="-",0,'2021'!N53-'2020'!N61)</f>
        <v>#VALUE!</v>
      </c>
      <c r="P57" s="344" t="e">
        <f>IF('2021'!N53=0,0,IF('2020'!N61="-",0,'2021'!N53/'2020'!N61-1))</f>
        <v>#VALUE!</v>
      </c>
      <c r="Q57" s="184"/>
      <c r="R57" s="185"/>
      <c r="S57" s="184"/>
      <c r="T57" s="185"/>
      <c r="U57" s="137" t="e">
        <f>'2021'!S53-'2020'!S61</f>
        <v>#VALUE!</v>
      </c>
      <c r="V57" s="376">
        <f>IF('2021'!S53=0,0,IF('2020'!S61=0,0,'2021'!S53/'2020'!S61-1))</f>
        <v>0</v>
      </c>
      <c r="W57" s="137" t="e">
        <f>'2021'!U53-'2020'!U61</f>
        <v>#VALUE!</v>
      </c>
      <c r="X57" s="378">
        <f>IF('2021'!U53=0,0,IF('2020'!U61=0,0,'2021'!U53/'2020'!U61-1))</f>
        <v>0</v>
      </c>
      <c r="Y57" s="106"/>
    </row>
    <row r="58" spans="1:25" x14ac:dyDescent="0.35">
      <c r="B58" s="1021"/>
      <c r="C58" s="1024"/>
      <c r="D58" s="1167"/>
      <c r="E58" s="567" t="s">
        <v>170</v>
      </c>
      <c r="F58" s="568"/>
      <c r="G58" s="301">
        <f>'2021'!G54-'2020'!G62</f>
        <v>0</v>
      </c>
      <c r="H58" s="337">
        <f>IF('2021'!G54=0,0,IF('2020'!G62=0,0,'2021'!G54/'2020'!G62-1))</f>
        <v>0</v>
      </c>
      <c r="I58" s="328">
        <f>'2021'!H54-'2020'!H62</f>
        <v>0</v>
      </c>
      <c r="J58" s="344">
        <f>IF(I58=0,0,'2021'!H54/'2020'!H62-1)</f>
        <v>0</v>
      </c>
      <c r="K58" s="253">
        <f>'2021'!J54-'2020'!J62</f>
        <v>0</v>
      </c>
      <c r="L58" s="344">
        <f>IF('2021'!J54=0,0,IF('2020'!J62=0,0,'2021'!J54/'2020'!J62-1))</f>
        <v>0</v>
      </c>
      <c r="M58" s="253">
        <f>'2021'!L54-'2020'!L62</f>
        <v>0</v>
      </c>
      <c r="N58" s="344">
        <f>IF('2021'!L54=0,0,IF('2020'!L62=0,0,'2021'!L54/'2020'!L62-1))</f>
        <v>0</v>
      </c>
      <c r="O58" s="253">
        <f>IF('2020'!N62="-",0,'2021'!N54-'2020'!N62)</f>
        <v>0</v>
      </c>
      <c r="P58" s="344">
        <f>IF('2021'!N54=0,0,IF('2020'!N62="-",0,'2021'!N54/'2020'!N62-1))</f>
        <v>0</v>
      </c>
      <c r="Q58" s="184"/>
      <c r="R58" s="185"/>
      <c r="S58" s="184"/>
      <c r="T58" s="185"/>
      <c r="U58" s="137">
        <f>'2021'!S54-'2020'!S62</f>
        <v>0</v>
      </c>
      <c r="V58" s="376">
        <f>IF('2021'!S54=0,0,IF('2020'!S62=0,0,'2021'!S54/'2020'!S62-1))</f>
        <v>0</v>
      </c>
      <c r="W58" s="137">
        <f>'2021'!U54-'2020'!U62</f>
        <v>0</v>
      </c>
      <c r="X58" s="378">
        <f>IF('2021'!U54=0,0,IF('2020'!U62=0,0,'2021'!U54/'2020'!U62-1))</f>
        <v>0</v>
      </c>
      <c r="Y58" s="367"/>
    </row>
    <row r="59" spans="1:25" x14ac:dyDescent="0.35">
      <c r="B59" s="1021"/>
      <c r="C59" s="1024"/>
      <c r="D59" s="1167"/>
      <c r="E59" s="567" t="s">
        <v>170</v>
      </c>
      <c r="F59" s="568"/>
      <c r="G59" s="301">
        <f>'2021'!G55-'2020'!G63</f>
        <v>0</v>
      </c>
      <c r="H59" s="337">
        <f>IF('2021'!G55=0,0,IF('2020'!G63=0,0,'2021'!G55/'2020'!G63-1))</f>
        <v>0</v>
      </c>
      <c r="I59" s="328">
        <f>'2021'!H55-'2020'!H63</f>
        <v>0</v>
      </c>
      <c r="J59" s="344">
        <f>IF(I59=0,0,'2021'!H55/'2020'!H63-1)</f>
        <v>0</v>
      </c>
      <c r="K59" s="253">
        <f>'2021'!J55-'2020'!J63</f>
        <v>0</v>
      </c>
      <c r="L59" s="344">
        <f>IF('2021'!J55=0,0,IF('2020'!J63=0,0,'2021'!J55/'2020'!J63-1))</f>
        <v>0</v>
      </c>
      <c r="M59" s="253">
        <f>'2021'!L55-'2020'!L63</f>
        <v>0</v>
      </c>
      <c r="N59" s="344">
        <f>IF('2021'!L55=0,0,IF('2020'!L63=0,0,'2021'!L55/'2020'!L63-1))</f>
        <v>0</v>
      </c>
      <c r="O59" s="253">
        <f>IF('2020'!N63="-",0,'2021'!N55-'2020'!N63)</f>
        <v>0</v>
      </c>
      <c r="P59" s="344">
        <f>IF('2021'!N55=0,0,IF('2020'!N63="-",0,'2021'!N55/'2020'!N63-1))</f>
        <v>0</v>
      </c>
      <c r="Q59" s="184"/>
      <c r="R59" s="185"/>
      <c r="S59" s="184"/>
      <c r="T59" s="185"/>
      <c r="U59" s="137">
        <f>'2021'!S55-'2020'!S63</f>
        <v>0</v>
      </c>
      <c r="V59" s="376">
        <f>IF('2021'!S55=0,0,IF('2020'!S63=0,0,'2021'!S55/'2020'!S63-1))</f>
        <v>0</v>
      </c>
      <c r="W59" s="137">
        <f>'2021'!U55-'2020'!U63</f>
        <v>0</v>
      </c>
      <c r="X59" s="378">
        <f>IF('2021'!U55=0,0,IF('2020'!U63=0,0,'2021'!U55/'2020'!U63-1))</f>
        <v>0</v>
      </c>
      <c r="Y59" s="367"/>
    </row>
    <row r="60" spans="1:25" x14ac:dyDescent="0.35">
      <c r="A60" s="108">
        <v>29</v>
      </c>
      <c r="B60" s="1021"/>
      <c r="C60" s="1024"/>
      <c r="D60" s="1168"/>
      <c r="E60" s="488" t="s">
        <v>170</v>
      </c>
      <c r="F60" s="319" t="s">
        <v>62</v>
      </c>
      <c r="G60" s="304">
        <f>'2021'!G56-'2020'!G64</f>
        <v>157</v>
      </c>
      <c r="H60" s="338">
        <f>IF('2021'!G56=0,0,IF('2020'!G64=0,0,'2021'!G56/'2020'!G64-1))</f>
        <v>0</v>
      </c>
      <c r="I60" s="329">
        <f>'2021'!H56-'2020'!H64</f>
        <v>82</v>
      </c>
      <c r="J60" s="345" t="e">
        <f>IF(I60=0,0,'2021'!H56/'2020'!H64-1)</f>
        <v>#DIV/0!</v>
      </c>
      <c r="K60" s="254">
        <f>'2021'!J56-'2020'!J64</f>
        <v>36</v>
      </c>
      <c r="L60" s="345">
        <f>IF('2021'!J56=0,0,IF('2020'!J64=0,0,'2021'!J56/'2020'!J64-1))</f>
        <v>0</v>
      </c>
      <c r="M60" s="254">
        <f>'2021'!L56-'2020'!L64</f>
        <v>49</v>
      </c>
      <c r="N60" s="345">
        <f>IF('2021'!L56=0,0,IF('2020'!L64=0,0,'2021'!L56/'2020'!L64-1))</f>
        <v>0</v>
      </c>
      <c r="O60" s="254" t="e">
        <f>IF('2020'!N64="-",0,'2021'!N56-'2020'!N64)</f>
        <v>#VALUE!</v>
      </c>
      <c r="P60" s="345" t="e">
        <f>IF('2021'!N56=0,0,IF('2020'!N64="-",0,'2021'!N56/'2020'!N64-1))</f>
        <v>#VALUE!</v>
      </c>
      <c r="Q60" s="186"/>
      <c r="R60" s="187"/>
      <c r="S60" s="186"/>
      <c r="T60" s="187"/>
      <c r="U60" s="145">
        <f>'2021'!S56-'2020'!S64</f>
        <v>0</v>
      </c>
      <c r="V60" s="377">
        <f>IF('2021'!S56=0,0,IF('2020'!S64=0,0,'2021'!S56/'2020'!S64-1))</f>
        <v>0</v>
      </c>
      <c r="W60" s="145">
        <f>'2021'!U56-'2020'!U64</f>
        <v>0</v>
      </c>
      <c r="X60" s="379">
        <f>IF('2021'!U56=0,0,IF('2020'!U64=0,0,'2021'!U56/'2020'!U64-1))</f>
        <v>0</v>
      </c>
      <c r="Y60" s="367" t="s">
        <v>145</v>
      </c>
    </row>
    <row r="61" spans="1:25" ht="15.5" x14ac:dyDescent="0.35">
      <c r="B61" s="1022"/>
      <c r="C61" s="1025"/>
      <c r="D61" s="648" t="s">
        <v>138</v>
      </c>
      <c r="E61" s="361"/>
      <c r="F61" s="362"/>
      <c r="G61" s="308">
        <f>SUM(G54:G60)</f>
        <v>760</v>
      </c>
      <c r="H61" s="339" t="e">
        <f>G61/SUM('2020'!G58:G64)</f>
        <v>#DIV/0!</v>
      </c>
      <c r="I61" s="330">
        <f>SUM(I54:I60)</f>
        <v>414</v>
      </c>
      <c r="J61" s="346" t="e">
        <f>I61/SUM('2020'!H58:H64)</f>
        <v>#DIV/0!</v>
      </c>
      <c r="K61" s="257">
        <f>SUM(K54:K60)</f>
        <v>290</v>
      </c>
      <c r="L61" s="346" t="e">
        <f>K61/SUM('2020'!J58:J64)</f>
        <v>#DIV/0!</v>
      </c>
      <c r="M61" s="257">
        <f>SUM(M54:M60)</f>
        <v>314</v>
      </c>
      <c r="N61" s="346" t="e">
        <f>M61/SUM('2020'!L58:L64)</f>
        <v>#DIV/0!</v>
      </c>
      <c r="O61" s="257" t="e">
        <f>SUM(O54:O60)</f>
        <v>#VALUE!</v>
      </c>
      <c r="P61" s="346" t="e">
        <f>O61/SUM('2020'!N58:N64)</f>
        <v>#VALUE!</v>
      </c>
      <c r="Q61" s="188"/>
      <c r="R61" s="189"/>
      <c r="S61" s="188"/>
      <c r="T61" s="189"/>
      <c r="U61" s="149" t="e">
        <f>SUM(U54:U60)</f>
        <v>#VALUE!</v>
      </c>
      <c r="V61" s="380">
        <f>IF('2021'!S57=0,0,IF('2020'!S65=0,0,'2021'!S57/'2020'!S65-1))</f>
        <v>0</v>
      </c>
      <c r="W61" s="149" t="e">
        <f>SUM(W54:W60)</f>
        <v>#VALUE!</v>
      </c>
      <c r="X61" s="381">
        <f>IF('2021'!U57=0,0,IF('2020'!U65=0,0,'2021'!U57/'2020'!U65-1))</f>
        <v>0</v>
      </c>
      <c r="Y61" s="106"/>
    </row>
    <row r="62" spans="1:25" x14ac:dyDescent="0.35">
      <c r="A62" s="108">
        <v>25</v>
      </c>
      <c r="B62" s="1021" t="s">
        <v>1</v>
      </c>
      <c r="C62" s="1024" t="s">
        <v>76</v>
      </c>
      <c r="D62" s="1165">
        <f>'2021'!D66-'2020'!D66</f>
        <v>-1</v>
      </c>
      <c r="E62" s="296" t="s">
        <v>27</v>
      </c>
      <c r="F62" s="297" t="s">
        <v>62</v>
      </c>
      <c r="G62" s="298">
        <f>'2021'!G66-'2020'!G66</f>
        <v>20</v>
      </c>
      <c r="H62" s="336">
        <f>IF('2021'!G66=0,0,IF('2020'!G66=0,0,'2021'!G66/'2020'!G66-1))</f>
        <v>0.60606060606060597</v>
      </c>
      <c r="I62" s="327">
        <f>'2021'!H66-'2020'!H66</f>
        <v>5</v>
      </c>
      <c r="J62" s="343">
        <f>IF(I62=0,0,'2021'!H66/'2020'!H66-1)</f>
        <v>0.1515151515151516</v>
      </c>
      <c r="K62" s="252">
        <f>'2021'!J66-'2020'!J66</f>
        <v>11</v>
      </c>
      <c r="L62" s="343">
        <f>IF('2021'!J66=0,0,IF('2020'!J66=0,0,'2021'!J66/'2020'!J66-1))</f>
        <v>0.52380952380952372</v>
      </c>
      <c r="M62" s="252">
        <f>'2021'!L66-'2020'!L66</f>
        <v>4</v>
      </c>
      <c r="N62" s="343">
        <f>IF('2021'!L66=0,0,IF('2020'!L66=0,0,'2021'!L66/'2020'!L66-1))</f>
        <v>0.5</v>
      </c>
      <c r="O62" s="252">
        <f>IF('2020'!N66="-",0,'2021'!N66-'2020'!N66)</f>
        <v>3</v>
      </c>
      <c r="P62" s="343">
        <f>IF('2021'!N66=0,0,IF('2020'!N66="-",0,'2021'!N66/'2020'!N66-1))</f>
        <v>0.4285714285714286</v>
      </c>
      <c r="Q62" s="182"/>
      <c r="R62" s="183"/>
      <c r="S62" s="182"/>
      <c r="T62" s="183"/>
      <c r="U62" s="131">
        <f>'2021'!S66-'2020'!S66</f>
        <v>18</v>
      </c>
      <c r="V62" s="374">
        <f>IF('2021'!S66=0,0,IF('2020'!S66=0,0,'2021'!S66/'2020'!S66-1))</f>
        <v>0.54545454545454541</v>
      </c>
      <c r="W62" s="131">
        <f>'2021'!U66-'2020'!U66</f>
        <v>2</v>
      </c>
      <c r="X62" s="375">
        <f>IF('2021'!U66=0,0,IF('2020'!U66=0,0,'2021'!U66/'2020'!U66-1))</f>
        <v>0</v>
      </c>
      <c r="Y62" s="106"/>
    </row>
    <row r="63" spans="1:25" x14ac:dyDescent="0.35">
      <c r="A63" s="108">
        <v>26</v>
      </c>
      <c r="B63" s="1021"/>
      <c r="C63" s="1024"/>
      <c r="D63" s="1166"/>
      <c r="E63" s="299" t="s">
        <v>28</v>
      </c>
      <c r="F63" s="300" t="s">
        <v>62</v>
      </c>
      <c r="G63" s="301">
        <f>'2021'!G67-'2020'!G67</f>
        <v>29</v>
      </c>
      <c r="H63" s="337">
        <f>IF('2021'!G67=0,0,IF('2020'!G67=0,0,'2021'!G67/'2020'!G67-1))</f>
        <v>0.32954545454545459</v>
      </c>
      <c r="I63" s="328">
        <f>'2021'!H67-'2020'!H67</f>
        <v>-2</v>
      </c>
      <c r="J63" s="344">
        <f>IF(I63=0,0,'2021'!H67/'2020'!H67-1)</f>
        <v>-2.2727272727272707E-2</v>
      </c>
      <c r="K63" s="253">
        <f>'2021'!J67-'2020'!J67</f>
        <v>28</v>
      </c>
      <c r="L63" s="344">
        <f>IF('2021'!J67=0,0,IF('2020'!J67=0,0,'2021'!J67/'2020'!J67-1))</f>
        <v>0.52830188679245293</v>
      </c>
      <c r="M63" s="253">
        <f>'2021'!L67-'2020'!L67</f>
        <v>15</v>
      </c>
      <c r="N63" s="344">
        <f>IF('2021'!L67=0,0,IF('2020'!L67=0,0,'2021'!L67/'2020'!L67-1))</f>
        <v>0.46875</v>
      </c>
      <c r="O63" s="253">
        <f>IF('2020'!N67="-",0,'2021'!N67-'2020'!N67)</f>
        <v>6</v>
      </c>
      <c r="P63" s="344">
        <f>IF('2021'!N67=0,0,IF('2020'!N67="-",0,'2021'!N67/'2020'!N67-1))</f>
        <v>0.22222222222222232</v>
      </c>
      <c r="Q63" s="184"/>
      <c r="R63" s="185"/>
      <c r="S63" s="184"/>
      <c r="T63" s="185"/>
      <c r="U63" s="137">
        <f>'2021'!S67-'2020'!S67</f>
        <v>34</v>
      </c>
      <c r="V63" s="376">
        <f>IF('2021'!S67=0,0,IF('2020'!S67=0,0,'2021'!S67/'2020'!S67-1))</f>
        <v>0.4358974358974359</v>
      </c>
      <c r="W63" s="137">
        <f>'2021'!U67-'2020'!U67</f>
        <v>-5</v>
      </c>
      <c r="X63" s="378">
        <f>IF('2021'!U67=0,0,IF('2020'!U67=0,0,'2021'!U67/'2020'!U67-1))</f>
        <v>-0.5</v>
      </c>
      <c r="Y63" s="106"/>
    </row>
    <row r="64" spans="1:25" x14ac:dyDescent="0.35">
      <c r="A64" s="108">
        <v>27</v>
      </c>
      <c r="B64" s="1021"/>
      <c r="C64" s="1024"/>
      <c r="D64" s="1166"/>
      <c r="E64" s="299" t="s">
        <v>29</v>
      </c>
      <c r="F64" s="300" t="s">
        <v>62</v>
      </c>
      <c r="G64" s="301">
        <f>'2021'!G68-'2020'!G68</f>
        <v>8</v>
      </c>
      <c r="H64" s="337">
        <f>IF('2021'!G68=0,0,IF('2020'!G68=0,0,'2021'!G68/'2020'!G68-1))</f>
        <v>0.5714285714285714</v>
      </c>
      <c r="I64" s="328">
        <f>'2021'!H68-'2020'!H68</f>
        <v>6</v>
      </c>
      <c r="J64" s="344">
        <f>IF(I64=0,0,'2021'!H68/'2020'!H68-1)</f>
        <v>0.4285714285714286</v>
      </c>
      <c r="K64" s="253">
        <f>'2021'!J68-'2020'!J68</f>
        <v>7</v>
      </c>
      <c r="L64" s="344">
        <f>IF('2021'!J68=0,0,IF('2020'!J68=0,0,'2021'!J68/'2020'!J68-1))</f>
        <v>0.77777777777777768</v>
      </c>
      <c r="M64" s="253">
        <f>'2021'!L68-'2020'!L68</f>
        <v>5</v>
      </c>
      <c r="N64" s="344">
        <f>IF('2021'!L68=0,0,IF('2020'!L68=0,0,'2021'!L68/'2020'!L68-1))</f>
        <v>0.71428571428571419</v>
      </c>
      <c r="O64" s="253">
        <f>IF('2020'!N68="-",0,'2021'!N68-'2020'!N68)</f>
        <v>5</v>
      </c>
      <c r="P64" s="344">
        <f>IF('2021'!N68=0,0,IF('2020'!N68="-",0,'2021'!N68/'2020'!N68-1))</f>
        <v>1.25</v>
      </c>
      <c r="Q64" s="184"/>
      <c r="R64" s="185"/>
      <c r="S64" s="184"/>
      <c r="T64" s="185"/>
      <c r="U64" s="137">
        <f>'2021'!S68-'2020'!S68</f>
        <v>8</v>
      </c>
      <c r="V64" s="376">
        <f>IF('2021'!S68=0,0,IF('2020'!S68=0,0,'2021'!S68/'2020'!S68-1))</f>
        <v>0.5714285714285714</v>
      </c>
      <c r="W64" s="137">
        <f>'2021'!U68-'2020'!U68</f>
        <v>0</v>
      </c>
      <c r="X64" s="378">
        <f>IF('2021'!U68=0,0,IF('2020'!U68=0,0,'2021'!U68/'2020'!U68-1))</f>
        <v>0</v>
      </c>
      <c r="Y64" s="106"/>
    </row>
    <row r="65" spans="1:25" x14ac:dyDescent="0.35">
      <c r="A65" s="108">
        <v>28</v>
      </c>
      <c r="B65" s="1021"/>
      <c r="C65" s="1024"/>
      <c r="D65" s="1166"/>
      <c r="E65" s="299" t="s">
        <v>30</v>
      </c>
      <c r="F65" s="300" t="s">
        <v>62</v>
      </c>
      <c r="G65" s="301">
        <f>'2021'!G69-'2020'!G69</f>
        <v>26</v>
      </c>
      <c r="H65" s="337">
        <f>IF('2021'!G69=0,0,IF('2020'!G69=0,0,'2021'!G69/'2020'!G69-1))</f>
        <v>1.1304347826086958</v>
      </c>
      <c r="I65" s="328">
        <f>'2021'!H69-'2020'!H69</f>
        <v>10</v>
      </c>
      <c r="J65" s="344">
        <f>IF(I65=0,0,'2021'!H69/'2020'!H69-1)</f>
        <v>0.43478260869565211</v>
      </c>
      <c r="K65" s="253">
        <f>'2021'!J69-'2020'!J69</f>
        <v>20</v>
      </c>
      <c r="L65" s="344">
        <f>IF('2021'!J69=0,0,IF('2020'!J69=0,0,'2021'!J69/'2020'!J69-1))</f>
        <v>1.3333333333333335</v>
      </c>
      <c r="M65" s="253">
        <f>'2021'!L69-'2020'!L69</f>
        <v>9</v>
      </c>
      <c r="N65" s="344">
        <f>IF('2021'!L69=0,0,IF('2020'!L69=0,0,'2021'!L69/'2020'!L69-1))</f>
        <v>0.81818181818181812</v>
      </c>
      <c r="O65" s="253">
        <f>IF('2020'!N69="-",0,'2021'!N69-'2020'!N69)</f>
        <v>9</v>
      </c>
      <c r="P65" s="344">
        <f>IF('2021'!N69=0,0,IF('2020'!N69="-",0,'2021'!N69/'2020'!N69-1))</f>
        <v>1.125</v>
      </c>
      <c r="Q65" s="184"/>
      <c r="R65" s="185"/>
      <c r="S65" s="184"/>
      <c r="T65" s="185"/>
      <c r="U65" s="137">
        <f>'2021'!S69-'2020'!S69</f>
        <v>26</v>
      </c>
      <c r="V65" s="376">
        <f>IF('2021'!S69=0,0,IF('2020'!S69=0,0,'2021'!S69/'2020'!S69-1))</f>
        <v>1.2999999999999998</v>
      </c>
      <c r="W65" s="137">
        <f>'2021'!U69-'2020'!U69</f>
        <v>0</v>
      </c>
      <c r="X65" s="378">
        <f>IF('2021'!U69=0,0,IF('2020'!U69=0,0,'2021'!U69/'2020'!U69-1))</f>
        <v>0</v>
      </c>
      <c r="Y65" s="106"/>
    </row>
    <row r="66" spans="1:25" x14ac:dyDescent="0.35">
      <c r="B66" s="1021"/>
      <c r="C66" s="1024"/>
      <c r="D66" s="1167"/>
      <c r="E66" s="567"/>
      <c r="F66" s="568"/>
      <c r="G66" s="569"/>
      <c r="H66" s="570"/>
      <c r="I66" s="571"/>
      <c r="J66" s="572"/>
      <c r="K66" s="573"/>
      <c r="L66" s="572"/>
      <c r="M66" s="573"/>
      <c r="N66" s="572"/>
      <c r="O66" s="573"/>
      <c r="P66" s="572"/>
      <c r="Q66" s="574"/>
      <c r="R66" s="575"/>
      <c r="S66" s="574"/>
      <c r="T66" s="575"/>
      <c r="U66" s="484"/>
      <c r="V66" s="602"/>
      <c r="W66" s="484"/>
      <c r="X66" s="485"/>
      <c r="Y66" s="367"/>
    </row>
    <row r="67" spans="1:25" x14ac:dyDescent="0.35">
      <c r="B67" s="1021"/>
      <c r="C67" s="1024"/>
      <c r="D67" s="1167"/>
      <c r="E67" s="567"/>
      <c r="F67" s="568"/>
      <c r="G67" s="569"/>
      <c r="H67" s="570"/>
      <c r="I67" s="571"/>
      <c r="J67" s="572"/>
      <c r="K67" s="573"/>
      <c r="L67" s="572"/>
      <c r="M67" s="573"/>
      <c r="N67" s="572"/>
      <c r="O67" s="573"/>
      <c r="P67" s="572"/>
      <c r="Q67" s="574"/>
      <c r="R67" s="575"/>
      <c r="S67" s="574"/>
      <c r="T67" s="575"/>
      <c r="U67" s="484"/>
      <c r="V67" s="602"/>
      <c r="W67" s="484"/>
      <c r="X67" s="485"/>
      <c r="Y67" s="367"/>
    </row>
    <row r="68" spans="1:25" x14ac:dyDescent="0.35">
      <c r="A68" s="108">
        <v>29</v>
      </c>
      <c r="B68" s="1021"/>
      <c r="C68" s="1024"/>
      <c r="D68" s="1168"/>
      <c r="E68" s="488" t="s">
        <v>31</v>
      </c>
      <c r="F68" s="319" t="s">
        <v>62</v>
      </c>
      <c r="G68" s="304">
        <f>'2021'!G72-'2020'!G72</f>
        <v>8</v>
      </c>
      <c r="H68" s="338">
        <f>IF('2021'!G72=0,0,IF('2020'!G72=0,0,'2021'!G72/'2020'!G72-1))</f>
        <v>0.22222222222222232</v>
      </c>
      <c r="I68" s="329">
        <f>'2021'!H72-'2020'!H72</f>
        <v>8</v>
      </c>
      <c r="J68" s="345">
        <f>IF(I68=0,0,'2021'!H72/'2020'!H72-1)</f>
        <v>0.22222222222222232</v>
      </c>
      <c r="K68" s="254">
        <f>'2021'!J72-'2020'!J72</f>
        <v>10</v>
      </c>
      <c r="L68" s="345">
        <f>IF('2021'!J72=0,0,IF('2020'!J72=0,0,'2021'!J72/'2020'!J72-1))</f>
        <v>0.55555555555555558</v>
      </c>
      <c r="M68" s="254">
        <f>'2021'!L72-'2020'!L72</f>
        <v>-1</v>
      </c>
      <c r="N68" s="345">
        <f>IF('2021'!L72=0,0,IF('2020'!L72=0,0,'2021'!L72/'2020'!L72-1))</f>
        <v>-5.8823529411764719E-2</v>
      </c>
      <c r="O68" s="254">
        <f>IF('2020'!N72="-",0,'2021'!N72-'2020'!N72)</f>
        <v>2</v>
      </c>
      <c r="P68" s="345">
        <f>IF('2021'!N72=0,0,IF('2020'!N72="-",0,'2021'!N72/'2020'!N72-1))</f>
        <v>0.15384615384615374</v>
      </c>
      <c r="Q68" s="186"/>
      <c r="R68" s="187"/>
      <c r="S68" s="186"/>
      <c r="T68" s="187"/>
      <c r="U68" s="145">
        <f>'2021'!S72-'2020'!S72</f>
        <v>4</v>
      </c>
      <c r="V68" s="377">
        <f>IF('2021'!S72=0,0,IF('2020'!S72=0,0,'2021'!S72/'2020'!S72-1))</f>
        <v>0.11111111111111116</v>
      </c>
      <c r="W68" s="145">
        <f>'2021'!U72-'2020'!U72</f>
        <v>4</v>
      </c>
      <c r="X68" s="379">
        <f>IF('2021'!U72=0,0,IF('2020'!U72=0,0,'2021'!U72/'2020'!U72-1))</f>
        <v>0</v>
      </c>
      <c r="Y68" s="367" t="s">
        <v>145</v>
      </c>
    </row>
    <row r="69" spans="1:25" ht="15.5" x14ac:dyDescent="0.35">
      <c r="B69" s="1022"/>
      <c r="C69" s="1025"/>
      <c r="D69" s="408" t="s">
        <v>138</v>
      </c>
      <c r="E69" s="361"/>
      <c r="F69" s="362"/>
      <c r="G69" s="308">
        <f>SUM(G62:G68)</f>
        <v>91</v>
      </c>
      <c r="H69" s="339">
        <f>G69/SUM('2020'!G66:G72)</f>
        <v>0.46907216494845361</v>
      </c>
      <c r="I69" s="330">
        <f>SUM(I62:I68)</f>
        <v>27</v>
      </c>
      <c r="J69" s="346">
        <f>I69/SUM('2020'!H66:H72)</f>
        <v>0.13917525773195877</v>
      </c>
      <c r="K69" s="257">
        <f>SUM(K62:K68)</f>
        <v>76</v>
      </c>
      <c r="L69" s="346">
        <f>K69/SUM('2020'!J66:J72)</f>
        <v>0.65517241379310343</v>
      </c>
      <c r="M69" s="257">
        <f>SUM(M62:M68)</f>
        <v>32</v>
      </c>
      <c r="N69" s="346">
        <f>M69/SUM('2020'!L66:L72)</f>
        <v>0.42666666666666669</v>
      </c>
      <c r="O69" s="257">
        <f>SUM(O62:O68)</f>
        <v>25</v>
      </c>
      <c r="P69" s="346">
        <f>O69/SUM('2020'!N66:N72)</f>
        <v>0.42372881355932202</v>
      </c>
      <c r="Q69" s="188"/>
      <c r="R69" s="189"/>
      <c r="S69" s="188"/>
      <c r="T69" s="189"/>
      <c r="U69" s="149">
        <f>SUM(U62:U68)</f>
        <v>90</v>
      </c>
      <c r="V69" s="380">
        <f>IF('2021'!S73=0,0,IF('2020'!S73=0,0,'2021'!S73/'2020'!S73-1))</f>
        <v>0.49723756906077354</v>
      </c>
      <c r="W69" s="149">
        <f>SUM(W62:W68)</f>
        <v>1</v>
      </c>
      <c r="X69" s="381">
        <f>IF('2021'!U73=0,0,IF('2020'!U73=0,0,'2021'!U73/'2020'!U73-1))</f>
        <v>7.6923076923076872E-2</v>
      </c>
      <c r="Y69" s="106"/>
    </row>
    <row r="70" spans="1:25" ht="15" customHeight="1" x14ac:dyDescent="0.35">
      <c r="A70" s="108">
        <v>30</v>
      </c>
      <c r="B70" s="1029" t="s">
        <v>45</v>
      </c>
      <c r="C70" s="1026" t="s">
        <v>76</v>
      </c>
      <c r="D70" s="1169">
        <f>'2021'!D74-'2020'!D74</f>
        <v>7</v>
      </c>
      <c r="E70" s="320" t="s">
        <v>32</v>
      </c>
      <c r="F70" s="321" t="s">
        <v>62</v>
      </c>
      <c r="G70" s="298">
        <f>'2021'!G74-'2020'!G74</f>
        <v>17</v>
      </c>
      <c r="H70" s="336">
        <f>IF('2021'!G74=0,0,IF('2020'!G74=0,0,'2021'!G74/'2020'!G74-1))</f>
        <v>0.28813559322033888</v>
      </c>
      <c r="I70" s="327">
        <f>'2021'!H74-'2020'!H74</f>
        <v>17</v>
      </c>
      <c r="J70" s="343">
        <f>IF(I70=0,0,'2021'!H74/'2020'!H74-1)</f>
        <v>0.28813559322033888</v>
      </c>
      <c r="K70" s="252">
        <f>'2021'!J74-'2020'!J74</f>
        <v>7.91</v>
      </c>
      <c r="L70" s="343">
        <f>IF('2021'!J74=0,0,IF('2020'!J74=0,0,'2021'!J74/'2020'!J74-1))</f>
        <v>0.2628780325689597</v>
      </c>
      <c r="M70" s="252">
        <f>'2021'!L74-'2020'!L74</f>
        <v>3.0399999999999991</v>
      </c>
      <c r="N70" s="343">
        <f>IF('2021'!L74=0,0,IF('2020'!L74=0,0,'2021'!L74/'2020'!L74-1))</f>
        <v>0.11710323574730341</v>
      </c>
      <c r="O70" s="252">
        <f>IF('2020'!N74="-",0,'2021'!N74-'2020'!N74)</f>
        <v>4.9047999999999981</v>
      </c>
      <c r="P70" s="343">
        <f>IF('2021'!N74=0,0,IF('2020'!N74="-",0,'2021'!N74/'2020'!N74-1))</f>
        <v>0.30473681594512625</v>
      </c>
      <c r="Q70" s="182"/>
      <c r="R70" s="183"/>
      <c r="S70" s="182"/>
      <c r="T70" s="183"/>
      <c r="U70" s="131">
        <f>'2021'!S74-'2020'!S74</f>
        <v>75</v>
      </c>
      <c r="V70" s="374">
        <f>IF('2021'!S74=0,0,IF('2020'!S74=0,0,'2021'!S74/'2020'!S74-1))</f>
        <v>0</v>
      </c>
      <c r="W70" s="131">
        <f>'2021'!U74-'2020'!U74</f>
        <v>1</v>
      </c>
      <c r="X70" s="375">
        <f>IF('2021'!U74=0,0,IF('2020'!U74=0,0,'2021'!U74/'2020'!U74-1))</f>
        <v>0</v>
      </c>
      <c r="Y70" s="106"/>
    </row>
    <row r="71" spans="1:25" ht="15" customHeight="1" x14ac:dyDescent="0.35">
      <c r="A71" s="108">
        <v>31</v>
      </c>
      <c r="B71" s="1021"/>
      <c r="C71" s="1027"/>
      <c r="D71" s="1170"/>
      <c r="E71" s="322" t="s">
        <v>33</v>
      </c>
      <c r="F71" s="318" t="s">
        <v>62</v>
      </c>
      <c r="G71" s="301">
        <f>'2021'!G75-'2020'!G75</f>
        <v>35</v>
      </c>
      <c r="H71" s="337">
        <f>IF('2021'!G75=0,0,IF('2020'!G75=0,0,'2021'!G75/'2020'!G75-1))</f>
        <v>0.77777777777777768</v>
      </c>
      <c r="I71" s="328">
        <f>'2021'!H75-'2020'!H75</f>
        <v>35</v>
      </c>
      <c r="J71" s="344">
        <f>IF(I71=0,0,'2021'!H75/'2020'!H75-1)</f>
        <v>0.77777777777777768</v>
      </c>
      <c r="K71" s="253">
        <f>'2021'!J75-'2020'!J75</f>
        <v>24.900000000000002</v>
      </c>
      <c r="L71" s="344">
        <f>IF('2021'!J75=0,0,IF('2020'!J75=0,0,'2021'!J75/'2020'!J75-1))</f>
        <v>0.95402298850574718</v>
      </c>
      <c r="M71" s="253">
        <f>'2021'!L75-'2020'!L75</f>
        <v>20.2</v>
      </c>
      <c r="N71" s="344">
        <f>IF('2021'!L75=0,0,IF('2020'!L75=0,0,'2021'!L75/'2020'!L75-1))</f>
        <v>1.0202020202020203</v>
      </c>
      <c r="O71" s="253">
        <f>IF('2020'!N75="-",0,'2021'!N75-'2020'!N75)</f>
        <v>13.129999999999999</v>
      </c>
      <c r="P71" s="344">
        <f>IF('2021'!N75=0,0,IF('2020'!N75="-",0,'2021'!N75/'2020'!N75-1))</f>
        <v>1.0202020202020199</v>
      </c>
      <c r="Q71" s="184"/>
      <c r="R71" s="185"/>
      <c r="S71" s="184"/>
      <c r="T71" s="185"/>
      <c r="U71" s="137">
        <f>'2021'!S75-'2020'!S75</f>
        <v>74</v>
      </c>
      <c r="V71" s="376">
        <f>IF('2021'!S75=0,0,IF('2020'!S75=0,0,'2021'!S75/'2020'!S75-1))</f>
        <v>0</v>
      </c>
      <c r="W71" s="137">
        <f>'2021'!U75-'2020'!U75</f>
        <v>6</v>
      </c>
      <c r="X71" s="378">
        <f>IF('2021'!U75=0,0,IF('2020'!U75=0,0,'2021'!U75/'2020'!U75-1))</f>
        <v>0</v>
      </c>
      <c r="Y71" s="106"/>
    </row>
    <row r="72" spans="1:25" ht="15" customHeight="1" x14ac:dyDescent="0.35">
      <c r="A72" s="108">
        <v>32</v>
      </c>
      <c r="B72" s="1021"/>
      <c r="C72" s="1027"/>
      <c r="D72" s="1170"/>
      <c r="E72" s="322" t="s">
        <v>47</v>
      </c>
      <c r="F72" s="318" t="s">
        <v>62</v>
      </c>
      <c r="G72" s="301">
        <f>'2021'!G76-'2020'!G76</f>
        <v>15</v>
      </c>
      <c r="H72" s="337">
        <f>IF('2021'!G76=0,0,IF('2020'!G76=0,0,'2021'!G76/'2020'!G76-1))</f>
        <v>0.9375</v>
      </c>
      <c r="I72" s="328">
        <f>'2021'!H76-'2020'!H76</f>
        <v>15</v>
      </c>
      <c r="J72" s="344">
        <f>IF(I72=0,0,'2021'!H76/'2020'!H76-1)</f>
        <v>0.9375</v>
      </c>
      <c r="K72" s="253">
        <f>'2021'!J76-'2020'!J76</f>
        <v>2.96</v>
      </c>
      <c r="L72" s="344">
        <f>IF('2021'!J76=0,0,IF('2020'!J76=0,0,'2021'!J76/'2020'!J76-1))</f>
        <v>0.42045454545454541</v>
      </c>
      <c r="M72" s="253">
        <f>'2021'!L76-'2020'!L76</f>
        <v>6.04</v>
      </c>
      <c r="N72" s="344">
        <f>IF('2021'!L76=0,0,IF('2020'!L76=0,0,'2021'!L76/'2020'!L76-1))</f>
        <v>1.217741935483871</v>
      </c>
      <c r="O72" s="253">
        <f>IF('2020'!N76="-",0,'2021'!N76-'2020'!N76)</f>
        <v>3.016</v>
      </c>
      <c r="P72" s="344">
        <f>IF('2021'!N76=0,0,IF('2020'!N76="-",0,'2021'!N76/'2020'!N76-1))</f>
        <v>1.5201612903225805</v>
      </c>
      <c r="Q72" s="184"/>
      <c r="R72" s="185"/>
      <c r="S72" s="184"/>
      <c r="T72" s="185"/>
      <c r="U72" s="137">
        <f>'2021'!S76-'2020'!S76</f>
        <v>31</v>
      </c>
      <c r="V72" s="376">
        <f>IF('2021'!S76=0,0,IF('2020'!S76=0,0,'2021'!S76/'2020'!S76-1))</f>
        <v>0</v>
      </c>
      <c r="W72" s="137">
        <f>'2021'!U76-'2020'!U76</f>
        <v>0</v>
      </c>
      <c r="X72" s="378">
        <f>IF('2021'!U76=0,0,IF('2020'!U76=0,0,'2021'!U76/'2020'!U76-1))</f>
        <v>0</v>
      </c>
      <c r="Y72" s="106"/>
    </row>
    <row r="73" spans="1:25" ht="15" customHeight="1" x14ac:dyDescent="0.35">
      <c r="A73" s="108">
        <v>33</v>
      </c>
      <c r="B73" s="1021"/>
      <c r="C73" s="1027"/>
      <c r="D73" s="1170"/>
      <c r="E73" s="322" t="s">
        <v>46</v>
      </c>
      <c r="F73" s="318" t="s">
        <v>62</v>
      </c>
      <c r="G73" s="301">
        <f>'2021'!G77-'2020'!G77</f>
        <v>-16</v>
      </c>
      <c r="H73" s="337">
        <f>IF('2021'!G77=0,0,IF('2020'!G77=0,0,'2021'!G77/'2020'!G77-1))</f>
        <v>-0.5161290322580645</v>
      </c>
      <c r="I73" s="328">
        <f>'2021'!H77-'2020'!H77</f>
        <v>-16</v>
      </c>
      <c r="J73" s="344">
        <f>IF(I73=0,0,'2021'!H77/'2020'!H77-1)</f>
        <v>-0.5161290322580645</v>
      </c>
      <c r="K73" s="253">
        <f>'2021'!J77-'2020'!J77</f>
        <v>-3.99</v>
      </c>
      <c r="L73" s="344">
        <f>IF('2021'!J77=0,0,IF('2020'!J77=0,0,'2021'!J77/'2020'!J77-1))</f>
        <v>-0.44382647385984431</v>
      </c>
      <c r="M73" s="253">
        <f>'2021'!L77-'2020'!L77</f>
        <v>-9.92</v>
      </c>
      <c r="N73" s="344">
        <f>IF('2021'!L77=0,0,IF('2020'!L77=0,0,'2021'!L77/'2020'!L77-1))</f>
        <v>0</v>
      </c>
      <c r="O73" s="253">
        <f>IF('2020'!N77="-",0,'2021'!N77-'2020'!N77)</f>
        <v>-2.976</v>
      </c>
      <c r="P73" s="344">
        <f>IF('2021'!N77=0,0,IF('2020'!N77="-",0,'2021'!N77/'2020'!N77-1))</f>
        <v>0</v>
      </c>
      <c r="Q73" s="184"/>
      <c r="R73" s="185"/>
      <c r="S73" s="184"/>
      <c r="T73" s="185"/>
      <c r="U73" s="137">
        <f>'2021'!S77-'2020'!S77</f>
        <v>15</v>
      </c>
      <c r="V73" s="376">
        <f>IF('2021'!S77=0,0,IF('2020'!S77=0,0,'2021'!S77/'2020'!S77-1))</f>
        <v>0</v>
      </c>
      <c r="W73" s="137">
        <f>'2021'!U77-'2020'!U77</f>
        <v>0</v>
      </c>
      <c r="X73" s="378">
        <f>IF('2021'!U77=0,0,IF('2020'!U77=0,0,'2021'!U77/'2020'!U77-1))</f>
        <v>0</v>
      </c>
      <c r="Y73" s="106"/>
    </row>
    <row r="74" spans="1:25" ht="15" customHeight="1" x14ac:dyDescent="0.35">
      <c r="A74" s="108">
        <v>34</v>
      </c>
      <c r="B74" s="1021"/>
      <c r="C74" s="1027"/>
      <c r="D74" s="1170"/>
      <c r="E74" s="322" t="s">
        <v>35</v>
      </c>
      <c r="F74" s="318" t="s">
        <v>62</v>
      </c>
      <c r="G74" s="301">
        <f>'2021'!G78-'2020'!G78</f>
        <v>-1</v>
      </c>
      <c r="H74" s="337">
        <f>IF('2021'!G78=0,0,IF('2020'!G78=0,0,'2021'!G78/'2020'!G78-1))</f>
        <v>-0.33333333333333337</v>
      </c>
      <c r="I74" s="328">
        <f>'2021'!H78-'2020'!H78</f>
        <v>-1</v>
      </c>
      <c r="J74" s="344">
        <f>IF(I74=0,0,'2021'!H78/'2020'!H78-1)</f>
        <v>-0.33333333333333337</v>
      </c>
      <c r="K74" s="253">
        <f>'2021'!J78-'2020'!J78</f>
        <v>1</v>
      </c>
      <c r="L74" s="344">
        <f>IF('2021'!J78=0,0,IF('2020'!J78=0,0,'2021'!J78/'2020'!J78-1))</f>
        <v>0</v>
      </c>
      <c r="M74" s="253">
        <f>'2021'!L78-'2020'!L78</f>
        <v>1</v>
      </c>
      <c r="N74" s="344">
        <f>IF('2021'!L78=0,0,IF('2020'!L78=0,0,'2021'!L78/'2020'!L78-1))</f>
        <v>0</v>
      </c>
      <c r="O74" s="253">
        <f>IF('2020'!N78="-",0,'2021'!N78-'2020'!N78)</f>
        <v>0</v>
      </c>
      <c r="P74" s="344">
        <f>IF('2021'!N78=0,0,IF('2020'!N78="-",0,'2021'!N78/'2020'!N78-1))</f>
        <v>0</v>
      </c>
      <c r="Q74" s="184"/>
      <c r="R74" s="185"/>
      <c r="S74" s="184"/>
      <c r="T74" s="185"/>
      <c r="U74" s="137">
        <f>'2021'!S78-'2020'!S78</f>
        <v>1</v>
      </c>
      <c r="V74" s="376">
        <f>IF('2021'!S78=0,0,IF('2020'!S78=0,0,'2021'!S78/'2020'!S78-1))</f>
        <v>0</v>
      </c>
      <c r="W74" s="137">
        <f>'2021'!U78-'2020'!U78</f>
        <v>1</v>
      </c>
      <c r="X74" s="378">
        <f>IF('2021'!U78=0,0,IF('2020'!U78=0,0,'2021'!U78/'2020'!U78-1))</f>
        <v>0</v>
      </c>
      <c r="Y74" s="106"/>
    </row>
    <row r="75" spans="1:25" ht="15" customHeight="1" x14ac:dyDescent="0.35">
      <c r="A75" s="108">
        <v>35</v>
      </c>
      <c r="B75" s="1021"/>
      <c r="C75" s="1027"/>
      <c r="D75" s="1170"/>
      <c r="E75" s="322" t="s">
        <v>34</v>
      </c>
      <c r="F75" s="318" t="s">
        <v>62</v>
      </c>
      <c r="G75" s="301">
        <f>'2021'!G79-'2020'!G79</f>
        <v>2</v>
      </c>
      <c r="H75" s="337">
        <f>IF('2021'!G79=0,0,IF('2020'!G79=0,0,'2021'!G79/'2020'!G79-1))</f>
        <v>0.15384615384615374</v>
      </c>
      <c r="I75" s="328">
        <f>'2021'!H79-'2020'!H79</f>
        <v>2</v>
      </c>
      <c r="J75" s="344">
        <f>IF(I75=0,0,'2021'!H79/'2020'!H79-1)</f>
        <v>0.15384615384615374</v>
      </c>
      <c r="K75" s="253">
        <f>'2021'!J79-'2020'!J79</f>
        <v>5.01</v>
      </c>
      <c r="L75" s="344">
        <f>IF('2021'!J79=0,0,IF('2020'!J79=0,0,'2021'!J79/'2020'!J79-1))</f>
        <v>1.6755852842809364</v>
      </c>
      <c r="M75" s="253">
        <f>'2021'!L79-'2020'!L79</f>
        <v>2.0499999999999998</v>
      </c>
      <c r="N75" s="344">
        <f>IF('2021'!L79=0,0,IF('2020'!L79=0,0,'2021'!L79/'2020'!L79-1))</f>
        <v>1.0512820512820515</v>
      </c>
      <c r="O75" s="253">
        <f>IF('2020'!N79="-",0,'2021'!N79-'2020'!N79)</f>
        <v>1.0249999999999999</v>
      </c>
      <c r="P75" s="344">
        <f>IF('2021'!N79=0,0,IF('2020'!N79="-",0,'2021'!N79/'2020'!N79-1))</f>
        <v>1.0512820512820515</v>
      </c>
      <c r="Q75" s="184"/>
      <c r="R75" s="185"/>
      <c r="S75" s="184"/>
      <c r="T75" s="185"/>
      <c r="U75" s="137">
        <f>'2021'!S79-'2020'!S79</f>
        <v>13</v>
      </c>
      <c r="V75" s="376">
        <f>IF('2021'!S79=0,0,IF('2020'!S79=0,0,'2021'!S79/'2020'!S79-1))</f>
        <v>0</v>
      </c>
      <c r="W75" s="137">
        <f>'2021'!U79-'2020'!U79</f>
        <v>2</v>
      </c>
      <c r="X75" s="378">
        <f>IF('2021'!U79=0,0,IF('2020'!U79=0,0,'2021'!U79/'2020'!U79-1))</f>
        <v>0</v>
      </c>
      <c r="Y75" s="106"/>
    </row>
    <row r="76" spans="1:25" ht="15.75" customHeight="1" x14ac:dyDescent="0.35">
      <c r="A76" s="108">
        <v>36</v>
      </c>
      <c r="B76" s="1021"/>
      <c r="C76" s="1027"/>
      <c r="D76" s="1170"/>
      <c r="E76" s="322" t="s">
        <v>147</v>
      </c>
      <c r="F76" s="318"/>
      <c r="G76" s="301"/>
      <c r="H76" s="337"/>
      <c r="I76" s="328"/>
      <c r="J76" s="344"/>
      <c r="K76" s="253"/>
      <c r="L76" s="344"/>
      <c r="M76" s="253"/>
      <c r="N76" s="344"/>
      <c r="O76" s="253"/>
      <c r="P76" s="344"/>
      <c r="Q76" s="184"/>
      <c r="R76" s="185"/>
      <c r="S76" s="184"/>
      <c r="T76" s="185"/>
      <c r="U76" s="137"/>
      <c r="V76" s="376"/>
      <c r="W76" s="137"/>
      <c r="X76" s="378"/>
      <c r="Y76" s="106"/>
    </row>
    <row r="77" spans="1:25" ht="15.75" customHeight="1" x14ac:dyDescent="0.35">
      <c r="B77" s="1021"/>
      <c r="C77" s="1027"/>
      <c r="D77" s="1171"/>
      <c r="E77" s="623"/>
      <c r="F77" s="624"/>
      <c r="G77" s="569"/>
      <c r="H77" s="570"/>
      <c r="I77" s="571"/>
      <c r="J77" s="572"/>
      <c r="K77" s="573"/>
      <c r="L77" s="572"/>
      <c r="M77" s="573"/>
      <c r="N77" s="572"/>
      <c r="O77" s="573"/>
      <c r="P77" s="572"/>
      <c r="Q77" s="574"/>
      <c r="R77" s="575"/>
      <c r="S77" s="574"/>
      <c r="T77" s="575"/>
      <c r="U77" s="484"/>
      <c r="V77" s="602"/>
      <c r="W77" s="484"/>
      <c r="X77" s="485"/>
      <c r="Y77" s="106"/>
    </row>
    <row r="78" spans="1:25" ht="15.75" customHeight="1" x14ac:dyDescent="0.35">
      <c r="B78" s="1021"/>
      <c r="C78" s="1027"/>
      <c r="D78" s="1171"/>
      <c r="E78" s="623"/>
      <c r="F78" s="624"/>
      <c r="G78" s="569"/>
      <c r="H78" s="570"/>
      <c r="I78" s="571"/>
      <c r="J78" s="572"/>
      <c r="K78" s="573"/>
      <c r="L78" s="572"/>
      <c r="M78" s="573"/>
      <c r="N78" s="572"/>
      <c r="O78" s="573"/>
      <c r="P78" s="572"/>
      <c r="Q78" s="574"/>
      <c r="R78" s="575"/>
      <c r="S78" s="574"/>
      <c r="T78" s="575"/>
      <c r="U78" s="484"/>
      <c r="V78" s="602"/>
      <c r="W78" s="484"/>
      <c r="X78" s="485"/>
      <c r="Y78" s="106"/>
    </row>
    <row r="79" spans="1:25" ht="15.75" customHeight="1" x14ac:dyDescent="0.35">
      <c r="A79" s="108">
        <v>37</v>
      </c>
      <c r="B79" s="1021"/>
      <c r="C79" s="1027"/>
      <c r="D79" s="1172"/>
      <c r="E79" s="323" t="s">
        <v>146</v>
      </c>
      <c r="F79" s="319"/>
      <c r="G79" s="304"/>
      <c r="H79" s="338"/>
      <c r="I79" s="329"/>
      <c r="J79" s="345"/>
      <c r="K79" s="254"/>
      <c r="L79" s="345"/>
      <c r="M79" s="254"/>
      <c r="N79" s="345"/>
      <c r="O79" s="254"/>
      <c r="P79" s="345"/>
      <c r="Q79" s="186"/>
      <c r="R79" s="187"/>
      <c r="S79" s="186"/>
      <c r="T79" s="187"/>
      <c r="U79" s="145"/>
      <c r="V79" s="377"/>
      <c r="W79" s="145"/>
      <c r="X79" s="379"/>
      <c r="Y79" s="106"/>
    </row>
    <row r="80" spans="1:25" ht="15.5" x14ac:dyDescent="0.35">
      <c r="B80" s="1022"/>
      <c r="C80" s="1028"/>
      <c r="D80" s="409" t="s">
        <v>138</v>
      </c>
      <c r="E80" s="363"/>
      <c r="F80" s="362"/>
      <c r="G80" s="308">
        <f>SUM(G70:G79)</f>
        <v>52</v>
      </c>
      <c r="H80" s="339">
        <f>G80/SUM('2020'!G74:G79)</f>
        <v>0.31137724550898205</v>
      </c>
      <c r="I80" s="330">
        <f>SUM(I70:I79)</f>
        <v>52</v>
      </c>
      <c r="J80" s="346">
        <f>I80/SUM('2020'!H74:H79)</f>
        <v>0.31137724550898205</v>
      </c>
      <c r="K80" s="257">
        <f>SUM(K70:K79)</f>
        <v>37.79</v>
      </c>
      <c r="L80" s="346">
        <f>K80/SUM('2020'!J74:J79)</f>
        <v>0.50245977928466967</v>
      </c>
      <c r="M80" s="257">
        <f>SUM(M70:M79)</f>
        <v>22.41</v>
      </c>
      <c r="N80" s="346">
        <f>M80/SUM('2020'!L74:L79)</f>
        <v>0.35804441604090104</v>
      </c>
      <c r="O80" s="257">
        <f>SUM(O70:O79)</f>
        <v>19.099799999999995</v>
      </c>
      <c r="P80" s="346">
        <f>O80/SUM('2020'!N74:N79)</f>
        <v>0.54726907009128867</v>
      </c>
      <c r="Q80" s="188"/>
      <c r="R80" s="189"/>
      <c r="S80" s="188"/>
      <c r="T80" s="189"/>
      <c r="U80" s="149">
        <f>SUM(U70:U79)</f>
        <v>209</v>
      </c>
      <c r="V80" s="380">
        <f>IF('2021'!S84=0,0,IF('2020'!S84=0,0,'2021'!S84/'2020'!S84-1))</f>
        <v>0</v>
      </c>
      <c r="W80" s="149">
        <f>SUM(W70:W79)</f>
        <v>10</v>
      </c>
      <c r="X80" s="381">
        <f>IF('2021'!U84=0,0,IF('2020'!U84=0,0,'2021'!U84/'2020'!U84-1))</f>
        <v>0</v>
      </c>
      <c r="Y80" s="106"/>
    </row>
    <row r="81" spans="1:25" x14ac:dyDescent="0.35">
      <c r="B81" s="1033" t="s">
        <v>85</v>
      </c>
      <c r="C81" s="1036" t="s">
        <v>76</v>
      </c>
      <c r="D81" s="1173">
        <f>'2021'!D85-'2020'!D85</f>
        <v>3</v>
      </c>
      <c r="E81" s="320" t="s">
        <v>154</v>
      </c>
      <c r="F81" s="321"/>
      <c r="G81" s="298"/>
      <c r="H81" s="336"/>
      <c r="I81" s="327"/>
      <c r="J81" s="343"/>
      <c r="K81" s="252"/>
      <c r="L81" s="343"/>
      <c r="M81" s="252"/>
      <c r="N81" s="343"/>
      <c r="O81" s="252"/>
      <c r="P81" s="343"/>
      <c r="Q81" s="182"/>
      <c r="R81" s="183"/>
      <c r="S81" s="182"/>
      <c r="T81" s="183"/>
      <c r="U81" s="131"/>
      <c r="V81" s="374"/>
      <c r="W81" s="131"/>
      <c r="X81" s="375"/>
      <c r="Y81" s="106"/>
    </row>
    <row r="82" spans="1:25" ht="15.75" customHeight="1" x14ac:dyDescent="0.35">
      <c r="B82" s="1034"/>
      <c r="C82" s="1037"/>
      <c r="D82" s="1174"/>
      <c r="E82" s="322" t="s">
        <v>155</v>
      </c>
      <c r="F82" s="318"/>
      <c r="G82" s="301"/>
      <c r="H82" s="337"/>
      <c r="I82" s="328"/>
      <c r="J82" s="344"/>
      <c r="K82" s="253"/>
      <c r="L82" s="344"/>
      <c r="M82" s="253"/>
      <c r="N82" s="344"/>
      <c r="O82" s="253"/>
      <c r="P82" s="344"/>
      <c r="Q82" s="184"/>
      <c r="R82" s="185"/>
      <c r="S82" s="184"/>
      <c r="T82" s="185"/>
      <c r="U82" s="137"/>
      <c r="V82" s="376"/>
      <c r="W82" s="137"/>
      <c r="X82" s="378"/>
      <c r="Y82" s="106"/>
    </row>
    <row r="83" spans="1:25" ht="15.75" customHeight="1" x14ac:dyDescent="0.35">
      <c r="B83" s="1034"/>
      <c r="C83" s="1037"/>
      <c r="D83" s="1174"/>
      <c r="E83" s="322" t="s">
        <v>156</v>
      </c>
      <c r="F83" s="318"/>
      <c r="G83" s="301"/>
      <c r="H83" s="337"/>
      <c r="I83" s="328"/>
      <c r="J83" s="344"/>
      <c r="K83" s="253"/>
      <c r="L83" s="344"/>
      <c r="M83" s="253"/>
      <c r="N83" s="344"/>
      <c r="O83" s="253"/>
      <c r="P83" s="344"/>
      <c r="Q83" s="184"/>
      <c r="R83" s="185"/>
      <c r="S83" s="184"/>
      <c r="T83" s="185"/>
      <c r="U83" s="137"/>
      <c r="V83" s="376"/>
      <c r="W83" s="137"/>
      <c r="X83" s="378"/>
      <c r="Y83" s="106"/>
    </row>
    <row r="84" spans="1:25" ht="15" customHeight="1" x14ac:dyDescent="0.35">
      <c r="A84" s="108">
        <v>38</v>
      </c>
      <c r="B84" s="1034"/>
      <c r="C84" s="1037"/>
      <c r="D84" s="1174"/>
      <c r="E84" s="322" t="s">
        <v>37</v>
      </c>
      <c r="F84" s="474" t="s">
        <v>60</v>
      </c>
      <c r="G84" s="301">
        <f>'2021'!G88-'2020'!G88</f>
        <v>129</v>
      </c>
      <c r="H84" s="337">
        <f>IF('2021'!G88=0,0,IF('2020'!G88=0,0,'2021'!G88/'2020'!G88-1))</f>
        <v>0.59447004608294929</v>
      </c>
      <c r="I84" s="328">
        <f>'2021'!H88-'2020'!H88</f>
        <v>72</v>
      </c>
      <c r="J84" s="344">
        <f>IF(I84=0,0,'2021'!H88/'2020'!H88-1)</f>
        <v>0.70588235294117641</v>
      </c>
      <c r="K84" s="253">
        <f>'2021'!J88-'2020'!J88</f>
        <v>46.070000000000007</v>
      </c>
      <c r="L84" s="344">
        <f>IF('2021'!J88=0,0,IF('2020'!J88=0,0,'2021'!J88/'2020'!J88-1))</f>
        <v>0.73208326712219951</v>
      </c>
      <c r="M84" s="253">
        <f>'2021'!L88-'2020'!L88</f>
        <v>13</v>
      </c>
      <c r="N84" s="344">
        <f>IF('2021'!L88=0,0,IF('2020'!L88=0,0,'2021'!L88/'2020'!L88-1))</f>
        <v>0.18840579710144922</v>
      </c>
      <c r="O84" s="253">
        <f>IF('2020'!N88="-",0,'2021'!N88-'2020'!N88)</f>
        <v>0</v>
      </c>
      <c r="P84" s="344">
        <f>IF('2021'!N88=0,0,IF('2020'!N88="-",0,'2021'!N88/'2020'!N88-1))</f>
        <v>0</v>
      </c>
      <c r="Q84" s="184">
        <v>27</v>
      </c>
      <c r="R84" s="185">
        <v>8</v>
      </c>
      <c r="S84" s="184">
        <v>33</v>
      </c>
      <c r="T84" s="185">
        <v>14</v>
      </c>
      <c r="U84" s="137">
        <f>'2021'!S88-'2020'!S88</f>
        <v>133</v>
      </c>
      <c r="V84" s="376">
        <f>IF('2021'!S88=0,0,IF('2020'!S88=0,0,'2021'!S88/'2020'!S88-1))</f>
        <v>0.55186721991701249</v>
      </c>
      <c r="W84" s="137">
        <f>'2021'!U88-'2020'!U88</f>
        <v>13</v>
      </c>
      <c r="X84" s="378">
        <f>IF('2021'!U88=0,0,IF('2020'!U88=0,0,'2021'!U88/'2020'!U88-1))</f>
        <v>1.4444444444444446</v>
      </c>
      <c r="Y84" s="106"/>
    </row>
    <row r="85" spans="1:25" ht="15" customHeight="1" x14ac:dyDescent="0.35">
      <c r="A85" s="108">
        <v>39</v>
      </c>
      <c r="B85" s="1034"/>
      <c r="C85" s="1037"/>
      <c r="D85" s="1174"/>
      <c r="E85" s="322" t="s">
        <v>157</v>
      </c>
      <c r="F85" s="474" t="s">
        <v>62</v>
      </c>
      <c r="G85" s="301">
        <f>'2021'!G89-'2020'!G89</f>
        <v>74</v>
      </c>
      <c r="H85" s="337">
        <f>IF('2021'!G89=0,0,IF('2020'!G89=0,0,'2021'!G89/'2020'!G89-1))</f>
        <v>0.47435897435897445</v>
      </c>
      <c r="I85" s="328">
        <f>'2021'!H89-'2020'!H89</f>
        <v>29</v>
      </c>
      <c r="J85" s="344">
        <f>IF(I85=0,0,'2021'!H89/'2020'!H89-1)</f>
        <v>0.33333333333333326</v>
      </c>
      <c r="K85" s="253">
        <f>'2021'!J89-'2020'!J89</f>
        <v>29.599999999999994</v>
      </c>
      <c r="L85" s="344">
        <f>IF('2021'!J89=0,0,IF('2020'!J89=0,0,'2021'!J89/'2020'!J89-1))</f>
        <v>0.47435897435897423</v>
      </c>
      <c r="M85" s="253">
        <f>'2021'!L89-'2020'!L89</f>
        <v>16</v>
      </c>
      <c r="N85" s="344">
        <f>IF('2021'!L89=0,0,IF('2020'!L89=0,0,'2021'!L89/'2020'!L89-1))</f>
        <v>0.26229508196721318</v>
      </c>
      <c r="O85" s="253">
        <f>IF('2020'!N89="-",0,'2021'!N89-'2020'!N89)</f>
        <v>0</v>
      </c>
      <c r="P85" s="344">
        <f>IF('2021'!N89=0,0,IF('2020'!N89="-",0,'2021'!N89/'2020'!N89-1))</f>
        <v>0</v>
      </c>
      <c r="Q85" s="184">
        <v>7</v>
      </c>
      <c r="R85" s="185">
        <v>5</v>
      </c>
      <c r="S85" s="184">
        <v>4</v>
      </c>
      <c r="T85" s="185">
        <v>1</v>
      </c>
      <c r="U85" s="137">
        <f>'2021'!S89-'2020'!S89</f>
        <v>70</v>
      </c>
      <c r="V85" s="376">
        <f>IF('2021'!S89=0,0,IF('2020'!S89=0,0,'2021'!S89/'2020'!S89-1))</f>
        <v>0.47945205479452047</v>
      </c>
      <c r="W85" s="137">
        <f>'2021'!U89-'2020'!U89</f>
        <v>4</v>
      </c>
      <c r="X85" s="378">
        <f>IF('2021'!U89=0,0,IF('2020'!U89=0,0,'2021'!U89/'2020'!U89-1))</f>
        <v>0.28571428571428581</v>
      </c>
      <c r="Y85" s="106"/>
    </row>
    <row r="86" spans="1:25" ht="15" customHeight="1" x14ac:dyDescent="0.35">
      <c r="A86" s="108">
        <v>40</v>
      </c>
      <c r="B86" s="1034"/>
      <c r="C86" s="1037"/>
      <c r="D86" s="1174"/>
      <c r="E86" s="322" t="s">
        <v>38</v>
      </c>
      <c r="F86" s="474" t="s">
        <v>62</v>
      </c>
      <c r="G86" s="301">
        <f>'2021'!G90-'2020'!G90</f>
        <v>72</v>
      </c>
      <c r="H86" s="337">
        <f>IF('2021'!G90=0,0,IF('2020'!G90=0,0,'2021'!G90/'2020'!G90-1))</f>
        <v>0.43113772455089827</v>
      </c>
      <c r="I86" s="328">
        <f>'2021'!H90-'2020'!H90</f>
        <v>34</v>
      </c>
      <c r="J86" s="344">
        <f>IF(I86=0,0,'2021'!H90/'2020'!H90-1)</f>
        <v>0.42500000000000004</v>
      </c>
      <c r="K86" s="253">
        <f>'2021'!J90-'2020'!J90</f>
        <v>41.58</v>
      </c>
      <c r="L86" s="344">
        <f>IF('2021'!J90=0,0,IF('2020'!J90=0,0,'2021'!J90/'2020'!J90-1))</f>
        <v>0.95762321510824489</v>
      </c>
      <c r="M86" s="253">
        <f>'2021'!L90-'2020'!L90</f>
        <v>15</v>
      </c>
      <c r="N86" s="344">
        <f>IF('2021'!L90=0,0,IF('2020'!L90=0,0,'2021'!L90/'2020'!L90-1))</f>
        <v>0.24193548387096775</v>
      </c>
      <c r="O86" s="253">
        <f>IF('2020'!N90="-",0,'2021'!N90-'2020'!N90)</f>
        <v>0</v>
      </c>
      <c r="P86" s="344">
        <f>IF('2021'!N90=0,0,IF('2020'!N90="-",0,'2021'!N90/'2020'!N90-1))</f>
        <v>0</v>
      </c>
      <c r="Q86" s="184">
        <v>7</v>
      </c>
      <c r="R86" s="185">
        <v>3</v>
      </c>
      <c r="S86" s="184">
        <v>33</v>
      </c>
      <c r="T86" s="185">
        <v>14</v>
      </c>
      <c r="U86" s="137">
        <f>'2021'!S90-'2020'!S90</f>
        <v>75</v>
      </c>
      <c r="V86" s="376">
        <f>IF('2021'!S90=0,0,IF('2020'!S90=0,0,'2021'!S90/'2020'!S90-1))</f>
        <v>0.49019607843137258</v>
      </c>
      <c r="W86" s="137">
        <f>'2021'!U90-'2020'!U90</f>
        <v>0</v>
      </c>
      <c r="X86" s="378">
        <f>IF('2021'!U90=0,0,IF('2020'!U90=0,0,'2021'!U90/'2020'!U90-1))</f>
        <v>0</v>
      </c>
      <c r="Y86" s="106"/>
    </row>
    <row r="87" spans="1:25" ht="15" customHeight="1" x14ac:dyDescent="0.35">
      <c r="B87" s="1034"/>
      <c r="C87" s="1037"/>
      <c r="D87" s="1174"/>
      <c r="E87" s="322" t="s">
        <v>158</v>
      </c>
      <c r="F87" s="474"/>
      <c r="G87" s="301"/>
      <c r="H87" s="337"/>
      <c r="I87" s="328"/>
      <c r="J87" s="344"/>
      <c r="K87" s="253"/>
      <c r="L87" s="344"/>
      <c r="M87" s="253"/>
      <c r="N87" s="344"/>
      <c r="O87" s="253"/>
      <c r="P87" s="344"/>
      <c r="Q87" s="184"/>
      <c r="R87" s="185"/>
      <c r="S87" s="184"/>
      <c r="T87" s="185"/>
      <c r="U87" s="137"/>
      <c r="V87" s="376"/>
      <c r="W87" s="137"/>
      <c r="X87" s="378"/>
      <c r="Y87" s="106"/>
    </row>
    <row r="88" spans="1:25" ht="15" customHeight="1" x14ac:dyDescent="0.35">
      <c r="A88" s="108">
        <v>41</v>
      </c>
      <c r="B88" s="1034"/>
      <c r="C88" s="1037"/>
      <c r="D88" s="1174"/>
      <c r="E88" s="322" t="s">
        <v>148</v>
      </c>
      <c r="F88" s="474"/>
      <c r="G88" s="301"/>
      <c r="H88" s="337"/>
      <c r="I88" s="328"/>
      <c r="J88" s="344"/>
      <c r="K88" s="253"/>
      <c r="L88" s="344"/>
      <c r="M88" s="253"/>
      <c r="N88" s="344"/>
      <c r="O88" s="253"/>
      <c r="P88" s="344"/>
      <c r="Q88" s="184"/>
      <c r="R88" s="185"/>
      <c r="S88" s="184"/>
      <c r="T88" s="185"/>
      <c r="U88" s="137"/>
      <c r="V88" s="376"/>
      <c r="W88" s="137"/>
      <c r="X88" s="378"/>
      <c r="Y88" s="106"/>
    </row>
    <row r="89" spans="1:25" ht="15" customHeight="1" x14ac:dyDescent="0.35">
      <c r="A89" s="108">
        <v>42</v>
      </c>
      <c r="B89" s="1034"/>
      <c r="C89" s="1037"/>
      <c r="D89" s="1174"/>
      <c r="E89" s="322" t="s">
        <v>149</v>
      </c>
      <c r="F89" s="474"/>
      <c r="G89" s="301"/>
      <c r="H89" s="337"/>
      <c r="I89" s="328"/>
      <c r="J89" s="344"/>
      <c r="K89" s="253"/>
      <c r="L89" s="344"/>
      <c r="M89" s="253"/>
      <c r="N89" s="344"/>
      <c r="O89" s="253"/>
      <c r="P89" s="344"/>
      <c r="Q89" s="184"/>
      <c r="R89" s="185"/>
      <c r="S89" s="184"/>
      <c r="T89" s="185"/>
      <c r="U89" s="137"/>
      <c r="V89" s="376"/>
      <c r="W89" s="137"/>
      <c r="X89" s="378"/>
      <c r="Y89" s="106"/>
    </row>
    <row r="90" spans="1:25" ht="15" customHeight="1" x14ac:dyDescent="0.35">
      <c r="B90" s="1034"/>
      <c r="C90" s="1037"/>
      <c r="D90" s="1174"/>
      <c r="E90" s="322"/>
      <c r="F90" s="474"/>
      <c r="G90" s="301"/>
      <c r="H90" s="337"/>
      <c r="I90" s="328"/>
      <c r="J90" s="344"/>
      <c r="K90" s="253"/>
      <c r="L90" s="344"/>
      <c r="M90" s="253"/>
      <c r="N90" s="344"/>
      <c r="O90" s="253"/>
      <c r="P90" s="344"/>
      <c r="Q90" s="184"/>
      <c r="R90" s="185"/>
      <c r="S90" s="184"/>
      <c r="T90" s="185"/>
      <c r="U90" s="137"/>
      <c r="V90" s="376"/>
      <c r="W90" s="137"/>
      <c r="X90" s="378"/>
      <c r="Y90" s="106"/>
    </row>
    <row r="91" spans="1:25" ht="15" customHeight="1" x14ac:dyDescent="0.35">
      <c r="B91" s="1034"/>
      <c r="C91" s="1037"/>
      <c r="D91" s="1174"/>
      <c r="E91" s="322"/>
      <c r="F91" s="474"/>
      <c r="G91" s="301"/>
      <c r="H91" s="337"/>
      <c r="I91" s="328"/>
      <c r="J91" s="344"/>
      <c r="K91" s="253"/>
      <c r="L91" s="344"/>
      <c r="M91" s="253"/>
      <c r="N91" s="344"/>
      <c r="O91" s="253"/>
      <c r="P91" s="344"/>
      <c r="Q91" s="184"/>
      <c r="R91" s="185"/>
      <c r="S91" s="184"/>
      <c r="T91" s="185"/>
      <c r="U91" s="137"/>
      <c r="V91" s="376"/>
      <c r="W91" s="137"/>
      <c r="X91" s="378"/>
      <c r="Y91" s="106"/>
    </row>
    <row r="92" spans="1:25" ht="15" customHeight="1" x14ac:dyDescent="0.35">
      <c r="A92" s="108">
        <v>43</v>
      </c>
      <c r="B92" s="1034"/>
      <c r="C92" s="1037"/>
      <c r="D92" s="1175"/>
      <c r="E92" s="322" t="s">
        <v>152</v>
      </c>
      <c r="F92" s="474"/>
      <c r="G92" s="301"/>
      <c r="H92" s="337"/>
      <c r="I92" s="328"/>
      <c r="J92" s="344"/>
      <c r="K92" s="253"/>
      <c r="L92" s="344"/>
      <c r="M92" s="253"/>
      <c r="N92" s="344"/>
      <c r="O92" s="253"/>
      <c r="P92" s="344"/>
      <c r="Q92" s="184"/>
      <c r="R92" s="185"/>
      <c r="S92" s="184"/>
      <c r="T92" s="185"/>
      <c r="U92" s="137"/>
      <c r="V92" s="376"/>
      <c r="W92" s="137"/>
      <c r="X92" s="378"/>
      <c r="Y92" s="106"/>
    </row>
    <row r="93" spans="1:25" ht="15.5" x14ac:dyDescent="0.35">
      <c r="B93" s="1035"/>
      <c r="C93" s="1038"/>
      <c r="D93" s="497" t="s">
        <v>138</v>
      </c>
      <c r="E93" s="323"/>
      <c r="F93" s="475"/>
      <c r="G93" s="304">
        <f>SUM(G84:G92)</f>
        <v>275</v>
      </c>
      <c r="H93" s="338">
        <f>G93/SUM('2020'!G88:G90)</f>
        <v>0.5092592592592593</v>
      </c>
      <c r="I93" s="329">
        <f>SUM(I84:I92)</f>
        <v>135</v>
      </c>
      <c r="J93" s="345">
        <f>I93/SUM('2020'!H88:H90)</f>
        <v>0.5018587360594795</v>
      </c>
      <c r="K93" s="254">
        <f>SUM(K84:K92)</f>
        <v>117.25</v>
      </c>
      <c r="L93" s="345">
        <f>K93/SUM('2020'!J88:J90)</f>
        <v>0.69481481481481477</v>
      </c>
      <c r="M93" s="254">
        <f>SUM(M84:M92)</f>
        <v>44</v>
      </c>
      <c r="N93" s="345">
        <f>M93/SUM('2020'!L88:L90)</f>
        <v>0.22916666666666666</v>
      </c>
      <c r="O93" s="254">
        <f>SUM(O84:O92)</f>
        <v>0</v>
      </c>
      <c r="P93" s="345" t="e">
        <f>O93/SUM('2020'!N88:N90)</f>
        <v>#DIV/0!</v>
      </c>
      <c r="Q93" s="186">
        <f>SUM(Q84:Q92)</f>
        <v>41</v>
      </c>
      <c r="R93" s="187">
        <f t="shared" ref="R93:T93" si="0">SUM(R84:R92)</f>
        <v>16</v>
      </c>
      <c r="S93" s="186">
        <f t="shared" si="0"/>
        <v>70</v>
      </c>
      <c r="T93" s="187">
        <f t="shared" si="0"/>
        <v>29</v>
      </c>
      <c r="U93" s="145">
        <f>SUM(U79:U92)</f>
        <v>487</v>
      </c>
      <c r="V93" s="377">
        <f>IF('2021'!S97=0,0,IF('2020'!S97=0,0,'2021'!S97/'2020'!S97-1))</f>
        <v>0.63148148148148153</v>
      </c>
      <c r="W93" s="145">
        <f>SUM(W79:W92)</f>
        <v>27</v>
      </c>
      <c r="X93" s="379">
        <f>IF('2021'!U97=0,0,IF('2020'!U97=0,0,'2021'!U97/'2020'!U97-1))</f>
        <v>0.44285714285714284</v>
      </c>
      <c r="Y93" s="106"/>
    </row>
    <row r="94" spans="1:25" ht="15.75" customHeight="1" x14ac:dyDescent="0.35">
      <c r="A94" s="108">
        <v>44</v>
      </c>
      <c r="B94" s="1029" t="s">
        <v>72</v>
      </c>
      <c r="C94" s="1032" t="s">
        <v>76</v>
      </c>
      <c r="D94" s="1164">
        <f>'2021'!D98-'2020'!D98</f>
        <v>3</v>
      </c>
      <c r="E94" s="296" t="s">
        <v>150</v>
      </c>
      <c r="F94" s="307" t="s">
        <v>62</v>
      </c>
      <c r="G94" s="298">
        <f>'2021'!G98-'2020'!G98</f>
        <v>26</v>
      </c>
      <c r="H94" s="336">
        <f>IF('2021'!G98=0,0,IF('2020'!G98=0,0,'2021'!G98/'2020'!G98-1))</f>
        <v>1.2380952380952381</v>
      </c>
      <c r="I94" s="327">
        <f>'2021'!H98-'2020'!H98</f>
        <v>30</v>
      </c>
      <c r="J94" s="343">
        <f>IF(I94=0,0,'2021'!H98/'2020'!H98-1)</f>
        <v>3.75</v>
      </c>
      <c r="K94" s="252">
        <f>'2021'!J98-'2020'!J98</f>
        <v>2.91</v>
      </c>
      <c r="L94" s="343">
        <f>IF('2021'!J98=0,0,IF('2020'!J98=0,0,'2021'!J98/'2020'!J98-1))</f>
        <v>0.47783251231527091</v>
      </c>
      <c r="M94" s="252">
        <f>'2021'!L98-'2020'!L98</f>
        <v>4.28</v>
      </c>
      <c r="N94" s="343">
        <f>IF('2021'!L98=0,0,IF('2020'!L98=0,0,'2021'!L98/'2020'!L98-1))</f>
        <v>0.63690476190476186</v>
      </c>
      <c r="O94" s="252">
        <f>IF('2020'!N98="-",0,'2021'!N98-'2020'!N98)</f>
        <v>6</v>
      </c>
      <c r="P94" s="343" t="e">
        <f>IF('2021'!N98=0,0,IF('2020'!N98="-",0,'2021'!N98/'2020'!N98-1))</f>
        <v>#DIV/0!</v>
      </c>
      <c r="Q94" s="182">
        <v>1</v>
      </c>
      <c r="R94" s="183">
        <v>0</v>
      </c>
      <c r="S94" s="182">
        <v>7</v>
      </c>
      <c r="T94" s="183">
        <v>5</v>
      </c>
      <c r="U94" s="131">
        <f>'2021'!S98-'2020'!S98</f>
        <v>26</v>
      </c>
      <c r="V94" s="374">
        <f>IF('2021'!S98=0,0,IF('2020'!S98=0,0,'2021'!S98/'2020'!S98-1))</f>
        <v>1.3684210526315788</v>
      </c>
      <c r="W94" s="131">
        <f>'2021'!U98-'2020'!U98</f>
        <v>-6</v>
      </c>
      <c r="X94" s="375">
        <f>IF('2021'!U98=0,0,IF('2020'!U98=0,0,'2021'!U98/'2020'!U98-1))</f>
        <v>-0.66666666666666674</v>
      </c>
      <c r="Y94" s="106"/>
    </row>
    <row r="95" spans="1:25" ht="15.75" customHeight="1" x14ac:dyDescent="0.35">
      <c r="A95" s="108">
        <v>45</v>
      </c>
      <c r="B95" s="1021"/>
      <c r="C95" s="1024"/>
      <c r="D95" s="1164"/>
      <c r="E95" s="397" t="s">
        <v>153</v>
      </c>
      <c r="F95" s="311"/>
      <c r="G95" s="301"/>
      <c r="H95" s="337"/>
      <c r="I95" s="328"/>
      <c r="J95" s="344"/>
      <c r="K95" s="253"/>
      <c r="L95" s="344"/>
      <c r="M95" s="253"/>
      <c r="N95" s="344"/>
      <c r="O95" s="253"/>
      <c r="P95" s="344"/>
      <c r="Q95" s="184"/>
      <c r="R95" s="185"/>
      <c r="S95" s="184"/>
      <c r="T95" s="185"/>
      <c r="U95" s="137"/>
      <c r="V95" s="376"/>
      <c r="W95" s="137"/>
      <c r="X95" s="378"/>
      <c r="Y95" s="106"/>
    </row>
    <row r="96" spans="1:25" ht="15.75" customHeight="1" x14ac:dyDescent="0.35">
      <c r="B96" s="1021"/>
      <c r="C96" s="1024"/>
      <c r="D96" s="1164"/>
      <c r="E96" s="626"/>
      <c r="F96" s="311"/>
      <c r="G96" s="569"/>
      <c r="H96" s="570"/>
      <c r="I96" s="571"/>
      <c r="J96" s="572"/>
      <c r="K96" s="573"/>
      <c r="L96" s="572"/>
      <c r="M96" s="573"/>
      <c r="N96" s="572"/>
      <c r="O96" s="573"/>
      <c r="P96" s="572"/>
      <c r="Q96" s="574"/>
      <c r="R96" s="575"/>
      <c r="S96" s="574"/>
      <c r="T96" s="575"/>
      <c r="U96" s="484"/>
      <c r="V96" s="602"/>
      <c r="W96" s="484"/>
      <c r="X96" s="485"/>
      <c r="Y96" s="106"/>
    </row>
    <row r="97" spans="1:25" ht="15.75" customHeight="1" x14ac:dyDescent="0.35">
      <c r="B97" s="1021"/>
      <c r="C97" s="1024"/>
      <c r="D97" s="1164"/>
      <c r="E97" s="626"/>
      <c r="F97" s="311"/>
      <c r="G97" s="569"/>
      <c r="H97" s="570"/>
      <c r="I97" s="571"/>
      <c r="J97" s="572"/>
      <c r="K97" s="573"/>
      <c r="L97" s="572"/>
      <c r="M97" s="573"/>
      <c r="N97" s="572"/>
      <c r="O97" s="573"/>
      <c r="P97" s="572"/>
      <c r="Q97" s="574"/>
      <c r="R97" s="575"/>
      <c r="S97" s="574"/>
      <c r="T97" s="575"/>
      <c r="U97" s="484"/>
      <c r="V97" s="602"/>
      <c r="W97" s="484"/>
      <c r="X97" s="485"/>
      <c r="Y97" s="106"/>
    </row>
    <row r="98" spans="1:25" ht="15.75" customHeight="1" x14ac:dyDescent="0.35">
      <c r="A98" s="108">
        <v>46</v>
      </c>
      <c r="B98" s="1021"/>
      <c r="C98" s="1024"/>
      <c r="D98" s="1164"/>
      <c r="E98" s="468" t="s">
        <v>36</v>
      </c>
      <c r="F98" s="307"/>
      <c r="G98" s="304"/>
      <c r="H98" s="338"/>
      <c r="I98" s="329"/>
      <c r="J98" s="345"/>
      <c r="K98" s="254"/>
      <c r="L98" s="345"/>
      <c r="M98" s="254"/>
      <c r="N98" s="345"/>
      <c r="O98" s="254"/>
      <c r="P98" s="345"/>
      <c r="Q98" s="186"/>
      <c r="R98" s="187"/>
      <c r="S98" s="186"/>
      <c r="T98" s="187"/>
      <c r="U98" s="145"/>
      <c r="V98" s="377"/>
      <c r="W98" s="484"/>
      <c r="X98" s="485"/>
      <c r="Y98" s="106"/>
    </row>
    <row r="99" spans="1:25" ht="15.75" customHeight="1" x14ac:dyDescent="0.35">
      <c r="B99" s="1031"/>
      <c r="C99" s="1025"/>
      <c r="D99" s="486" t="s">
        <v>138</v>
      </c>
      <c r="E99" s="306"/>
      <c r="F99" s="307"/>
      <c r="G99" s="308">
        <f>SUM(G94:G98)</f>
        <v>26</v>
      </c>
      <c r="H99" s="339">
        <f>G99/'2020'!G98</f>
        <v>1.2380952380952381</v>
      </c>
      <c r="I99" s="330">
        <f>SUM(I94:I98)</f>
        <v>30</v>
      </c>
      <c r="J99" s="346">
        <f>I99/'2020'!H98</f>
        <v>3.75</v>
      </c>
      <c r="K99" s="330">
        <f>SUM(K94:K98)</f>
        <v>2.91</v>
      </c>
      <c r="L99" s="346">
        <f>K99/'2020'!J98</f>
        <v>0.47783251231527096</v>
      </c>
      <c r="M99" s="330">
        <f>SUM(M94:M98)</f>
        <v>4.28</v>
      </c>
      <c r="N99" s="346">
        <f>M99/'2020'!L98</f>
        <v>0.63690476190476197</v>
      </c>
      <c r="O99" s="330">
        <f>SUM(O94:O98)</f>
        <v>6</v>
      </c>
      <c r="P99" s="346" t="e">
        <f>O99/'2020'!N98</f>
        <v>#DIV/0!</v>
      </c>
      <c r="Q99" s="188">
        <f>SUM(Q94:Q98)</f>
        <v>1</v>
      </c>
      <c r="R99" s="189">
        <f t="shared" ref="R99:T99" si="1">SUM(R94:R98)</f>
        <v>0</v>
      </c>
      <c r="S99" s="188">
        <f t="shared" si="1"/>
        <v>7</v>
      </c>
      <c r="T99" s="189">
        <f t="shared" si="1"/>
        <v>5</v>
      </c>
      <c r="U99" s="149">
        <f>SUM(U86:U98)</f>
        <v>588</v>
      </c>
      <c r="V99" s="380">
        <f>IF('2021'!S103=0,0,IF('2020'!S103=0,0,'2021'!S103/'2020'!S103-1))</f>
        <v>3.1052631578947372</v>
      </c>
      <c r="W99" s="149">
        <f>SUM(W86:W98)</f>
        <v>21</v>
      </c>
      <c r="X99" s="381">
        <f>IF('2021'!U103=0,0,IF('2020'!U103=0,0,'2021'!U103/'2020'!U103-1))</f>
        <v>0.77777777777777768</v>
      </c>
      <c r="Y99" s="106"/>
    </row>
    <row r="100" spans="1:25" ht="15.75" customHeight="1" thickBot="1" x14ac:dyDescent="0.4">
      <c r="A100" s="108">
        <v>47</v>
      </c>
      <c r="B100" s="1029" t="s">
        <v>3</v>
      </c>
      <c r="C100" s="1039" t="s">
        <v>76</v>
      </c>
      <c r="D100" s="1164">
        <f>'2021'!D104-'2020'!D104</f>
        <v>-3</v>
      </c>
      <c r="E100" s="296" t="s">
        <v>48</v>
      </c>
      <c r="F100" s="297" t="s">
        <v>61</v>
      </c>
      <c r="G100" s="298"/>
      <c r="H100" s="336"/>
      <c r="I100" s="327"/>
      <c r="J100" s="343"/>
      <c r="K100" s="252"/>
      <c r="L100" s="343"/>
      <c r="M100" s="252"/>
      <c r="N100" s="343"/>
      <c r="O100" s="252"/>
      <c r="P100" s="343"/>
      <c r="Q100" s="182"/>
      <c r="R100" s="183"/>
      <c r="S100" s="182"/>
      <c r="T100" s="183"/>
      <c r="U100" s="130"/>
      <c r="V100" s="127"/>
      <c r="W100" s="130"/>
      <c r="X100" s="152"/>
      <c r="Y100" s="106"/>
    </row>
    <row r="101" spans="1:25" ht="15.75" customHeight="1" thickBot="1" x14ac:dyDescent="0.4">
      <c r="A101" s="108">
        <v>48</v>
      </c>
      <c r="B101" s="1021"/>
      <c r="C101" s="1040"/>
      <c r="D101" s="1164"/>
      <c r="E101" s="299" t="s">
        <v>49</v>
      </c>
      <c r="F101" s="300" t="s">
        <v>61</v>
      </c>
      <c r="G101" s="301"/>
      <c r="H101" s="337"/>
      <c r="I101" s="328"/>
      <c r="J101" s="344"/>
      <c r="K101" s="253"/>
      <c r="L101" s="344"/>
      <c r="M101" s="253"/>
      <c r="N101" s="344"/>
      <c r="O101" s="253"/>
      <c r="P101" s="344"/>
      <c r="Q101" s="184"/>
      <c r="R101" s="185"/>
      <c r="S101" s="184"/>
      <c r="T101" s="185"/>
      <c r="U101" s="136"/>
      <c r="V101" s="133"/>
      <c r="W101" s="136"/>
      <c r="X101" s="140"/>
      <c r="Y101" s="106"/>
    </row>
    <row r="102" spans="1:25" ht="15.75" customHeight="1" thickBot="1" x14ac:dyDescent="0.4">
      <c r="A102" s="108">
        <v>49</v>
      </c>
      <c r="B102" s="1021"/>
      <c r="C102" s="1040"/>
      <c r="D102" s="1164"/>
      <c r="E102" s="299" t="s">
        <v>81</v>
      </c>
      <c r="F102" s="300" t="s">
        <v>61</v>
      </c>
      <c r="G102" s="301"/>
      <c r="H102" s="337"/>
      <c r="I102" s="328"/>
      <c r="J102" s="344"/>
      <c r="K102" s="253"/>
      <c r="L102" s="344"/>
      <c r="M102" s="253"/>
      <c r="N102" s="344"/>
      <c r="O102" s="253"/>
      <c r="P102" s="344"/>
      <c r="Q102" s="184"/>
      <c r="R102" s="185"/>
      <c r="S102" s="184"/>
      <c r="T102" s="185"/>
      <c r="U102" s="136"/>
      <c r="V102" s="133"/>
      <c r="W102" s="136"/>
      <c r="X102" s="140"/>
      <c r="Y102" s="106"/>
    </row>
    <row r="103" spans="1:25" ht="15.75" customHeight="1" thickBot="1" x14ac:dyDescent="0.4">
      <c r="A103" s="108">
        <v>50</v>
      </c>
      <c r="B103" s="1021"/>
      <c r="C103" s="1040"/>
      <c r="D103" s="1164"/>
      <c r="E103" s="299" t="s">
        <v>73</v>
      </c>
      <c r="F103" s="300" t="s">
        <v>61</v>
      </c>
      <c r="G103" s="301"/>
      <c r="H103" s="337"/>
      <c r="I103" s="328"/>
      <c r="J103" s="344"/>
      <c r="K103" s="253"/>
      <c r="L103" s="344"/>
      <c r="M103" s="253"/>
      <c r="N103" s="344"/>
      <c r="O103" s="253"/>
      <c r="P103" s="344"/>
      <c r="Q103" s="184"/>
      <c r="R103" s="185"/>
      <c r="S103" s="184"/>
      <c r="T103" s="185"/>
      <c r="U103" s="136"/>
      <c r="V103" s="133"/>
      <c r="W103" s="136"/>
      <c r="X103" s="140"/>
      <c r="Y103" s="106"/>
    </row>
    <row r="104" spans="1:25" ht="15.75" customHeight="1" thickBot="1" x14ac:dyDescent="0.4">
      <c r="A104" s="108">
        <v>51</v>
      </c>
      <c r="B104" s="1021"/>
      <c r="C104" s="1040"/>
      <c r="D104" s="1164"/>
      <c r="E104" s="299" t="s">
        <v>50</v>
      </c>
      <c r="F104" s="300" t="s">
        <v>61</v>
      </c>
      <c r="G104" s="301"/>
      <c r="H104" s="337"/>
      <c r="I104" s="328"/>
      <c r="J104" s="344"/>
      <c r="K104" s="253"/>
      <c r="L104" s="344"/>
      <c r="M104" s="253"/>
      <c r="N104" s="344"/>
      <c r="O104" s="253"/>
      <c r="P104" s="344"/>
      <c r="Q104" s="184"/>
      <c r="R104" s="185"/>
      <c r="S104" s="184"/>
      <c r="T104" s="185"/>
      <c r="U104" s="136"/>
      <c r="V104" s="133"/>
      <c r="W104" s="136"/>
      <c r="X104" s="140"/>
      <c r="Y104" s="106"/>
    </row>
    <row r="105" spans="1:25" ht="15.75" customHeight="1" thickBot="1" x14ac:dyDescent="0.4">
      <c r="A105" s="108">
        <v>52</v>
      </c>
      <c r="B105" s="1021"/>
      <c r="C105" s="1040"/>
      <c r="D105" s="1164"/>
      <c r="E105" s="299" t="s">
        <v>144</v>
      </c>
      <c r="F105" s="300"/>
      <c r="G105" s="301"/>
      <c r="H105" s="337"/>
      <c r="I105" s="328"/>
      <c r="J105" s="337"/>
      <c r="K105" s="253"/>
      <c r="L105" s="344"/>
      <c r="M105" s="253"/>
      <c r="N105" s="344"/>
      <c r="O105" s="253"/>
      <c r="P105" s="344"/>
      <c r="Q105" s="184"/>
      <c r="R105" s="185"/>
      <c r="S105" s="184"/>
      <c r="T105" s="185"/>
      <c r="U105" s="136"/>
      <c r="V105" s="133"/>
      <c r="W105" s="136"/>
      <c r="X105" s="140"/>
      <c r="Y105" s="106"/>
    </row>
    <row r="106" spans="1:25" ht="15.75" customHeight="1" thickBot="1" x14ac:dyDescent="0.4">
      <c r="A106" s="108">
        <v>53</v>
      </c>
      <c r="B106" s="1021"/>
      <c r="C106" s="1040"/>
      <c r="D106" s="1164"/>
      <c r="E106" s="299" t="s">
        <v>143</v>
      </c>
      <c r="F106" s="300"/>
      <c r="G106" s="301"/>
      <c r="H106" s="337"/>
      <c r="I106" s="328"/>
      <c r="J106" s="337"/>
      <c r="K106" s="253"/>
      <c r="L106" s="344"/>
      <c r="M106" s="253"/>
      <c r="N106" s="344"/>
      <c r="O106" s="253"/>
      <c r="P106" s="344"/>
      <c r="Q106" s="184"/>
      <c r="R106" s="185"/>
      <c r="S106" s="184"/>
      <c r="T106" s="185"/>
      <c r="U106" s="136"/>
      <c r="V106" s="133"/>
      <c r="W106" s="136"/>
      <c r="X106" s="140"/>
      <c r="Y106" s="106"/>
    </row>
    <row r="107" spans="1:25" ht="15.75" customHeight="1" thickBot="1" x14ac:dyDescent="0.4">
      <c r="A107" s="108">
        <v>54</v>
      </c>
      <c r="B107" s="1021"/>
      <c r="C107" s="1040"/>
      <c r="D107" s="1164"/>
      <c r="E107" s="299" t="s">
        <v>80</v>
      </c>
      <c r="F107" s="300" t="s">
        <v>61</v>
      </c>
      <c r="G107" s="301">
        <f>'2021'!G117-'2020'!G117</f>
        <v>122</v>
      </c>
      <c r="H107" s="337">
        <f>IF('2021'!G117=0,0,IF('2020'!G117=0,0,'2021'!G117/'2020'!G117-1))</f>
        <v>0.18740399385560669</v>
      </c>
      <c r="I107" s="328">
        <f>'2021'!H117-'2020'!H117</f>
        <v>122</v>
      </c>
      <c r="J107" s="344">
        <f>IF(I107=0,0,'2021'!H117/'2020'!H117-1)</f>
        <v>0.18740399385560669</v>
      </c>
      <c r="K107" s="253">
        <f>'2021'!J117-'2020'!J117</f>
        <v>304</v>
      </c>
      <c r="L107" s="344">
        <f>IF('2021'!J117=0,0,IF('2020'!J117=0,0,'2021'!J117/'2020'!J117-1))</f>
        <v>0</v>
      </c>
      <c r="M107" s="253">
        <f>'2021'!L117-'2020'!L117</f>
        <v>83</v>
      </c>
      <c r="N107" s="344">
        <f>IF('2021'!L117=0,0,IF('2020'!L117=0,0,'2021'!L117/'2020'!L117-1))</f>
        <v>0.33200000000000007</v>
      </c>
      <c r="O107" s="253">
        <f>IF('2020'!N117="-",0,'2021'!N117-'2020'!N117)</f>
        <v>192</v>
      </c>
      <c r="P107" s="344">
        <f>IF('2021'!N117=0,0,IF('2020'!N117="",0,'2021'!N117/'2020'!N117-1))</f>
        <v>0</v>
      </c>
      <c r="Q107" s="184"/>
      <c r="R107" s="185"/>
      <c r="S107" s="184"/>
      <c r="T107" s="185"/>
      <c r="U107" s="136"/>
      <c r="V107" s="133"/>
      <c r="W107" s="136"/>
      <c r="X107" s="140"/>
      <c r="Y107" s="106"/>
    </row>
    <row r="108" spans="1:25" ht="15.75" customHeight="1" thickBot="1" x14ac:dyDescent="0.4">
      <c r="A108" s="108">
        <v>55</v>
      </c>
      <c r="B108" s="1021"/>
      <c r="C108" s="1040"/>
      <c r="D108" s="1164"/>
      <c r="E108" s="299" t="s">
        <v>51</v>
      </c>
      <c r="F108" s="300" t="s">
        <v>61</v>
      </c>
      <c r="G108" s="301">
        <f>'2021'!G118-'2020'!G118</f>
        <v>14</v>
      </c>
      <c r="H108" s="337">
        <f>IF('2021'!G118=0,0,IF('2020'!G118=0,0,'2021'!G118/'2020'!G118-1))</f>
        <v>2.2764227642276369E-2</v>
      </c>
      <c r="I108" s="328">
        <f>'2021'!H118-'2020'!H118</f>
        <v>14</v>
      </c>
      <c r="J108" s="344">
        <f>IF(I108=0,0,'2021'!H118/'2020'!H118-1)</f>
        <v>2.2764227642276369E-2</v>
      </c>
      <c r="K108" s="253">
        <f>'2021'!J118-'2020'!J118</f>
        <v>296</v>
      </c>
      <c r="L108" s="344">
        <f>IF('2021'!J118=0,0,IF('2020'!J118=0,0,'2021'!J118/'2020'!J118-1))</f>
        <v>0</v>
      </c>
      <c r="M108" s="253">
        <f>'2021'!L118-'2020'!L118</f>
        <v>70</v>
      </c>
      <c r="N108" s="344">
        <f>IF('2021'!L118=0,0,IF('2020'!L118=0,0,'2021'!L118/'2020'!L118-1))</f>
        <v>0.29045643153526979</v>
      </c>
      <c r="O108" s="253">
        <f>IF('2020'!N118="-",0,'2021'!N118-'2020'!N118)</f>
        <v>182</v>
      </c>
      <c r="P108" s="344">
        <f>IF('2021'!N118=0,0,IF('2020'!N118="",0,'2021'!N118/'2020'!N118-1))</f>
        <v>0</v>
      </c>
      <c r="Q108" s="184"/>
      <c r="R108" s="185"/>
      <c r="S108" s="184"/>
      <c r="T108" s="185"/>
      <c r="U108" s="136"/>
      <c r="V108" s="133"/>
      <c r="W108" s="136"/>
      <c r="X108" s="140"/>
      <c r="Y108" s="106"/>
    </row>
    <row r="109" spans="1:25" ht="15.75" customHeight="1" thickBot="1" x14ac:dyDescent="0.4">
      <c r="B109" s="1021"/>
      <c r="C109" s="1040"/>
      <c r="D109" s="1164"/>
      <c r="E109" s="567"/>
      <c r="F109" s="568"/>
      <c r="G109" s="569"/>
      <c r="H109" s="570"/>
      <c r="I109" s="571"/>
      <c r="J109" s="572"/>
      <c r="K109" s="573"/>
      <c r="L109" s="572"/>
      <c r="M109" s="573"/>
      <c r="N109" s="572"/>
      <c r="O109" s="573"/>
      <c r="P109" s="572"/>
      <c r="Q109" s="574"/>
      <c r="R109" s="575"/>
      <c r="S109" s="574"/>
      <c r="T109" s="575"/>
      <c r="U109" s="576"/>
      <c r="V109" s="577"/>
      <c r="W109" s="576"/>
      <c r="X109" s="578"/>
      <c r="Y109" s="106"/>
    </row>
    <row r="110" spans="1:25" ht="15.75" customHeight="1" thickBot="1" x14ac:dyDescent="0.4">
      <c r="B110" s="1021"/>
      <c r="C110" s="1040"/>
      <c r="D110" s="1164"/>
      <c r="E110" s="567"/>
      <c r="F110" s="568"/>
      <c r="G110" s="569"/>
      <c r="H110" s="570"/>
      <c r="I110" s="571"/>
      <c r="J110" s="572"/>
      <c r="K110" s="573"/>
      <c r="L110" s="572"/>
      <c r="M110" s="573"/>
      <c r="N110" s="572"/>
      <c r="O110" s="573"/>
      <c r="P110" s="572"/>
      <c r="Q110" s="574"/>
      <c r="R110" s="575"/>
      <c r="S110" s="574"/>
      <c r="T110" s="575"/>
      <c r="U110" s="576"/>
      <c r="V110" s="577"/>
      <c r="W110" s="576"/>
      <c r="X110" s="578"/>
      <c r="Y110" s="106"/>
    </row>
    <row r="111" spans="1:25" ht="15.75" customHeight="1" thickBot="1" x14ac:dyDescent="0.4">
      <c r="A111" s="108">
        <v>56</v>
      </c>
      <c r="B111" s="1021"/>
      <c r="C111" s="1040"/>
      <c r="D111" s="1164"/>
      <c r="E111" s="302" t="s">
        <v>52</v>
      </c>
      <c r="F111" s="303" t="s">
        <v>61</v>
      </c>
      <c r="G111" s="304"/>
      <c r="H111" s="338"/>
      <c r="I111" s="329"/>
      <c r="J111" s="345"/>
      <c r="K111" s="254"/>
      <c r="L111" s="345"/>
      <c r="M111" s="254"/>
      <c r="N111" s="345"/>
      <c r="O111" s="254"/>
      <c r="P111" s="345"/>
      <c r="Q111" s="186"/>
      <c r="R111" s="187"/>
      <c r="S111" s="186"/>
      <c r="T111" s="187"/>
      <c r="U111" s="144"/>
      <c r="V111" s="141"/>
      <c r="W111" s="144"/>
      <c r="X111" s="175"/>
      <c r="Y111" s="106"/>
    </row>
    <row r="112" spans="1:25" ht="16" thickBot="1" x14ac:dyDescent="0.4">
      <c r="B112" s="1030"/>
      <c r="C112" s="1040"/>
      <c r="D112" s="350" t="s">
        <v>138</v>
      </c>
      <c r="E112" s="351"/>
      <c r="F112" s="352"/>
      <c r="G112" s="312">
        <f>SUM(G100:G111)</f>
        <v>136</v>
      </c>
      <c r="H112" s="340">
        <f>G112/SUM('2020'!G117:G118)</f>
        <v>0.10742496050552923</v>
      </c>
      <c r="I112" s="331">
        <f>SUM(I100:I111)</f>
        <v>136</v>
      </c>
      <c r="J112" s="347">
        <f>I112/SUM('2020'!H117:H118)</f>
        <v>0.10742496050552923</v>
      </c>
      <c r="K112" s="255">
        <f>SUM(K100:K111)</f>
        <v>600</v>
      </c>
      <c r="L112" s="347" t="e">
        <f>K112/SUM('2020'!J117:J118)</f>
        <v>#DIV/0!</v>
      </c>
      <c r="M112" s="255">
        <f>SUM(M100:M111)</f>
        <v>153</v>
      </c>
      <c r="N112" s="347">
        <f>M112/SUM('2020'!L117:L118)</f>
        <v>0.31160896130346233</v>
      </c>
      <c r="O112" s="255">
        <f>SUM(O100:O111)</f>
        <v>374</v>
      </c>
      <c r="P112" s="347" t="e">
        <f>O112/SUM('2020'!N117:N118)</f>
        <v>#DIV/0!</v>
      </c>
      <c r="Q112" s="251"/>
      <c r="R112" s="258"/>
      <c r="S112" s="251"/>
      <c r="T112" s="258"/>
      <c r="U112" s="259"/>
      <c r="V112" s="260"/>
      <c r="W112" s="259"/>
      <c r="X112" s="261"/>
      <c r="Y112" s="106"/>
    </row>
    <row r="113" spans="1:25" s="53" customFormat="1" ht="21" customHeight="1" thickBot="1" x14ac:dyDescent="0.4">
      <c r="A113" s="108"/>
      <c r="B113" s="218" t="s">
        <v>77</v>
      </c>
      <c r="C113" s="220"/>
      <c r="D113" s="313">
        <f>SUM(D45:D111)</f>
        <v>-16</v>
      </c>
      <c r="E113" s="314">
        <f>COUNT(A45:A112)</f>
        <v>43</v>
      </c>
      <c r="F113" s="315">
        <f>COUNT(K45:K111)</f>
        <v>34</v>
      </c>
      <c r="G113" s="325">
        <f>G53+G69+G80+G93+G94+G112</f>
        <v>633</v>
      </c>
      <c r="H113" s="384">
        <f>G113/'2020'!G123</f>
        <v>0.13195747342088807</v>
      </c>
      <c r="I113" s="333">
        <f>I53+I69+I80+I93+I94+I112</f>
        <v>561</v>
      </c>
      <c r="J113" s="383">
        <f>I113/'2020'!H123</f>
        <v>0.16706372840976771</v>
      </c>
      <c r="K113" s="334">
        <f>K53+K69+K80+K93+K94+K112</f>
        <v>821.95</v>
      </c>
      <c r="L113" s="383">
        <f>K113/'2020'!J123</f>
        <v>0.61428945106685107</v>
      </c>
      <c r="M113" s="334">
        <f>M53+M69+M80+M93+M94+M112</f>
        <v>275.69</v>
      </c>
      <c r="N113" s="383">
        <f>M113/'2020'!L123</f>
        <v>0.14378999744433607</v>
      </c>
      <c r="O113" s="385">
        <f>O53+O69+O80+O93+O99+O112</f>
        <v>424.09980000000002</v>
      </c>
      <c r="P113" s="386">
        <f>IF('2021'!N123=0,0,IF('2020'!N123="-",0,'2021'!N123/'2020'!N123-1))</f>
        <v>6.3375775557453542</v>
      </c>
      <c r="Q113" s="124"/>
      <c r="R113" s="125"/>
      <c r="S113" s="124"/>
      <c r="T113" s="125"/>
      <c r="U113" s="124"/>
      <c r="V113" s="125"/>
      <c r="W113" s="124"/>
      <c r="X113" s="126"/>
      <c r="Y113" s="107"/>
    </row>
    <row r="114" spans="1:25" s="53" customFormat="1" ht="21" customHeight="1" thickBot="1" x14ac:dyDescent="0.4">
      <c r="A114" s="108"/>
      <c r="B114" s="218" t="s">
        <v>66</v>
      </c>
      <c r="C114" s="219"/>
      <c r="D114" s="313">
        <f>D113+D44</f>
        <v>-5</v>
      </c>
      <c r="E114" s="314">
        <f>E44+E113</f>
        <v>71</v>
      </c>
      <c r="F114" s="315">
        <f>F113+F44</f>
        <v>64</v>
      </c>
      <c r="G114" s="325">
        <f>G44+G113</f>
        <v>782</v>
      </c>
      <c r="H114" s="384">
        <f>G114/'2020'!G124</f>
        <v>0.15064534771720284</v>
      </c>
      <c r="I114" s="333">
        <f>I44+I113</f>
        <v>707</v>
      </c>
      <c r="J114" s="383">
        <f>I114/'2020'!H124</f>
        <v>0.19677150013915948</v>
      </c>
      <c r="K114" s="334">
        <f>K44+K113</f>
        <v>892.98</v>
      </c>
      <c r="L114" s="383">
        <f>K114/'2020'!J124</f>
        <v>0.62576558142142369</v>
      </c>
      <c r="M114" s="334">
        <f>M44+M113</f>
        <v>327.67</v>
      </c>
      <c r="N114" s="383">
        <f>M114/'2020'!L124</f>
        <v>0.16331809821913643</v>
      </c>
      <c r="O114" s="385">
        <f>O44+O113</f>
        <v>440.13980000000004</v>
      </c>
      <c r="P114" s="386">
        <f>IF('2021'!N124=0,0,IF('2020'!N124="-",0,'2021'!N124/'2020'!N124-1))</f>
        <v>3.2892835824096478</v>
      </c>
      <c r="Q114" s="124"/>
      <c r="R114" s="125"/>
      <c r="S114" s="124"/>
      <c r="T114" s="125"/>
      <c r="U114" s="124"/>
      <c r="V114" s="125"/>
      <c r="W114" s="124"/>
      <c r="X114" s="126"/>
      <c r="Y114" s="107"/>
    </row>
    <row r="115" spans="1:25" x14ac:dyDescent="0.35">
      <c r="B115" s="5"/>
      <c r="C115" s="35"/>
      <c r="D115" s="35"/>
      <c r="E115" s="5"/>
      <c r="F115" s="35"/>
      <c r="G115" s="154"/>
      <c r="H115" s="154"/>
      <c r="I115" s="154"/>
      <c r="J115" s="154"/>
      <c r="K115" s="155"/>
      <c r="L115" s="155"/>
      <c r="M115" s="155"/>
      <c r="O115" s="1082" t="s">
        <v>68</v>
      </c>
      <c r="P115" s="1082"/>
      <c r="Q115" s="154"/>
      <c r="R115" s="154"/>
      <c r="S115" s="154"/>
      <c r="T115" s="154"/>
      <c r="U115" s="154"/>
      <c r="V115" s="154"/>
      <c r="W115" s="154"/>
      <c r="X115" s="154"/>
    </row>
    <row r="116" spans="1:25" x14ac:dyDescent="0.35">
      <c r="E116" s="114" t="s">
        <v>67</v>
      </c>
      <c r="F116" s="115"/>
      <c r="G116" s="2">
        <f>SUM('2021'!G117:G118)-SUM('2020'!G117:G118)</f>
        <v>136</v>
      </c>
    </row>
    <row r="117" spans="1:25" x14ac:dyDescent="0.35">
      <c r="E117" s="1" t="s">
        <v>60</v>
      </c>
      <c r="F117" s="2">
        <f>COUNTIF(F$5:F$111,E117)</f>
        <v>31</v>
      </c>
    </row>
    <row r="118" spans="1:25" ht="15.5" x14ac:dyDescent="0.35">
      <c r="A118" s="110"/>
      <c r="E118" s="1" t="s">
        <v>61</v>
      </c>
      <c r="F118" s="2">
        <f>COUNTIF(F$5:F$111,E118)</f>
        <v>8</v>
      </c>
    </row>
    <row r="119" spans="1:25" ht="15.5" x14ac:dyDescent="0.35">
      <c r="A119" s="110"/>
      <c r="E119" s="1" t="s">
        <v>62</v>
      </c>
      <c r="F119" s="2">
        <f>COUNTIF(F$5:F$111,E119)</f>
        <v>21</v>
      </c>
      <c r="I119" s="489"/>
    </row>
    <row r="120" spans="1:25" x14ac:dyDescent="0.35">
      <c r="I120" s="489"/>
    </row>
    <row r="128" spans="1:25" ht="15" customHeight="1" x14ac:dyDescent="0.35"/>
    <row r="129" spans="9:9" ht="15" customHeight="1" x14ac:dyDescent="0.35"/>
    <row r="130" spans="9:9" ht="15" customHeight="1" x14ac:dyDescent="0.35"/>
    <row r="131" spans="9:9" ht="15" customHeight="1" x14ac:dyDescent="0.35"/>
    <row r="132" spans="9:9" ht="15" customHeight="1" x14ac:dyDescent="0.35"/>
    <row r="133" spans="9:9" ht="15" customHeight="1" x14ac:dyDescent="0.35"/>
    <row r="134" spans="9:9" ht="15" customHeight="1" x14ac:dyDescent="0.35"/>
    <row r="135" spans="9:9" ht="15" customHeight="1" x14ac:dyDescent="0.35"/>
    <row r="136" spans="9:9" ht="15" customHeight="1" x14ac:dyDescent="0.35"/>
    <row r="137" spans="9:9" ht="15.75" customHeight="1" x14ac:dyDescent="0.35"/>
    <row r="138" spans="9:9" ht="15.75" customHeight="1" x14ac:dyDescent="0.35">
      <c r="I138" s="489"/>
    </row>
    <row r="139" spans="9:9" ht="15" customHeight="1" x14ac:dyDescent="0.35">
      <c r="I139" s="489"/>
    </row>
    <row r="140" spans="9:9" ht="15" customHeight="1" x14ac:dyDescent="0.35">
      <c r="I140" s="489"/>
    </row>
    <row r="141" spans="9:9" ht="15" customHeight="1" x14ac:dyDescent="0.35">
      <c r="I141" s="489"/>
    </row>
    <row r="142" spans="9:9" ht="15" customHeight="1" x14ac:dyDescent="0.35">
      <c r="I142" s="489"/>
    </row>
  </sheetData>
  <autoFilter ref="G4:X4" xr:uid="{00000000-0009-0000-0000-000005000000}"/>
  <mergeCells count="48">
    <mergeCell ref="B54:B61"/>
    <mergeCell ref="C54:C61"/>
    <mergeCell ref="D54:D60"/>
    <mergeCell ref="B7:B20"/>
    <mergeCell ref="C7:C20"/>
    <mergeCell ref="D7:D19"/>
    <mergeCell ref="B21:B32"/>
    <mergeCell ref="C21:C32"/>
    <mergeCell ref="D33:D42"/>
    <mergeCell ref="D45:D52"/>
    <mergeCell ref="B33:B43"/>
    <mergeCell ref="C33:C43"/>
    <mergeCell ref="B45:B53"/>
    <mergeCell ref="C45:C53"/>
    <mergeCell ref="B2:B4"/>
    <mergeCell ref="C2:C4"/>
    <mergeCell ref="Q2:R2"/>
    <mergeCell ref="S2:T2"/>
    <mergeCell ref="U2:V2"/>
    <mergeCell ref="E2:E4"/>
    <mergeCell ref="F2:F4"/>
    <mergeCell ref="G2:J2"/>
    <mergeCell ref="G3:H3"/>
    <mergeCell ref="I3:J3"/>
    <mergeCell ref="W2:X2"/>
    <mergeCell ref="D21:D31"/>
    <mergeCell ref="D2:D4"/>
    <mergeCell ref="U3:V3"/>
    <mergeCell ref="W3:X3"/>
    <mergeCell ref="O2:P3"/>
    <mergeCell ref="K2:L3"/>
    <mergeCell ref="M2:N3"/>
    <mergeCell ref="D94:D98"/>
    <mergeCell ref="O115:P115"/>
    <mergeCell ref="D62:D68"/>
    <mergeCell ref="B70:B80"/>
    <mergeCell ref="B62:B69"/>
    <mergeCell ref="C62:C69"/>
    <mergeCell ref="C70:C80"/>
    <mergeCell ref="D70:D79"/>
    <mergeCell ref="D100:D111"/>
    <mergeCell ref="B100:B112"/>
    <mergeCell ref="C100:C112"/>
    <mergeCell ref="B94:B99"/>
    <mergeCell ref="C94:C99"/>
    <mergeCell ref="B81:B93"/>
    <mergeCell ref="C81:C93"/>
    <mergeCell ref="D81:D92"/>
  </mergeCells>
  <pageMargins left="0.23622047244094491" right="0.23622047244094491" top="0.35433070866141736" bottom="0.15748031496062992" header="0.31496062992125984" footer="0.31496062992125984"/>
  <pageSetup paperSize="9" scale="65" orientation="landscape" horizontalDpi="300" verticalDpi="300" r:id="rId1"/>
  <ignoredErrors>
    <ignoredError sqref="V69 G113 V80 V94 H80:N80 H69:O69 G32 K114 H113:H114 H112 I114 H111:L111 J114 J113 I112:L112 L113 N111:N113 L114:N114 K44 M44:N44 I44 H43:N43 H44 J44 L44 K32:L32 E114" formula="1"/>
    <ignoredError sqref="P113 G92:P94 G88:P89" evalError="1"/>
    <ignoredError sqref="M113 K113 I113" evalError="1" formula="1"/>
    <ignoredError sqref="H32:J32" formula="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Index</vt:lpstr>
      <vt:lpstr>2020</vt:lpstr>
      <vt:lpstr>2021</vt:lpstr>
      <vt:lpstr>2022</vt:lpstr>
      <vt:lpstr>SYNTHESE</vt:lpstr>
      <vt:lpstr>2021-2020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ROGUET</dc:creator>
  <cp:lastModifiedBy>Dominique Pittet</cp:lastModifiedBy>
  <cp:lastPrinted>2020-06-24T07:16:41Z</cp:lastPrinted>
  <dcterms:created xsi:type="dcterms:W3CDTF">2020-06-23T06:39:08Z</dcterms:created>
  <dcterms:modified xsi:type="dcterms:W3CDTF">2022-06-16T14:20:00Z</dcterms:modified>
</cp:coreProperties>
</file>