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gie\Downloads\"/>
    </mc:Choice>
  </mc:AlternateContent>
  <xr:revisionPtr revIDLastSave="0" documentId="13_ncr:1_{B52EFFF7-A994-45BA-870A-04388D8DFC70}" xr6:coauthVersionLast="47" xr6:coauthVersionMax="47" xr10:uidLastSave="{00000000-0000-0000-0000-000000000000}"/>
  <bookViews>
    <workbookView xWindow="-108" yWindow="-108" windowWidth="23256" windowHeight="12456" xr2:uid="{05E8F88A-A6C3-4901-9E2C-865D32EE6D2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1" l="1"/>
  <c r="B39" i="1"/>
  <c r="H39" i="1" s="1"/>
  <c r="B38" i="1"/>
  <c r="H38" i="1" s="1"/>
  <c r="J38" i="1" s="1"/>
  <c r="G38" i="1"/>
  <c r="F38" i="1"/>
  <c r="E38" i="1"/>
  <c r="D38" i="1"/>
  <c r="C38" i="1"/>
  <c r="O25" i="1"/>
  <c r="H25" i="1"/>
  <c r="G39" i="1"/>
  <c r="F39" i="1"/>
  <c r="E39" i="1"/>
  <c r="D39" i="1"/>
  <c r="C39" i="1"/>
  <c r="G37" i="1"/>
  <c r="F37" i="1"/>
  <c r="E37" i="1"/>
  <c r="D37" i="1"/>
  <c r="C37" i="1"/>
  <c r="B37" i="1"/>
  <c r="G36" i="1"/>
  <c r="F36" i="1"/>
  <c r="E36" i="1"/>
  <c r="D36" i="1"/>
  <c r="C36" i="1"/>
  <c r="B36" i="1"/>
  <c r="G35" i="1"/>
  <c r="F35" i="1"/>
  <c r="E35" i="1"/>
  <c r="D35" i="1"/>
  <c r="C35" i="1"/>
  <c r="B35" i="1"/>
  <c r="G34" i="1"/>
  <c r="F34" i="1"/>
  <c r="E34" i="1"/>
  <c r="D34" i="1"/>
  <c r="C34" i="1"/>
  <c r="B34" i="1"/>
  <c r="N29" i="1"/>
  <c r="M29" i="1"/>
  <c r="L29" i="1"/>
  <c r="K29" i="1"/>
  <c r="J29" i="1"/>
  <c r="I29" i="1"/>
  <c r="G29" i="1"/>
  <c r="F29" i="1"/>
  <c r="E29" i="1"/>
  <c r="D29" i="1"/>
  <c r="C29" i="1"/>
  <c r="B29" i="1"/>
  <c r="O27" i="1"/>
  <c r="H27" i="1"/>
  <c r="O24" i="1"/>
  <c r="H24" i="1"/>
  <c r="O23" i="1"/>
  <c r="O22" i="1"/>
  <c r="H22" i="1"/>
  <c r="O21" i="1"/>
  <c r="H21" i="1"/>
  <c r="G6" i="1" l="1"/>
  <c r="J39" i="1"/>
  <c r="F41" i="1"/>
  <c r="H36" i="1"/>
  <c r="J36" i="1" s="1"/>
  <c r="H37" i="1"/>
  <c r="J37" i="1" s="1"/>
  <c r="D41" i="1"/>
  <c r="B41" i="1"/>
  <c r="C41" i="1"/>
  <c r="E41" i="1"/>
  <c r="O29" i="1"/>
  <c r="H29" i="1"/>
  <c r="G41" i="1"/>
  <c r="H34" i="1"/>
  <c r="J34" i="1" s="1"/>
  <c r="H35" i="1"/>
  <c r="J35" i="1" s="1"/>
  <c r="H41" i="1" l="1"/>
  <c r="F6" i="1" s="1"/>
</calcChain>
</file>

<file path=xl/sharedStrings.xml><?xml version="1.0" encoding="utf-8"?>
<sst xmlns="http://schemas.openxmlformats.org/spreadsheetml/2006/main" count="75" uniqueCount="48">
  <si>
    <t>Compteur</t>
  </si>
  <si>
    <t>Emplacement</t>
  </si>
  <si>
    <t>Type</t>
  </si>
  <si>
    <t>Pierre P.</t>
  </si>
  <si>
    <t>Perly</t>
  </si>
  <si>
    <t>Douane</t>
  </si>
  <si>
    <t>Pierre D.</t>
  </si>
  <si>
    <t>progression 24/23</t>
  </si>
  <si>
    <t>lMireille G</t>
  </si>
  <si>
    <t>Crottes</t>
  </si>
  <si>
    <t>Chemin</t>
  </si>
  <si>
    <t>Véronique</t>
  </si>
  <si>
    <t>Paguette</t>
  </si>
  <si>
    <t>chemin</t>
  </si>
  <si>
    <t>LOUIS N</t>
  </si>
  <si>
    <t>Dominique P</t>
  </si>
  <si>
    <t xml:space="preserve">Certoux </t>
  </si>
  <si>
    <t>Gérard T.</t>
  </si>
  <si>
    <t>Cedric M</t>
  </si>
  <si>
    <t>Soral 2</t>
  </si>
  <si>
    <t>Patrick L</t>
  </si>
  <si>
    <t>VERS SUISSE</t>
  </si>
  <si>
    <t>VERS France</t>
  </si>
  <si>
    <t>VAE Homme</t>
  </si>
  <si>
    <t>Vélo Homme</t>
  </si>
  <si>
    <t>Autre Homme</t>
  </si>
  <si>
    <t>VAE Femme</t>
  </si>
  <si>
    <t>Vélo Femmes</t>
  </si>
  <si>
    <t>Autre Femmes</t>
  </si>
  <si>
    <t>TOTAL VERS SUISSE</t>
  </si>
  <si>
    <t>TOTAL VERS FRANCE</t>
  </si>
  <si>
    <t>Certoux</t>
  </si>
  <si>
    <t>TOTAL</t>
  </si>
  <si>
    <t>TOTAL DES 2 DIRECTIONS</t>
  </si>
  <si>
    <t>Année -1</t>
  </si>
  <si>
    <t xml:space="preserve"> </t>
  </si>
  <si>
    <t xml:space="preserve">Perly </t>
  </si>
  <si>
    <t>28.05.24 7h30 à 8h30</t>
  </si>
  <si>
    <t>28.05.24 
 7h30 à 8h30</t>
  </si>
  <si>
    <t>vélos 366</t>
  </si>
  <si>
    <t>VAE 226= 61%</t>
  </si>
  <si>
    <t>53% en 2024</t>
  </si>
  <si>
    <t>2023&gt; 2024</t>
  </si>
  <si>
    <t>Basia</t>
  </si>
  <si>
    <t>Christine</t>
  </si>
  <si>
    <t>Chécande</t>
  </si>
  <si>
    <t>6h30 à 9h30</t>
  </si>
  <si>
    <t xml:space="preserve">Comparaison année -1 sur les 6 postes communs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</si>
</sst>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9" fontId="2" fillId="3" borderId="1" xfId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1" xfId="0" applyBorder="1"/>
    <xf numFmtId="0" fontId="0" fillId="0" borderId="7" xfId="0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0" fillId="0" borderId="0" xfId="0" applyNumberFormat="1"/>
    <xf numFmtId="0" fontId="3" fillId="0" borderId="1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4D091-B336-401B-B4C3-56C58BB547B3}">
  <dimension ref="A3:O41"/>
  <sheetViews>
    <sheetView tabSelected="1" topLeftCell="A22" workbookViewId="0">
      <selection activeCell="J45" sqref="J45"/>
    </sheetView>
  </sheetViews>
  <sheetFormatPr baseColWidth="10" defaultRowHeight="14.4" x14ac:dyDescent="0.3"/>
  <cols>
    <col min="10" max="10" width="15.88671875" customWidth="1"/>
  </cols>
  <sheetData>
    <row r="3" spans="1:11" x14ac:dyDescent="0.3">
      <c r="A3" s="1" t="s">
        <v>0</v>
      </c>
      <c r="B3" s="1" t="s">
        <v>1</v>
      </c>
      <c r="C3" s="1" t="s">
        <v>2</v>
      </c>
      <c r="E3" s="2" t="s">
        <v>47</v>
      </c>
      <c r="F3" s="2"/>
      <c r="G3" s="2"/>
      <c r="K3" s="2"/>
    </row>
    <row r="4" spans="1:11" x14ac:dyDescent="0.3">
      <c r="A4" s="3" t="s">
        <v>3</v>
      </c>
      <c r="B4" s="20" t="s">
        <v>36</v>
      </c>
      <c r="C4" s="20" t="s">
        <v>5</v>
      </c>
      <c r="K4" s="2"/>
    </row>
    <row r="5" spans="1:11" x14ac:dyDescent="0.3">
      <c r="A5" s="21" t="s">
        <v>6</v>
      </c>
      <c r="B5" s="20"/>
      <c r="C5" s="20"/>
      <c r="D5">
        <v>3</v>
      </c>
      <c r="E5" s="4">
        <v>2023</v>
      </c>
      <c r="F5" s="4">
        <v>2024</v>
      </c>
      <c r="G5" t="s">
        <v>7</v>
      </c>
      <c r="J5" s="2"/>
    </row>
    <row r="6" spans="1:11" x14ac:dyDescent="0.3">
      <c r="A6" s="22"/>
      <c r="B6" s="20"/>
      <c r="C6" s="20"/>
      <c r="E6" s="5">
        <f>+I34+I35+I36+I37+I38+I39</f>
        <v>354</v>
      </c>
      <c r="F6" s="5">
        <f>+H41</f>
        <v>428</v>
      </c>
      <c r="G6" s="6">
        <f>+H39/I39-1</f>
        <v>0.21428571428571419</v>
      </c>
      <c r="H6" t="s">
        <v>35</v>
      </c>
      <c r="K6" s="2"/>
    </row>
    <row r="7" spans="1:11" x14ac:dyDescent="0.3">
      <c r="A7" s="3" t="s">
        <v>8</v>
      </c>
      <c r="B7" s="20" t="s">
        <v>9</v>
      </c>
      <c r="C7" s="20" t="s">
        <v>10</v>
      </c>
      <c r="D7">
        <v>44</v>
      </c>
      <c r="F7" s="2" t="s">
        <v>39</v>
      </c>
      <c r="K7" s="2"/>
    </row>
    <row r="8" spans="1:11" x14ac:dyDescent="0.3">
      <c r="A8" s="3"/>
      <c r="B8" s="20"/>
      <c r="C8" s="20"/>
      <c r="F8" s="2"/>
      <c r="K8" s="2"/>
    </row>
    <row r="9" spans="1:11" x14ac:dyDescent="0.3">
      <c r="A9" s="3" t="s">
        <v>11</v>
      </c>
      <c r="B9" s="21" t="s">
        <v>12</v>
      </c>
      <c r="C9" s="21" t="s">
        <v>13</v>
      </c>
      <c r="D9">
        <v>3</v>
      </c>
      <c r="F9" s="2"/>
      <c r="K9" s="2"/>
    </row>
    <row r="10" spans="1:11" x14ac:dyDescent="0.3">
      <c r="A10" s="3" t="s">
        <v>14</v>
      </c>
      <c r="B10" s="22"/>
      <c r="C10" s="22"/>
      <c r="F10" s="2"/>
      <c r="K10" s="2"/>
    </row>
    <row r="11" spans="1:11" x14ac:dyDescent="0.3">
      <c r="A11" s="3" t="s">
        <v>15</v>
      </c>
      <c r="B11" s="20" t="s">
        <v>16</v>
      </c>
      <c r="C11" s="20" t="s">
        <v>5</v>
      </c>
      <c r="D11">
        <v>6</v>
      </c>
      <c r="F11" s="2"/>
      <c r="K11" s="2"/>
    </row>
    <row r="12" spans="1:11" x14ac:dyDescent="0.3">
      <c r="A12" s="3" t="s">
        <v>17</v>
      </c>
      <c r="B12" s="20"/>
      <c r="C12" s="20"/>
      <c r="F12" s="2"/>
      <c r="K12" s="2"/>
    </row>
    <row r="13" spans="1:11" x14ac:dyDescent="0.3">
      <c r="A13" s="3" t="s">
        <v>18</v>
      </c>
      <c r="B13" s="21" t="s">
        <v>19</v>
      </c>
      <c r="C13" s="21" t="s">
        <v>5</v>
      </c>
      <c r="D13">
        <v>1</v>
      </c>
      <c r="F13" s="2"/>
      <c r="K13" s="2"/>
    </row>
    <row r="14" spans="1:11" x14ac:dyDescent="0.3">
      <c r="A14" s="3" t="s">
        <v>20</v>
      </c>
      <c r="B14" s="22"/>
      <c r="C14" s="22"/>
      <c r="F14" s="2"/>
      <c r="K14" s="2"/>
    </row>
    <row r="15" spans="1:11" x14ac:dyDescent="0.3">
      <c r="A15" s="3" t="s">
        <v>43</v>
      </c>
      <c r="B15" s="21" t="s">
        <v>45</v>
      </c>
      <c r="C15" s="21" t="s">
        <v>5</v>
      </c>
      <c r="F15" s="2"/>
      <c r="K15" s="2"/>
    </row>
    <row r="16" spans="1:11" x14ac:dyDescent="0.3">
      <c r="A16" s="3" t="s">
        <v>44</v>
      </c>
      <c r="B16" s="22"/>
      <c r="C16" s="22"/>
      <c r="F16" s="2"/>
      <c r="K16" s="2"/>
    </row>
    <row r="17" spans="1:15" x14ac:dyDescent="0.3">
      <c r="F17" s="2"/>
      <c r="K17" s="2"/>
    </row>
    <row r="18" spans="1:15" x14ac:dyDescent="0.3">
      <c r="F18" s="2"/>
      <c r="K18" s="2"/>
    </row>
    <row r="19" spans="1:15" x14ac:dyDescent="0.3">
      <c r="A19" s="18" t="s">
        <v>37</v>
      </c>
      <c r="B19" s="15" t="s">
        <v>21</v>
      </c>
      <c r="C19" s="16"/>
      <c r="D19" s="16"/>
      <c r="E19" s="16"/>
      <c r="F19" s="16"/>
      <c r="G19" s="16"/>
      <c r="H19" s="17"/>
      <c r="I19" s="15" t="s">
        <v>22</v>
      </c>
      <c r="J19" s="16"/>
      <c r="K19" s="16"/>
      <c r="L19" s="16"/>
      <c r="M19" s="16"/>
      <c r="N19" s="16"/>
      <c r="O19" s="17"/>
    </row>
    <row r="20" spans="1:15" x14ac:dyDescent="0.3">
      <c r="A20" s="18"/>
      <c r="B20" s="5" t="s">
        <v>23</v>
      </c>
      <c r="C20" s="5" t="s">
        <v>24</v>
      </c>
      <c r="D20" s="5" t="s">
        <v>25</v>
      </c>
      <c r="E20" s="5" t="s">
        <v>26</v>
      </c>
      <c r="F20" s="5" t="s">
        <v>27</v>
      </c>
      <c r="G20" s="5" t="s">
        <v>28</v>
      </c>
      <c r="H20" s="4" t="s">
        <v>29</v>
      </c>
      <c r="I20" s="5" t="s">
        <v>23</v>
      </c>
      <c r="J20" s="5" t="s">
        <v>24</v>
      </c>
      <c r="K20" s="5" t="s">
        <v>25</v>
      </c>
      <c r="L20" s="5" t="s">
        <v>26</v>
      </c>
      <c r="M20" s="5" t="s">
        <v>27</v>
      </c>
      <c r="N20" s="5" t="s">
        <v>28</v>
      </c>
      <c r="O20" s="4" t="s">
        <v>30</v>
      </c>
    </row>
    <row r="21" spans="1:15" x14ac:dyDescent="0.3">
      <c r="A21" s="5" t="s">
        <v>4</v>
      </c>
      <c r="B21" s="5">
        <v>22</v>
      </c>
      <c r="C21" s="5">
        <v>22</v>
      </c>
      <c r="D21" s="5">
        <v>14</v>
      </c>
      <c r="E21" s="5">
        <v>16</v>
      </c>
      <c r="F21" s="5">
        <v>12</v>
      </c>
      <c r="G21" s="5"/>
      <c r="H21" s="4">
        <f>SUM(B21:G21)</f>
        <v>86</v>
      </c>
      <c r="I21" s="5"/>
      <c r="J21" s="5">
        <v>2</v>
      </c>
      <c r="K21" s="5"/>
      <c r="L21" s="5">
        <v>3</v>
      </c>
      <c r="M21" s="5"/>
      <c r="N21" s="5"/>
      <c r="O21" s="4">
        <f>SUM(I21:N21)</f>
        <v>5</v>
      </c>
    </row>
    <row r="22" spans="1:15" x14ac:dyDescent="0.3">
      <c r="A22" s="5" t="s">
        <v>9</v>
      </c>
      <c r="B22" s="5">
        <v>62</v>
      </c>
      <c r="C22" s="5">
        <v>42</v>
      </c>
      <c r="D22" s="5">
        <v>6</v>
      </c>
      <c r="E22" s="5">
        <v>48</v>
      </c>
      <c r="F22" s="5">
        <v>11</v>
      </c>
      <c r="G22" s="5">
        <v>2</v>
      </c>
      <c r="H22" s="4">
        <f t="shared" ref="H22:H27" si="0">SUM(B22:G22)</f>
        <v>171</v>
      </c>
      <c r="I22" s="5"/>
      <c r="J22" s="5">
        <v>1</v>
      </c>
      <c r="K22" s="5">
        <v>2</v>
      </c>
      <c r="L22" s="5"/>
      <c r="M22" s="5"/>
      <c r="N22" s="5"/>
      <c r="O22" s="4">
        <f t="shared" ref="O22:O27" si="1">SUM(I22:N22)</f>
        <v>3</v>
      </c>
    </row>
    <row r="23" spans="1:15" x14ac:dyDescent="0.3">
      <c r="A23" s="5" t="s">
        <v>12</v>
      </c>
      <c r="B23" s="5">
        <v>24</v>
      </c>
      <c r="C23" s="5">
        <v>8</v>
      </c>
      <c r="D23" s="5"/>
      <c r="E23" s="5">
        <v>17</v>
      </c>
      <c r="F23" s="5">
        <v>2</v>
      </c>
      <c r="G23" s="5"/>
      <c r="H23" s="4">
        <v>51</v>
      </c>
      <c r="I23" s="5"/>
      <c r="J23" s="5"/>
      <c r="K23" s="5"/>
      <c r="L23" s="5">
        <v>1</v>
      </c>
      <c r="M23" s="5"/>
      <c r="N23" s="5"/>
      <c r="O23" s="4">
        <f t="shared" si="1"/>
        <v>1</v>
      </c>
    </row>
    <row r="24" spans="1:15" x14ac:dyDescent="0.3">
      <c r="A24" s="5" t="s">
        <v>31</v>
      </c>
      <c r="B24" s="5">
        <v>13</v>
      </c>
      <c r="C24" s="5">
        <v>9</v>
      </c>
      <c r="D24" s="5">
        <v>2</v>
      </c>
      <c r="E24" s="5">
        <v>8</v>
      </c>
      <c r="F24" s="5">
        <v>6</v>
      </c>
      <c r="G24" s="5"/>
      <c r="H24" s="4">
        <f t="shared" si="0"/>
        <v>38</v>
      </c>
      <c r="I24" s="5"/>
      <c r="J24" s="5">
        <v>1</v>
      </c>
      <c r="K24" s="5"/>
      <c r="L24" s="5"/>
      <c r="M24" s="5"/>
      <c r="N24" s="5"/>
      <c r="O24" s="4">
        <f t="shared" si="1"/>
        <v>1</v>
      </c>
    </row>
    <row r="25" spans="1:15" x14ac:dyDescent="0.3">
      <c r="A25" s="5" t="s">
        <v>19</v>
      </c>
      <c r="B25" s="5">
        <v>11</v>
      </c>
      <c r="C25" s="5">
        <v>6</v>
      </c>
      <c r="D25" s="5">
        <v>2</v>
      </c>
      <c r="E25" s="5">
        <v>1</v>
      </c>
      <c r="F25" s="5"/>
      <c r="G25" s="5"/>
      <c r="H25" s="4">
        <f t="shared" ref="H25" si="2">SUM(B25:G25)</f>
        <v>20</v>
      </c>
      <c r="I25" s="5"/>
      <c r="J25" s="5"/>
      <c r="K25" s="5">
        <v>1</v>
      </c>
      <c r="L25" s="5"/>
      <c r="M25" s="5"/>
      <c r="N25" s="5"/>
      <c r="O25" s="4">
        <f t="shared" ref="O25" si="3">SUM(I25:N25)</f>
        <v>1</v>
      </c>
    </row>
    <row r="26" spans="1:15" x14ac:dyDescent="0.3">
      <c r="A26" s="5" t="s">
        <v>46</v>
      </c>
      <c r="B26" s="5"/>
      <c r="C26" s="5"/>
      <c r="D26" s="5"/>
      <c r="E26" s="5"/>
      <c r="F26" s="5"/>
      <c r="G26" s="5"/>
      <c r="H26" s="4"/>
      <c r="I26" s="5"/>
      <c r="J26" s="5"/>
      <c r="K26" s="5"/>
      <c r="L26" s="5"/>
      <c r="M26" s="5"/>
      <c r="N26" s="5"/>
      <c r="O26" s="4"/>
    </row>
    <row r="27" spans="1:15" x14ac:dyDescent="0.3">
      <c r="A27" s="5" t="s">
        <v>45</v>
      </c>
      <c r="B27" s="5">
        <v>24</v>
      </c>
      <c r="C27" s="5">
        <v>10</v>
      </c>
      <c r="D27" s="5">
        <v>2</v>
      </c>
      <c r="E27" s="5">
        <v>9</v>
      </c>
      <c r="F27" s="5">
        <v>1</v>
      </c>
      <c r="G27" s="5">
        <v>1</v>
      </c>
      <c r="H27" s="4">
        <f t="shared" si="0"/>
        <v>47</v>
      </c>
      <c r="I27" s="5">
        <v>1</v>
      </c>
      <c r="J27" s="5">
        <v>1</v>
      </c>
      <c r="K27" s="5"/>
      <c r="L27" s="5">
        <v>1</v>
      </c>
      <c r="M27" s="5"/>
      <c r="N27" s="5">
        <v>1</v>
      </c>
      <c r="O27" s="4">
        <f t="shared" si="1"/>
        <v>4</v>
      </c>
    </row>
    <row r="28" spans="1:15" x14ac:dyDescent="0.3">
      <c r="H28" s="2"/>
      <c r="O28" s="2"/>
    </row>
    <row r="29" spans="1:15" x14ac:dyDescent="0.3">
      <c r="A29" s="4" t="s">
        <v>32</v>
      </c>
      <c r="B29" s="4">
        <f t="shared" ref="B29:O29" si="4">SUM(B21:B27)</f>
        <v>156</v>
      </c>
      <c r="C29" s="4">
        <f t="shared" si="4"/>
        <v>97</v>
      </c>
      <c r="D29" s="4">
        <f t="shared" si="4"/>
        <v>26</v>
      </c>
      <c r="E29" s="4">
        <f t="shared" si="4"/>
        <v>99</v>
      </c>
      <c r="F29" s="4">
        <f t="shared" si="4"/>
        <v>32</v>
      </c>
      <c r="G29" s="4">
        <f t="shared" si="4"/>
        <v>3</v>
      </c>
      <c r="H29" s="7">
        <f t="shared" si="4"/>
        <v>413</v>
      </c>
      <c r="I29" s="4">
        <f t="shared" si="4"/>
        <v>1</v>
      </c>
      <c r="J29" s="4">
        <f t="shared" si="4"/>
        <v>5</v>
      </c>
      <c r="K29" s="4">
        <f t="shared" si="4"/>
        <v>3</v>
      </c>
      <c r="L29" s="4">
        <f t="shared" si="4"/>
        <v>5</v>
      </c>
      <c r="M29" s="4">
        <f t="shared" si="4"/>
        <v>0</v>
      </c>
      <c r="N29" s="4">
        <f t="shared" si="4"/>
        <v>1</v>
      </c>
      <c r="O29" s="7">
        <f t="shared" si="4"/>
        <v>15</v>
      </c>
    </row>
    <row r="30" spans="1:15" x14ac:dyDescent="0.3">
      <c r="H30" s="2"/>
      <c r="M30" s="2"/>
    </row>
    <row r="31" spans="1:15" x14ac:dyDescent="0.3">
      <c r="H31" s="2"/>
      <c r="M31" s="2"/>
    </row>
    <row r="32" spans="1:15" x14ac:dyDescent="0.3">
      <c r="A32" s="18" t="s">
        <v>38</v>
      </c>
      <c r="B32" s="19" t="s">
        <v>33</v>
      </c>
      <c r="C32" s="19"/>
      <c r="D32" s="19"/>
      <c r="E32" s="19"/>
      <c r="F32" s="19"/>
      <c r="G32" s="19"/>
      <c r="H32" s="19"/>
      <c r="M32" s="2"/>
    </row>
    <row r="33" spans="1:13" x14ac:dyDescent="0.3">
      <c r="A33" s="18"/>
      <c r="B33" s="5" t="s">
        <v>23</v>
      </c>
      <c r="C33" s="5" t="s">
        <v>24</v>
      </c>
      <c r="D33" s="5" t="s">
        <v>25</v>
      </c>
      <c r="E33" s="5" t="s">
        <v>26</v>
      </c>
      <c r="F33" s="5" t="s">
        <v>27</v>
      </c>
      <c r="G33" s="5" t="s">
        <v>28</v>
      </c>
      <c r="H33" s="4" t="s">
        <v>32</v>
      </c>
      <c r="I33" s="8" t="s">
        <v>34</v>
      </c>
      <c r="J33" s="14" t="s">
        <v>42</v>
      </c>
      <c r="K33" s="5" t="s">
        <v>40</v>
      </c>
      <c r="L33" s="9" t="s">
        <v>41</v>
      </c>
      <c r="M33" s="2"/>
    </row>
    <row r="34" spans="1:13" x14ac:dyDescent="0.3">
      <c r="A34" s="5" t="s">
        <v>4</v>
      </c>
      <c r="B34" s="5">
        <f>B21+I21</f>
        <v>22</v>
      </c>
      <c r="C34" s="5">
        <f>C21+J21</f>
        <v>24</v>
      </c>
      <c r="D34" s="5">
        <f>D21+K21</f>
        <v>14</v>
      </c>
      <c r="E34" s="5">
        <f>E21+L21</f>
        <v>19</v>
      </c>
      <c r="F34" s="5">
        <f>F21+M21</f>
        <v>12</v>
      </c>
      <c r="G34" s="5">
        <f>G21+N21</f>
        <v>0</v>
      </c>
      <c r="H34" s="4">
        <f>SUM(B34:G34)</f>
        <v>91</v>
      </c>
      <c r="I34" s="10">
        <v>76</v>
      </c>
      <c r="J34" s="11">
        <f>+H34/I34-1</f>
        <v>0.19736842105263164</v>
      </c>
      <c r="K34" s="12"/>
      <c r="L34" s="12"/>
      <c r="M34" s="2"/>
    </row>
    <row r="35" spans="1:13" x14ac:dyDescent="0.3">
      <c r="A35" s="5" t="s">
        <v>9</v>
      </c>
      <c r="B35" s="5">
        <f>B22+I22</f>
        <v>62</v>
      </c>
      <c r="C35" s="5">
        <f>C22+J22</f>
        <v>43</v>
      </c>
      <c r="D35" s="5">
        <f>D22+K22</f>
        <v>8</v>
      </c>
      <c r="E35" s="5">
        <f>E22+L22</f>
        <v>48</v>
      </c>
      <c r="F35" s="5">
        <f>F22+M22</f>
        <v>11</v>
      </c>
      <c r="G35" s="5">
        <f>G22+N22</f>
        <v>2</v>
      </c>
      <c r="H35" s="4">
        <f t="shared" ref="H35:H39" si="5">SUM(B35:G35)</f>
        <v>174</v>
      </c>
      <c r="I35" s="10">
        <v>137</v>
      </c>
      <c r="J35" s="11">
        <f t="shared" ref="J35:J38" si="6">+H35/I35-1</f>
        <v>0.27007299270072993</v>
      </c>
      <c r="K35" s="12"/>
      <c r="L35" s="12"/>
      <c r="M35" s="2"/>
    </row>
    <row r="36" spans="1:13" x14ac:dyDescent="0.3">
      <c r="A36" s="5" t="s">
        <v>12</v>
      </c>
      <c r="B36" s="5">
        <f>B23+I23</f>
        <v>24</v>
      </c>
      <c r="C36" s="5">
        <f>C23+J23</f>
        <v>8</v>
      </c>
      <c r="D36" s="5">
        <f>D23+K23</f>
        <v>0</v>
      </c>
      <c r="E36" s="5">
        <f>E23+L23</f>
        <v>18</v>
      </c>
      <c r="F36" s="5">
        <f>F23+M23</f>
        <v>2</v>
      </c>
      <c r="G36" s="5">
        <f>G23+N23</f>
        <v>0</v>
      </c>
      <c r="H36" s="4">
        <f t="shared" si="5"/>
        <v>52</v>
      </c>
      <c r="I36" s="10">
        <v>48</v>
      </c>
      <c r="J36" s="11">
        <f t="shared" si="6"/>
        <v>8.3333333333333259E-2</v>
      </c>
      <c r="K36" s="12"/>
      <c r="L36" s="12"/>
      <c r="M36" s="2"/>
    </row>
    <row r="37" spans="1:13" x14ac:dyDescent="0.3">
      <c r="A37" s="5" t="s">
        <v>31</v>
      </c>
      <c r="B37" s="5">
        <f>B24+I24</f>
        <v>13</v>
      </c>
      <c r="C37" s="5">
        <f>C24+J24</f>
        <v>10</v>
      </c>
      <c r="D37" s="5">
        <f>D24+K24</f>
        <v>2</v>
      </c>
      <c r="E37" s="5">
        <f>E24+L24</f>
        <v>8</v>
      </c>
      <c r="F37" s="5">
        <f>F24+M24</f>
        <v>6</v>
      </c>
      <c r="G37" s="5">
        <f>G24+N24</f>
        <v>0</v>
      </c>
      <c r="H37" s="4">
        <f t="shared" si="5"/>
        <v>39</v>
      </c>
      <c r="I37" s="10">
        <v>32</v>
      </c>
      <c r="J37" s="11">
        <f t="shared" si="6"/>
        <v>0.21875</v>
      </c>
      <c r="K37" s="12"/>
      <c r="L37" s="12"/>
      <c r="M37" s="2"/>
    </row>
    <row r="38" spans="1:13" x14ac:dyDescent="0.3">
      <c r="A38" s="5" t="s">
        <v>19</v>
      </c>
      <c r="B38" s="5">
        <f>B25+I25</f>
        <v>11</v>
      </c>
      <c r="C38" s="5">
        <f>C25+J25</f>
        <v>6</v>
      </c>
      <c r="D38" s="5">
        <f>D25+K25</f>
        <v>3</v>
      </c>
      <c r="E38" s="5">
        <f>E25+L25</f>
        <v>1</v>
      </c>
      <c r="F38" s="5">
        <f>F25+M25</f>
        <v>0</v>
      </c>
      <c r="G38" s="5">
        <f>G25+N25</f>
        <v>0</v>
      </c>
      <c r="H38" s="4">
        <f t="shared" ref="H38" si="7">SUM(B38:G38)</f>
        <v>21</v>
      </c>
      <c r="I38" s="10">
        <v>19</v>
      </c>
      <c r="J38" s="11">
        <f t="shared" si="6"/>
        <v>0.10526315789473695</v>
      </c>
      <c r="K38" s="12"/>
      <c r="L38" s="12"/>
      <c r="M38" s="2"/>
    </row>
    <row r="39" spans="1:13" x14ac:dyDescent="0.3">
      <c r="A39" s="5" t="s">
        <v>45</v>
      </c>
      <c r="B39" s="5">
        <f>B27+I27</f>
        <v>25</v>
      </c>
      <c r="C39" s="5">
        <f>C27+J27</f>
        <v>11</v>
      </c>
      <c r="D39" s="5">
        <f>D27+K27</f>
        <v>2</v>
      </c>
      <c r="E39" s="5">
        <f>E27+L27</f>
        <v>10</v>
      </c>
      <c r="F39" s="5">
        <f>F27+M27</f>
        <v>1</v>
      </c>
      <c r="G39" s="5">
        <f>G27+N27</f>
        <v>2</v>
      </c>
      <c r="H39" s="4">
        <f t="shared" si="5"/>
        <v>51</v>
      </c>
      <c r="I39" s="10">
        <v>42</v>
      </c>
      <c r="J39" s="11">
        <f>+H39/I39-1</f>
        <v>0.21428571428571419</v>
      </c>
      <c r="K39" s="12"/>
      <c r="L39" s="12"/>
      <c r="M39" s="2"/>
    </row>
    <row r="40" spans="1:13" x14ac:dyDescent="0.3">
      <c r="H40" s="2"/>
      <c r="M40" s="2"/>
    </row>
    <row r="41" spans="1:13" x14ac:dyDescent="0.3">
      <c r="A41" s="4" t="s">
        <v>32</v>
      </c>
      <c r="B41" s="4">
        <f>SUM(B34:B39)</f>
        <v>157</v>
      </c>
      <c r="C41" s="4">
        <f>SUM(C34:C39)</f>
        <v>102</v>
      </c>
      <c r="D41" s="4">
        <f>SUM(D34:D39)</f>
        <v>29</v>
      </c>
      <c r="E41" s="4">
        <f>SUM(E34:E39)</f>
        <v>104</v>
      </c>
      <c r="F41" s="4">
        <f>SUM(F34:F39)</f>
        <v>32</v>
      </c>
      <c r="G41" s="4">
        <f>SUM(G34:G39)</f>
        <v>4</v>
      </c>
      <c r="H41" s="7">
        <f>SUM(H34:H39)</f>
        <v>428</v>
      </c>
      <c r="K41" s="13"/>
      <c r="M41" s="2"/>
    </row>
  </sheetData>
  <mergeCells count="18">
    <mergeCell ref="B9:B10"/>
    <mergeCell ref="C9:C10"/>
    <mergeCell ref="B4:B6"/>
    <mergeCell ref="C4:C6"/>
    <mergeCell ref="A5:A6"/>
    <mergeCell ref="B7:B8"/>
    <mergeCell ref="C7:C8"/>
    <mergeCell ref="I19:O19"/>
    <mergeCell ref="A32:A33"/>
    <mergeCell ref="B32:H32"/>
    <mergeCell ref="B11:B12"/>
    <mergeCell ref="C11:C12"/>
    <mergeCell ref="B13:B14"/>
    <mergeCell ref="C13:C14"/>
    <mergeCell ref="A19:A20"/>
    <mergeCell ref="B19:H19"/>
    <mergeCell ref="B15:B16"/>
    <mergeCell ref="C15:C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DURET</dc:creator>
  <cp:lastModifiedBy>Basia Gajda</cp:lastModifiedBy>
  <dcterms:created xsi:type="dcterms:W3CDTF">2024-05-28T20:36:44Z</dcterms:created>
  <dcterms:modified xsi:type="dcterms:W3CDTF">2024-06-02T19:05:36Z</dcterms:modified>
</cp:coreProperties>
</file>