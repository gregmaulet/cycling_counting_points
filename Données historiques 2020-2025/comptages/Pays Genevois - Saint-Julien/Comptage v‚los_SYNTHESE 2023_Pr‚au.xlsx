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gie\kDrive\Lathoy\Ciclable\"/>
    </mc:Choice>
  </mc:AlternateContent>
  <xr:revisionPtr revIDLastSave="0" documentId="13_ncr:1_{FE8729D6-CDB0-4EB7-9C93-998FF5DF9034}" xr6:coauthVersionLast="47" xr6:coauthVersionMax="47" xr10:uidLastSave="{00000000-0000-0000-0000-000000000000}"/>
  <bookViews>
    <workbookView xWindow="-168" yWindow="156" windowWidth="23304" windowHeight="9240" activeTab="4" xr2:uid="{00000000-000D-0000-FFFF-FFFF00000000}"/>
  </bookViews>
  <sheets>
    <sheet name="Index" sheetId="5" r:id="rId1"/>
    <sheet name="2020" sheetId="1" r:id="rId2"/>
    <sheet name="2021" sheetId="3" r:id="rId3"/>
    <sheet name="2022" sheetId="9" r:id="rId4"/>
    <sheet name="2023" sheetId="12" r:id="rId5"/>
    <sheet name="2024" sheetId="13" r:id="rId6"/>
    <sheet name="2025" sheetId="14" r:id="rId7"/>
    <sheet name="SYNTHESE" sheetId="8" r:id="rId8"/>
    <sheet name="2021-2020" sheetId="6" state="hidden" r:id="rId9"/>
  </sheets>
  <definedNames>
    <definedName name="_xlnm._FilterDatabase" localSheetId="1" hidden="1">'2020'!$A$1:$V$167</definedName>
    <definedName name="_xlnm._FilterDatabase" localSheetId="2" hidden="1">'2021'!$A$1:$V$167</definedName>
    <definedName name="_xlnm._FilterDatabase" localSheetId="8" hidden="1">'2021-2020'!$G$4:$X$4</definedName>
    <definedName name="_xlnm._FilterDatabase" localSheetId="3" hidden="1">'2022'!$A$1:$V$167</definedName>
    <definedName name="_xlnm._FilterDatabase" localSheetId="4" hidden="1">'2023'!$A$1:$V$167</definedName>
    <definedName name="_xlnm._FilterDatabase" localSheetId="5" hidden="1">'2024'!$A$1:$V$167</definedName>
    <definedName name="_xlnm._FilterDatabase" localSheetId="6" hidden="1">'2025'!$A$1:$V$167</definedName>
    <definedName name="_xlnm._FilterDatabase" localSheetId="7" hidden="1">SYNTHESE!$A$1:$BU$169</definedName>
    <definedName name="_xlnm.Print_Area" localSheetId="2">'2021'!$A$1:$AB$168</definedName>
    <definedName name="_xlnm.Print_Area" localSheetId="3">'2022'!$B$2:$V$168</definedName>
    <definedName name="_xlnm.Print_Area" localSheetId="4">'2023'!$B$2:$V$168</definedName>
    <definedName name="_xlnm.Print_Area" localSheetId="5">'2024'!$B$2:$V$168</definedName>
    <definedName name="_xlnm.Print_Area" localSheetId="6">'2025'!$B$2:$V$168</definedName>
    <definedName name="_xlnm.Print_Area" localSheetId="7">SYNTHESE!$B$2:$BU$257</definedName>
  </definedNames>
  <calcPr calcId="191029"/>
</workbook>
</file>

<file path=xl/calcChain.xml><?xml version="1.0" encoding="utf-8"?>
<calcChain xmlns="http://schemas.openxmlformats.org/spreadsheetml/2006/main">
  <c r="BM172" i="8" l="1"/>
  <c r="BL172" i="8"/>
  <c r="BK172" i="8"/>
  <c r="BJ172" i="8"/>
  <c r="BI172" i="8"/>
  <c r="BH172" i="8"/>
  <c r="BA172" i="8"/>
  <c r="AZ172" i="8"/>
  <c r="AY172" i="8"/>
  <c r="AX172" i="8"/>
  <c r="AW172" i="8"/>
  <c r="AV172" i="8"/>
  <c r="AO172" i="8"/>
  <c r="AN172" i="8"/>
  <c r="AM172" i="8"/>
  <c r="AL172" i="8"/>
  <c r="AK172" i="8"/>
  <c r="AJ172" i="8"/>
  <c r="AC172" i="8"/>
  <c r="AB172" i="8"/>
  <c r="AA172" i="8"/>
  <c r="Z172" i="8"/>
  <c r="Y172" i="8"/>
  <c r="X172" i="8"/>
  <c r="W172" i="8"/>
  <c r="V172" i="8"/>
  <c r="U172" i="8"/>
  <c r="T172" i="8"/>
  <c r="S172" i="8"/>
  <c r="R172" i="8"/>
  <c r="V159" i="1"/>
  <c r="U159" i="1"/>
  <c r="T159" i="1"/>
  <c r="S159" i="1"/>
  <c r="R159" i="1"/>
  <c r="Q159" i="1"/>
  <c r="P159" i="1"/>
  <c r="O159" i="1"/>
  <c r="V159" i="3"/>
  <c r="U159" i="3"/>
  <c r="T159" i="3"/>
  <c r="S159" i="3"/>
  <c r="R159" i="3"/>
  <c r="Q159" i="3"/>
  <c r="P159" i="3"/>
  <c r="O159" i="3"/>
  <c r="N159" i="3"/>
  <c r="L159" i="3"/>
  <c r="J159" i="3"/>
  <c r="V159" i="9"/>
  <c r="U159" i="9"/>
  <c r="T159" i="9"/>
  <c r="S159" i="9"/>
  <c r="R159" i="9"/>
  <c r="Q159" i="9"/>
  <c r="P159" i="9"/>
  <c r="O159" i="9"/>
  <c r="L159" i="9"/>
  <c r="J159" i="9"/>
  <c r="H159" i="9"/>
  <c r="V159" i="12"/>
  <c r="U159" i="12"/>
  <c r="T159" i="12"/>
  <c r="S159" i="12"/>
  <c r="R159" i="12"/>
  <c r="Q159" i="12"/>
  <c r="P159" i="12"/>
  <c r="O159" i="12"/>
  <c r="N159" i="12"/>
  <c r="L159" i="12"/>
  <c r="J159" i="12"/>
  <c r="H159" i="12"/>
  <c r="V159" i="13"/>
  <c r="U159" i="13"/>
  <c r="T159" i="13"/>
  <c r="S159" i="13"/>
  <c r="R159" i="13"/>
  <c r="Q159" i="13"/>
  <c r="P159" i="13"/>
  <c r="O159" i="13"/>
  <c r="N159" i="13"/>
  <c r="L159" i="13"/>
  <c r="J159" i="13"/>
  <c r="H159" i="13"/>
  <c r="V159" i="14"/>
  <c r="U159" i="14"/>
  <c r="T159" i="14"/>
  <c r="S159" i="14"/>
  <c r="R159" i="14"/>
  <c r="Q159" i="14"/>
  <c r="P159" i="14"/>
  <c r="O159" i="14"/>
  <c r="N159" i="14"/>
  <c r="L159" i="14"/>
  <c r="J159" i="14"/>
  <c r="H159" i="14"/>
  <c r="G159" i="3"/>
  <c r="G159" i="9"/>
  <c r="G159" i="12"/>
  <c r="G159" i="13"/>
  <c r="G159" i="14"/>
  <c r="V134" i="1"/>
  <c r="U134" i="1"/>
  <c r="T134" i="1"/>
  <c r="S134" i="1"/>
  <c r="R134" i="1"/>
  <c r="Q134" i="1"/>
  <c r="P134" i="1"/>
  <c r="O134" i="1"/>
  <c r="N134" i="1"/>
  <c r="H134" i="1"/>
  <c r="V134" i="3"/>
  <c r="U134" i="3"/>
  <c r="T134" i="3"/>
  <c r="S134" i="3"/>
  <c r="R134" i="3"/>
  <c r="Q134" i="3"/>
  <c r="P134" i="3"/>
  <c r="O134" i="3"/>
  <c r="N134" i="3"/>
  <c r="L134" i="3"/>
  <c r="J134" i="3"/>
  <c r="H134" i="3"/>
  <c r="V134" i="9"/>
  <c r="U134" i="9"/>
  <c r="T134" i="9"/>
  <c r="S134" i="9"/>
  <c r="R134" i="9"/>
  <c r="Q134" i="9"/>
  <c r="P134" i="9"/>
  <c r="O134" i="9"/>
  <c r="N134" i="9"/>
  <c r="L134" i="9"/>
  <c r="J134" i="9"/>
  <c r="H134" i="9"/>
  <c r="V134" i="12"/>
  <c r="U134" i="12"/>
  <c r="T134" i="12"/>
  <c r="S134" i="12"/>
  <c r="R134" i="12"/>
  <c r="Q134" i="12"/>
  <c r="P134" i="12"/>
  <c r="O134" i="12"/>
  <c r="N134" i="12"/>
  <c r="L134" i="12"/>
  <c r="J134" i="12"/>
  <c r="H134" i="12"/>
  <c r="V134" i="13"/>
  <c r="U134" i="13"/>
  <c r="T134" i="13"/>
  <c r="S134" i="13"/>
  <c r="R134" i="13"/>
  <c r="Q134" i="13"/>
  <c r="P134" i="13"/>
  <c r="O134" i="13"/>
  <c r="N134" i="13"/>
  <c r="L134" i="13"/>
  <c r="J134" i="13"/>
  <c r="H134" i="13"/>
  <c r="V134" i="14"/>
  <c r="U134" i="14"/>
  <c r="T134" i="14"/>
  <c r="S134" i="14"/>
  <c r="R134" i="14"/>
  <c r="Q134" i="14"/>
  <c r="P134" i="14"/>
  <c r="O134" i="14"/>
  <c r="N134" i="14"/>
  <c r="L134" i="14"/>
  <c r="J134" i="14"/>
  <c r="H134" i="14"/>
  <c r="G134" i="1"/>
  <c r="G134" i="3"/>
  <c r="G134" i="9"/>
  <c r="G134" i="12"/>
  <c r="G134" i="13"/>
  <c r="G134" i="14"/>
  <c r="V125" i="1"/>
  <c r="U125" i="1"/>
  <c r="T125" i="1"/>
  <c r="S125" i="1"/>
  <c r="R125" i="1"/>
  <c r="Q125" i="1"/>
  <c r="P125" i="1"/>
  <c r="O125" i="1"/>
  <c r="L125" i="1"/>
  <c r="H125" i="1"/>
  <c r="V125" i="3"/>
  <c r="U125" i="3"/>
  <c r="T125" i="3"/>
  <c r="S125" i="3"/>
  <c r="R125" i="3"/>
  <c r="Q125" i="3"/>
  <c r="P125" i="3"/>
  <c r="O125" i="3"/>
  <c r="N125" i="3"/>
  <c r="L125" i="3"/>
  <c r="J125" i="3"/>
  <c r="H125" i="3"/>
  <c r="V125" i="9"/>
  <c r="U125" i="9"/>
  <c r="T125" i="9"/>
  <c r="S125" i="9"/>
  <c r="R125" i="9"/>
  <c r="Q125" i="9"/>
  <c r="P125" i="9"/>
  <c r="O125" i="9"/>
  <c r="N125" i="9"/>
  <c r="L125" i="9"/>
  <c r="J125" i="9"/>
  <c r="H125" i="9"/>
  <c r="V125" i="12"/>
  <c r="U125" i="12"/>
  <c r="T125" i="12"/>
  <c r="S125" i="12"/>
  <c r="R125" i="12"/>
  <c r="Q125" i="12"/>
  <c r="P125" i="12"/>
  <c r="O125" i="12"/>
  <c r="N125" i="12"/>
  <c r="L125" i="12"/>
  <c r="J125" i="12"/>
  <c r="H125" i="12"/>
  <c r="V125" i="13"/>
  <c r="U125" i="13"/>
  <c r="T125" i="13"/>
  <c r="S125" i="13"/>
  <c r="R125" i="13"/>
  <c r="Q125" i="13"/>
  <c r="P125" i="13"/>
  <c r="O125" i="13"/>
  <c r="N125" i="13"/>
  <c r="L125" i="13"/>
  <c r="J125" i="13"/>
  <c r="H125" i="13"/>
  <c r="V125" i="14"/>
  <c r="U125" i="14"/>
  <c r="T125" i="14"/>
  <c r="S125" i="14"/>
  <c r="R125" i="14"/>
  <c r="Q125" i="14"/>
  <c r="P125" i="14"/>
  <c r="O125" i="14"/>
  <c r="N125" i="14"/>
  <c r="L125" i="14"/>
  <c r="J125" i="14"/>
  <c r="H125" i="14"/>
  <c r="G125" i="1"/>
  <c r="G125" i="3"/>
  <c r="G125" i="9"/>
  <c r="G125" i="12"/>
  <c r="G125" i="13"/>
  <c r="G125" i="14"/>
  <c r="V109" i="1"/>
  <c r="U109" i="1"/>
  <c r="T109" i="1"/>
  <c r="S109" i="1"/>
  <c r="R109" i="1"/>
  <c r="Q109" i="1"/>
  <c r="P109" i="1"/>
  <c r="O109" i="1"/>
  <c r="V109" i="3"/>
  <c r="U109" i="3"/>
  <c r="T109" i="3"/>
  <c r="S109" i="3"/>
  <c r="R109" i="3"/>
  <c r="Q109" i="3"/>
  <c r="P109" i="3"/>
  <c r="O109" i="3"/>
  <c r="N109" i="3"/>
  <c r="L109" i="3"/>
  <c r="V109" i="9"/>
  <c r="U109" i="9"/>
  <c r="T109" i="9"/>
  <c r="S109" i="9"/>
  <c r="R109" i="9"/>
  <c r="Q109" i="9"/>
  <c r="P109" i="9"/>
  <c r="O109" i="9"/>
  <c r="N109" i="9"/>
  <c r="J109" i="9"/>
  <c r="H109" i="9"/>
  <c r="V109" i="12"/>
  <c r="U109" i="12"/>
  <c r="T109" i="12"/>
  <c r="S109" i="12"/>
  <c r="R109" i="12"/>
  <c r="Q109" i="12"/>
  <c r="P109" i="12"/>
  <c r="O109" i="12"/>
  <c r="N109" i="12"/>
  <c r="L109" i="12"/>
  <c r="J109" i="12"/>
  <c r="H109" i="12"/>
  <c r="V109" i="13"/>
  <c r="U109" i="13"/>
  <c r="T109" i="13"/>
  <c r="S109" i="13"/>
  <c r="R109" i="13"/>
  <c r="Q109" i="13"/>
  <c r="P109" i="13"/>
  <c r="O109" i="13"/>
  <c r="N109" i="13"/>
  <c r="L109" i="13"/>
  <c r="J109" i="13"/>
  <c r="H109" i="13"/>
  <c r="V109" i="14"/>
  <c r="U109" i="14"/>
  <c r="T109" i="14"/>
  <c r="S109" i="14"/>
  <c r="R109" i="14"/>
  <c r="Q109" i="14"/>
  <c r="P109" i="14"/>
  <c r="O109" i="14"/>
  <c r="N109" i="14"/>
  <c r="L109" i="14"/>
  <c r="J109" i="14"/>
  <c r="H109" i="14"/>
  <c r="G109" i="1"/>
  <c r="G109" i="3"/>
  <c r="G109" i="9"/>
  <c r="G109" i="12"/>
  <c r="G109" i="13"/>
  <c r="G109" i="14"/>
  <c r="V77" i="1"/>
  <c r="U77" i="1"/>
  <c r="T77" i="1"/>
  <c r="S77" i="1"/>
  <c r="R77" i="1"/>
  <c r="R160" i="1" s="1"/>
  <c r="Q77" i="1"/>
  <c r="Q160" i="1" s="1"/>
  <c r="P77" i="1"/>
  <c r="P160" i="1" s="1"/>
  <c r="O77" i="1"/>
  <c r="L77" i="1"/>
  <c r="J77" i="1"/>
  <c r="H77" i="1"/>
  <c r="V77" i="3"/>
  <c r="U77" i="3"/>
  <c r="T77" i="3"/>
  <c r="S77" i="3"/>
  <c r="R77" i="3"/>
  <c r="Q77" i="3"/>
  <c r="P77" i="3"/>
  <c r="O77" i="3"/>
  <c r="N77" i="3"/>
  <c r="L77" i="3"/>
  <c r="J77" i="3"/>
  <c r="H77" i="3"/>
  <c r="V77" i="9"/>
  <c r="U77" i="9"/>
  <c r="T77" i="9"/>
  <c r="S77" i="9"/>
  <c r="R77" i="9"/>
  <c r="Q77" i="9"/>
  <c r="P77" i="9"/>
  <c r="O77" i="9"/>
  <c r="N77" i="9"/>
  <c r="L77" i="9"/>
  <c r="J77" i="9"/>
  <c r="H77" i="9"/>
  <c r="V77" i="12"/>
  <c r="U77" i="12"/>
  <c r="T77" i="12"/>
  <c r="S77" i="12"/>
  <c r="R77" i="12"/>
  <c r="Q77" i="12"/>
  <c r="P77" i="12"/>
  <c r="O77" i="12"/>
  <c r="N77" i="12"/>
  <c r="L77" i="12"/>
  <c r="J77" i="12"/>
  <c r="H77" i="12"/>
  <c r="V77" i="13"/>
  <c r="U77" i="13"/>
  <c r="T77" i="13"/>
  <c r="S77" i="13"/>
  <c r="R77" i="13"/>
  <c r="Q77" i="13"/>
  <c r="P77" i="13"/>
  <c r="O77" i="13"/>
  <c r="N77" i="13"/>
  <c r="L77" i="13"/>
  <c r="J77" i="13"/>
  <c r="H77" i="13"/>
  <c r="V77" i="14"/>
  <c r="U77" i="14"/>
  <c r="T77" i="14"/>
  <c r="S77" i="14"/>
  <c r="R77" i="14"/>
  <c r="Q77" i="14"/>
  <c r="P77" i="14"/>
  <c r="O77" i="14"/>
  <c r="N77" i="14"/>
  <c r="L77" i="14"/>
  <c r="J77" i="14"/>
  <c r="H77" i="14"/>
  <c r="G77" i="1"/>
  <c r="G77" i="3"/>
  <c r="G77" i="9"/>
  <c r="G77" i="12"/>
  <c r="G77" i="13"/>
  <c r="G77" i="14"/>
  <c r="V64" i="1"/>
  <c r="U64" i="1"/>
  <c r="T64" i="1"/>
  <c r="T65" i="1" s="1"/>
  <c r="S64" i="1"/>
  <c r="R64" i="1"/>
  <c r="Q64" i="1"/>
  <c r="P64" i="1"/>
  <c r="O64" i="1"/>
  <c r="H64" i="1"/>
  <c r="V64" i="3"/>
  <c r="U64" i="3"/>
  <c r="T64" i="3"/>
  <c r="S64" i="3"/>
  <c r="R64" i="3"/>
  <c r="Q64" i="3"/>
  <c r="P64" i="3"/>
  <c r="P65" i="3" s="1"/>
  <c r="O64" i="3"/>
  <c r="N64" i="3"/>
  <c r="L64" i="3"/>
  <c r="J64" i="3"/>
  <c r="H64" i="3"/>
  <c r="V64" i="9"/>
  <c r="U64" i="9"/>
  <c r="T64" i="9"/>
  <c r="S64" i="9"/>
  <c r="R64" i="9"/>
  <c r="Q64" i="9"/>
  <c r="P64" i="9"/>
  <c r="O64" i="9"/>
  <c r="N64" i="9"/>
  <c r="L64" i="9"/>
  <c r="J64" i="9"/>
  <c r="H64" i="9"/>
  <c r="V64" i="12"/>
  <c r="U64" i="12"/>
  <c r="T64" i="12"/>
  <c r="S64" i="12"/>
  <c r="R64" i="12"/>
  <c r="Q64" i="12"/>
  <c r="P64" i="12"/>
  <c r="P65" i="12" s="1"/>
  <c r="O64" i="12"/>
  <c r="N64" i="12"/>
  <c r="L64" i="12"/>
  <c r="J64" i="12"/>
  <c r="H64" i="12"/>
  <c r="V64" i="13"/>
  <c r="U64" i="13"/>
  <c r="T64" i="13"/>
  <c r="S64" i="13"/>
  <c r="R64" i="13"/>
  <c r="Q64" i="13"/>
  <c r="P64" i="13"/>
  <c r="O64" i="13"/>
  <c r="N64" i="13"/>
  <c r="L64" i="13"/>
  <c r="J64" i="13"/>
  <c r="H64" i="13"/>
  <c r="V64" i="14"/>
  <c r="U64" i="14"/>
  <c r="T64" i="14"/>
  <c r="S64" i="14"/>
  <c r="R64" i="14"/>
  <c r="Q64" i="14"/>
  <c r="P64" i="14"/>
  <c r="O64" i="14"/>
  <c r="N64" i="14"/>
  <c r="L64" i="14"/>
  <c r="J64" i="14"/>
  <c r="H64" i="14"/>
  <c r="G64" i="1"/>
  <c r="G64" i="3"/>
  <c r="G64" i="9"/>
  <c r="G64" i="12"/>
  <c r="G64" i="13"/>
  <c r="G64" i="14"/>
  <c r="V49" i="1"/>
  <c r="U49" i="1"/>
  <c r="T49" i="1"/>
  <c r="S49" i="1"/>
  <c r="R49" i="1"/>
  <c r="Q49" i="1"/>
  <c r="P49" i="1"/>
  <c r="O49" i="1"/>
  <c r="N49" i="1"/>
  <c r="H49" i="1"/>
  <c r="V49" i="3"/>
  <c r="U49" i="3"/>
  <c r="T49" i="3"/>
  <c r="S49" i="3"/>
  <c r="R49" i="3"/>
  <c r="Q49" i="3"/>
  <c r="P49" i="3"/>
  <c r="O49" i="3"/>
  <c r="N49" i="3"/>
  <c r="L49" i="3"/>
  <c r="J49" i="3"/>
  <c r="H49" i="3"/>
  <c r="V49" i="9"/>
  <c r="U49" i="9"/>
  <c r="T49" i="9"/>
  <c r="S49" i="9"/>
  <c r="R49" i="9"/>
  <c r="Q49" i="9"/>
  <c r="P49" i="9"/>
  <c r="O49" i="9"/>
  <c r="N49" i="9"/>
  <c r="L49" i="9"/>
  <c r="J49" i="9"/>
  <c r="H49" i="9"/>
  <c r="V49" i="12"/>
  <c r="U49" i="12"/>
  <c r="T49" i="12"/>
  <c r="S49" i="12"/>
  <c r="R49" i="12"/>
  <c r="Q49" i="12"/>
  <c r="P49" i="12"/>
  <c r="O49" i="12"/>
  <c r="N49" i="12"/>
  <c r="L49" i="12"/>
  <c r="J49" i="12"/>
  <c r="H49" i="12"/>
  <c r="V49" i="13"/>
  <c r="U49" i="13"/>
  <c r="T49" i="13"/>
  <c r="S49" i="13"/>
  <c r="R49" i="13"/>
  <c r="Q49" i="13"/>
  <c r="P49" i="13"/>
  <c r="O49" i="13"/>
  <c r="N49" i="13"/>
  <c r="L49" i="13"/>
  <c r="J49" i="13"/>
  <c r="H49" i="13"/>
  <c r="V49" i="14"/>
  <c r="U49" i="14"/>
  <c r="T49" i="14"/>
  <c r="S49" i="14"/>
  <c r="R49" i="14"/>
  <c r="Q49" i="14"/>
  <c r="P49" i="14"/>
  <c r="O49" i="14"/>
  <c r="N49" i="14"/>
  <c r="L49" i="14"/>
  <c r="J49" i="14"/>
  <c r="H49" i="14"/>
  <c r="G49" i="1"/>
  <c r="G49" i="3"/>
  <c r="G49" i="9"/>
  <c r="G49" i="12"/>
  <c r="G49" i="13"/>
  <c r="G49" i="14"/>
  <c r="V34" i="1"/>
  <c r="U34" i="1"/>
  <c r="T34" i="1"/>
  <c r="S34" i="1"/>
  <c r="R34" i="1"/>
  <c r="Q34" i="1"/>
  <c r="P34" i="1"/>
  <c r="O34" i="1"/>
  <c r="N34" i="1"/>
  <c r="L34" i="1"/>
  <c r="J34" i="1"/>
  <c r="H34" i="1"/>
  <c r="V34" i="3"/>
  <c r="U34" i="3"/>
  <c r="T34" i="3"/>
  <c r="S34" i="3"/>
  <c r="R34" i="3"/>
  <c r="Q34" i="3"/>
  <c r="P34" i="3"/>
  <c r="O34" i="3"/>
  <c r="N34" i="3"/>
  <c r="L34" i="3"/>
  <c r="J34" i="3"/>
  <c r="H34" i="3"/>
  <c r="V34" i="9"/>
  <c r="U34" i="9"/>
  <c r="T34" i="9"/>
  <c r="S34" i="9"/>
  <c r="R34" i="9"/>
  <c r="Q34" i="9"/>
  <c r="P34" i="9"/>
  <c r="O34" i="9"/>
  <c r="N34" i="9"/>
  <c r="L34" i="9"/>
  <c r="J34" i="9"/>
  <c r="J65" i="9" s="1"/>
  <c r="V34" i="12"/>
  <c r="U34" i="12"/>
  <c r="T34" i="12"/>
  <c r="S34" i="12"/>
  <c r="R34" i="12"/>
  <c r="Q34" i="12"/>
  <c r="P34" i="12"/>
  <c r="O34" i="12"/>
  <c r="N34" i="12"/>
  <c r="L34" i="12"/>
  <c r="J34" i="12"/>
  <c r="H34" i="12"/>
  <c r="V34" i="13"/>
  <c r="U34" i="13"/>
  <c r="T34" i="13"/>
  <c r="S34" i="13"/>
  <c r="R34" i="13"/>
  <c r="Q34" i="13"/>
  <c r="P34" i="13"/>
  <c r="O34" i="13"/>
  <c r="N34" i="13"/>
  <c r="L34" i="13"/>
  <c r="J34" i="13"/>
  <c r="H34" i="13"/>
  <c r="V34" i="14"/>
  <c r="U34" i="14"/>
  <c r="T34" i="14"/>
  <c r="S34" i="14"/>
  <c r="R34" i="14"/>
  <c r="Q34" i="14"/>
  <c r="P34" i="14"/>
  <c r="O34" i="14"/>
  <c r="N34" i="14"/>
  <c r="L34" i="14"/>
  <c r="J34" i="14"/>
  <c r="H34" i="14"/>
  <c r="G34" i="1"/>
  <c r="G34" i="3"/>
  <c r="G34" i="9"/>
  <c r="G34" i="12"/>
  <c r="G34" i="13"/>
  <c r="G34" i="14"/>
  <c r="V12" i="1"/>
  <c r="U12" i="1"/>
  <c r="T12" i="1"/>
  <c r="S12" i="1"/>
  <c r="R12" i="1"/>
  <c r="Q12" i="1"/>
  <c r="P12" i="1"/>
  <c r="O12" i="1"/>
  <c r="N12" i="1"/>
  <c r="L12" i="1"/>
  <c r="K12" i="1" s="1"/>
  <c r="J12" i="1"/>
  <c r="I12" i="1"/>
  <c r="H12" i="1"/>
  <c r="G12" i="1"/>
  <c r="V12" i="3"/>
  <c r="U12" i="3"/>
  <c r="T12" i="3"/>
  <c r="S12" i="3"/>
  <c r="R12" i="3"/>
  <c r="Q12" i="3"/>
  <c r="P12" i="3"/>
  <c r="O12" i="3"/>
  <c r="N12" i="3"/>
  <c r="L12" i="3"/>
  <c r="M12" i="3" s="1"/>
  <c r="J12" i="3"/>
  <c r="I12" i="3" s="1"/>
  <c r="H12" i="3"/>
  <c r="G12" i="3"/>
  <c r="V12" i="9"/>
  <c r="U12" i="9"/>
  <c r="T12" i="9"/>
  <c r="S12" i="9"/>
  <c r="R12" i="9"/>
  <c r="Q12" i="9"/>
  <c r="P12" i="9"/>
  <c r="O12" i="9"/>
  <c r="N12" i="9"/>
  <c r="L12" i="9"/>
  <c r="K12" i="9"/>
  <c r="J12" i="9"/>
  <c r="I12" i="9" s="1"/>
  <c r="H12" i="9"/>
  <c r="G12" i="9"/>
  <c r="G65" i="9" s="1"/>
  <c r="V12" i="12"/>
  <c r="U12" i="12"/>
  <c r="T12" i="12"/>
  <c r="S12" i="12"/>
  <c r="R12" i="12"/>
  <c r="Q12" i="12"/>
  <c r="P12" i="12"/>
  <c r="O12" i="12"/>
  <c r="N12" i="12"/>
  <c r="L12" i="12"/>
  <c r="M12" i="12" s="1"/>
  <c r="J12" i="12"/>
  <c r="I12" i="12" s="1"/>
  <c r="H12" i="12"/>
  <c r="G12" i="12"/>
  <c r="V12" i="13"/>
  <c r="U12" i="13"/>
  <c r="T12" i="13"/>
  <c r="S12" i="13"/>
  <c r="R12" i="13"/>
  <c r="Q12" i="13"/>
  <c r="P12" i="13"/>
  <c r="O12" i="13"/>
  <c r="N12" i="13"/>
  <c r="L12" i="13"/>
  <c r="K12" i="13"/>
  <c r="J12" i="13"/>
  <c r="I12" i="13"/>
  <c r="H12" i="13"/>
  <c r="G12" i="13"/>
  <c r="V12" i="14"/>
  <c r="U12" i="14"/>
  <c r="T12" i="14"/>
  <c r="S12" i="14"/>
  <c r="R12" i="14"/>
  <c r="Q12" i="14"/>
  <c r="P12" i="14"/>
  <c r="O12" i="14"/>
  <c r="N12" i="14"/>
  <c r="L12" i="14"/>
  <c r="M12" i="14" s="1"/>
  <c r="J12" i="14"/>
  <c r="I12" i="14" s="1"/>
  <c r="H12" i="14"/>
  <c r="H65" i="14" s="1"/>
  <c r="G12" i="14"/>
  <c r="V8" i="1"/>
  <c r="U8" i="1"/>
  <c r="T8" i="1"/>
  <c r="S8" i="1"/>
  <c r="R8" i="1"/>
  <c r="R65" i="1" s="1"/>
  <c r="Q8" i="1"/>
  <c r="Q65" i="1" s="1"/>
  <c r="Q161" i="1" s="1"/>
  <c r="P8" i="1"/>
  <c r="P65" i="1" s="1"/>
  <c r="O8" i="1"/>
  <c r="O65" i="1" s="1"/>
  <c r="O161" i="1" s="1"/>
  <c r="H8" i="1"/>
  <c r="H65" i="1" s="1"/>
  <c r="V8" i="3"/>
  <c r="U8" i="3"/>
  <c r="T8" i="3"/>
  <c r="S8" i="3"/>
  <c r="R8" i="3"/>
  <c r="R65" i="3" s="1"/>
  <c r="Q8" i="3"/>
  <c r="Q65" i="3" s="1"/>
  <c r="P8" i="3"/>
  <c r="O8" i="3"/>
  <c r="O65" i="3" s="1"/>
  <c r="N8" i="3"/>
  <c r="N65" i="3" s="1"/>
  <c r="L8" i="3"/>
  <c r="L65" i="3" s="1"/>
  <c r="J8" i="3"/>
  <c r="J65" i="3" s="1"/>
  <c r="H8" i="3"/>
  <c r="H65" i="3" s="1"/>
  <c r="V8" i="9"/>
  <c r="U8" i="9"/>
  <c r="T8" i="9"/>
  <c r="S8" i="9"/>
  <c r="R8" i="9"/>
  <c r="R65" i="9" s="1"/>
  <c r="Q8" i="9"/>
  <c r="Q65" i="9" s="1"/>
  <c r="P8" i="9"/>
  <c r="P65" i="9" s="1"/>
  <c r="O8" i="9"/>
  <c r="O65" i="9" s="1"/>
  <c r="N8" i="9"/>
  <c r="N65" i="9" s="1"/>
  <c r="L8" i="9"/>
  <c r="L65" i="9" s="1"/>
  <c r="J8" i="9"/>
  <c r="H8" i="9"/>
  <c r="V8" i="12"/>
  <c r="U8" i="12"/>
  <c r="T8" i="12"/>
  <c r="S8" i="12"/>
  <c r="R8" i="12"/>
  <c r="Q8" i="12"/>
  <c r="P8" i="12"/>
  <c r="O8" i="12"/>
  <c r="N8" i="12"/>
  <c r="N65" i="12" s="1"/>
  <c r="L8" i="12"/>
  <c r="L65" i="12" s="1"/>
  <c r="J8" i="12"/>
  <c r="J65" i="12" s="1"/>
  <c r="H8" i="12"/>
  <c r="H65" i="12" s="1"/>
  <c r="V8" i="13"/>
  <c r="U8" i="13"/>
  <c r="T8" i="13"/>
  <c r="S8" i="13"/>
  <c r="R8" i="13"/>
  <c r="Q8" i="13"/>
  <c r="Q65" i="13" s="1"/>
  <c r="P8" i="13"/>
  <c r="O8" i="13"/>
  <c r="N8" i="13"/>
  <c r="L8" i="13"/>
  <c r="J8" i="13"/>
  <c r="H8" i="13"/>
  <c r="V8" i="14"/>
  <c r="U8" i="14"/>
  <c r="T8" i="14"/>
  <c r="S8" i="14"/>
  <c r="R8" i="14"/>
  <c r="R65" i="14" s="1"/>
  <c r="Q8" i="14"/>
  <c r="P8" i="14"/>
  <c r="O8" i="14"/>
  <c r="O65" i="14" s="1"/>
  <c r="N8" i="14"/>
  <c r="L8" i="14"/>
  <c r="J8" i="14"/>
  <c r="H8" i="14"/>
  <c r="G8" i="3"/>
  <c r="G65" i="3" s="1"/>
  <c r="G8" i="9"/>
  <c r="G8" i="12"/>
  <c r="G65" i="12" s="1"/>
  <c r="G8" i="13"/>
  <c r="G8" i="14"/>
  <c r="G65" i="14" s="1"/>
  <c r="V95" i="1"/>
  <c r="U95" i="1"/>
  <c r="T95" i="1"/>
  <c r="S95" i="1"/>
  <c r="R95" i="1"/>
  <c r="Q95" i="1"/>
  <c r="P95" i="1"/>
  <c r="O95" i="1"/>
  <c r="O160" i="1" s="1"/>
  <c r="H95" i="1"/>
  <c r="V95" i="3"/>
  <c r="U95" i="3"/>
  <c r="T95" i="3"/>
  <c r="S95" i="3"/>
  <c r="R95" i="3"/>
  <c r="Q95" i="3"/>
  <c r="P95" i="3"/>
  <c r="O95" i="3"/>
  <c r="N95" i="3"/>
  <c r="L95" i="3"/>
  <c r="J95" i="3"/>
  <c r="H95" i="3"/>
  <c r="V95" i="9"/>
  <c r="U95" i="9"/>
  <c r="T95" i="9"/>
  <c r="S95" i="9"/>
  <c r="R95" i="9"/>
  <c r="Q95" i="9"/>
  <c r="P95" i="9"/>
  <c r="O95" i="9"/>
  <c r="N95" i="9"/>
  <c r="L95" i="9"/>
  <c r="J95" i="9"/>
  <c r="H95" i="9"/>
  <c r="V95" i="12"/>
  <c r="U95" i="12"/>
  <c r="T95" i="12"/>
  <c r="S95" i="12"/>
  <c r="R95" i="12"/>
  <c r="Q95" i="12"/>
  <c r="P95" i="12"/>
  <c r="O95" i="12"/>
  <c r="N95" i="12"/>
  <c r="L95" i="12"/>
  <c r="J95" i="12"/>
  <c r="H95" i="12"/>
  <c r="V95" i="13"/>
  <c r="U95" i="13"/>
  <c r="T95" i="13"/>
  <c r="S95" i="13"/>
  <c r="R95" i="13"/>
  <c r="Q95" i="13"/>
  <c r="P95" i="13"/>
  <c r="O95" i="13"/>
  <c r="N95" i="13"/>
  <c r="L95" i="13"/>
  <c r="J95" i="13"/>
  <c r="H95" i="13"/>
  <c r="V95" i="14"/>
  <c r="U95" i="14"/>
  <c r="T95" i="14"/>
  <c r="S95" i="14"/>
  <c r="R95" i="14"/>
  <c r="Q95" i="14"/>
  <c r="P95" i="14"/>
  <c r="O95" i="14"/>
  <c r="N95" i="14"/>
  <c r="L95" i="14"/>
  <c r="J95" i="14"/>
  <c r="H95" i="14"/>
  <c r="G95" i="1"/>
  <c r="G95" i="3"/>
  <c r="G95" i="9"/>
  <c r="G95" i="12"/>
  <c r="G95" i="13"/>
  <c r="G95" i="14"/>
  <c r="L5" i="12"/>
  <c r="J5" i="12"/>
  <c r="P161" i="1" l="1"/>
  <c r="R161" i="1"/>
  <c r="P65" i="13"/>
  <c r="M12" i="13"/>
  <c r="S65" i="3"/>
  <c r="J65" i="14"/>
  <c r="N65" i="13"/>
  <c r="H65" i="13"/>
  <c r="S65" i="13"/>
  <c r="O65" i="13"/>
  <c r="S65" i="14"/>
  <c r="U65" i="3"/>
  <c r="G65" i="13"/>
  <c r="N65" i="14"/>
  <c r="R65" i="13"/>
  <c r="P65" i="14"/>
  <c r="T65" i="12"/>
  <c r="V65" i="3"/>
  <c r="T65" i="3"/>
  <c r="Q65" i="14"/>
  <c r="K12" i="3"/>
  <c r="M12" i="1"/>
  <c r="O65" i="12"/>
  <c r="S65" i="1"/>
  <c r="K12" i="12"/>
  <c r="M12" i="9"/>
  <c r="Q65" i="12"/>
  <c r="U65" i="1"/>
  <c r="J65" i="13"/>
  <c r="R65" i="12"/>
  <c r="V65" i="1"/>
  <c r="L65" i="14"/>
  <c r="K12" i="14"/>
  <c r="U65" i="13"/>
  <c r="L65" i="13"/>
  <c r="V65" i="13"/>
  <c r="T65" i="14"/>
  <c r="V65" i="14"/>
  <c r="T65" i="13"/>
  <c r="S65" i="9"/>
  <c r="T65" i="9"/>
  <c r="U65" i="9"/>
  <c r="V65" i="9"/>
  <c r="S65" i="12"/>
  <c r="U65" i="14"/>
  <c r="U65" i="12"/>
  <c r="V65" i="12"/>
  <c r="D160" i="9" l="1"/>
  <c r="A159" i="14"/>
  <c r="A158" i="14"/>
  <c r="A157" i="14"/>
  <c r="A156" i="14"/>
  <c r="A155" i="14"/>
  <c r="A154" i="14"/>
  <c r="A153" i="14"/>
  <c r="A152" i="14"/>
  <c r="A151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150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159" i="13"/>
  <c r="A158" i="13"/>
  <c r="A157" i="13"/>
  <c r="A156" i="13"/>
  <c r="A155" i="13"/>
  <c r="A154" i="13"/>
  <c r="A153" i="13"/>
  <c r="A152" i="13"/>
  <c r="A151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150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159" i="1"/>
  <c r="A158" i="1"/>
  <c r="A157" i="1"/>
  <c r="A156" i="1"/>
  <c r="A155" i="1"/>
  <c r="A154" i="1"/>
  <c r="A152" i="1"/>
  <c r="A151" i="1"/>
  <c r="A147" i="1"/>
  <c r="A146" i="1"/>
  <c r="A145" i="1"/>
  <c r="A144" i="1"/>
  <c r="A143" i="1"/>
  <c r="A142" i="1"/>
  <c r="A141" i="1"/>
  <c r="A140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150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159" i="3"/>
  <c r="A158" i="3"/>
  <c r="A157" i="3"/>
  <c r="A156" i="3"/>
  <c r="A155" i="3"/>
  <c r="A154" i="3"/>
  <c r="A153" i="3"/>
  <c r="A152" i="3"/>
  <c r="A151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150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159" i="9"/>
  <c r="A158" i="9"/>
  <c r="A157" i="9"/>
  <c r="A156" i="9"/>
  <c r="A155" i="9"/>
  <c r="A154" i="9"/>
  <c r="A153" i="9"/>
  <c r="A152" i="9"/>
  <c r="A151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150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150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1" i="12"/>
  <c r="A152" i="12"/>
  <c r="A153" i="12"/>
  <c r="A154" i="12"/>
  <c r="A155" i="12"/>
  <c r="A156" i="12"/>
  <c r="A157" i="12"/>
  <c r="A158" i="12"/>
  <c r="A159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D160" i="12"/>
  <c r="D160" i="13"/>
  <c r="D160" i="14"/>
  <c r="D160" i="1"/>
  <c r="D160" i="3"/>
  <c r="BM211" i="8"/>
  <c r="BJ164" i="8"/>
  <c r="BJ227" i="8" s="1"/>
  <c r="BK164" i="8"/>
  <c r="BK227" i="8" s="1"/>
  <c r="BL164" i="8"/>
  <c r="BL227" i="8" s="1"/>
  <c r="BM164" i="8"/>
  <c r="BM179" i="8" s="1"/>
  <c r="BA247" i="8"/>
  <c r="AZ164" i="8"/>
  <c r="AZ244" i="8" s="1"/>
  <c r="AX164" i="8"/>
  <c r="AX227" i="8" s="1"/>
  <c r="AY164" i="8"/>
  <c r="AY211" i="8" s="1"/>
  <c r="BA164" i="8"/>
  <c r="BA179" i="8" s="1"/>
  <c r="AM164" i="8"/>
  <c r="AM227" i="8" s="1"/>
  <c r="AN164" i="8"/>
  <c r="AN244" i="8" s="1"/>
  <c r="AO164" i="8"/>
  <c r="AO179" i="8" s="1"/>
  <c r="BM158" i="8"/>
  <c r="BL158" i="8"/>
  <c r="BK158" i="8"/>
  <c r="BJ158" i="8"/>
  <c r="BI158" i="8"/>
  <c r="BH158" i="8"/>
  <c r="BM157" i="8"/>
  <c r="BL157" i="8"/>
  <c r="BK157" i="8"/>
  <c r="BJ157" i="8"/>
  <c r="BI157" i="8"/>
  <c r="BH157" i="8"/>
  <c r="BM156" i="8"/>
  <c r="BL156" i="8"/>
  <c r="BK156" i="8"/>
  <c r="BJ156" i="8"/>
  <c r="BI156" i="8"/>
  <c r="BH156" i="8"/>
  <c r="BM155" i="8"/>
  <c r="BL155" i="8"/>
  <c r="BK155" i="8"/>
  <c r="BJ155" i="8"/>
  <c r="BI155" i="8"/>
  <c r="BH155" i="8"/>
  <c r="BM154" i="8"/>
  <c r="BL154" i="8"/>
  <c r="BK154" i="8"/>
  <c r="BJ154" i="8"/>
  <c r="BI154" i="8"/>
  <c r="BH154" i="8"/>
  <c r="BM153" i="8"/>
  <c r="BL153" i="8"/>
  <c r="BK153" i="8"/>
  <c r="BJ153" i="8"/>
  <c r="BI153" i="8"/>
  <c r="BH153" i="8"/>
  <c r="BM152" i="8"/>
  <c r="BL152" i="8"/>
  <c r="BK152" i="8"/>
  <c r="BJ152" i="8"/>
  <c r="BI152" i="8"/>
  <c r="BH152" i="8"/>
  <c r="BM151" i="8"/>
  <c r="BL151" i="8"/>
  <c r="BK151" i="8"/>
  <c r="BJ151" i="8"/>
  <c r="BI151" i="8"/>
  <c r="BH151" i="8"/>
  <c r="BM149" i="8"/>
  <c r="BL149" i="8"/>
  <c r="BK149" i="8"/>
  <c r="BI149" i="8"/>
  <c r="BH149" i="8"/>
  <c r="BM148" i="8"/>
  <c r="BL148" i="8"/>
  <c r="BK148" i="8"/>
  <c r="BI148" i="8"/>
  <c r="BH148" i="8"/>
  <c r="BM147" i="8"/>
  <c r="BL147" i="8"/>
  <c r="BK147" i="8"/>
  <c r="BJ147" i="8"/>
  <c r="BI147" i="8"/>
  <c r="BH147" i="8"/>
  <c r="BM146" i="8"/>
  <c r="BL146" i="8"/>
  <c r="BK146" i="8"/>
  <c r="BJ146" i="8"/>
  <c r="BI146" i="8"/>
  <c r="BH146" i="8"/>
  <c r="BM145" i="8"/>
  <c r="BL145" i="8"/>
  <c r="BK145" i="8"/>
  <c r="BI145" i="8"/>
  <c r="BH145" i="8"/>
  <c r="BM144" i="8"/>
  <c r="BL144" i="8"/>
  <c r="BK144" i="8"/>
  <c r="BJ144" i="8"/>
  <c r="BI144" i="8"/>
  <c r="BH144" i="8"/>
  <c r="BM143" i="8"/>
  <c r="BL143" i="8"/>
  <c r="BK143" i="8"/>
  <c r="BI143" i="8"/>
  <c r="BH143" i="8"/>
  <c r="BM142" i="8"/>
  <c r="BL142" i="8"/>
  <c r="BK142" i="8"/>
  <c r="BI142" i="8"/>
  <c r="BH142" i="8"/>
  <c r="BM141" i="8"/>
  <c r="BL141" i="8"/>
  <c r="BK141" i="8"/>
  <c r="BJ141" i="8"/>
  <c r="BI141" i="8"/>
  <c r="BH141" i="8"/>
  <c r="BM140" i="8"/>
  <c r="BL140" i="8"/>
  <c r="BK140" i="8"/>
  <c r="BJ140" i="8"/>
  <c r="BI140" i="8"/>
  <c r="BH140" i="8"/>
  <c r="BM139" i="8"/>
  <c r="BL139" i="8"/>
  <c r="BK139" i="8"/>
  <c r="BJ139" i="8"/>
  <c r="BI139" i="8"/>
  <c r="BH139" i="8"/>
  <c r="BM138" i="8"/>
  <c r="BL138" i="8"/>
  <c r="BK138" i="8"/>
  <c r="BJ138" i="8"/>
  <c r="BI138" i="8"/>
  <c r="BH138" i="8"/>
  <c r="BM137" i="8"/>
  <c r="BL137" i="8"/>
  <c r="BK137" i="8"/>
  <c r="BJ137" i="8"/>
  <c r="BI137" i="8"/>
  <c r="BH137" i="8"/>
  <c r="BM136" i="8"/>
  <c r="BL136" i="8"/>
  <c r="BK136" i="8"/>
  <c r="BJ136" i="8"/>
  <c r="BI136" i="8"/>
  <c r="BH136" i="8"/>
  <c r="BM135" i="8"/>
  <c r="BL135" i="8"/>
  <c r="BK135" i="8"/>
  <c r="BJ135" i="8"/>
  <c r="BI135" i="8"/>
  <c r="BH135" i="8"/>
  <c r="BM133" i="8"/>
  <c r="BL133" i="8"/>
  <c r="BK133" i="8"/>
  <c r="BJ133" i="8"/>
  <c r="BI133" i="8"/>
  <c r="BH133" i="8"/>
  <c r="BM132" i="8"/>
  <c r="BL132" i="8"/>
  <c r="BK132" i="8"/>
  <c r="BJ132" i="8"/>
  <c r="BI132" i="8"/>
  <c r="BH132" i="8"/>
  <c r="BM131" i="8"/>
  <c r="BL131" i="8"/>
  <c r="BK131" i="8"/>
  <c r="BJ131" i="8"/>
  <c r="BI131" i="8"/>
  <c r="BH131" i="8"/>
  <c r="BM130" i="8"/>
  <c r="BL130" i="8"/>
  <c r="BK130" i="8"/>
  <c r="BJ130" i="8"/>
  <c r="BI130" i="8"/>
  <c r="BH130" i="8"/>
  <c r="BM129" i="8"/>
  <c r="BL129" i="8"/>
  <c r="BK129" i="8"/>
  <c r="BJ129" i="8"/>
  <c r="BI129" i="8"/>
  <c r="BH129" i="8"/>
  <c r="BM128" i="8"/>
  <c r="BL128" i="8"/>
  <c r="BK128" i="8"/>
  <c r="BJ128" i="8"/>
  <c r="BI128" i="8"/>
  <c r="BH128" i="8"/>
  <c r="BM127" i="8"/>
  <c r="BL127" i="8"/>
  <c r="BK127" i="8"/>
  <c r="BJ127" i="8"/>
  <c r="BI127" i="8"/>
  <c r="BH127" i="8"/>
  <c r="BM126" i="8"/>
  <c r="BL126" i="8"/>
  <c r="BK126" i="8"/>
  <c r="BJ126" i="8"/>
  <c r="BI126" i="8"/>
  <c r="BH126" i="8"/>
  <c r="BM124" i="8"/>
  <c r="BL124" i="8"/>
  <c r="BK124" i="8"/>
  <c r="BJ124" i="8"/>
  <c r="BI124" i="8"/>
  <c r="BH124" i="8"/>
  <c r="BM123" i="8"/>
  <c r="BL123" i="8"/>
  <c r="BK123" i="8"/>
  <c r="BJ123" i="8"/>
  <c r="BI123" i="8"/>
  <c r="BH123" i="8"/>
  <c r="BM122" i="8"/>
  <c r="BL122" i="8"/>
  <c r="BK122" i="8"/>
  <c r="BJ122" i="8"/>
  <c r="BI122" i="8"/>
  <c r="BH122" i="8"/>
  <c r="BM121" i="8"/>
  <c r="BL121" i="8"/>
  <c r="BK121" i="8"/>
  <c r="BJ121" i="8"/>
  <c r="BI121" i="8"/>
  <c r="BH121" i="8"/>
  <c r="BM120" i="8"/>
  <c r="BL120" i="8"/>
  <c r="BK120" i="8"/>
  <c r="BJ120" i="8"/>
  <c r="BI120" i="8"/>
  <c r="BH120" i="8"/>
  <c r="BM119" i="8"/>
  <c r="BL119" i="8"/>
  <c r="BK119" i="8"/>
  <c r="BJ119" i="8"/>
  <c r="BI119" i="8"/>
  <c r="BH119" i="8"/>
  <c r="BM118" i="8"/>
  <c r="BL118" i="8"/>
  <c r="BK118" i="8"/>
  <c r="BJ118" i="8"/>
  <c r="BI118" i="8"/>
  <c r="BH118" i="8"/>
  <c r="BM117" i="8"/>
  <c r="BL117" i="8"/>
  <c r="BK117" i="8"/>
  <c r="BJ117" i="8"/>
  <c r="BI117" i="8"/>
  <c r="BH117" i="8"/>
  <c r="BM116" i="8"/>
  <c r="BL116" i="8"/>
  <c r="BK116" i="8"/>
  <c r="BJ116" i="8"/>
  <c r="BI116" i="8"/>
  <c r="BH116" i="8"/>
  <c r="BM115" i="8"/>
  <c r="BL115" i="8"/>
  <c r="BK115" i="8"/>
  <c r="BJ115" i="8"/>
  <c r="BI115" i="8"/>
  <c r="BM114" i="8"/>
  <c r="BL114" i="8"/>
  <c r="BK114" i="8"/>
  <c r="BJ114" i="8"/>
  <c r="BI114" i="8"/>
  <c r="BM113" i="8"/>
  <c r="BL113" i="8"/>
  <c r="BK113" i="8"/>
  <c r="BJ113" i="8"/>
  <c r="BI113" i="8"/>
  <c r="BM112" i="8"/>
  <c r="BL112" i="8"/>
  <c r="BK112" i="8"/>
  <c r="BJ112" i="8"/>
  <c r="BI112" i="8"/>
  <c r="BH112" i="8"/>
  <c r="BM111" i="8"/>
  <c r="BL111" i="8"/>
  <c r="BK111" i="8"/>
  <c r="BJ111" i="8"/>
  <c r="BI111" i="8"/>
  <c r="BH111" i="8"/>
  <c r="BM110" i="8"/>
  <c r="BL110" i="8"/>
  <c r="BK110" i="8"/>
  <c r="BJ110" i="8"/>
  <c r="BI110" i="8"/>
  <c r="BH110" i="8"/>
  <c r="BM108" i="8"/>
  <c r="BL108" i="8"/>
  <c r="BK108" i="8"/>
  <c r="BJ108" i="8"/>
  <c r="BI108" i="8"/>
  <c r="BH108" i="8"/>
  <c r="BM107" i="8"/>
  <c r="BL107" i="8"/>
  <c r="BK107" i="8"/>
  <c r="BJ107" i="8"/>
  <c r="BI107" i="8"/>
  <c r="BH107" i="8"/>
  <c r="BM106" i="8"/>
  <c r="BL106" i="8"/>
  <c r="BK106" i="8"/>
  <c r="BJ106" i="8"/>
  <c r="BI106" i="8"/>
  <c r="BH106" i="8"/>
  <c r="BM105" i="8"/>
  <c r="BL105" i="8"/>
  <c r="BK105" i="8"/>
  <c r="BJ105" i="8"/>
  <c r="BI105" i="8"/>
  <c r="BH105" i="8"/>
  <c r="BM104" i="8"/>
  <c r="BL104" i="8"/>
  <c r="BK104" i="8"/>
  <c r="BJ104" i="8"/>
  <c r="BI104" i="8"/>
  <c r="BH104" i="8"/>
  <c r="BM103" i="8"/>
  <c r="BL103" i="8"/>
  <c r="BK103" i="8"/>
  <c r="BJ103" i="8"/>
  <c r="BI103" i="8"/>
  <c r="BH103" i="8"/>
  <c r="BM102" i="8"/>
  <c r="BL102" i="8"/>
  <c r="BK102" i="8"/>
  <c r="BJ102" i="8"/>
  <c r="BI102" i="8"/>
  <c r="BH102" i="8"/>
  <c r="BM101" i="8"/>
  <c r="BL101" i="8"/>
  <c r="BK101" i="8"/>
  <c r="BJ101" i="8"/>
  <c r="BI101" i="8"/>
  <c r="BM100" i="8"/>
  <c r="BL100" i="8"/>
  <c r="BK100" i="8"/>
  <c r="BJ100" i="8"/>
  <c r="BI100" i="8"/>
  <c r="BM99" i="8"/>
  <c r="BL99" i="8"/>
  <c r="BK99" i="8"/>
  <c r="BJ99" i="8"/>
  <c r="BI99" i="8"/>
  <c r="BM98" i="8"/>
  <c r="BL98" i="8"/>
  <c r="BK98" i="8"/>
  <c r="BJ98" i="8"/>
  <c r="BI98" i="8"/>
  <c r="BM97" i="8"/>
  <c r="BL97" i="8"/>
  <c r="BK97" i="8"/>
  <c r="BJ97" i="8"/>
  <c r="BI97" i="8"/>
  <c r="BM96" i="8"/>
  <c r="BL96" i="8"/>
  <c r="BK96" i="8"/>
  <c r="BJ96" i="8"/>
  <c r="BI96" i="8"/>
  <c r="BM94" i="8"/>
  <c r="BL94" i="8"/>
  <c r="BK94" i="8"/>
  <c r="BJ94" i="8"/>
  <c r="BI94" i="8"/>
  <c r="BH94" i="8"/>
  <c r="BM93" i="8"/>
  <c r="BL93" i="8"/>
  <c r="BK93" i="8"/>
  <c r="BJ93" i="8"/>
  <c r="BI93" i="8"/>
  <c r="BH93" i="8"/>
  <c r="BM92" i="8"/>
  <c r="BL92" i="8"/>
  <c r="BK92" i="8"/>
  <c r="BJ92" i="8"/>
  <c r="BI92" i="8"/>
  <c r="BH92" i="8"/>
  <c r="BM150" i="8"/>
  <c r="BL150" i="8"/>
  <c r="BK150" i="8"/>
  <c r="BJ150" i="8"/>
  <c r="BI150" i="8"/>
  <c r="BM91" i="8"/>
  <c r="BL91" i="8"/>
  <c r="BK91" i="8"/>
  <c r="BJ91" i="8"/>
  <c r="BI91" i="8"/>
  <c r="BH91" i="8"/>
  <c r="BM90" i="8"/>
  <c r="BL90" i="8"/>
  <c r="BK90" i="8"/>
  <c r="BJ90" i="8"/>
  <c r="BI90" i="8"/>
  <c r="BH90" i="8"/>
  <c r="BM89" i="8"/>
  <c r="BL89" i="8"/>
  <c r="BK89" i="8"/>
  <c r="BJ89" i="8"/>
  <c r="BI89" i="8"/>
  <c r="BM88" i="8"/>
  <c r="BL88" i="8"/>
  <c r="BK88" i="8"/>
  <c r="BJ88" i="8"/>
  <c r="BI88" i="8"/>
  <c r="BM87" i="8"/>
  <c r="BL87" i="8"/>
  <c r="BK87" i="8"/>
  <c r="BJ87" i="8"/>
  <c r="BI87" i="8"/>
  <c r="BM86" i="8"/>
  <c r="BL86" i="8"/>
  <c r="BK86" i="8"/>
  <c r="BJ86" i="8"/>
  <c r="BI86" i="8"/>
  <c r="BM84" i="8"/>
  <c r="BL84" i="8"/>
  <c r="BK84" i="8"/>
  <c r="BJ84" i="8"/>
  <c r="BI84" i="8"/>
  <c r="BH84" i="8"/>
  <c r="BM83" i="8"/>
  <c r="BL83" i="8"/>
  <c r="BK83" i="8"/>
  <c r="BJ83" i="8"/>
  <c r="BI83" i="8"/>
  <c r="BH83" i="8"/>
  <c r="BM82" i="8"/>
  <c r="BL82" i="8"/>
  <c r="BK82" i="8"/>
  <c r="BJ82" i="8"/>
  <c r="BI82" i="8"/>
  <c r="BH82" i="8"/>
  <c r="BM81" i="8"/>
  <c r="BL81" i="8"/>
  <c r="BK81" i="8"/>
  <c r="BJ81" i="8"/>
  <c r="BI81" i="8"/>
  <c r="BH81" i="8"/>
  <c r="BM80" i="8"/>
  <c r="BL80" i="8"/>
  <c r="BK80" i="8"/>
  <c r="BJ80" i="8"/>
  <c r="BI80" i="8"/>
  <c r="BH80" i="8"/>
  <c r="BM79" i="8"/>
  <c r="BL79" i="8"/>
  <c r="BK79" i="8"/>
  <c r="BJ79" i="8"/>
  <c r="BI79" i="8"/>
  <c r="BH79" i="8"/>
  <c r="BM78" i="8"/>
  <c r="BL78" i="8"/>
  <c r="BK78" i="8"/>
  <c r="BJ78" i="8"/>
  <c r="BI78" i="8"/>
  <c r="BH78" i="8"/>
  <c r="BM76" i="8"/>
  <c r="BL76" i="8"/>
  <c r="BK76" i="8"/>
  <c r="BJ76" i="8"/>
  <c r="BI76" i="8"/>
  <c r="BH76" i="8"/>
  <c r="BM75" i="8"/>
  <c r="BL75" i="8"/>
  <c r="BK75" i="8"/>
  <c r="BJ75" i="8"/>
  <c r="BI75" i="8"/>
  <c r="BH75" i="8"/>
  <c r="BM74" i="8"/>
  <c r="BL74" i="8"/>
  <c r="BK74" i="8"/>
  <c r="BJ74" i="8"/>
  <c r="BI74" i="8"/>
  <c r="BH74" i="8"/>
  <c r="BM73" i="8"/>
  <c r="BL73" i="8"/>
  <c r="BK73" i="8"/>
  <c r="BJ73" i="8"/>
  <c r="BI73" i="8"/>
  <c r="BM72" i="8"/>
  <c r="BL72" i="8"/>
  <c r="BK72" i="8"/>
  <c r="BJ72" i="8"/>
  <c r="BI72" i="8"/>
  <c r="BH72" i="8"/>
  <c r="BM71" i="8"/>
  <c r="BL71" i="8"/>
  <c r="BK71" i="8"/>
  <c r="BJ71" i="8"/>
  <c r="BI71" i="8"/>
  <c r="BH71" i="8"/>
  <c r="BM70" i="8"/>
  <c r="BL70" i="8"/>
  <c r="BK70" i="8"/>
  <c r="BJ70" i="8"/>
  <c r="BI70" i="8"/>
  <c r="BM69" i="8"/>
  <c r="BL69" i="8"/>
  <c r="BK69" i="8"/>
  <c r="BJ69" i="8"/>
  <c r="BI69" i="8"/>
  <c r="BM68" i="8"/>
  <c r="BL68" i="8"/>
  <c r="BK68" i="8"/>
  <c r="BJ68" i="8"/>
  <c r="BI68" i="8"/>
  <c r="BM67" i="8"/>
  <c r="BL67" i="8"/>
  <c r="BK67" i="8"/>
  <c r="BJ67" i="8"/>
  <c r="BI67" i="8"/>
  <c r="BM66" i="8"/>
  <c r="BL66" i="8"/>
  <c r="BK66" i="8"/>
  <c r="BJ66" i="8"/>
  <c r="BI66" i="8"/>
  <c r="BM63" i="8"/>
  <c r="BL63" i="8"/>
  <c r="BK63" i="8"/>
  <c r="BJ63" i="8"/>
  <c r="BI63" i="8"/>
  <c r="BH63" i="8"/>
  <c r="BM62" i="8"/>
  <c r="BL62" i="8"/>
  <c r="BK62" i="8"/>
  <c r="BJ62" i="8"/>
  <c r="BI62" i="8"/>
  <c r="BH62" i="8"/>
  <c r="BM61" i="8"/>
  <c r="BL61" i="8"/>
  <c r="BK61" i="8"/>
  <c r="BJ61" i="8"/>
  <c r="BI61" i="8"/>
  <c r="BH61" i="8"/>
  <c r="BM60" i="8"/>
  <c r="BL60" i="8"/>
  <c r="BK60" i="8"/>
  <c r="BJ60" i="8"/>
  <c r="BI60" i="8"/>
  <c r="BM59" i="8"/>
  <c r="BL59" i="8"/>
  <c r="BK59" i="8"/>
  <c r="BJ59" i="8"/>
  <c r="BI59" i="8"/>
  <c r="BH59" i="8"/>
  <c r="BM58" i="8"/>
  <c r="BL58" i="8"/>
  <c r="BK58" i="8"/>
  <c r="BJ58" i="8"/>
  <c r="BI58" i="8"/>
  <c r="BH58" i="8"/>
  <c r="BM57" i="8"/>
  <c r="BL57" i="8"/>
  <c r="BK57" i="8"/>
  <c r="BJ57" i="8"/>
  <c r="BI57" i="8"/>
  <c r="BH57" i="8"/>
  <c r="BM56" i="8"/>
  <c r="BL56" i="8"/>
  <c r="BK56" i="8"/>
  <c r="BJ56" i="8"/>
  <c r="BI56" i="8"/>
  <c r="BM55" i="8"/>
  <c r="BL55" i="8"/>
  <c r="BK55" i="8"/>
  <c r="BJ55" i="8"/>
  <c r="BI55" i="8"/>
  <c r="BM54" i="8"/>
  <c r="BL54" i="8"/>
  <c r="BK54" i="8"/>
  <c r="BJ54" i="8"/>
  <c r="BI54" i="8"/>
  <c r="BM53" i="8"/>
  <c r="BL53" i="8"/>
  <c r="BK53" i="8"/>
  <c r="BJ53" i="8"/>
  <c r="BI53" i="8"/>
  <c r="BM52" i="8"/>
  <c r="BL52" i="8"/>
  <c r="BK52" i="8"/>
  <c r="BJ52" i="8"/>
  <c r="BI52" i="8"/>
  <c r="BM51" i="8"/>
  <c r="BL51" i="8"/>
  <c r="BK51" i="8"/>
  <c r="BJ51" i="8"/>
  <c r="BI51" i="8"/>
  <c r="BM50" i="8"/>
  <c r="BL50" i="8"/>
  <c r="BK50" i="8"/>
  <c r="BJ50" i="8"/>
  <c r="BI50" i="8"/>
  <c r="BM48" i="8"/>
  <c r="BL48" i="8"/>
  <c r="BK48" i="8"/>
  <c r="BJ48" i="8"/>
  <c r="BI48" i="8"/>
  <c r="BH48" i="8"/>
  <c r="BM47" i="8"/>
  <c r="BL47" i="8"/>
  <c r="BK47" i="8"/>
  <c r="BJ47" i="8"/>
  <c r="BI47" i="8"/>
  <c r="BH47" i="8"/>
  <c r="BM46" i="8"/>
  <c r="BL46" i="8"/>
  <c r="BK46" i="8"/>
  <c r="BJ46" i="8"/>
  <c r="BI46" i="8"/>
  <c r="BH46" i="8"/>
  <c r="BM45" i="8"/>
  <c r="BL45" i="8"/>
  <c r="BK45" i="8"/>
  <c r="BJ45" i="8"/>
  <c r="BI45" i="8"/>
  <c r="BH45" i="8"/>
  <c r="BM44" i="8"/>
  <c r="BL44" i="8"/>
  <c r="BK44" i="8"/>
  <c r="BJ44" i="8"/>
  <c r="BI44" i="8"/>
  <c r="BH44" i="8"/>
  <c r="BM43" i="8"/>
  <c r="BL43" i="8"/>
  <c r="BK43" i="8"/>
  <c r="BJ43" i="8"/>
  <c r="BI43" i="8"/>
  <c r="BH43" i="8"/>
  <c r="BM42" i="8"/>
  <c r="BL42" i="8"/>
  <c r="BK42" i="8"/>
  <c r="BJ42" i="8"/>
  <c r="BI42" i="8"/>
  <c r="BH42" i="8"/>
  <c r="BM41" i="8"/>
  <c r="BL41" i="8"/>
  <c r="BK41" i="8"/>
  <c r="BJ41" i="8"/>
  <c r="BI41" i="8"/>
  <c r="BH41" i="8"/>
  <c r="BM40" i="8"/>
  <c r="BL40" i="8"/>
  <c r="BK40" i="8"/>
  <c r="BJ40" i="8"/>
  <c r="BI40" i="8"/>
  <c r="BH40" i="8"/>
  <c r="BM39" i="8"/>
  <c r="BL39" i="8"/>
  <c r="BK39" i="8"/>
  <c r="BJ39" i="8"/>
  <c r="BI39" i="8"/>
  <c r="BH39" i="8"/>
  <c r="BM38" i="8"/>
  <c r="BL38" i="8"/>
  <c r="BK38" i="8"/>
  <c r="BJ38" i="8"/>
  <c r="BI38" i="8"/>
  <c r="BH38" i="8"/>
  <c r="BM37" i="8"/>
  <c r="BL37" i="8"/>
  <c r="BK37" i="8"/>
  <c r="BJ37" i="8"/>
  <c r="BI37" i="8"/>
  <c r="BH37" i="8"/>
  <c r="BM36" i="8"/>
  <c r="BL36" i="8"/>
  <c r="BK36" i="8"/>
  <c r="BJ36" i="8"/>
  <c r="BI36" i="8"/>
  <c r="BH36" i="8"/>
  <c r="BM35" i="8"/>
  <c r="BL35" i="8"/>
  <c r="BK35" i="8"/>
  <c r="BJ35" i="8"/>
  <c r="BI35" i="8"/>
  <c r="BH35" i="8"/>
  <c r="BM33" i="8"/>
  <c r="BL33" i="8"/>
  <c r="BK33" i="8"/>
  <c r="BJ33" i="8"/>
  <c r="BI33" i="8"/>
  <c r="BH33" i="8"/>
  <c r="BM32" i="8"/>
  <c r="BL32" i="8"/>
  <c r="BK32" i="8"/>
  <c r="BJ32" i="8"/>
  <c r="BI32" i="8"/>
  <c r="BH32" i="8"/>
  <c r="BM31" i="8"/>
  <c r="BL31" i="8"/>
  <c r="BK31" i="8"/>
  <c r="BJ31" i="8"/>
  <c r="BI31" i="8"/>
  <c r="BH31" i="8"/>
  <c r="BM30" i="8"/>
  <c r="BL30" i="8"/>
  <c r="BK30" i="8"/>
  <c r="BJ30" i="8"/>
  <c r="BI30" i="8"/>
  <c r="BH30" i="8"/>
  <c r="BM29" i="8"/>
  <c r="BL29" i="8"/>
  <c r="BK29" i="8"/>
  <c r="BJ29" i="8"/>
  <c r="BI29" i="8"/>
  <c r="BH29" i="8"/>
  <c r="BM28" i="8"/>
  <c r="BL28" i="8"/>
  <c r="BK28" i="8"/>
  <c r="BJ28" i="8"/>
  <c r="BI28" i="8"/>
  <c r="BH28" i="8"/>
  <c r="BM27" i="8"/>
  <c r="BL27" i="8"/>
  <c r="BK27" i="8"/>
  <c r="BJ27" i="8"/>
  <c r="BI27" i="8"/>
  <c r="BH27" i="8"/>
  <c r="BM26" i="8"/>
  <c r="BL26" i="8"/>
  <c r="BK26" i="8"/>
  <c r="BJ26" i="8"/>
  <c r="BI26" i="8"/>
  <c r="BH26" i="8"/>
  <c r="BM25" i="8"/>
  <c r="BL25" i="8"/>
  <c r="BK25" i="8"/>
  <c r="BJ25" i="8"/>
  <c r="BI25" i="8"/>
  <c r="BH25" i="8"/>
  <c r="BM24" i="8"/>
  <c r="BL24" i="8"/>
  <c r="BK24" i="8"/>
  <c r="BJ24" i="8"/>
  <c r="BI24" i="8"/>
  <c r="BH24" i="8"/>
  <c r="BM23" i="8"/>
  <c r="BL23" i="8"/>
  <c r="BK23" i="8"/>
  <c r="BJ23" i="8"/>
  <c r="BI23" i="8"/>
  <c r="BH23" i="8"/>
  <c r="BM22" i="8"/>
  <c r="BL22" i="8"/>
  <c r="BK22" i="8"/>
  <c r="BJ22" i="8"/>
  <c r="BI22" i="8"/>
  <c r="BH22" i="8"/>
  <c r="BM21" i="8"/>
  <c r="BL21" i="8"/>
  <c r="BK21" i="8"/>
  <c r="BJ21" i="8"/>
  <c r="BI21" i="8"/>
  <c r="BH21" i="8"/>
  <c r="BM20" i="8"/>
  <c r="BL20" i="8"/>
  <c r="BK20" i="8"/>
  <c r="BJ20" i="8"/>
  <c r="BI20" i="8"/>
  <c r="BH20" i="8"/>
  <c r="BM19" i="8"/>
  <c r="BL19" i="8"/>
  <c r="BK19" i="8"/>
  <c r="BJ19" i="8"/>
  <c r="BI19" i="8"/>
  <c r="BH19" i="8"/>
  <c r="BM18" i="8"/>
  <c r="BL18" i="8"/>
  <c r="BK18" i="8"/>
  <c r="BJ18" i="8"/>
  <c r="BI18" i="8"/>
  <c r="BH18" i="8"/>
  <c r="BM17" i="8"/>
  <c r="BL17" i="8"/>
  <c r="BK17" i="8"/>
  <c r="BJ17" i="8"/>
  <c r="BI17" i="8"/>
  <c r="BH17" i="8"/>
  <c r="BM16" i="8"/>
  <c r="BL16" i="8"/>
  <c r="BK16" i="8"/>
  <c r="BJ16" i="8"/>
  <c r="BI16" i="8"/>
  <c r="BH16" i="8"/>
  <c r="BM15" i="8"/>
  <c r="BL15" i="8"/>
  <c r="BK15" i="8"/>
  <c r="BJ15" i="8"/>
  <c r="BI15" i="8"/>
  <c r="BH15" i="8"/>
  <c r="BM14" i="8"/>
  <c r="BL14" i="8"/>
  <c r="BK14" i="8"/>
  <c r="BJ14" i="8"/>
  <c r="BI14" i="8"/>
  <c r="BH14" i="8"/>
  <c r="BM13" i="8"/>
  <c r="BL13" i="8"/>
  <c r="BK13" i="8"/>
  <c r="BJ13" i="8"/>
  <c r="BI13" i="8"/>
  <c r="BH13" i="8"/>
  <c r="BM11" i="8"/>
  <c r="BL11" i="8"/>
  <c r="BK11" i="8"/>
  <c r="BJ11" i="8"/>
  <c r="BI11" i="8"/>
  <c r="BH11" i="8"/>
  <c r="BM10" i="8"/>
  <c r="BL10" i="8"/>
  <c r="BK10" i="8"/>
  <c r="BJ10" i="8"/>
  <c r="BI10" i="8"/>
  <c r="BH10" i="8"/>
  <c r="BM9" i="8"/>
  <c r="BL9" i="8"/>
  <c r="BK9" i="8"/>
  <c r="BJ9" i="8"/>
  <c r="BI9" i="8"/>
  <c r="BH9" i="8"/>
  <c r="BM7" i="8"/>
  <c r="BL7" i="8"/>
  <c r="BK7" i="8"/>
  <c r="BJ7" i="8"/>
  <c r="BI7" i="8"/>
  <c r="BH7" i="8"/>
  <c r="BM6" i="8"/>
  <c r="BL6" i="8"/>
  <c r="BK6" i="8"/>
  <c r="BJ6" i="8"/>
  <c r="BI6" i="8"/>
  <c r="BH6" i="8"/>
  <c r="BM5" i="8"/>
  <c r="BL5" i="8"/>
  <c r="BK5" i="8"/>
  <c r="BJ5" i="8"/>
  <c r="BI5" i="8"/>
  <c r="BC157" i="8"/>
  <c r="BC154" i="8"/>
  <c r="BG65" i="8"/>
  <c r="BF65" i="8"/>
  <c r="BE65" i="8"/>
  <c r="BC33" i="8"/>
  <c r="BA158" i="8"/>
  <c r="BG158" i="8" s="1"/>
  <c r="AZ158" i="8"/>
  <c r="BF158" i="8" s="1"/>
  <c r="AY158" i="8"/>
  <c r="BE158" i="8" s="1"/>
  <c r="AX158" i="8"/>
  <c r="BD158" i="8" s="1"/>
  <c r="AW158" i="8"/>
  <c r="BC158" i="8" s="1"/>
  <c r="AV158" i="8"/>
  <c r="BB158" i="8" s="1"/>
  <c r="BA157" i="8"/>
  <c r="BG157" i="8" s="1"/>
  <c r="AZ157" i="8"/>
  <c r="BF157" i="8" s="1"/>
  <c r="AY157" i="8"/>
  <c r="BE157" i="8" s="1"/>
  <c r="AX157" i="8"/>
  <c r="BD157" i="8" s="1"/>
  <c r="AW157" i="8"/>
  <c r="AV157" i="8"/>
  <c r="BB157" i="8" s="1"/>
  <c r="BA156" i="8"/>
  <c r="BG156" i="8" s="1"/>
  <c r="AZ156" i="8"/>
  <c r="BF156" i="8" s="1"/>
  <c r="AY156" i="8"/>
  <c r="BE156" i="8" s="1"/>
  <c r="AX156" i="8"/>
  <c r="BD156" i="8" s="1"/>
  <c r="AW156" i="8"/>
  <c r="BC156" i="8" s="1"/>
  <c r="AV156" i="8"/>
  <c r="BB156" i="8" s="1"/>
  <c r="BA155" i="8"/>
  <c r="BG155" i="8" s="1"/>
  <c r="AZ155" i="8"/>
  <c r="BF155" i="8" s="1"/>
  <c r="AY155" i="8"/>
  <c r="BE155" i="8" s="1"/>
  <c r="AX155" i="8"/>
  <c r="BD155" i="8" s="1"/>
  <c r="AW155" i="8"/>
  <c r="BC155" i="8" s="1"/>
  <c r="AV155" i="8"/>
  <c r="BB155" i="8" s="1"/>
  <c r="BA154" i="8"/>
  <c r="BG154" i="8" s="1"/>
  <c r="AZ154" i="8"/>
  <c r="BF154" i="8" s="1"/>
  <c r="AY154" i="8"/>
  <c r="BE154" i="8" s="1"/>
  <c r="AX154" i="8"/>
  <c r="BD154" i="8" s="1"/>
  <c r="AW154" i="8"/>
  <c r="AV154" i="8"/>
  <c r="BB154" i="8" s="1"/>
  <c r="BA153" i="8"/>
  <c r="BG153" i="8" s="1"/>
  <c r="AZ153" i="8"/>
  <c r="BF153" i="8" s="1"/>
  <c r="AY153" i="8"/>
  <c r="BE153" i="8" s="1"/>
  <c r="AX153" i="8"/>
  <c r="BD153" i="8" s="1"/>
  <c r="AW153" i="8"/>
  <c r="BC153" i="8" s="1"/>
  <c r="BA152" i="8"/>
  <c r="BG152" i="8" s="1"/>
  <c r="AZ152" i="8"/>
  <c r="BF152" i="8" s="1"/>
  <c r="AY152" i="8"/>
  <c r="BE152" i="8" s="1"/>
  <c r="AX152" i="8"/>
  <c r="BD152" i="8" s="1"/>
  <c r="AW152" i="8"/>
  <c r="BC152" i="8" s="1"/>
  <c r="AV152" i="8"/>
  <c r="BB152" i="8" s="1"/>
  <c r="BA151" i="8"/>
  <c r="BG151" i="8" s="1"/>
  <c r="AZ151" i="8"/>
  <c r="BF151" i="8" s="1"/>
  <c r="AY151" i="8"/>
  <c r="BE151" i="8" s="1"/>
  <c r="AX151" i="8"/>
  <c r="BD151" i="8" s="1"/>
  <c r="AW151" i="8"/>
  <c r="BC151" i="8" s="1"/>
  <c r="AV151" i="8"/>
  <c r="BB151" i="8" s="1"/>
  <c r="BA149" i="8"/>
  <c r="BG149" i="8" s="1"/>
  <c r="AZ149" i="8"/>
  <c r="BF149" i="8" s="1"/>
  <c r="AY149" i="8"/>
  <c r="BE149" i="8" s="1"/>
  <c r="AX149" i="8"/>
  <c r="AW149" i="8"/>
  <c r="BA148" i="8"/>
  <c r="BG148" i="8" s="1"/>
  <c r="AZ148" i="8"/>
  <c r="BF148" i="8" s="1"/>
  <c r="AY148" i="8"/>
  <c r="BE148" i="8" s="1"/>
  <c r="AX148" i="8"/>
  <c r="AW148" i="8"/>
  <c r="BA147" i="8"/>
  <c r="BG147" i="8" s="1"/>
  <c r="AZ147" i="8"/>
  <c r="BF147" i="8" s="1"/>
  <c r="AY147" i="8"/>
  <c r="BE147" i="8" s="1"/>
  <c r="AX147" i="8"/>
  <c r="AW147" i="8"/>
  <c r="BC147" i="8" s="1"/>
  <c r="AV147" i="8"/>
  <c r="BB147" i="8" s="1"/>
  <c r="BA146" i="8"/>
  <c r="BG146" i="8" s="1"/>
  <c r="AZ146" i="8"/>
  <c r="BF146" i="8" s="1"/>
  <c r="AY146" i="8"/>
  <c r="BE146" i="8" s="1"/>
  <c r="AX146" i="8"/>
  <c r="AW146" i="8"/>
  <c r="BC146" i="8" s="1"/>
  <c r="AV146" i="8"/>
  <c r="BB146" i="8" s="1"/>
  <c r="BA145" i="8"/>
  <c r="BG145" i="8" s="1"/>
  <c r="AZ145" i="8"/>
  <c r="BF145" i="8" s="1"/>
  <c r="AY145" i="8"/>
  <c r="BE145" i="8" s="1"/>
  <c r="AX145" i="8"/>
  <c r="AW145" i="8"/>
  <c r="BC145" i="8" s="1"/>
  <c r="AV145" i="8"/>
  <c r="BB145" i="8" s="1"/>
  <c r="BA144" i="8"/>
  <c r="BG144" i="8" s="1"/>
  <c r="AZ144" i="8"/>
  <c r="BF144" i="8" s="1"/>
  <c r="AY144" i="8"/>
  <c r="BE144" i="8" s="1"/>
  <c r="AX144" i="8"/>
  <c r="BD144" i="8" s="1"/>
  <c r="AW144" i="8"/>
  <c r="BC144" i="8" s="1"/>
  <c r="AV144" i="8"/>
  <c r="BB144" i="8" s="1"/>
  <c r="BA143" i="8"/>
  <c r="BG143" i="8" s="1"/>
  <c r="AZ143" i="8"/>
  <c r="BF143" i="8" s="1"/>
  <c r="AY143" i="8"/>
  <c r="BE143" i="8" s="1"/>
  <c r="AX143" i="8"/>
  <c r="AW143" i="8"/>
  <c r="BC143" i="8" s="1"/>
  <c r="AV143" i="8"/>
  <c r="BB143" i="8" s="1"/>
  <c r="BA142" i="8"/>
  <c r="BG142" i="8" s="1"/>
  <c r="AZ142" i="8"/>
  <c r="BF142" i="8" s="1"/>
  <c r="AY142" i="8"/>
  <c r="BE142" i="8" s="1"/>
  <c r="AX142" i="8"/>
  <c r="AW142" i="8"/>
  <c r="BC142" i="8" s="1"/>
  <c r="AV142" i="8"/>
  <c r="BB142" i="8" s="1"/>
  <c r="BA141" i="8"/>
  <c r="BG141" i="8" s="1"/>
  <c r="AZ141" i="8"/>
  <c r="BF141" i="8" s="1"/>
  <c r="AY141" i="8"/>
  <c r="BE141" i="8" s="1"/>
  <c r="AX141" i="8"/>
  <c r="BD141" i="8" s="1"/>
  <c r="AW141" i="8"/>
  <c r="BC141" i="8" s="1"/>
  <c r="AV141" i="8"/>
  <c r="BB141" i="8" s="1"/>
  <c r="BA140" i="8"/>
  <c r="BG140" i="8" s="1"/>
  <c r="AZ140" i="8"/>
  <c r="BF140" i="8" s="1"/>
  <c r="AY140" i="8"/>
  <c r="BE140" i="8" s="1"/>
  <c r="AX140" i="8"/>
  <c r="BD140" i="8" s="1"/>
  <c r="AW140" i="8"/>
  <c r="AV140" i="8"/>
  <c r="BB140" i="8" s="1"/>
  <c r="BA139" i="8"/>
  <c r="BG139" i="8" s="1"/>
  <c r="AZ139" i="8"/>
  <c r="BF139" i="8" s="1"/>
  <c r="AY139" i="8"/>
  <c r="BE139" i="8" s="1"/>
  <c r="AX139" i="8"/>
  <c r="BD139" i="8" s="1"/>
  <c r="AW139" i="8"/>
  <c r="BA138" i="8"/>
  <c r="BG138" i="8" s="1"/>
  <c r="AZ138" i="8"/>
  <c r="BF138" i="8" s="1"/>
  <c r="AY138" i="8"/>
  <c r="BE138" i="8" s="1"/>
  <c r="AX138" i="8"/>
  <c r="BD138" i="8" s="1"/>
  <c r="AW138" i="8"/>
  <c r="BC138" i="8" s="1"/>
  <c r="BA137" i="8"/>
  <c r="BG137" i="8" s="1"/>
  <c r="AZ137" i="8"/>
  <c r="BF137" i="8" s="1"/>
  <c r="AY137" i="8"/>
  <c r="BE137" i="8" s="1"/>
  <c r="AX137" i="8"/>
  <c r="BD137" i="8" s="1"/>
  <c r="AW137" i="8"/>
  <c r="BC137" i="8" s="1"/>
  <c r="BA136" i="8"/>
  <c r="BG136" i="8" s="1"/>
  <c r="AZ136" i="8"/>
  <c r="BF136" i="8" s="1"/>
  <c r="AY136" i="8"/>
  <c r="BE136" i="8" s="1"/>
  <c r="AX136" i="8"/>
  <c r="BD136" i="8" s="1"/>
  <c r="AW136" i="8"/>
  <c r="BC136" i="8" s="1"/>
  <c r="BA135" i="8"/>
  <c r="AZ135" i="8"/>
  <c r="AY135" i="8"/>
  <c r="AX135" i="8"/>
  <c r="AW135" i="8"/>
  <c r="BA133" i="8"/>
  <c r="BG133" i="8" s="1"/>
  <c r="AZ133" i="8"/>
  <c r="BF133" i="8" s="1"/>
  <c r="AY133" i="8"/>
  <c r="BE133" i="8" s="1"/>
  <c r="AX133" i="8"/>
  <c r="BD133" i="8" s="1"/>
  <c r="AW133" i="8"/>
  <c r="BC133" i="8" s="1"/>
  <c r="AV133" i="8"/>
  <c r="BB133" i="8" s="1"/>
  <c r="BA132" i="8"/>
  <c r="BG132" i="8" s="1"/>
  <c r="AZ132" i="8"/>
  <c r="BF132" i="8" s="1"/>
  <c r="AY132" i="8"/>
  <c r="BE132" i="8" s="1"/>
  <c r="AX132" i="8"/>
  <c r="BD132" i="8" s="1"/>
  <c r="AW132" i="8"/>
  <c r="BC132" i="8" s="1"/>
  <c r="AV132" i="8"/>
  <c r="BB132" i="8" s="1"/>
  <c r="BA131" i="8"/>
  <c r="BG131" i="8" s="1"/>
  <c r="AZ131" i="8"/>
  <c r="BF131" i="8" s="1"/>
  <c r="AY131" i="8"/>
  <c r="BE131" i="8" s="1"/>
  <c r="AX131" i="8"/>
  <c r="BD131" i="8" s="1"/>
  <c r="AW131" i="8"/>
  <c r="BC131" i="8" s="1"/>
  <c r="AV131" i="8"/>
  <c r="BB131" i="8" s="1"/>
  <c r="BA130" i="8"/>
  <c r="BG130" i="8" s="1"/>
  <c r="AZ130" i="8"/>
  <c r="BF130" i="8" s="1"/>
  <c r="AY130" i="8"/>
  <c r="BE130" i="8" s="1"/>
  <c r="AX130" i="8"/>
  <c r="AW130" i="8"/>
  <c r="AV130" i="8"/>
  <c r="BB130" i="8" s="1"/>
  <c r="BA129" i="8"/>
  <c r="BG129" i="8" s="1"/>
  <c r="AZ129" i="8"/>
  <c r="BF129" i="8" s="1"/>
  <c r="AY129" i="8"/>
  <c r="BE129" i="8" s="1"/>
  <c r="AX129" i="8"/>
  <c r="AW129" i="8"/>
  <c r="BC129" i="8" s="1"/>
  <c r="AV129" i="8"/>
  <c r="BB129" i="8" s="1"/>
  <c r="BA128" i="8"/>
  <c r="BG128" i="8" s="1"/>
  <c r="AZ128" i="8"/>
  <c r="BF128" i="8" s="1"/>
  <c r="AY128" i="8"/>
  <c r="BE128" i="8" s="1"/>
  <c r="AX128" i="8"/>
  <c r="BD128" i="8" s="1"/>
  <c r="AW128" i="8"/>
  <c r="BC128" i="8" s="1"/>
  <c r="AV128" i="8"/>
  <c r="BA127" i="8"/>
  <c r="BG127" i="8" s="1"/>
  <c r="AZ127" i="8"/>
  <c r="BF127" i="8" s="1"/>
  <c r="AY127" i="8"/>
  <c r="BE127" i="8" s="1"/>
  <c r="AX127" i="8"/>
  <c r="BD127" i="8" s="1"/>
  <c r="AW127" i="8"/>
  <c r="AV127" i="8"/>
  <c r="BB127" i="8" s="1"/>
  <c r="BA126" i="8"/>
  <c r="BG126" i="8" s="1"/>
  <c r="AZ126" i="8"/>
  <c r="AY126" i="8"/>
  <c r="BE126" i="8" s="1"/>
  <c r="AX126" i="8"/>
  <c r="AW126" i="8"/>
  <c r="BA124" i="8"/>
  <c r="BG124" i="8" s="1"/>
  <c r="AZ124" i="8"/>
  <c r="BF124" i="8" s="1"/>
  <c r="AY124" i="8"/>
  <c r="BE124" i="8" s="1"/>
  <c r="AX124" i="8"/>
  <c r="BD124" i="8" s="1"/>
  <c r="AW124" i="8"/>
  <c r="BC124" i="8" s="1"/>
  <c r="AV124" i="8"/>
  <c r="BB124" i="8" s="1"/>
  <c r="BA123" i="8"/>
  <c r="BG123" i="8" s="1"/>
  <c r="AZ123" i="8"/>
  <c r="BF123" i="8" s="1"/>
  <c r="AY123" i="8"/>
  <c r="BE123" i="8" s="1"/>
  <c r="AX123" i="8"/>
  <c r="BD123" i="8" s="1"/>
  <c r="AW123" i="8"/>
  <c r="BC123" i="8" s="1"/>
  <c r="AV123" i="8"/>
  <c r="BB123" i="8" s="1"/>
  <c r="BA122" i="8"/>
  <c r="BG122" i="8" s="1"/>
  <c r="AZ122" i="8"/>
  <c r="BF122" i="8" s="1"/>
  <c r="AY122" i="8"/>
  <c r="BE122" i="8" s="1"/>
  <c r="AX122" i="8"/>
  <c r="BD122" i="8" s="1"/>
  <c r="AW122" i="8"/>
  <c r="BC122" i="8" s="1"/>
  <c r="AV122" i="8"/>
  <c r="BB122" i="8" s="1"/>
  <c r="BA121" i="8"/>
  <c r="BG121" i="8" s="1"/>
  <c r="AZ121" i="8"/>
  <c r="BF121" i="8" s="1"/>
  <c r="AY121" i="8"/>
  <c r="BE121" i="8" s="1"/>
  <c r="AX121" i="8"/>
  <c r="BD121" i="8" s="1"/>
  <c r="AW121" i="8"/>
  <c r="AV121" i="8"/>
  <c r="BB121" i="8" s="1"/>
  <c r="BA120" i="8"/>
  <c r="BG120" i="8" s="1"/>
  <c r="AZ120" i="8"/>
  <c r="BF120" i="8" s="1"/>
  <c r="AY120" i="8"/>
  <c r="BE120" i="8" s="1"/>
  <c r="AX120" i="8"/>
  <c r="BD120" i="8" s="1"/>
  <c r="AW120" i="8"/>
  <c r="BC120" i="8" s="1"/>
  <c r="AV120" i="8"/>
  <c r="BB120" i="8" s="1"/>
  <c r="BA119" i="8"/>
  <c r="BG119" i="8" s="1"/>
  <c r="AZ119" i="8"/>
  <c r="BF119" i="8" s="1"/>
  <c r="AY119" i="8"/>
  <c r="BE119" i="8" s="1"/>
  <c r="AX119" i="8"/>
  <c r="BD119" i="8" s="1"/>
  <c r="AW119" i="8"/>
  <c r="BC119" i="8" s="1"/>
  <c r="AV119" i="8"/>
  <c r="BB119" i="8" s="1"/>
  <c r="BA118" i="8"/>
  <c r="BG118" i="8" s="1"/>
  <c r="AZ118" i="8"/>
  <c r="BF118" i="8" s="1"/>
  <c r="AY118" i="8"/>
  <c r="BE118" i="8" s="1"/>
  <c r="AX118" i="8"/>
  <c r="BD118" i="8" s="1"/>
  <c r="AW118" i="8"/>
  <c r="AV118" i="8"/>
  <c r="BB118" i="8" s="1"/>
  <c r="BA117" i="8"/>
  <c r="BG117" i="8" s="1"/>
  <c r="AZ117" i="8"/>
  <c r="BF117" i="8" s="1"/>
  <c r="AY117" i="8"/>
  <c r="BE117" i="8" s="1"/>
  <c r="AX117" i="8"/>
  <c r="AW117" i="8"/>
  <c r="AV117" i="8"/>
  <c r="BB117" i="8" s="1"/>
  <c r="BA116" i="8"/>
  <c r="BG116" i="8" s="1"/>
  <c r="AZ116" i="8"/>
  <c r="BF116" i="8" s="1"/>
  <c r="AY116" i="8"/>
  <c r="BE116" i="8" s="1"/>
  <c r="AX116" i="8"/>
  <c r="AW116" i="8"/>
  <c r="BC116" i="8" s="1"/>
  <c r="AV116" i="8"/>
  <c r="BB116" i="8" s="1"/>
  <c r="BA115" i="8"/>
  <c r="BG115" i="8" s="1"/>
  <c r="AZ115" i="8"/>
  <c r="BF115" i="8" s="1"/>
  <c r="AY115" i="8"/>
  <c r="BE115" i="8" s="1"/>
  <c r="AX115" i="8"/>
  <c r="BD115" i="8" s="1"/>
  <c r="AW115" i="8"/>
  <c r="AV115" i="8"/>
  <c r="BA114" i="8"/>
  <c r="BG114" i="8" s="1"/>
  <c r="AZ114" i="8"/>
  <c r="BF114" i="8" s="1"/>
  <c r="AY114" i="8"/>
  <c r="BE114" i="8" s="1"/>
  <c r="AX114" i="8"/>
  <c r="AW114" i="8"/>
  <c r="BC114" i="8" s="1"/>
  <c r="AV114" i="8"/>
  <c r="BA113" i="8"/>
  <c r="BG113" i="8" s="1"/>
  <c r="AZ113" i="8"/>
  <c r="BF113" i="8" s="1"/>
  <c r="AY113" i="8"/>
  <c r="BE113" i="8" s="1"/>
  <c r="AX113" i="8"/>
  <c r="AW113" i="8"/>
  <c r="BC113" i="8" s="1"/>
  <c r="AV113" i="8"/>
  <c r="BA112" i="8"/>
  <c r="BG112" i="8" s="1"/>
  <c r="AZ112" i="8"/>
  <c r="BF112" i="8" s="1"/>
  <c r="AY112" i="8"/>
  <c r="AX112" i="8"/>
  <c r="AW112" i="8"/>
  <c r="BC112" i="8" s="1"/>
  <c r="AV112" i="8"/>
  <c r="BB112" i="8" s="1"/>
  <c r="BA111" i="8"/>
  <c r="BG111" i="8" s="1"/>
  <c r="AZ111" i="8"/>
  <c r="BF111" i="8" s="1"/>
  <c r="AY111" i="8"/>
  <c r="BE111" i="8" s="1"/>
  <c r="AX111" i="8"/>
  <c r="AW111" i="8"/>
  <c r="AV111" i="8"/>
  <c r="BA110" i="8"/>
  <c r="BG110" i="8" s="1"/>
  <c r="AZ110" i="8"/>
  <c r="AY110" i="8"/>
  <c r="BE110" i="8" s="1"/>
  <c r="AX110" i="8"/>
  <c r="AW110" i="8"/>
  <c r="BC110" i="8" s="1"/>
  <c r="AV110" i="8"/>
  <c r="BB110" i="8" s="1"/>
  <c r="BA108" i="8"/>
  <c r="BG108" i="8" s="1"/>
  <c r="AZ108" i="8"/>
  <c r="BF108" i="8" s="1"/>
  <c r="AY108" i="8"/>
  <c r="BE108" i="8" s="1"/>
  <c r="AX108" i="8"/>
  <c r="BD108" i="8" s="1"/>
  <c r="AW108" i="8"/>
  <c r="BC108" i="8" s="1"/>
  <c r="AV108" i="8"/>
  <c r="BB108" i="8" s="1"/>
  <c r="BA107" i="8"/>
  <c r="BG107" i="8" s="1"/>
  <c r="AZ107" i="8"/>
  <c r="BF107" i="8" s="1"/>
  <c r="AY107" i="8"/>
  <c r="BE107" i="8" s="1"/>
  <c r="AX107" i="8"/>
  <c r="BD107" i="8" s="1"/>
  <c r="AW107" i="8"/>
  <c r="BC107" i="8" s="1"/>
  <c r="AV107" i="8"/>
  <c r="BB107" i="8" s="1"/>
  <c r="BA106" i="8"/>
  <c r="BG106" i="8" s="1"/>
  <c r="AZ106" i="8"/>
  <c r="BF106" i="8" s="1"/>
  <c r="AY106" i="8"/>
  <c r="BE106" i="8" s="1"/>
  <c r="AX106" i="8"/>
  <c r="BD106" i="8" s="1"/>
  <c r="AW106" i="8"/>
  <c r="BC106" i="8" s="1"/>
  <c r="AV106" i="8"/>
  <c r="BB106" i="8" s="1"/>
  <c r="BA105" i="8"/>
  <c r="BG105" i="8" s="1"/>
  <c r="AZ105" i="8"/>
  <c r="BF105" i="8" s="1"/>
  <c r="AY105" i="8"/>
  <c r="BE105" i="8" s="1"/>
  <c r="AX105" i="8"/>
  <c r="AW105" i="8"/>
  <c r="AV105" i="8"/>
  <c r="BB105" i="8" s="1"/>
  <c r="BA104" i="8"/>
  <c r="BG104" i="8" s="1"/>
  <c r="AZ104" i="8"/>
  <c r="BF104" i="8" s="1"/>
  <c r="AY104" i="8"/>
  <c r="BE104" i="8" s="1"/>
  <c r="AX104" i="8"/>
  <c r="BD104" i="8" s="1"/>
  <c r="AW104" i="8"/>
  <c r="BC104" i="8" s="1"/>
  <c r="AV104" i="8"/>
  <c r="BB104" i="8" s="1"/>
  <c r="BA103" i="8"/>
  <c r="BG103" i="8" s="1"/>
  <c r="AZ103" i="8"/>
  <c r="BF103" i="8" s="1"/>
  <c r="AY103" i="8"/>
  <c r="BE103" i="8" s="1"/>
  <c r="AX103" i="8"/>
  <c r="BD103" i="8" s="1"/>
  <c r="AW103" i="8"/>
  <c r="BC103" i="8" s="1"/>
  <c r="AV103" i="8"/>
  <c r="BB103" i="8" s="1"/>
  <c r="BA102" i="8"/>
  <c r="BG102" i="8" s="1"/>
  <c r="AZ102" i="8"/>
  <c r="BF102" i="8" s="1"/>
  <c r="AY102" i="8"/>
  <c r="BE102" i="8" s="1"/>
  <c r="AX102" i="8"/>
  <c r="AW102" i="8"/>
  <c r="AV102" i="8"/>
  <c r="BB102" i="8" s="1"/>
  <c r="BA101" i="8"/>
  <c r="BG101" i="8" s="1"/>
  <c r="AZ101" i="8"/>
  <c r="BF101" i="8" s="1"/>
  <c r="AY101" i="8"/>
  <c r="BE101" i="8" s="1"/>
  <c r="AW101" i="8"/>
  <c r="BA100" i="8"/>
  <c r="BG100" i="8" s="1"/>
  <c r="AZ100" i="8"/>
  <c r="BF100" i="8" s="1"/>
  <c r="AY100" i="8"/>
  <c r="BE100" i="8" s="1"/>
  <c r="AX100" i="8"/>
  <c r="BD100" i="8" s="1"/>
  <c r="AW100" i="8"/>
  <c r="BC100" i="8" s="1"/>
  <c r="BA99" i="8"/>
  <c r="BG99" i="8" s="1"/>
  <c r="AZ99" i="8"/>
  <c r="BF99" i="8" s="1"/>
  <c r="AY99" i="8"/>
  <c r="BE99" i="8" s="1"/>
  <c r="AW99" i="8"/>
  <c r="BC99" i="8" s="1"/>
  <c r="BA98" i="8"/>
  <c r="BG98" i="8" s="1"/>
  <c r="AZ98" i="8"/>
  <c r="BF98" i="8" s="1"/>
  <c r="AY98" i="8"/>
  <c r="AW98" i="8"/>
  <c r="BA97" i="8"/>
  <c r="BG97" i="8" s="1"/>
  <c r="AZ97" i="8"/>
  <c r="BF97" i="8" s="1"/>
  <c r="AY97" i="8"/>
  <c r="BE97" i="8" s="1"/>
  <c r="AW97" i="8"/>
  <c r="BA96" i="8"/>
  <c r="AZ96" i="8"/>
  <c r="AY96" i="8"/>
  <c r="BE96" i="8" s="1"/>
  <c r="AW96" i="8"/>
  <c r="BA94" i="8"/>
  <c r="BG94" i="8" s="1"/>
  <c r="AZ94" i="8"/>
  <c r="BF94" i="8" s="1"/>
  <c r="AY94" i="8"/>
  <c r="BE94" i="8" s="1"/>
  <c r="AX94" i="8"/>
  <c r="BD94" i="8" s="1"/>
  <c r="AW94" i="8"/>
  <c r="BC94" i="8" s="1"/>
  <c r="AV94" i="8"/>
  <c r="BB94" i="8" s="1"/>
  <c r="BA93" i="8"/>
  <c r="BG93" i="8" s="1"/>
  <c r="AZ93" i="8"/>
  <c r="BF93" i="8" s="1"/>
  <c r="AY93" i="8"/>
  <c r="BE93" i="8" s="1"/>
  <c r="AX93" i="8"/>
  <c r="BD93" i="8" s="1"/>
  <c r="AW93" i="8"/>
  <c r="BC93" i="8" s="1"/>
  <c r="AV93" i="8"/>
  <c r="BB93" i="8" s="1"/>
  <c r="BA92" i="8"/>
  <c r="BG92" i="8" s="1"/>
  <c r="AZ92" i="8"/>
  <c r="BF92" i="8" s="1"/>
  <c r="AY92" i="8"/>
  <c r="BE92" i="8" s="1"/>
  <c r="AX92" i="8"/>
  <c r="BD92" i="8" s="1"/>
  <c r="AW92" i="8"/>
  <c r="BC92" i="8" s="1"/>
  <c r="AV92" i="8"/>
  <c r="BB92" i="8" s="1"/>
  <c r="BA150" i="8"/>
  <c r="BG150" i="8" s="1"/>
  <c r="AZ150" i="8"/>
  <c r="BF150" i="8" s="1"/>
  <c r="AY150" i="8"/>
  <c r="BE150" i="8" s="1"/>
  <c r="AX150" i="8"/>
  <c r="BD150" i="8" s="1"/>
  <c r="AW150" i="8"/>
  <c r="BA91" i="8"/>
  <c r="BG91" i="8" s="1"/>
  <c r="AZ91" i="8"/>
  <c r="BF91" i="8" s="1"/>
  <c r="AY91" i="8"/>
  <c r="BE91" i="8" s="1"/>
  <c r="AX91" i="8"/>
  <c r="BD91" i="8" s="1"/>
  <c r="AW91" i="8"/>
  <c r="BC91" i="8" s="1"/>
  <c r="AV91" i="8"/>
  <c r="BB91" i="8" s="1"/>
  <c r="BA90" i="8"/>
  <c r="BG90" i="8" s="1"/>
  <c r="AZ90" i="8"/>
  <c r="BF90" i="8" s="1"/>
  <c r="AY90" i="8"/>
  <c r="BE90" i="8" s="1"/>
  <c r="AX90" i="8"/>
  <c r="AW90" i="8"/>
  <c r="BC90" i="8" s="1"/>
  <c r="AV90" i="8"/>
  <c r="BB90" i="8" s="1"/>
  <c r="BA89" i="8"/>
  <c r="BG89" i="8" s="1"/>
  <c r="AZ89" i="8"/>
  <c r="BF89" i="8" s="1"/>
  <c r="AY89" i="8"/>
  <c r="BE89" i="8" s="1"/>
  <c r="AX89" i="8"/>
  <c r="AW89" i="8"/>
  <c r="BA88" i="8"/>
  <c r="BG88" i="8" s="1"/>
  <c r="AZ88" i="8"/>
  <c r="AY88" i="8"/>
  <c r="BE88" i="8" s="1"/>
  <c r="AX88" i="8"/>
  <c r="BD88" i="8" s="1"/>
  <c r="AW88" i="8"/>
  <c r="BA87" i="8"/>
  <c r="AZ87" i="8"/>
  <c r="BF87" i="8" s="1"/>
  <c r="AY87" i="8"/>
  <c r="BE87" i="8" s="1"/>
  <c r="AX87" i="8"/>
  <c r="AW87" i="8"/>
  <c r="BC87" i="8" s="1"/>
  <c r="BA86" i="8"/>
  <c r="BG86" i="8" s="1"/>
  <c r="AZ86" i="8"/>
  <c r="BF86" i="8" s="1"/>
  <c r="AY86" i="8"/>
  <c r="BE86" i="8" s="1"/>
  <c r="AX86" i="8"/>
  <c r="AW86" i="8"/>
  <c r="BA84" i="8"/>
  <c r="BG84" i="8" s="1"/>
  <c r="AZ84" i="8"/>
  <c r="BF84" i="8" s="1"/>
  <c r="AY84" i="8"/>
  <c r="BE84" i="8" s="1"/>
  <c r="AX84" i="8"/>
  <c r="BD84" i="8" s="1"/>
  <c r="AW84" i="8"/>
  <c r="BC84" i="8" s="1"/>
  <c r="AV84" i="8"/>
  <c r="BB84" i="8" s="1"/>
  <c r="BA83" i="8"/>
  <c r="BG83" i="8" s="1"/>
  <c r="AZ83" i="8"/>
  <c r="BF83" i="8" s="1"/>
  <c r="AY83" i="8"/>
  <c r="BE83" i="8" s="1"/>
  <c r="AX83" i="8"/>
  <c r="BD83" i="8" s="1"/>
  <c r="AW83" i="8"/>
  <c r="BC83" i="8" s="1"/>
  <c r="AV83" i="8"/>
  <c r="BB83" i="8" s="1"/>
  <c r="BA82" i="8"/>
  <c r="BG82" i="8" s="1"/>
  <c r="AZ82" i="8"/>
  <c r="BF82" i="8" s="1"/>
  <c r="AY82" i="8"/>
  <c r="BE82" i="8" s="1"/>
  <c r="AX82" i="8"/>
  <c r="BD82" i="8" s="1"/>
  <c r="AW82" i="8"/>
  <c r="BC82" i="8" s="1"/>
  <c r="AV82" i="8"/>
  <c r="BB82" i="8" s="1"/>
  <c r="BA81" i="8"/>
  <c r="BG81" i="8" s="1"/>
  <c r="AZ81" i="8"/>
  <c r="BF81" i="8" s="1"/>
  <c r="AY81" i="8"/>
  <c r="BE81" i="8" s="1"/>
  <c r="AX81" i="8"/>
  <c r="BD81" i="8" s="1"/>
  <c r="AW81" i="8"/>
  <c r="BC81" i="8" s="1"/>
  <c r="AV81" i="8"/>
  <c r="BB81" i="8" s="1"/>
  <c r="BA80" i="8"/>
  <c r="BG80" i="8" s="1"/>
  <c r="AZ80" i="8"/>
  <c r="BF80" i="8" s="1"/>
  <c r="AY80" i="8"/>
  <c r="BE80" i="8" s="1"/>
  <c r="AX80" i="8"/>
  <c r="BD80" i="8" s="1"/>
  <c r="AW80" i="8"/>
  <c r="AV80" i="8"/>
  <c r="BB80" i="8" s="1"/>
  <c r="BA79" i="8"/>
  <c r="BG79" i="8" s="1"/>
  <c r="AZ79" i="8"/>
  <c r="AY79" i="8"/>
  <c r="BE79" i="8" s="1"/>
  <c r="AX79" i="8"/>
  <c r="AW79" i="8"/>
  <c r="BC79" i="8" s="1"/>
  <c r="AV79" i="8"/>
  <c r="BB79" i="8" s="1"/>
  <c r="BA78" i="8"/>
  <c r="AZ78" i="8"/>
  <c r="BF78" i="8" s="1"/>
  <c r="AY78" i="8"/>
  <c r="AX78" i="8"/>
  <c r="AW78" i="8"/>
  <c r="AV78" i="8"/>
  <c r="BB78" i="8" s="1"/>
  <c r="BA76" i="8"/>
  <c r="BG76" i="8" s="1"/>
  <c r="AZ76" i="8"/>
  <c r="BF76" i="8" s="1"/>
  <c r="AY76" i="8"/>
  <c r="BE76" i="8" s="1"/>
  <c r="AX76" i="8"/>
  <c r="BD76" i="8" s="1"/>
  <c r="AW76" i="8"/>
  <c r="BC76" i="8" s="1"/>
  <c r="AV76" i="8"/>
  <c r="BB76" i="8" s="1"/>
  <c r="BA75" i="8"/>
  <c r="BG75" i="8" s="1"/>
  <c r="AZ75" i="8"/>
  <c r="BF75" i="8" s="1"/>
  <c r="AY75" i="8"/>
  <c r="BE75" i="8" s="1"/>
  <c r="AX75" i="8"/>
  <c r="BD75" i="8" s="1"/>
  <c r="AW75" i="8"/>
  <c r="BC75" i="8" s="1"/>
  <c r="AV75" i="8"/>
  <c r="BB75" i="8" s="1"/>
  <c r="BA74" i="8"/>
  <c r="BG74" i="8" s="1"/>
  <c r="AZ74" i="8"/>
  <c r="BF74" i="8" s="1"/>
  <c r="AY74" i="8"/>
  <c r="BE74" i="8" s="1"/>
  <c r="AX74" i="8"/>
  <c r="BD74" i="8" s="1"/>
  <c r="AW74" i="8"/>
  <c r="BC74" i="8" s="1"/>
  <c r="AV74" i="8"/>
  <c r="BB74" i="8" s="1"/>
  <c r="BA73" i="8"/>
  <c r="BG73" i="8" s="1"/>
  <c r="AZ73" i="8"/>
  <c r="BF73" i="8" s="1"/>
  <c r="AY73" i="8"/>
  <c r="BE73" i="8" s="1"/>
  <c r="AX73" i="8"/>
  <c r="AW73" i="8"/>
  <c r="AV73" i="8"/>
  <c r="BA72" i="8"/>
  <c r="BG72" i="8" s="1"/>
  <c r="AZ72" i="8"/>
  <c r="BF72" i="8" s="1"/>
  <c r="AY72" i="8"/>
  <c r="BE72" i="8" s="1"/>
  <c r="AX72" i="8"/>
  <c r="BD72" i="8" s="1"/>
  <c r="AW72" i="8"/>
  <c r="BC72" i="8" s="1"/>
  <c r="AV72" i="8"/>
  <c r="BB72" i="8" s="1"/>
  <c r="BA71" i="8"/>
  <c r="BG71" i="8" s="1"/>
  <c r="AZ71" i="8"/>
  <c r="BF71" i="8" s="1"/>
  <c r="AY71" i="8"/>
  <c r="BE71" i="8" s="1"/>
  <c r="AX71" i="8"/>
  <c r="BD71" i="8" s="1"/>
  <c r="AW71" i="8"/>
  <c r="BC71" i="8" s="1"/>
  <c r="AV71" i="8"/>
  <c r="BB71" i="8" s="1"/>
  <c r="BA70" i="8"/>
  <c r="BG70" i="8" s="1"/>
  <c r="AZ70" i="8"/>
  <c r="BF70" i="8" s="1"/>
  <c r="AY70" i="8"/>
  <c r="BE70" i="8" s="1"/>
  <c r="AX70" i="8"/>
  <c r="AW70" i="8"/>
  <c r="AV70" i="8"/>
  <c r="BA69" i="8"/>
  <c r="BG69" i="8" s="1"/>
  <c r="AZ69" i="8"/>
  <c r="BF69" i="8" s="1"/>
  <c r="AY69" i="8"/>
  <c r="BE69" i="8" s="1"/>
  <c r="AX69" i="8"/>
  <c r="AW69" i="8"/>
  <c r="AV69" i="8"/>
  <c r="BA68" i="8"/>
  <c r="BG68" i="8" s="1"/>
  <c r="AZ68" i="8"/>
  <c r="BF68" i="8" s="1"/>
  <c r="AY68" i="8"/>
  <c r="BE68" i="8" s="1"/>
  <c r="AX68" i="8"/>
  <c r="AW68" i="8"/>
  <c r="AV68" i="8"/>
  <c r="BA67" i="8"/>
  <c r="BG67" i="8" s="1"/>
  <c r="AZ67" i="8"/>
  <c r="BF67" i="8" s="1"/>
  <c r="AY67" i="8"/>
  <c r="AX67" i="8"/>
  <c r="AW67" i="8"/>
  <c r="BC67" i="8" s="1"/>
  <c r="AV67" i="8"/>
  <c r="BA66" i="8"/>
  <c r="AZ66" i="8"/>
  <c r="AY66" i="8"/>
  <c r="BE66" i="8" s="1"/>
  <c r="AX66" i="8"/>
  <c r="AW66" i="8"/>
  <c r="AV66" i="8"/>
  <c r="BA63" i="8"/>
  <c r="BG63" i="8" s="1"/>
  <c r="AZ63" i="8"/>
  <c r="BF63" i="8" s="1"/>
  <c r="AY63" i="8"/>
  <c r="BE63" i="8" s="1"/>
  <c r="AX63" i="8"/>
  <c r="BD63" i="8" s="1"/>
  <c r="AW63" i="8"/>
  <c r="BC63" i="8" s="1"/>
  <c r="AV63" i="8"/>
  <c r="BB63" i="8" s="1"/>
  <c r="BA62" i="8"/>
  <c r="BG62" i="8" s="1"/>
  <c r="AZ62" i="8"/>
  <c r="BF62" i="8" s="1"/>
  <c r="AY62" i="8"/>
  <c r="BE62" i="8" s="1"/>
  <c r="AX62" i="8"/>
  <c r="BD62" i="8" s="1"/>
  <c r="AW62" i="8"/>
  <c r="BC62" i="8" s="1"/>
  <c r="AV62" i="8"/>
  <c r="BB62" i="8" s="1"/>
  <c r="BA61" i="8"/>
  <c r="BG61" i="8" s="1"/>
  <c r="AZ61" i="8"/>
  <c r="BF61" i="8" s="1"/>
  <c r="AY61" i="8"/>
  <c r="BE61" i="8" s="1"/>
  <c r="AX61" i="8"/>
  <c r="BD61" i="8" s="1"/>
  <c r="AW61" i="8"/>
  <c r="BC61" i="8" s="1"/>
  <c r="AV61" i="8"/>
  <c r="BB61" i="8" s="1"/>
  <c r="BA60" i="8"/>
  <c r="BG60" i="8" s="1"/>
  <c r="AZ60" i="8"/>
  <c r="BF60" i="8" s="1"/>
  <c r="AY60" i="8"/>
  <c r="AX60" i="8"/>
  <c r="AW60" i="8"/>
  <c r="BC60" i="8" s="1"/>
  <c r="BA59" i="8"/>
  <c r="BG59" i="8" s="1"/>
  <c r="AZ59" i="8"/>
  <c r="BF59" i="8" s="1"/>
  <c r="AY59" i="8"/>
  <c r="AX59" i="8"/>
  <c r="AW59" i="8"/>
  <c r="BC59" i="8" s="1"/>
  <c r="AV59" i="8"/>
  <c r="BB59" i="8" s="1"/>
  <c r="BA58" i="8"/>
  <c r="BG58" i="8" s="1"/>
  <c r="AZ58" i="8"/>
  <c r="BF58" i="8" s="1"/>
  <c r="AY58" i="8"/>
  <c r="AX58" i="8"/>
  <c r="BD58" i="8" s="1"/>
  <c r="AW58" i="8"/>
  <c r="BC58" i="8" s="1"/>
  <c r="AV58" i="8"/>
  <c r="BB58" i="8" s="1"/>
  <c r="BA57" i="8"/>
  <c r="BG57" i="8" s="1"/>
  <c r="AZ57" i="8"/>
  <c r="BF57" i="8" s="1"/>
  <c r="AY57" i="8"/>
  <c r="BE57" i="8" s="1"/>
  <c r="AX57" i="8"/>
  <c r="BD57" i="8" s="1"/>
  <c r="AW57" i="8"/>
  <c r="BC57" i="8" s="1"/>
  <c r="AV57" i="8"/>
  <c r="BB57" i="8" s="1"/>
  <c r="BA56" i="8"/>
  <c r="BG56" i="8" s="1"/>
  <c r="AZ56" i="8"/>
  <c r="BF56" i="8" s="1"/>
  <c r="AY56" i="8"/>
  <c r="AX56" i="8"/>
  <c r="AW56" i="8"/>
  <c r="BC56" i="8" s="1"/>
  <c r="BA55" i="8"/>
  <c r="BG55" i="8" s="1"/>
  <c r="AZ55" i="8"/>
  <c r="BF55" i="8" s="1"/>
  <c r="AY55" i="8"/>
  <c r="BE55" i="8" s="1"/>
  <c r="AX55" i="8"/>
  <c r="BD55" i="8" s="1"/>
  <c r="AW55" i="8"/>
  <c r="BA54" i="8"/>
  <c r="BG54" i="8" s="1"/>
  <c r="AZ54" i="8"/>
  <c r="BF54" i="8" s="1"/>
  <c r="AY54" i="8"/>
  <c r="BE54" i="8" s="1"/>
  <c r="AX54" i="8"/>
  <c r="AW54" i="8"/>
  <c r="BA53" i="8"/>
  <c r="AZ53" i="8"/>
  <c r="BF53" i="8" s="1"/>
  <c r="AY53" i="8"/>
  <c r="BE53" i="8" s="1"/>
  <c r="AX53" i="8"/>
  <c r="AW53" i="8"/>
  <c r="BA52" i="8"/>
  <c r="BG52" i="8" s="1"/>
  <c r="AZ52" i="8"/>
  <c r="BF52" i="8" s="1"/>
  <c r="AY52" i="8"/>
  <c r="BE52" i="8" s="1"/>
  <c r="AX52" i="8"/>
  <c r="BD52" i="8" s="1"/>
  <c r="AW52" i="8"/>
  <c r="BA51" i="8"/>
  <c r="BG51" i="8" s="1"/>
  <c r="AZ51" i="8"/>
  <c r="BF51" i="8" s="1"/>
  <c r="AY51" i="8"/>
  <c r="AX51" i="8"/>
  <c r="AW51" i="8"/>
  <c r="BC51" i="8" s="1"/>
  <c r="BA50" i="8"/>
  <c r="BG50" i="8" s="1"/>
  <c r="AZ50" i="8"/>
  <c r="BF50" i="8" s="1"/>
  <c r="AY50" i="8"/>
  <c r="AX50" i="8"/>
  <c r="AW50" i="8"/>
  <c r="BA48" i="8"/>
  <c r="BG48" i="8" s="1"/>
  <c r="AZ48" i="8"/>
  <c r="BF48" i="8" s="1"/>
  <c r="AY48" i="8"/>
  <c r="BE48" i="8" s="1"/>
  <c r="AX48" i="8"/>
  <c r="BD48" i="8" s="1"/>
  <c r="AW48" i="8"/>
  <c r="BC48" i="8" s="1"/>
  <c r="AV48" i="8"/>
  <c r="BB48" i="8" s="1"/>
  <c r="BA47" i="8"/>
  <c r="BG47" i="8" s="1"/>
  <c r="AZ47" i="8"/>
  <c r="BF47" i="8" s="1"/>
  <c r="AY47" i="8"/>
  <c r="BE47" i="8" s="1"/>
  <c r="AX47" i="8"/>
  <c r="BD47" i="8" s="1"/>
  <c r="AW47" i="8"/>
  <c r="BC47" i="8" s="1"/>
  <c r="AV47" i="8"/>
  <c r="BB47" i="8" s="1"/>
  <c r="BA46" i="8"/>
  <c r="BG46" i="8" s="1"/>
  <c r="AZ46" i="8"/>
  <c r="BF46" i="8" s="1"/>
  <c r="AY46" i="8"/>
  <c r="BE46" i="8" s="1"/>
  <c r="AX46" i="8"/>
  <c r="BD46" i="8" s="1"/>
  <c r="AW46" i="8"/>
  <c r="BC46" i="8" s="1"/>
  <c r="AV46" i="8"/>
  <c r="BB46" i="8" s="1"/>
  <c r="BA45" i="8"/>
  <c r="BG45" i="8" s="1"/>
  <c r="AZ45" i="8"/>
  <c r="BF45" i="8" s="1"/>
  <c r="AY45" i="8"/>
  <c r="BE45" i="8" s="1"/>
  <c r="AX45" i="8"/>
  <c r="BD45" i="8" s="1"/>
  <c r="AW45" i="8"/>
  <c r="BC45" i="8" s="1"/>
  <c r="BA44" i="8"/>
  <c r="BG44" i="8" s="1"/>
  <c r="AZ44" i="8"/>
  <c r="BF44" i="8" s="1"/>
  <c r="AY44" i="8"/>
  <c r="BE44" i="8" s="1"/>
  <c r="AX44" i="8"/>
  <c r="AW44" i="8"/>
  <c r="BC44" i="8" s="1"/>
  <c r="AV44" i="8"/>
  <c r="BB44" i="8" s="1"/>
  <c r="BA43" i="8"/>
  <c r="BG43" i="8" s="1"/>
  <c r="AZ43" i="8"/>
  <c r="BF43" i="8" s="1"/>
  <c r="AY43" i="8"/>
  <c r="BE43" i="8" s="1"/>
  <c r="AX43" i="8"/>
  <c r="BD43" i="8" s="1"/>
  <c r="AW43" i="8"/>
  <c r="BC43" i="8" s="1"/>
  <c r="AV43" i="8"/>
  <c r="BB43" i="8" s="1"/>
  <c r="BA42" i="8"/>
  <c r="BG42" i="8" s="1"/>
  <c r="AZ42" i="8"/>
  <c r="BF42" i="8" s="1"/>
  <c r="AY42" i="8"/>
  <c r="BE42" i="8" s="1"/>
  <c r="AX42" i="8"/>
  <c r="AW42" i="8"/>
  <c r="BA41" i="8"/>
  <c r="BG41" i="8" s="1"/>
  <c r="AZ41" i="8"/>
  <c r="BF41" i="8" s="1"/>
  <c r="AY41" i="8"/>
  <c r="BE41" i="8" s="1"/>
  <c r="AX41" i="8"/>
  <c r="AW41" i="8"/>
  <c r="BA40" i="8"/>
  <c r="BG40" i="8" s="1"/>
  <c r="AZ40" i="8"/>
  <c r="BF40" i="8" s="1"/>
  <c r="AY40" i="8"/>
  <c r="BE40" i="8" s="1"/>
  <c r="AX40" i="8"/>
  <c r="AW40" i="8"/>
  <c r="BA39" i="8"/>
  <c r="BG39" i="8" s="1"/>
  <c r="AZ39" i="8"/>
  <c r="BF39" i="8" s="1"/>
  <c r="AY39" i="8"/>
  <c r="BE39" i="8" s="1"/>
  <c r="AX39" i="8"/>
  <c r="BD39" i="8" s="1"/>
  <c r="AW39" i="8"/>
  <c r="BC39" i="8" s="1"/>
  <c r="BA38" i="8"/>
  <c r="BG38" i="8" s="1"/>
  <c r="AZ38" i="8"/>
  <c r="BF38" i="8" s="1"/>
  <c r="AY38" i="8"/>
  <c r="BE38" i="8" s="1"/>
  <c r="AX38" i="8"/>
  <c r="AW38" i="8"/>
  <c r="AV38" i="8"/>
  <c r="BB38" i="8" s="1"/>
  <c r="BA37" i="8"/>
  <c r="BG37" i="8" s="1"/>
  <c r="AZ37" i="8"/>
  <c r="BF37" i="8" s="1"/>
  <c r="AY37" i="8"/>
  <c r="AX37" i="8"/>
  <c r="AW37" i="8"/>
  <c r="BA36" i="8"/>
  <c r="BG36" i="8" s="1"/>
  <c r="AZ36" i="8"/>
  <c r="BF36" i="8" s="1"/>
  <c r="AY36" i="8"/>
  <c r="BE36" i="8" s="1"/>
  <c r="AX36" i="8"/>
  <c r="AW36" i="8"/>
  <c r="BA35" i="8"/>
  <c r="BG35" i="8" s="1"/>
  <c r="AZ35" i="8"/>
  <c r="BF35" i="8" s="1"/>
  <c r="AY35" i="8"/>
  <c r="BE35" i="8" s="1"/>
  <c r="AX35" i="8"/>
  <c r="AW35" i="8"/>
  <c r="BC35" i="8" s="1"/>
  <c r="BA33" i="8"/>
  <c r="BG33" i="8" s="1"/>
  <c r="AZ33" i="8"/>
  <c r="BF33" i="8" s="1"/>
  <c r="AY33" i="8"/>
  <c r="BE33" i="8" s="1"/>
  <c r="AX33" i="8"/>
  <c r="BD33" i="8" s="1"/>
  <c r="AW33" i="8"/>
  <c r="AV33" i="8"/>
  <c r="BB33" i="8" s="1"/>
  <c r="BA32" i="8"/>
  <c r="BG32" i="8" s="1"/>
  <c r="AZ32" i="8"/>
  <c r="BF32" i="8" s="1"/>
  <c r="AY32" i="8"/>
  <c r="BE32" i="8" s="1"/>
  <c r="AX32" i="8"/>
  <c r="BD32" i="8" s="1"/>
  <c r="AW32" i="8"/>
  <c r="BC32" i="8" s="1"/>
  <c r="AV32" i="8"/>
  <c r="BB32" i="8" s="1"/>
  <c r="BA31" i="8"/>
  <c r="BG31" i="8" s="1"/>
  <c r="AZ31" i="8"/>
  <c r="BF31" i="8" s="1"/>
  <c r="AY31" i="8"/>
  <c r="BE31" i="8" s="1"/>
  <c r="AX31" i="8"/>
  <c r="BD31" i="8" s="1"/>
  <c r="AW31" i="8"/>
  <c r="BC31" i="8" s="1"/>
  <c r="AV31" i="8"/>
  <c r="BB31" i="8" s="1"/>
  <c r="BA30" i="8"/>
  <c r="BG30" i="8" s="1"/>
  <c r="AZ30" i="8"/>
  <c r="BF30" i="8" s="1"/>
  <c r="AY30" i="8"/>
  <c r="BE30" i="8" s="1"/>
  <c r="AX30" i="8"/>
  <c r="BD30" i="8" s="1"/>
  <c r="AW30" i="8"/>
  <c r="BC30" i="8" s="1"/>
  <c r="AV30" i="8"/>
  <c r="BB30" i="8" s="1"/>
  <c r="BA29" i="8"/>
  <c r="BG29" i="8" s="1"/>
  <c r="AZ29" i="8"/>
  <c r="BF29" i="8" s="1"/>
  <c r="AY29" i="8"/>
  <c r="BE29" i="8" s="1"/>
  <c r="AX29" i="8"/>
  <c r="BD29" i="8" s="1"/>
  <c r="AW29" i="8"/>
  <c r="BC29" i="8" s="1"/>
  <c r="AV29" i="8"/>
  <c r="BB29" i="8" s="1"/>
  <c r="BA28" i="8"/>
  <c r="BG28" i="8" s="1"/>
  <c r="AZ28" i="8"/>
  <c r="BF28" i="8" s="1"/>
  <c r="AY28" i="8"/>
  <c r="BE28" i="8" s="1"/>
  <c r="AX28" i="8"/>
  <c r="AW28" i="8"/>
  <c r="BC28" i="8" s="1"/>
  <c r="AV28" i="8"/>
  <c r="BB28" i="8" s="1"/>
  <c r="BA27" i="8"/>
  <c r="BG27" i="8" s="1"/>
  <c r="AZ27" i="8"/>
  <c r="BF27" i="8" s="1"/>
  <c r="AY27" i="8"/>
  <c r="BE27" i="8" s="1"/>
  <c r="AX27" i="8"/>
  <c r="AW27" i="8"/>
  <c r="BC27" i="8" s="1"/>
  <c r="AV27" i="8"/>
  <c r="BB27" i="8" s="1"/>
  <c r="BA26" i="8"/>
  <c r="BG26" i="8" s="1"/>
  <c r="AZ26" i="8"/>
  <c r="BF26" i="8" s="1"/>
  <c r="AY26" i="8"/>
  <c r="BE26" i="8" s="1"/>
  <c r="AX26" i="8"/>
  <c r="BD26" i="8" s="1"/>
  <c r="AW26" i="8"/>
  <c r="BC26" i="8" s="1"/>
  <c r="AV26" i="8"/>
  <c r="BB26" i="8" s="1"/>
  <c r="BA25" i="8"/>
  <c r="BG25" i="8" s="1"/>
  <c r="AZ25" i="8"/>
  <c r="BF25" i="8" s="1"/>
  <c r="AY25" i="8"/>
  <c r="BE25" i="8" s="1"/>
  <c r="AX25" i="8"/>
  <c r="AW25" i="8"/>
  <c r="BC25" i="8" s="1"/>
  <c r="AV25" i="8"/>
  <c r="BB25" i="8" s="1"/>
  <c r="BA24" i="8"/>
  <c r="BG24" i="8" s="1"/>
  <c r="AZ24" i="8"/>
  <c r="BF24" i="8" s="1"/>
  <c r="AY24" i="8"/>
  <c r="BE24" i="8" s="1"/>
  <c r="AX24" i="8"/>
  <c r="AW24" i="8"/>
  <c r="BC24" i="8" s="1"/>
  <c r="AV24" i="8"/>
  <c r="BB24" i="8" s="1"/>
  <c r="BA23" i="8"/>
  <c r="BG23" i="8" s="1"/>
  <c r="AZ23" i="8"/>
  <c r="BF23" i="8" s="1"/>
  <c r="AY23" i="8"/>
  <c r="BE23" i="8" s="1"/>
  <c r="AX23" i="8"/>
  <c r="AW23" i="8"/>
  <c r="BC23" i="8" s="1"/>
  <c r="AV23" i="8"/>
  <c r="BB23" i="8" s="1"/>
  <c r="BA22" i="8"/>
  <c r="BG22" i="8" s="1"/>
  <c r="AZ22" i="8"/>
  <c r="BF22" i="8" s="1"/>
  <c r="AY22" i="8"/>
  <c r="BE22" i="8" s="1"/>
  <c r="AX22" i="8"/>
  <c r="BD22" i="8" s="1"/>
  <c r="AW22" i="8"/>
  <c r="BC22" i="8" s="1"/>
  <c r="AV22" i="8"/>
  <c r="BB22" i="8" s="1"/>
  <c r="BA21" i="8"/>
  <c r="BG21" i="8" s="1"/>
  <c r="AZ21" i="8"/>
  <c r="BF21" i="8" s="1"/>
  <c r="AY21" i="8"/>
  <c r="BE21" i="8" s="1"/>
  <c r="AX21" i="8"/>
  <c r="AW21" i="8"/>
  <c r="BC21" i="8" s="1"/>
  <c r="AV21" i="8"/>
  <c r="BB21" i="8" s="1"/>
  <c r="BA20" i="8"/>
  <c r="BG20" i="8" s="1"/>
  <c r="AZ20" i="8"/>
  <c r="BF20" i="8" s="1"/>
  <c r="AY20" i="8"/>
  <c r="BE20" i="8" s="1"/>
  <c r="AX20" i="8"/>
  <c r="AW20" i="8"/>
  <c r="BC20" i="8" s="1"/>
  <c r="AV20" i="8"/>
  <c r="BB20" i="8" s="1"/>
  <c r="BA19" i="8"/>
  <c r="BG19" i="8" s="1"/>
  <c r="AZ19" i="8"/>
  <c r="BF19" i="8" s="1"/>
  <c r="AY19" i="8"/>
  <c r="BE19" i="8" s="1"/>
  <c r="AX19" i="8"/>
  <c r="AW19" i="8"/>
  <c r="BC19" i="8" s="1"/>
  <c r="AV19" i="8"/>
  <c r="BB19" i="8" s="1"/>
  <c r="BA18" i="8"/>
  <c r="AZ18" i="8"/>
  <c r="AY18" i="8"/>
  <c r="AX18" i="8"/>
  <c r="BD18" i="8" s="1"/>
  <c r="AW18" i="8"/>
  <c r="AV18" i="8"/>
  <c r="BA17" i="8"/>
  <c r="BG17" i="8" s="1"/>
  <c r="AZ17" i="8"/>
  <c r="BF17" i="8" s="1"/>
  <c r="AY17" i="8"/>
  <c r="BE17" i="8" s="1"/>
  <c r="AX17" i="8"/>
  <c r="AW17" i="8"/>
  <c r="BC17" i="8" s="1"/>
  <c r="AV17" i="8"/>
  <c r="BB17" i="8" s="1"/>
  <c r="BA16" i="8"/>
  <c r="BG16" i="8" s="1"/>
  <c r="AZ16" i="8"/>
  <c r="BF16" i="8" s="1"/>
  <c r="AY16" i="8"/>
  <c r="BE16" i="8" s="1"/>
  <c r="AX16" i="8"/>
  <c r="AW16" i="8"/>
  <c r="BC16" i="8" s="1"/>
  <c r="AV16" i="8"/>
  <c r="BB16" i="8" s="1"/>
  <c r="BA15" i="8"/>
  <c r="BG15" i="8" s="1"/>
  <c r="AZ15" i="8"/>
  <c r="BF15" i="8" s="1"/>
  <c r="AY15" i="8"/>
  <c r="BE15" i="8" s="1"/>
  <c r="AX15" i="8"/>
  <c r="AW15" i="8"/>
  <c r="BC15" i="8" s="1"/>
  <c r="AV15" i="8"/>
  <c r="BB15" i="8" s="1"/>
  <c r="BA14" i="8"/>
  <c r="BG14" i="8" s="1"/>
  <c r="AZ14" i="8"/>
  <c r="AY14" i="8"/>
  <c r="BE14" i="8" s="1"/>
  <c r="AX14" i="8"/>
  <c r="BD14" i="8" s="1"/>
  <c r="AW14" i="8"/>
  <c r="AV14" i="8"/>
  <c r="BB14" i="8" s="1"/>
  <c r="BA13" i="8"/>
  <c r="AZ13" i="8"/>
  <c r="BF13" i="8" s="1"/>
  <c r="AY13" i="8"/>
  <c r="AX13" i="8"/>
  <c r="AW13" i="8"/>
  <c r="BC13" i="8" s="1"/>
  <c r="AV13" i="8"/>
  <c r="BA11" i="8"/>
  <c r="BG11" i="8" s="1"/>
  <c r="AZ11" i="8"/>
  <c r="BF11" i="8" s="1"/>
  <c r="AY11" i="8"/>
  <c r="BE11" i="8" s="1"/>
  <c r="AX11" i="8"/>
  <c r="BD11" i="8" s="1"/>
  <c r="AW11" i="8"/>
  <c r="BC11" i="8" s="1"/>
  <c r="AV11" i="8"/>
  <c r="BA10" i="8"/>
  <c r="BG10" i="8" s="1"/>
  <c r="AZ10" i="8"/>
  <c r="BF10" i="8" s="1"/>
  <c r="AY10" i="8"/>
  <c r="AX10" i="8"/>
  <c r="BD10" i="8" s="1"/>
  <c r="AW10" i="8"/>
  <c r="BC10" i="8" s="1"/>
  <c r="AV10" i="8"/>
  <c r="BB10" i="8" s="1"/>
  <c r="BA9" i="8"/>
  <c r="AZ9" i="8"/>
  <c r="AY9" i="8"/>
  <c r="BE9" i="8" s="1"/>
  <c r="AX9" i="8"/>
  <c r="AW9" i="8"/>
  <c r="AV9" i="8"/>
  <c r="BB9" i="8" s="1"/>
  <c r="BA7" i="8"/>
  <c r="BG7" i="8" s="1"/>
  <c r="AZ7" i="8"/>
  <c r="BF7" i="8" s="1"/>
  <c r="AY7" i="8"/>
  <c r="BE7" i="8" s="1"/>
  <c r="AX7" i="8"/>
  <c r="AW7" i="8"/>
  <c r="BC7" i="8" s="1"/>
  <c r="AV7" i="8"/>
  <c r="BB7" i="8" s="1"/>
  <c r="BA6" i="8"/>
  <c r="BG6" i="8" s="1"/>
  <c r="AZ6" i="8"/>
  <c r="AY6" i="8"/>
  <c r="BE6" i="8" s="1"/>
  <c r="AX6" i="8"/>
  <c r="BD6" i="8" s="1"/>
  <c r="AW6" i="8"/>
  <c r="AV6" i="8"/>
  <c r="BA5" i="8"/>
  <c r="AZ5" i="8"/>
  <c r="BF5" i="8" s="1"/>
  <c r="AY5" i="8"/>
  <c r="AM53" i="8"/>
  <c r="AL53" i="8"/>
  <c r="AL52" i="8"/>
  <c r="AM52" i="8"/>
  <c r="AO158" i="8"/>
  <c r="AN158" i="8"/>
  <c r="AM158" i="8"/>
  <c r="AG158" i="8" s="1"/>
  <c r="AL158" i="8"/>
  <c r="AK158" i="8"/>
  <c r="AJ158" i="8"/>
  <c r="AO157" i="8"/>
  <c r="AN157" i="8"/>
  <c r="AM157" i="8"/>
  <c r="AL157" i="8"/>
  <c r="AK157" i="8"/>
  <c r="AJ157" i="8"/>
  <c r="AO156" i="8"/>
  <c r="AN156" i="8"/>
  <c r="AM156" i="8"/>
  <c r="AL156" i="8"/>
  <c r="AK156" i="8"/>
  <c r="AJ156" i="8"/>
  <c r="AO155" i="8"/>
  <c r="AN155" i="8"/>
  <c r="AM155" i="8"/>
  <c r="AL155" i="8"/>
  <c r="AK155" i="8"/>
  <c r="AJ155" i="8"/>
  <c r="AO154" i="8"/>
  <c r="AN154" i="8"/>
  <c r="AM154" i="8"/>
  <c r="AL154" i="8"/>
  <c r="AK154" i="8"/>
  <c r="AJ154" i="8"/>
  <c r="AO153" i="8"/>
  <c r="AN153" i="8"/>
  <c r="AM153" i="8"/>
  <c r="AL153" i="8"/>
  <c r="AK153" i="8"/>
  <c r="AO152" i="8"/>
  <c r="AN152" i="8"/>
  <c r="AM152" i="8"/>
  <c r="AL152" i="8"/>
  <c r="AK152" i="8"/>
  <c r="AJ152" i="8"/>
  <c r="AO151" i="8"/>
  <c r="AN151" i="8"/>
  <c r="AM151" i="8"/>
  <c r="AL151" i="8"/>
  <c r="AK151" i="8"/>
  <c r="AJ151" i="8"/>
  <c r="AO149" i="8"/>
  <c r="AN149" i="8"/>
  <c r="AM149" i="8"/>
  <c r="AL149" i="8"/>
  <c r="AK149" i="8"/>
  <c r="AO148" i="8"/>
  <c r="AN148" i="8"/>
  <c r="AM148" i="8"/>
  <c r="AL148" i="8"/>
  <c r="AK148" i="8"/>
  <c r="AO147" i="8"/>
  <c r="AN147" i="8"/>
  <c r="AM147" i="8"/>
  <c r="AL147" i="8"/>
  <c r="AK147" i="8"/>
  <c r="AJ147" i="8"/>
  <c r="AO146" i="8"/>
  <c r="AN146" i="8"/>
  <c r="AM146" i="8"/>
  <c r="AL146" i="8"/>
  <c r="AK146" i="8"/>
  <c r="AJ146" i="8"/>
  <c r="AO145" i="8"/>
  <c r="AN145" i="8"/>
  <c r="AM145" i="8"/>
  <c r="AL145" i="8"/>
  <c r="AK145" i="8"/>
  <c r="AJ145" i="8"/>
  <c r="AO144" i="8"/>
  <c r="AN144" i="8"/>
  <c r="AM144" i="8"/>
  <c r="AL144" i="8"/>
  <c r="AK144" i="8"/>
  <c r="AJ144" i="8"/>
  <c r="AO143" i="8"/>
  <c r="AN143" i="8"/>
  <c r="AM143" i="8"/>
  <c r="AL143" i="8"/>
  <c r="AK143" i="8"/>
  <c r="AJ143" i="8"/>
  <c r="AO142" i="8"/>
  <c r="AN142" i="8"/>
  <c r="AM142" i="8"/>
  <c r="AL142" i="8"/>
  <c r="AK142" i="8"/>
  <c r="AJ142" i="8"/>
  <c r="AO141" i="8"/>
  <c r="AN141" i="8"/>
  <c r="AM141" i="8"/>
  <c r="AL141" i="8"/>
  <c r="AK141" i="8"/>
  <c r="AJ141" i="8"/>
  <c r="AO140" i="8"/>
  <c r="AN140" i="8"/>
  <c r="AM140" i="8"/>
  <c r="AL140" i="8"/>
  <c r="AK140" i="8"/>
  <c r="AJ140" i="8"/>
  <c r="AO139" i="8"/>
  <c r="AN139" i="8"/>
  <c r="AM139" i="8"/>
  <c r="AL139" i="8"/>
  <c r="AK139" i="8"/>
  <c r="AO138" i="8"/>
  <c r="AN138" i="8"/>
  <c r="AM138" i="8"/>
  <c r="AL138" i="8"/>
  <c r="AK138" i="8"/>
  <c r="AO137" i="8"/>
  <c r="AN137" i="8"/>
  <c r="AM137" i="8"/>
  <c r="AL137" i="8"/>
  <c r="AK137" i="8"/>
  <c r="AO136" i="8"/>
  <c r="AN136" i="8"/>
  <c r="AM136" i="8"/>
  <c r="AL136" i="8"/>
  <c r="AK136" i="8"/>
  <c r="AO135" i="8"/>
  <c r="AN135" i="8"/>
  <c r="AM135" i="8"/>
  <c r="AL135" i="8"/>
  <c r="AK135" i="8"/>
  <c r="AO133" i="8"/>
  <c r="AN133" i="8"/>
  <c r="AM133" i="8"/>
  <c r="AL133" i="8"/>
  <c r="AK133" i="8"/>
  <c r="AJ133" i="8"/>
  <c r="AO132" i="8"/>
  <c r="AN132" i="8"/>
  <c r="AM132" i="8"/>
  <c r="AL132" i="8"/>
  <c r="AK132" i="8"/>
  <c r="AJ132" i="8"/>
  <c r="AO131" i="8"/>
  <c r="AN131" i="8"/>
  <c r="AM131" i="8"/>
  <c r="AL131" i="8"/>
  <c r="AK131" i="8"/>
  <c r="AJ131" i="8"/>
  <c r="AO130" i="8"/>
  <c r="AN130" i="8"/>
  <c r="AM130" i="8"/>
  <c r="AL130" i="8"/>
  <c r="AK130" i="8"/>
  <c r="AJ130" i="8"/>
  <c r="AO129" i="8"/>
  <c r="AN129" i="8"/>
  <c r="AM129" i="8"/>
  <c r="AL129" i="8"/>
  <c r="AK129" i="8"/>
  <c r="AJ129" i="8"/>
  <c r="AO128" i="8"/>
  <c r="AN128" i="8"/>
  <c r="AM128" i="8"/>
  <c r="AL128" i="8"/>
  <c r="AK128" i="8"/>
  <c r="AJ128" i="8"/>
  <c r="AO127" i="8"/>
  <c r="AN127" i="8"/>
  <c r="AM127" i="8"/>
  <c r="AL127" i="8"/>
  <c r="AK127" i="8"/>
  <c r="AJ127" i="8"/>
  <c r="AO126" i="8"/>
  <c r="AN126" i="8"/>
  <c r="AM126" i="8"/>
  <c r="AL126" i="8"/>
  <c r="AK126" i="8"/>
  <c r="AO124" i="8"/>
  <c r="AN124" i="8"/>
  <c r="AM124" i="8"/>
  <c r="AL124" i="8"/>
  <c r="AK124" i="8"/>
  <c r="AJ124" i="8"/>
  <c r="AO123" i="8"/>
  <c r="AN123" i="8"/>
  <c r="AM123" i="8"/>
  <c r="AL123" i="8"/>
  <c r="AK123" i="8"/>
  <c r="AJ123" i="8"/>
  <c r="AO122" i="8"/>
  <c r="AN122" i="8"/>
  <c r="AM122" i="8"/>
  <c r="AL122" i="8"/>
  <c r="AK122" i="8"/>
  <c r="AJ122" i="8"/>
  <c r="AO121" i="8"/>
  <c r="AN121" i="8"/>
  <c r="AM121" i="8"/>
  <c r="AL121" i="8"/>
  <c r="AK121" i="8"/>
  <c r="AJ121" i="8"/>
  <c r="AO120" i="8"/>
  <c r="AN120" i="8"/>
  <c r="AM120" i="8"/>
  <c r="AL120" i="8"/>
  <c r="AK120" i="8"/>
  <c r="AJ120" i="8"/>
  <c r="AO119" i="8"/>
  <c r="AN119" i="8"/>
  <c r="AM119" i="8"/>
  <c r="AL119" i="8"/>
  <c r="AK119" i="8"/>
  <c r="AJ119" i="8"/>
  <c r="AO118" i="8"/>
  <c r="AN118" i="8"/>
  <c r="AM118" i="8"/>
  <c r="AL118" i="8"/>
  <c r="AK118" i="8"/>
  <c r="AJ118" i="8"/>
  <c r="AO117" i="8"/>
  <c r="AN117" i="8"/>
  <c r="AM117" i="8"/>
  <c r="AL117" i="8"/>
  <c r="AK117" i="8"/>
  <c r="AJ117" i="8"/>
  <c r="AO116" i="8"/>
  <c r="AN116" i="8"/>
  <c r="AM116" i="8"/>
  <c r="AL116" i="8"/>
  <c r="AK116" i="8"/>
  <c r="AJ116" i="8"/>
  <c r="AO115" i="8"/>
  <c r="AN115" i="8"/>
  <c r="AM115" i="8"/>
  <c r="AL115" i="8"/>
  <c r="AK115" i="8"/>
  <c r="AO114" i="8"/>
  <c r="AN114" i="8"/>
  <c r="AM114" i="8"/>
  <c r="AL114" i="8"/>
  <c r="AK114" i="8"/>
  <c r="AO113" i="8"/>
  <c r="AN113" i="8"/>
  <c r="AM113" i="8"/>
  <c r="AL113" i="8"/>
  <c r="AK113" i="8"/>
  <c r="AO112" i="8"/>
  <c r="AN112" i="8"/>
  <c r="AM112" i="8"/>
  <c r="AL112" i="8"/>
  <c r="AK112" i="8"/>
  <c r="AJ112" i="8"/>
  <c r="AO111" i="8"/>
  <c r="AN111" i="8"/>
  <c r="AM111" i="8"/>
  <c r="AL111" i="8"/>
  <c r="AK111" i="8"/>
  <c r="AJ111" i="8"/>
  <c r="AO110" i="8"/>
  <c r="AN110" i="8"/>
  <c r="AM110" i="8"/>
  <c r="AL110" i="8"/>
  <c r="AK110" i="8"/>
  <c r="AJ110" i="8"/>
  <c r="AO108" i="8"/>
  <c r="AN108" i="8"/>
  <c r="AM108" i="8"/>
  <c r="AL108" i="8"/>
  <c r="AK108" i="8"/>
  <c r="AJ108" i="8"/>
  <c r="AO107" i="8"/>
  <c r="AN107" i="8"/>
  <c r="AM107" i="8"/>
  <c r="AL107" i="8"/>
  <c r="AK107" i="8"/>
  <c r="AJ107" i="8"/>
  <c r="AO106" i="8"/>
  <c r="AN106" i="8"/>
  <c r="AM106" i="8"/>
  <c r="AL106" i="8"/>
  <c r="AK106" i="8"/>
  <c r="AJ106" i="8"/>
  <c r="AO105" i="8"/>
  <c r="AN105" i="8"/>
  <c r="AM105" i="8"/>
  <c r="AL105" i="8"/>
  <c r="AJ105" i="8"/>
  <c r="AO104" i="8"/>
  <c r="AN104" i="8"/>
  <c r="AM104" i="8"/>
  <c r="AL104" i="8"/>
  <c r="AK104" i="8"/>
  <c r="AJ104" i="8"/>
  <c r="AO103" i="8"/>
  <c r="AN103" i="8"/>
  <c r="AM103" i="8"/>
  <c r="AL103" i="8"/>
  <c r="AK103" i="8"/>
  <c r="AJ103" i="8"/>
  <c r="AO102" i="8"/>
  <c r="AN102" i="8"/>
  <c r="AM102" i="8"/>
  <c r="AL102" i="8"/>
  <c r="AJ102" i="8"/>
  <c r="AO101" i="8"/>
  <c r="AN101" i="8"/>
  <c r="AM101" i="8"/>
  <c r="AL101" i="8"/>
  <c r="AO100" i="8"/>
  <c r="AN100" i="8"/>
  <c r="AM100" i="8"/>
  <c r="AL100" i="8"/>
  <c r="AO99" i="8"/>
  <c r="AN99" i="8"/>
  <c r="AM99" i="8"/>
  <c r="AL99" i="8"/>
  <c r="AO98" i="8"/>
  <c r="AN98" i="8"/>
  <c r="AM98" i="8"/>
  <c r="AL98" i="8"/>
  <c r="AO97" i="8"/>
  <c r="AN97" i="8"/>
  <c r="AM97" i="8"/>
  <c r="AL97" i="8"/>
  <c r="AO96" i="8"/>
  <c r="AN96" i="8"/>
  <c r="AM96" i="8"/>
  <c r="AL96" i="8"/>
  <c r="AO94" i="8"/>
  <c r="AN94" i="8"/>
  <c r="AM94" i="8"/>
  <c r="AL94" i="8"/>
  <c r="AK94" i="8"/>
  <c r="AJ94" i="8"/>
  <c r="AO93" i="8"/>
  <c r="AN93" i="8"/>
  <c r="AM93" i="8"/>
  <c r="AL93" i="8"/>
  <c r="AK93" i="8"/>
  <c r="AJ93" i="8"/>
  <c r="AO92" i="8"/>
  <c r="AN92" i="8"/>
  <c r="AM92" i="8"/>
  <c r="AL92" i="8"/>
  <c r="AK92" i="8"/>
  <c r="AJ92" i="8"/>
  <c r="AO150" i="8"/>
  <c r="AN150" i="8"/>
  <c r="AM150" i="8"/>
  <c r="AL150" i="8"/>
  <c r="AK150" i="8"/>
  <c r="AO91" i="8"/>
  <c r="AN91" i="8"/>
  <c r="AM91" i="8"/>
  <c r="AL91" i="8"/>
  <c r="AK91" i="8"/>
  <c r="AJ91" i="8"/>
  <c r="AO90" i="8"/>
  <c r="AN90" i="8"/>
  <c r="AM90" i="8"/>
  <c r="AL90" i="8"/>
  <c r="AK90" i="8"/>
  <c r="AJ90" i="8"/>
  <c r="AO89" i="8"/>
  <c r="AN89" i="8"/>
  <c r="AM89" i="8"/>
  <c r="AL89" i="8"/>
  <c r="AK89" i="8"/>
  <c r="AO88" i="8"/>
  <c r="AN88" i="8"/>
  <c r="AM88" i="8"/>
  <c r="AL88" i="8"/>
  <c r="AK88" i="8"/>
  <c r="AO87" i="8"/>
  <c r="AN87" i="8"/>
  <c r="AM87" i="8"/>
  <c r="AL87" i="8"/>
  <c r="AK87" i="8"/>
  <c r="AO86" i="8"/>
  <c r="AN86" i="8"/>
  <c r="AM86" i="8"/>
  <c r="AL86" i="8"/>
  <c r="AK86" i="8"/>
  <c r="AO84" i="8"/>
  <c r="AN84" i="8"/>
  <c r="AM84" i="8"/>
  <c r="AL84" i="8"/>
  <c r="AK84" i="8"/>
  <c r="AJ84" i="8"/>
  <c r="AO83" i="8"/>
  <c r="AN83" i="8"/>
  <c r="AM83" i="8"/>
  <c r="AL83" i="8"/>
  <c r="AK83" i="8"/>
  <c r="AJ83" i="8"/>
  <c r="AO82" i="8"/>
  <c r="AN82" i="8"/>
  <c r="AM82" i="8"/>
  <c r="AL82" i="8"/>
  <c r="AK82" i="8"/>
  <c r="AJ82" i="8"/>
  <c r="AO81" i="8"/>
  <c r="AN81" i="8"/>
  <c r="AM81" i="8"/>
  <c r="AL81" i="8"/>
  <c r="AK81" i="8"/>
  <c r="AJ81" i="8"/>
  <c r="AO80" i="8"/>
  <c r="AN80" i="8"/>
  <c r="AM80" i="8"/>
  <c r="AL80" i="8"/>
  <c r="AK80" i="8"/>
  <c r="AJ80" i="8"/>
  <c r="AO79" i="8"/>
  <c r="AN79" i="8"/>
  <c r="AM79" i="8"/>
  <c r="AL79" i="8"/>
  <c r="AK79" i="8"/>
  <c r="AJ79" i="8"/>
  <c r="AO78" i="8"/>
  <c r="AN78" i="8"/>
  <c r="AM78" i="8"/>
  <c r="AL78" i="8"/>
  <c r="AK78" i="8"/>
  <c r="AJ78" i="8"/>
  <c r="AO76" i="8"/>
  <c r="AN76" i="8"/>
  <c r="AM76" i="8"/>
  <c r="AL76" i="8"/>
  <c r="AK76" i="8"/>
  <c r="AJ76" i="8"/>
  <c r="AO75" i="8"/>
  <c r="AN75" i="8"/>
  <c r="AM75" i="8"/>
  <c r="AL75" i="8"/>
  <c r="AK75" i="8"/>
  <c r="AJ75" i="8"/>
  <c r="AO74" i="8"/>
  <c r="AN74" i="8"/>
  <c r="AM74" i="8"/>
  <c r="AL74" i="8"/>
  <c r="AK74" i="8"/>
  <c r="AJ74" i="8"/>
  <c r="AO73" i="8"/>
  <c r="AN73" i="8"/>
  <c r="AM73" i="8"/>
  <c r="AL73" i="8"/>
  <c r="AK73" i="8"/>
  <c r="AJ73" i="8"/>
  <c r="AO72" i="8"/>
  <c r="AN72" i="8"/>
  <c r="AM72" i="8"/>
  <c r="AL72" i="8"/>
  <c r="AK72" i="8"/>
  <c r="AJ72" i="8"/>
  <c r="AO71" i="8"/>
  <c r="AN71" i="8"/>
  <c r="AM71" i="8"/>
  <c r="AL71" i="8"/>
  <c r="AK71" i="8"/>
  <c r="AJ71" i="8"/>
  <c r="AO70" i="8"/>
  <c r="AN70" i="8"/>
  <c r="AM70" i="8"/>
  <c r="AL70" i="8"/>
  <c r="AK70" i="8"/>
  <c r="AJ70" i="8"/>
  <c r="AO69" i="8"/>
  <c r="AN69" i="8"/>
  <c r="AM69" i="8"/>
  <c r="AL69" i="8"/>
  <c r="AK69" i="8"/>
  <c r="AJ69" i="8"/>
  <c r="AO68" i="8"/>
  <c r="AN68" i="8"/>
  <c r="AM68" i="8"/>
  <c r="AL68" i="8"/>
  <c r="AK68" i="8"/>
  <c r="AJ68" i="8"/>
  <c r="AO67" i="8"/>
  <c r="AN67" i="8"/>
  <c r="AM67" i="8"/>
  <c r="AL67" i="8"/>
  <c r="AK67" i="8"/>
  <c r="AJ67" i="8"/>
  <c r="AO66" i="8"/>
  <c r="AN66" i="8"/>
  <c r="AM66" i="8"/>
  <c r="AL66" i="8"/>
  <c r="AK66" i="8"/>
  <c r="AJ66" i="8"/>
  <c r="AJ77" i="8" s="1"/>
  <c r="AO63" i="8"/>
  <c r="AN63" i="8"/>
  <c r="AM63" i="8"/>
  <c r="AL63" i="8"/>
  <c r="AK63" i="8"/>
  <c r="AJ63" i="8"/>
  <c r="AO62" i="8"/>
  <c r="AN62" i="8"/>
  <c r="AM62" i="8"/>
  <c r="AL62" i="8"/>
  <c r="AK62" i="8"/>
  <c r="AJ62" i="8"/>
  <c r="AO61" i="8"/>
  <c r="AN61" i="8"/>
  <c r="AM61" i="8"/>
  <c r="AL61" i="8"/>
  <c r="AK61" i="8"/>
  <c r="AJ61" i="8"/>
  <c r="AO60" i="8"/>
  <c r="AN60" i="8"/>
  <c r="AM60" i="8"/>
  <c r="AL60" i="8"/>
  <c r="AK60" i="8"/>
  <c r="AO59" i="8"/>
  <c r="AN59" i="8"/>
  <c r="AM59" i="8"/>
  <c r="AL59" i="8"/>
  <c r="AK59" i="8"/>
  <c r="AJ59" i="8"/>
  <c r="AO58" i="8"/>
  <c r="AN58" i="8"/>
  <c r="AM58" i="8"/>
  <c r="AL58" i="8"/>
  <c r="AK58" i="8"/>
  <c r="AJ58" i="8"/>
  <c r="AO57" i="8"/>
  <c r="AN57" i="8"/>
  <c r="AM57" i="8"/>
  <c r="AL57" i="8"/>
  <c r="AK57" i="8"/>
  <c r="AJ57" i="8"/>
  <c r="AO56" i="8"/>
  <c r="AN56" i="8"/>
  <c r="AM56" i="8"/>
  <c r="AL56" i="8"/>
  <c r="AK56" i="8"/>
  <c r="AO55" i="8"/>
  <c r="AN55" i="8"/>
  <c r="AM55" i="8"/>
  <c r="AL55" i="8"/>
  <c r="AK55" i="8"/>
  <c r="AO54" i="8"/>
  <c r="AN54" i="8"/>
  <c r="AM54" i="8"/>
  <c r="AL54" i="8"/>
  <c r="AK54" i="8"/>
  <c r="AO53" i="8"/>
  <c r="AN53" i="8"/>
  <c r="AK53" i="8"/>
  <c r="AO52" i="8"/>
  <c r="AN52" i="8"/>
  <c r="AK52" i="8"/>
  <c r="AO51" i="8"/>
  <c r="AN51" i="8"/>
  <c r="AM51" i="8"/>
  <c r="AL51" i="8"/>
  <c r="AK51" i="8"/>
  <c r="AO50" i="8"/>
  <c r="AN50" i="8"/>
  <c r="AM50" i="8"/>
  <c r="AL50" i="8"/>
  <c r="AK50" i="8"/>
  <c r="AO48" i="8"/>
  <c r="AN48" i="8"/>
  <c r="AM48" i="8"/>
  <c r="AL48" i="8"/>
  <c r="AK48" i="8"/>
  <c r="AJ48" i="8"/>
  <c r="AO47" i="8"/>
  <c r="AN47" i="8"/>
  <c r="AM47" i="8"/>
  <c r="AL47" i="8"/>
  <c r="AK47" i="8"/>
  <c r="AJ47" i="8"/>
  <c r="AO46" i="8"/>
  <c r="AN46" i="8"/>
  <c r="AM46" i="8"/>
  <c r="AL46" i="8"/>
  <c r="AK46" i="8"/>
  <c r="AJ46" i="8"/>
  <c r="AO45" i="8"/>
  <c r="AN45" i="8"/>
  <c r="AM45" i="8"/>
  <c r="AL45" i="8"/>
  <c r="AK45" i="8"/>
  <c r="AO44" i="8"/>
  <c r="AN44" i="8"/>
  <c r="AM44" i="8"/>
  <c r="AL44" i="8"/>
  <c r="AK44" i="8"/>
  <c r="AJ44" i="8"/>
  <c r="AO43" i="8"/>
  <c r="AN43" i="8"/>
  <c r="AM43" i="8"/>
  <c r="AL43" i="8"/>
  <c r="AK43" i="8"/>
  <c r="AJ43" i="8"/>
  <c r="AO42" i="8"/>
  <c r="AN42" i="8"/>
  <c r="AM42" i="8"/>
  <c r="AL42" i="8"/>
  <c r="AK42" i="8"/>
  <c r="AO41" i="8"/>
  <c r="AN41" i="8"/>
  <c r="AM41" i="8"/>
  <c r="AL41" i="8"/>
  <c r="AK41" i="8"/>
  <c r="AO40" i="8"/>
  <c r="AN40" i="8"/>
  <c r="AM40" i="8"/>
  <c r="AL40" i="8"/>
  <c r="AK40" i="8"/>
  <c r="AO39" i="8"/>
  <c r="AN39" i="8"/>
  <c r="AM39" i="8"/>
  <c r="AL39" i="8"/>
  <c r="AK39" i="8"/>
  <c r="AO38" i="8"/>
  <c r="AN38" i="8"/>
  <c r="AM38" i="8"/>
  <c r="AL38" i="8"/>
  <c r="AK38" i="8"/>
  <c r="AJ38" i="8"/>
  <c r="AO37" i="8"/>
  <c r="AN37" i="8"/>
  <c r="AM37" i="8"/>
  <c r="AL37" i="8"/>
  <c r="AK37" i="8"/>
  <c r="AO36" i="8"/>
  <c r="AN36" i="8"/>
  <c r="AM36" i="8"/>
  <c r="AL36" i="8"/>
  <c r="AK36" i="8"/>
  <c r="AO35" i="8"/>
  <c r="AN35" i="8"/>
  <c r="AM35" i="8"/>
  <c r="AL35" i="8"/>
  <c r="AK35" i="8"/>
  <c r="AO33" i="8"/>
  <c r="AN33" i="8"/>
  <c r="AM33" i="8"/>
  <c r="AL33" i="8"/>
  <c r="AK33" i="8"/>
  <c r="AJ33" i="8"/>
  <c r="AO32" i="8"/>
  <c r="AN32" i="8"/>
  <c r="AM32" i="8"/>
  <c r="AL32" i="8"/>
  <c r="AK32" i="8"/>
  <c r="AJ32" i="8"/>
  <c r="AO31" i="8"/>
  <c r="AN31" i="8"/>
  <c r="AM31" i="8"/>
  <c r="AL31" i="8"/>
  <c r="AK31" i="8"/>
  <c r="AJ31" i="8"/>
  <c r="AO30" i="8"/>
  <c r="AN30" i="8"/>
  <c r="AM30" i="8"/>
  <c r="AL30" i="8"/>
  <c r="AK30" i="8"/>
  <c r="AJ30" i="8"/>
  <c r="AO29" i="8"/>
  <c r="AN29" i="8"/>
  <c r="AM29" i="8"/>
  <c r="AL29" i="8"/>
  <c r="AK29" i="8"/>
  <c r="AJ29" i="8"/>
  <c r="AO28" i="8"/>
  <c r="AN28" i="8"/>
  <c r="AM28" i="8"/>
  <c r="AL28" i="8"/>
  <c r="AK28" i="8"/>
  <c r="AJ28" i="8"/>
  <c r="AO27" i="8"/>
  <c r="AN27" i="8"/>
  <c r="AM27" i="8"/>
  <c r="AL27" i="8"/>
  <c r="AK27" i="8"/>
  <c r="AJ27" i="8"/>
  <c r="AO26" i="8"/>
  <c r="AN26" i="8"/>
  <c r="AM26" i="8"/>
  <c r="AL26" i="8"/>
  <c r="AK26" i="8"/>
  <c r="AJ26" i="8"/>
  <c r="AO25" i="8"/>
  <c r="AN25" i="8"/>
  <c r="AM25" i="8"/>
  <c r="AL25" i="8"/>
  <c r="AK25" i="8"/>
  <c r="AJ25" i="8"/>
  <c r="AO24" i="8"/>
  <c r="AN24" i="8"/>
  <c r="AM24" i="8"/>
  <c r="AL24" i="8"/>
  <c r="AK24" i="8"/>
  <c r="AJ24" i="8"/>
  <c r="AO23" i="8"/>
  <c r="AN23" i="8"/>
  <c r="AM23" i="8"/>
  <c r="AL23" i="8"/>
  <c r="AK23" i="8"/>
  <c r="AJ23" i="8"/>
  <c r="AO22" i="8"/>
  <c r="AN22" i="8"/>
  <c r="AM22" i="8"/>
  <c r="AL22" i="8"/>
  <c r="AK22" i="8"/>
  <c r="AJ22" i="8"/>
  <c r="AO21" i="8"/>
  <c r="AN21" i="8"/>
  <c r="AM21" i="8"/>
  <c r="AL21" i="8"/>
  <c r="AK21" i="8"/>
  <c r="AJ21" i="8"/>
  <c r="AO20" i="8"/>
  <c r="AN20" i="8"/>
  <c r="AM20" i="8"/>
  <c r="AL20" i="8"/>
  <c r="AK20" i="8"/>
  <c r="AJ20" i="8"/>
  <c r="AO19" i="8"/>
  <c r="AN19" i="8"/>
  <c r="AM19" i="8"/>
  <c r="AL19" i="8"/>
  <c r="AK19" i="8"/>
  <c r="AJ19" i="8"/>
  <c r="AO18" i="8"/>
  <c r="AN18" i="8"/>
  <c r="AM18" i="8"/>
  <c r="AL18" i="8"/>
  <c r="AK18" i="8"/>
  <c r="AJ18" i="8"/>
  <c r="AO17" i="8"/>
  <c r="AN17" i="8"/>
  <c r="AM17" i="8"/>
  <c r="AL17" i="8"/>
  <c r="AK17" i="8"/>
  <c r="AJ17" i="8"/>
  <c r="AO16" i="8"/>
  <c r="AN16" i="8"/>
  <c r="AM16" i="8"/>
  <c r="AL16" i="8"/>
  <c r="AK16" i="8"/>
  <c r="AJ16" i="8"/>
  <c r="AO15" i="8"/>
  <c r="AN15" i="8"/>
  <c r="AM15" i="8"/>
  <c r="AL15" i="8"/>
  <c r="AK15" i="8"/>
  <c r="AJ15" i="8"/>
  <c r="AO14" i="8"/>
  <c r="AN14" i="8"/>
  <c r="AM14" i="8"/>
  <c r="AL14" i="8"/>
  <c r="AK14" i="8"/>
  <c r="AJ14" i="8"/>
  <c r="AO13" i="8"/>
  <c r="AN13" i="8"/>
  <c r="AM13" i="8"/>
  <c r="AL13" i="8"/>
  <c r="AK13" i="8"/>
  <c r="AJ13" i="8"/>
  <c r="AO11" i="8"/>
  <c r="AN11" i="8"/>
  <c r="AM11" i="8"/>
  <c r="AL11" i="8"/>
  <c r="AK11" i="8"/>
  <c r="AJ11" i="8"/>
  <c r="AO10" i="8"/>
  <c r="AN10" i="8"/>
  <c r="AM10" i="8"/>
  <c r="AL10" i="8"/>
  <c r="AK10" i="8"/>
  <c r="AJ10" i="8"/>
  <c r="AO9" i="8"/>
  <c r="AN9" i="8"/>
  <c r="AM9" i="8"/>
  <c r="AL9" i="8"/>
  <c r="AK9" i="8"/>
  <c r="AJ9" i="8"/>
  <c r="AO7" i="8"/>
  <c r="AN7" i="8"/>
  <c r="AM7" i="8"/>
  <c r="AL7" i="8"/>
  <c r="AK7" i="8"/>
  <c r="AJ7" i="8"/>
  <c r="AO6" i="8"/>
  <c r="AN6" i="8"/>
  <c r="AM6" i="8"/>
  <c r="AL6" i="8"/>
  <c r="AK6" i="8"/>
  <c r="AJ6" i="8"/>
  <c r="AM5" i="8"/>
  <c r="AN5" i="8"/>
  <c r="AO5" i="8"/>
  <c r="AL5" i="8"/>
  <c r="Y164" i="8"/>
  <c r="Z164" i="8"/>
  <c r="AA164" i="8"/>
  <c r="AA211" i="8" s="1"/>
  <c r="AB164" i="8"/>
  <c r="AB211" i="8" s="1"/>
  <c r="AC164" i="8"/>
  <c r="AC195" i="8" s="1"/>
  <c r="W164" i="8"/>
  <c r="W244" i="8" s="1"/>
  <c r="U164" i="8"/>
  <c r="U195" i="8" s="1"/>
  <c r="V164" i="8"/>
  <c r="V244" i="8" s="1"/>
  <c r="AC158" i="8"/>
  <c r="AB158" i="8"/>
  <c r="AA158" i="8"/>
  <c r="Z158" i="8"/>
  <c r="Y158" i="8"/>
  <c r="X158" i="8"/>
  <c r="AC157" i="8"/>
  <c r="AB157" i="8"/>
  <c r="AA157" i="8"/>
  <c r="Z157" i="8"/>
  <c r="Y157" i="8"/>
  <c r="X157" i="8"/>
  <c r="AC156" i="8"/>
  <c r="AB156" i="8"/>
  <c r="AA156" i="8"/>
  <c r="Z156" i="8"/>
  <c r="Y156" i="8"/>
  <c r="X156" i="8"/>
  <c r="AC155" i="8"/>
  <c r="AB155" i="8"/>
  <c r="AA155" i="8"/>
  <c r="Z155" i="8"/>
  <c r="Y155" i="8"/>
  <c r="X155" i="8"/>
  <c r="AC154" i="8"/>
  <c r="AB154" i="8"/>
  <c r="AA154" i="8"/>
  <c r="Z154" i="8"/>
  <c r="Y154" i="8"/>
  <c r="X154" i="8"/>
  <c r="AC153" i="8"/>
  <c r="AB153" i="8"/>
  <c r="AA153" i="8"/>
  <c r="Z153" i="8"/>
  <c r="Y153" i="8"/>
  <c r="AC152" i="8"/>
  <c r="AB152" i="8"/>
  <c r="AA152" i="8"/>
  <c r="Z152" i="8"/>
  <c r="Y152" i="8"/>
  <c r="X152" i="8"/>
  <c r="AC151" i="8"/>
  <c r="AB151" i="8"/>
  <c r="AA151" i="8"/>
  <c r="Z151" i="8"/>
  <c r="Y151" i="8"/>
  <c r="X151" i="8"/>
  <c r="AC149" i="8"/>
  <c r="AB149" i="8"/>
  <c r="AA149" i="8"/>
  <c r="Z149" i="8"/>
  <c r="AC148" i="8"/>
  <c r="AB148" i="8"/>
  <c r="AA148" i="8"/>
  <c r="Z148" i="8"/>
  <c r="AC147" i="8"/>
  <c r="AB147" i="8"/>
  <c r="AA147" i="8"/>
  <c r="Z147" i="8"/>
  <c r="Y147" i="8"/>
  <c r="X147" i="8"/>
  <c r="AC146" i="8"/>
  <c r="AB146" i="8"/>
  <c r="AA146" i="8"/>
  <c r="Z146" i="8"/>
  <c r="Y146" i="8"/>
  <c r="X146" i="8"/>
  <c r="AC145" i="8"/>
  <c r="AB145" i="8"/>
  <c r="AA145" i="8"/>
  <c r="Z145" i="8"/>
  <c r="Y145" i="8"/>
  <c r="X145" i="8"/>
  <c r="AC144" i="8"/>
  <c r="AB144" i="8"/>
  <c r="AA144" i="8"/>
  <c r="Z144" i="8"/>
  <c r="Y144" i="8"/>
  <c r="X144" i="8"/>
  <c r="AC143" i="8"/>
  <c r="AB143" i="8"/>
  <c r="AA143" i="8"/>
  <c r="Z143" i="8"/>
  <c r="Y143" i="8"/>
  <c r="X143" i="8"/>
  <c r="AC142" i="8"/>
  <c r="AB142" i="8"/>
  <c r="AA142" i="8"/>
  <c r="Z142" i="8"/>
  <c r="Y142" i="8"/>
  <c r="X142" i="8"/>
  <c r="AC141" i="8"/>
  <c r="AB141" i="8"/>
  <c r="AA141" i="8"/>
  <c r="Z141" i="8"/>
  <c r="Y141" i="8"/>
  <c r="X141" i="8"/>
  <c r="AC140" i="8"/>
  <c r="AB140" i="8"/>
  <c r="AA140" i="8"/>
  <c r="Z140" i="8"/>
  <c r="Y140" i="8"/>
  <c r="X140" i="8"/>
  <c r="AC139" i="8"/>
  <c r="AB139" i="8"/>
  <c r="AA139" i="8"/>
  <c r="Z139" i="8"/>
  <c r="Y139" i="8"/>
  <c r="AC138" i="8"/>
  <c r="AB138" i="8"/>
  <c r="AA138" i="8"/>
  <c r="Z138" i="8"/>
  <c r="Y138" i="8"/>
  <c r="AC137" i="8"/>
  <c r="AB137" i="8"/>
  <c r="AA137" i="8"/>
  <c r="Z137" i="8"/>
  <c r="Y137" i="8"/>
  <c r="AC136" i="8"/>
  <c r="AB136" i="8"/>
  <c r="AA136" i="8"/>
  <c r="Z136" i="8"/>
  <c r="Y136" i="8"/>
  <c r="AC135" i="8"/>
  <c r="AB135" i="8"/>
  <c r="AA135" i="8"/>
  <c r="Z135" i="8"/>
  <c r="Y135" i="8"/>
  <c r="AC133" i="8"/>
  <c r="AB133" i="8"/>
  <c r="AA133" i="8"/>
  <c r="Z133" i="8"/>
  <c r="Y133" i="8"/>
  <c r="X133" i="8"/>
  <c r="AC132" i="8"/>
  <c r="AB132" i="8"/>
  <c r="AA132" i="8"/>
  <c r="Z132" i="8"/>
  <c r="Y132" i="8"/>
  <c r="X132" i="8"/>
  <c r="AC131" i="8"/>
  <c r="AB131" i="8"/>
  <c r="AA131" i="8"/>
  <c r="Z131" i="8"/>
  <c r="Y131" i="8"/>
  <c r="X131" i="8"/>
  <c r="AC130" i="8"/>
  <c r="AB130" i="8"/>
  <c r="AA130" i="8"/>
  <c r="Z130" i="8"/>
  <c r="Y130" i="8"/>
  <c r="X130" i="8"/>
  <c r="AC129" i="8"/>
  <c r="AB129" i="8"/>
  <c r="AA129" i="8"/>
  <c r="Z129" i="8"/>
  <c r="Y129" i="8"/>
  <c r="X129" i="8"/>
  <c r="AC128" i="8"/>
  <c r="AB128" i="8"/>
  <c r="AA128" i="8"/>
  <c r="Z128" i="8"/>
  <c r="Y128" i="8"/>
  <c r="X128" i="8"/>
  <c r="AC127" i="8"/>
  <c r="AB127" i="8"/>
  <c r="AA127" i="8"/>
  <c r="Z127" i="8"/>
  <c r="Y127" i="8"/>
  <c r="X127" i="8"/>
  <c r="AC126" i="8"/>
  <c r="AB126" i="8"/>
  <c r="AA126" i="8"/>
  <c r="Z126" i="8"/>
  <c r="Y126" i="8"/>
  <c r="X126" i="8"/>
  <c r="AC124" i="8"/>
  <c r="AB124" i="8"/>
  <c r="AA124" i="8"/>
  <c r="Z124" i="8"/>
  <c r="Y124" i="8"/>
  <c r="X124" i="8"/>
  <c r="AC123" i="8"/>
  <c r="AB123" i="8"/>
  <c r="AA123" i="8"/>
  <c r="Z123" i="8"/>
  <c r="Y123" i="8"/>
  <c r="X123" i="8"/>
  <c r="AC122" i="8"/>
  <c r="AB122" i="8"/>
  <c r="AA122" i="8"/>
  <c r="Z122" i="8"/>
  <c r="Y122" i="8"/>
  <c r="X122" i="8"/>
  <c r="AC121" i="8"/>
  <c r="AB121" i="8"/>
  <c r="AA121" i="8"/>
  <c r="Z121" i="8"/>
  <c r="Y121" i="8"/>
  <c r="X121" i="8"/>
  <c r="AC120" i="8"/>
  <c r="AB120" i="8"/>
  <c r="AA120" i="8"/>
  <c r="Z120" i="8"/>
  <c r="Y120" i="8"/>
  <c r="X120" i="8"/>
  <c r="AC119" i="8"/>
  <c r="AB119" i="8"/>
  <c r="AA119" i="8"/>
  <c r="Z119" i="8"/>
  <c r="Y119" i="8"/>
  <c r="X119" i="8"/>
  <c r="AC118" i="8"/>
  <c r="AB118" i="8"/>
  <c r="AA118" i="8"/>
  <c r="Z118" i="8"/>
  <c r="Y118" i="8"/>
  <c r="X118" i="8"/>
  <c r="AC117" i="8"/>
  <c r="AB117" i="8"/>
  <c r="AA117" i="8"/>
  <c r="Z117" i="8"/>
  <c r="Y117" i="8"/>
  <c r="X117" i="8"/>
  <c r="AC116" i="8"/>
  <c r="AB116" i="8"/>
  <c r="AA116" i="8"/>
  <c r="Z116" i="8"/>
  <c r="Y116" i="8"/>
  <c r="X116" i="8"/>
  <c r="AC115" i="8"/>
  <c r="AB115" i="8"/>
  <c r="AA115" i="8"/>
  <c r="Z115" i="8"/>
  <c r="Y115" i="8"/>
  <c r="X115" i="8"/>
  <c r="AC114" i="8"/>
  <c r="AB114" i="8"/>
  <c r="AA114" i="8"/>
  <c r="Z114" i="8"/>
  <c r="Y114" i="8"/>
  <c r="X114" i="8"/>
  <c r="AC113" i="8"/>
  <c r="AB113" i="8"/>
  <c r="AA113" i="8"/>
  <c r="Z113" i="8"/>
  <c r="Y113" i="8"/>
  <c r="X113" i="8"/>
  <c r="AC112" i="8"/>
  <c r="AB112" i="8"/>
  <c r="AA112" i="8"/>
  <c r="Z112" i="8"/>
  <c r="Y112" i="8"/>
  <c r="X112" i="8"/>
  <c r="AC111" i="8"/>
  <c r="AB111" i="8"/>
  <c r="AA111" i="8"/>
  <c r="Z111" i="8"/>
  <c r="Y111" i="8"/>
  <c r="X111" i="8"/>
  <c r="AC110" i="8"/>
  <c r="AB110" i="8"/>
  <c r="AA110" i="8"/>
  <c r="Z110" i="8"/>
  <c r="Y110" i="8"/>
  <c r="X110" i="8"/>
  <c r="AC108" i="8"/>
  <c r="AB108" i="8"/>
  <c r="AA108" i="8"/>
  <c r="Z108" i="8"/>
  <c r="Y108" i="8"/>
  <c r="X108" i="8"/>
  <c r="AC107" i="8"/>
  <c r="AB107" i="8"/>
  <c r="AA107" i="8"/>
  <c r="Z107" i="8"/>
  <c r="Y107" i="8"/>
  <c r="X107" i="8"/>
  <c r="AC106" i="8"/>
  <c r="AB106" i="8"/>
  <c r="AA106" i="8"/>
  <c r="Z106" i="8"/>
  <c r="Y106" i="8"/>
  <c r="X106" i="8"/>
  <c r="AC105" i="8"/>
  <c r="AB105" i="8"/>
  <c r="AA105" i="8"/>
  <c r="Z105" i="8"/>
  <c r="X105" i="8"/>
  <c r="AC104" i="8"/>
  <c r="AB104" i="8"/>
  <c r="AA104" i="8"/>
  <c r="Z104" i="8"/>
  <c r="Y104" i="8"/>
  <c r="X104" i="8"/>
  <c r="AC103" i="8"/>
  <c r="AB103" i="8"/>
  <c r="AA103" i="8"/>
  <c r="Z103" i="8"/>
  <c r="Y103" i="8"/>
  <c r="X103" i="8"/>
  <c r="AC102" i="8"/>
  <c r="AB102" i="8"/>
  <c r="AA102" i="8"/>
  <c r="Z102" i="8"/>
  <c r="X102" i="8"/>
  <c r="AC101" i="8"/>
  <c r="AB101" i="8"/>
  <c r="AA101" i="8"/>
  <c r="Z101" i="8"/>
  <c r="AC100" i="8"/>
  <c r="AB100" i="8"/>
  <c r="AA100" i="8"/>
  <c r="Z100" i="8"/>
  <c r="AC99" i="8"/>
  <c r="AB99" i="8"/>
  <c r="AA99" i="8"/>
  <c r="Z99" i="8"/>
  <c r="AC98" i="8"/>
  <c r="AB98" i="8"/>
  <c r="AA98" i="8"/>
  <c r="Z98" i="8"/>
  <c r="AC97" i="8"/>
  <c r="AB97" i="8"/>
  <c r="AA97" i="8"/>
  <c r="Z97" i="8"/>
  <c r="AC96" i="8"/>
  <c r="AB96" i="8"/>
  <c r="AA96" i="8"/>
  <c r="Z96" i="8"/>
  <c r="AC94" i="8"/>
  <c r="AB94" i="8"/>
  <c r="AA94" i="8"/>
  <c r="Z94" i="8"/>
  <c r="Y94" i="8"/>
  <c r="X94" i="8"/>
  <c r="AC93" i="8"/>
  <c r="AB93" i="8"/>
  <c r="AA93" i="8"/>
  <c r="Z93" i="8"/>
  <c r="Y93" i="8"/>
  <c r="X93" i="8"/>
  <c r="AC92" i="8"/>
  <c r="AB92" i="8"/>
  <c r="AA92" i="8"/>
  <c r="Z92" i="8"/>
  <c r="Y92" i="8"/>
  <c r="X92" i="8"/>
  <c r="AC150" i="8"/>
  <c r="AB150" i="8"/>
  <c r="AA150" i="8"/>
  <c r="Z150" i="8"/>
  <c r="Y150" i="8"/>
  <c r="X150" i="8"/>
  <c r="AC91" i="8"/>
  <c r="AB91" i="8"/>
  <c r="AA91" i="8"/>
  <c r="Z91" i="8"/>
  <c r="Y91" i="8"/>
  <c r="X91" i="8"/>
  <c r="AC90" i="8"/>
  <c r="AB90" i="8"/>
  <c r="AA90" i="8"/>
  <c r="Z90" i="8"/>
  <c r="Y90" i="8"/>
  <c r="X90" i="8"/>
  <c r="AC89" i="8"/>
  <c r="AB89" i="8"/>
  <c r="AA89" i="8"/>
  <c r="Z89" i="8"/>
  <c r="Y89" i="8"/>
  <c r="X89" i="8"/>
  <c r="AC88" i="8"/>
  <c r="AB88" i="8"/>
  <c r="AA88" i="8"/>
  <c r="Z88" i="8"/>
  <c r="Y88" i="8"/>
  <c r="X88" i="8"/>
  <c r="AC87" i="8"/>
  <c r="AB87" i="8"/>
  <c r="AA87" i="8"/>
  <c r="Z87" i="8"/>
  <c r="Y87" i="8"/>
  <c r="X87" i="8"/>
  <c r="AC86" i="8"/>
  <c r="AB86" i="8"/>
  <c r="AA86" i="8"/>
  <c r="Z86" i="8"/>
  <c r="Y86" i="8"/>
  <c r="X86" i="8"/>
  <c r="AC84" i="8"/>
  <c r="AB84" i="8"/>
  <c r="AA84" i="8"/>
  <c r="Z84" i="8"/>
  <c r="Y84" i="8"/>
  <c r="X84" i="8"/>
  <c r="AC83" i="8"/>
  <c r="AB83" i="8"/>
  <c r="AA83" i="8"/>
  <c r="Z83" i="8"/>
  <c r="Y83" i="8"/>
  <c r="X83" i="8"/>
  <c r="AC82" i="8"/>
  <c r="AB82" i="8"/>
  <c r="AA82" i="8"/>
  <c r="Z82" i="8"/>
  <c r="Y82" i="8"/>
  <c r="X82" i="8"/>
  <c r="AC81" i="8"/>
  <c r="AB81" i="8"/>
  <c r="AA81" i="8"/>
  <c r="Z81" i="8"/>
  <c r="Y81" i="8"/>
  <c r="X81" i="8"/>
  <c r="AC80" i="8"/>
  <c r="AB80" i="8"/>
  <c r="AA80" i="8"/>
  <c r="Z80" i="8"/>
  <c r="Y80" i="8"/>
  <c r="X80" i="8"/>
  <c r="AC79" i="8"/>
  <c r="AB79" i="8"/>
  <c r="AA79" i="8"/>
  <c r="Z79" i="8"/>
  <c r="Y79" i="8"/>
  <c r="X79" i="8"/>
  <c r="AC78" i="8"/>
  <c r="AB78" i="8"/>
  <c r="AA78" i="8"/>
  <c r="Z78" i="8"/>
  <c r="Y78" i="8"/>
  <c r="X78" i="8"/>
  <c r="AC76" i="8"/>
  <c r="AB76" i="8"/>
  <c r="AA76" i="8"/>
  <c r="Z76" i="8"/>
  <c r="Y76" i="8"/>
  <c r="X76" i="8"/>
  <c r="AC75" i="8"/>
  <c r="AB75" i="8"/>
  <c r="AA75" i="8"/>
  <c r="Z75" i="8"/>
  <c r="Y75" i="8"/>
  <c r="X75" i="8"/>
  <c r="AC74" i="8"/>
  <c r="AB74" i="8"/>
  <c r="AA74" i="8"/>
  <c r="Z74" i="8"/>
  <c r="Y74" i="8"/>
  <c r="X74" i="8"/>
  <c r="AC73" i="8"/>
  <c r="AB73" i="8"/>
  <c r="AA73" i="8"/>
  <c r="Z73" i="8"/>
  <c r="Y73" i="8"/>
  <c r="X73" i="8"/>
  <c r="AC72" i="8"/>
  <c r="AB72" i="8"/>
  <c r="AA72" i="8"/>
  <c r="Z72" i="8"/>
  <c r="Y72" i="8"/>
  <c r="X72" i="8"/>
  <c r="AC71" i="8"/>
  <c r="AB71" i="8"/>
  <c r="AA71" i="8"/>
  <c r="Z71" i="8"/>
  <c r="Y71" i="8"/>
  <c r="X71" i="8"/>
  <c r="AC70" i="8"/>
  <c r="AB70" i="8"/>
  <c r="AA70" i="8"/>
  <c r="Z70" i="8"/>
  <c r="Y70" i="8"/>
  <c r="X70" i="8"/>
  <c r="AC69" i="8"/>
  <c r="AB69" i="8"/>
  <c r="AA69" i="8"/>
  <c r="Z69" i="8"/>
  <c r="Y69" i="8"/>
  <c r="X69" i="8"/>
  <c r="AC68" i="8"/>
  <c r="AB68" i="8"/>
  <c r="AA68" i="8"/>
  <c r="Z68" i="8"/>
  <c r="Y68" i="8"/>
  <c r="X68" i="8"/>
  <c r="AC67" i="8"/>
  <c r="AB67" i="8"/>
  <c r="AA67" i="8"/>
  <c r="Z67" i="8"/>
  <c r="Y67" i="8"/>
  <c r="X67" i="8"/>
  <c r="AC66" i="8"/>
  <c r="AB66" i="8"/>
  <c r="AA66" i="8"/>
  <c r="Z66" i="8"/>
  <c r="Y66" i="8"/>
  <c r="X66" i="8"/>
  <c r="AC63" i="8"/>
  <c r="AB63" i="8"/>
  <c r="AA63" i="8"/>
  <c r="Z63" i="8"/>
  <c r="Y63" i="8"/>
  <c r="X63" i="8"/>
  <c r="AC62" i="8"/>
  <c r="AB62" i="8"/>
  <c r="AA62" i="8"/>
  <c r="Z62" i="8"/>
  <c r="Y62" i="8"/>
  <c r="X62" i="8"/>
  <c r="AC61" i="8"/>
  <c r="AB61" i="8"/>
  <c r="AA61" i="8"/>
  <c r="Z61" i="8"/>
  <c r="Y61" i="8"/>
  <c r="X61" i="8"/>
  <c r="AC60" i="8"/>
  <c r="AB60" i="8"/>
  <c r="AA60" i="8"/>
  <c r="Z60" i="8"/>
  <c r="Y60" i="8"/>
  <c r="X60" i="8"/>
  <c r="AC59" i="8"/>
  <c r="AB59" i="8"/>
  <c r="AA59" i="8"/>
  <c r="Z59" i="8"/>
  <c r="Y59" i="8"/>
  <c r="X59" i="8"/>
  <c r="AC58" i="8"/>
  <c r="AB58" i="8"/>
  <c r="AA58" i="8"/>
  <c r="Z58" i="8"/>
  <c r="Y58" i="8"/>
  <c r="X58" i="8"/>
  <c r="AC57" i="8"/>
  <c r="AB57" i="8"/>
  <c r="AA57" i="8"/>
  <c r="Z57" i="8"/>
  <c r="Y57" i="8"/>
  <c r="X57" i="8"/>
  <c r="AC56" i="8"/>
  <c r="AB56" i="8"/>
  <c r="AA56" i="8"/>
  <c r="Z56" i="8"/>
  <c r="Y56" i="8"/>
  <c r="X56" i="8"/>
  <c r="AC55" i="8"/>
  <c r="AB55" i="8"/>
  <c r="AA55" i="8"/>
  <c r="Z55" i="8"/>
  <c r="Y55" i="8"/>
  <c r="X55" i="8"/>
  <c r="AC54" i="8"/>
  <c r="AB54" i="8"/>
  <c r="AA54" i="8"/>
  <c r="Z54" i="8"/>
  <c r="Y54" i="8"/>
  <c r="X54" i="8"/>
  <c r="AC53" i="8"/>
  <c r="AB53" i="8"/>
  <c r="AA53" i="8"/>
  <c r="Z53" i="8"/>
  <c r="Y53" i="8"/>
  <c r="X53" i="8"/>
  <c r="AC52" i="8"/>
  <c r="AB52" i="8"/>
  <c r="AA52" i="8"/>
  <c r="Z52" i="8"/>
  <c r="Y52" i="8"/>
  <c r="X52" i="8"/>
  <c r="AC51" i="8"/>
  <c r="AB51" i="8"/>
  <c r="AA51" i="8"/>
  <c r="Z51" i="8"/>
  <c r="Y51" i="8"/>
  <c r="X51" i="8"/>
  <c r="AC50" i="8"/>
  <c r="AB50" i="8"/>
  <c r="AA50" i="8"/>
  <c r="Z50" i="8"/>
  <c r="Y50" i="8"/>
  <c r="X50" i="8"/>
  <c r="AC48" i="8"/>
  <c r="AB48" i="8"/>
  <c r="AA48" i="8"/>
  <c r="Z48" i="8"/>
  <c r="Y48" i="8"/>
  <c r="X48" i="8"/>
  <c r="AC47" i="8"/>
  <c r="AB47" i="8"/>
  <c r="AA47" i="8"/>
  <c r="Z47" i="8"/>
  <c r="Y47" i="8"/>
  <c r="X47" i="8"/>
  <c r="AC46" i="8"/>
  <c r="AB46" i="8"/>
  <c r="AA46" i="8"/>
  <c r="Z46" i="8"/>
  <c r="Y46" i="8"/>
  <c r="X46" i="8"/>
  <c r="AC45" i="8"/>
  <c r="AB45" i="8"/>
  <c r="AA45" i="8"/>
  <c r="Z45" i="8"/>
  <c r="Y45" i="8"/>
  <c r="X45" i="8"/>
  <c r="AC44" i="8"/>
  <c r="AB44" i="8"/>
  <c r="AA44" i="8"/>
  <c r="Z44" i="8"/>
  <c r="Y44" i="8"/>
  <c r="X44" i="8"/>
  <c r="AC43" i="8"/>
  <c r="AB43" i="8"/>
  <c r="AA43" i="8"/>
  <c r="Z43" i="8"/>
  <c r="Y43" i="8"/>
  <c r="X43" i="8"/>
  <c r="AC42" i="8"/>
  <c r="AB42" i="8"/>
  <c r="AA42" i="8"/>
  <c r="Z42" i="8"/>
  <c r="Y42" i="8"/>
  <c r="X42" i="8"/>
  <c r="AC41" i="8"/>
  <c r="AB41" i="8"/>
  <c r="AA41" i="8"/>
  <c r="Z41" i="8"/>
  <c r="Y41" i="8"/>
  <c r="X41" i="8"/>
  <c r="AC40" i="8"/>
  <c r="AB40" i="8"/>
  <c r="AA40" i="8"/>
  <c r="Z40" i="8"/>
  <c r="Y40" i="8"/>
  <c r="X40" i="8"/>
  <c r="AC39" i="8"/>
  <c r="AB39" i="8"/>
  <c r="AA39" i="8"/>
  <c r="Z39" i="8"/>
  <c r="Y39" i="8"/>
  <c r="X39" i="8"/>
  <c r="AC38" i="8"/>
  <c r="AB38" i="8"/>
  <c r="AA38" i="8"/>
  <c r="Z38" i="8"/>
  <c r="Y38" i="8"/>
  <c r="X38" i="8"/>
  <c r="AC37" i="8"/>
  <c r="AB37" i="8"/>
  <c r="AA37" i="8"/>
  <c r="Z37" i="8"/>
  <c r="Y37" i="8"/>
  <c r="X37" i="8"/>
  <c r="AC36" i="8"/>
  <c r="AB36" i="8"/>
  <c r="AA36" i="8"/>
  <c r="Z36" i="8"/>
  <c r="Y36" i="8"/>
  <c r="X36" i="8"/>
  <c r="AC35" i="8"/>
  <c r="AB35" i="8"/>
  <c r="AA35" i="8"/>
  <c r="Z35" i="8"/>
  <c r="Y35" i="8"/>
  <c r="X35" i="8"/>
  <c r="AC33" i="8"/>
  <c r="AB33" i="8"/>
  <c r="AA33" i="8"/>
  <c r="Z33" i="8"/>
  <c r="Y33" i="8"/>
  <c r="X33" i="8"/>
  <c r="AC32" i="8"/>
  <c r="AB32" i="8"/>
  <c r="AA32" i="8"/>
  <c r="Z32" i="8"/>
  <c r="Y32" i="8"/>
  <c r="X32" i="8"/>
  <c r="AC31" i="8"/>
  <c r="AB31" i="8"/>
  <c r="AA31" i="8"/>
  <c r="Z31" i="8"/>
  <c r="Y31" i="8"/>
  <c r="X31" i="8"/>
  <c r="AC30" i="8"/>
  <c r="AB30" i="8"/>
  <c r="AA30" i="8"/>
  <c r="Z30" i="8"/>
  <c r="Y30" i="8"/>
  <c r="X30" i="8"/>
  <c r="AC29" i="8"/>
  <c r="AB29" i="8"/>
  <c r="AA29" i="8"/>
  <c r="Z29" i="8"/>
  <c r="Y29" i="8"/>
  <c r="X29" i="8"/>
  <c r="AC28" i="8"/>
  <c r="AB28" i="8"/>
  <c r="AA28" i="8"/>
  <c r="Y28" i="8"/>
  <c r="X28" i="8"/>
  <c r="AC27" i="8"/>
  <c r="AB27" i="8"/>
  <c r="AA27" i="8"/>
  <c r="Y27" i="8"/>
  <c r="X27" i="8"/>
  <c r="AC26" i="8"/>
  <c r="AB26" i="8"/>
  <c r="AA26" i="8"/>
  <c r="Y26" i="8"/>
  <c r="X26" i="8"/>
  <c r="AC25" i="8"/>
  <c r="AB25" i="8"/>
  <c r="AA25" i="8"/>
  <c r="Y25" i="8"/>
  <c r="X25" i="8"/>
  <c r="AC24" i="8"/>
  <c r="AB24" i="8"/>
  <c r="AA24" i="8"/>
  <c r="Y24" i="8"/>
  <c r="X24" i="8"/>
  <c r="AC23" i="8"/>
  <c r="AB23" i="8"/>
  <c r="AA23" i="8"/>
  <c r="Y23" i="8"/>
  <c r="X23" i="8"/>
  <c r="AC22" i="8"/>
  <c r="AB22" i="8"/>
  <c r="AA22" i="8"/>
  <c r="Y22" i="8"/>
  <c r="X22" i="8"/>
  <c r="AC21" i="8"/>
  <c r="AB21" i="8"/>
  <c r="AA21" i="8"/>
  <c r="Y21" i="8"/>
  <c r="X21" i="8"/>
  <c r="AC20" i="8"/>
  <c r="AB20" i="8"/>
  <c r="AA20" i="8"/>
  <c r="Y20" i="8"/>
  <c r="X20" i="8"/>
  <c r="AC19" i="8"/>
  <c r="AB19" i="8"/>
  <c r="AA19" i="8"/>
  <c r="Y19" i="8"/>
  <c r="X19" i="8"/>
  <c r="AC18" i="8"/>
  <c r="AB18" i="8"/>
  <c r="AA18" i="8"/>
  <c r="Y18" i="8"/>
  <c r="X18" i="8"/>
  <c r="AC17" i="8"/>
  <c r="AB17" i="8"/>
  <c r="AA17" i="8"/>
  <c r="Y17" i="8"/>
  <c r="X17" i="8"/>
  <c r="AC16" i="8"/>
  <c r="AB16" i="8"/>
  <c r="AA16" i="8"/>
  <c r="Y16" i="8"/>
  <c r="X16" i="8"/>
  <c r="AC15" i="8"/>
  <c r="AB15" i="8"/>
  <c r="AA15" i="8"/>
  <c r="Y15" i="8"/>
  <c r="X15" i="8"/>
  <c r="AC14" i="8"/>
  <c r="AB14" i="8"/>
  <c r="AA14" i="8"/>
  <c r="Y14" i="8"/>
  <c r="X14" i="8"/>
  <c r="AC13" i="8"/>
  <c r="AB13" i="8"/>
  <c r="AA13" i="8"/>
  <c r="Y13" i="8"/>
  <c r="X13" i="8"/>
  <c r="AC11" i="8"/>
  <c r="AB11" i="8"/>
  <c r="AA11" i="8"/>
  <c r="Z11" i="8"/>
  <c r="Y11" i="8"/>
  <c r="X11" i="8"/>
  <c r="AC10" i="8"/>
  <c r="AB10" i="8"/>
  <c r="AA10" i="8"/>
  <c r="Z10" i="8"/>
  <c r="Y10" i="8"/>
  <c r="X10" i="8"/>
  <c r="AC9" i="8"/>
  <c r="AB9" i="8"/>
  <c r="AA9" i="8"/>
  <c r="Z9" i="8"/>
  <c r="Y9" i="8"/>
  <c r="X9" i="8"/>
  <c r="AC7" i="8"/>
  <c r="AB7" i="8"/>
  <c r="AA7" i="8"/>
  <c r="Z7" i="8"/>
  <c r="Y7" i="8"/>
  <c r="X7" i="8"/>
  <c r="AC6" i="8"/>
  <c r="AB6" i="8"/>
  <c r="AA6" i="8"/>
  <c r="Z6" i="8"/>
  <c r="Y6" i="8"/>
  <c r="X6" i="8"/>
  <c r="AC5" i="8"/>
  <c r="AB5" i="8"/>
  <c r="AA5" i="8"/>
  <c r="Z5" i="8"/>
  <c r="W158" i="8"/>
  <c r="V158" i="8"/>
  <c r="U158" i="8"/>
  <c r="AS158" i="8" s="1"/>
  <c r="T158" i="8"/>
  <c r="S158" i="8"/>
  <c r="L158" i="8" s="1"/>
  <c r="CD158" i="8" s="1"/>
  <c r="R158" i="8"/>
  <c r="W157" i="8"/>
  <c r="V157" i="8"/>
  <c r="O157" i="8" s="1"/>
  <c r="CG157" i="8" s="1"/>
  <c r="U157" i="8"/>
  <c r="T157" i="8"/>
  <c r="AF157" i="8" s="1"/>
  <c r="S157" i="8"/>
  <c r="R157" i="8"/>
  <c r="W156" i="8"/>
  <c r="P156" i="8" s="1"/>
  <c r="CH156" i="8" s="1"/>
  <c r="V156" i="8"/>
  <c r="U156" i="8"/>
  <c r="T156" i="8"/>
  <c r="S156" i="8"/>
  <c r="AQ156" i="8" s="1"/>
  <c r="R156" i="8"/>
  <c r="K156" i="8" s="1"/>
  <c r="CC156" i="8" s="1"/>
  <c r="W155" i="8"/>
  <c r="V155" i="8"/>
  <c r="U155" i="8"/>
  <c r="T155" i="8"/>
  <c r="M155" i="8" s="1"/>
  <c r="CE155" i="8" s="1"/>
  <c r="S155" i="8"/>
  <c r="R155" i="8"/>
  <c r="W154" i="8"/>
  <c r="V154" i="8"/>
  <c r="U154" i="8"/>
  <c r="N154" i="8" s="1"/>
  <c r="CF154" i="8" s="1"/>
  <c r="T154" i="8"/>
  <c r="S154" i="8"/>
  <c r="R154" i="8"/>
  <c r="K154" i="8" s="1"/>
  <c r="CC154" i="8" s="1"/>
  <c r="W153" i="8"/>
  <c r="V153" i="8"/>
  <c r="U153" i="8"/>
  <c r="T153" i="8"/>
  <c r="S153" i="8"/>
  <c r="W152" i="8"/>
  <c r="P152" i="8" s="1"/>
  <c r="CH152" i="8" s="1"/>
  <c r="V152" i="8"/>
  <c r="O152" i="8" s="1"/>
  <c r="CG152" i="8" s="1"/>
  <c r="U152" i="8"/>
  <c r="T152" i="8"/>
  <c r="M152" i="8" s="1"/>
  <c r="S152" i="8"/>
  <c r="R152" i="8"/>
  <c r="W151" i="8"/>
  <c r="AI151" i="8" s="1"/>
  <c r="V151" i="8"/>
  <c r="U151" i="8"/>
  <c r="T151" i="8"/>
  <c r="S151" i="8"/>
  <c r="R151" i="8"/>
  <c r="W149" i="8"/>
  <c r="V149" i="8"/>
  <c r="U149" i="8"/>
  <c r="T149" i="8"/>
  <c r="S149" i="8"/>
  <c r="W148" i="8"/>
  <c r="V148" i="8"/>
  <c r="U148" i="8"/>
  <c r="T148" i="8"/>
  <c r="S148" i="8"/>
  <c r="W147" i="8"/>
  <c r="V147" i="8"/>
  <c r="U147" i="8"/>
  <c r="T147" i="8"/>
  <c r="AF147" i="8" s="1"/>
  <c r="S147" i="8"/>
  <c r="R147" i="8"/>
  <c r="W146" i="8"/>
  <c r="V146" i="8"/>
  <c r="AT146" i="8" s="1"/>
  <c r="U146" i="8"/>
  <c r="T146" i="8"/>
  <c r="M146" i="8" s="1"/>
  <c r="S146" i="8"/>
  <c r="R146" i="8"/>
  <c r="AD146" i="8" s="1"/>
  <c r="W145" i="8"/>
  <c r="V145" i="8"/>
  <c r="AT145" i="8" s="1"/>
  <c r="U145" i="8"/>
  <c r="T145" i="8"/>
  <c r="S145" i="8"/>
  <c r="L145" i="8" s="1"/>
  <c r="R145" i="8"/>
  <c r="W144" i="8"/>
  <c r="V144" i="8"/>
  <c r="O144" i="8" s="1"/>
  <c r="CG144" i="8" s="1"/>
  <c r="U144" i="8"/>
  <c r="T144" i="8"/>
  <c r="AF144" i="8" s="1"/>
  <c r="S144" i="8"/>
  <c r="R144" i="8"/>
  <c r="K144" i="8" s="1"/>
  <c r="W143" i="8"/>
  <c r="V143" i="8"/>
  <c r="O143" i="8" s="1"/>
  <c r="CG143" i="8" s="1"/>
  <c r="U143" i="8"/>
  <c r="T143" i="8"/>
  <c r="M143" i="8" s="1"/>
  <c r="S143" i="8"/>
  <c r="R143" i="8"/>
  <c r="AD143" i="8" s="1"/>
  <c r="W142" i="8"/>
  <c r="V142" i="8"/>
  <c r="U142" i="8"/>
  <c r="AG142" i="8" s="1"/>
  <c r="T142" i="8"/>
  <c r="M142" i="8" s="1"/>
  <c r="S142" i="8"/>
  <c r="R142" i="8"/>
  <c r="AP142" i="8" s="1"/>
  <c r="W141" i="8"/>
  <c r="V141" i="8"/>
  <c r="U141" i="8"/>
  <c r="T141" i="8"/>
  <c r="S141" i="8"/>
  <c r="R141" i="8"/>
  <c r="W140" i="8"/>
  <c r="V140" i="8"/>
  <c r="O140" i="8" s="1"/>
  <c r="CG140" i="8" s="1"/>
  <c r="U140" i="8"/>
  <c r="T140" i="8"/>
  <c r="S140" i="8"/>
  <c r="L140" i="8" s="1"/>
  <c r="R140" i="8"/>
  <c r="W139" i="8"/>
  <c r="V139" i="8"/>
  <c r="U139" i="8"/>
  <c r="T139" i="8"/>
  <c r="AF139" i="8" s="1"/>
  <c r="S139" i="8"/>
  <c r="W138" i="8"/>
  <c r="V138" i="8"/>
  <c r="AT138" i="8" s="1"/>
  <c r="U138" i="8"/>
  <c r="T138" i="8"/>
  <c r="S138" i="8"/>
  <c r="L138" i="8" s="1"/>
  <c r="W137" i="8"/>
  <c r="V137" i="8"/>
  <c r="U137" i="8"/>
  <c r="T137" i="8"/>
  <c r="S137" i="8"/>
  <c r="L137" i="8" s="1"/>
  <c r="W136" i="8"/>
  <c r="V136" i="8"/>
  <c r="U136" i="8"/>
  <c r="T136" i="8"/>
  <c r="S136" i="8"/>
  <c r="W135" i="8"/>
  <c r="V135" i="8"/>
  <c r="U135" i="8"/>
  <c r="T135" i="8"/>
  <c r="S135" i="8"/>
  <c r="W133" i="8"/>
  <c r="P133" i="8" s="1"/>
  <c r="CH133" i="8" s="1"/>
  <c r="V133" i="8"/>
  <c r="U133" i="8"/>
  <c r="T133" i="8"/>
  <c r="M133" i="8" s="1"/>
  <c r="CE133" i="8" s="1"/>
  <c r="S133" i="8"/>
  <c r="R133" i="8"/>
  <c r="W132" i="8"/>
  <c r="V132" i="8"/>
  <c r="U132" i="8"/>
  <c r="T132" i="8"/>
  <c r="AR132" i="8" s="1"/>
  <c r="S132" i="8"/>
  <c r="R132" i="8"/>
  <c r="W131" i="8"/>
  <c r="V131" i="8"/>
  <c r="U131" i="8"/>
  <c r="T131" i="8"/>
  <c r="S131" i="8"/>
  <c r="R131" i="8"/>
  <c r="W130" i="8"/>
  <c r="V130" i="8"/>
  <c r="U130" i="8"/>
  <c r="T130" i="8"/>
  <c r="M130" i="8" s="1"/>
  <c r="S130" i="8"/>
  <c r="R130" i="8"/>
  <c r="AD130" i="8" s="1"/>
  <c r="W129" i="8"/>
  <c r="P129" i="8" s="1"/>
  <c r="CH129" i="8" s="1"/>
  <c r="V129" i="8"/>
  <c r="U129" i="8"/>
  <c r="T129" i="8"/>
  <c r="S129" i="8"/>
  <c r="R129" i="8"/>
  <c r="W128" i="8"/>
  <c r="V128" i="8"/>
  <c r="U128" i="8"/>
  <c r="N128" i="8" s="1"/>
  <c r="CF128" i="8" s="1"/>
  <c r="T128" i="8"/>
  <c r="S128" i="8"/>
  <c r="R128" i="8"/>
  <c r="W127" i="8"/>
  <c r="V127" i="8"/>
  <c r="O127" i="8" s="1"/>
  <c r="CG127" i="8" s="1"/>
  <c r="U127" i="8"/>
  <c r="T127" i="8"/>
  <c r="S127" i="8"/>
  <c r="R127" i="8"/>
  <c r="W126" i="8"/>
  <c r="V126" i="8"/>
  <c r="U126" i="8"/>
  <c r="AG126" i="8" s="1"/>
  <c r="T126" i="8"/>
  <c r="S126" i="8"/>
  <c r="R126" i="8"/>
  <c r="K126" i="8" s="1"/>
  <c r="W124" i="8"/>
  <c r="P124" i="8" s="1"/>
  <c r="CH124" i="8" s="1"/>
  <c r="V124" i="8"/>
  <c r="U124" i="8"/>
  <c r="N124" i="8" s="1"/>
  <c r="CF124" i="8" s="1"/>
  <c r="T124" i="8"/>
  <c r="S124" i="8"/>
  <c r="R124" i="8"/>
  <c r="AP124" i="8" s="1"/>
  <c r="W123" i="8"/>
  <c r="V123" i="8"/>
  <c r="U123" i="8"/>
  <c r="T123" i="8"/>
  <c r="S123" i="8"/>
  <c r="L123" i="8" s="1"/>
  <c r="CD123" i="8" s="1"/>
  <c r="R123" i="8"/>
  <c r="W122" i="8"/>
  <c r="V122" i="8"/>
  <c r="U122" i="8"/>
  <c r="T122" i="8"/>
  <c r="AF122" i="8" s="1"/>
  <c r="S122" i="8"/>
  <c r="R122" i="8"/>
  <c r="W121" i="8"/>
  <c r="V121" i="8"/>
  <c r="U121" i="8"/>
  <c r="N121" i="8" s="1"/>
  <c r="CF121" i="8" s="1"/>
  <c r="T121" i="8"/>
  <c r="M121" i="8" s="1"/>
  <c r="S121" i="8"/>
  <c r="R121" i="8"/>
  <c r="W120" i="8"/>
  <c r="V120" i="8"/>
  <c r="O120" i="8" s="1"/>
  <c r="CG120" i="8" s="1"/>
  <c r="U120" i="8"/>
  <c r="T120" i="8"/>
  <c r="S120" i="8"/>
  <c r="R120" i="8"/>
  <c r="W119" i="8"/>
  <c r="V119" i="8"/>
  <c r="U119" i="8"/>
  <c r="N119" i="8" s="1"/>
  <c r="CF119" i="8" s="1"/>
  <c r="T119" i="8"/>
  <c r="S119" i="8"/>
  <c r="R119" i="8"/>
  <c r="K119" i="8" s="1"/>
  <c r="W118" i="8"/>
  <c r="V118" i="8"/>
  <c r="U118" i="8"/>
  <c r="AG118" i="8" s="1"/>
  <c r="T118" i="8"/>
  <c r="S118" i="8"/>
  <c r="L118" i="8" s="1"/>
  <c r="R118" i="8"/>
  <c r="W117" i="8"/>
  <c r="V117" i="8"/>
  <c r="O117" i="8" s="1"/>
  <c r="CG117" i="8" s="1"/>
  <c r="U117" i="8"/>
  <c r="T117" i="8"/>
  <c r="S117" i="8"/>
  <c r="R117" i="8"/>
  <c r="W116" i="8"/>
  <c r="V116" i="8"/>
  <c r="O116" i="8" s="1"/>
  <c r="CG116" i="8" s="1"/>
  <c r="U116" i="8"/>
  <c r="T116" i="8"/>
  <c r="M116" i="8" s="1"/>
  <c r="S116" i="8"/>
  <c r="R116" i="8"/>
  <c r="W115" i="8"/>
  <c r="V115" i="8"/>
  <c r="U115" i="8"/>
  <c r="T115" i="8"/>
  <c r="S115" i="8"/>
  <c r="R115" i="8"/>
  <c r="K115" i="8" s="1"/>
  <c r="W114" i="8"/>
  <c r="P114" i="8" s="1"/>
  <c r="CH114" i="8" s="1"/>
  <c r="V114" i="8"/>
  <c r="U114" i="8"/>
  <c r="T114" i="8"/>
  <c r="S114" i="8"/>
  <c r="L114" i="8" s="1"/>
  <c r="R114" i="8"/>
  <c r="W113" i="8"/>
  <c r="V113" i="8"/>
  <c r="U113" i="8"/>
  <c r="T113" i="8"/>
  <c r="M113" i="8" s="1"/>
  <c r="S113" i="8"/>
  <c r="R113" i="8"/>
  <c r="K113" i="8" s="1"/>
  <c r="W112" i="8"/>
  <c r="P112" i="8" s="1"/>
  <c r="CH112" i="8" s="1"/>
  <c r="V112" i="8"/>
  <c r="U112" i="8"/>
  <c r="T112" i="8"/>
  <c r="M112" i="8" s="1"/>
  <c r="S112" i="8"/>
  <c r="L112" i="8" s="1"/>
  <c r="R112" i="8"/>
  <c r="W111" i="8"/>
  <c r="V111" i="8"/>
  <c r="U111" i="8"/>
  <c r="T111" i="8"/>
  <c r="M111" i="8" s="1"/>
  <c r="S111" i="8"/>
  <c r="AE111" i="8" s="1"/>
  <c r="R111" i="8"/>
  <c r="W110" i="8"/>
  <c r="V110" i="8"/>
  <c r="U110" i="8"/>
  <c r="AG110" i="8" s="1"/>
  <c r="T110" i="8"/>
  <c r="S110" i="8"/>
  <c r="R110" i="8"/>
  <c r="K110" i="8" s="1"/>
  <c r="W108" i="8"/>
  <c r="V108" i="8"/>
  <c r="O108" i="8" s="1"/>
  <c r="CG108" i="8" s="1"/>
  <c r="U108" i="8"/>
  <c r="T108" i="8"/>
  <c r="S108" i="8"/>
  <c r="R108" i="8"/>
  <c r="W107" i="8"/>
  <c r="V107" i="8"/>
  <c r="U107" i="8"/>
  <c r="T107" i="8"/>
  <c r="M107" i="8" s="1"/>
  <c r="CE107" i="8" s="1"/>
  <c r="S107" i="8"/>
  <c r="R107" i="8"/>
  <c r="K107" i="8" s="1"/>
  <c r="CC107" i="8" s="1"/>
  <c r="W106" i="8"/>
  <c r="AU106" i="8" s="1"/>
  <c r="V106" i="8"/>
  <c r="U106" i="8"/>
  <c r="AG106" i="8" s="1"/>
  <c r="T106" i="8"/>
  <c r="S106" i="8"/>
  <c r="R106" i="8"/>
  <c r="W105" i="8"/>
  <c r="V105" i="8"/>
  <c r="O105" i="8" s="1"/>
  <c r="CG105" i="8" s="1"/>
  <c r="U105" i="8"/>
  <c r="T105" i="8"/>
  <c r="S105" i="8"/>
  <c r="L105" i="8" s="1"/>
  <c r="R105" i="8"/>
  <c r="W104" i="8"/>
  <c r="V104" i="8"/>
  <c r="U104" i="8"/>
  <c r="AS104" i="8" s="1"/>
  <c r="T104" i="8"/>
  <c r="S104" i="8"/>
  <c r="R104" i="8"/>
  <c r="W103" i="8"/>
  <c r="P103" i="8" s="1"/>
  <c r="CH103" i="8" s="1"/>
  <c r="V103" i="8"/>
  <c r="U103" i="8"/>
  <c r="T103" i="8"/>
  <c r="S103" i="8"/>
  <c r="AQ103" i="8" s="1"/>
  <c r="R103" i="8"/>
  <c r="W102" i="8"/>
  <c r="V102" i="8"/>
  <c r="U102" i="8"/>
  <c r="T102" i="8"/>
  <c r="AF102" i="8" s="1"/>
  <c r="S102" i="8"/>
  <c r="L102" i="8" s="1"/>
  <c r="R102" i="8"/>
  <c r="W101" i="8"/>
  <c r="AI101" i="8" s="1"/>
  <c r="V101" i="8"/>
  <c r="U101" i="8"/>
  <c r="AS101" i="8" s="1"/>
  <c r="T101" i="8"/>
  <c r="S101" i="8"/>
  <c r="R101" i="8"/>
  <c r="K101" i="8" s="1"/>
  <c r="W100" i="8"/>
  <c r="P100" i="8" s="1"/>
  <c r="CH100" i="8" s="1"/>
  <c r="V100" i="8"/>
  <c r="U100" i="8"/>
  <c r="T100" i="8"/>
  <c r="M100" i="8" s="1"/>
  <c r="S100" i="8"/>
  <c r="R100" i="8"/>
  <c r="W99" i="8"/>
  <c r="V99" i="8"/>
  <c r="U99" i="8"/>
  <c r="T99" i="8"/>
  <c r="M99" i="8" s="1"/>
  <c r="S99" i="8"/>
  <c r="R99" i="8"/>
  <c r="K99" i="8" s="1"/>
  <c r="W98" i="8"/>
  <c r="V98" i="8"/>
  <c r="U98" i="8"/>
  <c r="AG98" i="8" s="1"/>
  <c r="T98" i="8"/>
  <c r="S98" i="8"/>
  <c r="L98" i="8" s="1"/>
  <c r="R98" i="8"/>
  <c r="K98" i="8" s="1"/>
  <c r="W97" i="8"/>
  <c r="V97" i="8"/>
  <c r="U97" i="8"/>
  <c r="N97" i="8" s="1"/>
  <c r="CF97" i="8" s="1"/>
  <c r="T97" i="8"/>
  <c r="S97" i="8"/>
  <c r="R97" i="8"/>
  <c r="W96" i="8"/>
  <c r="AU96" i="8" s="1"/>
  <c r="V96" i="8"/>
  <c r="U96" i="8"/>
  <c r="T96" i="8"/>
  <c r="S96" i="8"/>
  <c r="AQ96" i="8" s="1"/>
  <c r="R96" i="8"/>
  <c r="W94" i="8"/>
  <c r="V94" i="8"/>
  <c r="U94" i="8"/>
  <c r="T94" i="8"/>
  <c r="S94" i="8"/>
  <c r="AE94" i="8" s="1"/>
  <c r="R94" i="8"/>
  <c r="W93" i="8"/>
  <c r="V93" i="8"/>
  <c r="O93" i="8" s="1"/>
  <c r="CG93" i="8" s="1"/>
  <c r="U93" i="8"/>
  <c r="N93" i="8" s="1"/>
  <c r="CF93" i="8" s="1"/>
  <c r="T93" i="8"/>
  <c r="S93" i="8"/>
  <c r="R93" i="8"/>
  <c r="W92" i="8"/>
  <c r="V92" i="8"/>
  <c r="U92" i="8"/>
  <c r="T92" i="8"/>
  <c r="M92" i="8" s="1"/>
  <c r="CE92" i="8" s="1"/>
  <c r="S92" i="8"/>
  <c r="R92" i="8"/>
  <c r="AP92" i="8" s="1"/>
  <c r="W150" i="8"/>
  <c r="V150" i="8"/>
  <c r="U150" i="8"/>
  <c r="T150" i="8"/>
  <c r="S150" i="8"/>
  <c r="R150" i="8"/>
  <c r="W91" i="8"/>
  <c r="V91" i="8"/>
  <c r="U91" i="8"/>
  <c r="T91" i="8"/>
  <c r="S91" i="8"/>
  <c r="AQ91" i="8" s="1"/>
  <c r="R91" i="8"/>
  <c r="W90" i="8"/>
  <c r="V90" i="8"/>
  <c r="U90" i="8"/>
  <c r="N90" i="8" s="1"/>
  <c r="CF90" i="8" s="1"/>
  <c r="T90" i="8"/>
  <c r="S90" i="8"/>
  <c r="R90" i="8"/>
  <c r="W89" i="8"/>
  <c r="AU89" i="8" s="1"/>
  <c r="V89" i="8"/>
  <c r="U89" i="8"/>
  <c r="T89" i="8"/>
  <c r="AF89" i="8" s="1"/>
  <c r="S89" i="8"/>
  <c r="L89" i="8" s="1"/>
  <c r="R89" i="8"/>
  <c r="W88" i="8"/>
  <c r="V88" i="8"/>
  <c r="U88" i="8"/>
  <c r="T88" i="8"/>
  <c r="S88" i="8"/>
  <c r="R88" i="8"/>
  <c r="W87" i="8"/>
  <c r="V87" i="8"/>
  <c r="AH87" i="8" s="1"/>
  <c r="U87" i="8"/>
  <c r="N87" i="8" s="1"/>
  <c r="CF87" i="8" s="1"/>
  <c r="T87" i="8"/>
  <c r="M87" i="8" s="1"/>
  <c r="S87" i="8"/>
  <c r="R87" i="8"/>
  <c r="K87" i="8" s="1"/>
  <c r="W86" i="8"/>
  <c r="V86" i="8"/>
  <c r="O86" i="8" s="1"/>
  <c r="CG86" i="8" s="1"/>
  <c r="U86" i="8"/>
  <c r="T86" i="8"/>
  <c r="S86" i="8"/>
  <c r="R86" i="8"/>
  <c r="K86" i="8" s="1"/>
  <c r="W84" i="8"/>
  <c r="P84" i="8" s="1"/>
  <c r="CH84" i="8" s="1"/>
  <c r="V84" i="8"/>
  <c r="U84" i="8"/>
  <c r="T84" i="8"/>
  <c r="S84" i="8"/>
  <c r="R84" i="8"/>
  <c r="W83" i="8"/>
  <c r="V83" i="8"/>
  <c r="U83" i="8"/>
  <c r="T83" i="8"/>
  <c r="S83" i="8"/>
  <c r="R83" i="8"/>
  <c r="W82" i="8"/>
  <c r="P82" i="8" s="1"/>
  <c r="CH82" i="8" s="1"/>
  <c r="V82" i="8"/>
  <c r="U82" i="8"/>
  <c r="T82" i="8"/>
  <c r="S82" i="8"/>
  <c r="AQ82" i="8" s="1"/>
  <c r="R82" i="8"/>
  <c r="W81" i="8"/>
  <c r="V81" i="8"/>
  <c r="U81" i="8"/>
  <c r="N81" i="8" s="1"/>
  <c r="CF81" i="8" s="1"/>
  <c r="T81" i="8"/>
  <c r="S81" i="8"/>
  <c r="R81" i="8"/>
  <c r="W80" i="8"/>
  <c r="V80" i="8"/>
  <c r="U80" i="8"/>
  <c r="T80" i="8"/>
  <c r="S80" i="8"/>
  <c r="R80" i="8"/>
  <c r="W79" i="8"/>
  <c r="P79" i="8" s="1"/>
  <c r="CH79" i="8" s="1"/>
  <c r="V79" i="8"/>
  <c r="U79" i="8"/>
  <c r="T79" i="8"/>
  <c r="M79" i="8" s="1"/>
  <c r="S79" i="8"/>
  <c r="AE79" i="8" s="1"/>
  <c r="R79" i="8"/>
  <c r="W78" i="8"/>
  <c r="P78" i="8" s="1"/>
  <c r="CH78" i="8" s="1"/>
  <c r="V78" i="8"/>
  <c r="U78" i="8"/>
  <c r="T78" i="8"/>
  <c r="M78" i="8" s="1"/>
  <c r="S78" i="8"/>
  <c r="R78" i="8"/>
  <c r="W76" i="8"/>
  <c r="V76" i="8"/>
  <c r="U76" i="8"/>
  <c r="T76" i="8"/>
  <c r="S76" i="8"/>
  <c r="R76" i="8"/>
  <c r="W75" i="8"/>
  <c r="V75" i="8"/>
  <c r="AT75" i="8" s="1"/>
  <c r="U75" i="8"/>
  <c r="T75" i="8"/>
  <c r="S75" i="8"/>
  <c r="AQ75" i="8" s="1"/>
  <c r="R75" i="8"/>
  <c r="W74" i="8"/>
  <c r="V74" i="8"/>
  <c r="U74" i="8"/>
  <c r="AS74" i="8" s="1"/>
  <c r="T74" i="8"/>
  <c r="S74" i="8"/>
  <c r="R74" i="8"/>
  <c r="W73" i="8"/>
  <c r="V73" i="8"/>
  <c r="AT73" i="8" s="1"/>
  <c r="U73" i="8"/>
  <c r="T73" i="8"/>
  <c r="M73" i="8" s="1"/>
  <c r="S73" i="8"/>
  <c r="R73" i="8"/>
  <c r="W72" i="8"/>
  <c r="V72" i="8"/>
  <c r="U72" i="8"/>
  <c r="T72" i="8"/>
  <c r="S72" i="8"/>
  <c r="R72" i="8"/>
  <c r="K72" i="8" s="1"/>
  <c r="W71" i="8"/>
  <c r="V71" i="8"/>
  <c r="U71" i="8"/>
  <c r="AG71" i="8" s="1"/>
  <c r="T71" i="8"/>
  <c r="S71" i="8"/>
  <c r="R71" i="8"/>
  <c r="W70" i="8"/>
  <c r="V70" i="8"/>
  <c r="U70" i="8"/>
  <c r="AS70" i="8" s="1"/>
  <c r="T70" i="8"/>
  <c r="AF70" i="8" s="1"/>
  <c r="S70" i="8"/>
  <c r="R70" i="8"/>
  <c r="W69" i="8"/>
  <c r="V69" i="8"/>
  <c r="AT69" i="8" s="1"/>
  <c r="U69" i="8"/>
  <c r="T69" i="8"/>
  <c r="M69" i="8" s="1"/>
  <c r="S69" i="8"/>
  <c r="R69" i="8"/>
  <c r="K69" i="8" s="1"/>
  <c r="W68" i="8"/>
  <c r="AI68" i="8" s="1"/>
  <c r="V68" i="8"/>
  <c r="U68" i="8"/>
  <c r="T68" i="8"/>
  <c r="S68" i="8"/>
  <c r="L68" i="8" s="1"/>
  <c r="R68" i="8"/>
  <c r="K68" i="8" s="1"/>
  <c r="W67" i="8"/>
  <c r="V67" i="8"/>
  <c r="AT67" i="8" s="1"/>
  <c r="U67" i="8"/>
  <c r="T67" i="8"/>
  <c r="S67" i="8"/>
  <c r="R67" i="8"/>
  <c r="W66" i="8"/>
  <c r="P66" i="8" s="1"/>
  <c r="V66" i="8"/>
  <c r="U66" i="8"/>
  <c r="T66" i="8"/>
  <c r="M66" i="8" s="1"/>
  <c r="S66" i="8"/>
  <c r="R66" i="8"/>
  <c r="I65" i="8"/>
  <c r="H65" i="8"/>
  <c r="W63" i="8"/>
  <c r="V63" i="8"/>
  <c r="U63" i="8"/>
  <c r="T63" i="8"/>
  <c r="S63" i="8"/>
  <c r="R63" i="8"/>
  <c r="K63" i="8" s="1"/>
  <c r="W62" i="8"/>
  <c r="V62" i="8"/>
  <c r="U62" i="8"/>
  <c r="T62" i="8"/>
  <c r="AF62" i="8" s="1"/>
  <c r="S62" i="8"/>
  <c r="R62" i="8"/>
  <c r="W61" i="8"/>
  <c r="V61" i="8"/>
  <c r="O61" i="8" s="1"/>
  <c r="U61" i="8"/>
  <c r="AG61" i="8" s="1"/>
  <c r="T61" i="8"/>
  <c r="M61" i="8" s="1"/>
  <c r="S61" i="8"/>
  <c r="R61" i="8"/>
  <c r="AD61" i="8" s="1"/>
  <c r="W60" i="8"/>
  <c r="AU60" i="8" s="1"/>
  <c r="V60" i="8"/>
  <c r="U60" i="8"/>
  <c r="T60" i="8"/>
  <c r="S60" i="8"/>
  <c r="R60" i="8"/>
  <c r="W59" i="8"/>
  <c r="V59" i="8"/>
  <c r="U59" i="8"/>
  <c r="T59" i="8"/>
  <c r="S59" i="8"/>
  <c r="R59" i="8"/>
  <c r="W58" i="8"/>
  <c r="V58" i="8"/>
  <c r="U58" i="8"/>
  <c r="T58" i="8"/>
  <c r="S58" i="8"/>
  <c r="R58" i="8"/>
  <c r="W57" i="8"/>
  <c r="AI57" i="8" s="1"/>
  <c r="V57" i="8"/>
  <c r="U57" i="8"/>
  <c r="AG57" i="8" s="1"/>
  <c r="T57" i="8"/>
  <c r="S57" i="8"/>
  <c r="AQ57" i="8" s="1"/>
  <c r="R57" i="8"/>
  <c r="W56" i="8"/>
  <c r="V56" i="8"/>
  <c r="U56" i="8"/>
  <c r="T56" i="8"/>
  <c r="S56" i="8"/>
  <c r="R56" i="8"/>
  <c r="W55" i="8"/>
  <c r="V55" i="8"/>
  <c r="AT55" i="8" s="1"/>
  <c r="U55" i="8"/>
  <c r="T55" i="8"/>
  <c r="S55" i="8"/>
  <c r="R55" i="8"/>
  <c r="K55" i="8" s="1"/>
  <c r="W54" i="8"/>
  <c r="V54" i="8"/>
  <c r="U54" i="8"/>
  <c r="AG54" i="8" s="1"/>
  <c r="T54" i="8"/>
  <c r="S54" i="8"/>
  <c r="R54" i="8"/>
  <c r="W53" i="8"/>
  <c r="V53" i="8"/>
  <c r="O53" i="8" s="1"/>
  <c r="U53" i="8"/>
  <c r="T53" i="8"/>
  <c r="S53" i="8"/>
  <c r="R53" i="8"/>
  <c r="K53" i="8" s="1"/>
  <c r="W52" i="8"/>
  <c r="V52" i="8"/>
  <c r="U52" i="8"/>
  <c r="T52" i="8"/>
  <c r="S52" i="8"/>
  <c r="AQ52" i="8" s="1"/>
  <c r="R52" i="8"/>
  <c r="W51" i="8"/>
  <c r="V51" i="8"/>
  <c r="U51" i="8"/>
  <c r="T51" i="8"/>
  <c r="S51" i="8"/>
  <c r="R51" i="8"/>
  <c r="K51" i="8" s="1"/>
  <c r="W50" i="8"/>
  <c r="V50" i="8"/>
  <c r="U50" i="8"/>
  <c r="AS50" i="8" s="1"/>
  <c r="T50" i="8"/>
  <c r="S50" i="8"/>
  <c r="AQ50" i="8" s="1"/>
  <c r="R50" i="8"/>
  <c r="K50" i="8" s="1"/>
  <c r="W48" i="8"/>
  <c r="V48" i="8"/>
  <c r="U48" i="8"/>
  <c r="T48" i="8"/>
  <c r="AF48" i="8" s="1"/>
  <c r="S48" i="8"/>
  <c r="AE48" i="8" s="1"/>
  <c r="R48" i="8"/>
  <c r="W47" i="8"/>
  <c r="V47" i="8"/>
  <c r="O47" i="8" s="1"/>
  <c r="U47" i="8"/>
  <c r="T47" i="8"/>
  <c r="S47" i="8"/>
  <c r="R47" i="8"/>
  <c r="AD47" i="8" s="1"/>
  <c r="W46" i="8"/>
  <c r="V46" i="8"/>
  <c r="U46" i="8"/>
  <c r="N46" i="8" s="1"/>
  <c r="T46" i="8"/>
  <c r="S46" i="8"/>
  <c r="R46" i="8"/>
  <c r="AP46" i="8" s="1"/>
  <c r="W45" i="8"/>
  <c r="V45" i="8"/>
  <c r="AH45" i="8" s="1"/>
  <c r="U45" i="8"/>
  <c r="T45" i="8"/>
  <c r="S45" i="8"/>
  <c r="R45" i="8"/>
  <c r="K45" i="8" s="1"/>
  <c r="W44" i="8"/>
  <c r="V44" i="8"/>
  <c r="U44" i="8"/>
  <c r="T44" i="8"/>
  <c r="S44" i="8"/>
  <c r="R44" i="8"/>
  <c r="AP44" i="8" s="1"/>
  <c r="W43" i="8"/>
  <c r="V43" i="8"/>
  <c r="U43" i="8"/>
  <c r="T43" i="8"/>
  <c r="M43" i="8" s="1"/>
  <c r="S43" i="8"/>
  <c r="AQ43" i="8" s="1"/>
  <c r="R43" i="8"/>
  <c r="W42" i="8"/>
  <c r="V42" i="8"/>
  <c r="U42" i="8"/>
  <c r="N42" i="8" s="1"/>
  <c r="T42" i="8"/>
  <c r="M42" i="8" s="1"/>
  <c r="S42" i="8"/>
  <c r="R42" i="8"/>
  <c r="K42" i="8" s="1"/>
  <c r="W41" i="8"/>
  <c r="V41" i="8"/>
  <c r="U41" i="8"/>
  <c r="T41" i="8"/>
  <c r="S41" i="8"/>
  <c r="R41" i="8"/>
  <c r="K41" i="8" s="1"/>
  <c r="W40" i="8"/>
  <c r="AU40" i="8" s="1"/>
  <c r="V40" i="8"/>
  <c r="O40" i="8" s="1"/>
  <c r="U40" i="8"/>
  <c r="T40" i="8"/>
  <c r="S40" i="8"/>
  <c r="R40" i="8"/>
  <c r="K40" i="8" s="1"/>
  <c r="W39" i="8"/>
  <c r="V39" i="8"/>
  <c r="U39" i="8"/>
  <c r="N39" i="8" s="1"/>
  <c r="T39" i="8"/>
  <c r="S39" i="8"/>
  <c r="R39" i="8"/>
  <c r="W38" i="8"/>
  <c r="V38" i="8"/>
  <c r="AT38" i="8" s="1"/>
  <c r="U38" i="8"/>
  <c r="T38" i="8"/>
  <c r="M38" i="8" s="1"/>
  <c r="S38" i="8"/>
  <c r="R38" i="8"/>
  <c r="W37" i="8"/>
  <c r="V37" i="8"/>
  <c r="U37" i="8"/>
  <c r="T37" i="8"/>
  <c r="S37" i="8"/>
  <c r="R37" i="8"/>
  <c r="K37" i="8" s="1"/>
  <c r="W36" i="8"/>
  <c r="V36" i="8"/>
  <c r="AH36" i="8" s="1"/>
  <c r="U36" i="8"/>
  <c r="AS36" i="8" s="1"/>
  <c r="T36" i="8"/>
  <c r="S36" i="8"/>
  <c r="R36" i="8"/>
  <c r="K36" i="8" s="1"/>
  <c r="W35" i="8"/>
  <c r="V35" i="8"/>
  <c r="O35" i="8" s="1"/>
  <c r="U35" i="8"/>
  <c r="T35" i="8"/>
  <c r="M35" i="8" s="1"/>
  <c r="S35" i="8"/>
  <c r="R35" i="8"/>
  <c r="W33" i="8"/>
  <c r="V33" i="8"/>
  <c r="U33" i="8"/>
  <c r="T33" i="8"/>
  <c r="S33" i="8"/>
  <c r="R33" i="8"/>
  <c r="K33" i="8" s="1"/>
  <c r="R15" i="8"/>
  <c r="K15" i="8" s="1"/>
  <c r="S15" i="8"/>
  <c r="T15" i="8"/>
  <c r="AR15" i="8" s="1"/>
  <c r="U15" i="8"/>
  <c r="V15" i="8"/>
  <c r="W15" i="8"/>
  <c r="R16" i="8"/>
  <c r="S16" i="8"/>
  <c r="T16" i="8"/>
  <c r="U16" i="8"/>
  <c r="AG16" i="8" s="1"/>
  <c r="V16" i="8"/>
  <c r="AH16" i="8" s="1"/>
  <c r="W16" i="8"/>
  <c r="R17" i="8"/>
  <c r="S17" i="8"/>
  <c r="T17" i="8"/>
  <c r="U17" i="8"/>
  <c r="V17" i="8"/>
  <c r="W17" i="8"/>
  <c r="R18" i="8"/>
  <c r="S18" i="8"/>
  <c r="T18" i="8"/>
  <c r="U18" i="8"/>
  <c r="V18" i="8"/>
  <c r="W18" i="8"/>
  <c r="R19" i="8"/>
  <c r="K19" i="8" s="1"/>
  <c r="S19" i="8"/>
  <c r="AE19" i="8" s="1"/>
  <c r="T19" i="8"/>
  <c r="AF19" i="8" s="1"/>
  <c r="U19" i="8"/>
  <c r="V19" i="8"/>
  <c r="W19" i="8"/>
  <c r="R20" i="8"/>
  <c r="AP20" i="8" s="1"/>
  <c r="S20" i="8"/>
  <c r="T20" i="8"/>
  <c r="U20" i="8"/>
  <c r="AG20" i="8" s="1"/>
  <c r="V20" i="8"/>
  <c r="W20" i="8"/>
  <c r="R21" i="8"/>
  <c r="S21" i="8"/>
  <c r="T21" i="8"/>
  <c r="U21" i="8"/>
  <c r="AS21" i="8" s="1"/>
  <c r="V21" i="8"/>
  <c r="W21" i="8"/>
  <c r="R22" i="8"/>
  <c r="S22" i="8"/>
  <c r="AQ22" i="8" s="1"/>
  <c r="T22" i="8"/>
  <c r="U22" i="8"/>
  <c r="V22" i="8"/>
  <c r="W22" i="8"/>
  <c r="AU22" i="8" s="1"/>
  <c r="R23" i="8"/>
  <c r="K23" i="8" s="1"/>
  <c r="S23" i="8"/>
  <c r="T23" i="8"/>
  <c r="AF23" i="8" s="1"/>
  <c r="U23" i="8"/>
  <c r="V23" i="8"/>
  <c r="W23" i="8"/>
  <c r="R24" i="8"/>
  <c r="S24" i="8"/>
  <c r="AE24" i="8" s="1"/>
  <c r="T24" i="8"/>
  <c r="U24" i="8"/>
  <c r="AG24" i="8" s="1"/>
  <c r="V24" i="8"/>
  <c r="W24" i="8"/>
  <c r="R25" i="8"/>
  <c r="AP25" i="8" s="1"/>
  <c r="S25" i="8"/>
  <c r="T25" i="8"/>
  <c r="U25" i="8"/>
  <c r="V25" i="8"/>
  <c r="AH25" i="8" s="1"/>
  <c r="W25" i="8"/>
  <c r="R26" i="8"/>
  <c r="S26" i="8"/>
  <c r="T26" i="8"/>
  <c r="U26" i="8"/>
  <c r="V26" i="8"/>
  <c r="W26" i="8"/>
  <c r="AU26" i="8" s="1"/>
  <c r="R27" i="8"/>
  <c r="S27" i="8"/>
  <c r="T27" i="8"/>
  <c r="U27" i="8"/>
  <c r="V27" i="8"/>
  <c r="W27" i="8"/>
  <c r="R28" i="8"/>
  <c r="AP28" i="8" s="1"/>
  <c r="S28" i="8"/>
  <c r="AE28" i="8" s="1"/>
  <c r="T28" i="8"/>
  <c r="AR28" i="8" s="1"/>
  <c r="U28" i="8"/>
  <c r="AS28" i="8" s="1"/>
  <c r="V28" i="8"/>
  <c r="W28" i="8"/>
  <c r="R29" i="8"/>
  <c r="K29" i="8" s="1"/>
  <c r="S29" i="8"/>
  <c r="T29" i="8"/>
  <c r="U29" i="8"/>
  <c r="AS29" i="8" s="1"/>
  <c r="V29" i="8"/>
  <c r="W29" i="8"/>
  <c r="R30" i="8"/>
  <c r="S30" i="8"/>
  <c r="T30" i="8"/>
  <c r="U30" i="8"/>
  <c r="V30" i="8"/>
  <c r="W30" i="8"/>
  <c r="R31" i="8"/>
  <c r="K31" i="8" s="1"/>
  <c r="S31" i="8"/>
  <c r="AE31" i="8" s="1"/>
  <c r="T31" i="8"/>
  <c r="U31" i="8"/>
  <c r="V31" i="8"/>
  <c r="W31" i="8"/>
  <c r="R32" i="8"/>
  <c r="S32" i="8"/>
  <c r="T32" i="8"/>
  <c r="U32" i="8"/>
  <c r="AG32" i="8" s="1"/>
  <c r="V32" i="8"/>
  <c r="W32" i="8"/>
  <c r="W14" i="8"/>
  <c r="V14" i="8"/>
  <c r="O14" i="8" s="1"/>
  <c r="U14" i="8"/>
  <c r="T14" i="8"/>
  <c r="M14" i="8" s="1"/>
  <c r="S14" i="8"/>
  <c r="R14" i="8"/>
  <c r="AD14" i="8" s="1"/>
  <c r="W13" i="8"/>
  <c r="V13" i="8"/>
  <c r="U13" i="8"/>
  <c r="T13" i="8"/>
  <c r="M13" i="8" s="1"/>
  <c r="S13" i="8"/>
  <c r="R13" i="8"/>
  <c r="W11" i="8"/>
  <c r="V11" i="8"/>
  <c r="U11" i="8"/>
  <c r="T11" i="8"/>
  <c r="S11" i="8"/>
  <c r="R11" i="8"/>
  <c r="W10" i="8"/>
  <c r="V10" i="8"/>
  <c r="U10" i="8"/>
  <c r="T10" i="8"/>
  <c r="S10" i="8"/>
  <c r="R10" i="8"/>
  <c r="W9" i="8"/>
  <c r="V9" i="8"/>
  <c r="U9" i="8"/>
  <c r="AS9" i="8" s="1"/>
  <c r="T9" i="8"/>
  <c r="M9" i="8" s="1"/>
  <c r="S9" i="8"/>
  <c r="R9" i="8"/>
  <c r="W7" i="8"/>
  <c r="V7" i="8"/>
  <c r="U7" i="8"/>
  <c r="AS7" i="8" s="1"/>
  <c r="T7" i="8"/>
  <c r="M7" i="8" s="1"/>
  <c r="S7" i="8"/>
  <c r="R7" i="8"/>
  <c r="W6" i="8"/>
  <c r="V6" i="8"/>
  <c r="U6" i="8"/>
  <c r="T6" i="8"/>
  <c r="S6" i="8"/>
  <c r="R6" i="8"/>
  <c r="W5" i="8"/>
  <c r="V5" i="8"/>
  <c r="AB162" i="14"/>
  <c r="AB153" i="14"/>
  <c r="M153" i="14"/>
  <c r="K153" i="14"/>
  <c r="I153" i="14"/>
  <c r="AB152" i="14"/>
  <c r="M152" i="14"/>
  <c r="K152" i="14"/>
  <c r="I152" i="14"/>
  <c r="AB151" i="14"/>
  <c r="M151" i="14"/>
  <c r="K151" i="14"/>
  <c r="I151" i="14"/>
  <c r="AB149" i="14"/>
  <c r="M149" i="14"/>
  <c r="K149" i="14"/>
  <c r="I149" i="14"/>
  <c r="AB148" i="14"/>
  <c r="M148" i="14"/>
  <c r="K148" i="14"/>
  <c r="I148" i="14"/>
  <c r="AB147" i="14"/>
  <c r="M147" i="14"/>
  <c r="K147" i="14"/>
  <c r="I147" i="14"/>
  <c r="AB146" i="14"/>
  <c r="M146" i="14"/>
  <c r="K146" i="14"/>
  <c r="I146" i="14"/>
  <c r="AB145" i="14"/>
  <c r="M145" i="14"/>
  <c r="K145" i="14"/>
  <c r="I145" i="14"/>
  <c r="AB144" i="14"/>
  <c r="M144" i="14"/>
  <c r="K144" i="14"/>
  <c r="I144" i="14"/>
  <c r="AB143" i="14"/>
  <c r="M143" i="14"/>
  <c r="K143" i="14"/>
  <c r="I143" i="14"/>
  <c r="AB142" i="14"/>
  <c r="M142" i="14"/>
  <c r="K142" i="14"/>
  <c r="I142" i="14"/>
  <c r="AB141" i="14"/>
  <c r="M141" i="14"/>
  <c r="K141" i="14"/>
  <c r="I141" i="14"/>
  <c r="AB140" i="14"/>
  <c r="M140" i="14"/>
  <c r="K140" i="14"/>
  <c r="I140" i="14"/>
  <c r="AB139" i="14"/>
  <c r="M139" i="14"/>
  <c r="K139" i="14"/>
  <c r="I139" i="14"/>
  <c r="AB138" i="14"/>
  <c r="M138" i="14"/>
  <c r="K138" i="14"/>
  <c r="I138" i="14"/>
  <c r="AB137" i="14"/>
  <c r="M137" i="14"/>
  <c r="K137" i="14"/>
  <c r="I137" i="14"/>
  <c r="AB136" i="14"/>
  <c r="M136" i="14"/>
  <c r="K136" i="14"/>
  <c r="I136" i="14"/>
  <c r="AB135" i="14"/>
  <c r="M135" i="14"/>
  <c r="K135" i="14"/>
  <c r="I135" i="14"/>
  <c r="K134" i="14"/>
  <c r="AB130" i="14"/>
  <c r="M130" i="14"/>
  <c r="K130" i="14"/>
  <c r="I130" i="14"/>
  <c r="AB129" i="14"/>
  <c r="M129" i="14"/>
  <c r="K129" i="14"/>
  <c r="I129" i="14"/>
  <c r="AB128" i="14"/>
  <c r="M128" i="14"/>
  <c r="K128" i="14"/>
  <c r="I128" i="14"/>
  <c r="AB127" i="14"/>
  <c r="M127" i="14"/>
  <c r="K127" i="14"/>
  <c r="I127" i="14"/>
  <c r="AB126" i="14"/>
  <c r="M126" i="14"/>
  <c r="K126" i="14"/>
  <c r="I126" i="14"/>
  <c r="I125" i="14"/>
  <c r="AB125" i="14"/>
  <c r="AB121" i="14"/>
  <c r="M121" i="14"/>
  <c r="K121" i="14"/>
  <c r="I121" i="14"/>
  <c r="AB120" i="14"/>
  <c r="M120" i="14"/>
  <c r="K120" i="14"/>
  <c r="I120" i="14"/>
  <c r="AB119" i="14"/>
  <c r="M119" i="14"/>
  <c r="K119" i="14"/>
  <c r="I119" i="14"/>
  <c r="AB118" i="14"/>
  <c r="M118" i="14"/>
  <c r="K118" i="14"/>
  <c r="I118" i="14"/>
  <c r="AB117" i="14"/>
  <c r="M117" i="14"/>
  <c r="K117" i="14"/>
  <c r="I117" i="14"/>
  <c r="AB116" i="14"/>
  <c r="M116" i="14"/>
  <c r="K116" i="14"/>
  <c r="I116" i="14"/>
  <c r="AB115" i="14"/>
  <c r="M115" i="14"/>
  <c r="K115" i="14"/>
  <c r="I115" i="14"/>
  <c r="AB114" i="14"/>
  <c r="M114" i="14"/>
  <c r="K114" i="14"/>
  <c r="I114" i="14"/>
  <c r="AB113" i="14"/>
  <c r="M113" i="14"/>
  <c r="K113" i="14"/>
  <c r="I113" i="14"/>
  <c r="AB112" i="14"/>
  <c r="M112" i="14"/>
  <c r="K112" i="14"/>
  <c r="I112" i="14"/>
  <c r="AB111" i="14"/>
  <c r="M111" i="14"/>
  <c r="K111" i="14"/>
  <c r="I111" i="14"/>
  <c r="AB110" i="14"/>
  <c r="M110" i="14"/>
  <c r="K110" i="14"/>
  <c r="I110" i="14"/>
  <c r="AB109" i="14"/>
  <c r="AB105" i="14"/>
  <c r="M105" i="14"/>
  <c r="K105" i="14"/>
  <c r="I105" i="14"/>
  <c r="AB104" i="14"/>
  <c r="M104" i="14"/>
  <c r="K104" i="14"/>
  <c r="I104" i="14"/>
  <c r="AB103" i="14"/>
  <c r="M103" i="14"/>
  <c r="K103" i="14"/>
  <c r="I103" i="14"/>
  <c r="AB102" i="14"/>
  <c r="M102" i="14"/>
  <c r="K102" i="14"/>
  <c r="I102" i="14"/>
  <c r="AB101" i="14"/>
  <c r="M101" i="14"/>
  <c r="K101" i="14"/>
  <c r="I101" i="14"/>
  <c r="AB100" i="14"/>
  <c r="M100" i="14"/>
  <c r="K100" i="14"/>
  <c r="I100" i="14"/>
  <c r="AB99" i="14"/>
  <c r="M99" i="14"/>
  <c r="K99" i="14"/>
  <c r="I99" i="14"/>
  <c r="AB98" i="14"/>
  <c r="M98" i="14"/>
  <c r="K98" i="14"/>
  <c r="I98" i="14"/>
  <c r="AB97" i="14"/>
  <c r="M97" i="14"/>
  <c r="K97" i="14"/>
  <c r="I97" i="14"/>
  <c r="AB96" i="14"/>
  <c r="M96" i="14"/>
  <c r="K96" i="14"/>
  <c r="I96" i="14"/>
  <c r="AB150" i="14"/>
  <c r="M150" i="14"/>
  <c r="K150" i="14"/>
  <c r="I150" i="14"/>
  <c r="AB91" i="14"/>
  <c r="M91" i="14"/>
  <c r="K91" i="14"/>
  <c r="I91" i="14"/>
  <c r="AB90" i="14"/>
  <c r="M90" i="14"/>
  <c r="K90" i="14"/>
  <c r="I90" i="14"/>
  <c r="AB89" i="14"/>
  <c r="M89" i="14"/>
  <c r="K89" i="14"/>
  <c r="I89" i="14"/>
  <c r="AB88" i="14"/>
  <c r="M88" i="14"/>
  <c r="K88" i="14"/>
  <c r="I88" i="14"/>
  <c r="AB87" i="14"/>
  <c r="M87" i="14"/>
  <c r="K87" i="14"/>
  <c r="I87" i="14"/>
  <c r="AB86" i="14"/>
  <c r="M86" i="14"/>
  <c r="K86" i="14"/>
  <c r="I86" i="14"/>
  <c r="V85" i="14"/>
  <c r="V160" i="14" s="1"/>
  <c r="V161" i="14" s="1"/>
  <c r="U85" i="14"/>
  <c r="U160" i="14" s="1"/>
  <c r="U161" i="14" s="1"/>
  <c r="T85" i="14"/>
  <c r="T160" i="14" s="1"/>
  <c r="T161" i="14" s="1"/>
  <c r="S85" i="14"/>
  <c r="S160" i="14" s="1"/>
  <c r="S161" i="14" s="1"/>
  <c r="R85" i="14"/>
  <c r="R160" i="14" s="1"/>
  <c r="R161" i="14" s="1"/>
  <c r="Q85" i="14"/>
  <c r="Q160" i="14" s="1"/>
  <c r="Q161" i="14" s="1"/>
  <c r="P85" i="14"/>
  <c r="P160" i="14" s="1"/>
  <c r="P161" i="14" s="1"/>
  <c r="O85" i="14"/>
  <c r="O160" i="14" s="1"/>
  <c r="O161" i="14" s="1"/>
  <c r="N85" i="14"/>
  <c r="L85" i="14"/>
  <c r="L160" i="14" s="1"/>
  <c r="L161" i="14" s="1"/>
  <c r="J85" i="14"/>
  <c r="J160" i="14" s="1"/>
  <c r="J161" i="14" s="1"/>
  <c r="H85" i="14"/>
  <c r="H160" i="14" s="1"/>
  <c r="H161" i="14" s="1"/>
  <c r="G85" i="14"/>
  <c r="G160" i="14" s="1"/>
  <c r="AB84" i="14"/>
  <c r="M84" i="14"/>
  <c r="K84" i="14"/>
  <c r="I84" i="14"/>
  <c r="AB83" i="14"/>
  <c r="M83" i="14"/>
  <c r="K83" i="14"/>
  <c r="I83" i="14"/>
  <c r="AB82" i="14"/>
  <c r="M82" i="14"/>
  <c r="K82" i="14"/>
  <c r="I82" i="14"/>
  <c r="AB81" i="14"/>
  <c r="M81" i="14"/>
  <c r="K81" i="14"/>
  <c r="I81" i="14"/>
  <c r="AB80" i="14"/>
  <c r="M80" i="14"/>
  <c r="K80" i="14"/>
  <c r="I80" i="14"/>
  <c r="AB79" i="14"/>
  <c r="M79" i="14"/>
  <c r="K79" i="14"/>
  <c r="I79" i="14"/>
  <c r="AB78" i="14"/>
  <c r="M78" i="14"/>
  <c r="K78" i="14"/>
  <c r="I78" i="14"/>
  <c r="K77" i="14"/>
  <c r="AB77" i="14"/>
  <c r="AB73" i="14"/>
  <c r="M73" i="14"/>
  <c r="K73" i="14"/>
  <c r="I73" i="14"/>
  <c r="AB72" i="14"/>
  <c r="M72" i="14"/>
  <c r="K72" i="14"/>
  <c r="I72" i="14"/>
  <c r="AB71" i="14"/>
  <c r="M71" i="14"/>
  <c r="K71" i="14"/>
  <c r="I71" i="14"/>
  <c r="AB70" i="14"/>
  <c r="M70" i="14"/>
  <c r="K70" i="14"/>
  <c r="I70" i="14"/>
  <c r="AB69" i="14"/>
  <c r="M69" i="14"/>
  <c r="K69" i="14"/>
  <c r="I69" i="14"/>
  <c r="AB68" i="14"/>
  <c r="M68" i="14"/>
  <c r="K68" i="14"/>
  <c r="I68" i="14"/>
  <c r="AB67" i="14"/>
  <c r="M67" i="14"/>
  <c r="K67" i="14"/>
  <c r="I67" i="14"/>
  <c r="AB66" i="14"/>
  <c r="M66" i="14"/>
  <c r="K66" i="14"/>
  <c r="I66" i="14"/>
  <c r="D65" i="14"/>
  <c r="AB64" i="14"/>
  <c r="AB60" i="14"/>
  <c r="M60" i="14"/>
  <c r="K60" i="14"/>
  <c r="I60" i="14"/>
  <c r="AB59" i="14"/>
  <c r="M59" i="14"/>
  <c r="K59" i="14"/>
  <c r="I59" i="14"/>
  <c r="AB58" i="14"/>
  <c r="M58" i="14"/>
  <c r="K58" i="14"/>
  <c r="I58" i="14"/>
  <c r="AB57" i="14"/>
  <c r="M57" i="14"/>
  <c r="K57" i="14"/>
  <c r="I57" i="14"/>
  <c r="AB56" i="14"/>
  <c r="M56" i="14"/>
  <c r="K56" i="14"/>
  <c r="I56" i="14"/>
  <c r="AB55" i="14"/>
  <c r="M55" i="14"/>
  <c r="K55" i="14"/>
  <c r="I55" i="14"/>
  <c r="AB54" i="14"/>
  <c r="M54" i="14"/>
  <c r="K54" i="14"/>
  <c r="I54" i="14"/>
  <c r="AB53" i="14"/>
  <c r="M53" i="14"/>
  <c r="K53" i="14"/>
  <c r="I53" i="14"/>
  <c r="AB52" i="14"/>
  <c r="M52" i="14"/>
  <c r="K52" i="14"/>
  <c r="I52" i="14"/>
  <c r="AB51" i="14"/>
  <c r="M51" i="14"/>
  <c r="K51" i="14"/>
  <c r="I51" i="14"/>
  <c r="AB50" i="14"/>
  <c r="M50" i="14"/>
  <c r="K50" i="14"/>
  <c r="I50" i="14"/>
  <c r="M49" i="14"/>
  <c r="I49" i="14"/>
  <c r="AB49" i="14"/>
  <c r="AB45" i="14"/>
  <c r="M45" i="14"/>
  <c r="K45" i="14"/>
  <c r="I45" i="14"/>
  <c r="AB44" i="14"/>
  <c r="M44" i="14"/>
  <c r="K44" i="14"/>
  <c r="I44" i="14"/>
  <c r="AB43" i="14"/>
  <c r="M43" i="14"/>
  <c r="K43" i="14"/>
  <c r="I43" i="14"/>
  <c r="AB42" i="14"/>
  <c r="M42" i="14"/>
  <c r="K42" i="14"/>
  <c r="I42" i="14"/>
  <c r="AB41" i="14"/>
  <c r="M41" i="14"/>
  <c r="K41" i="14"/>
  <c r="I41" i="14"/>
  <c r="AB40" i="14"/>
  <c r="M40" i="14"/>
  <c r="K40" i="14"/>
  <c r="I40" i="14"/>
  <c r="AB39" i="14"/>
  <c r="M39" i="14"/>
  <c r="K39" i="14"/>
  <c r="I39" i="14"/>
  <c r="AB38" i="14"/>
  <c r="M38" i="14"/>
  <c r="K38" i="14"/>
  <c r="I38" i="14"/>
  <c r="AB37" i="14"/>
  <c r="M37" i="14"/>
  <c r="K37" i="14"/>
  <c r="I37" i="14"/>
  <c r="AB36" i="14"/>
  <c r="M36" i="14"/>
  <c r="K36" i="14"/>
  <c r="I36" i="14"/>
  <c r="AB35" i="14"/>
  <c r="M35" i="14"/>
  <c r="K35" i="14"/>
  <c r="I35" i="14"/>
  <c r="AB34" i="14"/>
  <c r="AB28" i="14"/>
  <c r="M28" i="14"/>
  <c r="K28" i="14"/>
  <c r="I28" i="14"/>
  <c r="AB27" i="14"/>
  <c r="M27" i="14"/>
  <c r="K27" i="14"/>
  <c r="I27" i="14"/>
  <c r="AB26" i="14"/>
  <c r="M26" i="14"/>
  <c r="K26" i="14"/>
  <c r="I26" i="14"/>
  <c r="AB25" i="14"/>
  <c r="M25" i="14"/>
  <c r="K25" i="14"/>
  <c r="I25" i="14"/>
  <c r="AB24" i="14"/>
  <c r="M24" i="14"/>
  <c r="K24" i="14"/>
  <c r="I24" i="14"/>
  <c r="AB23" i="14"/>
  <c r="M23" i="14"/>
  <c r="K23" i="14"/>
  <c r="I23" i="14"/>
  <c r="AB22" i="14"/>
  <c r="M22" i="14"/>
  <c r="K22" i="14"/>
  <c r="I22" i="14"/>
  <c r="AB21" i="14"/>
  <c r="M21" i="14"/>
  <c r="K21" i="14"/>
  <c r="I21" i="14"/>
  <c r="AB20" i="14"/>
  <c r="M20" i="14"/>
  <c r="K20" i="14"/>
  <c r="I20" i="14"/>
  <c r="AB19" i="14"/>
  <c r="M19" i="14"/>
  <c r="K19" i="14"/>
  <c r="I19" i="14"/>
  <c r="AB18" i="14"/>
  <c r="M18" i="14"/>
  <c r="K18" i="14"/>
  <c r="I18" i="14"/>
  <c r="AB17" i="14"/>
  <c r="M17" i="14"/>
  <c r="K17" i="14"/>
  <c r="I17" i="14"/>
  <c r="AB16" i="14"/>
  <c r="M16" i="14"/>
  <c r="K16" i="14"/>
  <c r="I16" i="14"/>
  <c r="AB15" i="14"/>
  <c r="M15" i="14"/>
  <c r="K15" i="14"/>
  <c r="I15" i="14"/>
  <c r="AB14" i="14"/>
  <c r="M14" i="14"/>
  <c r="K14" i="14"/>
  <c r="I14" i="14"/>
  <c r="AB13" i="14"/>
  <c r="M13" i="14"/>
  <c r="K13" i="14"/>
  <c r="I13" i="14"/>
  <c r="AB9" i="14"/>
  <c r="M9" i="14"/>
  <c r="K9" i="14"/>
  <c r="I9" i="14"/>
  <c r="M8" i="14"/>
  <c r="AB5" i="14"/>
  <c r="M5" i="14"/>
  <c r="K5" i="14"/>
  <c r="I5" i="14"/>
  <c r="AB162" i="13"/>
  <c r="M159" i="13"/>
  <c r="I159" i="13"/>
  <c r="AB153" i="13"/>
  <c r="M153" i="13"/>
  <c r="K153" i="13"/>
  <c r="I153" i="13"/>
  <c r="AB152" i="13"/>
  <c r="M152" i="13"/>
  <c r="K152" i="13"/>
  <c r="I152" i="13"/>
  <c r="AB151" i="13"/>
  <c r="M151" i="13"/>
  <c r="K151" i="13"/>
  <c r="I151" i="13"/>
  <c r="AB149" i="13"/>
  <c r="M149" i="13"/>
  <c r="K149" i="13"/>
  <c r="I149" i="13"/>
  <c r="AB148" i="13"/>
  <c r="M148" i="13"/>
  <c r="K148" i="13"/>
  <c r="I148" i="13"/>
  <c r="AB147" i="13"/>
  <c r="M147" i="13"/>
  <c r="K147" i="13"/>
  <c r="I147" i="13"/>
  <c r="AB146" i="13"/>
  <c r="M146" i="13"/>
  <c r="K146" i="13"/>
  <c r="I146" i="13"/>
  <c r="AB145" i="13"/>
  <c r="M145" i="13"/>
  <c r="K145" i="13"/>
  <c r="I145" i="13"/>
  <c r="AB144" i="13"/>
  <c r="M144" i="13"/>
  <c r="K144" i="13"/>
  <c r="I144" i="13"/>
  <c r="AB143" i="13"/>
  <c r="M143" i="13"/>
  <c r="K143" i="13"/>
  <c r="I143" i="13"/>
  <c r="AB142" i="13"/>
  <c r="M142" i="13"/>
  <c r="K142" i="13"/>
  <c r="I142" i="13"/>
  <c r="AB141" i="13"/>
  <c r="M141" i="13"/>
  <c r="K141" i="13"/>
  <c r="I141" i="13"/>
  <c r="AB140" i="13"/>
  <c r="M140" i="13"/>
  <c r="K140" i="13"/>
  <c r="I140" i="13"/>
  <c r="AB139" i="13"/>
  <c r="M139" i="13"/>
  <c r="K139" i="13"/>
  <c r="I139" i="13"/>
  <c r="AB138" i="13"/>
  <c r="M138" i="13"/>
  <c r="K138" i="13"/>
  <c r="I138" i="13"/>
  <c r="AB137" i="13"/>
  <c r="M137" i="13"/>
  <c r="K137" i="13"/>
  <c r="I137" i="13"/>
  <c r="AB136" i="13"/>
  <c r="M136" i="13"/>
  <c r="K136" i="13"/>
  <c r="I136" i="13"/>
  <c r="AB135" i="13"/>
  <c r="M135" i="13"/>
  <c r="K135" i="13"/>
  <c r="I135" i="13"/>
  <c r="M134" i="13"/>
  <c r="K134" i="13"/>
  <c r="I134" i="13"/>
  <c r="AB134" i="13"/>
  <c r="AB130" i="13"/>
  <c r="M130" i="13"/>
  <c r="K130" i="13"/>
  <c r="I130" i="13"/>
  <c r="AB129" i="13"/>
  <c r="M129" i="13"/>
  <c r="K129" i="13"/>
  <c r="I129" i="13"/>
  <c r="AB128" i="13"/>
  <c r="M128" i="13"/>
  <c r="K128" i="13"/>
  <c r="I128" i="13"/>
  <c r="AB127" i="13"/>
  <c r="M127" i="13"/>
  <c r="K127" i="13"/>
  <c r="I127" i="13"/>
  <c r="AB126" i="13"/>
  <c r="M126" i="13"/>
  <c r="K126" i="13"/>
  <c r="I126" i="13"/>
  <c r="M125" i="13"/>
  <c r="K125" i="13"/>
  <c r="AB121" i="13"/>
  <c r="M121" i="13"/>
  <c r="K121" i="13"/>
  <c r="I121" i="13"/>
  <c r="AB120" i="13"/>
  <c r="M120" i="13"/>
  <c r="K120" i="13"/>
  <c r="I120" i="13"/>
  <c r="AB119" i="13"/>
  <c r="M119" i="13"/>
  <c r="K119" i="13"/>
  <c r="I119" i="13"/>
  <c r="AB118" i="13"/>
  <c r="M118" i="13"/>
  <c r="K118" i="13"/>
  <c r="I118" i="13"/>
  <c r="AB117" i="13"/>
  <c r="M117" i="13"/>
  <c r="K117" i="13"/>
  <c r="I117" i="13"/>
  <c r="AB116" i="13"/>
  <c r="M116" i="13"/>
  <c r="K116" i="13"/>
  <c r="I116" i="13"/>
  <c r="AB115" i="13"/>
  <c r="M115" i="13"/>
  <c r="K115" i="13"/>
  <c r="I115" i="13"/>
  <c r="AB114" i="13"/>
  <c r="M114" i="13"/>
  <c r="K114" i="13"/>
  <c r="I114" i="13"/>
  <c r="AB113" i="13"/>
  <c r="M113" i="13"/>
  <c r="K113" i="13"/>
  <c r="I113" i="13"/>
  <c r="AB112" i="13"/>
  <c r="M112" i="13"/>
  <c r="K112" i="13"/>
  <c r="I112" i="13"/>
  <c r="AB111" i="13"/>
  <c r="M111" i="13"/>
  <c r="K111" i="13"/>
  <c r="I111" i="13"/>
  <c r="AB110" i="13"/>
  <c r="M110" i="13"/>
  <c r="K110" i="13"/>
  <c r="I110" i="13"/>
  <c r="M109" i="13"/>
  <c r="K109" i="13"/>
  <c r="AB109" i="13"/>
  <c r="AB105" i="13"/>
  <c r="M105" i="13"/>
  <c r="K105" i="13"/>
  <c r="I105" i="13"/>
  <c r="AB104" i="13"/>
  <c r="M104" i="13"/>
  <c r="K104" i="13"/>
  <c r="I104" i="13"/>
  <c r="AB103" i="13"/>
  <c r="M103" i="13"/>
  <c r="K103" i="13"/>
  <c r="I103" i="13"/>
  <c r="AB102" i="13"/>
  <c r="M102" i="13"/>
  <c r="K102" i="13"/>
  <c r="I102" i="13"/>
  <c r="AB101" i="13"/>
  <c r="M101" i="13"/>
  <c r="K101" i="13"/>
  <c r="I101" i="13"/>
  <c r="AB100" i="13"/>
  <c r="M100" i="13"/>
  <c r="K100" i="13"/>
  <c r="I100" i="13"/>
  <c r="AB99" i="13"/>
  <c r="M99" i="13"/>
  <c r="K99" i="13"/>
  <c r="I99" i="13"/>
  <c r="AB98" i="13"/>
  <c r="M98" i="13"/>
  <c r="K98" i="13"/>
  <c r="I98" i="13"/>
  <c r="AB97" i="13"/>
  <c r="M97" i="13"/>
  <c r="K97" i="13"/>
  <c r="I97" i="13"/>
  <c r="AB96" i="13"/>
  <c r="M96" i="13"/>
  <c r="K96" i="13"/>
  <c r="I96" i="13"/>
  <c r="AB150" i="13"/>
  <c r="M150" i="13"/>
  <c r="K150" i="13"/>
  <c r="I150" i="13"/>
  <c r="AB91" i="13"/>
  <c r="M91" i="13"/>
  <c r="K91" i="13"/>
  <c r="I91" i="13"/>
  <c r="AB90" i="13"/>
  <c r="M90" i="13"/>
  <c r="K90" i="13"/>
  <c r="I90" i="13"/>
  <c r="AB89" i="13"/>
  <c r="M89" i="13"/>
  <c r="K89" i="13"/>
  <c r="I89" i="13"/>
  <c r="AB88" i="13"/>
  <c r="M88" i="13"/>
  <c r="K88" i="13"/>
  <c r="I88" i="13"/>
  <c r="AB87" i="13"/>
  <c r="M87" i="13"/>
  <c r="K87" i="13"/>
  <c r="I87" i="13"/>
  <c r="AB86" i="13"/>
  <c r="M86" i="13"/>
  <c r="K86" i="13"/>
  <c r="I86" i="13"/>
  <c r="V85" i="13"/>
  <c r="V160" i="13" s="1"/>
  <c r="V161" i="13" s="1"/>
  <c r="U85" i="13"/>
  <c r="U160" i="13" s="1"/>
  <c r="U161" i="13" s="1"/>
  <c r="T85" i="13"/>
  <c r="T160" i="13" s="1"/>
  <c r="T161" i="13" s="1"/>
  <c r="S85" i="13"/>
  <c r="S160" i="13" s="1"/>
  <c r="S161" i="13" s="1"/>
  <c r="R85" i="13"/>
  <c r="R160" i="13" s="1"/>
  <c r="R161" i="13" s="1"/>
  <c r="Q85" i="13"/>
  <c r="Q160" i="13" s="1"/>
  <c r="Q161" i="13" s="1"/>
  <c r="P85" i="13"/>
  <c r="P160" i="13" s="1"/>
  <c r="P161" i="13" s="1"/>
  <c r="O85" i="13"/>
  <c r="O160" i="13" s="1"/>
  <c r="O161" i="13" s="1"/>
  <c r="N85" i="13"/>
  <c r="N160" i="13" s="1"/>
  <c r="N161" i="13" s="1"/>
  <c r="L85" i="13"/>
  <c r="J85" i="13"/>
  <c r="J160" i="13" s="1"/>
  <c r="J161" i="13" s="1"/>
  <c r="H85" i="13"/>
  <c r="H160" i="13" s="1"/>
  <c r="H161" i="13" s="1"/>
  <c r="G85" i="13"/>
  <c r="G160" i="13" s="1"/>
  <c r="AB84" i="13"/>
  <c r="M84" i="13"/>
  <c r="K84" i="13"/>
  <c r="I84" i="13"/>
  <c r="AB83" i="13"/>
  <c r="M83" i="13"/>
  <c r="K83" i="13"/>
  <c r="I83" i="13"/>
  <c r="AB82" i="13"/>
  <c r="M82" i="13"/>
  <c r="K82" i="13"/>
  <c r="I82" i="13"/>
  <c r="AB81" i="13"/>
  <c r="M81" i="13"/>
  <c r="K81" i="13"/>
  <c r="I81" i="13"/>
  <c r="AB80" i="13"/>
  <c r="M80" i="13"/>
  <c r="K80" i="13"/>
  <c r="I80" i="13"/>
  <c r="AB79" i="13"/>
  <c r="M79" i="13"/>
  <c r="K79" i="13"/>
  <c r="I79" i="13"/>
  <c r="AB78" i="13"/>
  <c r="M78" i="13"/>
  <c r="K78" i="13"/>
  <c r="I78" i="13"/>
  <c r="AB77" i="13"/>
  <c r="AB73" i="13"/>
  <c r="M73" i="13"/>
  <c r="K73" i="13"/>
  <c r="I73" i="13"/>
  <c r="AB72" i="13"/>
  <c r="M72" i="13"/>
  <c r="K72" i="13"/>
  <c r="I72" i="13"/>
  <c r="AB71" i="13"/>
  <c r="M71" i="13"/>
  <c r="K71" i="13"/>
  <c r="I71" i="13"/>
  <c r="AB70" i="13"/>
  <c r="M70" i="13"/>
  <c r="K70" i="13"/>
  <c r="I70" i="13"/>
  <c r="AB69" i="13"/>
  <c r="M69" i="13"/>
  <c r="K69" i="13"/>
  <c r="I69" i="13"/>
  <c r="AB68" i="13"/>
  <c r="M68" i="13"/>
  <c r="K68" i="13"/>
  <c r="I68" i="13"/>
  <c r="AB67" i="13"/>
  <c r="M67" i="13"/>
  <c r="K67" i="13"/>
  <c r="I67" i="13"/>
  <c r="AB66" i="13"/>
  <c r="M66" i="13"/>
  <c r="K66" i="13"/>
  <c r="I66" i="13"/>
  <c r="D65" i="13"/>
  <c r="AB64" i="13"/>
  <c r="AB60" i="13"/>
  <c r="M60" i="13"/>
  <c r="K60" i="13"/>
  <c r="I60" i="13"/>
  <c r="AB59" i="13"/>
  <c r="M59" i="13"/>
  <c r="K59" i="13"/>
  <c r="I59" i="13"/>
  <c r="AB58" i="13"/>
  <c r="M58" i="13"/>
  <c r="K58" i="13"/>
  <c r="I58" i="13"/>
  <c r="AB57" i="13"/>
  <c r="M57" i="13"/>
  <c r="K57" i="13"/>
  <c r="I57" i="13"/>
  <c r="AB56" i="13"/>
  <c r="M56" i="13"/>
  <c r="K56" i="13"/>
  <c r="I56" i="13"/>
  <c r="AB55" i="13"/>
  <c r="M55" i="13"/>
  <c r="K55" i="13"/>
  <c r="I55" i="13"/>
  <c r="AB54" i="13"/>
  <c r="M54" i="13"/>
  <c r="K54" i="13"/>
  <c r="I54" i="13"/>
  <c r="AB53" i="13"/>
  <c r="M53" i="13"/>
  <c r="K53" i="13"/>
  <c r="I53" i="13"/>
  <c r="AB52" i="13"/>
  <c r="M52" i="13"/>
  <c r="K52" i="13"/>
  <c r="I52" i="13"/>
  <c r="AB51" i="13"/>
  <c r="M51" i="13"/>
  <c r="K51" i="13"/>
  <c r="I51" i="13"/>
  <c r="AB50" i="13"/>
  <c r="M50" i="13"/>
  <c r="K50" i="13"/>
  <c r="I50" i="13"/>
  <c r="M49" i="13"/>
  <c r="AB49" i="13"/>
  <c r="AB45" i="13"/>
  <c r="M45" i="13"/>
  <c r="K45" i="13"/>
  <c r="I45" i="13"/>
  <c r="AB44" i="13"/>
  <c r="M44" i="13"/>
  <c r="K44" i="13"/>
  <c r="I44" i="13"/>
  <c r="AB43" i="13"/>
  <c r="M43" i="13"/>
  <c r="K43" i="13"/>
  <c r="I43" i="13"/>
  <c r="AB42" i="13"/>
  <c r="M42" i="13"/>
  <c r="K42" i="13"/>
  <c r="I42" i="13"/>
  <c r="AB41" i="13"/>
  <c r="M41" i="13"/>
  <c r="K41" i="13"/>
  <c r="I41" i="13"/>
  <c r="AB40" i="13"/>
  <c r="M40" i="13"/>
  <c r="K40" i="13"/>
  <c r="I40" i="13"/>
  <c r="AB39" i="13"/>
  <c r="M39" i="13"/>
  <c r="K39" i="13"/>
  <c r="I39" i="13"/>
  <c r="AB38" i="13"/>
  <c r="M38" i="13"/>
  <c r="K38" i="13"/>
  <c r="I38" i="13"/>
  <c r="AB37" i="13"/>
  <c r="M37" i="13"/>
  <c r="K37" i="13"/>
  <c r="I37" i="13"/>
  <c r="AB36" i="13"/>
  <c r="M36" i="13"/>
  <c r="K36" i="13"/>
  <c r="I36" i="13"/>
  <c r="AB35" i="13"/>
  <c r="M35" i="13"/>
  <c r="K35" i="13"/>
  <c r="I35" i="13"/>
  <c r="K34" i="13"/>
  <c r="AB34" i="13"/>
  <c r="AB28" i="13"/>
  <c r="M28" i="13"/>
  <c r="K28" i="13"/>
  <c r="I28" i="13"/>
  <c r="AB27" i="13"/>
  <c r="M27" i="13"/>
  <c r="K27" i="13"/>
  <c r="I27" i="13"/>
  <c r="AB26" i="13"/>
  <c r="M26" i="13"/>
  <c r="K26" i="13"/>
  <c r="I26" i="13"/>
  <c r="AB25" i="13"/>
  <c r="M25" i="13"/>
  <c r="K25" i="13"/>
  <c r="I25" i="13"/>
  <c r="AB24" i="13"/>
  <c r="M24" i="13"/>
  <c r="K24" i="13"/>
  <c r="I24" i="13"/>
  <c r="AB23" i="13"/>
  <c r="M23" i="13"/>
  <c r="K23" i="13"/>
  <c r="I23" i="13"/>
  <c r="AB22" i="13"/>
  <c r="M22" i="13"/>
  <c r="K22" i="13"/>
  <c r="I22" i="13"/>
  <c r="AB21" i="13"/>
  <c r="M21" i="13"/>
  <c r="K21" i="13"/>
  <c r="I21" i="13"/>
  <c r="AB20" i="13"/>
  <c r="M20" i="13"/>
  <c r="K20" i="13"/>
  <c r="I20" i="13"/>
  <c r="AB19" i="13"/>
  <c r="M19" i="13"/>
  <c r="K19" i="13"/>
  <c r="I19" i="13"/>
  <c r="AB18" i="13"/>
  <c r="M18" i="13"/>
  <c r="K18" i="13"/>
  <c r="I18" i="13"/>
  <c r="AB17" i="13"/>
  <c r="M17" i="13"/>
  <c r="K17" i="13"/>
  <c r="I17" i="13"/>
  <c r="AB16" i="13"/>
  <c r="M16" i="13"/>
  <c r="K16" i="13"/>
  <c r="I16" i="13"/>
  <c r="AB15" i="13"/>
  <c r="M15" i="13"/>
  <c r="K15" i="13"/>
  <c r="I15" i="13"/>
  <c r="AB14" i="13"/>
  <c r="M14" i="13"/>
  <c r="K14" i="13"/>
  <c r="I14" i="13"/>
  <c r="AB13" i="13"/>
  <c r="M13" i="13"/>
  <c r="K13" i="13"/>
  <c r="I13" i="13"/>
  <c r="AB9" i="13"/>
  <c r="M9" i="13"/>
  <c r="K9" i="13"/>
  <c r="I9" i="13"/>
  <c r="M8" i="13"/>
  <c r="I8" i="13"/>
  <c r="AB5" i="13"/>
  <c r="M5" i="13"/>
  <c r="K5" i="13"/>
  <c r="I5" i="13"/>
  <c r="U5" i="8"/>
  <c r="T5" i="8"/>
  <c r="I160" i="8"/>
  <c r="H160" i="8"/>
  <c r="G135" i="8"/>
  <c r="G126" i="8"/>
  <c r="G110" i="8"/>
  <c r="G96" i="8"/>
  <c r="G86" i="8"/>
  <c r="G78" i="8"/>
  <c r="F78" i="8"/>
  <c r="G66" i="8"/>
  <c r="F66" i="8"/>
  <c r="G50" i="8"/>
  <c r="F50" i="8"/>
  <c r="G35" i="8"/>
  <c r="F35" i="8"/>
  <c r="G9" i="8"/>
  <c r="F9" i="8"/>
  <c r="G5" i="8"/>
  <c r="G13" i="8"/>
  <c r="F13" i="8"/>
  <c r="M51" i="9"/>
  <c r="BE78" i="8" l="1"/>
  <c r="AQ51" i="8"/>
  <c r="BC37" i="8"/>
  <c r="AI9" i="8"/>
  <c r="AQ78" i="8"/>
  <c r="AE87" i="8"/>
  <c r="BD50" i="8"/>
  <c r="BC55" i="8"/>
  <c r="BC149" i="8"/>
  <c r="AX244" i="8"/>
  <c r="AH94" i="8"/>
  <c r="AF115" i="8"/>
  <c r="AF155" i="8"/>
  <c r="BC41" i="8"/>
  <c r="AI116" i="8"/>
  <c r="AG123" i="8"/>
  <c r="BD67" i="8"/>
  <c r="AO227" i="8"/>
  <c r="W179" i="8"/>
  <c r="U227" i="8"/>
  <c r="AR111" i="8"/>
  <c r="R175" i="8"/>
  <c r="Z174" i="8"/>
  <c r="AM173" i="8"/>
  <c r="AM12" i="8"/>
  <c r="AM34" i="8"/>
  <c r="AM175" i="8"/>
  <c r="AG47" i="8"/>
  <c r="AE75" i="8"/>
  <c r="AS90" i="8"/>
  <c r="AU129" i="8"/>
  <c r="AW175" i="8"/>
  <c r="BC117" i="8"/>
  <c r="BC121" i="8"/>
  <c r="AY174" i="8"/>
  <c r="BI173" i="8"/>
  <c r="BK174" i="8"/>
  <c r="AM179" i="8"/>
  <c r="BA195" i="8"/>
  <c r="H161" i="8"/>
  <c r="AG43" i="8"/>
  <c r="AI133" i="8"/>
  <c r="BD70" i="8"/>
  <c r="AN195" i="8"/>
  <c r="AZ195" i="8"/>
  <c r="BC78" i="8"/>
  <c r="V211" i="8"/>
  <c r="AX195" i="8"/>
  <c r="BJ211" i="8"/>
  <c r="AG132" i="8"/>
  <c r="AF129" i="8"/>
  <c r="AF133" i="8"/>
  <c r="BC150" i="8"/>
  <c r="V227" i="8"/>
  <c r="AN227" i="8"/>
  <c r="M85" i="14"/>
  <c r="N160" i="14"/>
  <c r="N161" i="14" s="1"/>
  <c r="AI153" i="8"/>
  <c r="AI138" i="8"/>
  <c r="AI104" i="8"/>
  <c r="AC173" i="8"/>
  <c r="AO64" i="8"/>
  <c r="AO184" i="8" s="1"/>
  <c r="AO216" i="8" s="1"/>
  <c r="AI102" i="8"/>
  <c r="AI29" i="8"/>
  <c r="AI17" i="8"/>
  <c r="AI146" i="8"/>
  <c r="AI42" i="8"/>
  <c r="AI37" i="8"/>
  <c r="AI54" i="8"/>
  <c r="AI99" i="8"/>
  <c r="AU112" i="8"/>
  <c r="K85" i="13"/>
  <c r="L160" i="13"/>
  <c r="L161" i="13" s="1"/>
  <c r="AH51" i="8"/>
  <c r="AH63" i="8"/>
  <c r="AH92" i="8"/>
  <c r="AH100" i="8"/>
  <c r="AH130" i="8"/>
  <c r="AH148" i="8"/>
  <c r="AH156" i="8"/>
  <c r="BL8" i="8"/>
  <c r="BL180" i="8" s="1"/>
  <c r="BL85" i="8"/>
  <c r="BL186" i="8" s="1"/>
  <c r="BL134" i="8"/>
  <c r="BL190" i="8" s="1"/>
  <c r="AH62" i="8"/>
  <c r="AH112" i="8"/>
  <c r="AN49" i="8"/>
  <c r="AN183" i="8" s="1"/>
  <c r="AA173" i="8"/>
  <c r="I49" i="13"/>
  <c r="V173" i="8"/>
  <c r="K49" i="13"/>
  <c r="W173" i="8"/>
  <c r="T174" i="8"/>
  <c r="AM174" i="8"/>
  <c r="AZ64" i="8"/>
  <c r="BF64" i="8" s="1"/>
  <c r="BA175" i="8"/>
  <c r="BM173" i="8"/>
  <c r="BK175" i="8"/>
  <c r="I85" i="13"/>
  <c r="I125" i="13"/>
  <c r="K159" i="14"/>
  <c r="U175" i="8"/>
  <c r="AF46" i="8"/>
  <c r="AF88" i="8"/>
  <c r="AD103" i="8"/>
  <c r="AD112" i="8"/>
  <c r="AH131" i="8"/>
  <c r="U174" i="8"/>
  <c r="AI142" i="8"/>
  <c r="AF156" i="8"/>
  <c r="AG28" i="8"/>
  <c r="AL173" i="8"/>
  <c r="AN77" i="8"/>
  <c r="AN185" i="8" s="1"/>
  <c r="AO201" i="8" s="1"/>
  <c r="AN174" i="8"/>
  <c r="AY95" i="8"/>
  <c r="AY187" i="8" s="1"/>
  <c r="AU133" i="8"/>
  <c r="BD68" i="8"/>
  <c r="BC88" i="8"/>
  <c r="BD111" i="8"/>
  <c r="BL175" i="8"/>
  <c r="BD53" i="8"/>
  <c r="BH174" i="8"/>
  <c r="I77" i="13"/>
  <c r="U173" i="8"/>
  <c r="U176" i="8" s="1"/>
  <c r="AC175" i="8"/>
  <c r="K77" i="13"/>
  <c r="AG66" i="8"/>
  <c r="AI71" i="8"/>
  <c r="AG113" i="8"/>
  <c r="AO77" i="8"/>
  <c r="AM85" i="8"/>
  <c r="AM186" i="8" s="1"/>
  <c r="AI90" i="8"/>
  <c r="BM175" i="8"/>
  <c r="BI174" i="8"/>
  <c r="AE123" i="8"/>
  <c r="I109" i="14"/>
  <c r="M34" i="13"/>
  <c r="V175" i="8"/>
  <c r="I109" i="13"/>
  <c r="T175" i="8"/>
  <c r="V174" i="8"/>
  <c r="AF15" i="8"/>
  <c r="AO173" i="8"/>
  <c r="AO174" i="8"/>
  <c r="AW174" i="8"/>
  <c r="T173" i="8"/>
  <c r="I34" i="13"/>
  <c r="S175" i="8"/>
  <c r="W174" i="8"/>
  <c r="AB173" i="8"/>
  <c r="AG97" i="8"/>
  <c r="AN173" i="8"/>
  <c r="AL175" i="8"/>
  <c r="AT108" i="8"/>
  <c r="BC38" i="8"/>
  <c r="BD105" i="8"/>
  <c r="BD110" i="8"/>
  <c r="BD114" i="8"/>
  <c r="BC126" i="8"/>
  <c r="BC130" i="8"/>
  <c r="AX174" i="8"/>
  <c r="AE68" i="8"/>
  <c r="AU66" i="8"/>
  <c r="M85" i="13"/>
  <c r="AF53" i="8"/>
  <c r="AA174" i="8"/>
  <c r="AN175" i="8"/>
  <c r="AZ173" i="8"/>
  <c r="AZ174" i="8"/>
  <c r="BJ173" i="8"/>
  <c r="BK64" i="8"/>
  <c r="BK184" i="8" s="1"/>
  <c r="BI77" i="8"/>
  <c r="BL174" i="8"/>
  <c r="AE153" i="8"/>
  <c r="AI155" i="8"/>
  <c r="AE157" i="8"/>
  <c r="AA175" i="8"/>
  <c r="AB174" i="8"/>
  <c r="AO175" i="8"/>
  <c r="AE39" i="8"/>
  <c r="AE60" i="8"/>
  <c r="AE118" i="8"/>
  <c r="AK174" i="8"/>
  <c r="AS81" i="8"/>
  <c r="AT117" i="8"/>
  <c r="BG5" i="8"/>
  <c r="BA173" i="8"/>
  <c r="BE18" i="8"/>
  <c r="AY175" i="8"/>
  <c r="BE51" i="8"/>
  <c r="AY173" i="8"/>
  <c r="BC69" i="8"/>
  <c r="BC73" i="8"/>
  <c r="BC96" i="8"/>
  <c r="BA174" i="8"/>
  <c r="BK173" i="8"/>
  <c r="BI175" i="8"/>
  <c r="BM174" i="8"/>
  <c r="W175" i="8"/>
  <c r="AD59" i="8"/>
  <c r="AD66" i="8"/>
  <c r="AD70" i="8"/>
  <c r="AD79" i="8"/>
  <c r="AD108" i="8"/>
  <c r="S174" i="8"/>
  <c r="AB175" i="8"/>
  <c r="AC174" i="8"/>
  <c r="AD142" i="8"/>
  <c r="AL174" i="8"/>
  <c r="AL176" i="8" s="1"/>
  <c r="AS16" i="8"/>
  <c r="AU82" i="8"/>
  <c r="AS128" i="8"/>
  <c r="AZ175" i="8"/>
  <c r="BC42" i="8"/>
  <c r="BL173" i="8"/>
  <c r="BJ175" i="8"/>
  <c r="AO85" i="8"/>
  <c r="AO186" i="8" s="1"/>
  <c r="AO218" i="8" s="1"/>
  <c r="AN95" i="8"/>
  <c r="AN187" i="8" s="1"/>
  <c r="AN219" i="8" s="1"/>
  <c r="AO235" i="8" s="1"/>
  <c r="AH105" i="8"/>
  <c r="AF108" i="8"/>
  <c r="AR66" i="8"/>
  <c r="BD40" i="8"/>
  <c r="AE7" i="8"/>
  <c r="L63" i="8"/>
  <c r="CD63" i="8" s="1"/>
  <c r="AQ63" i="8"/>
  <c r="AE66" i="8"/>
  <c r="AI76" i="8"/>
  <c r="AG80" i="8"/>
  <c r="AE83" i="8"/>
  <c r="AF17" i="8"/>
  <c r="AH22" i="8"/>
  <c r="AF25" i="8"/>
  <c r="AH26" i="8"/>
  <c r="AF29" i="8"/>
  <c r="AH30" i="8"/>
  <c r="AK49" i="8"/>
  <c r="AE54" i="8"/>
  <c r="AO95" i="8"/>
  <c r="AO187" i="8" s="1"/>
  <c r="AO219" i="8" s="1"/>
  <c r="BJ85" i="8"/>
  <c r="BJ186" i="8" s="1"/>
  <c r="BI95" i="8"/>
  <c r="AH5" i="8"/>
  <c r="AT5" i="8"/>
  <c r="P18" i="8"/>
  <c r="O44" i="8"/>
  <c r="AH44" i="8"/>
  <c r="O57" i="8"/>
  <c r="CG57" i="8" s="1"/>
  <c r="AT57" i="8"/>
  <c r="K121" i="8"/>
  <c r="AD121" i="8"/>
  <c r="O136" i="8"/>
  <c r="CG136" i="8" s="1"/>
  <c r="AH136" i="8"/>
  <c r="N149" i="8"/>
  <c r="CF149" i="8" s="1"/>
  <c r="AS149" i="8"/>
  <c r="AM8" i="8"/>
  <c r="AM180" i="8" s="1"/>
  <c r="AM181" i="8"/>
  <c r="AM213" i="8" s="1"/>
  <c r="AN229" i="8" s="1"/>
  <c r="M83" i="8"/>
  <c r="AR83" i="8"/>
  <c r="K94" i="8"/>
  <c r="CC94" i="8" s="1"/>
  <c r="AD94" i="8"/>
  <c r="O110" i="8"/>
  <c r="CG110" i="8" s="1"/>
  <c r="AT110" i="8"/>
  <c r="M117" i="8"/>
  <c r="AF117" i="8"/>
  <c r="M126" i="8"/>
  <c r="AF126" i="8"/>
  <c r="K129" i="8"/>
  <c r="AP129" i="8"/>
  <c r="N141" i="8"/>
  <c r="CF141" i="8" s="1"/>
  <c r="AS141" i="8"/>
  <c r="AH97" i="8"/>
  <c r="AS42" i="8"/>
  <c r="AR100" i="8"/>
  <c r="AQ137" i="8"/>
  <c r="L37" i="8"/>
  <c r="CD37" i="8" s="1"/>
  <c r="AQ37" i="8"/>
  <c r="P43" i="8"/>
  <c r="CH43" i="8" s="1"/>
  <c r="AU43" i="8"/>
  <c r="L120" i="8"/>
  <c r="AQ120" i="8"/>
  <c r="AS46" i="8"/>
  <c r="AI32" i="8"/>
  <c r="AI24" i="8"/>
  <c r="AQ18" i="8"/>
  <c r="AI16" i="8"/>
  <c r="AG15" i="8"/>
  <c r="O150" i="8"/>
  <c r="CG150" i="8" s="1"/>
  <c r="AT150" i="8"/>
  <c r="AF43" i="8"/>
  <c r="AG135" i="8"/>
  <c r="AO34" i="8"/>
  <c r="AO182" i="8" s="1"/>
  <c r="AO214" i="8" s="1"/>
  <c r="AR152" i="8"/>
  <c r="BC135" i="8"/>
  <c r="AG152" i="8"/>
  <c r="AG41" i="8"/>
  <c r="AT53" i="8"/>
  <c r="BD15" i="8"/>
  <c r="BB18" i="8"/>
  <c r="BD19" i="8"/>
  <c r="BD23" i="8"/>
  <c r="BD27" i="8"/>
  <c r="BC54" i="8"/>
  <c r="BE58" i="8"/>
  <c r="BH34" i="8"/>
  <c r="AF152" i="8"/>
  <c r="AI39" i="8"/>
  <c r="AI60" i="8"/>
  <c r="AE62" i="8"/>
  <c r="BC14" i="8"/>
  <c r="AW34" i="8"/>
  <c r="BC34" i="8" s="1"/>
  <c r="BC18" i="8"/>
  <c r="BD44" i="8"/>
  <c r="BC70" i="8"/>
  <c r="AG102" i="8"/>
  <c r="AG149" i="8"/>
  <c r="AT61" i="8"/>
  <c r="BL12" i="8"/>
  <c r="BL49" i="8"/>
  <c r="BL183" i="8" s="1"/>
  <c r="BM199" i="8" s="1"/>
  <c r="AG90" i="8"/>
  <c r="AH144" i="8"/>
  <c r="AU78" i="8"/>
  <c r="BD36" i="8"/>
  <c r="BC52" i="8"/>
  <c r="BE59" i="8"/>
  <c r="BK85" i="8"/>
  <c r="BK186" i="8" s="1"/>
  <c r="BL202" i="8" s="1"/>
  <c r="BC89" i="8"/>
  <c r="BL109" i="8"/>
  <c r="BL188" i="8" s="1"/>
  <c r="BM204" i="8" s="1"/>
  <c r="BD102" i="8"/>
  <c r="BI159" i="8"/>
  <c r="BK166" i="8"/>
  <c r="AD18" i="8"/>
  <c r="AE53" i="8"/>
  <c r="AG58" i="8"/>
  <c r="AG62" i="8"/>
  <c r="AG94" i="8"/>
  <c r="AI117" i="8"/>
  <c r="AG119" i="8"/>
  <c r="AE43" i="8"/>
  <c r="AG42" i="8"/>
  <c r="AI43" i="8"/>
  <c r="AH61" i="8"/>
  <c r="AF74" i="8"/>
  <c r="AD78" i="8"/>
  <c r="AF79" i="8"/>
  <c r="AH80" i="8"/>
  <c r="AD82" i="8"/>
  <c r="AF83" i="8"/>
  <c r="AK95" i="8"/>
  <c r="AE106" i="8"/>
  <c r="AI108" i="8"/>
  <c r="AK125" i="8"/>
  <c r="AG112" i="8"/>
  <c r="AK134" i="8"/>
  <c r="AM134" i="8"/>
  <c r="AM190" i="8" s="1"/>
  <c r="AN206" i="8" s="1"/>
  <c r="AG131" i="8"/>
  <c r="AL159" i="8"/>
  <c r="AG138" i="8"/>
  <c r="AF145" i="8"/>
  <c r="AE148" i="8"/>
  <c r="AI154" i="8"/>
  <c r="AG157" i="8"/>
  <c r="AS119" i="8"/>
  <c r="BI12" i="8"/>
  <c r="BM134" i="8"/>
  <c r="BM190" i="8" s="1"/>
  <c r="BM222" i="8" s="1"/>
  <c r="AR44" i="8"/>
  <c r="AD118" i="8"/>
  <c r="AG143" i="8"/>
  <c r="AG151" i="8"/>
  <c r="AD157" i="8"/>
  <c r="AI78" i="8"/>
  <c r="AK12" i="8"/>
  <c r="AE41" i="8"/>
  <c r="AF56" i="8"/>
  <c r="AL109" i="8"/>
  <c r="AF100" i="8"/>
  <c r="AS58" i="8"/>
  <c r="AQ89" i="8"/>
  <c r="AU103" i="8"/>
  <c r="AR143" i="8"/>
  <c r="BL34" i="8"/>
  <c r="BL182" i="8" s="1"/>
  <c r="BM198" i="8" s="1"/>
  <c r="BJ49" i="8"/>
  <c r="BJ183" i="8" s="1"/>
  <c r="BJ215" i="8" s="1"/>
  <c r="BK231" i="8" s="1"/>
  <c r="BM95" i="8"/>
  <c r="BM187" i="8" s="1"/>
  <c r="BM219" i="8" s="1"/>
  <c r="BI125" i="8"/>
  <c r="BH134" i="8"/>
  <c r="N158" i="8"/>
  <c r="CF158" i="8" s="1"/>
  <c r="AG48" i="8"/>
  <c r="AI124" i="8"/>
  <c r="AE52" i="8"/>
  <c r="AT45" i="8"/>
  <c r="AT120" i="8"/>
  <c r="BE56" i="8"/>
  <c r="BC86" i="8"/>
  <c r="BD89" i="8"/>
  <c r="BK12" i="8"/>
  <c r="BI34" i="8"/>
  <c r="BM34" i="8"/>
  <c r="BM182" i="8" s="1"/>
  <c r="BM214" i="8" s="1"/>
  <c r="BK167" i="8"/>
  <c r="BK49" i="8"/>
  <c r="BK183" i="8" s="1"/>
  <c r="BL199" i="8" s="1"/>
  <c r="BI64" i="8"/>
  <c r="BL64" i="8"/>
  <c r="BL184" i="8" s="1"/>
  <c r="BL216" i="8" s="1"/>
  <c r="BM232" i="8" s="1"/>
  <c r="BD56" i="8"/>
  <c r="BE60" i="8"/>
  <c r="BL77" i="8"/>
  <c r="BL185" i="8" s="1"/>
  <c r="BL217" i="8" s="1"/>
  <c r="BM233" i="8" s="1"/>
  <c r="BI85" i="8"/>
  <c r="BK109" i="8"/>
  <c r="BK188" i="8" s="1"/>
  <c r="BL204" i="8" s="1"/>
  <c r="BJ125" i="8"/>
  <c r="BJ189" i="8" s="1"/>
  <c r="BC127" i="8"/>
  <c r="BL179" i="8"/>
  <c r="U179" i="8"/>
  <c r="AZ227" i="8"/>
  <c r="BK179" i="8"/>
  <c r="BJ244" i="8"/>
  <c r="I161" i="8"/>
  <c r="V179" i="8"/>
  <c r="V195" i="8"/>
  <c r="BJ179" i="8"/>
  <c r="BK244" i="8"/>
  <c r="BA227" i="8"/>
  <c r="AA195" i="8"/>
  <c r="BL244" i="8"/>
  <c r="W211" i="8"/>
  <c r="AO195" i="8"/>
  <c r="AX179" i="8"/>
  <c r="BK211" i="8"/>
  <c r="AB195" i="8"/>
  <c r="W227" i="8"/>
  <c r="U244" i="8"/>
  <c r="AN179" i="8"/>
  <c r="AM211" i="8"/>
  <c r="AM244" i="8"/>
  <c r="AY179" i="8"/>
  <c r="AX211" i="8"/>
  <c r="AY244" i="8"/>
  <c r="BL211" i="8"/>
  <c r="BM244" i="8"/>
  <c r="AA179" i="8"/>
  <c r="AC227" i="8"/>
  <c r="AA244" i="8"/>
  <c r="AY227" i="8"/>
  <c r="AB179" i="8"/>
  <c r="W195" i="8"/>
  <c r="U211" i="8"/>
  <c r="AB227" i="8"/>
  <c r="AM195" i="8"/>
  <c r="AY195" i="8"/>
  <c r="BM195" i="8"/>
  <c r="BM227" i="8"/>
  <c r="AC244" i="8"/>
  <c r="AB244" i="8"/>
  <c r="AC179" i="8"/>
  <c r="AC211" i="8"/>
  <c r="BA244" i="8"/>
  <c r="BL195" i="8"/>
  <c r="AO211" i="8"/>
  <c r="AO244" i="8"/>
  <c r="AZ211" i="8"/>
  <c r="BK195" i="8"/>
  <c r="AA227" i="8"/>
  <c r="AN211" i="8"/>
  <c r="AZ179" i="8"/>
  <c r="BJ195" i="8"/>
  <c r="O11" i="8"/>
  <c r="CG11" i="8" s="1"/>
  <c r="AT11" i="8"/>
  <c r="AH11" i="8"/>
  <c r="L30" i="8"/>
  <c r="CD30" i="8" s="1"/>
  <c r="AG23" i="8"/>
  <c r="N23" i="8"/>
  <c r="CF23" i="8" s="1"/>
  <c r="N19" i="8"/>
  <c r="CF19" i="8" s="1"/>
  <c r="AG19" i="8"/>
  <c r="O39" i="8"/>
  <c r="CG39" i="8" s="1"/>
  <c r="AT39" i="8"/>
  <c r="O52" i="8"/>
  <c r="CG52" i="8" s="1"/>
  <c r="AT52" i="8"/>
  <c r="M59" i="8"/>
  <c r="CE59" i="8" s="1"/>
  <c r="P140" i="8"/>
  <c r="CH140" i="8" s="1"/>
  <c r="AU140" i="8"/>
  <c r="L146" i="8"/>
  <c r="AQ146" i="8"/>
  <c r="AM125" i="8"/>
  <c r="AM189" i="8" s="1"/>
  <c r="N5" i="8"/>
  <c r="CF5" i="8" s="1"/>
  <c r="AS5" i="8"/>
  <c r="I134" i="14"/>
  <c r="M6" i="8"/>
  <c r="CE6" i="8" s="1"/>
  <c r="AF6" i="8"/>
  <c r="O7" i="8"/>
  <c r="CG7" i="8" s="1"/>
  <c r="AT7" i="8"/>
  <c r="M11" i="8"/>
  <c r="CE11" i="8" s="1"/>
  <c r="AR11" i="8"/>
  <c r="O13" i="8"/>
  <c r="CG13" i="8" s="1"/>
  <c r="AT13" i="8"/>
  <c r="P31" i="8"/>
  <c r="CH31" i="8" s="1"/>
  <c r="AU31" i="8"/>
  <c r="AI31" i="8"/>
  <c r="N30" i="8"/>
  <c r="CF30" i="8" s="1"/>
  <c r="AS30" i="8"/>
  <c r="AG30" i="8"/>
  <c r="L29" i="8"/>
  <c r="CD29" i="8" s="1"/>
  <c r="AQ29" i="8"/>
  <c r="AE29" i="8"/>
  <c r="P27" i="8"/>
  <c r="CH27" i="8" s="1"/>
  <c r="AU27" i="8"/>
  <c r="AI27" i="8"/>
  <c r="N26" i="8"/>
  <c r="CF26" i="8" s="1"/>
  <c r="AS26" i="8"/>
  <c r="L25" i="8"/>
  <c r="CD25" i="8" s="1"/>
  <c r="AQ25" i="8"/>
  <c r="AE25" i="8"/>
  <c r="P23" i="8"/>
  <c r="CH23" i="8" s="1"/>
  <c r="AI23" i="8"/>
  <c r="AU23" i="8"/>
  <c r="N22" i="8"/>
  <c r="CF22" i="8" s="1"/>
  <c r="AS22" i="8"/>
  <c r="L21" i="8"/>
  <c r="CD21" i="8" s="1"/>
  <c r="AQ21" i="8"/>
  <c r="P19" i="8"/>
  <c r="CH19" i="8" s="1"/>
  <c r="AU19" i="8"/>
  <c r="N18" i="8"/>
  <c r="CF18" i="8" s="1"/>
  <c r="AG18" i="8"/>
  <c r="AS18" i="8"/>
  <c r="L17" i="8"/>
  <c r="CD17" i="8" s="1"/>
  <c r="AQ17" i="8"/>
  <c r="AE17" i="8"/>
  <c r="P15" i="8"/>
  <c r="CH15" i="8" s="1"/>
  <c r="AI15" i="8"/>
  <c r="M33" i="8"/>
  <c r="CE33" i="8" s="1"/>
  <c r="M67" i="8"/>
  <c r="CE67" i="8" s="1"/>
  <c r="AR67" i="8"/>
  <c r="AF67" i="8"/>
  <c r="O68" i="8"/>
  <c r="CG68" i="8" s="1"/>
  <c r="AT68" i="8"/>
  <c r="AH68" i="8"/>
  <c r="M71" i="8"/>
  <c r="CE71" i="8" s="1"/>
  <c r="AT72" i="8"/>
  <c r="AH72" i="8"/>
  <c r="O72" i="8"/>
  <c r="CG72" i="8" s="1"/>
  <c r="M75" i="8"/>
  <c r="CE75" i="8" s="1"/>
  <c r="AR75" i="8"/>
  <c r="O76" i="8"/>
  <c r="CG76" i="8" s="1"/>
  <c r="AT76" i="8"/>
  <c r="AH76" i="8"/>
  <c r="M80" i="8"/>
  <c r="AR80" i="8"/>
  <c r="O81" i="8"/>
  <c r="CG81" i="8" s="1"/>
  <c r="AH81" i="8"/>
  <c r="AT81" i="8"/>
  <c r="K83" i="8"/>
  <c r="AP83" i="8"/>
  <c r="M84" i="8"/>
  <c r="AR84" i="8"/>
  <c r="AF84" i="8"/>
  <c r="M89" i="8"/>
  <c r="AR89" i="8"/>
  <c r="O90" i="8"/>
  <c r="CG90" i="8" s="1"/>
  <c r="AT90" i="8"/>
  <c r="AH90" i="8"/>
  <c r="M97" i="8"/>
  <c r="AF97" i="8"/>
  <c r="O98" i="8"/>
  <c r="CG98" i="8" s="1"/>
  <c r="AT98" i="8"/>
  <c r="AH98" i="8"/>
  <c r="M101" i="8"/>
  <c r="AF101" i="8"/>
  <c r="O102" i="8"/>
  <c r="CG102" i="8" s="1"/>
  <c r="AT102" i="8"/>
  <c r="AH102" i="8"/>
  <c r="M105" i="8"/>
  <c r="AF105" i="8"/>
  <c r="O106" i="8"/>
  <c r="CG106" i="8" s="1"/>
  <c r="AT106" i="8"/>
  <c r="M110" i="8"/>
  <c r="AR110" i="8"/>
  <c r="O111" i="8"/>
  <c r="AH111" i="8"/>
  <c r="AT111" i="8"/>
  <c r="M114" i="8"/>
  <c r="AR114" i="8"/>
  <c r="AF114" i="8"/>
  <c r="O115" i="8"/>
  <c r="CG115" i="8" s="1"/>
  <c r="AT115" i="8"/>
  <c r="AH115" i="8"/>
  <c r="AD117" i="8"/>
  <c r="M118" i="8"/>
  <c r="AF118" i="8"/>
  <c r="AR118" i="8"/>
  <c r="O119" i="8"/>
  <c r="CG119" i="8" s="1"/>
  <c r="AH119" i="8"/>
  <c r="AT119" i="8"/>
  <c r="M122" i="8"/>
  <c r="CE122" i="8" s="1"/>
  <c r="AR122" i="8"/>
  <c r="O123" i="8"/>
  <c r="CG123" i="8" s="1"/>
  <c r="AH123" i="8"/>
  <c r="M127" i="8"/>
  <c r="AR127" i="8"/>
  <c r="O128" i="8"/>
  <c r="CG128" i="8" s="1"/>
  <c r="AT128" i="8"/>
  <c r="AH128" i="8"/>
  <c r="M131" i="8"/>
  <c r="CE131" i="8" s="1"/>
  <c r="AR131" i="8"/>
  <c r="AF131" i="8"/>
  <c r="O132" i="8"/>
  <c r="CG132" i="8" s="1"/>
  <c r="AT132" i="8"/>
  <c r="AH132" i="8"/>
  <c r="M136" i="8"/>
  <c r="AR136" i="8"/>
  <c r="AF136" i="8"/>
  <c r="O137" i="8"/>
  <c r="CG137" i="8" s="1"/>
  <c r="AT137" i="8"/>
  <c r="AH137" i="8"/>
  <c r="L139" i="8"/>
  <c r="AE139" i="8"/>
  <c r="AQ139" i="8"/>
  <c r="N140" i="8"/>
  <c r="CF140" i="8" s="1"/>
  <c r="AG140" i="8"/>
  <c r="P141" i="8"/>
  <c r="CH141" i="8" s="1"/>
  <c r="AU141" i="8"/>
  <c r="AI141" i="8"/>
  <c r="L143" i="8"/>
  <c r="AQ143" i="8"/>
  <c r="N144" i="8"/>
  <c r="CF144" i="8" s="1"/>
  <c r="AS144" i="8"/>
  <c r="AG144" i="8"/>
  <c r="P145" i="8"/>
  <c r="CH145" i="8" s="1"/>
  <c r="AU145" i="8"/>
  <c r="L147" i="8"/>
  <c r="AE147" i="8"/>
  <c r="N148" i="8"/>
  <c r="CF148" i="8" s="1"/>
  <c r="AS148" i="8"/>
  <c r="AG148" i="8"/>
  <c r="AF75" i="8"/>
  <c r="AH7" i="8"/>
  <c r="AH86" i="8"/>
  <c r="AH93" i="8"/>
  <c r="AR6" i="8"/>
  <c r="AR33" i="8"/>
  <c r="AT47" i="8"/>
  <c r="AU71" i="8"/>
  <c r="AU79" i="8"/>
  <c r="AS87" i="8"/>
  <c r="AT93" i="8"/>
  <c r="AU152" i="8"/>
  <c r="AX159" i="8"/>
  <c r="AX166" i="8"/>
  <c r="BD135" i="8"/>
  <c r="K8" i="13"/>
  <c r="K34" i="14"/>
  <c r="K85" i="14"/>
  <c r="M159" i="14"/>
  <c r="N6" i="8"/>
  <c r="AS6" i="8"/>
  <c r="AG6" i="8"/>
  <c r="P7" i="8"/>
  <c r="CH7" i="8" s="1"/>
  <c r="AU7" i="8"/>
  <c r="AI7" i="8"/>
  <c r="L10" i="8"/>
  <c r="CD10" i="8" s="1"/>
  <c r="AQ10" i="8"/>
  <c r="AE10" i="8"/>
  <c r="N11" i="8"/>
  <c r="CF11" i="8" s="1"/>
  <c r="P13" i="8"/>
  <c r="CH13" i="8" s="1"/>
  <c r="AU13" i="8"/>
  <c r="O31" i="8"/>
  <c r="CG31" i="8" s="1"/>
  <c r="AH31" i="8"/>
  <c r="AT31" i="8"/>
  <c r="M30" i="8"/>
  <c r="CE30" i="8" s="1"/>
  <c r="AR30" i="8"/>
  <c r="AF30" i="8"/>
  <c r="O27" i="8"/>
  <c r="CG27" i="8" s="1"/>
  <c r="AT27" i="8"/>
  <c r="AH27" i="8"/>
  <c r="N35" i="8"/>
  <c r="CF35" i="8" s="1"/>
  <c r="AS35" i="8"/>
  <c r="AG35" i="8"/>
  <c r="P36" i="8"/>
  <c r="CH36" i="8" s="1"/>
  <c r="AU36" i="8"/>
  <c r="AI36" i="8"/>
  <c r="L38" i="8"/>
  <c r="AQ38" i="8"/>
  <c r="AE38" i="8"/>
  <c r="P40" i="8"/>
  <c r="CH40" i="8" s="1"/>
  <c r="AI40" i="8"/>
  <c r="L42" i="8"/>
  <c r="CD42" i="8" s="1"/>
  <c r="AQ42" i="8"/>
  <c r="N43" i="8"/>
  <c r="CF43" i="8" s="1"/>
  <c r="AS43" i="8"/>
  <c r="P44" i="8"/>
  <c r="CH44" i="8" s="1"/>
  <c r="AU44" i="8"/>
  <c r="AI44" i="8"/>
  <c r="L46" i="8"/>
  <c r="CD46" i="8" s="1"/>
  <c r="AE46" i="8"/>
  <c r="AQ46" i="8"/>
  <c r="N47" i="8"/>
  <c r="CF47" i="8" s="1"/>
  <c r="AS47" i="8"/>
  <c r="P48" i="8"/>
  <c r="CH48" i="8" s="1"/>
  <c r="AU48" i="8"/>
  <c r="AI48" i="8"/>
  <c r="L51" i="8"/>
  <c r="CD51" i="8" s="1"/>
  <c r="AE51" i="8"/>
  <c r="N52" i="8"/>
  <c r="CF52" i="8" s="1"/>
  <c r="AS52" i="8"/>
  <c r="P53" i="8"/>
  <c r="CH53" i="8" s="1"/>
  <c r="AU53" i="8"/>
  <c r="L55" i="8"/>
  <c r="CD55" i="8" s="1"/>
  <c r="AE55" i="8"/>
  <c r="N56" i="8"/>
  <c r="CF56" i="8" s="1"/>
  <c r="AS56" i="8"/>
  <c r="AG56" i="8"/>
  <c r="P57" i="8"/>
  <c r="AU57" i="8"/>
  <c r="L59" i="8"/>
  <c r="CD59" i="8" s="1"/>
  <c r="AE59" i="8"/>
  <c r="N60" i="8"/>
  <c r="CF60" i="8" s="1"/>
  <c r="AS60" i="8"/>
  <c r="AG60" i="8"/>
  <c r="P61" i="8"/>
  <c r="CH61" i="8" s="1"/>
  <c r="AU61" i="8"/>
  <c r="AI61" i="8"/>
  <c r="L66" i="8"/>
  <c r="AQ66" i="8"/>
  <c r="N67" i="8"/>
  <c r="CF67" i="8" s="1"/>
  <c r="AG67" i="8"/>
  <c r="AS67" i="8"/>
  <c r="P68" i="8"/>
  <c r="CH68" i="8" s="1"/>
  <c r="AU68" i="8"/>
  <c r="L70" i="8"/>
  <c r="CD70" i="8" s="1"/>
  <c r="AQ70" i="8"/>
  <c r="N71" i="8"/>
  <c r="CF71" i="8" s="1"/>
  <c r="AS71" i="8"/>
  <c r="P72" i="8"/>
  <c r="CH72" i="8" s="1"/>
  <c r="AU72" i="8"/>
  <c r="L74" i="8"/>
  <c r="CD74" i="8" s="1"/>
  <c r="AQ74" i="8"/>
  <c r="N75" i="8"/>
  <c r="CF75" i="8" s="1"/>
  <c r="AS75" i="8"/>
  <c r="P76" i="8"/>
  <c r="CH76" i="8" s="1"/>
  <c r="AU76" i="8"/>
  <c r="L79" i="8"/>
  <c r="AQ79" i="8"/>
  <c r="N80" i="8"/>
  <c r="CF80" i="8" s="1"/>
  <c r="AS80" i="8"/>
  <c r="P81" i="8"/>
  <c r="CH81" i="8" s="1"/>
  <c r="AU81" i="8"/>
  <c r="L83" i="8"/>
  <c r="AQ83" i="8"/>
  <c r="N84" i="8"/>
  <c r="CF84" i="8" s="1"/>
  <c r="AS84" i="8"/>
  <c r="P86" i="8"/>
  <c r="AU86" i="8"/>
  <c r="AI86" i="8"/>
  <c r="L88" i="8"/>
  <c r="AQ88" i="8"/>
  <c r="AE88" i="8"/>
  <c r="N89" i="8"/>
  <c r="CF89" i="8" s="1"/>
  <c r="AS89" i="8"/>
  <c r="AG89" i="8"/>
  <c r="P90" i="8"/>
  <c r="CH90" i="8" s="1"/>
  <c r="AU90" i="8"/>
  <c r="L150" i="8"/>
  <c r="AQ150" i="8"/>
  <c r="N92" i="8"/>
  <c r="CF92" i="8" s="1"/>
  <c r="AS92" i="8"/>
  <c r="P93" i="8"/>
  <c r="CH93" i="8" s="1"/>
  <c r="AU93" i="8"/>
  <c r="AI93" i="8"/>
  <c r="L96" i="8"/>
  <c r="P98" i="8"/>
  <c r="CH98" i="8" s="1"/>
  <c r="AU98" i="8"/>
  <c r="L100" i="8"/>
  <c r="AQ100" i="8"/>
  <c r="N101" i="8"/>
  <c r="CF101" i="8" s="1"/>
  <c r="AG101" i="8"/>
  <c r="P102" i="8"/>
  <c r="CH102" i="8" s="1"/>
  <c r="AU102" i="8"/>
  <c r="L104" i="8"/>
  <c r="AQ104" i="8"/>
  <c r="N105" i="8"/>
  <c r="CF105" i="8" s="1"/>
  <c r="AG105" i="8"/>
  <c r="AS105" i="8"/>
  <c r="P106" i="8"/>
  <c r="CH106" i="8" s="1"/>
  <c r="AI106" i="8"/>
  <c r="L108" i="8"/>
  <c r="CD108" i="8" s="1"/>
  <c r="AE108" i="8"/>
  <c r="N110" i="8"/>
  <c r="AS110" i="8"/>
  <c r="P111" i="8"/>
  <c r="CH111" i="8" s="1"/>
  <c r="AU111" i="8"/>
  <c r="AI111" i="8"/>
  <c r="L113" i="8"/>
  <c r="AQ113" i="8"/>
  <c r="N114" i="8"/>
  <c r="CF114" i="8" s="1"/>
  <c r="AS114" i="8"/>
  <c r="P115" i="8"/>
  <c r="CH115" i="8" s="1"/>
  <c r="AI115" i="8"/>
  <c r="L117" i="8"/>
  <c r="AE117" i="8"/>
  <c r="AQ117" i="8"/>
  <c r="N118" i="8"/>
  <c r="CF118" i="8" s="1"/>
  <c r="AS118" i="8"/>
  <c r="P119" i="8"/>
  <c r="CH119" i="8" s="1"/>
  <c r="AU119" i="8"/>
  <c r="AI119" i="8"/>
  <c r="L121" i="8"/>
  <c r="AE121" i="8"/>
  <c r="AQ121" i="8"/>
  <c r="N122" i="8"/>
  <c r="CF122" i="8" s="1"/>
  <c r="AS122" i="8"/>
  <c r="P123" i="8"/>
  <c r="CH123" i="8" s="1"/>
  <c r="AU123" i="8"/>
  <c r="AI123" i="8"/>
  <c r="L126" i="8"/>
  <c r="AQ126" i="8"/>
  <c r="AE126" i="8"/>
  <c r="N127" i="8"/>
  <c r="CF127" i="8" s="1"/>
  <c r="AG127" i="8"/>
  <c r="P128" i="8"/>
  <c r="CH128" i="8" s="1"/>
  <c r="AU128" i="8"/>
  <c r="L130" i="8"/>
  <c r="AQ130" i="8"/>
  <c r="AE130" i="8"/>
  <c r="N131" i="8"/>
  <c r="CF131" i="8" s="1"/>
  <c r="AS131" i="8"/>
  <c r="P132" i="8"/>
  <c r="CH132" i="8" s="1"/>
  <c r="AU132" i="8"/>
  <c r="AI132" i="8"/>
  <c r="L135" i="8"/>
  <c r="AQ135" i="8"/>
  <c r="N136" i="8"/>
  <c r="CF136" i="8" s="1"/>
  <c r="AG136" i="8"/>
  <c r="P137" i="8"/>
  <c r="CH137" i="8" s="1"/>
  <c r="AU137" i="8"/>
  <c r="L151" i="8"/>
  <c r="AE151" i="8"/>
  <c r="N152" i="8"/>
  <c r="CF152" i="8" s="1"/>
  <c r="AS152" i="8"/>
  <c r="P153" i="8"/>
  <c r="CH153" i="8" s="1"/>
  <c r="AU153" i="8"/>
  <c r="L155" i="8"/>
  <c r="CD155" i="8" s="1"/>
  <c r="AE155" i="8"/>
  <c r="N156" i="8"/>
  <c r="CF156" i="8" s="1"/>
  <c r="AG156" i="8"/>
  <c r="AS156" i="8"/>
  <c r="AU157" i="8"/>
  <c r="P157" i="8"/>
  <c r="CH157" i="8" s="1"/>
  <c r="AI157" i="8"/>
  <c r="AF11" i="8"/>
  <c r="AF80" i="8"/>
  <c r="AI53" i="8"/>
  <c r="AG70" i="8"/>
  <c r="AG87" i="8"/>
  <c r="AE21" i="8"/>
  <c r="AE42" i="8"/>
  <c r="AE63" i="8"/>
  <c r="AD83" i="8"/>
  <c r="AE104" i="8"/>
  <c r="AE120" i="8"/>
  <c r="AE143" i="8"/>
  <c r="AO165" i="8"/>
  <c r="AO8" i="8"/>
  <c r="AO180" i="8" s="1"/>
  <c r="AL49" i="8"/>
  <c r="AF38" i="8"/>
  <c r="AH56" i="8"/>
  <c r="AF59" i="8"/>
  <c r="AI66" i="8"/>
  <c r="AG69" i="8"/>
  <c r="AG73" i="8"/>
  <c r="AI74" i="8"/>
  <c r="AG78" i="8"/>
  <c r="AI79" i="8"/>
  <c r="AE81" i="8"/>
  <c r="AG82" i="8"/>
  <c r="AI83" i="8"/>
  <c r="AL95" i="8"/>
  <c r="AM109" i="8"/>
  <c r="AM188" i="8" s="1"/>
  <c r="BA8" i="8"/>
  <c r="AO109" i="8"/>
  <c r="AO188" i="8" s="1"/>
  <c r="AO220" i="8" s="1"/>
  <c r="AT14" i="8"/>
  <c r="AS127" i="8"/>
  <c r="AS136" i="8"/>
  <c r="AQ145" i="8"/>
  <c r="AQ155" i="8"/>
  <c r="BD7" i="8"/>
  <c r="AZ12" i="8"/>
  <c r="BF9" i="8"/>
  <c r="AR13" i="8"/>
  <c r="AZ34" i="8"/>
  <c r="BF14" i="8"/>
  <c r="AR17" i="8"/>
  <c r="BD17" i="8"/>
  <c r="AZ167" i="8"/>
  <c r="BF18" i="8"/>
  <c r="AR21" i="8"/>
  <c r="AR25" i="8"/>
  <c r="AY49" i="8"/>
  <c r="BE37" i="8"/>
  <c r="BC50" i="8"/>
  <c r="AW64" i="8"/>
  <c r="AZ77" i="8"/>
  <c r="BF66" i="8"/>
  <c r="AR69" i="8"/>
  <c r="BD69" i="8"/>
  <c r="AR73" i="8"/>
  <c r="AR78" i="8"/>
  <c r="BD78" i="8"/>
  <c r="BF79" i="8"/>
  <c r="AZ85" i="8"/>
  <c r="N31" i="8"/>
  <c r="CF31" i="8" s="1"/>
  <c r="N27" i="8"/>
  <c r="CF27" i="8" s="1"/>
  <c r="AG27" i="8"/>
  <c r="AS27" i="8"/>
  <c r="L22" i="8"/>
  <c r="CD22" i="8" s="1"/>
  <c r="N15" i="8"/>
  <c r="CF15" i="8" s="1"/>
  <c r="AS15" i="8"/>
  <c r="O43" i="8"/>
  <c r="CG43" i="8" s="1"/>
  <c r="AT43" i="8"/>
  <c r="M46" i="8"/>
  <c r="CE46" i="8" s="1"/>
  <c r="AR46" i="8"/>
  <c r="M51" i="8"/>
  <c r="M63" i="8"/>
  <c r="CE63" i="8" s="1"/>
  <c r="AR63" i="8"/>
  <c r="N139" i="8"/>
  <c r="CF139" i="8" s="1"/>
  <c r="AS139" i="8"/>
  <c r="P144" i="8"/>
  <c r="CH144" i="8" s="1"/>
  <c r="AI144" i="8"/>
  <c r="AU144" i="8"/>
  <c r="AT35" i="8"/>
  <c r="AB65" i="13"/>
  <c r="AB85" i="13"/>
  <c r="M34" i="14"/>
  <c r="P6" i="8"/>
  <c r="CH6" i="8" s="1"/>
  <c r="AU6" i="8"/>
  <c r="AI6" i="8"/>
  <c r="L14" i="8"/>
  <c r="CD14" i="8" s="1"/>
  <c r="AQ14" i="8"/>
  <c r="O20" i="8"/>
  <c r="CG20" i="8" s="1"/>
  <c r="AT20" i="8"/>
  <c r="M15" i="8"/>
  <c r="L69" i="8"/>
  <c r="CD69" i="8" s="1"/>
  <c r="AQ69" i="8"/>
  <c r="AE69" i="8"/>
  <c r="N88" i="8"/>
  <c r="CF88" i="8" s="1"/>
  <c r="AS88" i="8"/>
  <c r="N150" i="8"/>
  <c r="CF150" i="8" s="1"/>
  <c r="AS150" i="8"/>
  <c r="AG150" i="8"/>
  <c r="N96" i="8"/>
  <c r="AS96" i="8"/>
  <c r="AG96" i="8"/>
  <c r="N100" i="8"/>
  <c r="CF100" i="8" s="1"/>
  <c r="AS100" i="8"/>
  <c r="AG100" i="8"/>
  <c r="P101" i="8"/>
  <c r="CH101" i="8" s="1"/>
  <c r="AU101" i="8"/>
  <c r="P105" i="8"/>
  <c r="CH105" i="8" s="1"/>
  <c r="AU105" i="8"/>
  <c r="AI105" i="8"/>
  <c r="L107" i="8"/>
  <c r="CD107" i="8" s="1"/>
  <c r="AQ107" i="8"/>
  <c r="N108" i="8"/>
  <c r="CF108" i="8" s="1"/>
  <c r="AG108" i="8"/>
  <c r="AS108" i="8"/>
  <c r="P110" i="8"/>
  <c r="AU110" i="8"/>
  <c r="L116" i="8"/>
  <c r="AQ116" i="8"/>
  <c r="L124" i="8"/>
  <c r="CD124" i="8" s="1"/>
  <c r="AQ124" i="8"/>
  <c r="AE124" i="8"/>
  <c r="P127" i="8"/>
  <c r="CH127" i="8" s="1"/>
  <c r="AU127" i="8"/>
  <c r="L129" i="8"/>
  <c r="AQ129" i="8"/>
  <c r="N130" i="8"/>
  <c r="CF130" i="8" s="1"/>
  <c r="AG130" i="8"/>
  <c r="AS130" i="8"/>
  <c r="P131" i="8"/>
  <c r="CH131" i="8" s="1"/>
  <c r="AI131" i="8"/>
  <c r="N135" i="8"/>
  <c r="AS135" i="8"/>
  <c r="P136" i="8"/>
  <c r="CH136" i="8" s="1"/>
  <c r="AU136" i="8"/>
  <c r="AI136" i="8"/>
  <c r="M138" i="8"/>
  <c r="AR138" i="8"/>
  <c r="O139" i="8"/>
  <c r="CG139" i="8" s="1"/>
  <c r="AT139" i="8"/>
  <c r="L149" i="8"/>
  <c r="AQ149" i="8"/>
  <c r="N151" i="8"/>
  <c r="CF151" i="8" s="1"/>
  <c r="AS151" i="8"/>
  <c r="L154" i="8"/>
  <c r="CD154" i="8" s="1"/>
  <c r="AQ154" i="8"/>
  <c r="N155" i="8"/>
  <c r="CF155" i="8" s="1"/>
  <c r="AS155" i="8"/>
  <c r="AG26" i="8"/>
  <c r="AG88" i="8"/>
  <c r="AI110" i="8"/>
  <c r="AI127" i="8"/>
  <c r="AE107" i="8"/>
  <c r="AE146" i="8"/>
  <c r="AN197" i="8"/>
  <c r="AM182" i="8"/>
  <c r="AN215" i="8"/>
  <c r="AO231" i="8" s="1"/>
  <c r="AO199" i="8"/>
  <c r="AU15" i="8"/>
  <c r="AQ112" i="8"/>
  <c r="AQ138" i="8"/>
  <c r="AU156" i="8"/>
  <c r="AY109" i="8"/>
  <c r="BE98" i="8"/>
  <c r="AZ134" i="8"/>
  <c r="BF126" i="8"/>
  <c r="AX134" i="8"/>
  <c r="BD129" i="8"/>
  <c r="BA159" i="8"/>
  <c r="BA166" i="8"/>
  <c r="BG135" i="8"/>
  <c r="BC139" i="8"/>
  <c r="AW159" i="8"/>
  <c r="M77" i="13"/>
  <c r="K159" i="13"/>
  <c r="K49" i="14"/>
  <c r="M77" i="14"/>
  <c r="M37" i="8"/>
  <c r="CE37" i="8" s="1"/>
  <c r="AR37" i="8"/>
  <c r="O38" i="8"/>
  <c r="CG38" i="8" s="1"/>
  <c r="M41" i="8"/>
  <c r="CE41" i="8" s="1"/>
  <c r="AR41" i="8"/>
  <c r="O42" i="8"/>
  <c r="CG42" i="8" s="1"/>
  <c r="AT42" i="8"/>
  <c r="M45" i="8"/>
  <c r="CE45" i="8" s="1"/>
  <c r="AR45" i="8"/>
  <c r="AF45" i="8"/>
  <c r="O46" i="8"/>
  <c r="CG46" i="8" s="1"/>
  <c r="AT46" i="8"/>
  <c r="K48" i="8"/>
  <c r="AD48" i="8"/>
  <c r="M50" i="8"/>
  <c r="CE50" i="8" s="1"/>
  <c r="AR50" i="8"/>
  <c r="AT51" i="8"/>
  <c r="O51" i="8"/>
  <c r="CG51" i="8" s="1"/>
  <c r="M54" i="8"/>
  <c r="CE54" i="8" s="1"/>
  <c r="AF54" i="8"/>
  <c r="O55" i="8"/>
  <c r="CG55" i="8" s="1"/>
  <c r="AH55" i="8"/>
  <c r="K57" i="8"/>
  <c r="CC57" i="8" s="1"/>
  <c r="AP57" i="8"/>
  <c r="M58" i="8"/>
  <c r="CE58" i="8" s="1"/>
  <c r="AR58" i="8"/>
  <c r="O59" i="8"/>
  <c r="CG59" i="8" s="1"/>
  <c r="AT59" i="8"/>
  <c r="AH59" i="8"/>
  <c r="M62" i="8"/>
  <c r="CE62" i="8" s="1"/>
  <c r="O63" i="8"/>
  <c r="CG63" i="8" s="1"/>
  <c r="AT63" i="8"/>
  <c r="O66" i="8"/>
  <c r="AT66" i="8"/>
  <c r="O70" i="8"/>
  <c r="CG70" i="8" s="1"/>
  <c r="AT70" i="8"/>
  <c r="O74" i="8"/>
  <c r="CG74" i="8" s="1"/>
  <c r="AT74" i="8"/>
  <c r="O79" i="8"/>
  <c r="CG79" i="8" s="1"/>
  <c r="AT79" i="8"/>
  <c r="M82" i="8"/>
  <c r="AR82" i="8"/>
  <c r="O83" i="8"/>
  <c r="CG83" i="8" s="1"/>
  <c r="AT83" i="8"/>
  <c r="O88" i="8"/>
  <c r="CG88" i="8" s="1"/>
  <c r="AT88" i="8"/>
  <c r="M91" i="8"/>
  <c r="AR91" i="8"/>
  <c r="M94" i="8"/>
  <c r="CE94" i="8" s="1"/>
  <c r="AR94" i="8"/>
  <c r="O96" i="8"/>
  <c r="AT96" i="8"/>
  <c r="O100" i="8"/>
  <c r="CG100" i="8" s="1"/>
  <c r="AT100" i="8"/>
  <c r="M103" i="8"/>
  <c r="AR103" i="8"/>
  <c r="O104" i="8"/>
  <c r="CG104" i="8" s="1"/>
  <c r="AT104" i="8"/>
  <c r="O113" i="8"/>
  <c r="CG113" i="8" s="1"/>
  <c r="AT113" i="8"/>
  <c r="M120" i="8"/>
  <c r="AR120" i="8"/>
  <c r="O121" i="8"/>
  <c r="CG121" i="8" s="1"/>
  <c r="AT121" i="8"/>
  <c r="M124" i="8"/>
  <c r="CE124" i="8" s="1"/>
  <c r="AR124" i="8"/>
  <c r="O126" i="8"/>
  <c r="AT126" i="8"/>
  <c r="M129" i="8"/>
  <c r="AR129" i="8"/>
  <c r="O130" i="8"/>
  <c r="CG130" i="8" s="1"/>
  <c r="AT130" i="8"/>
  <c r="K132" i="8"/>
  <c r="CC132" i="8" s="1"/>
  <c r="AP132" i="8"/>
  <c r="O135" i="8"/>
  <c r="AT135" i="8"/>
  <c r="N138" i="8"/>
  <c r="CF138" i="8" s="1"/>
  <c r="AS138" i="8"/>
  <c r="P139" i="8"/>
  <c r="CH139" i="8" s="1"/>
  <c r="AU139" i="8"/>
  <c r="L141" i="8"/>
  <c r="AQ141" i="8"/>
  <c r="N142" i="8"/>
  <c r="CF142" i="8" s="1"/>
  <c r="AS142" i="8"/>
  <c r="P143" i="8"/>
  <c r="CH143" i="8" s="1"/>
  <c r="AU143" i="8"/>
  <c r="N146" i="8"/>
  <c r="CF146" i="8" s="1"/>
  <c r="AS146" i="8"/>
  <c r="P147" i="8"/>
  <c r="CH147" i="8" s="1"/>
  <c r="AU147" i="8"/>
  <c r="M149" i="8"/>
  <c r="AR149" i="8"/>
  <c r="AF149" i="8"/>
  <c r="AT151" i="8"/>
  <c r="O151" i="8"/>
  <c r="CG151" i="8" s="1"/>
  <c r="AH151" i="8"/>
  <c r="M154" i="8"/>
  <c r="CE154" i="8" s="1"/>
  <c r="AR154" i="8"/>
  <c r="AT155" i="8"/>
  <c r="O155" i="8"/>
  <c r="CG155" i="8" s="1"/>
  <c r="AH155" i="8"/>
  <c r="M158" i="8"/>
  <c r="CE158" i="8" s="1"/>
  <c r="AR158" i="8"/>
  <c r="AF158" i="8"/>
  <c r="AF58" i="8"/>
  <c r="AF92" i="8"/>
  <c r="AF127" i="8"/>
  <c r="AG11" i="8"/>
  <c r="AI19" i="8"/>
  <c r="AI72" i="8"/>
  <c r="AI81" i="8"/>
  <c r="AH96" i="8"/>
  <c r="AH120" i="8"/>
  <c r="AI128" i="8"/>
  <c r="AI137" i="8"/>
  <c r="AI145" i="8"/>
  <c r="AE70" i="8"/>
  <c r="AE150" i="8"/>
  <c r="AE129" i="8"/>
  <c r="AF7" i="8"/>
  <c r="AH9" i="8"/>
  <c r="AN12" i="8"/>
  <c r="AF13" i="8"/>
  <c r="AL34" i="8"/>
  <c r="AH14" i="8"/>
  <c r="AH18" i="8"/>
  <c r="AN167" i="8"/>
  <c r="AF33" i="8"/>
  <c r="AI35" i="8"/>
  <c r="AO49" i="8"/>
  <c r="AH47" i="8"/>
  <c r="AE50" i="8"/>
  <c r="AK64" i="8"/>
  <c r="AF91" i="8"/>
  <c r="AI150" i="8"/>
  <c r="AE93" i="8"/>
  <c r="AH103" i="8"/>
  <c r="AO185" i="8"/>
  <c r="AO217" i="8" s="1"/>
  <c r="AL134" i="8"/>
  <c r="AS23" i="8"/>
  <c r="AQ30" i="8"/>
  <c r="AQ59" i="8"/>
  <c r="AS97" i="8"/>
  <c r="AR105" i="8"/>
  <c r="AS121" i="8"/>
  <c r="AQ147" i="8"/>
  <c r="AQ158" i="8"/>
  <c r="BA34" i="8"/>
  <c r="BG13" i="8"/>
  <c r="BG53" i="8"/>
  <c r="BA64" i="8"/>
  <c r="BG78" i="8"/>
  <c r="BA85" i="8"/>
  <c r="AW85" i="8"/>
  <c r="BC80" i="8"/>
  <c r="BG96" i="8"/>
  <c r="BA109" i="8"/>
  <c r="BC148" i="8"/>
  <c r="AO203" i="8"/>
  <c r="M132" i="8"/>
  <c r="CE132" i="8" s="1"/>
  <c r="AB125" i="13"/>
  <c r="O6" i="8"/>
  <c r="CG6" i="8" s="1"/>
  <c r="AT6" i="8"/>
  <c r="M10" i="8"/>
  <c r="CE10" i="8" s="1"/>
  <c r="AR10" i="8"/>
  <c r="AF10" i="8"/>
  <c r="P32" i="8"/>
  <c r="CH32" i="8" s="1"/>
  <c r="AU32" i="8"/>
  <c r="P28" i="8"/>
  <c r="CH28" i="8" s="1"/>
  <c r="P24" i="8"/>
  <c r="CH24" i="8" s="1"/>
  <c r="P20" i="8"/>
  <c r="CH20" i="8" s="1"/>
  <c r="AU20" i="8"/>
  <c r="P16" i="8"/>
  <c r="CH16" i="8" s="1"/>
  <c r="AU16" i="8"/>
  <c r="O33" i="8"/>
  <c r="CG33" i="8" s="1"/>
  <c r="AT33" i="8"/>
  <c r="O56" i="8"/>
  <c r="CG56" i="8" s="1"/>
  <c r="AT56" i="8"/>
  <c r="O60" i="8"/>
  <c r="CG60" i="8" s="1"/>
  <c r="AT60" i="8"/>
  <c r="L142" i="8"/>
  <c r="AE142" i="8"/>
  <c r="N147" i="8"/>
  <c r="CF147" i="8" s="1"/>
  <c r="AS147" i="8"/>
  <c r="AH33" i="8"/>
  <c r="AU28" i="8"/>
  <c r="M125" i="14"/>
  <c r="N10" i="8"/>
  <c r="CF10" i="8" s="1"/>
  <c r="AS10" i="8"/>
  <c r="AG10" i="8"/>
  <c r="M31" i="8"/>
  <c r="CE31" i="8" s="1"/>
  <c r="AR31" i="8"/>
  <c r="M27" i="8"/>
  <c r="CE27" i="8" s="1"/>
  <c r="AR27" i="8"/>
  <c r="AF27" i="8"/>
  <c r="M23" i="8"/>
  <c r="CE23" i="8" s="1"/>
  <c r="AR23" i="8"/>
  <c r="P67" i="8"/>
  <c r="AU67" i="8"/>
  <c r="P71" i="8"/>
  <c r="CH71" i="8" s="1"/>
  <c r="L73" i="8"/>
  <c r="CD73" i="8" s="1"/>
  <c r="AQ73" i="8"/>
  <c r="P75" i="8"/>
  <c r="CH75" i="8" s="1"/>
  <c r="AU75" i="8"/>
  <c r="N79" i="8"/>
  <c r="CF79" i="8" s="1"/>
  <c r="AS79" i="8"/>
  <c r="AG79" i="8"/>
  <c r="N83" i="8"/>
  <c r="CF83" i="8" s="1"/>
  <c r="AS83" i="8"/>
  <c r="P89" i="8"/>
  <c r="CH89" i="8" s="1"/>
  <c r="AI89" i="8"/>
  <c r="P92" i="8"/>
  <c r="CH92" i="8" s="1"/>
  <c r="AI92" i="8"/>
  <c r="P97" i="8"/>
  <c r="CH97" i="8" s="1"/>
  <c r="AI97" i="8"/>
  <c r="AU97" i="8"/>
  <c r="L103" i="8"/>
  <c r="AE103" i="8"/>
  <c r="P122" i="8"/>
  <c r="CH122" i="8" s="1"/>
  <c r="AU122" i="8"/>
  <c r="AI122" i="8"/>
  <c r="L133" i="8"/>
  <c r="CD133" i="8" s="1"/>
  <c r="AQ133" i="8"/>
  <c r="L7" i="8"/>
  <c r="CD7" i="8" s="1"/>
  <c r="AQ7" i="8"/>
  <c r="L13" i="8"/>
  <c r="AQ13" i="8"/>
  <c r="L36" i="8"/>
  <c r="CD36" i="8" s="1"/>
  <c r="AE36" i="8"/>
  <c r="P38" i="8"/>
  <c r="AI38" i="8"/>
  <c r="AU38" i="8"/>
  <c r="N41" i="8"/>
  <c r="CF41" i="8" s="1"/>
  <c r="AS41" i="8"/>
  <c r="L44" i="8"/>
  <c r="CD44" i="8" s="1"/>
  <c r="AQ44" i="8"/>
  <c r="AE44" i="8"/>
  <c r="N45" i="8"/>
  <c r="CF45" i="8" s="1"/>
  <c r="AS45" i="8"/>
  <c r="AG45" i="8"/>
  <c r="AQ48" i="8"/>
  <c r="L48" i="8"/>
  <c r="CD48" i="8" s="1"/>
  <c r="P51" i="8"/>
  <c r="CH51" i="8" s="1"/>
  <c r="AU51" i="8"/>
  <c r="AI51" i="8"/>
  <c r="N54" i="8"/>
  <c r="CF54" i="8" s="1"/>
  <c r="AS54" i="8"/>
  <c r="L57" i="8"/>
  <c r="CD57" i="8" s="1"/>
  <c r="P59" i="8"/>
  <c r="CH59" i="8" s="1"/>
  <c r="AU59" i="8"/>
  <c r="AI59" i="8"/>
  <c r="N62" i="8"/>
  <c r="CF62" i="8" s="1"/>
  <c r="AS62" i="8"/>
  <c r="N69" i="8"/>
  <c r="CF69" i="8" s="1"/>
  <c r="AS69" i="8"/>
  <c r="L72" i="8"/>
  <c r="CD72" i="8" s="1"/>
  <c r="AE72" i="8"/>
  <c r="AQ72" i="8"/>
  <c r="N73" i="8"/>
  <c r="CF73" i="8" s="1"/>
  <c r="AS73" i="8"/>
  <c r="P74" i="8"/>
  <c r="CH74" i="8" s="1"/>
  <c r="AU74" i="8"/>
  <c r="L76" i="8"/>
  <c r="CD76" i="8" s="1"/>
  <c r="AQ76" i="8"/>
  <c r="AE76" i="8"/>
  <c r="N78" i="8"/>
  <c r="AS78" i="8"/>
  <c r="L81" i="8"/>
  <c r="AQ81" i="8"/>
  <c r="P88" i="8"/>
  <c r="CH88" i="8" s="1"/>
  <c r="AU88" i="8"/>
  <c r="N91" i="8"/>
  <c r="CF91" i="8" s="1"/>
  <c r="AS91" i="8"/>
  <c r="P150" i="8"/>
  <c r="CH150" i="8" s="1"/>
  <c r="AU150" i="8"/>
  <c r="L93" i="8"/>
  <c r="CD93" i="8" s="1"/>
  <c r="AQ93" i="8"/>
  <c r="N94" i="8"/>
  <c r="CF94" i="8" s="1"/>
  <c r="AS94" i="8"/>
  <c r="P96" i="8"/>
  <c r="CH96" i="8" s="1"/>
  <c r="AI96" i="8"/>
  <c r="N99" i="8"/>
  <c r="CF99" i="8" s="1"/>
  <c r="AG99" i="8"/>
  <c r="N103" i="8"/>
  <c r="CF103" i="8" s="1"/>
  <c r="AS103" i="8"/>
  <c r="P104" i="8"/>
  <c r="CH104" i="8" s="1"/>
  <c r="AU104" i="8"/>
  <c r="N107" i="8"/>
  <c r="CF107" i="8" s="1"/>
  <c r="AS107" i="8"/>
  <c r="L111" i="8"/>
  <c r="AQ111" i="8"/>
  <c r="P113" i="8"/>
  <c r="CH113" i="8" s="1"/>
  <c r="AU113" i="8"/>
  <c r="N116" i="8"/>
  <c r="CF116" i="8" s="1"/>
  <c r="AS116" i="8"/>
  <c r="L119" i="8"/>
  <c r="AQ119" i="8"/>
  <c r="AE119" i="8"/>
  <c r="N120" i="8"/>
  <c r="CF120" i="8" s="1"/>
  <c r="AS120" i="8"/>
  <c r="N129" i="8"/>
  <c r="CF129" i="8" s="1"/>
  <c r="AS129" i="8"/>
  <c r="O146" i="8"/>
  <c r="CG146" i="8" s="1"/>
  <c r="AH146" i="8"/>
  <c r="AF135" i="8"/>
  <c r="AI28" i="8"/>
  <c r="AG83" i="8"/>
  <c r="AE13" i="8"/>
  <c r="AE73" i="8"/>
  <c r="AE112" i="8"/>
  <c r="AE133" i="8"/>
  <c r="AL125" i="8"/>
  <c r="AH126" i="8"/>
  <c r="AN134" i="8"/>
  <c r="AN190" i="8" s="1"/>
  <c r="AI135" i="8"/>
  <c r="AO166" i="8"/>
  <c r="AM159" i="8"/>
  <c r="AM191" i="8" s="1"/>
  <c r="AG137" i="8"/>
  <c r="BA134" i="8"/>
  <c r="AU24" i="8"/>
  <c r="AS31" i="8"/>
  <c r="AU84" i="8"/>
  <c r="AQ123" i="8"/>
  <c r="AU131" i="8"/>
  <c r="AS140" i="8"/>
  <c r="AQ102" i="8"/>
  <c r="BC102" i="8"/>
  <c r="BC111" i="8"/>
  <c r="AW125" i="8"/>
  <c r="AQ115" i="8"/>
  <c r="BC115" i="8"/>
  <c r="I64" i="14"/>
  <c r="CE7" i="8"/>
  <c r="AR7" i="8"/>
  <c r="O9" i="8"/>
  <c r="AT9" i="8"/>
  <c r="L32" i="8"/>
  <c r="CD32" i="8" s="1"/>
  <c r="AE32" i="8"/>
  <c r="P30" i="8"/>
  <c r="CH30" i="8" s="1"/>
  <c r="AU30" i="8"/>
  <c r="AI30" i="8"/>
  <c r="N29" i="8"/>
  <c r="CF29" i="8" s="1"/>
  <c r="L28" i="8"/>
  <c r="CD28" i="8" s="1"/>
  <c r="AQ28" i="8"/>
  <c r="P26" i="8"/>
  <c r="CH26" i="8" s="1"/>
  <c r="N25" i="8"/>
  <c r="CF25" i="8" s="1"/>
  <c r="L24" i="8"/>
  <c r="CD24" i="8" s="1"/>
  <c r="AQ24" i="8"/>
  <c r="P22" i="8"/>
  <c r="CH22" i="8" s="1"/>
  <c r="AI22" i="8"/>
  <c r="N21" i="8"/>
  <c r="CF21" i="8" s="1"/>
  <c r="L20" i="8"/>
  <c r="CD20" i="8" s="1"/>
  <c r="AQ20" i="8"/>
  <c r="AE20" i="8"/>
  <c r="N17" i="8"/>
  <c r="CF17" i="8" s="1"/>
  <c r="AS17" i="8"/>
  <c r="L16" i="8"/>
  <c r="CD16" i="8" s="1"/>
  <c r="AQ16" i="8"/>
  <c r="M36" i="8"/>
  <c r="CE36" i="8" s="1"/>
  <c r="AR36" i="8"/>
  <c r="O37" i="8"/>
  <c r="CG37" i="8" s="1"/>
  <c r="AH37" i="8"/>
  <c r="AT37" i="8"/>
  <c r="M40" i="8"/>
  <c r="CE40" i="8" s="1"/>
  <c r="AF40" i="8"/>
  <c r="O41" i="8"/>
  <c r="CG41" i="8" s="1"/>
  <c r="AT41" i="8"/>
  <c r="AH41" i="8"/>
  <c r="M44" i="8"/>
  <c r="CE44" i="8" s="1"/>
  <c r="AF44" i="8"/>
  <c r="O45" i="8"/>
  <c r="CG45" i="8" s="1"/>
  <c r="M48" i="8"/>
  <c r="CE48" i="8" s="1"/>
  <c r="AR48" i="8"/>
  <c r="O50" i="8"/>
  <c r="CG50" i="8" s="1"/>
  <c r="AT50" i="8"/>
  <c r="AH50" i="8"/>
  <c r="M53" i="8"/>
  <c r="CE53" i="8" s="1"/>
  <c r="AR53" i="8"/>
  <c r="O54" i="8"/>
  <c r="CG54" i="8" s="1"/>
  <c r="AT54" i="8"/>
  <c r="AH54" i="8"/>
  <c r="M57" i="8"/>
  <c r="CE57" i="8" s="1"/>
  <c r="AR57" i="8"/>
  <c r="O58" i="8"/>
  <c r="CG58" i="8" s="1"/>
  <c r="AT58" i="8"/>
  <c r="AH58" i="8"/>
  <c r="CE61" i="8"/>
  <c r="AR61" i="8"/>
  <c r="AF61" i="8"/>
  <c r="O62" i="8"/>
  <c r="CG62" i="8" s="1"/>
  <c r="AT62" i="8"/>
  <c r="M68" i="8"/>
  <c r="CE68" i="8" s="1"/>
  <c r="AF68" i="8"/>
  <c r="AR68" i="8"/>
  <c r="O69" i="8"/>
  <c r="CG69" i="8" s="1"/>
  <c r="M72" i="8"/>
  <c r="CE72" i="8" s="1"/>
  <c r="AR72" i="8"/>
  <c r="AF72" i="8"/>
  <c r="O73" i="8"/>
  <c r="CG73" i="8" s="1"/>
  <c r="AH73" i="8"/>
  <c r="K75" i="8"/>
  <c r="CC75" i="8" s="1"/>
  <c r="AD75" i="8"/>
  <c r="M76" i="8"/>
  <c r="CE76" i="8" s="1"/>
  <c r="AR76" i="8"/>
  <c r="AF76" i="8"/>
  <c r="O78" i="8"/>
  <c r="CG78" i="8" s="1"/>
  <c r="AT78" i="8"/>
  <c r="M81" i="8"/>
  <c r="AR81" i="8"/>
  <c r="O82" i="8"/>
  <c r="CG82" i="8" s="1"/>
  <c r="AT82" i="8"/>
  <c r="M86" i="8"/>
  <c r="AR86" i="8"/>
  <c r="AF86" i="8"/>
  <c r="O87" i="8"/>
  <c r="CG87" i="8" s="1"/>
  <c r="AT87" i="8"/>
  <c r="M90" i="8"/>
  <c r="AR90" i="8"/>
  <c r="O91" i="8"/>
  <c r="CG91" i="8" s="1"/>
  <c r="AT91" i="8"/>
  <c r="M93" i="8"/>
  <c r="CE93" i="8" s="1"/>
  <c r="AR93" i="8"/>
  <c r="AF93" i="8"/>
  <c r="O94" i="8"/>
  <c r="CG94" i="8" s="1"/>
  <c r="AT94" i="8"/>
  <c r="M98" i="8"/>
  <c r="O99" i="8"/>
  <c r="CG99" i="8" s="1"/>
  <c r="AH99" i="8"/>
  <c r="AT99" i="8"/>
  <c r="M102" i="8"/>
  <c r="AR102" i="8"/>
  <c r="O103" i="8"/>
  <c r="CG103" i="8" s="1"/>
  <c r="AT103" i="8"/>
  <c r="M106" i="8"/>
  <c r="CE106" i="8" s="1"/>
  <c r="AR106" i="8"/>
  <c r="O107" i="8"/>
  <c r="CG107" i="8" s="1"/>
  <c r="AT107" i="8"/>
  <c r="AH107" i="8"/>
  <c r="O112" i="8"/>
  <c r="CG112" i="8" s="1"/>
  <c r="AT112" i="8"/>
  <c r="M115" i="8"/>
  <c r="AR115" i="8"/>
  <c r="M119" i="8"/>
  <c r="AR119" i="8"/>
  <c r="AF119" i="8"/>
  <c r="M123" i="8"/>
  <c r="CE123" i="8" s="1"/>
  <c r="AR123" i="8"/>
  <c r="AF123" i="8"/>
  <c r="O124" i="8"/>
  <c r="CG124" i="8" s="1"/>
  <c r="AT124" i="8"/>
  <c r="AD127" i="8"/>
  <c r="AP127" i="8"/>
  <c r="M128" i="8"/>
  <c r="AR128" i="8"/>
  <c r="O129" i="8"/>
  <c r="CG129" i="8" s="1"/>
  <c r="AT129" i="8"/>
  <c r="O133" i="8"/>
  <c r="CG133" i="8" s="1"/>
  <c r="AT133" i="8"/>
  <c r="M137" i="8"/>
  <c r="AR137" i="8"/>
  <c r="O149" i="8"/>
  <c r="CG149" i="8" s="1"/>
  <c r="AH149" i="8"/>
  <c r="AT149" i="8"/>
  <c r="K152" i="8"/>
  <c r="AD152" i="8"/>
  <c r="M153" i="8"/>
  <c r="AR153" i="8"/>
  <c r="AF153" i="8"/>
  <c r="O154" i="8"/>
  <c r="CG154" i="8" s="1"/>
  <c r="AT154" i="8"/>
  <c r="AH154" i="8"/>
  <c r="M157" i="8"/>
  <c r="CE157" i="8" s="1"/>
  <c r="AR157" i="8"/>
  <c r="O158" i="8"/>
  <c r="CG158" i="8" s="1"/>
  <c r="AT158" i="8"/>
  <c r="AH158" i="8"/>
  <c r="AF36" i="8"/>
  <c r="AF110" i="8"/>
  <c r="AI20" i="8"/>
  <c r="AG75" i="8"/>
  <c r="AG84" i="8"/>
  <c r="AH91" i="8"/>
  <c r="AH106" i="8"/>
  <c r="AG114" i="8"/>
  <c r="AG122" i="8"/>
  <c r="AG139" i="8"/>
  <c r="AG147" i="8"/>
  <c r="AE14" i="8"/>
  <c r="AE74" i="8"/>
  <c r="AE113" i="8"/>
  <c r="AE135" i="8"/>
  <c r="AL8" i="8"/>
  <c r="AD10" i="8"/>
  <c r="AH13" i="8"/>
  <c r="AN34" i="8"/>
  <c r="AN182" i="8" s="1"/>
  <c r="AF16" i="8"/>
  <c r="AD19" i="8"/>
  <c r="AF20" i="8"/>
  <c r="AH21" i="8"/>
  <c r="AD23" i="8"/>
  <c r="AF24" i="8"/>
  <c r="AD27" i="8"/>
  <c r="AF28" i="8"/>
  <c r="AH29" i="8"/>
  <c r="AF32" i="8"/>
  <c r="AH46" i="8"/>
  <c r="AF66" i="8"/>
  <c r="AL77" i="8"/>
  <c r="AF87" i="8"/>
  <c r="AI88" i="8"/>
  <c r="AF90" i="8"/>
  <c r="AI100" i="8"/>
  <c r="AO159" i="8"/>
  <c r="AO191" i="8" s="1"/>
  <c r="AO223" i="8" s="1"/>
  <c r="AS11" i="8"/>
  <c r="AU18" i="8"/>
  <c r="AS25" i="8"/>
  <c r="AQ32" i="8"/>
  <c r="AS39" i="8"/>
  <c r="AR54" i="8"/>
  <c r="AR92" i="8"/>
  <c r="AR107" i="8"/>
  <c r="AU115" i="8"/>
  <c r="AT123" i="8"/>
  <c r="AQ151" i="8"/>
  <c r="AY165" i="8"/>
  <c r="AY8" i="8"/>
  <c r="BE5" i="8"/>
  <c r="BC9" i="8"/>
  <c r="AW12" i="8"/>
  <c r="BE10" i="8"/>
  <c r="AY12" i="8"/>
  <c r="AR35" i="8"/>
  <c r="BD35" i="8"/>
  <c r="AX49" i="8"/>
  <c r="BD38" i="8"/>
  <c r="BC66" i="8"/>
  <c r="AW77" i="8"/>
  <c r="BE67" i="8"/>
  <c r="AY77" i="8"/>
  <c r="AZ95" i="8"/>
  <c r="BF88" i="8"/>
  <c r="L26" i="8"/>
  <c r="CD26" i="8" s="1"/>
  <c r="AE26" i="8"/>
  <c r="L18" i="8"/>
  <c r="CD18" i="8" s="1"/>
  <c r="AE18" i="8"/>
  <c r="M55" i="8"/>
  <c r="CE55" i="8" s="1"/>
  <c r="AR55" i="8"/>
  <c r="N143" i="8"/>
  <c r="CF143" i="8" s="1"/>
  <c r="AS143" i="8"/>
  <c r="P148" i="8"/>
  <c r="CH148" i="8" s="1"/>
  <c r="AU148" i="8"/>
  <c r="AI148" i="8"/>
  <c r="AE22" i="8"/>
  <c r="L9" i="8"/>
  <c r="AE9" i="8"/>
  <c r="AQ9" i="8"/>
  <c r="P11" i="8"/>
  <c r="CH11" i="8" s="1"/>
  <c r="AU11" i="8"/>
  <c r="AI11" i="8"/>
  <c r="O32" i="8"/>
  <c r="CG32" i="8" s="1"/>
  <c r="AH32" i="8"/>
  <c r="O28" i="8"/>
  <c r="CG28" i="8" s="1"/>
  <c r="AT28" i="8"/>
  <c r="AH28" i="8"/>
  <c r="O24" i="8"/>
  <c r="CG24" i="8" s="1"/>
  <c r="AT24" i="8"/>
  <c r="AH24" i="8"/>
  <c r="M19" i="8"/>
  <c r="CE19" i="8" s="1"/>
  <c r="AR19" i="8"/>
  <c r="O16" i="8"/>
  <c r="CG16" i="8" s="1"/>
  <c r="AT16" i="8"/>
  <c r="P33" i="8"/>
  <c r="CH33" i="8" s="1"/>
  <c r="AI33" i="8"/>
  <c r="AU33" i="8"/>
  <c r="N66" i="8"/>
  <c r="AS66" i="8"/>
  <c r="N70" i="8"/>
  <c r="CF70" i="8" s="1"/>
  <c r="N74" i="8"/>
  <c r="CF74" i="8" s="1"/>
  <c r="L78" i="8"/>
  <c r="AE78" i="8"/>
  <c r="P80" i="8"/>
  <c r="CH80" i="8" s="1"/>
  <c r="AU80" i="8"/>
  <c r="AI80" i="8"/>
  <c r="L82" i="8"/>
  <c r="AE82" i="8"/>
  <c r="L87" i="8"/>
  <c r="AQ87" i="8"/>
  <c r="L91" i="8"/>
  <c r="AE91" i="8"/>
  <c r="L94" i="8"/>
  <c r="CD94" i="8" s="1"/>
  <c r="AQ94" i="8"/>
  <c r="L99" i="8"/>
  <c r="AQ99" i="8"/>
  <c r="N104" i="8"/>
  <c r="CF104" i="8" s="1"/>
  <c r="AG104" i="8"/>
  <c r="N113" i="8"/>
  <c r="CF113" i="8" s="1"/>
  <c r="AS113" i="8"/>
  <c r="N117" i="8"/>
  <c r="CF117" i="8" s="1"/>
  <c r="AS117" i="8"/>
  <c r="AG117" i="8"/>
  <c r="P118" i="8"/>
  <c r="CH118" i="8" s="1"/>
  <c r="AI118" i="8"/>
  <c r="AU118" i="8"/>
  <c r="N126" i="8"/>
  <c r="AS126" i="8"/>
  <c r="I64" i="13"/>
  <c r="AI5" i="8"/>
  <c r="AU5" i="8"/>
  <c r="N9" i="8"/>
  <c r="AG9" i="8"/>
  <c r="P10" i="8"/>
  <c r="CH10" i="8" s="1"/>
  <c r="AI10" i="8"/>
  <c r="N14" i="8"/>
  <c r="CF14" i="8" s="1"/>
  <c r="AS14" i="8"/>
  <c r="AG14" i="8"/>
  <c r="M32" i="8"/>
  <c r="CE32" i="8" s="1"/>
  <c r="AR32" i="8"/>
  <c r="O29" i="8"/>
  <c r="CG29" i="8" s="1"/>
  <c r="AT29" i="8"/>
  <c r="M28" i="8"/>
  <c r="CE28" i="8" s="1"/>
  <c r="O25" i="8"/>
  <c r="CG25" i="8" s="1"/>
  <c r="AT25" i="8"/>
  <c r="M24" i="8"/>
  <c r="CE24" i="8" s="1"/>
  <c r="AR24" i="8"/>
  <c r="O21" i="8"/>
  <c r="CG21" i="8" s="1"/>
  <c r="AT21" i="8"/>
  <c r="M20" i="8"/>
  <c r="CE20" i="8" s="1"/>
  <c r="AR20" i="8"/>
  <c r="O17" i="8"/>
  <c r="CG17" i="8" s="1"/>
  <c r="AT17" i="8"/>
  <c r="AH17" i="8"/>
  <c r="M16" i="8"/>
  <c r="CE16" i="8" s="1"/>
  <c r="AR16" i="8"/>
  <c r="N37" i="8"/>
  <c r="CF37" i="8" s="1"/>
  <c r="AS37" i="8"/>
  <c r="L40" i="8"/>
  <c r="CD40" i="8" s="1"/>
  <c r="AE40" i="8"/>
  <c r="P42" i="8"/>
  <c r="CH42" i="8" s="1"/>
  <c r="AU42" i="8"/>
  <c r="P46" i="8"/>
  <c r="CH46" i="8" s="1"/>
  <c r="AU46" i="8"/>
  <c r="AI46" i="8"/>
  <c r="N50" i="8"/>
  <c r="AG50" i="8"/>
  <c r="L53" i="8"/>
  <c r="CD53" i="8" s="1"/>
  <c r="AQ53" i="8"/>
  <c r="P55" i="8"/>
  <c r="CH55" i="8" s="1"/>
  <c r="AI55" i="8"/>
  <c r="AU55" i="8"/>
  <c r="N58" i="8"/>
  <c r="CF58" i="8" s="1"/>
  <c r="L61" i="8"/>
  <c r="CD61" i="8" s="1"/>
  <c r="AQ61" i="8"/>
  <c r="AE61" i="8"/>
  <c r="P63" i="8"/>
  <c r="CH63" i="8" s="1"/>
  <c r="AU63" i="8"/>
  <c r="AI63" i="8"/>
  <c r="P70" i="8"/>
  <c r="CH70" i="8" s="1"/>
  <c r="AU70" i="8"/>
  <c r="AI70" i="8"/>
  <c r="N82" i="8"/>
  <c r="CF82" i="8" s="1"/>
  <c r="AS82" i="8"/>
  <c r="P83" i="8"/>
  <c r="CH83" i="8" s="1"/>
  <c r="AU83" i="8"/>
  <c r="L86" i="8"/>
  <c r="AQ86" i="8"/>
  <c r="L90" i="8"/>
  <c r="AQ90" i="8"/>
  <c r="L106" i="8"/>
  <c r="CD106" i="8" s="1"/>
  <c r="AQ106" i="8"/>
  <c r="P108" i="8"/>
  <c r="CH108" i="8" s="1"/>
  <c r="AU108" i="8"/>
  <c r="N112" i="8"/>
  <c r="CF112" i="8" s="1"/>
  <c r="AS112" i="8"/>
  <c r="L115" i="8"/>
  <c r="AE115" i="8"/>
  <c r="P117" i="8"/>
  <c r="CH117" i="8" s="1"/>
  <c r="AU117" i="8"/>
  <c r="P121" i="8"/>
  <c r="CH121" i="8" s="1"/>
  <c r="AU121" i="8"/>
  <c r="P126" i="8"/>
  <c r="AU126" i="8"/>
  <c r="L128" i="8"/>
  <c r="AQ128" i="8"/>
  <c r="P130" i="8"/>
  <c r="CH130" i="8" s="1"/>
  <c r="AU130" i="8"/>
  <c r="L132" i="8"/>
  <c r="CD132" i="8" s="1"/>
  <c r="AQ132" i="8"/>
  <c r="N133" i="8"/>
  <c r="CF133" i="8" s="1"/>
  <c r="AS133" i="8"/>
  <c r="P135" i="8"/>
  <c r="CH135" i="8" s="1"/>
  <c r="AU135" i="8"/>
  <c r="O138" i="8"/>
  <c r="CG138" i="8" s="1"/>
  <c r="AH138" i="8"/>
  <c r="M141" i="8"/>
  <c r="AR141" i="8"/>
  <c r="O142" i="8"/>
  <c r="CG142" i="8" s="1"/>
  <c r="AT142" i="8"/>
  <c r="AH142" i="8"/>
  <c r="M145" i="8"/>
  <c r="AR145" i="8"/>
  <c r="AF31" i="8"/>
  <c r="AG5" i="8"/>
  <c r="AH20" i="8"/>
  <c r="AG37" i="8"/>
  <c r="AG74" i="8"/>
  <c r="AG121" i="8"/>
  <c r="AE30" i="8"/>
  <c r="AU10" i="8"/>
  <c r="AS99" i="8"/>
  <c r="AU114" i="8"/>
  <c r="BE112" i="8"/>
  <c r="AY125" i="8"/>
  <c r="K64" i="13"/>
  <c r="K8" i="14"/>
  <c r="L6" i="8"/>
  <c r="AQ6" i="8"/>
  <c r="N7" i="8"/>
  <c r="CF7" i="8" s="1"/>
  <c r="AG7" i="8"/>
  <c r="P9" i="8"/>
  <c r="CH9" i="8" s="1"/>
  <c r="AU9" i="8"/>
  <c r="L11" i="8"/>
  <c r="CD11" i="8" s="1"/>
  <c r="AQ11" i="8"/>
  <c r="N13" i="8"/>
  <c r="CF13" i="8" s="1"/>
  <c r="AS13" i="8"/>
  <c r="P14" i="8"/>
  <c r="CH14" i="8" s="1"/>
  <c r="AI14" i="8"/>
  <c r="AU14" i="8"/>
  <c r="AT30" i="8"/>
  <c r="O30" i="8"/>
  <c r="CG30" i="8" s="1"/>
  <c r="M29" i="8"/>
  <c r="CE29" i="8" s="1"/>
  <c r="AR29" i="8"/>
  <c r="O26" i="8"/>
  <c r="CG26" i="8" s="1"/>
  <c r="AT26" i="8"/>
  <c r="M25" i="8"/>
  <c r="CE25" i="8" s="1"/>
  <c r="O22" i="8"/>
  <c r="CG22" i="8" s="1"/>
  <c r="AT22" i="8"/>
  <c r="M21" i="8"/>
  <c r="CE21" i="8" s="1"/>
  <c r="AF21" i="8"/>
  <c r="O18" i="8"/>
  <c r="CG18" i="8" s="1"/>
  <c r="AT18" i="8"/>
  <c r="M17" i="8"/>
  <c r="CE17" i="8" s="1"/>
  <c r="L33" i="8"/>
  <c r="CD33" i="8" s="1"/>
  <c r="AQ33" i="8"/>
  <c r="L35" i="8"/>
  <c r="CD35" i="8" s="1"/>
  <c r="AE35" i="8"/>
  <c r="AQ35" i="8"/>
  <c r="N36" i="8"/>
  <c r="CF36" i="8" s="1"/>
  <c r="AG36" i="8"/>
  <c r="P37" i="8"/>
  <c r="CH37" i="8" s="1"/>
  <c r="AU37" i="8"/>
  <c r="L39" i="8"/>
  <c r="CD39" i="8" s="1"/>
  <c r="AQ39" i="8"/>
  <c r="N40" i="8"/>
  <c r="CF40" i="8" s="1"/>
  <c r="AS40" i="8"/>
  <c r="AG40" i="8"/>
  <c r="P41" i="8"/>
  <c r="CH41" i="8" s="1"/>
  <c r="AI41" i="8"/>
  <c r="AU41" i="8"/>
  <c r="L43" i="8"/>
  <c r="CD43" i="8" s="1"/>
  <c r="N44" i="8"/>
  <c r="CF44" i="8" s="1"/>
  <c r="AS44" i="8"/>
  <c r="AG44" i="8"/>
  <c r="P45" i="8"/>
  <c r="CH45" i="8" s="1"/>
  <c r="AI45" i="8"/>
  <c r="AU45" i="8"/>
  <c r="L47" i="8"/>
  <c r="CD47" i="8" s="1"/>
  <c r="AE47" i="8"/>
  <c r="N48" i="8"/>
  <c r="CF48" i="8" s="1"/>
  <c r="AS48" i="8"/>
  <c r="P50" i="8"/>
  <c r="CH50" i="8" s="1"/>
  <c r="AU50" i="8"/>
  <c r="AI50" i="8"/>
  <c r="L52" i="8"/>
  <c r="CD52" i="8" s="1"/>
  <c r="N53" i="8"/>
  <c r="CF53" i="8" s="1"/>
  <c r="AS53" i="8"/>
  <c r="P54" i="8"/>
  <c r="CH54" i="8" s="1"/>
  <c r="AU54" i="8"/>
  <c r="L56" i="8"/>
  <c r="CD56" i="8" s="1"/>
  <c r="AQ56" i="8"/>
  <c r="AE56" i="8"/>
  <c r="N57" i="8"/>
  <c r="CF57" i="8" s="1"/>
  <c r="AS57" i="8"/>
  <c r="P58" i="8"/>
  <c r="CH58" i="8" s="1"/>
  <c r="AU58" i="8"/>
  <c r="L60" i="8"/>
  <c r="CD60" i="8" s="1"/>
  <c r="AQ60" i="8"/>
  <c r="N61" i="8"/>
  <c r="CF61" i="8" s="1"/>
  <c r="AS61" i="8"/>
  <c r="P62" i="8"/>
  <c r="CH62" i="8" s="1"/>
  <c r="AU62" i="8"/>
  <c r="AI62" i="8"/>
  <c r="M140" i="8"/>
  <c r="AR140" i="8"/>
  <c r="AF140" i="8"/>
  <c r="O141" i="8"/>
  <c r="CG141" i="8" s="1"/>
  <c r="AH141" i="8"/>
  <c r="AT141" i="8"/>
  <c r="M144" i="8"/>
  <c r="AR144" i="8"/>
  <c r="AH145" i="8"/>
  <c r="O145" i="8"/>
  <c r="CG145" i="8" s="1"/>
  <c r="K147" i="8"/>
  <c r="AD147" i="8"/>
  <c r="AP147" i="8"/>
  <c r="M148" i="8"/>
  <c r="AR148" i="8"/>
  <c r="AF148" i="8"/>
  <c r="P149" i="8"/>
  <c r="CH149" i="8" s="1"/>
  <c r="AU149" i="8"/>
  <c r="AI149" i="8"/>
  <c r="L152" i="8"/>
  <c r="AQ152" i="8"/>
  <c r="AE152" i="8"/>
  <c r="N153" i="8"/>
  <c r="CF153" i="8" s="1"/>
  <c r="AG153" i="8"/>
  <c r="AS153" i="8"/>
  <c r="P154" i="8"/>
  <c r="CH154" i="8" s="1"/>
  <c r="AU154" i="8"/>
  <c r="L156" i="8"/>
  <c r="CD156" i="8" s="1"/>
  <c r="AE156" i="8"/>
  <c r="N157" i="8"/>
  <c r="CF157" i="8" s="1"/>
  <c r="AS157" i="8"/>
  <c r="P158" i="8"/>
  <c r="CH158" i="8" s="1"/>
  <c r="AU158" i="8"/>
  <c r="AI158" i="8"/>
  <c r="AF37" i="8"/>
  <c r="AF71" i="8"/>
  <c r="AF111" i="8"/>
  <c r="AF141" i="8"/>
  <c r="AH6" i="8"/>
  <c r="AI13" i="8"/>
  <c r="AG22" i="8"/>
  <c r="AG31" i="8"/>
  <c r="AG39" i="8"/>
  <c r="AI58" i="8"/>
  <c r="AI67" i="8"/>
  <c r="AI75" i="8"/>
  <c r="AI84" i="8"/>
  <c r="AG92" i="8"/>
  <c r="AI98" i="8"/>
  <c r="AG107" i="8"/>
  <c r="AI114" i="8"/>
  <c r="AI140" i="8"/>
  <c r="AE16" i="8"/>
  <c r="AE33" i="8"/>
  <c r="AE57" i="8"/>
  <c r="AE116" i="8"/>
  <c r="AE138" i="8"/>
  <c r="AH42" i="8"/>
  <c r="AN64" i="8"/>
  <c r="AN184" i="8" s="1"/>
  <c r="AH52" i="8"/>
  <c r="AM77" i="8"/>
  <c r="AK85" i="8"/>
  <c r="AF99" i="8"/>
  <c r="AN125" i="8"/>
  <c r="AN189" i="8" s="1"/>
  <c r="AG116" i="8"/>
  <c r="AG120" i="8"/>
  <c r="AI121" i="8"/>
  <c r="AG124" i="8"/>
  <c r="AF128" i="8"/>
  <c r="AH129" i="8"/>
  <c r="AF132" i="8"/>
  <c r="AH133" i="8"/>
  <c r="AE149" i="8"/>
  <c r="AI152" i="8"/>
  <c r="AF154" i="8"/>
  <c r="BA49" i="8"/>
  <c r="AW95" i="8"/>
  <c r="AS19" i="8"/>
  <c r="AQ26" i="8"/>
  <c r="AT32" i="8"/>
  <c r="AR40" i="8"/>
  <c r="AQ47" i="8"/>
  <c r="AQ55" i="8"/>
  <c r="AR62" i="8"/>
  <c r="AR71" i="8"/>
  <c r="AT86" i="8"/>
  <c r="AU92" i="8"/>
  <c r="AU100" i="8"/>
  <c r="AQ108" i="8"/>
  <c r="AT116" i="8"/>
  <c r="AS124" i="8"/>
  <c r="AR133" i="8"/>
  <c r="AQ142" i="8"/>
  <c r="BD73" i="8"/>
  <c r="BK215" i="8"/>
  <c r="BL231" i="8" s="1"/>
  <c r="BK220" i="8"/>
  <c r="BL236" i="8" s="1"/>
  <c r="BM202" i="8"/>
  <c r="BL218" i="8"/>
  <c r="BM234" i="8" s="1"/>
  <c r="M26" i="8"/>
  <c r="CE26" i="8" s="1"/>
  <c r="O23" i="8"/>
  <c r="CG23" i="8" s="1"/>
  <c r="AT23" i="8"/>
  <c r="M22" i="8"/>
  <c r="CE22" i="8" s="1"/>
  <c r="AF22" i="8"/>
  <c r="O19" i="8"/>
  <c r="CG19" i="8" s="1"/>
  <c r="AH19" i="8"/>
  <c r="AT19" i="8"/>
  <c r="M18" i="8"/>
  <c r="CE18" i="8" s="1"/>
  <c r="AP17" i="8"/>
  <c r="K17" i="8"/>
  <c r="O15" i="8"/>
  <c r="CG15" i="8" s="1"/>
  <c r="AT15" i="8"/>
  <c r="N33" i="8"/>
  <c r="CF33" i="8" s="1"/>
  <c r="AS33" i="8"/>
  <c r="O36" i="8"/>
  <c r="CG36" i="8" s="1"/>
  <c r="AT36" i="8"/>
  <c r="M39" i="8"/>
  <c r="CE39" i="8" s="1"/>
  <c r="AF39" i="8"/>
  <c r="M47" i="8"/>
  <c r="AR47" i="8"/>
  <c r="O48" i="8"/>
  <c r="CG48" i="8" s="1"/>
  <c r="AT48" i="8"/>
  <c r="M52" i="8"/>
  <c r="CE52" i="8" s="1"/>
  <c r="AF52" i="8"/>
  <c r="AR52" i="8"/>
  <c r="M56" i="8"/>
  <c r="CE56" i="8" s="1"/>
  <c r="AR56" i="8"/>
  <c r="M60" i="8"/>
  <c r="CE60" i="8" s="1"/>
  <c r="AR60" i="8"/>
  <c r="L67" i="8"/>
  <c r="AQ67" i="8"/>
  <c r="N68" i="8"/>
  <c r="CF68" i="8" s="1"/>
  <c r="AS68" i="8"/>
  <c r="P69" i="8"/>
  <c r="CH69" i="8" s="1"/>
  <c r="L71" i="8"/>
  <c r="CD71" i="8" s="1"/>
  <c r="AQ71" i="8"/>
  <c r="N72" i="8"/>
  <c r="CF72" i="8" s="1"/>
  <c r="AS72" i="8"/>
  <c r="P73" i="8"/>
  <c r="CH73" i="8" s="1"/>
  <c r="AI73" i="8"/>
  <c r="L75" i="8"/>
  <c r="CD75" i="8" s="1"/>
  <c r="N76" i="8"/>
  <c r="CF76" i="8" s="1"/>
  <c r="AS76" i="8"/>
  <c r="L80" i="8"/>
  <c r="AE80" i="8"/>
  <c r="AQ80" i="8"/>
  <c r="L84" i="8"/>
  <c r="AQ84" i="8"/>
  <c r="N86" i="8"/>
  <c r="AS86" i="8"/>
  <c r="P87" i="8"/>
  <c r="CH87" i="8" s="1"/>
  <c r="AU87" i="8"/>
  <c r="P91" i="8"/>
  <c r="CH91" i="8" s="1"/>
  <c r="AU91" i="8"/>
  <c r="L92" i="8"/>
  <c r="CD92" i="8" s="1"/>
  <c r="AQ92" i="8"/>
  <c r="P94" i="8"/>
  <c r="CH94" i="8" s="1"/>
  <c r="AI94" i="8"/>
  <c r="AU94" i="8"/>
  <c r="L97" i="8"/>
  <c r="AQ97" i="8"/>
  <c r="N98" i="8"/>
  <c r="CF98" i="8" s="1"/>
  <c r="AS98" i="8"/>
  <c r="P99" i="8"/>
  <c r="AU99" i="8"/>
  <c r="L101" i="8"/>
  <c r="AQ101" i="8"/>
  <c r="N102" i="8"/>
  <c r="CF102" i="8" s="1"/>
  <c r="AS102" i="8"/>
  <c r="N106" i="8"/>
  <c r="CF106" i="8" s="1"/>
  <c r="AS106" i="8"/>
  <c r="P107" i="8"/>
  <c r="CH107" i="8" s="1"/>
  <c r="AU107" i="8"/>
  <c r="L110" i="8"/>
  <c r="AQ110" i="8"/>
  <c r="N111" i="8"/>
  <c r="CF111" i="8" s="1"/>
  <c r="AS111" i="8"/>
  <c r="N115" i="8"/>
  <c r="CF115" i="8" s="1"/>
  <c r="AS115" i="8"/>
  <c r="AG115" i="8"/>
  <c r="P116" i="8"/>
  <c r="CH116" i="8" s="1"/>
  <c r="AU116" i="8"/>
  <c r="P120" i="8"/>
  <c r="CH120" i="8" s="1"/>
  <c r="AU120" i="8"/>
  <c r="L122" i="8"/>
  <c r="CD122" i="8" s="1"/>
  <c r="AQ122" i="8"/>
  <c r="N123" i="8"/>
  <c r="CF123" i="8" s="1"/>
  <c r="AS123" i="8"/>
  <c r="L127" i="8"/>
  <c r="AE127" i="8"/>
  <c r="L131" i="8"/>
  <c r="CD131" i="8" s="1"/>
  <c r="AQ131" i="8"/>
  <c r="AE131" i="8"/>
  <c r="N132" i="8"/>
  <c r="CF132" i="8" s="1"/>
  <c r="AS132" i="8"/>
  <c r="L136" i="8"/>
  <c r="AQ136" i="8"/>
  <c r="N137" i="8"/>
  <c r="CF137" i="8" s="1"/>
  <c r="AS137" i="8"/>
  <c r="P138" i="8"/>
  <c r="CH138" i="8" s="1"/>
  <c r="AU138" i="8"/>
  <c r="P142" i="8"/>
  <c r="CH142" i="8" s="1"/>
  <c r="AU142" i="8"/>
  <c r="L144" i="8"/>
  <c r="AQ144" i="8"/>
  <c r="N145" i="8"/>
  <c r="CF145" i="8" s="1"/>
  <c r="AS145" i="8"/>
  <c r="P146" i="8"/>
  <c r="CH146" i="8" s="1"/>
  <c r="AU146" i="8"/>
  <c r="L148" i="8"/>
  <c r="AQ148" i="8"/>
  <c r="P151" i="8"/>
  <c r="CH151" i="8" s="1"/>
  <c r="AU151" i="8"/>
  <c r="L153" i="8"/>
  <c r="AQ153" i="8"/>
  <c r="P155" i="8"/>
  <c r="CH155" i="8" s="1"/>
  <c r="AU155" i="8"/>
  <c r="L157" i="8"/>
  <c r="CD157" i="8" s="1"/>
  <c r="AQ157" i="8"/>
  <c r="AF14" i="8"/>
  <c r="AF35" i="8"/>
  <c r="AF47" i="8"/>
  <c r="AF143" i="8"/>
  <c r="AH57" i="8"/>
  <c r="AI69" i="8"/>
  <c r="AI82" i="8"/>
  <c r="AI112" i="8"/>
  <c r="AI120" i="8"/>
  <c r="AI129" i="8"/>
  <c r="AE71" i="8"/>
  <c r="AE92" i="8"/>
  <c r="AE144" i="8"/>
  <c r="AO12" i="8"/>
  <c r="AK77" i="8"/>
  <c r="AG103" i="8"/>
  <c r="AF106" i="8"/>
  <c r="AU69" i="8"/>
  <c r="AU73" i="8"/>
  <c r="AP107" i="8"/>
  <c r="AT127" i="8"/>
  <c r="AT136" i="8"/>
  <c r="AT140" i="8"/>
  <c r="AR155" i="8"/>
  <c r="AZ8" i="8"/>
  <c r="M134" i="14"/>
  <c r="AD7" i="8"/>
  <c r="K7" i="8"/>
  <c r="AP7" i="8"/>
  <c r="O10" i="8"/>
  <c r="CG10" i="8" s="1"/>
  <c r="AT10" i="8"/>
  <c r="AP13" i="8"/>
  <c r="K13" i="8"/>
  <c r="N32" i="8"/>
  <c r="CF32" i="8" s="1"/>
  <c r="AS32" i="8"/>
  <c r="L31" i="8"/>
  <c r="CD31" i="8" s="1"/>
  <c r="P29" i="8"/>
  <c r="CH29" i="8" s="1"/>
  <c r="N28" i="8"/>
  <c r="CF28" i="8" s="1"/>
  <c r="L27" i="8"/>
  <c r="CD27" i="8" s="1"/>
  <c r="AQ27" i="8"/>
  <c r="P25" i="8"/>
  <c r="CH25" i="8" s="1"/>
  <c r="AU25" i="8"/>
  <c r="N24" i="8"/>
  <c r="CF24" i="8" s="1"/>
  <c r="L23" i="8"/>
  <c r="CD23" i="8" s="1"/>
  <c r="AQ23" i="8"/>
  <c r="P21" i="8"/>
  <c r="CH21" i="8" s="1"/>
  <c r="AU21" i="8"/>
  <c r="N20" i="8"/>
  <c r="CF20" i="8" s="1"/>
  <c r="AS20" i="8"/>
  <c r="L19" i="8"/>
  <c r="CD19" i="8" s="1"/>
  <c r="AQ19" i="8"/>
  <c r="P17" i="8"/>
  <c r="CH17" i="8" s="1"/>
  <c r="AU17" i="8"/>
  <c r="N16" i="8"/>
  <c r="CF16" i="8" s="1"/>
  <c r="L15" i="8"/>
  <c r="CD15" i="8" s="1"/>
  <c r="AQ15" i="8"/>
  <c r="P35" i="8"/>
  <c r="CH35" i="8" s="1"/>
  <c r="AU35" i="8"/>
  <c r="N38" i="8"/>
  <c r="CF38" i="8" s="1"/>
  <c r="AS38" i="8"/>
  <c r="P39" i="8"/>
  <c r="CH39" i="8" s="1"/>
  <c r="AU39" i="8"/>
  <c r="L41" i="8"/>
  <c r="CD41" i="8" s="1"/>
  <c r="AQ41" i="8"/>
  <c r="L45" i="8"/>
  <c r="CD45" i="8" s="1"/>
  <c r="AQ45" i="8"/>
  <c r="P47" i="8"/>
  <c r="CH47" i="8" s="1"/>
  <c r="AU47" i="8"/>
  <c r="L50" i="8"/>
  <c r="N51" i="8"/>
  <c r="CF51" i="8" s="1"/>
  <c r="AS51" i="8"/>
  <c r="P52" i="8"/>
  <c r="CH52" i="8" s="1"/>
  <c r="AU52" i="8"/>
  <c r="L54" i="8"/>
  <c r="CD54" i="8" s="1"/>
  <c r="AQ54" i="8"/>
  <c r="N55" i="8"/>
  <c r="CF55" i="8" s="1"/>
  <c r="P56" i="8"/>
  <c r="CH56" i="8" s="1"/>
  <c r="L58" i="8"/>
  <c r="CD58" i="8" s="1"/>
  <c r="AQ58" i="8"/>
  <c r="N59" i="8"/>
  <c r="CF59" i="8" s="1"/>
  <c r="AS59" i="8"/>
  <c r="P60" i="8"/>
  <c r="CH60" i="8" s="1"/>
  <c r="L62" i="8"/>
  <c r="CD62" i="8" s="1"/>
  <c r="AQ62" i="8"/>
  <c r="N63" i="8"/>
  <c r="CF63" i="8" s="1"/>
  <c r="AG63" i="8"/>
  <c r="O67" i="8"/>
  <c r="CG67" i="8" s="1"/>
  <c r="M70" i="8"/>
  <c r="CE70" i="8" s="1"/>
  <c r="O71" i="8"/>
  <c r="CG71" i="8" s="1"/>
  <c r="AD73" i="8"/>
  <c r="M74" i="8"/>
  <c r="CE74" i="8" s="1"/>
  <c r="AR74" i="8"/>
  <c r="O75" i="8"/>
  <c r="CG75" i="8" s="1"/>
  <c r="K78" i="8"/>
  <c r="AP78" i="8"/>
  <c r="O80" i="8"/>
  <c r="CG80" i="8" s="1"/>
  <c r="AT80" i="8"/>
  <c r="AP82" i="8"/>
  <c r="K82" i="8"/>
  <c r="O84" i="8"/>
  <c r="CG84" i="8" s="1"/>
  <c r="AT84" i="8"/>
  <c r="M88" i="8"/>
  <c r="AR88" i="8"/>
  <c r="O89" i="8"/>
  <c r="CG89" i="8" s="1"/>
  <c r="AT89" i="8"/>
  <c r="K91" i="8"/>
  <c r="AP91" i="8"/>
  <c r="M150" i="8"/>
  <c r="AR150" i="8"/>
  <c r="O92" i="8"/>
  <c r="CG92" i="8" s="1"/>
  <c r="AT92" i="8"/>
  <c r="M96" i="8"/>
  <c r="O97" i="8"/>
  <c r="CG97" i="8" s="1"/>
  <c r="AT97" i="8"/>
  <c r="O101" i="8"/>
  <c r="CG101" i="8" s="1"/>
  <c r="AT101" i="8"/>
  <c r="K103" i="8"/>
  <c r="AP103" i="8"/>
  <c r="M104" i="8"/>
  <c r="AR104" i="8"/>
  <c r="M108" i="8"/>
  <c r="CE108" i="8" s="1"/>
  <c r="AR108" i="8"/>
  <c r="AP112" i="8"/>
  <c r="K112" i="8"/>
  <c r="O114" i="8"/>
  <c r="CG114" i="8" s="1"/>
  <c r="AT114" i="8"/>
  <c r="AP116" i="8"/>
  <c r="K116" i="8"/>
  <c r="O118" i="8"/>
  <c r="CG118" i="8" s="1"/>
  <c r="AT118" i="8"/>
  <c r="AP120" i="8"/>
  <c r="K120" i="8"/>
  <c r="O122" i="8"/>
  <c r="CG122" i="8" s="1"/>
  <c r="AH122" i="8"/>
  <c r="O131" i="8"/>
  <c r="CG131" i="8" s="1"/>
  <c r="AT131" i="8"/>
  <c r="AP133" i="8"/>
  <c r="K133" i="8"/>
  <c r="CC133" i="8" s="1"/>
  <c r="M135" i="8"/>
  <c r="AR135" i="8"/>
  <c r="M139" i="8"/>
  <c r="AR139" i="8"/>
  <c r="K146" i="8"/>
  <c r="AP146" i="8"/>
  <c r="M147" i="8"/>
  <c r="AR147" i="8"/>
  <c r="O148" i="8"/>
  <c r="CG148" i="8" s="1"/>
  <c r="AT148" i="8"/>
  <c r="AP151" i="8"/>
  <c r="K151" i="8"/>
  <c r="O153" i="8"/>
  <c r="CG153" i="8" s="1"/>
  <c r="AT153" i="8"/>
  <c r="AP155" i="8"/>
  <c r="K155" i="8"/>
  <c r="CC155" i="8" s="1"/>
  <c r="M156" i="8"/>
  <c r="CE156" i="8" s="1"/>
  <c r="AR156" i="8"/>
  <c r="AF150" i="8"/>
  <c r="AI21" i="8"/>
  <c r="AI25" i="8"/>
  <c r="AH67" i="8"/>
  <c r="AH71" i="8"/>
  <c r="AH75" i="8"/>
  <c r="AH84" i="8"/>
  <c r="AI87" i="8"/>
  <c r="AI91" i="8"/>
  <c r="AH110" i="8"/>
  <c r="AH114" i="8"/>
  <c r="AH118" i="8"/>
  <c r="AH153" i="8"/>
  <c r="AE15" i="8"/>
  <c r="AE23" i="8"/>
  <c r="AE67" i="8"/>
  <c r="AE84" i="8"/>
  <c r="AD107" i="8"/>
  <c r="AE114" i="8"/>
  <c r="AE122" i="8"/>
  <c r="AE136" i="8"/>
  <c r="AF113" i="8"/>
  <c r="AF116" i="8"/>
  <c r="AK159" i="8"/>
  <c r="AR9" i="8"/>
  <c r="AU29" i="8"/>
  <c r="AT40" i="8"/>
  <c r="AS55" i="8"/>
  <c r="AT71" i="8"/>
  <c r="AS93" i="8"/>
  <c r="AQ105" i="8"/>
  <c r="AR121" i="8"/>
  <c r="AU124" i="8"/>
  <c r="AT152" i="8"/>
  <c r="AT157" i="8"/>
  <c r="O147" i="8"/>
  <c r="CG147" i="8" s="1"/>
  <c r="AT147" i="8"/>
  <c r="M151" i="8"/>
  <c r="AR151" i="8"/>
  <c r="O156" i="8"/>
  <c r="CG156" i="8" s="1"/>
  <c r="AT156" i="8"/>
  <c r="AF60" i="8"/>
  <c r="AG68" i="8"/>
  <c r="AG72" i="8"/>
  <c r="AG76" i="8"/>
  <c r="AH89" i="8"/>
  <c r="AI103" i="8"/>
  <c r="AG111" i="8"/>
  <c r="AG128" i="8"/>
  <c r="AG141" i="8"/>
  <c r="AG145" i="8"/>
  <c r="AG154" i="8"/>
  <c r="AE140" i="8"/>
  <c r="AN165" i="8"/>
  <c r="AF9" i="8"/>
  <c r="AL12" i="8"/>
  <c r="AH10" i="8"/>
  <c r="AH15" i="8"/>
  <c r="AF18" i="8"/>
  <c r="AH23" i="8"/>
  <c r="AF26" i="8"/>
  <c r="AM49" i="8"/>
  <c r="AE37" i="8"/>
  <c r="AG38" i="8"/>
  <c r="AD46" i="8"/>
  <c r="AH48" i="8"/>
  <c r="AF51" i="8"/>
  <c r="AH53" i="8"/>
  <c r="AL64" i="8"/>
  <c r="AI56" i="8"/>
  <c r="AE58" i="8"/>
  <c r="AG59" i="8"/>
  <c r="AH69" i="8"/>
  <c r="AH78" i="8"/>
  <c r="AN85" i="8"/>
  <c r="AN186" i="8" s="1"/>
  <c r="AF81" i="8"/>
  <c r="AH82" i="8"/>
  <c r="AM95" i="8"/>
  <c r="AM187" i="8" s="1"/>
  <c r="AD91" i="8"/>
  <c r="AN109" i="8"/>
  <c r="AN188" i="8" s="1"/>
  <c r="AF98" i="8"/>
  <c r="AH101" i="8"/>
  <c r="AF104" i="8"/>
  <c r="AO125" i="8"/>
  <c r="AO189" i="8" s="1"/>
  <c r="AO221" i="8" s="1"/>
  <c r="AH113" i="8"/>
  <c r="AH116" i="8"/>
  <c r="AH124" i="8"/>
  <c r="AH139" i="8"/>
  <c r="AF142" i="8"/>
  <c r="AH143" i="8"/>
  <c r="AF146" i="8"/>
  <c r="AH147" i="8"/>
  <c r="AT44" i="8"/>
  <c r="AS63" i="8"/>
  <c r="AP94" i="8"/>
  <c r="AT105" i="8"/>
  <c r="AT143" i="8"/>
  <c r="BL222" i="8"/>
  <c r="BM238" i="8" s="1"/>
  <c r="BM206" i="8"/>
  <c r="AG81" i="8"/>
  <c r="AG86" i="8"/>
  <c r="AG93" i="8"/>
  <c r="AI107" i="8"/>
  <c r="AE27" i="8"/>
  <c r="AE89" i="8"/>
  <c r="AE110" i="8"/>
  <c r="AM165" i="8"/>
  <c r="AK34" i="8"/>
  <c r="AM167" i="8"/>
  <c r="AH35" i="8"/>
  <c r="AH38" i="8"/>
  <c r="AG51" i="8"/>
  <c r="AH150" i="8"/>
  <c r="AF94" i="8"/>
  <c r="AN159" i="8"/>
  <c r="AN191" i="8" s="1"/>
  <c r="AN8" i="8"/>
  <c r="AN180" i="8" s="1"/>
  <c r="AS24" i="8"/>
  <c r="AQ31" i="8"/>
  <c r="AU56" i="8"/>
  <c r="AT122" i="8"/>
  <c r="AQ140" i="8"/>
  <c r="AT144" i="8"/>
  <c r="AS154" i="8"/>
  <c r="AR39" i="8"/>
  <c r="AY64" i="8"/>
  <c r="BF96" i="8"/>
  <c r="AZ109" i="8"/>
  <c r="AZ125" i="8"/>
  <c r="BF110" i="8"/>
  <c r="AR113" i="8"/>
  <c r="BD113" i="8"/>
  <c r="AR117" i="8"/>
  <c r="BD117" i="8"/>
  <c r="AZ159" i="8"/>
  <c r="BF135" i="8"/>
  <c r="AZ166" i="8"/>
  <c r="BL159" i="8"/>
  <c r="BL191" i="8" s="1"/>
  <c r="AH117" i="8"/>
  <c r="AF120" i="8"/>
  <c r="AH121" i="8"/>
  <c r="AF124" i="8"/>
  <c r="AI126" i="8"/>
  <c r="AE128" i="8"/>
  <c r="AG129" i="8"/>
  <c r="AI130" i="8"/>
  <c r="AE132" i="8"/>
  <c r="AG133" i="8"/>
  <c r="AH140" i="8"/>
  <c r="AF151" i="8"/>
  <c r="AH152" i="8"/>
  <c r="AE154" i="8"/>
  <c r="AG155" i="8"/>
  <c r="AI156" i="8"/>
  <c r="AE158" i="8"/>
  <c r="BC6" i="8"/>
  <c r="BA12" i="8"/>
  <c r="AY34" i="8"/>
  <c r="BE13" i="8"/>
  <c r="BA167" i="8"/>
  <c r="AQ36" i="8"/>
  <c r="AR42" i="8"/>
  <c r="BD42" i="8"/>
  <c r="AR59" i="8"/>
  <c r="BA77" i="8"/>
  <c r="BG66" i="8"/>
  <c r="AQ68" i="8"/>
  <c r="BC68" i="8"/>
  <c r="AY85" i="8"/>
  <c r="BA95" i="8"/>
  <c r="BG87" i="8"/>
  <c r="AQ98" i="8"/>
  <c r="AR126" i="8"/>
  <c r="AR130" i="8"/>
  <c r="AY166" i="8"/>
  <c r="BE135" i="8"/>
  <c r="BG18" i="8"/>
  <c r="BC98" i="8"/>
  <c r="AE6" i="8"/>
  <c r="AE11" i="8"/>
  <c r="AG13" i="8"/>
  <c r="AG17" i="8"/>
  <c r="AI18" i="8"/>
  <c r="AO167" i="8"/>
  <c r="AG21" i="8"/>
  <c r="AG25" i="8"/>
  <c r="AI26" i="8"/>
  <c r="AG29" i="8"/>
  <c r="AG33" i="8"/>
  <c r="AH40" i="8"/>
  <c r="AF42" i="8"/>
  <c r="AH43" i="8"/>
  <c r="AE45" i="8"/>
  <c r="AG46" i="8"/>
  <c r="AI47" i="8"/>
  <c r="AF50" i="8"/>
  <c r="AH88" i="8"/>
  <c r="AE90" i="8"/>
  <c r="AG91" i="8"/>
  <c r="AF103" i="8"/>
  <c r="AH104" i="8"/>
  <c r="AF107" i="8"/>
  <c r="AH108" i="8"/>
  <c r="AF112" i="8"/>
  <c r="AI113" i="8"/>
  <c r="AF138" i="8"/>
  <c r="AI139" i="8"/>
  <c r="AE141" i="8"/>
  <c r="AI143" i="8"/>
  <c r="AE145" i="8"/>
  <c r="AG146" i="8"/>
  <c r="AI147" i="8"/>
  <c r="AW109" i="8"/>
  <c r="AX125" i="8"/>
  <c r="BD112" i="8"/>
  <c r="AR116" i="8"/>
  <c r="BM85" i="8"/>
  <c r="BM186" i="8" s="1"/>
  <c r="BM218" i="8" s="1"/>
  <c r="BM109" i="8"/>
  <c r="BM188" i="8" s="1"/>
  <c r="BM220" i="8" s="1"/>
  <c r="AH127" i="8"/>
  <c r="AD129" i="8"/>
  <c r="AF130" i="8"/>
  <c r="AD133" i="8"/>
  <c r="AM166" i="8"/>
  <c r="AE137" i="8"/>
  <c r="AH157" i="8"/>
  <c r="AO134" i="8"/>
  <c r="AO190" i="8" s="1"/>
  <c r="AO222" i="8" s="1"/>
  <c r="BF6" i="8"/>
  <c r="BM165" i="8"/>
  <c r="BM8" i="8"/>
  <c r="BM180" i="8" s="1"/>
  <c r="BM201" i="8"/>
  <c r="BC140" i="8"/>
  <c r="AH39" i="8"/>
  <c r="AF41" i="8"/>
  <c r="AI52" i="8"/>
  <c r="AH60" i="8"/>
  <c r="AF63" i="8"/>
  <c r="AH66" i="8"/>
  <c r="AF69" i="8"/>
  <c r="AH70" i="8"/>
  <c r="AF73" i="8"/>
  <c r="AH74" i="8"/>
  <c r="AF78" i="8"/>
  <c r="AH79" i="8"/>
  <c r="AF82" i="8"/>
  <c r="AH83" i="8"/>
  <c r="AE86" i="8"/>
  <c r="AF96" i="8"/>
  <c r="AF121" i="8"/>
  <c r="AH135" i="8"/>
  <c r="AN166" i="8"/>
  <c r="AF137" i="8"/>
  <c r="AL85" i="8"/>
  <c r="AY159" i="8"/>
  <c r="BG9" i="8"/>
  <c r="BC53" i="8"/>
  <c r="BD116" i="8"/>
  <c r="BM77" i="8"/>
  <c r="BL212" i="8"/>
  <c r="BM228" i="8" s="1"/>
  <c r="BM196" i="8"/>
  <c r="BL165" i="8"/>
  <c r="BD9" i="8"/>
  <c r="BJ167" i="8"/>
  <c r="BK199" i="8"/>
  <c r="BD51" i="8"/>
  <c r="BD60" i="8"/>
  <c r="BK77" i="8"/>
  <c r="BK185" i="8" s="1"/>
  <c r="BC97" i="8"/>
  <c r="BM125" i="8"/>
  <c r="BM189" i="8" s="1"/>
  <c r="BM221" i="8" s="1"/>
  <c r="BD147" i="8"/>
  <c r="BM12" i="8"/>
  <c r="BK34" i="8"/>
  <c r="BK182" i="8" s="1"/>
  <c r="BM167" i="8"/>
  <c r="BM49" i="8"/>
  <c r="BM183" i="8" s="1"/>
  <c r="BM215" i="8" s="1"/>
  <c r="BJ64" i="8"/>
  <c r="BJ184" i="8" s="1"/>
  <c r="BK200" i="8" s="1"/>
  <c r="BD59" i="8"/>
  <c r="BK95" i="8"/>
  <c r="BK187" i="8" s="1"/>
  <c r="BI109" i="8"/>
  <c r="BI134" i="8"/>
  <c r="BK134" i="8"/>
  <c r="BK190" i="8" s="1"/>
  <c r="BK159" i="8"/>
  <c r="BK191" i="8" s="1"/>
  <c r="AZ165" i="8"/>
  <c r="AX12" i="8"/>
  <c r="AR14" i="8"/>
  <c r="AR18" i="8"/>
  <c r="AR22" i="8"/>
  <c r="AR26" i="8"/>
  <c r="AQ40" i="8"/>
  <c r="AR51" i="8"/>
  <c r="AX77" i="8"/>
  <c r="AX185" i="8" s="1"/>
  <c r="AR70" i="8"/>
  <c r="AR79" i="8"/>
  <c r="AR87" i="8"/>
  <c r="BJ12" i="8"/>
  <c r="BA125" i="8"/>
  <c r="AQ114" i="8"/>
  <c r="AQ118" i="8"/>
  <c r="BC118" i="8"/>
  <c r="BD66" i="8"/>
  <c r="BJ165" i="8"/>
  <c r="BM64" i="8"/>
  <c r="BM184" i="8" s="1"/>
  <c r="BM216" i="8" s="1"/>
  <c r="BH85" i="8"/>
  <c r="BK125" i="8"/>
  <c r="BJ8" i="8"/>
  <c r="BJ180" i="8" s="1"/>
  <c r="BK165" i="8"/>
  <c r="BI49" i="8"/>
  <c r="BD54" i="8"/>
  <c r="BJ77" i="8"/>
  <c r="BJ185" i="8" s="1"/>
  <c r="BL95" i="8"/>
  <c r="BL187" i="8" s="1"/>
  <c r="BL125" i="8"/>
  <c r="BL189" i="8" s="1"/>
  <c r="BM166" i="8"/>
  <c r="BM159" i="8"/>
  <c r="BM191" i="8" s="1"/>
  <c r="BM223" i="8" s="1"/>
  <c r="BK8" i="8"/>
  <c r="BK180" i="8" s="1"/>
  <c r="BD13" i="8"/>
  <c r="BJ34" i="8"/>
  <c r="BJ182" i="8" s="1"/>
  <c r="BL167" i="8"/>
  <c r="BD21" i="8"/>
  <c r="BD25" i="8"/>
  <c r="BD79" i="8"/>
  <c r="BD87" i="8"/>
  <c r="BD90" i="8"/>
  <c r="BD16" i="8"/>
  <c r="BD20" i="8"/>
  <c r="BD24" i="8"/>
  <c r="BD28" i="8"/>
  <c r="BD37" i="8"/>
  <c r="BD41" i="8"/>
  <c r="BE50" i="8"/>
  <c r="BJ109" i="8"/>
  <c r="BJ188" i="8" s="1"/>
  <c r="BK204" i="8" s="1"/>
  <c r="BC101" i="8"/>
  <c r="BC105" i="8"/>
  <c r="BD126" i="8"/>
  <c r="BD130" i="8"/>
  <c r="BJ134" i="8"/>
  <c r="BJ190" i="8" s="1"/>
  <c r="BJ95" i="8"/>
  <c r="BA165" i="8"/>
  <c r="AY167" i="8"/>
  <c r="AZ49" i="8"/>
  <c r="AR43" i="8"/>
  <c r="AW134" i="8"/>
  <c r="AY134" i="8"/>
  <c r="AR142" i="8"/>
  <c r="AR146" i="8"/>
  <c r="BI8" i="8"/>
  <c r="BC36" i="8"/>
  <c r="BC40" i="8"/>
  <c r="BD86" i="8"/>
  <c r="BL166" i="8"/>
  <c r="BD146" i="8"/>
  <c r="D161" i="13"/>
  <c r="AD26" i="8"/>
  <c r="K92" i="8"/>
  <c r="CC92" i="8" s="1"/>
  <c r="K127" i="8"/>
  <c r="BB6" i="8"/>
  <c r="AP76" i="8"/>
  <c r="K76" i="8"/>
  <c r="CC76" i="8" s="1"/>
  <c r="K81" i="8"/>
  <c r="AP81" i="8"/>
  <c r="AP90" i="8"/>
  <c r="K90" i="8"/>
  <c r="AP93" i="8"/>
  <c r="K93" i="8"/>
  <c r="CC93" i="8" s="1"/>
  <c r="AP102" i="8"/>
  <c r="K102" i="8"/>
  <c r="K106" i="8"/>
  <c r="CC106" i="8" s="1"/>
  <c r="AP106" i="8"/>
  <c r="K111" i="8"/>
  <c r="AP111" i="8"/>
  <c r="K123" i="8"/>
  <c r="CC123" i="8" s="1"/>
  <c r="AP123" i="8"/>
  <c r="AP128" i="8"/>
  <c r="K128" i="8"/>
  <c r="AP141" i="8"/>
  <c r="K141" i="8"/>
  <c r="AP145" i="8"/>
  <c r="K145" i="8"/>
  <c r="K158" i="8"/>
  <c r="CC158" i="8" s="1"/>
  <c r="AP158" i="8"/>
  <c r="AD92" i="8"/>
  <c r="AJ12" i="8"/>
  <c r="AD105" i="8"/>
  <c r="AP119" i="8"/>
  <c r="K32" i="8"/>
  <c r="CC32" i="8" s="1"/>
  <c r="AP32" i="8"/>
  <c r="K28" i="8"/>
  <c r="CC28" i="8" s="1"/>
  <c r="K24" i="8"/>
  <c r="CC24" i="8" s="1"/>
  <c r="AP24" i="8"/>
  <c r="K20" i="8"/>
  <c r="CC20" i="8" s="1"/>
  <c r="AP16" i="8"/>
  <c r="K16" i="8"/>
  <c r="CC16" i="8" s="1"/>
  <c r="K35" i="8"/>
  <c r="K39" i="8"/>
  <c r="CC39" i="8" s="1"/>
  <c r="K43" i="8"/>
  <c r="CC43" i="8" s="1"/>
  <c r="AP43" i="8"/>
  <c r="AD43" i="8"/>
  <c r="K47" i="8"/>
  <c r="CC47" i="8" s="1"/>
  <c r="AP47" i="8"/>
  <c r="K52" i="8"/>
  <c r="CC52" i="8" s="1"/>
  <c r="K56" i="8"/>
  <c r="CC56" i="8" s="1"/>
  <c r="K60" i="8"/>
  <c r="CC60" i="8" s="1"/>
  <c r="AD24" i="8"/>
  <c r="K46" i="8"/>
  <c r="CC46" i="8" s="1"/>
  <c r="K10" i="8"/>
  <c r="CC10" i="8" s="1"/>
  <c r="AP10" i="8"/>
  <c r="AP67" i="8"/>
  <c r="K67" i="8"/>
  <c r="CC67" i="8" s="1"/>
  <c r="AP71" i="8"/>
  <c r="K71" i="8"/>
  <c r="CC71" i="8" s="1"/>
  <c r="AP80" i="8"/>
  <c r="K80" i="8"/>
  <c r="AD80" i="8"/>
  <c r="AP84" i="8"/>
  <c r="AD84" i="8"/>
  <c r="K84" i="8"/>
  <c r="K89" i="8"/>
  <c r="K97" i="8"/>
  <c r="AP105" i="8"/>
  <c r="K105" i="8"/>
  <c r="AP110" i="8"/>
  <c r="AD110" i="8"/>
  <c r="K114" i="8"/>
  <c r="AP118" i="8"/>
  <c r="K118" i="8"/>
  <c r="AP122" i="8"/>
  <c r="K122" i="8"/>
  <c r="CC122" i="8" s="1"/>
  <c r="AP131" i="8"/>
  <c r="K131" i="8"/>
  <c r="CC131" i="8" s="1"/>
  <c r="AD131" i="8"/>
  <c r="AP140" i="8"/>
  <c r="K140" i="8"/>
  <c r="AD144" i="8"/>
  <c r="AP157" i="8"/>
  <c r="K157" i="8"/>
  <c r="CC157" i="8" s="1"/>
  <c r="AD71" i="8"/>
  <c r="AP75" i="8"/>
  <c r="AP154" i="8"/>
  <c r="AP68" i="8"/>
  <c r="AV77" i="8"/>
  <c r="CC29" i="8"/>
  <c r="AP29" i="8"/>
  <c r="K25" i="8"/>
  <c r="CC25" i="8" s="1"/>
  <c r="AP21" i="8"/>
  <c r="K21" i="8"/>
  <c r="CC21" i="8" s="1"/>
  <c r="CC17" i="8"/>
  <c r="K38" i="8"/>
  <c r="CC38" i="8" s="1"/>
  <c r="AP38" i="8"/>
  <c r="AP59" i="8"/>
  <c r="K59" i="8"/>
  <c r="CC59" i="8" s="1"/>
  <c r="AP63" i="8"/>
  <c r="AD63" i="8"/>
  <c r="AD122" i="8"/>
  <c r="AP72" i="8"/>
  <c r="AP114" i="8"/>
  <c r="AP144" i="8"/>
  <c r="AV12" i="8"/>
  <c r="BB11" i="8"/>
  <c r="AP9" i="8"/>
  <c r="K9" i="8"/>
  <c r="CC9" i="8" s="1"/>
  <c r="AD9" i="8"/>
  <c r="K14" i="8"/>
  <c r="CC14" i="8" s="1"/>
  <c r="AP14" i="8"/>
  <c r="AD67" i="8"/>
  <c r="AD140" i="8"/>
  <c r="AJ85" i="8"/>
  <c r="BH12" i="8"/>
  <c r="BH49" i="8"/>
  <c r="K30" i="8"/>
  <c r="CC30" i="8" s="1"/>
  <c r="K66" i="8"/>
  <c r="AP66" i="8"/>
  <c r="K96" i="8"/>
  <c r="K104" i="8"/>
  <c r="AP104" i="8"/>
  <c r="K117" i="8"/>
  <c r="AP117" i="8"/>
  <c r="K54" i="8"/>
  <c r="CC54" i="8" s="1"/>
  <c r="K58" i="8"/>
  <c r="CC58" i="8" s="1"/>
  <c r="AP58" i="8"/>
  <c r="K62" i="8"/>
  <c r="AD15" i="8"/>
  <c r="AD124" i="8"/>
  <c r="AD155" i="8"/>
  <c r="AD13" i="8"/>
  <c r="AD17" i="8"/>
  <c r="AD21" i="8"/>
  <c r="AD25" i="8"/>
  <c r="AD29" i="8"/>
  <c r="AD33" i="8"/>
  <c r="AD58" i="8"/>
  <c r="AJ34" i="8"/>
  <c r="AV125" i="8"/>
  <c r="BB111" i="8"/>
  <c r="AP115" i="8"/>
  <c r="BB128" i="8"/>
  <c r="AP22" i="8"/>
  <c r="K22" i="8"/>
  <c r="CC22" i="8" s="1"/>
  <c r="K79" i="8"/>
  <c r="AP79" i="8"/>
  <c r="K88" i="8"/>
  <c r="K150" i="8"/>
  <c r="K108" i="8"/>
  <c r="CC108" i="8" s="1"/>
  <c r="AP108" i="8"/>
  <c r="AP121" i="8"/>
  <c r="CC31" i="8"/>
  <c r="AP31" i="8"/>
  <c r="AP27" i="8"/>
  <c r="CC23" i="8"/>
  <c r="CC19" i="8"/>
  <c r="AP19" i="8"/>
  <c r="CC15" i="8"/>
  <c r="CC36" i="8"/>
  <c r="CC40" i="8"/>
  <c r="CC48" i="8"/>
  <c r="CC69" i="8"/>
  <c r="AD31" i="8"/>
  <c r="AD44" i="8"/>
  <c r="AD69" i="8"/>
  <c r="AD104" i="8"/>
  <c r="AD120" i="8"/>
  <c r="AP113" i="8"/>
  <c r="AP152" i="8"/>
  <c r="K73" i="8"/>
  <c r="CC73" i="8" s="1"/>
  <c r="K124" i="8"/>
  <c r="CC124" i="8" s="1"/>
  <c r="K142" i="8"/>
  <c r="K26" i="8"/>
  <c r="CC26" i="8" s="1"/>
  <c r="K18" i="8"/>
  <c r="CC18" i="8" s="1"/>
  <c r="K70" i="8"/>
  <c r="CC70" i="8" s="1"/>
  <c r="AP70" i="8"/>
  <c r="K74" i="8"/>
  <c r="CC74" i="8" s="1"/>
  <c r="AP74" i="8"/>
  <c r="K100" i="8"/>
  <c r="K130" i="8"/>
  <c r="AP130" i="8"/>
  <c r="K143" i="8"/>
  <c r="AP143" i="8"/>
  <c r="AD30" i="8"/>
  <c r="AD38" i="8"/>
  <c r="AP30" i="8"/>
  <c r="AP156" i="8"/>
  <c r="AP6" i="8"/>
  <c r="K6" i="8"/>
  <c r="CC6" i="8" s="1"/>
  <c r="AP11" i="8"/>
  <c r="K11" i="8"/>
  <c r="CC11" i="8" s="1"/>
  <c r="CC33" i="8"/>
  <c r="AP33" i="8"/>
  <c r="CC53" i="8"/>
  <c r="AP61" i="8"/>
  <c r="AD22" i="8"/>
  <c r="AD57" i="8"/>
  <c r="AD74" i="8"/>
  <c r="AD116" i="8"/>
  <c r="AD151" i="8"/>
  <c r="AD156" i="8"/>
  <c r="AD6" i="8"/>
  <c r="AD11" i="8"/>
  <c r="AD16" i="8"/>
  <c r="AD20" i="8"/>
  <c r="AD28" i="8"/>
  <c r="AD32" i="8"/>
  <c r="AP15" i="8"/>
  <c r="AP18" i="8"/>
  <c r="AP23" i="8"/>
  <c r="AP26" i="8"/>
  <c r="AP48" i="8"/>
  <c r="AP62" i="8"/>
  <c r="K27" i="8"/>
  <c r="CC27" i="8" s="1"/>
  <c r="K44" i="8"/>
  <c r="CC44" i="8" s="1"/>
  <c r="K61" i="8"/>
  <c r="CC61" i="8" s="1"/>
  <c r="AD62" i="8"/>
  <c r="AD68" i="8"/>
  <c r="AD72" i="8"/>
  <c r="AD76" i="8"/>
  <c r="AD81" i="8"/>
  <c r="AD90" i="8"/>
  <c r="AD93" i="8"/>
  <c r="AD102" i="8"/>
  <c r="AD106" i="8"/>
  <c r="AD111" i="8"/>
  <c r="AD119" i="8"/>
  <c r="AD123" i="8"/>
  <c r="AD128" i="8"/>
  <c r="AD132" i="8"/>
  <c r="AD141" i="8"/>
  <c r="AD145" i="8"/>
  <c r="AD154" i="8"/>
  <c r="AD158" i="8"/>
  <c r="AV34" i="8"/>
  <c r="BB34" i="8" s="1"/>
  <c r="AP69" i="8"/>
  <c r="AP73" i="8"/>
  <c r="AV85" i="8"/>
  <c r="BB85" i="8" s="1"/>
  <c r="BB13" i="8"/>
  <c r="D161" i="14"/>
  <c r="CG40" i="8"/>
  <c r="CC42" i="8"/>
  <c r="CE43" i="8"/>
  <c r="CG44" i="8"/>
  <c r="CE47" i="8"/>
  <c r="CE69" i="8"/>
  <c r="CC72" i="8"/>
  <c r="CE73" i="8"/>
  <c r="CF96" i="8"/>
  <c r="CD38" i="8"/>
  <c r="CF39" i="8"/>
  <c r="CH66" i="8"/>
  <c r="CD68" i="8"/>
  <c r="CC7" i="8"/>
  <c r="CE14" i="8"/>
  <c r="CG35" i="8"/>
  <c r="CC37" i="8"/>
  <c r="CE38" i="8"/>
  <c r="CC41" i="8"/>
  <c r="CE42" i="8"/>
  <c r="CC45" i="8"/>
  <c r="CG47" i="8"/>
  <c r="CC51" i="8"/>
  <c r="CG53" i="8"/>
  <c r="CC55" i="8"/>
  <c r="CG61" i="8"/>
  <c r="CC63" i="8"/>
  <c r="CC68" i="8"/>
  <c r="CF42" i="8"/>
  <c r="CF46" i="8"/>
  <c r="CH57" i="8"/>
  <c r="AX85" i="8"/>
  <c r="AR38" i="8"/>
  <c r="AX34" i="8"/>
  <c r="AR112" i="8"/>
  <c r="AW49" i="8"/>
  <c r="AX95" i="8"/>
  <c r="AQ127" i="8"/>
  <c r="AF55" i="8"/>
  <c r="AF57" i="8"/>
  <c r="AG55" i="8"/>
  <c r="AG53" i="8"/>
  <c r="AM64" i="8"/>
  <c r="AM184" i="8" s="1"/>
  <c r="AG52" i="8"/>
  <c r="AB8" i="8"/>
  <c r="AB180" i="8" s="1"/>
  <c r="W49" i="8"/>
  <c r="T12" i="8"/>
  <c r="AB167" i="8"/>
  <c r="Z8" i="8"/>
  <c r="X12" i="8"/>
  <c r="X49" i="8"/>
  <c r="Z125" i="8"/>
  <c r="AA167" i="8"/>
  <c r="AC125" i="8"/>
  <c r="AC189" i="8" s="1"/>
  <c r="AC221" i="8" s="1"/>
  <c r="AB85" i="8"/>
  <c r="AB186" i="8" s="1"/>
  <c r="W12" i="8"/>
  <c r="Z49" i="8"/>
  <c r="AB64" i="8"/>
  <c r="AB184" i="8" s="1"/>
  <c r="AB95" i="8"/>
  <c r="AB187" i="8" s="1"/>
  <c r="X95" i="8"/>
  <c r="Z109" i="8"/>
  <c r="AB109" i="8"/>
  <c r="AB188" i="8" s="1"/>
  <c r="AB125" i="8"/>
  <c r="AB189" i="8" s="1"/>
  <c r="X134" i="8"/>
  <c r="AB134" i="8"/>
  <c r="AB190" i="8" s="1"/>
  <c r="U85" i="8"/>
  <c r="S95" i="8"/>
  <c r="W125" i="8"/>
  <c r="AA165" i="8"/>
  <c r="AC8" i="8"/>
  <c r="AC180" i="8" s="1"/>
  <c r="AC212" i="8" s="1"/>
  <c r="AC64" i="8"/>
  <c r="AC184" i="8" s="1"/>
  <c r="AC216" i="8" s="1"/>
  <c r="Y77" i="8"/>
  <c r="AA109" i="8"/>
  <c r="AA188" i="8" s="1"/>
  <c r="AB49" i="8"/>
  <c r="AB183" i="8" s="1"/>
  <c r="X77" i="8"/>
  <c r="V95" i="8"/>
  <c r="V134" i="8"/>
  <c r="V159" i="8"/>
  <c r="X34" i="8"/>
  <c r="Z77" i="8"/>
  <c r="Z95" i="8"/>
  <c r="U64" i="8"/>
  <c r="U184" i="8" s="1"/>
  <c r="CH38" i="8"/>
  <c r="AC12" i="8"/>
  <c r="AA34" i="8"/>
  <c r="AA182" i="8" s="1"/>
  <c r="Y34" i="8"/>
  <c r="AC167" i="8"/>
  <c r="AC49" i="8"/>
  <c r="AC183" i="8" s="1"/>
  <c r="AC215" i="8" s="1"/>
  <c r="Y64" i="8"/>
  <c r="AA64" i="8"/>
  <c r="AA184" i="8" s="1"/>
  <c r="AC77" i="8"/>
  <c r="AC185" i="8" s="1"/>
  <c r="AC217" i="8" s="1"/>
  <c r="AA77" i="8"/>
  <c r="AA185" i="8" s="1"/>
  <c r="AA85" i="8"/>
  <c r="AA186" i="8" s="1"/>
  <c r="Y95" i="8"/>
  <c r="AC109" i="8"/>
  <c r="AC188" i="8" s="1"/>
  <c r="AC220" i="8" s="1"/>
  <c r="AC134" i="8"/>
  <c r="AC190" i="8" s="1"/>
  <c r="AC222" i="8" s="1"/>
  <c r="S77" i="8"/>
  <c r="T8" i="8"/>
  <c r="V12" i="8"/>
  <c r="U49" i="8"/>
  <c r="S85" i="8"/>
  <c r="W95" i="8"/>
  <c r="S109" i="8"/>
  <c r="U109" i="8"/>
  <c r="W109" i="8"/>
  <c r="U125" i="8"/>
  <c r="S134" i="8"/>
  <c r="W159" i="8"/>
  <c r="R64" i="8"/>
  <c r="R184" i="8" s="1"/>
  <c r="T85" i="8"/>
  <c r="T109" i="8"/>
  <c r="V125" i="8"/>
  <c r="T125" i="8"/>
  <c r="T134" i="8"/>
  <c r="R134" i="8"/>
  <c r="V167" i="8"/>
  <c r="U77" i="8"/>
  <c r="W77" i="8"/>
  <c r="T165" i="8"/>
  <c r="U134" i="8"/>
  <c r="V166" i="8"/>
  <c r="AC85" i="8"/>
  <c r="AC186" i="8" s="1"/>
  <c r="AC218" i="8" s="1"/>
  <c r="G65" i="8"/>
  <c r="V64" i="8"/>
  <c r="S64" i="8"/>
  <c r="Z159" i="8"/>
  <c r="Z166" i="8"/>
  <c r="T64" i="8"/>
  <c r="R77" i="8"/>
  <c r="V77" i="8"/>
  <c r="V85" i="8"/>
  <c r="Y12" i="8"/>
  <c r="Y49" i="8"/>
  <c r="AA49" i="8"/>
  <c r="AA183" i="8" s="1"/>
  <c r="AC95" i="8"/>
  <c r="AC187" i="8" s="1"/>
  <c r="AC219" i="8" s="1"/>
  <c r="AA125" i="8"/>
  <c r="AA189" i="8" s="1"/>
  <c r="Y134" i="8"/>
  <c r="AA134" i="8"/>
  <c r="AA190" i="8" s="1"/>
  <c r="AA166" i="8"/>
  <c r="U167" i="8"/>
  <c r="T167" i="8"/>
  <c r="U95" i="8"/>
  <c r="S125" i="8"/>
  <c r="V34" i="8"/>
  <c r="CG14" i="8"/>
  <c r="S167" i="8"/>
  <c r="T95" i="8"/>
  <c r="V109" i="8"/>
  <c r="R125" i="8"/>
  <c r="S49" i="8"/>
  <c r="CD67" i="8"/>
  <c r="Z12" i="8"/>
  <c r="Z134" i="8"/>
  <c r="AA8" i="8"/>
  <c r="AA180" i="8" s="1"/>
  <c r="S12" i="8"/>
  <c r="S166" i="8"/>
  <c r="S159" i="8"/>
  <c r="R49" i="8"/>
  <c r="T166" i="8"/>
  <c r="T159" i="8"/>
  <c r="AC166" i="8"/>
  <c r="AC159" i="8"/>
  <c r="AC191" i="8" s="1"/>
  <c r="AC223" i="8" s="1"/>
  <c r="U166" i="8"/>
  <c r="V49" i="8"/>
  <c r="R95" i="8"/>
  <c r="V165" i="8"/>
  <c r="V8" i="8"/>
  <c r="O5" i="8"/>
  <c r="U8" i="8"/>
  <c r="W8" i="8"/>
  <c r="CH18" i="8"/>
  <c r="W167" i="8"/>
  <c r="S34" i="8"/>
  <c r="AQ34" i="8" s="1"/>
  <c r="CE35" i="8"/>
  <c r="T49" i="8"/>
  <c r="U159" i="8"/>
  <c r="AA12" i="8"/>
  <c r="AA159" i="8"/>
  <c r="AA191" i="8" s="1"/>
  <c r="AC165" i="8"/>
  <c r="U165" i="8"/>
  <c r="U12" i="8"/>
  <c r="CE66" i="8"/>
  <c r="T77" i="8"/>
  <c r="W134" i="8"/>
  <c r="W166" i="8"/>
  <c r="AB12" i="8"/>
  <c r="X64" i="8"/>
  <c r="AB77" i="8"/>
  <c r="AB185" i="8" s="1"/>
  <c r="AB159" i="8"/>
  <c r="AB191" i="8" s="1"/>
  <c r="P5" i="8"/>
  <c r="W165" i="8"/>
  <c r="R167" i="8"/>
  <c r="W85" i="8"/>
  <c r="AB34" i="8"/>
  <c r="AB182" i="8" s="1"/>
  <c r="Z64" i="8"/>
  <c r="X125" i="8"/>
  <c r="R109" i="8"/>
  <c r="AC34" i="8"/>
  <c r="AC182" i="8" s="1"/>
  <c r="AC214" i="8" s="1"/>
  <c r="AA95" i="8"/>
  <c r="AA187" i="8" s="1"/>
  <c r="Y125" i="8"/>
  <c r="AB165" i="8"/>
  <c r="AB166" i="8"/>
  <c r="M64" i="14"/>
  <c r="M64" i="13"/>
  <c r="W64" i="8"/>
  <c r="W34" i="8"/>
  <c r="R34" i="8"/>
  <c r="T34" i="8"/>
  <c r="U34" i="8"/>
  <c r="R12" i="8"/>
  <c r="M109" i="14"/>
  <c r="I8" i="14"/>
  <c r="I85" i="14"/>
  <c r="I34" i="14"/>
  <c r="I77" i="14"/>
  <c r="K109" i="14"/>
  <c r="AB85" i="14"/>
  <c r="I159" i="14"/>
  <c r="K64" i="14"/>
  <c r="AB134" i="14"/>
  <c r="K125" i="14"/>
  <c r="G160" i="8"/>
  <c r="AB162" i="12"/>
  <c r="AB153" i="12"/>
  <c r="M153" i="12"/>
  <c r="K153" i="12"/>
  <c r="I153" i="12"/>
  <c r="AB152" i="12"/>
  <c r="M152" i="12"/>
  <c r="K152" i="12"/>
  <c r="I152" i="12"/>
  <c r="AB151" i="12"/>
  <c r="M151" i="12"/>
  <c r="K151" i="12"/>
  <c r="I151" i="12"/>
  <c r="AB149" i="12"/>
  <c r="M149" i="12"/>
  <c r="K149" i="12"/>
  <c r="I149" i="12"/>
  <c r="AB148" i="12"/>
  <c r="M148" i="12"/>
  <c r="K148" i="12"/>
  <c r="I148" i="12"/>
  <c r="AB147" i="12"/>
  <c r="M147" i="12"/>
  <c r="K147" i="12"/>
  <c r="I147" i="12"/>
  <c r="AB146" i="12"/>
  <c r="M146" i="12"/>
  <c r="K146" i="12"/>
  <c r="I146" i="12"/>
  <c r="AB145" i="12"/>
  <c r="M145" i="12"/>
  <c r="K145" i="12"/>
  <c r="I145" i="12"/>
  <c r="AB144" i="12"/>
  <c r="M144" i="12"/>
  <c r="K144" i="12"/>
  <c r="I144" i="12"/>
  <c r="AB143" i="12"/>
  <c r="M143" i="12"/>
  <c r="K143" i="12"/>
  <c r="I143" i="12"/>
  <c r="AB142" i="12"/>
  <c r="M142" i="12"/>
  <c r="K142" i="12"/>
  <c r="I142" i="12"/>
  <c r="AB141" i="12"/>
  <c r="M141" i="12"/>
  <c r="K141" i="12"/>
  <c r="I141" i="12"/>
  <c r="AB140" i="12"/>
  <c r="M140" i="12"/>
  <c r="K140" i="12"/>
  <c r="I140" i="12"/>
  <c r="AB139" i="12"/>
  <c r="M139" i="12"/>
  <c r="K139" i="12"/>
  <c r="I139" i="12"/>
  <c r="AB138" i="12"/>
  <c r="M138" i="12"/>
  <c r="K138" i="12"/>
  <c r="I138" i="12"/>
  <c r="AB137" i="12"/>
  <c r="M137" i="12"/>
  <c r="K137" i="12"/>
  <c r="I137" i="12"/>
  <c r="AB136" i="12"/>
  <c r="M136" i="12"/>
  <c r="K136" i="12"/>
  <c r="I136" i="12"/>
  <c r="AB135" i="12"/>
  <c r="M135" i="12"/>
  <c r="K135" i="12"/>
  <c r="I135" i="12"/>
  <c r="AB134" i="12"/>
  <c r="AB130" i="12"/>
  <c r="M130" i="12"/>
  <c r="K130" i="12"/>
  <c r="I130" i="12"/>
  <c r="AB129" i="12"/>
  <c r="M129" i="12"/>
  <c r="K129" i="12"/>
  <c r="I129" i="12"/>
  <c r="AB128" i="12"/>
  <c r="M128" i="12"/>
  <c r="K128" i="12"/>
  <c r="I128" i="12"/>
  <c r="AB127" i="12"/>
  <c r="M127" i="12"/>
  <c r="K127" i="12"/>
  <c r="I127" i="12"/>
  <c r="AB126" i="12"/>
  <c r="M126" i="12"/>
  <c r="K126" i="12"/>
  <c r="I126" i="12"/>
  <c r="AB121" i="12"/>
  <c r="M121" i="12"/>
  <c r="K121" i="12"/>
  <c r="I121" i="12"/>
  <c r="AB120" i="12"/>
  <c r="M120" i="12"/>
  <c r="K120" i="12"/>
  <c r="I120" i="12"/>
  <c r="AB119" i="12"/>
  <c r="M119" i="12"/>
  <c r="K119" i="12"/>
  <c r="I119" i="12"/>
  <c r="AB118" i="12"/>
  <c r="M118" i="12"/>
  <c r="K118" i="12"/>
  <c r="I118" i="12"/>
  <c r="AB117" i="12"/>
  <c r="M117" i="12"/>
  <c r="K117" i="12"/>
  <c r="I117" i="12"/>
  <c r="AB116" i="12"/>
  <c r="M116" i="12"/>
  <c r="K116" i="12"/>
  <c r="I116" i="12"/>
  <c r="AB115" i="12"/>
  <c r="M115" i="12"/>
  <c r="K115" i="12"/>
  <c r="I115" i="12"/>
  <c r="AB114" i="12"/>
  <c r="M114" i="12"/>
  <c r="K114" i="12"/>
  <c r="I114" i="12"/>
  <c r="AB113" i="12"/>
  <c r="M113" i="12"/>
  <c r="K113" i="12"/>
  <c r="I113" i="12"/>
  <c r="AB112" i="12"/>
  <c r="M112" i="12"/>
  <c r="K112" i="12"/>
  <c r="I112" i="12"/>
  <c r="AB111" i="12"/>
  <c r="M111" i="12"/>
  <c r="K111" i="12"/>
  <c r="I111" i="12"/>
  <c r="AB110" i="12"/>
  <c r="M110" i="12"/>
  <c r="K110" i="12"/>
  <c r="I110" i="12"/>
  <c r="AB109" i="12"/>
  <c r="AB105" i="12"/>
  <c r="M105" i="12"/>
  <c r="K105" i="12"/>
  <c r="I105" i="12"/>
  <c r="AB104" i="12"/>
  <c r="M104" i="12"/>
  <c r="K104" i="12"/>
  <c r="I104" i="12"/>
  <c r="AB103" i="12"/>
  <c r="M103" i="12"/>
  <c r="K103" i="12"/>
  <c r="I103" i="12"/>
  <c r="AB102" i="12"/>
  <c r="M102" i="12"/>
  <c r="K102" i="12"/>
  <c r="I102" i="12"/>
  <c r="AB101" i="12"/>
  <c r="M101" i="12"/>
  <c r="K101" i="12"/>
  <c r="I101" i="12"/>
  <c r="AB100" i="12"/>
  <c r="M100" i="12"/>
  <c r="K100" i="12"/>
  <c r="I100" i="12"/>
  <c r="AB99" i="12"/>
  <c r="K99" i="12"/>
  <c r="I99" i="12"/>
  <c r="AB98" i="12"/>
  <c r="M98" i="12"/>
  <c r="K98" i="12"/>
  <c r="I98" i="12"/>
  <c r="AB97" i="12"/>
  <c r="M97" i="12"/>
  <c r="K97" i="12"/>
  <c r="I97" i="12"/>
  <c r="AB96" i="12"/>
  <c r="M96" i="12"/>
  <c r="K96" i="12"/>
  <c r="I96" i="12"/>
  <c r="AB150" i="12"/>
  <c r="M150" i="12"/>
  <c r="K150" i="12"/>
  <c r="I150" i="12"/>
  <c r="AB91" i="12"/>
  <c r="M91" i="12"/>
  <c r="K91" i="12"/>
  <c r="I91" i="12"/>
  <c r="AB90" i="12"/>
  <c r="M90" i="12"/>
  <c r="K90" i="12"/>
  <c r="I90" i="12"/>
  <c r="AB89" i="12"/>
  <c r="M89" i="12"/>
  <c r="K89" i="12"/>
  <c r="I89" i="12"/>
  <c r="AB88" i="12"/>
  <c r="M88" i="12"/>
  <c r="K88" i="12"/>
  <c r="I88" i="12"/>
  <c r="AB87" i="12"/>
  <c r="M87" i="12"/>
  <c r="K87" i="12"/>
  <c r="I87" i="12"/>
  <c r="AB86" i="12"/>
  <c r="M86" i="12"/>
  <c r="K86" i="12"/>
  <c r="I86" i="12"/>
  <c r="V85" i="12"/>
  <c r="V160" i="12" s="1"/>
  <c r="V161" i="12" s="1"/>
  <c r="U85" i="12"/>
  <c r="U160" i="12" s="1"/>
  <c r="U161" i="12" s="1"/>
  <c r="T85" i="12"/>
  <c r="T160" i="12" s="1"/>
  <c r="T161" i="12" s="1"/>
  <c r="S85" i="12"/>
  <c r="S160" i="12" s="1"/>
  <c r="S161" i="12" s="1"/>
  <c r="R85" i="12"/>
  <c r="R160" i="12" s="1"/>
  <c r="R161" i="12" s="1"/>
  <c r="Q85" i="12"/>
  <c r="Q160" i="12" s="1"/>
  <c r="Q161" i="12" s="1"/>
  <c r="P85" i="12"/>
  <c r="P160" i="12" s="1"/>
  <c r="P161" i="12" s="1"/>
  <c r="O85" i="12"/>
  <c r="O160" i="12" s="1"/>
  <c r="O161" i="12" s="1"/>
  <c r="N85" i="12"/>
  <c r="N160" i="12" s="1"/>
  <c r="N161" i="12" s="1"/>
  <c r="L85" i="12"/>
  <c r="L160" i="12" s="1"/>
  <c r="L161" i="12" s="1"/>
  <c r="J85" i="12"/>
  <c r="J160" i="12" s="1"/>
  <c r="J161" i="12" s="1"/>
  <c r="H85" i="12"/>
  <c r="H160" i="12" s="1"/>
  <c r="H161" i="12" s="1"/>
  <c r="G85" i="12"/>
  <c r="AB84" i="12"/>
  <c r="M84" i="12"/>
  <c r="K84" i="12"/>
  <c r="I84" i="12"/>
  <c r="AB83" i="12"/>
  <c r="M83" i="12"/>
  <c r="K83" i="12"/>
  <c r="I83" i="12"/>
  <c r="AB82" i="12"/>
  <c r="M82" i="12"/>
  <c r="K82" i="12"/>
  <c r="I82" i="12"/>
  <c r="AB81" i="12"/>
  <c r="M81" i="12"/>
  <c r="K81" i="12"/>
  <c r="I81" i="12"/>
  <c r="AB80" i="12"/>
  <c r="M80" i="12"/>
  <c r="K80" i="12"/>
  <c r="I80" i="12"/>
  <c r="AB79" i="12"/>
  <c r="M79" i="12"/>
  <c r="K79" i="12"/>
  <c r="I79" i="12"/>
  <c r="AB78" i="12"/>
  <c r="M78" i="12"/>
  <c r="K78" i="12"/>
  <c r="I78" i="12"/>
  <c r="AB73" i="12"/>
  <c r="M73" i="12"/>
  <c r="K73" i="12"/>
  <c r="I73" i="12"/>
  <c r="AB72" i="12"/>
  <c r="M72" i="12"/>
  <c r="K72" i="12"/>
  <c r="I72" i="12"/>
  <c r="AB71" i="12"/>
  <c r="M71" i="12"/>
  <c r="K71" i="12"/>
  <c r="I71" i="12"/>
  <c r="AB70" i="12"/>
  <c r="M70" i="12"/>
  <c r="K70" i="12"/>
  <c r="I70" i="12"/>
  <c r="AB69" i="12"/>
  <c r="M69" i="12"/>
  <c r="K69" i="12"/>
  <c r="I69" i="12"/>
  <c r="AB68" i="12"/>
  <c r="M68" i="12"/>
  <c r="K68" i="12"/>
  <c r="I68" i="12"/>
  <c r="AB67" i="12"/>
  <c r="M67" i="12"/>
  <c r="K67" i="12"/>
  <c r="I67" i="12"/>
  <c r="AB66" i="12"/>
  <c r="M66" i="12"/>
  <c r="K66" i="12"/>
  <c r="I66" i="12"/>
  <c r="D65" i="12"/>
  <c r="AB64" i="12"/>
  <c r="AB60" i="12"/>
  <c r="M60" i="12"/>
  <c r="K60" i="12"/>
  <c r="I60" i="12"/>
  <c r="AB59" i="12"/>
  <c r="M59" i="12"/>
  <c r="K59" i="12"/>
  <c r="I59" i="12"/>
  <c r="AB58" i="12"/>
  <c r="M58" i="12"/>
  <c r="K58" i="12"/>
  <c r="I58" i="12"/>
  <c r="AB57" i="12"/>
  <c r="M57" i="12"/>
  <c r="K57" i="12"/>
  <c r="I57" i="12"/>
  <c r="AB56" i="12"/>
  <c r="M56" i="12"/>
  <c r="K56" i="12"/>
  <c r="I56" i="12"/>
  <c r="AB55" i="12"/>
  <c r="M55" i="12"/>
  <c r="K55" i="12"/>
  <c r="I55" i="12"/>
  <c r="AB54" i="12"/>
  <c r="M54" i="12"/>
  <c r="K54" i="12"/>
  <c r="I54" i="12"/>
  <c r="AB53" i="12"/>
  <c r="M53" i="12"/>
  <c r="K53" i="12"/>
  <c r="I53" i="12"/>
  <c r="AB52" i="12"/>
  <c r="M52" i="12"/>
  <c r="K52" i="12"/>
  <c r="I52" i="12"/>
  <c r="AB51" i="12"/>
  <c r="M51" i="12"/>
  <c r="K51" i="12"/>
  <c r="I51" i="12"/>
  <c r="AB50" i="12"/>
  <c r="M50" i="12"/>
  <c r="K50" i="12"/>
  <c r="I50" i="12"/>
  <c r="AB45" i="12"/>
  <c r="M45" i="12"/>
  <c r="K45" i="12"/>
  <c r="I45" i="12"/>
  <c r="AB44" i="12"/>
  <c r="M44" i="12"/>
  <c r="K44" i="12"/>
  <c r="I44" i="12"/>
  <c r="AB43" i="12"/>
  <c r="M43" i="12"/>
  <c r="K43" i="12"/>
  <c r="I43" i="12"/>
  <c r="AB42" i="12"/>
  <c r="M42" i="12"/>
  <c r="K42" i="12"/>
  <c r="I42" i="12"/>
  <c r="AB41" i="12"/>
  <c r="M41" i="12"/>
  <c r="K41" i="12"/>
  <c r="I41" i="12"/>
  <c r="AB40" i="12"/>
  <c r="M40" i="12"/>
  <c r="K40" i="12"/>
  <c r="I40" i="12"/>
  <c r="AB39" i="12"/>
  <c r="M39" i="12"/>
  <c r="K39" i="12"/>
  <c r="I39" i="12"/>
  <c r="AB38" i="12"/>
  <c r="M38" i="12"/>
  <c r="K38" i="12"/>
  <c r="I38" i="12"/>
  <c r="AB37" i="12"/>
  <c r="M37" i="12"/>
  <c r="K37" i="12"/>
  <c r="I37" i="12"/>
  <c r="AB36" i="12"/>
  <c r="M36" i="12"/>
  <c r="K36" i="12"/>
  <c r="I36" i="12"/>
  <c r="AB35" i="12"/>
  <c r="M35" i="12"/>
  <c r="K35" i="12"/>
  <c r="I35" i="12"/>
  <c r="AB28" i="12"/>
  <c r="M28" i="12"/>
  <c r="K28" i="12"/>
  <c r="I28" i="12"/>
  <c r="AB27" i="12"/>
  <c r="M27" i="12"/>
  <c r="K27" i="12"/>
  <c r="I27" i="12"/>
  <c r="AB26" i="12"/>
  <c r="M26" i="12"/>
  <c r="K26" i="12"/>
  <c r="I26" i="12"/>
  <c r="AB25" i="12"/>
  <c r="M25" i="12"/>
  <c r="K25" i="12"/>
  <c r="I25" i="12"/>
  <c r="AB24" i="12"/>
  <c r="M24" i="12"/>
  <c r="K24" i="12"/>
  <c r="I24" i="12"/>
  <c r="AB23" i="12"/>
  <c r="M23" i="12"/>
  <c r="K23" i="12"/>
  <c r="I23" i="12"/>
  <c r="AB22" i="12"/>
  <c r="M22" i="12"/>
  <c r="K22" i="12"/>
  <c r="I22" i="12"/>
  <c r="AB21" i="12"/>
  <c r="M21" i="12"/>
  <c r="K21" i="12"/>
  <c r="I21" i="12"/>
  <c r="AB20" i="12"/>
  <c r="M20" i="12"/>
  <c r="K20" i="12"/>
  <c r="I20" i="12"/>
  <c r="AB19" i="12"/>
  <c r="M19" i="12"/>
  <c r="K19" i="12"/>
  <c r="I19" i="12"/>
  <c r="AB18" i="12"/>
  <c r="M18" i="12"/>
  <c r="K18" i="12"/>
  <c r="I18" i="12"/>
  <c r="AB17" i="12"/>
  <c r="M17" i="12"/>
  <c r="K17" i="12"/>
  <c r="I17" i="12"/>
  <c r="AB16" i="12"/>
  <c r="M16" i="12"/>
  <c r="K16" i="12"/>
  <c r="I16" i="12"/>
  <c r="AB15" i="12"/>
  <c r="M15" i="12"/>
  <c r="K15" i="12"/>
  <c r="I15" i="12"/>
  <c r="AB14" i="12"/>
  <c r="M14" i="12"/>
  <c r="K14" i="12"/>
  <c r="I14" i="12"/>
  <c r="AB13" i="12"/>
  <c r="M13" i="12"/>
  <c r="K13" i="12"/>
  <c r="I13" i="12"/>
  <c r="AB9" i="12"/>
  <c r="M9" i="12"/>
  <c r="K9" i="12"/>
  <c r="I9" i="12"/>
  <c r="AB5" i="12"/>
  <c r="M5" i="12"/>
  <c r="K5" i="12"/>
  <c r="I5" i="12"/>
  <c r="BK176" i="8" l="1"/>
  <c r="BK168" i="8"/>
  <c r="AY176" i="8"/>
  <c r="AM222" i="8"/>
  <c r="AN238" i="8" s="1"/>
  <c r="CG66" i="8"/>
  <c r="AB85" i="12"/>
  <c r="G160" i="12"/>
  <c r="CD66" i="8"/>
  <c r="T176" i="8"/>
  <c r="BM200" i="8"/>
  <c r="AN217" i="8"/>
  <c r="AO233" i="8" s="1"/>
  <c r="AO176" i="8"/>
  <c r="AB176" i="8"/>
  <c r="AC176" i="8"/>
  <c r="BM176" i="8"/>
  <c r="BL215" i="8"/>
  <c r="BM231" i="8" s="1"/>
  <c r="BL176" i="8"/>
  <c r="AZ184" i="8"/>
  <c r="BA200" i="8" s="1"/>
  <c r="AZ176" i="8"/>
  <c r="AN176" i="8"/>
  <c r="BL214" i="8"/>
  <c r="BM230" i="8" s="1"/>
  <c r="V176" i="8"/>
  <c r="AZ177" i="8" s="1"/>
  <c r="AA176" i="8"/>
  <c r="K65" i="13"/>
  <c r="BL220" i="8"/>
  <c r="BM236" i="8" s="1"/>
  <c r="M65" i="14"/>
  <c r="AM212" i="8"/>
  <c r="BE95" i="8"/>
  <c r="P8" i="8"/>
  <c r="CH8" i="8" s="1"/>
  <c r="AY177" i="8"/>
  <c r="AC181" i="8"/>
  <c r="AC213" i="8" s="1"/>
  <c r="AN196" i="8"/>
  <c r="AA181" i="8"/>
  <c r="AB197" i="8" s="1"/>
  <c r="BC12" i="8"/>
  <c r="W176" i="8"/>
  <c r="AO177" i="8" s="1"/>
  <c r="AB181" i="8"/>
  <c r="AB213" i="8" s="1"/>
  <c r="AC229" i="8" s="1"/>
  <c r="BL200" i="8"/>
  <c r="BK202" i="8"/>
  <c r="BK218" i="8"/>
  <c r="BL234" i="8" s="1"/>
  <c r="AN181" i="8"/>
  <c r="AN213" i="8" s="1"/>
  <c r="AO229" i="8" s="1"/>
  <c r="AM176" i="8"/>
  <c r="AM177" i="8" s="1"/>
  <c r="BL181" i="8"/>
  <c r="BL192" i="8" s="1"/>
  <c r="AO181" i="8"/>
  <c r="AO213" i="8" s="1"/>
  <c r="BK181" i="8"/>
  <c r="BB12" i="8"/>
  <c r="AL177" i="8"/>
  <c r="BA176" i="8"/>
  <c r="AP12" i="8"/>
  <c r="BM181" i="8"/>
  <c r="BM213" i="8" s="1"/>
  <c r="AQ12" i="8"/>
  <c r="BJ181" i="8"/>
  <c r="AW160" i="8"/>
  <c r="AY160" i="8"/>
  <c r="AY161" i="8" s="1"/>
  <c r="BI176" i="8"/>
  <c r="BL160" i="8"/>
  <c r="BL161" i="8" s="1"/>
  <c r="AR77" i="8"/>
  <c r="AQ49" i="8"/>
  <c r="BJ221" i="8"/>
  <c r="N8" i="8"/>
  <c r="CF8" i="8" s="1"/>
  <c r="AY168" i="8"/>
  <c r="BA160" i="8"/>
  <c r="BG160" i="8" s="1"/>
  <c r="AQ95" i="8"/>
  <c r="AQ85" i="8"/>
  <c r="CF6" i="8"/>
  <c r="AP77" i="8"/>
  <c r="BJ218" i="8"/>
  <c r="AM168" i="8"/>
  <c r="BJ220" i="8"/>
  <c r="BK236" i="8" s="1"/>
  <c r="BI160" i="8"/>
  <c r="AC201" i="8"/>
  <c r="AB217" i="8"/>
  <c r="AC233" i="8" s="1"/>
  <c r="V183" i="8"/>
  <c r="AH49" i="8"/>
  <c r="AT49" i="8"/>
  <c r="AA221" i="8"/>
  <c r="AB237" i="8" s="1"/>
  <c r="AB205" i="8"/>
  <c r="U189" i="8"/>
  <c r="AG125" i="8"/>
  <c r="AS125" i="8"/>
  <c r="T180" i="8"/>
  <c r="AB200" i="8"/>
  <c r="AA216" i="8"/>
  <c r="U216" i="8"/>
  <c r="AZ168" i="8"/>
  <c r="AZ189" i="8"/>
  <c r="BF125" i="8"/>
  <c r="AN220" i="8"/>
  <c r="AO236" i="8" s="1"/>
  <c r="AO204" i="8"/>
  <c r="BG49" i="8"/>
  <c r="BA183" i="8"/>
  <c r="BA215" i="8" s="1"/>
  <c r="AS134" i="8"/>
  <c r="AG134" i="8"/>
  <c r="U190" i="8"/>
  <c r="AY182" i="8"/>
  <c r="BE34" i="8"/>
  <c r="AZ188" i="8"/>
  <c r="BF109" i="8"/>
  <c r="AZ180" i="8"/>
  <c r="BF8" i="8"/>
  <c r="CH99" i="8"/>
  <c r="P109" i="8"/>
  <c r="CH109" i="8" s="1"/>
  <c r="AY189" i="8"/>
  <c r="BE125" i="8"/>
  <c r="BK216" i="8"/>
  <c r="BL232" i="8" s="1"/>
  <c r="CF126" i="8"/>
  <c r="N134" i="8"/>
  <c r="CF134" i="8" s="1"/>
  <c r="AO160" i="8"/>
  <c r="AO161" i="8" s="1"/>
  <c r="O159" i="8"/>
  <c r="CG159" i="8" s="1"/>
  <c r="CG135" i="8"/>
  <c r="CG126" i="8"/>
  <c r="O134" i="8"/>
  <c r="CG134" i="8" s="1"/>
  <c r="N159" i="8"/>
  <c r="CF159" i="8" s="1"/>
  <c r="CF135" i="8"/>
  <c r="CH110" i="8"/>
  <c r="P125" i="8"/>
  <c r="CH125" i="8" s="1"/>
  <c r="N109" i="8"/>
  <c r="CF109" i="8" s="1"/>
  <c r="BA186" i="8"/>
  <c r="BA218" i="8" s="1"/>
  <c r="BG85" i="8"/>
  <c r="AI49" i="8"/>
  <c r="AO183" i="8"/>
  <c r="AO215" i="8" s="1"/>
  <c r="BL207" i="8"/>
  <c r="BK223" i="8"/>
  <c r="BL239" i="8" s="1"/>
  <c r="CD6" i="8"/>
  <c r="AR134" i="8"/>
  <c r="AX190" i="8"/>
  <c r="BJ214" i="8"/>
  <c r="CF110" i="8"/>
  <c r="N125" i="8"/>
  <c r="CF125" i="8" s="1"/>
  <c r="U182" i="8"/>
  <c r="AS34" i="8"/>
  <c r="AG34" i="8"/>
  <c r="P64" i="8"/>
  <c r="CH64" i="8" s="1"/>
  <c r="AB220" i="8"/>
  <c r="AC236" i="8" s="1"/>
  <c r="AC204" i="8"/>
  <c r="W183" i="8"/>
  <c r="W215" i="8" s="1"/>
  <c r="AU49" i="8"/>
  <c r="R216" i="8"/>
  <c r="BJ212" i="8"/>
  <c r="BK228" i="8" s="1"/>
  <c r="BK196" i="8"/>
  <c r="BK222" i="8"/>
  <c r="BL238" i="8" s="1"/>
  <c r="BL206" i="8"/>
  <c r="BK214" i="8"/>
  <c r="BL230" i="8" s="1"/>
  <c r="BL198" i="8"/>
  <c r="BM185" i="8"/>
  <c r="BM217" i="8" s="1"/>
  <c r="BM160" i="8"/>
  <c r="BM161" i="8" s="1"/>
  <c r="AY191" i="8"/>
  <c r="BE159" i="8"/>
  <c r="CD50" i="8"/>
  <c r="O95" i="8"/>
  <c r="CG95" i="8" s="1"/>
  <c r="AA215" i="8"/>
  <c r="AB231" i="8" s="1"/>
  <c r="AB199" i="8"/>
  <c r="BG77" i="8"/>
  <c r="BA185" i="8"/>
  <c r="BA217" i="8" s="1"/>
  <c r="CH67" i="8"/>
  <c r="P77" i="8"/>
  <c r="CH77" i="8" s="1"/>
  <c r="V190" i="8"/>
  <c r="AT134" i="8"/>
  <c r="AH134" i="8"/>
  <c r="AB212" i="8"/>
  <c r="AC228" i="8" s="1"/>
  <c r="AC196" i="8"/>
  <c r="AR95" i="8"/>
  <c r="AX187" i="8"/>
  <c r="AY190" i="8"/>
  <c r="BE134" i="8"/>
  <c r="BK206" i="8"/>
  <c r="BJ222" i="8"/>
  <c r="BK189" i="8"/>
  <c r="BK192" i="8" s="1"/>
  <c r="BK160" i="8"/>
  <c r="BK161" i="8" s="1"/>
  <c r="BA189" i="8"/>
  <c r="BA221" i="8" s="1"/>
  <c r="BG125" i="8"/>
  <c r="AU159" i="8"/>
  <c r="W191" i="8"/>
  <c r="W223" i="8" s="1"/>
  <c r="AI159" i="8"/>
  <c r="U183" i="8"/>
  <c r="AS49" i="8"/>
  <c r="AA217" i="8"/>
  <c r="AB233" i="8" s="1"/>
  <c r="AB201" i="8"/>
  <c r="V187" i="8"/>
  <c r="AT95" i="8"/>
  <c r="AH95" i="8"/>
  <c r="W189" i="8"/>
  <c r="W221" i="8" s="1"/>
  <c r="AI125" i="8"/>
  <c r="AU125" i="8"/>
  <c r="P159" i="8"/>
  <c r="CH159" i="8" s="1"/>
  <c r="O49" i="8"/>
  <c r="CG49" i="8" s="1"/>
  <c r="M65" i="13"/>
  <c r="BA181" i="8"/>
  <c r="BA213" i="8" s="1"/>
  <c r="BG12" i="8"/>
  <c r="BF159" i="8"/>
  <c r="AZ191" i="8"/>
  <c r="O109" i="8"/>
  <c r="CG109" i="8" s="1"/>
  <c r="CG96" i="8"/>
  <c r="O85" i="8"/>
  <c r="CG85" i="8" s="1"/>
  <c r="BJ187" i="8"/>
  <c r="BL196" i="8"/>
  <c r="BK212" i="8"/>
  <c r="BL228" i="8" s="1"/>
  <c r="AB223" i="8"/>
  <c r="AC239" i="8" s="1"/>
  <c r="AC207" i="8"/>
  <c r="U181" i="8"/>
  <c r="AS12" i="8"/>
  <c r="AG12" i="8"/>
  <c r="V181" i="8"/>
  <c r="AT12" i="8"/>
  <c r="AH12" i="8"/>
  <c r="P85" i="8"/>
  <c r="CH85" i="8" s="1"/>
  <c r="AM185" i="8"/>
  <c r="AM160" i="8"/>
  <c r="AM161" i="8" s="1"/>
  <c r="BA190" i="8"/>
  <c r="BA222" i="8" s="1"/>
  <c r="BG134" i="8"/>
  <c r="A65" i="13"/>
  <c r="I65" i="13"/>
  <c r="AO198" i="8"/>
  <c r="AN214" i="8"/>
  <c r="AO230" i="8" s="1"/>
  <c r="AN207" i="8"/>
  <c r="AM223" i="8"/>
  <c r="AN239" i="8" s="1"/>
  <c r="AQ159" i="8"/>
  <c r="AZ190" i="8"/>
  <c r="BF134" i="8"/>
  <c r="AY183" i="8"/>
  <c r="BE49" i="8"/>
  <c r="AZ182" i="8"/>
  <c r="BF34" i="8"/>
  <c r="CF50" i="8"/>
  <c r="V182" i="8"/>
  <c r="AT34" i="8"/>
  <c r="AH34" i="8"/>
  <c r="V189" i="8"/>
  <c r="AT125" i="8"/>
  <c r="AH125" i="8"/>
  <c r="W188" i="8"/>
  <c r="W220" i="8" s="1"/>
  <c r="AU109" i="8"/>
  <c r="AI109" i="8"/>
  <c r="AQ77" i="8"/>
  <c r="AB215" i="8"/>
  <c r="AC231" i="8" s="1"/>
  <c r="AC199" i="8"/>
  <c r="AC203" i="8"/>
  <c r="AB219" i="8"/>
  <c r="AC235" i="8" s="1"/>
  <c r="AN200" i="8"/>
  <c r="AM216" i="8"/>
  <c r="BJ216" i="8"/>
  <c r="AX217" i="8"/>
  <c r="AQ134" i="8"/>
  <c r="BL221" i="8"/>
  <c r="BM237" i="8" s="1"/>
  <c r="BM205" i="8"/>
  <c r="AS64" i="8"/>
  <c r="AY184" i="8"/>
  <c r="BE64" i="8"/>
  <c r="AN203" i="8"/>
  <c r="AM219" i="8"/>
  <c r="AN235" i="8" s="1"/>
  <c r="AG49" i="8"/>
  <c r="AM183" i="8"/>
  <c r="AR49" i="8"/>
  <c r="AX183" i="8"/>
  <c r="AY180" i="8"/>
  <c r="BE8" i="8"/>
  <c r="BA184" i="8"/>
  <c r="BA216" i="8" s="1"/>
  <c r="BG64" i="8"/>
  <c r="AN198" i="8"/>
  <c r="AM214" i="8"/>
  <c r="AN230" i="8" s="1"/>
  <c r="CE15" i="8"/>
  <c r="CE51" i="8"/>
  <c r="AB214" i="8"/>
  <c r="AC230" i="8" s="1"/>
  <c r="AC198" i="8"/>
  <c r="AA223" i="8"/>
  <c r="AB239" i="8" s="1"/>
  <c r="AB207" i="8"/>
  <c r="W180" i="8"/>
  <c r="AU8" i="8"/>
  <c r="AI8" i="8"/>
  <c r="AB216" i="8"/>
  <c r="AC232" i="8" s="1"/>
  <c r="AC200" i="8"/>
  <c r="AN212" i="8"/>
  <c r="AO228" i="8" s="1"/>
  <c r="AO196" i="8"/>
  <c r="AY188" i="8"/>
  <c r="BE109" i="8"/>
  <c r="CG111" i="8"/>
  <c r="O125" i="8"/>
  <c r="CG125" i="8" s="1"/>
  <c r="N49" i="8"/>
  <c r="CF49" i="8" s="1"/>
  <c r="AB203" i="8"/>
  <c r="AA219" i="8"/>
  <c r="AB235" i="8" s="1"/>
  <c r="W186" i="8"/>
  <c r="W218" i="8" s="1"/>
  <c r="AI85" i="8"/>
  <c r="AU85" i="8"/>
  <c r="AS8" i="8"/>
  <c r="U180" i="8"/>
  <c r="AG8" i="8"/>
  <c r="U185" i="8"/>
  <c r="AG77" i="8"/>
  <c r="AS77" i="8"/>
  <c r="AB222" i="8"/>
  <c r="AC238" i="8" s="1"/>
  <c r="AC206" i="8"/>
  <c r="BF49" i="8"/>
  <c r="AZ183" i="8"/>
  <c r="BJ217" i="8"/>
  <c r="BK233" i="8" s="1"/>
  <c r="BK201" i="8"/>
  <c r="BK219" i="8"/>
  <c r="BL235" i="8" s="1"/>
  <c r="BL203" i="8"/>
  <c r="AN168" i="8"/>
  <c r="BM212" i="8"/>
  <c r="AR125" i="8"/>
  <c r="AX189" i="8"/>
  <c r="AY186" i="8"/>
  <c r="BE85" i="8"/>
  <c r="BL223" i="8"/>
  <c r="BM239" i="8" s="1"/>
  <c r="BM207" i="8"/>
  <c r="AO207" i="8"/>
  <c r="AN223" i="8"/>
  <c r="AO239" i="8" s="1"/>
  <c r="AN221" i="8"/>
  <c r="AO237" i="8" s="1"/>
  <c r="AO205" i="8"/>
  <c r="AM218" i="8"/>
  <c r="AN234" i="8" s="1"/>
  <c r="AN202" i="8"/>
  <c r="BF95" i="8"/>
  <c r="AZ187" i="8"/>
  <c r="AL160" i="8"/>
  <c r="AN222" i="8"/>
  <c r="AO238" i="8" s="1"/>
  <c r="AO206" i="8"/>
  <c r="CF78" i="8"/>
  <c r="N85" i="8"/>
  <c r="CF85" i="8" s="1"/>
  <c r="BA188" i="8"/>
  <c r="BA220" i="8" s="1"/>
  <c r="BG109" i="8"/>
  <c r="BA168" i="8"/>
  <c r="AZ181" i="8"/>
  <c r="BF12" i="8"/>
  <c r="AN160" i="8"/>
  <c r="AN161" i="8" s="1"/>
  <c r="AM221" i="8"/>
  <c r="AN237" i="8" s="1"/>
  <c r="AN205" i="8"/>
  <c r="CH126" i="8"/>
  <c r="P134" i="8"/>
  <c r="CH134" i="8" s="1"/>
  <c r="W185" i="8"/>
  <c r="W217" i="8" s="1"/>
  <c r="AU77" i="8"/>
  <c r="AI77" i="8"/>
  <c r="U186" i="8"/>
  <c r="AS85" i="8"/>
  <c r="AR34" i="8"/>
  <c r="AX182" i="8"/>
  <c r="BL219" i="8"/>
  <c r="BM235" i="8" s="1"/>
  <c r="BM203" i="8"/>
  <c r="BA187" i="8"/>
  <c r="BA219" i="8" s="1"/>
  <c r="BG95" i="8"/>
  <c r="AR159" i="8"/>
  <c r="AX191" i="8"/>
  <c r="I65" i="14"/>
  <c r="W190" i="8"/>
  <c r="W222" i="8" s="1"/>
  <c r="AU134" i="8"/>
  <c r="AI134" i="8"/>
  <c r="U191" i="8"/>
  <c r="AS159" i="8"/>
  <c r="AG159" i="8"/>
  <c r="V188" i="8"/>
  <c r="AT109" i="8"/>
  <c r="AH109" i="8"/>
  <c r="U187" i="8"/>
  <c r="AG95" i="8"/>
  <c r="AS95" i="8"/>
  <c r="AA222" i="8"/>
  <c r="AB238" i="8" s="1"/>
  <c r="AB206" i="8"/>
  <c r="AT85" i="8"/>
  <c r="V186" i="8"/>
  <c r="AH85" i="8"/>
  <c r="V184" i="8"/>
  <c r="AT64" i="8"/>
  <c r="AH64" i="8"/>
  <c r="W187" i="8"/>
  <c r="W219" i="8" s="1"/>
  <c r="AU95" i="8"/>
  <c r="AI95" i="8"/>
  <c r="W181" i="8"/>
  <c r="W213" i="8" s="1"/>
  <c r="AI12" i="8"/>
  <c r="AU12" i="8"/>
  <c r="BK198" i="8"/>
  <c r="BL168" i="8"/>
  <c r="BM168" i="8"/>
  <c r="AQ109" i="8"/>
  <c r="AN218" i="8"/>
  <c r="AO234" i="8" s="1"/>
  <c r="AO202" i="8"/>
  <c r="AG85" i="8"/>
  <c r="AY185" i="8"/>
  <c r="AY201" i="8" s="1"/>
  <c r="BE77" i="8"/>
  <c r="AY181" i="8"/>
  <c r="BE12" i="8"/>
  <c r="AQ125" i="8"/>
  <c r="BA182" i="8"/>
  <c r="BA214" i="8" s="1"/>
  <c r="BG34" i="8"/>
  <c r="BA191" i="8"/>
  <c r="BA223" i="8" s="1"/>
  <c r="BG159" i="8"/>
  <c r="AZ186" i="8"/>
  <c r="BF85" i="8"/>
  <c r="AZ160" i="8"/>
  <c r="AZ185" i="8"/>
  <c r="BF77" i="8"/>
  <c r="BA180" i="8"/>
  <c r="BG8" i="8"/>
  <c r="AO212" i="8"/>
  <c r="A65" i="14"/>
  <c r="AO200" i="8"/>
  <c r="AN216" i="8"/>
  <c r="AO232" i="8" s="1"/>
  <c r="K8" i="12"/>
  <c r="W182" i="8"/>
  <c r="W214" i="8" s="1"/>
  <c r="AI34" i="8"/>
  <c r="AU34" i="8"/>
  <c r="U188" i="8"/>
  <c r="AS109" i="8"/>
  <c r="AG109" i="8"/>
  <c r="AB204" i="8"/>
  <c r="AA220" i="8"/>
  <c r="AB236" i="8" s="1"/>
  <c r="M159" i="12"/>
  <c r="W184" i="8"/>
  <c r="W216" i="8" s="1"/>
  <c r="AU64" i="8"/>
  <c r="AI64" i="8"/>
  <c r="V180" i="8"/>
  <c r="AT8" i="8"/>
  <c r="AH8" i="8"/>
  <c r="AA212" i="8"/>
  <c r="AB228" i="8" s="1"/>
  <c r="AB196" i="8"/>
  <c r="V185" i="8"/>
  <c r="AT77" i="8"/>
  <c r="AH77" i="8"/>
  <c r="AA218" i="8"/>
  <c r="AB234" i="8" s="1"/>
  <c r="AB202" i="8"/>
  <c r="AA214" i="8"/>
  <c r="AB230" i="8" s="1"/>
  <c r="AB198" i="8"/>
  <c r="V191" i="8"/>
  <c r="AT159" i="8"/>
  <c r="AH159" i="8"/>
  <c r="AB221" i="8"/>
  <c r="AC237" i="8" s="1"/>
  <c r="AC205" i="8"/>
  <c r="AB218" i="8"/>
  <c r="AC234" i="8" s="1"/>
  <c r="AC202" i="8"/>
  <c r="AR85" i="8"/>
  <c r="AX186" i="8"/>
  <c r="AR12" i="8"/>
  <c r="AX181" i="8"/>
  <c r="BL201" i="8"/>
  <c r="BK217" i="8"/>
  <c r="BL233" i="8" s="1"/>
  <c r="CF86" i="8"/>
  <c r="N95" i="8"/>
  <c r="CF95" i="8" s="1"/>
  <c r="AQ64" i="8"/>
  <c r="AM220" i="8"/>
  <c r="AN236" i="8" s="1"/>
  <c r="AN204" i="8"/>
  <c r="AO168" i="8"/>
  <c r="P95" i="8"/>
  <c r="CH95" i="8" s="1"/>
  <c r="CH86" i="8"/>
  <c r="AY219" i="8"/>
  <c r="AZ235" i="8" s="1"/>
  <c r="AZ203" i="8"/>
  <c r="R182" i="8"/>
  <c r="R214" i="8" s="1"/>
  <c r="AP34" i="8"/>
  <c r="K12" i="8"/>
  <c r="CC12" i="8" s="1"/>
  <c r="CC62" i="8"/>
  <c r="AP125" i="8"/>
  <c r="AA168" i="8"/>
  <c r="AG64" i="8"/>
  <c r="O64" i="8"/>
  <c r="CG64" i="8" s="1"/>
  <c r="P49" i="8"/>
  <c r="CH49" i="8" s="1"/>
  <c r="AC65" i="8"/>
  <c r="N34" i="8"/>
  <c r="CF34" i="8" s="1"/>
  <c r="AC160" i="8"/>
  <c r="AB168" i="8"/>
  <c r="U168" i="8"/>
  <c r="V65" i="8"/>
  <c r="AB65" i="8"/>
  <c r="N64" i="8"/>
  <c r="CF64" i="8" s="1"/>
  <c r="T65" i="8"/>
  <c r="AA160" i="8"/>
  <c r="O77" i="8"/>
  <c r="CG77" i="8" s="1"/>
  <c r="P12" i="8"/>
  <c r="CH12" i="8" s="1"/>
  <c r="S160" i="8"/>
  <c r="R185" i="8"/>
  <c r="R217" i="8" s="1"/>
  <c r="AC168" i="8"/>
  <c r="AA65" i="8"/>
  <c r="N12" i="8"/>
  <c r="CF9" i="8"/>
  <c r="CH5" i="8"/>
  <c r="U65" i="8"/>
  <c r="L12" i="8"/>
  <c r="CD12" i="8" s="1"/>
  <c r="CD9" i="8"/>
  <c r="AB160" i="8"/>
  <c r="W160" i="8"/>
  <c r="V160" i="8"/>
  <c r="U160" i="8"/>
  <c r="CG5" i="8"/>
  <c r="O8" i="8"/>
  <c r="CG8" i="8" s="1"/>
  <c r="O12" i="8"/>
  <c r="CG12" i="8" s="1"/>
  <c r="CG9" i="8"/>
  <c r="O34" i="8"/>
  <c r="CG34" i="8" s="1"/>
  <c r="V168" i="8"/>
  <c r="W65" i="8"/>
  <c r="M12" i="8"/>
  <c r="CE12" i="8" s="1"/>
  <c r="CE9" i="8"/>
  <c r="P34" i="8"/>
  <c r="CH34" i="8" s="1"/>
  <c r="W168" i="8"/>
  <c r="T160" i="8"/>
  <c r="N77" i="8"/>
  <c r="CF66" i="8"/>
  <c r="AB65" i="14"/>
  <c r="K65" i="14"/>
  <c r="G161" i="8"/>
  <c r="D161" i="12"/>
  <c r="M85" i="12"/>
  <c r="K134" i="12"/>
  <c r="M8" i="12"/>
  <c r="I159" i="12"/>
  <c r="M125" i="12"/>
  <c r="I34" i="12"/>
  <c r="I8" i="12"/>
  <c r="M49" i="12"/>
  <c r="K159" i="12"/>
  <c r="M134" i="12"/>
  <c r="I85" i="12"/>
  <c r="K85" i="12"/>
  <c r="I125" i="12"/>
  <c r="I134" i="12"/>
  <c r="K125" i="12"/>
  <c r="I109" i="12"/>
  <c r="I64" i="12"/>
  <c r="K49" i="12"/>
  <c r="K34" i="12"/>
  <c r="M34" i="12"/>
  <c r="M109" i="12"/>
  <c r="K109" i="12"/>
  <c r="AB34" i="12"/>
  <c r="M64" i="12"/>
  <c r="AB77" i="12"/>
  <c r="AB49" i="12"/>
  <c r="I77" i="12"/>
  <c r="K77" i="12"/>
  <c r="M99" i="12"/>
  <c r="I49" i="12"/>
  <c r="K64" i="12"/>
  <c r="A65" i="12"/>
  <c r="M77" i="12"/>
  <c r="AB125" i="12"/>
  <c r="X246" i="8"/>
  <c r="B222" i="8"/>
  <c r="B221" i="8"/>
  <c r="B220" i="8"/>
  <c r="B219" i="8"/>
  <c r="B218" i="8"/>
  <c r="B217" i="8"/>
  <c r="B216" i="8"/>
  <c r="B215" i="8"/>
  <c r="B214" i="8"/>
  <c r="B213" i="8"/>
  <c r="B212" i="8"/>
  <c r="B191" i="8"/>
  <c r="B180" i="8"/>
  <c r="B223" i="8" s="1"/>
  <c r="B181" i="8"/>
  <c r="B182" i="8"/>
  <c r="B183" i="8"/>
  <c r="B184" i="8"/>
  <c r="B185" i="8"/>
  <c r="B186" i="8"/>
  <c r="B187" i="8"/>
  <c r="B188" i="8"/>
  <c r="B189" i="8"/>
  <c r="B190" i="8"/>
  <c r="N160" i="8" l="1"/>
  <c r="O160" i="8"/>
  <c r="P160" i="8"/>
  <c r="AC192" i="8"/>
  <c r="BA177" i="8"/>
  <c r="AN177" i="8"/>
  <c r="BM208" i="8"/>
  <c r="BM246" i="8" s="1"/>
  <c r="BL245" i="8"/>
  <c r="AZ216" i="8"/>
  <c r="BA232" i="8" s="1"/>
  <c r="AA192" i="8"/>
  <c r="AA245" i="8" s="1"/>
  <c r="BK234" i="8"/>
  <c r="BE160" i="8"/>
  <c r="AA213" i="8"/>
  <c r="AB229" i="8" s="1"/>
  <c r="AQ160" i="8"/>
  <c r="BL224" i="8"/>
  <c r="BL247" i="8" s="1"/>
  <c r="AO197" i="8"/>
  <c r="AN192" i="8"/>
  <c r="AN224" i="8" s="1"/>
  <c r="AC197" i="8"/>
  <c r="AB192" i="8"/>
  <c r="AB224" i="8" s="1"/>
  <c r="BK197" i="8"/>
  <c r="BJ213" i="8"/>
  <c r="BM197" i="8"/>
  <c r="BL213" i="8"/>
  <c r="BM229" i="8" s="1"/>
  <c r="BK213" i="8"/>
  <c r="BL229" i="8" s="1"/>
  <c r="BL197" i="8"/>
  <c r="AN228" i="8"/>
  <c r="AY169" i="8"/>
  <c r="BA161" i="8"/>
  <c r="BG161" i="8" s="1"/>
  <c r="BK238" i="8"/>
  <c r="BK232" i="8"/>
  <c r="AO192" i="8"/>
  <c r="AO245" i="8" s="1"/>
  <c r="AY202" i="8"/>
  <c r="AX218" i="8"/>
  <c r="V215" i="8"/>
  <c r="W231" i="8" s="1"/>
  <c r="W199" i="8"/>
  <c r="AI160" i="8"/>
  <c r="AU160" i="8"/>
  <c r="BA201" i="8"/>
  <c r="AZ217" i="8"/>
  <c r="BA233" i="8" s="1"/>
  <c r="AY207" i="8"/>
  <c r="AX223" i="8"/>
  <c r="AZ202" i="8"/>
  <c r="AY218" i="8"/>
  <c r="AZ234" i="8" s="1"/>
  <c r="AZ204" i="8"/>
  <c r="AY220" i="8"/>
  <c r="AZ236" i="8" s="1"/>
  <c r="W192" i="8"/>
  <c r="W212" i="8"/>
  <c r="AY192" i="8"/>
  <c r="AY212" i="8"/>
  <c r="AZ196" i="8"/>
  <c r="V214" i="8"/>
  <c r="W230" i="8" s="1"/>
  <c r="W198" i="8"/>
  <c r="BA206" i="8"/>
  <c r="AZ222" i="8"/>
  <c r="BA238" i="8" s="1"/>
  <c r="AY203" i="8"/>
  <c r="AX219" i="8"/>
  <c r="AY235" i="8" s="1"/>
  <c r="AY221" i="8"/>
  <c r="AZ237" i="8" s="1"/>
  <c r="AZ205" i="8"/>
  <c r="AZ198" i="8"/>
  <c r="AY214" i="8"/>
  <c r="AZ230" i="8" s="1"/>
  <c r="V217" i="8"/>
  <c r="W233" i="8" s="1"/>
  <c r="W201" i="8"/>
  <c r="AZ161" i="8"/>
  <c r="BF161" i="8" s="1"/>
  <c r="BF160" i="8"/>
  <c r="U218" i="8"/>
  <c r="V234" i="8" s="1"/>
  <c r="V202" i="8"/>
  <c r="AY205" i="8"/>
  <c r="AX221" i="8"/>
  <c r="V201" i="8"/>
  <c r="U217" i="8"/>
  <c r="V233" i="8" s="1"/>
  <c r="AY199" i="8"/>
  <c r="AX215" i="8"/>
  <c r="AZ200" i="8"/>
  <c r="AY216" i="8"/>
  <c r="AN232" i="8"/>
  <c r="BL205" i="8"/>
  <c r="BK221" i="8"/>
  <c r="BK205" i="8"/>
  <c r="BE161" i="8"/>
  <c r="U214" i="8"/>
  <c r="V230" i="8" s="1"/>
  <c r="V198" i="8"/>
  <c r="U222" i="8"/>
  <c r="V238" i="8" s="1"/>
  <c r="V206" i="8"/>
  <c r="U220" i="8"/>
  <c r="V236" i="8" s="1"/>
  <c r="V204" i="8"/>
  <c r="AZ218" i="8"/>
  <c r="BA234" i="8" s="1"/>
  <c r="BA202" i="8"/>
  <c r="AZ213" i="8"/>
  <c r="BA229" i="8" s="1"/>
  <c r="BA197" i="8"/>
  <c r="AZ215" i="8"/>
  <c r="BA231" i="8" s="1"/>
  <c r="BA199" i="8"/>
  <c r="U192" i="8"/>
  <c r="V196" i="8"/>
  <c r="U212" i="8"/>
  <c r="AM169" i="8"/>
  <c r="AZ214" i="8"/>
  <c r="BA230" i="8" s="1"/>
  <c r="BA198" i="8"/>
  <c r="BK203" i="8"/>
  <c r="BJ219" i="8"/>
  <c r="BK235" i="8" s="1"/>
  <c r="BA205" i="8"/>
  <c r="AZ221" i="8"/>
  <c r="BA237" i="8" s="1"/>
  <c r="AG65" i="8"/>
  <c r="AS65" i="8"/>
  <c r="AH65" i="8"/>
  <c r="AT65" i="8"/>
  <c r="AB232" i="8"/>
  <c r="AY217" i="8"/>
  <c r="AZ233" i="8" s="1"/>
  <c r="AZ201" i="8"/>
  <c r="W200" i="8"/>
  <c r="V216" i="8"/>
  <c r="W232" i="8" s="1"/>
  <c r="U219" i="8"/>
  <c r="V235" i="8" s="1"/>
  <c r="V203" i="8"/>
  <c r="BA169" i="8"/>
  <c r="BM192" i="8"/>
  <c r="AM215" i="8"/>
  <c r="AN231" i="8" s="1"/>
  <c r="AN199" i="8"/>
  <c r="AM192" i="8"/>
  <c r="W203" i="8"/>
  <c r="V219" i="8"/>
  <c r="W235" i="8" s="1"/>
  <c r="BK230" i="8"/>
  <c r="AZ192" i="8"/>
  <c r="AZ212" i="8"/>
  <c r="BA228" i="8" s="1"/>
  <c r="BA196" i="8"/>
  <c r="AZ169" i="8"/>
  <c r="AZ197" i="8"/>
  <c r="AY213" i="8"/>
  <c r="AZ229" i="8" s="1"/>
  <c r="V207" i="8"/>
  <c r="U223" i="8"/>
  <c r="V239" i="8" s="1"/>
  <c r="AZ219" i="8"/>
  <c r="BA235" i="8" s="1"/>
  <c r="BA203" i="8"/>
  <c r="AN169" i="8"/>
  <c r="V221" i="8"/>
  <c r="W237" i="8" s="1"/>
  <c r="W205" i="8"/>
  <c r="AY215" i="8"/>
  <c r="AZ231" i="8" s="1"/>
  <c r="AZ199" i="8"/>
  <c r="AM217" i="8"/>
  <c r="AN233" i="8" s="1"/>
  <c r="AN201" i="8"/>
  <c r="V197" i="8"/>
  <c r="U213" i="8"/>
  <c r="V229" i="8" s="1"/>
  <c r="AZ206" i="8"/>
  <c r="AY222" i="8"/>
  <c r="AZ238" i="8" s="1"/>
  <c r="AY206" i="8"/>
  <c r="AX222" i="8"/>
  <c r="V205" i="8"/>
  <c r="U221" i="8"/>
  <c r="V237" i="8" s="1"/>
  <c r="AS160" i="8"/>
  <c r="AG160" i="8"/>
  <c r="BA192" i="8"/>
  <c r="BA245" i="8" s="1"/>
  <c r="BA212" i="8"/>
  <c r="W202" i="8"/>
  <c r="V218" i="8"/>
  <c r="W234" i="8" s="1"/>
  <c r="AY198" i="8"/>
  <c r="AX214" i="8"/>
  <c r="BK245" i="8"/>
  <c r="BL208" i="8"/>
  <c r="BL246" i="8" s="1"/>
  <c r="AC224" i="8"/>
  <c r="AC247" i="8" s="1"/>
  <c r="AC245" i="8"/>
  <c r="AY223" i="8"/>
  <c r="AZ239" i="8" s="1"/>
  <c r="AZ207" i="8"/>
  <c r="AZ220" i="8"/>
  <c r="BA236" i="8" s="1"/>
  <c r="BA204" i="8"/>
  <c r="V200" i="8"/>
  <c r="V223" i="8"/>
  <c r="W239" i="8" s="1"/>
  <c r="W207" i="8"/>
  <c r="W197" i="8"/>
  <c r="V213" i="8"/>
  <c r="W229" i="8" s="1"/>
  <c r="U215" i="8"/>
  <c r="V231" i="8" s="1"/>
  <c r="V199" i="8"/>
  <c r="BM240" i="8"/>
  <c r="BM248" i="8" s="1"/>
  <c r="U196" i="8"/>
  <c r="AU65" i="8"/>
  <c r="AI65" i="8"/>
  <c r="AT160" i="8"/>
  <c r="AH160" i="8"/>
  <c r="AO169" i="8"/>
  <c r="AY197" i="8"/>
  <c r="AX213" i="8"/>
  <c r="V192" i="8"/>
  <c r="V212" i="8"/>
  <c r="W228" i="8" s="1"/>
  <c r="W196" i="8"/>
  <c r="W204" i="8"/>
  <c r="V220" i="8"/>
  <c r="W236" i="8" s="1"/>
  <c r="AZ223" i="8"/>
  <c r="BA239" i="8" s="1"/>
  <c r="BA207" i="8"/>
  <c r="W206" i="8"/>
  <c r="V222" i="8"/>
  <c r="W238" i="8" s="1"/>
  <c r="AA161" i="8"/>
  <c r="AC161" i="8"/>
  <c r="U161" i="8"/>
  <c r="AG161" i="8" s="1"/>
  <c r="AB161" i="8"/>
  <c r="O65" i="8"/>
  <c r="CG65" i="8" s="1"/>
  <c r="O174" i="8" s="1"/>
  <c r="P65" i="8"/>
  <c r="CH65" i="8" s="1"/>
  <c r="P166" i="8" s="1"/>
  <c r="V161" i="8"/>
  <c r="T161" i="8"/>
  <c r="CF77" i="8"/>
  <c r="W161" i="8"/>
  <c r="CF12" i="8"/>
  <c r="N65" i="8"/>
  <c r="CF65" i="8" s="1"/>
  <c r="N175" i="8" s="1"/>
  <c r="K65" i="12"/>
  <c r="M65" i="12"/>
  <c r="AB65" i="12"/>
  <c r="I65" i="12"/>
  <c r="D5" i="8"/>
  <c r="E5" i="8"/>
  <c r="D9" i="8"/>
  <c r="E9" i="8"/>
  <c r="D13" i="8"/>
  <c r="E13" i="8"/>
  <c r="CD13" i="8"/>
  <c r="CE13" i="8"/>
  <c r="BI164" i="8"/>
  <c r="BH164" i="8"/>
  <c r="AW164" i="8"/>
  <c r="AV164" i="8"/>
  <c r="AN245" i="8" l="1"/>
  <c r="AZ232" i="8"/>
  <c r="AB208" i="8"/>
  <c r="AB246" i="8" s="1"/>
  <c r="AB245" i="8"/>
  <c r="AC208" i="8"/>
  <c r="AC246" i="8" s="1"/>
  <c r="AY233" i="8"/>
  <c r="AO208" i="8"/>
  <c r="AO246" i="8" s="1"/>
  <c r="O175" i="8"/>
  <c r="O165" i="8"/>
  <c r="O166" i="8"/>
  <c r="O173" i="8"/>
  <c r="O167" i="8"/>
  <c r="BK229" i="8"/>
  <c r="P165" i="8"/>
  <c r="AZ228" i="8"/>
  <c r="P167" i="8"/>
  <c r="V228" i="8"/>
  <c r="N173" i="8"/>
  <c r="N166" i="8"/>
  <c r="N165" i="8"/>
  <c r="N167" i="8"/>
  <c r="N174" i="8"/>
  <c r="P173" i="8"/>
  <c r="P175" i="8"/>
  <c r="P174" i="8"/>
  <c r="AO224" i="8"/>
  <c r="AO247" i="8" s="1"/>
  <c r="AY238" i="8"/>
  <c r="AY237" i="8"/>
  <c r="AY234" i="8"/>
  <c r="AZ245" i="8"/>
  <c r="AZ224" i="8"/>
  <c r="BA208" i="8"/>
  <c r="BA246" i="8" s="1"/>
  <c r="V208" i="8"/>
  <c r="V246" i="8" s="1"/>
  <c r="U245" i="8"/>
  <c r="V232" i="8"/>
  <c r="BL237" i="8"/>
  <c r="BK237" i="8"/>
  <c r="W245" i="8"/>
  <c r="W224" i="8"/>
  <c r="W247" i="8" s="1"/>
  <c r="AT161" i="8"/>
  <c r="AH161" i="8"/>
  <c r="V245" i="8"/>
  <c r="V224" i="8"/>
  <c r="W208" i="8"/>
  <c r="W246" i="8" s="1"/>
  <c r="AC240" i="8"/>
  <c r="AC248" i="8" s="1"/>
  <c r="AB247" i="8"/>
  <c r="BM224" i="8"/>
  <c r="BM247" i="8" s="1"/>
  <c r="BM245" i="8"/>
  <c r="AY229" i="8"/>
  <c r="AO240" i="8"/>
  <c r="AO248" i="8" s="1"/>
  <c r="AN247" i="8"/>
  <c r="AY239" i="8"/>
  <c r="AU161" i="8"/>
  <c r="AI161" i="8"/>
  <c r="AY230" i="8"/>
  <c r="AN208" i="8"/>
  <c r="AN246" i="8" s="1"/>
  <c r="AM245" i="8"/>
  <c r="AS161" i="8"/>
  <c r="AY231" i="8"/>
  <c r="AY245" i="8"/>
  <c r="AZ208" i="8"/>
  <c r="AZ246" i="8" s="1"/>
  <c r="N161" i="8"/>
  <c r="O161" i="8"/>
  <c r="P161" i="8"/>
  <c r="M8" i="9"/>
  <c r="I8" i="3"/>
  <c r="I8" i="9"/>
  <c r="K8" i="9"/>
  <c r="K8" i="3"/>
  <c r="M8" i="3"/>
  <c r="AW244" i="8"/>
  <c r="AW179" i="8"/>
  <c r="AW195" i="8"/>
  <c r="AW227" i="8"/>
  <c r="AW211" i="8"/>
  <c r="BH211" i="8"/>
  <c r="BH227" i="8"/>
  <c r="BH195" i="8"/>
  <c r="BH179" i="8"/>
  <c r="BH244" i="8"/>
  <c r="BI179" i="8"/>
  <c r="BI227" i="8"/>
  <c r="BI195" i="8"/>
  <c r="BI244" i="8"/>
  <c r="BI211" i="8"/>
  <c r="AV244" i="8"/>
  <c r="AV211" i="8"/>
  <c r="AV195" i="8"/>
  <c r="AV227" i="8"/>
  <c r="AV179" i="8"/>
  <c r="CC13" i="8"/>
  <c r="AW182" i="8"/>
  <c r="Y182" i="8"/>
  <c r="Y214" i="8" s="1"/>
  <c r="X182" i="8"/>
  <c r="X214" i="8" s="1"/>
  <c r="AV182" i="8"/>
  <c r="AV214" i="8" s="1"/>
  <c r="BI182" i="8"/>
  <c r="BH182" i="8"/>
  <c r="BH214" i="8" s="1"/>
  <c r="T182" i="8"/>
  <c r="S182" i="8"/>
  <c r="S214" i="8" s="1"/>
  <c r="AL164" i="8"/>
  <c r="AK164" i="8"/>
  <c r="AJ164" i="8"/>
  <c r="T164" i="8"/>
  <c r="S164" i="8"/>
  <c r="R164" i="8"/>
  <c r="X164" i="8"/>
  <c r="O176" i="8" l="1"/>
  <c r="P168" i="8"/>
  <c r="N176" i="8"/>
  <c r="P176" i="8"/>
  <c r="AL195" i="8"/>
  <c r="AL227" i="8"/>
  <c r="AL244" i="8"/>
  <c r="AL211" i="8"/>
  <c r="O168" i="8"/>
  <c r="V247" i="8"/>
  <c r="W240" i="8"/>
  <c r="W248" i="8" s="1"/>
  <c r="U198" i="8"/>
  <c r="T214" i="8"/>
  <c r="U230" i="8" s="1"/>
  <c r="BA240" i="8"/>
  <c r="BA248" i="8" s="1"/>
  <c r="AZ247" i="8"/>
  <c r="BI214" i="8"/>
  <c r="BJ230" i="8" s="1"/>
  <c r="BJ198" i="8"/>
  <c r="AX198" i="8"/>
  <c r="AW214" i="8"/>
  <c r="AX230" i="8" s="1"/>
  <c r="BD34" i="8"/>
  <c r="AJ182" i="8"/>
  <c r="AJ214" i="8" s="1"/>
  <c r="AK230" i="8" s="1"/>
  <c r="AD34" i="8"/>
  <c r="AL182" i="8"/>
  <c r="AF34" i="8"/>
  <c r="AK182" i="8"/>
  <c r="AE34" i="8"/>
  <c r="N168" i="8"/>
  <c r="K34" i="8"/>
  <c r="CC34" i="8" s="1"/>
  <c r="M34" i="8"/>
  <c r="CE34" i="8" s="1"/>
  <c r="L34" i="8"/>
  <c r="CD34" i="8" s="1"/>
  <c r="Y211" i="8"/>
  <c r="Y227" i="8"/>
  <c r="Y244" i="8"/>
  <c r="Y179" i="8"/>
  <c r="Y195" i="8"/>
  <c r="AJ195" i="8"/>
  <c r="AJ244" i="8"/>
  <c r="AJ211" i="8"/>
  <c r="AJ179" i="8"/>
  <c r="AJ227" i="8"/>
  <c r="Y198" i="8"/>
  <c r="AK211" i="8"/>
  <c r="AK244" i="8"/>
  <c r="AK179" i="8"/>
  <c r="AK227" i="8"/>
  <c r="AK195" i="8"/>
  <c r="T198" i="8"/>
  <c r="T230" i="8"/>
  <c r="BI230" i="8"/>
  <c r="BH230" i="8"/>
  <c r="Z198" i="8"/>
  <c r="Z230" i="8"/>
  <c r="X195" i="8"/>
  <c r="X179" i="8"/>
  <c r="X227" i="8"/>
  <c r="X244" i="8"/>
  <c r="X211" i="8"/>
  <c r="AL179" i="8"/>
  <c r="Z179" i="8"/>
  <c r="Z227" i="8"/>
  <c r="Z244" i="8"/>
  <c r="Z211" i="8"/>
  <c r="Z195" i="8"/>
  <c r="AV230" i="8"/>
  <c r="AW230" i="8"/>
  <c r="R227" i="8"/>
  <c r="R195" i="8"/>
  <c r="R244" i="8"/>
  <c r="R211" i="8"/>
  <c r="R179" i="8"/>
  <c r="S244" i="8"/>
  <c r="S227" i="8"/>
  <c r="S195" i="8"/>
  <c r="S211" i="8"/>
  <c r="S179" i="8"/>
  <c r="T244" i="8"/>
  <c r="T179" i="8"/>
  <c r="T195" i="8"/>
  <c r="T227" i="8"/>
  <c r="T211" i="8"/>
  <c r="AW198" i="8"/>
  <c r="AV198" i="8"/>
  <c r="BI198" i="8"/>
  <c r="BH198" i="8"/>
  <c r="M78" i="3"/>
  <c r="K78" i="3"/>
  <c r="I78" i="3"/>
  <c r="AK198" i="8" l="1"/>
  <c r="AJ198" i="8"/>
  <c r="AM198" i="8"/>
  <c r="AL214" i="8"/>
  <c r="AM230" i="8" s="1"/>
  <c r="AJ230" i="8"/>
  <c r="AL198" i="8"/>
  <c r="AK214" i="8"/>
  <c r="AL230" i="8" s="1"/>
  <c r="Y230" i="8"/>
  <c r="X230" i="8"/>
  <c r="R230" i="8"/>
  <c r="S230" i="8"/>
  <c r="S198" i="8"/>
  <c r="R198" i="8"/>
  <c r="L101" i="9"/>
  <c r="L99" i="9"/>
  <c r="L98" i="9"/>
  <c r="L97" i="9"/>
  <c r="L96" i="9"/>
  <c r="L109" i="9" l="1"/>
  <c r="AX97" i="8"/>
  <c r="AX98" i="8"/>
  <c r="AX99" i="8"/>
  <c r="AX101" i="8"/>
  <c r="AX96" i="8"/>
  <c r="AX175" i="8" s="1"/>
  <c r="AB9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35" i="9"/>
  <c r="AB36" i="9"/>
  <c r="AB37" i="9"/>
  <c r="AB38" i="9"/>
  <c r="AB39" i="9"/>
  <c r="AB40" i="9"/>
  <c r="AB41" i="9"/>
  <c r="AB42" i="9"/>
  <c r="AB43" i="9"/>
  <c r="AB44" i="9"/>
  <c r="AB45" i="9"/>
  <c r="AB66" i="9"/>
  <c r="AB67" i="9"/>
  <c r="AB68" i="9"/>
  <c r="AB69" i="9"/>
  <c r="AB70" i="9"/>
  <c r="AB71" i="9"/>
  <c r="AB72" i="9"/>
  <c r="AB73" i="9"/>
  <c r="AB78" i="9"/>
  <c r="AB79" i="9"/>
  <c r="AB80" i="9"/>
  <c r="AB81" i="9"/>
  <c r="AB82" i="9"/>
  <c r="AB83" i="9"/>
  <c r="AB84" i="9"/>
  <c r="AB86" i="9"/>
  <c r="AB87" i="9"/>
  <c r="AB88" i="9"/>
  <c r="AB89" i="9"/>
  <c r="AB90" i="9"/>
  <c r="AB91" i="9"/>
  <c r="AB150" i="9"/>
  <c r="AB96" i="9"/>
  <c r="AB97" i="9"/>
  <c r="AB98" i="9"/>
  <c r="AB99" i="9"/>
  <c r="AB100" i="9"/>
  <c r="AB101" i="9"/>
  <c r="AB102" i="9"/>
  <c r="AB103" i="9"/>
  <c r="AB104" i="9"/>
  <c r="AB105" i="9"/>
  <c r="AB110" i="9"/>
  <c r="AB111" i="9"/>
  <c r="AB112" i="9"/>
  <c r="AB113" i="9"/>
  <c r="AB114" i="9"/>
  <c r="AB115" i="9"/>
  <c r="AB116" i="9"/>
  <c r="AB117" i="9"/>
  <c r="AB118" i="9"/>
  <c r="AB119" i="9"/>
  <c r="AB120" i="9"/>
  <c r="AB121" i="9"/>
  <c r="AB126" i="9"/>
  <c r="AB127" i="9"/>
  <c r="AB128" i="9"/>
  <c r="AB129" i="9"/>
  <c r="AB130" i="9"/>
  <c r="AB135" i="9"/>
  <c r="AB136" i="9"/>
  <c r="AB137" i="9"/>
  <c r="AB138" i="9"/>
  <c r="AB139" i="9"/>
  <c r="AB140" i="9"/>
  <c r="AB141" i="9"/>
  <c r="AB142" i="9"/>
  <c r="AB143" i="9"/>
  <c r="AB144" i="9"/>
  <c r="AB145" i="9"/>
  <c r="AB146" i="9"/>
  <c r="AB147" i="9"/>
  <c r="AB148" i="9"/>
  <c r="AB149" i="9"/>
  <c r="AB151" i="9"/>
  <c r="AB152" i="9"/>
  <c r="AB153" i="9"/>
  <c r="AB5" i="9"/>
  <c r="AB162" i="9"/>
  <c r="AB162" i="3"/>
  <c r="AB153" i="3"/>
  <c r="AB152" i="3"/>
  <c r="AB151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0" i="3"/>
  <c r="AB129" i="3"/>
  <c r="AB128" i="3"/>
  <c r="AB127" i="3"/>
  <c r="AB126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5" i="3"/>
  <c r="AB104" i="3"/>
  <c r="AB103" i="3"/>
  <c r="AB102" i="3"/>
  <c r="AB101" i="3"/>
  <c r="AB100" i="3"/>
  <c r="AB99" i="3"/>
  <c r="AB98" i="3"/>
  <c r="AB97" i="3"/>
  <c r="AB96" i="3"/>
  <c r="AB150" i="3"/>
  <c r="AB91" i="3"/>
  <c r="AB90" i="3"/>
  <c r="AB89" i="3"/>
  <c r="AB88" i="3"/>
  <c r="AB87" i="3"/>
  <c r="AB86" i="3"/>
  <c r="AB84" i="3"/>
  <c r="AB83" i="3"/>
  <c r="AB82" i="3"/>
  <c r="AB81" i="3"/>
  <c r="AB80" i="3"/>
  <c r="AB79" i="3"/>
  <c r="AB78" i="3"/>
  <c r="AB73" i="3"/>
  <c r="AB72" i="3"/>
  <c r="AB71" i="3"/>
  <c r="AB70" i="3"/>
  <c r="AB69" i="3"/>
  <c r="AB68" i="3"/>
  <c r="AB67" i="3"/>
  <c r="AB66" i="3"/>
  <c r="AB60" i="3"/>
  <c r="AB59" i="3"/>
  <c r="AB58" i="3"/>
  <c r="AB57" i="3"/>
  <c r="AB56" i="3"/>
  <c r="AB55" i="3"/>
  <c r="AB54" i="3"/>
  <c r="AB53" i="3"/>
  <c r="AB52" i="3"/>
  <c r="AB51" i="3"/>
  <c r="AB50" i="3"/>
  <c r="AB45" i="3"/>
  <c r="AB44" i="3"/>
  <c r="AB43" i="3"/>
  <c r="AB42" i="3"/>
  <c r="AB41" i="3"/>
  <c r="AB40" i="3"/>
  <c r="AB39" i="3"/>
  <c r="AB38" i="3"/>
  <c r="AB37" i="3"/>
  <c r="AB36" i="3"/>
  <c r="AB35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9" i="3"/>
  <c r="AB5" i="3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35" i="1"/>
  <c r="AB36" i="1"/>
  <c r="AB37" i="1"/>
  <c r="AB38" i="1"/>
  <c r="AB39" i="1"/>
  <c r="AB40" i="1"/>
  <c r="AB41" i="1"/>
  <c r="AB42" i="1"/>
  <c r="AB43" i="1"/>
  <c r="AB44" i="1"/>
  <c r="AB45" i="1"/>
  <c r="AB50" i="1"/>
  <c r="AB51" i="1"/>
  <c r="AB52" i="1"/>
  <c r="AB53" i="1"/>
  <c r="AB54" i="1"/>
  <c r="AB55" i="1"/>
  <c r="AB56" i="1"/>
  <c r="AB57" i="1"/>
  <c r="AB58" i="1"/>
  <c r="AB59" i="1"/>
  <c r="AB60" i="1"/>
  <c r="AB66" i="1"/>
  <c r="AB67" i="1"/>
  <c r="AB68" i="1"/>
  <c r="AB69" i="1"/>
  <c r="AB70" i="1"/>
  <c r="AB71" i="1"/>
  <c r="AB72" i="1"/>
  <c r="AB73" i="1"/>
  <c r="AB78" i="1"/>
  <c r="AB79" i="1"/>
  <c r="AB80" i="1"/>
  <c r="AB81" i="1"/>
  <c r="AB82" i="1"/>
  <c r="AB83" i="1"/>
  <c r="AB84" i="1"/>
  <c r="AB86" i="1"/>
  <c r="AB87" i="1"/>
  <c r="AB88" i="1"/>
  <c r="AB89" i="1"/>
  <c r="AB90" i="1"/>
  <c r="AB91" i="1"/>
  <c r="AB150" i="1"/>
  <c r="AB96" i="1"/>
  <c r="AB97" i="1"/>
  <c r="AB98" i="1"/>
  <c r="AB99" i="1"/>
  <c r="AB100" i="1"/>
  <c r="AB101" i="1"/>
  <c r="AB102" i="1"/>
  <c r="AB103" i="1"/>
  <c r="AB104" i="1"/>
  <c r="AB105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6" i="1"/>
  <c r="AB127" i="1"/>
  <c r="AB128" i="1"/>
  <c r="AB129" i="1"/>
  <c r="AB130" i="1"/>
  <c r="AB140" i="1"/>
  <c r="AB141" i="1"/>
  <c r="AB142" i="1"/>
  <c r="AB143" i="1"/>
  <c r="AB144" i="1"/>
  <c r="AB145" i="1"/>
  <c r="AB146" i="1"/>
  <c r="AB147" i="1"/>
  <c r="AB151" i="1"/>
  <c r="AB152" i="1"/>
  <c r="AB162" i="1"/>
  <c r="AB9" i="1"/>
  <c r="AB13" i="1"/>
  <c r="BD101" i="8" l="1"/>
  <c r="AR101" i="8"/>
  <c r="AR99" i="8"/>
  <c r="BD99" i="8"/>
  <c r="AR98" i="8"/>
  <c r="BD98" i="8"/>
  <c r="BD96" i="8"/>
  <c r="AX167" i="8"/>
  <c r="AX109" i="8"/>
  <c r="AR96" i="8"/>
  <c r="BD97" i="8"/>
  <c r="AR97" i="8"/>
  <c r="F5" i="8"/>
  <c r="F65" i="8" s="1"/>
  <c r="E35" i="8"/>
  <c r="D35" i="8"/>
  <c r="E50" i="8"/>
  <c r="D50" i="8"/>
  <c r="E66" i="8"/>
  <c r="D66" i="8"/>
  <c r="E78" i="8"/>
  <c r="D78" i="8"/>
  <c r="E86" i="8"/>
  <c r="F86" i="8"/>
  <c r="D86" i="8"/>
  <c r="F96" i="8"/>
  <c r="E96" i="8"/>
  <c r="D96" i="8"/>
  <c r="F110" i="8"/>
  <c r="E110" i="8"/>
  <c r="D110" i="8"/>
  <c r="F126" i="8"/>
  <c r="E126" i="8"/>
  <c r="D126" i="8"/>
  <c r="F135" i="8"/>
  <c r="E135" i="8"/>
  <c r="D135" i="8"/>
  <c r="BU159" i="8"/>
  <c r="BT159" i="8"/>
  <c r="BS159" i="8"/>
  <c r="BR159" i="8"/>
  <c r="BQ159" i="8"/>
  <c r="BP159" i="8"/>
  <c r="BO159" i="8"/>
  <c r="BN159" i="8"/>
  <c r="BU134" i="8"/>
  <c r="BT134" i="8"/>
  <c r="BS134" i="8"/>
  <c r="BR134" i="8"/>
  <c r="BQ134" i="8"/>
  <c r="BP134" i="8"/>
  <c r="BO134" i="8"/>
  <c r="BN134" i="8"/>
  <c r="BU77" i="8"/>
  <c r="BT77" i="8"/>
  <c r="BS77" i="8"/>
  <c r="BR77" i="8"/>
  <c r="BQ77" i="8"/>
  <c r="BP77" i="8"/>
  <c r="BO77" i="8"/>
  <c r="BN77" i="8"/>
  <c r="BU85" i="8"/>
  <c r="BT85" i="8"/>
  <c r="BS85" i="8"/>
  <c r="BR85" i="8"/>
  <c r="BQ85" i="8"/>
  <c r="BP85" i="8"/>
  <c r="BO85" i="8"/>
  <c r="BN85" i="8"/>
  <c r="BU109" i="8"/>
  <c r="BT109" i="8"/>
  <c r="BS109" i="8"/>
  <c r="BR109" i="8"/>
  <c r="BQ109" i="8"/>
  <c r="BP109" i="8"/>
  <c r="BO109" i="8"/>
  <c r="BN109" i="8"/>
  <c r="BU125" i="8"/>
  <c r="BT125" i="8"/>
  <c r="BS125" i="8"/>
  <c r="BR125" i="8"/>
  <c r="BQ125" i="8"/>
  <c r="BP125" i="8"/>
  <c r="BO125" i="8"/>
  <c r="BN125" i="8"/>
  <c r="CD153" i="8"/>
  <c r="CD152" i="8"/>
  <c r="CC152" i="8"/>
  <c r="CE149" i="8"/>
  <c r="CD149" i="8"/>
  <c r="CE148" i="8"/>
  <c r="CD148" i="8"/>
  <c r="CD146" i="8"/>
  <c r="CC146" i="8"/>
  <c r="CE145" i="8"/>
  <c r="CD145" i="8"/>
  <c r="CC145" i="8"/>
  <c r="CE143" i="8"/>
  <c r="CD143" i="8"/>
  <c r="CC143" i="8"/>
  <c r="CE142" i="8"/>
  <c r="CD142" i="8"/>
  <c r="CC142" i="8"/>
  <c r="CD141" i="8"/>
  <c r="CC141" i="8"/>
  <c r="CD140" i="8"/>
  <c r="CC140" i="8"/>
  <c r="CE139" i="8"/>
  <c r="CD139" i="8"/>
  <c r="CD138" i="8"/>
  <c r="CD137" i="8"/>
  <c r="CE130" i="8"/>
  <c r="CD130" i="8"/>
  <c r="CC130" i="8"/>
  <c r="CD129" i="8"/>
  <c r="CC129" i="8"/>
  <c r="CD127" i="8"/>
  <c r="CC127" i="8"/>
  <c r="CD126" i="8"/>
  <c r="CC126" i="8"/>
  <c r="CE121" i="8"/>
  <c r="CD121" i="8"/>
  <c r="CC121" i="8"/>
  <c r="CD120" i="8"/>
  <c r="CC120" i="8"/>
  <c r="CD119" i="8"/>
  <c r="CC119" i="8"/>
  <c r="CD118" i="8"/>
  <c r="CC118" i="8"/>
  <c r="CD117" i="8"/>
  <c r="CC117" i="8"/>
  <c r="CD116" i="8"/>
  <c r="CC116" i="8"/>
  <c r="CD115" i="8"/>
  <c r="CC115" i="8"/>
  <c r="CD113" i="8"/>
  <c r="CC113" i="8"/>
  <c r="CD112" i="8"/>
  <c r="CC112" i="8"/>
  <c r="CD111" i="8"/>
  <c r="CC111" i="8"/>
  <c r="CD110" i="8"/>
  <c r="CC110" i="8"/>
  <c r="CE105" i="8"/>
  <c r="CD105" i="8"/>
  <c r="CD104" i="8"/>
  <c r="CC104" i="8"/>
  <c r="CE102" i="8"/>
  <c r="CD102" i="8"/>
  <c r="CD100" i="8"/>
  <c r="CC100" i="8"/>
  <c r="CE99" i="8"/>
  <c r="CD99" i="8"/>
  <c r="CC99" i="8"/>
  <c r="CD98" i="8"/>
  <c r="CC98" i="8"/>
  <c r="CD97" i="8"/>
  <c r="CC97" i="8"/>
  <c r="CD96" i="8"/>
  <c r="CC96" i="8"/>
  <c r="CE150" i="8"/>
  <c r="CD150" i="8"/>
  <c r="CD91" i="8"/>
  <c r="CE90" i="8"/>
  <c r="CD90" i="8"/>
  <c r="CD89" i="8"/>
  <c r="CC89" i="8"/>
  <c r="CE88" i="8"/>
  <c r="CD88" i="8"/>
  <c r="CC88" i="8"/>
  <c r="CD86" i="8"/>
  <c r="CC86" i="8"/>
  <c r="CD84" i="8"/>
  <c r="CC84" i="8"/>
  <c r="CD82" i="8"/>
  <c r="CC82" i="8"/>
  <c r="CD81" i="8"/>
  <c r="CC81" i="8"/>
  <c r="CD80" i="8"/>
  <c r="CC80" i="8"/>
  <c r="CE79" i="8"/>
  <c r="CD79" i="8"/>
  <c r="CC79" i="8"/>
  <c r="CE78" i="8"/>
  <c r="CD78" i="8"/>
  <c r="CC78" i="8"/>
  <c r="BI181" i="8"/>
  <c r="BH181" i="8"/>
  <c r="BH213" i="8" s="1"/>
  <c r="AX5" i="8"/>
  <c r="AX173" i="8" s="1"/>
  <c r="AW5" i="8"/>
  <c r="M153" i="9"/>
  <c r="M152" i="9"/>
  <c r="M151" i="9"/>
  <c r="M147" i="9"/>
  <c r="M146" i="9"/>
  <c r="M144" i="9"/>
  <c r="M141" i="9"/>
  <c r="M140" i="9"/>
  <c r="M139" i="9"/>
  <c r="M138" i="9"/>
  <c r="M137" i="9"/>
  <c r="M136" i="9"/>
  <c r="M135" i="9"/>
  <c r="M130" i="9"/>
  <c r="M129" i="9"/>
  <c r="M128" i="9"/>
  <c r="M127" i="9"/>
  <c r="M126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5" i="9"/>
  <c r="M104" i="9"/>
  <c r="M103" i="9"/>
  <c r="M102" i="9"/>
  <c r="M101" i="9"/>
  <c r="M100" i="9"/>
  <c r="M99" i="9"/>
  <c r="M98" i="9"/>
  <c r="M97" i="9"/>
  <c r="M96" i="9"/>
  <c r="M150" i="9"/>
  <c r="M91" i="9"/>
  <c r="M90" i="9"/>
  <c r="M89" i="9"/>
  <c r="M88" i="9"/>
  <c r="M87" i="9"/>
  <c r="M86" i="9"/>
  <c r="M84" i="9"/>
  <c r="M83" i="9"/>
  <c r="M82" i="9"/>
  <c r="M81" i="9"/>
  <c r="M80" i="9"/>
  <c r="M79" i="9"/>
  <c r="M78" i="9"/>
  <c r="M73" i="9"/>
  <c r="M72" i="9"/>
  <c r="M71" i="9"/>
  <c r="M70" i="9"/>
  <c r="M69" i="9"/>
  <c r="M68" i="9"/>
  <c r="M67" i="9"/>
  <c r="M66" i="9"/>
  <c r="K153" i="9"/>
  <c r="K152" i="9"/>
  <c r="K151" i="9"/>
  <c r="K149" i="9"/>
  <c r="K148" i="9"/>
  <c r="K147" i="9"/>
  <c r="K146" i="9"/>
  <c r="K145" i="9"/>
  <c r="K144" i="9"/>
  <c r="K143" i="9"/>
  <c r="K142" i="9"/>
  <c r="K141" i="9"/>
  <c r="K140" i="9"/>
  <c r="K139" i="9"/>
  <c r="K138" i="9"/>
  <c r="K137" i="9"/>
  <c r="K136" i="9"/>
  <c r="K135" i="9"/>
  <c r="K130" i="9"/>
  <c r="K129" i="9"/>
  <c r="K128" i="9"/>
  <c r="K127" i="9"/>
  <c r="K126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5" i="9"/>
  <c r="K104" i="9"/>
  <c r="K103" i="9"/>
  <c r="K102" i="9"/>
  <c r="K101" i="9"/>
  <c r="K100" i="9"/>
  <c r="K99" i="9"/>
  <c r="K98" i="9"/>
  <c r="K97" i="9"/>
  <c r="K96" i="9"/>
  <c r="K150" i="9"/>
  <c r="K91" i="9"/>
  <c r="K90" i="9"/>
  <c r="K89" i="9"/>
  <c r="K88" i="9"/>
  <c r="K87" i="9"/>
  <c r="K86" i="9"/>
  <c r="K84" i="9"/>
  <c r="K83" i="9"/>
  <c r="K82" i="9"/>
  <c r="K81" i="9"/>
  <c r="K80" i="9"/>
  <c r="K79" i="9"/>
  <c r="K78" i="9"/>
  <c r="K73" i="9"/>
  <c r="K72" i="9"/>
  <c r="K71" i="9"/>
  <c r="K70" i="9"/>
  <c r="K69" i="9"/>
  <c r="K68" i="9"/>
  <c r="K67" i="9"/>
  <c r="K66" i="9"/>
  <c r="I153" i="9"/>
  <c r="I152" i="9"/>
  <c r="I151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0" i="9"/>
  <c r="I129" i="9"/>
  <c r="I128" i="9"/>
  <c r="I127" i="9"/>
  <c r="I126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5" i="9"/>
  <c r="I104" i="9"/>
  <c r="I103" i="9"/>
  <c r="I102" i="9"/>
  <c r="I101" i="9"/>
  <c r="I100" i="9"/>
  <c r="I99" i="9"/>
  <c r="I98" i="9"/>
  <c r="I97" i="9"/>
  <c r="I96" i="9"/>
  <c r="I150" i="9"/>
  <c r="I91" i="9"/>
  <c r="I90" i="9"/>
  <c r="I89" i="9"/>
  <c r="I88" i="9"/>
  <c r="I87" i="9"/>
  <c r="I86" i="9"/>
  <c r="I84" i="9"/>
  <c r="I83" i="9"/>
  <c r="I82" i="9"/>
  <c r="I81" i="9"/>
  <c r="I80" i="9"/>
  <c r="I79" i="9"/>
  <c r="I78" i="9"/>
  <c r="I73" i="9"/>
  <c r="I72" i="9"/>
  <c r="I71" i="9"/>
  <c r="I70" i="9"/>
  <c r="I69" i="9"/>
  <c r="I68" i="9"/>
  <c r="I67" i="9"/>
  <c r="I66" i="9"/>
  <c r="M45" i="9"/>
  <c r="M44" i="9"/>
  <c r="M43" i="9"/>
  <c r="M42" i="9"/>
  <c r="M41" i="9"/>
  <c r="M40" i="9"/>
  <c r="M39" i="9"/>
  <c r="M38" i="9"/>
  <c r="M37" i="9"/>
  <c r="M36" i="9"/>
  <c r="M35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9" i="9"/>
  <c r="M5" i="9"/>
  <c r="K45" i="9"/>
  <c r="K44" i="9"/>
  <c r="K43" i="9"/>
  <c r="K42" i="9"/>
  <c r="K41" i="9"/>
  <c r="K40" i="9"/>
  <c r="K39" i="9"/>
  <c r="K38" i="9"/>
  <c r="K37" i="9"/>
  <c r="K36" i="9"/>
  <c r="K35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9" i="9"/>
  <c r="K5" i="9"/>
  <c r="I45" i="9"/>
  <c r="I44" i="9"/>
  <c r="I43" i="9"/>
  <c r="I42" i="9"/>
  <c r="I41" i="9"/>
  <c r="I40" i="9"/>
  <c r="I39" i="9"/>
  <c r="I38" i="9"/>
  <c r="I37" i="9"/>
  <c r="I36" i="9"/>
  <c r="I35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9" i="9"/>
  <c r="I5" i="9"/>
  <c r="M58" i="3"/>
  <c r="K58" i="3"/>
  <c r="I58" i="3"/>
  <c r="AW173" i="8" l="1"/>
  <c r="AW176" i="8" s="1"/>
  <c r="AX176" i="8"/>
  <c r="AX177" i="8" s="1"/>
  <c r="AR5" i="8"/>
  <c r="BC5" i="8"/>
  <c r="AW8" i="8"/>
  <c r="BC8" i="8" s="1"/>
  <c r="AX165" i="8"/>
  <c r="AX168" i="8" s="1"/>
  <c r="BD5" i="8"/>
  <c r="AX8" i="8"/>
  <c r="AR8" i="8" s="1"/>
  <c r="BJ197" i="8"/>
  <c r="BI213" i="8"/>
  <c r="BJ229" i="8" s="1"/>
  <c r="AR109" i="8"/>
  <c r="AX188" i="8"/>
  <c r="AX160" i="8"/>
  <c r="AR160" i="8" s="1"/>
  <c r="BD12" i="8"/>
  <c r="BI180" i="8"/>
  <c r="E65" i="8"/>
  <c r="D65" i="8"/>
  <c r="F160" i="8"/>
  <c r="D160" i="8"/>
  <c r="E160" i="8"/>
  <c r="BI229" i="8"/>
  <c r="BH229" i="8"/>
  <c r="CE147" i="8"/>
  <c r="CC101" i="8"/>
  <c r="CD101" i="8"/>
  <c r="CE101" i="8"/>
  <c r="BH197" i="8"/>
  <c r="BI197" i="8"/>
  <c r="CD136" i="8"/>
  <c r="CC147" i="8"/>
  <c r="CE87" i="8"/>
  <c r="CD87" i="8"/>
  <c r="CD147" i="8"/>
  <c r="CC144" i="8"/>
  <c r="CD144" i="8"/>
  <c r="CC83" i="8"/>
  <c r="CC114" i="8"/>
  <c r="CD83" i="8"/>
  <c r="CD114" i="8"/>
  <c r="CD128" i="8"/>
  <c r="CC128" i="8"/>
  <c r="CD151" i="8"/>
  <c r="CC151" i="8"/>
  <c r="AV181" i="8"/>
  <c r="AV213" i="8" s="1"/>
  <c r="AW181" i="8"/>
  <c r="AL166" i="8"/>
  <c r="BI165" i="8"/>
  <c r="AW166" i="8"/>
  <c r="BH166" i="8"/>
  <c r="AL167" i="8"/>
  <c r="CD135" i="8"/>
  <c r="AW165" i="8"/>
  <c r="BI167" i="8"/>
  <c r="AW167" i="8"/>
  <c r="BI166" i="8"/>
  <c r="AK166" i="8"/>
  <c r="CE119" i="8"/>
  <c r="CE152" i="8"/>
  <c r="CE84" i="8"/>
  <c r="CC91" i="8"/>
  <c r="CE96" i="8"/>
  <c r="CC103" i="8"/>
  <c r="CE118" i="8"/>
  <c r="CE151" i="8"/>
  <c r="CC150" i="8"/>
  <c r="CE97" i="8"/>
  <c r="CE135" i="8"/>
  <c r="CE83" i="8"/>
  <c r="CC90" i="8"/>
  <c r="CC102" i="8"/>
  <c r="CD103" i="8"/>
  <c r="CE104" i="8"/>
  <c r="CE117" i="8"/>
  <c r="CE129" i="8"/>
  <c r="CE141" i="8"/>
  <c r="CE82" i="8"/>
  <c r="CE91" i="8"/>
  <c r="CE103" i="8"/>
  <c r="CE116" i="8"/>
  <c r="CE128" i="8"/>
  <c r="CE140" i="8"/>
  <c r="CE80" i="8"/>
  <c r="CC87" i="8"/>
  <c r="CE89" i="8"/>
  <c r="CE100" i="8"/>
  <c r="CE114" i="8"/>
  <c r="CE126" i="8"/>
  <c r="CE138" i="8"/>
  <c r="CE146" i="8"/>
  <c r="CE110" i="8"/>
  <c r="CE115" i="8"/>
  <c r="CE127" i="8"/>
  <c r="CE112" i="8"/>
  <c r="CE113" i="8"/>
  <c r="CE137" i="8"/>
  <c r="CE86" i="8"/>
  <c r="CE81" i="8"/>
  <c r="CE98" i="8"/>
  <c r="CC105" i="8"/>
  <c r="CE111" i="8"/>
  <c r="CE120" i="8"/>
  <c r="CE136" i="8"/>
  <c r="CE144" i="8"/>
  <c r="CE153" i="8"/>
  <c r="AW190" i="8"/>
  <c r="BC95" i="8"/>
  <c r="BD95" i="8"/>
  <c r="BC125" i="8"/>
  <c r="BH186" i="8"/>
  <c r="BH218" i="8" s="1"/>
  <c r="AW188" i="8"/>
  <c r="AW191" i="8"/>
  <c r="BD125" i="8"/>
  <c r="AW186" i="8"/>
  <c r="AW183" i="8"/>
  <c r="AW185" i="8"/>
  <c r="AW184" i="8"/>
  <c r="AW216" i="8" l="1"/>
  <c r="AX199" i="8"/>
  <c r="AW215" i="8"/>
  <c r="AX231" i="8" s="1"/>
  <c r="AW218" i="8"/>
  <c r="AX234" i="8" s="1"/>
  <c r="AX202" i="8"/>
  <c r="AX206" i="8"/>
  <c r="AW222" i="8"/>
  <c r="AX238" i="8" s="1"/>
  <c r="AX180" i="8"/>
  <c r="BD8" i="8"/>
  <c r="AX201" i="8"/>
  <c r="AW217" i="8"/>
  <c r="AX233" i="8" s="1"/>
  <c r="AX207" i="8"/>
  <c r="AW223" i="8"/>
  <c r="AX239" i="8" s="1"/>
  <c r="AW213" i="8"/>
  <c r="AX229" i="8" s="1"/>
  <c r="AX197" i="8"/>
  <c r="AY204" i="8"/>
  <c r="AX220" i="8"/>
  <c r="AY236" i="8" s="1"/>
  <c r="AX204" i="8"/>
  <c r="AW220" i="8"/>
  <c r="BJ196" i="8"/>
  <c r="AW180" i="8"/>
  <c r="BI188" i="8"/>
  <c r="BC109" i="8"/>
  <c r="BI186" i="8"/>
  <c r="BC85" i="8"/>
  <c r="BI190" i="8"/>
  <c r="BC134" i="8"/>
  <c r="BI183" i="8"/>
  <c r="BC49" i="8"/>
  <c r="BH183" i="8"/>
  <c r="BD85" i="8"/>
  <c r="BD77" i="8"/>
  <c r="BI184" i="8"/>
  <c r="BC64" i="8"/>
  <c r="BD49" i="8"/>
  <c r="BI185" i="8"/>
  <c r="BC77" i="8"/>
  <c r="BD134" i="8"/>
  <c r="BD109" i="8"/>
  <c r="BI191" i="8"/>
  <c r="BC159" i="8"/>
  <c r="BH190" i="8"/>
  <c r="BH206" i="8" s="1"/>
  <c r="L134" i="8"/>
  <c r="CD134" i="8" s="1"/>
  <c r="L95" i="8"/>
  <c r="CD95" i="8" s="1"/>
  <c r="K134" i="8"/>
  <c r="CC134" i="8" s="1"/>
  <c r="K125" i="8"/>
  <c r="CC125" i="8" s="1"/>
  <c r="M159" i="8"/>
  <c r="CE159" i="8" s="1"/>
  <c r="L125" i="8"/>
  <c r="CD125" i="8" s="1"/>
  <c r="M125" i="8"/>
  <c r="CE125" i="8" s="1"/>
  <c r="K85" i="8"/>
  <c r="CC85" i="8" s="1"/>
  <c r="M95" i="8"/>
  <c r="CE95" i="8" s="1"/>
  <c r="K95" i="8"/>
  <c r="CC95" i="8" s="1"/>
  <c r="L109" i="8"/>
  <c r="CD109" i="8" s="1"/>
  <c r="L85" i="8"/>
  <c r="CD85" i="8" s="1"/>
  <c r="K109" i="8"/>
  <c r="CC109" i="8" s="1"/>
  <c r="L159" i="8"/>
  <c r="CD159" i="8" s="1"/>
  <c r="M134" i="8"/>
  <c r="CE134" i="8" s="1"/>
  <c r="M109" i="8"/>
  <c r="CE109" i="8" s="1"/>
  <c r="M85" i="8"/>
  <c r="CE85" i="8" s="1"/>
  <c r="AV229" i="8"/>
  <c r="AW229" i="8"/>
  <c r="BH234" i="8"/>
  <c r="BI234" i="8"/>
  <c r="AW189" i="8"/>
  <c r="BI189" i="8"/>
  <c r="AW197" i="8"/>
  <c r="AV197" i="8"/>
  <c r="BH202" i="8"/>
  <c r="BI202" i="8"/>
  <c r="AV189" i="8"/>
  <c r="AV221" i="8" s="1"/>
  <c r="AW187" i="8"/>
  <c r="BI187" i="8"/>
  <c r="BI168" i="8"/>
  <c r="F161" i="8"/>
  <c r="AW168" i="8"/>
  <c r="E161" i="8"/>
  <c r="AW65" i="8"/>
  <c r="AX236" i="8" l="1"/>
  <c r="BJ203" i="8"/>
  <c r="BI219" i="8"/>
  <c r="BJ235" i="8" s="1"/>
  <c r="AX205" i="8"/>
  <c r="AW221" i="8"/>
  <c r="AX237" i="8" s="1"/>
  <c r="BJ200" i="8"/>
  <c r="BI216" i="8"/>
  <c r="BJ232" i="8" s="1"/>
  <c r="BI223" i="8"/>
  <c r="BI218" i="8"/>
  <c r="BJ234" i="8" s="1"/>
  <c r="BJ202" i="8"/>
  <c r="AY196" i="8"/>
  <c r="AX212" i="8"/>
  <c r="AY228" i="8" s="1"/>
  <c r="BJ201" i="8"/>
  <c r="BI217" i="8"/>
  <c r="BJ233" i="8" s="1"/>
  <c r="BJ199" i="8"/>
  <c r="BI215" i="8"/>
  <c r="BJ231" i="8" s="1"/>
  <c r="BJ205" i="8"/>
  <c r="BI221" i="8"/>
  <c r="BJ237" i="8" s="1"/>
  <c r="BJ206" i="8"/>
  <c r="BI222" i="8"/>
  <c r="BJ238" i="8" s="1"/>
  <c r="AX203" i="8"/>
  <c r="AW219" i="8"/>
  <c r="AX235" i="8" s="1"/>
  <c r="BI220" i="8"/>
  <c r="BJ236" i="8" s="1"/>
  <c r="BJ204" i="8"/>
  <c r="AX196" i="8"/>
  <c r="BH222" i="8"/>
  <c r="BH238" i="8" s="1"/>
  <c r="BH215" i="8"/>
  <c r="BH231" i="8" s="1"/>
  <c r="BH199" i="8"/>
  <c r="BI206" i="8"/>
  <c r="BI199" i="8"/>
  <c r="AW161" i="8"/>
  <c r="AV237" i="8"/>
  <c r="AW205" i="8"/>
  <c r="AV205" i="8"/>
  <c r="AW192" i="8"/>
  <c r="BI192" i="8"/>
  <c r="AW237" i="8" l="1"/>
  <c r="BI238" i="8"/>
  <c r="BI231" i="8"/>
  <c r="AW245" i="8"/>
  <c r="BI245" i="8"/>
  <c r="N149" i="9"/>
  <c r="N148" i="9"/>
  <c r="N145" i="9"/>
  <c r="N143" i="9"/>
  <c r="N142" i="9"/>
  <c r="N159" i="9" l="1"/>
  <c r="BJ143" i="8"/>
  <c r="BD143" i="8" s="1"/>
  <c r="BJ142" i="8"/>
  <c r="BJ145" i="8"/>
  <c r="BD145" i="8" s="1"/>
  <c r="BJ148" i="8"/>
  <c r="BD148" i="8" s="1"/>
  <c r="BJ149" i="8"/>
  <c r="BD149" i="8" s="1"/>
  <c r="M142" i="9"/>
  <c r="M143" i="9"/>
  <c r="M149" i="9"/>
  <c r="M145" i="9"/>
  <c r="M148" i="9"/>
  <c r="BJ174" i="8" l="1"/>
  <c r="BJ176" i="8" s="1"/>
  <c r="BD142" i="8"/>
  <c r="BJ159" i="8"/>
  <c r="BJ166" i="8"/>
  <c r="BJ168" i="8" s="1"/>
  <c r="I15" i="3"/>
  <c r="K15" i="3"/>
  <c r="M15" i="3"/>
  <c r="I16" i="3"/>
  <c r="K16" i="3"/>
  <c r="M16" i="3"/>
  <c r="I17" i="3"/>
  <c r="K17" i="3"/>
  <c r="M17" i="3"/>
  <c r="I18" i="3"/>
  <c r="K18" i="3"/>
  <c r="M18" i="3"/>
  <c r="I19" i="3"/>
  <c r="K19" i="3"/>
  <c r="M19" i="3"/>
  <c r="I20" i="3"/>
  <c r="K20" i="3"/>
  <c r="M20" i="3"/>
  <c r="I21" i="3"/>
  <c r="K21" i="3"/>
  <c r="M21" i="3"/>
  <c r="I22" i="3"/>
  <c r="K22" i="3"/>
  <c r="M22" i="3"/>
  <c r="I23" i="3"/>
  <c r="K23" i="3"/>
  <c r="M23" i="3"/>
  <c r="I24" i="3"/>
  <c r="K24" i="3"/>
  <c r="M24" i="3"/>
  <c r="I25" i="3"/>
  <c r="K25" i="3"/>
  <c r="M25" i="3"/>
  <c r="I26" i="3"/>
  <c r="K26" i="3"/>
  <c r="M26" i="3"/>
  <c r="I27" i="3"/>
  <c r="K27" i="3"/>
  <c r="M27" i="3"/>
  <c r="H15" i="9"/>
  <c r="Z15" i="8" s="1"/>
  <c r="H23" i="9"/>
  <c r="Z23" i="8" s="1"/>
  <c r="H26" i="9"/>
  <c r="Z26" i="8" s="1"/>
  <c r="H24" i="9"/>
  <c r="Z24" i="8" s="1"/>
  <c r="H22" i="9"/>
  <c r="Z22" i="8" s="1"/>
  <c r="H18" i="9"/>
  <c r="Z18" i="8" s="1"/>
  <c r="H16" i="9"/>
  <c r="Z16" i="8" s="1"/>
  <c r="H14" i="9"/>
  <c r="Z14" i="8" s="1"/>
  <c r="Z181" i="8"/>
  <c r="Y181" i="8"/>
  <c r="Y213" i="8" s="1"/>
  <c r="X181" i="8"/>
  <c r="X213" i="8" s="1"/>
  <c r="AA197" i="8" l="1"/>
  <c r="Z213" i="8"/>
  <c r="AA229" i="8" s="1"/>
  <c r="Z167" i="8"/>
  <c r="BJ191" i="8"/>
  <c r="BJ160" i="8"/>
  <c r="BD159" i="8"/>
  <c r="AJ181" i="8"/>
  <c r="AD12" i="8"/>
  <c r="AK181" i="8"/>
  <c r="AE12" i="8"/>
  <c r="AL181" i="8"/>
  <c r="AF12" i="8"/>
  <c r="Y197" i="8"/>
  <c r="Z197" i="8"/>
  <c r="Z229" i="8"/>
  <c r="R181" i="8"/>
  <c r="R213" i="8" s="1"/>
  <c r="S181" i="8"/>
  <c r="S213" i="8" s="1"/>
  <c r="H20" i="9"/>
  <c r="Z20" i="8" s="1"/>
  <c r="H28" i="9"/>
  <c r="Z28" i="8" s="1"/>
  <c r="Z175" i="8" s="1"/>
  <c r="H19" i="9"/>
  <c r="Z19" i="8" s="1"/>
  <c r="H27" i="9"/>
  <c r="Z27" i="8" s="1"/>
  <c r="H13" i="9"/>
  <c r="H17" i="9"/>
  <c r="Z17" i="8" s="1"/>
  <c r="H21" i="9"/>
  <c r="Z21" i="8" s="1"/>
  <c r="H25" i="9"/>
  <c r="Z25" i="8" s="1"/>
  <c r="Z13" i="8" l="1"/>
  <c r="H34" i="9"/>
  <c r="H65" i="9" s="1"/>
  <c r="Z173" i="8"/>
  <c r="Z176" i="8" s="1"/>
  <c r="Z34" i="8"/>
  <c r="Z65" i="8" s="1"/>
  <c r="Z165" i="8"/>
  <c r="BK207" i="8"/>
  <c r="BJ223" i="8"/>
  <c r="BJ192" i="8"/>
  <c r="BJ207" i="8"/>
  <c r="AL213" i="8"/>
  <c r="AM229" i="8" s="1"/>
  <c r="AM197" i="8"/>
  <c r="AL197" i="8"/>
  <c r="AK213" i="8"/>
  <c r="AL229" i="8" s="1"/>
  <c r="AJ213" i="8"/>
  <c r="AJ229" i="8" s="1"/>
  <c r="AJ197" i="8"/>
  <c r="AK197" i="8"/>
  <c r="S229" i="8"/>
  <c r="R229" i="8"/>
  <c r="T197" i="8"/>
  <c r="T229" i="8"/>
  <c r="Y229" i="8"/>
  <c r="X229" i="8"/>
  <c r="S197" i="8"/>
  <c r="R197" i="8"/>
  <c r="T181" i="8"/>
  <c r="AK229" i="8" l="1"/>
  <c r="T213" i="8"/>
  <c r="U229" i="8" s="1"/>
  <c r="U197" i="8"/>
  <c r="BJ245" i="8"/>
  <c r="BK208" i="8"/>
  <c r="BK246" i="8" s="1"/>
  <c r="BJ208" i="8"/>
  <c r="BJ246" i="8" s="1"/>
  <c r="BK239" i="8"/>
  <c r="BJ239" i="8"/>
  <c r="Z182" i="8"/>
  <c r="G58" i="6"/>
  <c r="H58" i="6"/>
  <c r="I58" i="6"/>
  <c r="J58" i="6" s="1"/>
  <c r="L58" i="6"/>
  <c r="M58" i="6"/>
  <c r="N58" i="6"/>
  <c r="P58" i="6"/>
  <c r="U58" i="6"/>
  <c r="V58" i="6"/>
  <c r="W58" i="6"/>
  <c r="X58" i="6"/>
  <c r="G59" i="6"/>
  <c r="H59" i="6"/>
  <c r="I59" i="6"/>
  <c r="J59" i="6" s="1"/>
  <c r="L59" i="6"/>
  <c r="N59" i="6"/>
  <c r="P59" i="6"/>
  <c r="U59" i="6"/>
  <c r="V59" i="6"/>
  <c r="W59" i="6"/>
  <c r="X59" i="6"/>
  <c r="O58" i="6"/>
  <c r="O59" i="6"/>
  <c r="K59" i="6"/>
  <c r="V85" i="3"/>
  <c r="V160" i="3" s="1"/>
  <c r="V161" i="3" s="1"/>
  <c r="U85" i="3"/>
  <c r="U160" i="3" s="1"/>
  <c r="U161" i="3" s="1"/>
  <c r="T85" i="3"/>
  <c r="T160" i="3" s="1"/>
  <c r="T161" i="3" s="1"/>
  <c r="S85" i="3"/>
  <c r="S160" i="3" s="1"/>
  <c r="S161" i="3" s="1"/>
  <c r="R85" i="3"/>
  <c r="R160" i="3" s="1"/>
  <c r="R161" i="3" s="1"/>
  <c r="Q85" i="3"/>
  <c r="Q160" i="3" s="1"/>
  <c r="Q161" i="3" s="1"/>
  <c r="P85" i="3"/>
  <c r="P160" i="3" s="1"/>
  <c r="P161" i="3" s="1"/>
  <c r="O85" i="3"/>
  <c r="O160" i="3" s="1"/>
  <c r="O161" i="3" s="1"/>
  <c r="N85" i="3"/>
  <c r="N160" i="3" s="1"/>
  <c r="N161" i="3" s="1"/>
  <c r="L85" i="3"/>
  <c r="L160" i="3" s="1"/>
  <c r="L161" i="3" s="1"/>
  <c r="J85" i="3"/>
  <c r="H85" i="3"/>
  <c r="G85" i="3"/>
  <c r="M84" i="3"/>
  <c r="K84" i="3"/>
  <c r="I84" i="3"/>
  <c r="M83" i="3"/>
  <c r="K83" i="3"/>
  <c r="I83" i="3"/>
  <c r="M82" i="3"/>
  <c r="K82" i="3"/>
  <c r="I82" i="3"/>
  <c r="M81" i="3"/>
  <c r="K81" i="3"/>
  <c r="I81" i="3"/>
  <c r="M80" i="3"/>
  <c r="K80" i="3"/>
  <c r="I80" i="3"/>
  <c r="M79" i="3"/>
  <c r="K79" i="3"/>
  <c r="I79" i="3"/>
  <c r="V85" i="9"/>
  <c r="V160" i="9" s="1"/>
  <c r="V161" i="9" s="1"/>
  <c r="U85" i="9"/>
  <c r="U160" i="9" s="1"/>
  <c r="U161" i="9" s="1"/>
  <c r="T85" i="9"/>
  <c r="T160" i="9" s="1"/>
  <c r="T161" i="9" s="1"/>
  <c r="S85" i="9"/>
  <c r="S160" i="9" s="1"/>
  <c r="S161" i="9" s="1"/>
  <c r="R85" i="9"/>
  <c r="R160" i="9" s="1"/>
  <c r="R161" i="9" s="1"/>
  <c r="Q85" i="9"/>
  <c r="Q160" i="9" s="1"/>
  <c r="Q161" i="9" s="1"/>
  <c r="P85" i="9"/>
  <c r="P160" i="9" s="1"/>
  <c r="P161" i="9" s="1"/>
  <c r="O85" i="9"/>
  <c r="O160" i="9" s="1"/>
  <c r="O161" i="9" s="1"/>
  <c r="N85" i="9"/>
  <c r="N160" i="9" s="1"/>
  <c r="N161" i="9" s="1"/>
  <c r="L85" i="9"/>
  <c r="L160" i="9" s="1"/>
  <c r="L161" i="9" s="1"/>
  <c r="J85" i="9"/>
  <c r="J160" i="9" s="1"/>
  <c r="J161" i="9" s="1"/>
  <c r="H85" i="9"/>
  <c r="H160" i="9" s="1"/>
  <c r="H161" i="9" s="1"/>
  <c r="G85" i="9"/>
  <c r="AV186" i="8"/>
  <c r="AV218" i="8" s="1"/>
  <c r="X60" i="6"/>
  <c r="W60" i="6"/>
  <c r="V60" i="6"/>
  <c r="U60" i="6"/>
  <c r="I60" i="6"/>
  <c r="J60" i="6" s="1"/>
  <c r="H60" i="6"/>
  <c r="G60" i="6"/>
  <c r="X57" i="6"/>
  <c r="W57" i="6"/>
  <c r="V57" i="6"/>
  <c r="U57" i="6"/>
  <c r="I57" i="6"/>
  <c r="J57" i="6" s="1"/>
  <c r="H57" i="6"/>
  <c r="G57" i="6"/>
  <c r="X56" i="6"/>
  <c r="W56" i="6"/>
  <c r="V56" i="6"/>
  <c r="U56" i="6"/>
  <c r="I56" i="6"/>
  <c r="J56" i="6" s="1"/>
  <c r="H56" i="6"/>
  <c r="G56" i="6"/>
  <c r="X55" i="6"/>
  <c r="W55" i="6"/>
  <c r="V55" i="6"/>
  <c r="U55" i="6"/>
  <c r="I55" i="6"/>
  <c r="J55" i="6" s="1"/>
  <c r="H55" i="6"/>
  <c r="G55" i="6"/>
  <c r="X54" i="6"/>
  <c r="W54" i="6"/>
  <c r="V54" i="6"/>
  <c r="U54" i="6"/>
  <c r="N54" i="6"/>
  <c r="L54" i="6"/>
  <c r="I54" i="6"/>
  <c r="H54" i="6"/>
  <c r="G54" i="6"/>
  <c r="D54" i="6"/>
  <c r="V85" i="1"/>
  <c r="V160" i="1" s="1"/>
  <c r="V161" i="1" s="1"/>
  <c r="U85" i="1"/>
  <c r="U160" i="1" s="1"/>
  <c r="U161" i="1" s="1"/>
  <c r="T85" i="1"/>
  <c r="T160" i="1" s="1"/>
  <c r="T161" i="1" s="1"/>
  <c r="S85" i="1"/>
  <c r="S160" i="1" s="1"/>
  <c r="S161" i="1" s="1"/>
  <c r="H85" i="1"/>
  <c r="G85" i="1"/>
  <c r="L60" i="6"/>
  <c r="M57" i="6"/>
  <c r="L57" i="6"/>
  <c r="N55" i="6"/>
  <c r="L55" i="6"/>
  <c r="M54" i="6"/>
  <c r="AB85" i="3" l="1"/>
  <c r="G160" i="3"/>
  <c r="AB85" i="9"/>
  <c r="G160" i="9"/>
  <c r="AB85" i="1"/>
  <c r="AA198" i="8"/>
  <c r="Z214" i="8"/>
  <c r="AA230" i="8" s="1"/>
  <c r="AW234" i="8"/>
  <c r="AV234" i="8"/>
  <c r="AW202" i="8"/>
  <c r="AV202" i="8"/>
  <c r="I85" i="3"/>
  <c r="K85" i="9"/>
  <c r="M85" i="9"/>
  <c r="K85" i="3"/>
  <c r="I85" i="9"/>
  <c r="M85" i="3"/>
  <c r="W61" i="6"/>
  <c r="K58" i="6"/>
  <c r="M59" i="6"/>
  <c r="M56" i="6"/>
  <c r="N57" i="6"/>
  <c r="G61" i="6"/>
  <c r="H61" i="6" s="1"/>
  <c r="Y85" i="8"/>
  <c r="Z85" i="8"/>
  <c r="I61" i="6"/>
  <c r="J61" i="6" s="1"/>
  <c r="X85" i="8"/>
  <c r="U61" i="6"/>
  <c r="P55" i="6"/>
  <c r="K55" i="6"/>
  <c r="L56" i="6"/>
  <c r="P56" i="6"/>
  <c r="O56" i="6"/>
  <c r="P60" i="6"/>
  <c r="O60" i="6"/>
  <c r="J85" i="1"/>
  <c r="O55" i="6"/>
  <c r="K57" i="6"/>
  <c r="M60" i="6"/>
  <c r="J54" i="6"/>
  <c r="N56" i="6"/>
  <c r="K54" i="6"/>
  <c r="M55" i="6"/>
  <c r="K60" i="6"/>
  <c r="N60" i="6"/>
  <c r="R85" i="8"/>
  <c r="AP85" i="8" s="1"/>
  <c r="L85" i="1"/>
  <c r="K56" i="6"/>
  <c r="M19" i="6"/>
  <c r="K19" i="6"/>
  <c r="I19" i="6"/>
  <c r="J19" i="6" s="1"/>
  <c r="H19" i="6"/>
  <c r="G19" i="6"/>
  <c r="M16" i="6"/>
  <c r="K16" i="6"/>
  <c r="I16" i="6"/>
  <c r="J16" i="6" s="1"/>
  <c r="H16" i="6"/>
  <c r="G16" i="6"/>
  <c r="M15" i="6"/>
  <c r="K15" i="6"/>
  <c r="I15" i="6"/>
  <c r="J15" i="6" s="1"/>
  <c r="H15" i="6"/>
  <c r="G15" i="6"/>
  <c r="M14" i="6"/>
  <c r="K14" i="6"/>
  <c r="I14" i="6"/>
  <c r="J14" i="6" s="1"/>
  <c r="H14" i="6"/>
  <c r="G14" i="6"/>
  <c r="M13" i="6"/>
  <c r="K13" i="6"/>
  <c r="I13" i="6"/>
  <c r="J13" i="6" s="1"/>
  <c r="H13" i="6"/>
  <c r="G13" i="6"/>
  <c r="M12" i="6"/>
  <c r="K12" i="6"/>
  <c r="I12" i="6"/>
  <c r="J12" i="6" s="1"/>
  <c r="H12" i="6"/>
  <c r="G12" i="6"/>
  <c r="M11" i="6"/>
  <c r="K11" i="6"/>
  <c r="I11" i="6"/>
  <c r="J11" i="6" s="1"/>
  <c r="H11" i="6"/>
  <c r="G11" i="6"/>
  <c r="M10" i="6"/>
  <c r="K10" i="6"/>
  <c r="I10" i="6"/>
  <c r="J10" i="6" s="1"/>
  <c r="H10" i="6"/>
  <c r="G10" i="6"/>
  <c r="M9" i="6"/>
  <c r="K9" i="6"/>
  <c r="I9" i="6"/>
  <c r="J9" i="6" s="1"/>
  <c r="H9" i="6"/>
  <c r="G9" i="6"/>
  <c r="M8" i="6"/>
  <c r="K8" i="6"/>
  <c r="I8" i="6"/>
  <c r="J8" i="6" s="1"/>
  <c r="H8" i="6"/>
  <c r="G8" i="6"/>
  <c r="M7" i="6"/>
  <c r="K7" i="6"/>
  <c r="J7" i="6"/>
  <c r="I7" i="6"/>
  <c r="H7" i="6"/>
  <c r="G7" i="6"/>
  <c r="L15" i="6"/>
  <c r="N15" i="6"/>
  <c r="L16" i="6"/>
  <c r="N16" i="6"/>
  <c r="AB34" i="1"/>
  <c r="AB34" i="9"/>
  <c r="AB34" i="3"/>
  <c r="M28" i="3"/>
  <c r="K28" i="3"/>
  <c r="N19" i="6" s="1"/>
  <c r="I28" i="3"/>
  <c r="L19" i="6" s="1"/>
  <c r="N14" i="6"/>
  <c r="L14" i="6"/>
  <c r="N13" i="6"/>
  <c r="L13" i="6"/>
  <c r="N12" i="6"/>
  <c r="L12" i="6"/>
  <c r="N11" i="6"/>
  <c r="L11" i="6"/>
  <c r="N10" i="6"/>
  <c r="L10" i="6"/>
  <c r="N9" i="6"/>
  <c r="L9" i="6"/>
  <c r="M14" i="3"/>
  <c r="K14" i="3"/>
  <c r="N8" i="6" s="1"/>
  <c r="I14" i="3"/>
  <c r="L8" i="6" s="1"/>
  <c r="M13" i="3"/>
  <c r="K13" i="3"/>
  <c r="N7" i="6" s="1"/>
  <c r="I13" i="3"/>
  <c r="L7" i="6" s="1"/>
  <c r="M151" i="3"/>
  <c r="M152" i="3"/>
  <c r="M141" i="3"/>
  <c r="K151" i="1"/>
  <c r="K152" i="1"/>
  <c r="K151" i="3"/>
  <c r="K152" i="3"/>
  <c r="I141" i="3"/>
  <c r="I148" i="3"/>
  <c r="I149" i="3"/>
  <c r="I151" i="3"/>
  <c r="I152" i="3"/>
  <c r="M128" i="3"/>
  <c r="M129" i="3"/>
  <c r="K128" i="3"/>
  <c r="K129" i="3"/>
  <c r="I128" i="3"/>
  <c r="I129" i="3"/>
  <c r="M116" i="3"/>
  <c r="M117" i="3"/>
  <c r="M118" i="3"/>
  <c r="M119" i="3"/>
  <c r="M120" i="3"/>
  <c r="K116" i="3"/>
  <c r="K117" i="3"/>
  <c r="K118" i="3"/>
  <c r="K119" i="3"/>
  <c r="K120" i="3"/>
  <c r="I116" i="3"/>
  <c r="I117" i="3"/>
  <c r="I118" i="3"/>
  <c r="I119" i="3"/>
  <c r="I120" i="3"/>
  <c r="M103" i="3"/>
  <c r="M104" i="3"/>
  <c r="K103" i="3"/>
  <c r="K104" i="3"/>
  <c r="I103" i="3"/>
  <c r="I104" i="3"/>
  <c r="M90" i="3"/>
  <c r="M91" i="3"/>
  <c r="K90" i="3"/>
  <c r="K91" i="3"/>
  <c r="I90" i="3"/>
  <c r="I91" i="3"/>
  <c r="M71" i="3"/>
  <c r="M72" i="3"/>
  <c r="K71" i="3"/>
  <c r="K72" i="3"/>
  <c r="I71" i="3"/>
  <c r="I72" i="3"/>
  <c r="M57" i="3"/>
  <c r="M59" i="3"/>
  <c r="K57" i="3"/>
  <c r="K59" i="3"/>
  <c r="I57" i="3"/>
  <c r="I59" i="3"/>
  <c r="M43" i="3"/>
  <c r="M44" i="3"/>
  <c r="M38" i="3"/>
  <c r="I38" i="3"/>
  <c r="K38" i="3"/>
  <c r="K43" i="3"/>
  <c r="K44" i="3"/>
  <c r="I43" i="3"/>
  <c r="I44" i="3"/>
  <c r="M9" i="1"/>
  <c r="K9" i="1"/>
  <c r="M9" i="3"/>
  <c r="K9" i="3"/>
  <c r="I9" i="3"/>
  <c r="O6" i="6"/>
  <c r="J6" i="6"/>
  <c r="I6" i="6"/>
  <c r="H6" i="6"/>
  <c r="G6" i="6"/>
  <c r="D6" i="6"/>
  <c r="AL186" i="8" l="1"/>
  <c r="AF85" i="8"/>
  <c r="AK186" i="8"/>
  <c r="AE85" i="8"/>
  <c r="Y186" i="8"/>
  <c r="Y218" i="8" s="1"/>
  <c r="X186" i="8"/>
  <c r="Z186" i="8"/>
  <c r="Z160" i="8"/>
  <c r="Z161" i="8" s="1"/>
  <c r="R186" i="8"/>
  <c r="R218" i="8" s="1"/>
  <c r="S186" i="8"/>
  <c r="S218" i="8" s="1"/>
  <c r="T186" i="8"/>
  <c r="I34" i="9"/>
  <c r="K85" i="1"/>
  <c r="I85" i="1"/>
  <c r="K34" i="9"/>
  <c r="M34" i="9"/>
  <c r="K34" i="3"/>
  <c r="K61" i="6"/>
  <c r="L61" i="6" s="1"/>
  <c r="P57" i="6"/>
  <c r="O57" i="6"/>
  <c r="M61" i="6"/>
  <c r="N61" i="6" s="1"/>
  <c r="N85" i="1"/>
  <c r="O54" i="6"/>
  <c r="O61" i="6" s="1"/>
  <c r="P61" i="6" s="1"/>
  <c r="P54" i="6"/>
  <c r="M20" i="6"/>
  <c r="N20" i="6" s="1"/>
  <c r="G20" i="6"/>
  <c r="H20" i="6" s="1"/>
  <c r="K20" i="6"/>
  <c r="L20" i="6" s="1"/>
  <c r="I20" i="6"/>
  <c r="J20" i="6" s="1"/>
  <c r="M34" i="3"/>
  <c r="I34" i="3"/>
  <c r="K34" i="1"/>
  <c r="I9" i="1"/>
  <c r="AK5" i="8"/>
  <c r="AK173" i="8" s="1"/>
  <c r="Z180" i="8"/>
  <c r="Y5" i="8"/>
  <c r="Y173" i="8" s="1"/>
  <c r="X5" i="8"/>
  <c r="X173" i="8" s="1"/>
  <c r="AB134" i="9"/>
  <c r="AB125" i="9"/>
  <c r="AB109" i="9"/>
  <c r="AB77" i="9"/>
  <c r="D65" i="9"/>
  <c r="AB49" i="9"/>
  <c r="L77" i="8"/>
  <c r="S5" i="8"/>
  <c r="AV185" i="8"/>
  <c r="AV217" i="8" s="1"/>
  <c r="CD77" i="8" l="1"/>
  <c r="L160" i="8"/>
  <c r="S173" i="8"/>
  <c r="S176" i="8" s="1"/>
  <c r="AW177" i="8" s="1"/>
  <c r="AL202" i="8"/>
  <c r="AK218" i="8"/>
  <c r="AM202" i="8"/>
  <c r="AL218" i="8"/>
  <c r="AM234" i="8" s="1"/>
  <c r="AA202" i="8"/>
  <c r="Z218" i="8"/>
  <c r="AA234" i="8" s="1"/>
  <c r="AE5" i="8"/>
  <c r="AQ5" i="8"/>
  <c r="AA196" i="8"/>
  <c r="AK8" i="8"/>
  <c r="U202" i="8"/>
  <c r="T218" i="8"/>
  <c r="U234" i="8" s="1"/>
  <c r="Y202" i="8"/>
  <c r="X218" i="8"/>
  <c r="Y234" i="8" s="1"/>
  <c r="AJ186" i="8"/>
  <c r="AJ218" i="8" s="1"/>
  <c r="AK234" i="8" s="1"/>
  <c r="AD85" i="8"/>
  <c r="AL180" i="8"/>
  <c r="AF8" i="8"/>
  <c r="X165" i="8"/>
  <c r="X8" i="8"/>
  <c r="X65" i="8" s="1"/>
  <c r="Z202" i="8"/>
  <c r="S165" i="8"/>
  <c r="S168" i="8" s="1"/>
  <c r="AW169" i="8" s="1"/>
  <c r="S8" i="8"/>
  <c r="Y8" i="8"/>
  <c r="Y65" i="8" s="1"/>
  <c r="Y165" i="8"/>
  <c r="S234" i="8"/>
  <c r="R234" i="8"/>
  <c r="R202" i="8"/>
  <c r="S202" i="8"/>
  <c r="AW201" i="8"/>
  <c r="AV201" i="8"/>
  <c r="T202" i="8"/>
  <c r="L5" i="8"/>
  <c r="AK165" i="8"/>
  <c r="K49" i="9"/>
  <c r="K125" i="9"/>
  <c r="I109" i="9"/>
  <c r="K109" i="9"/>
  <c r="K134" i="9"/>
  <c r="K77" i="9"/>
  <c r="I159" i="9"/>
  <c r="K159" i="9"/>
  <c r="M49" i="9"/>
  <c r="I77" i="9"/>
  <c r="I134" i="9"/>
  <c r="M49" i="8"/>
  <c r="CE49" i="8" s="1"/>
  <c r="CC35" i="8"/>
  <c r="CC50" i="8"/>
  <c r="M5" i="8"/>
  <c r="T212" i="8" s="1"/>
  <c r="U228" i="8" s="1"/>
  <c r="L49" i="8"/>
  <c r="CD49" i="8" s="1"/>
  <c r="M125" i="9"/>
  <c r="M159" i="9"/>
  <c r="M134" i="9"/>
  <c r="I125" i="9"/>
  <c r="M109" i="9"/>
  <c r="M77" i="9"/>
  <c r="M85" i="1"/>
  <c r="AF5" i="8"/>
  <c r="I34" i="1"/>
  <c r="M34" i="1"/>
  <c r="D161" i="9"/>
  <c r="AE125" i="8"/>
  <c r="X190" i="8"/>
  <c r="X222" i="8" s="1"/>
  <c r="AE95" i="8"/>
  <c r="AF125" i="8"/>
  <c r="AF95" i="8"/>
  <c r="X185" i="8"/>
  <c r="X217" i="8" s="1"/>
  <c r="Y185" i="8"/>
  <c r="Y217" i="8" s="1"/>
  <c r="X184" i="8"/>
  <c r="X216" i="8" s="1"/>
  <c r="Z185" i="8"/>
  <c r="Z190" i="8"/>
  <c r="R183" i="8"/>
  <c r="S185" i="8"/>
  <c r="S217" i="8" s="1"/>
  <c r="Z183" i="8"/>
  <c r="Y184" i="8"/>
  <c r="Y216" i="8" s="1"/>
  <c r="S183" i="8"/>
  <c r="S215" i="8" s="1"/>
  <c r="S184" i="8"/>
  <c r="S216" i="8" s="1"/>
  <c r="T185" i="8"/>
  <c r="Z188" i="8"/>
  <c r="X183" i="8"/>
  <c r="X215" i="8" s="1"/>
  <c r="Y183" i="8"/>
  <c r="Y215" i="8" s="1"/>
  <c r="Y190" i="8"/>
  <c r="Y222" i="8" s="1"/>
  <c r="Z191" i="8"/>
  <c r="T190" i="8"/>
  <c r="I49" i="9"/>
  <c r="R188" i="8"/>
  <c r="R220" i="8" s="1"/>
  <c r="R190" i="8"/>
  <c r="R222" i="8" s="1"/>
  <c r="D161" i="8"/>
  <c r="E113" i="6"/>
  <c r="E44" i="6"/>
  <c r="D5" i="6"/>
  <c r="D33" i="6"/>
  <c r="D21" i="6"/>
  <c r="R99" i="6"/>
  <c r="S99" i="6"/>
  <c r="T99" i="6"/>
  <c r="Q99" i="6"/>
  <c r="R93" i="6"/>
  <c r="S93" i="6"/>
  <c r="T93" i="6"/>
  <c r="Q93" i="6"/>
  <c r="N24" i="6"/>
  <c r="L24" i="6"/>
  <c r="AB77" i="3"/>
  <c r="G94" i="6"/>
  <c r="G99" i="6" s="1"/>
  <c r="H99" i="6" s="1"/>
  <c r="M127" i="3"/>
  <c r="M130" i="3"/>
  <c r="K127" i="3"/>
  <c r="K130" i="3"/>
  <c r="I127" i="3"/>
  <c r="I130" i="3"/>
  <c r="M114" i="3"/>
  <c r="M115" i="3"/>
  <c r="M121" i="3"/>
  <c r="K114" i="3"/>
  <c r="K115" i="3"/>
  <c r="K121" i="3"/>
  <c r="I114" i="3"/>
  <c r="I115" i="3"/>
  <c r="I121" i="3"/>
  <c r="M113" i="3"/>
  <c r="K113" i="3"/>
  <c r="I113" i="3"/>
  <c r="AB134" i="3"/>
  <c r="AB134" i="1"/>
  <c r="AB125" i="3"/>
  <c r="AB125" i="1"/>
  <c r="Z212" i="8" l="1"/>
  <c r="AA228" i="8" s="1"/>
  <c r="AE8" i="8"/>
  <c r="Z234" i="8"/>
  <c r="AJ202" i="8"/>
  <c r="U201" i="8"/>
  <c r="T217" i="8"/>
  <c r="U233" i="8" s="1"/>
  <c r="AA201" i="8"/>
  <c r="Z217" i="8"/>
  <c r="AA233" i="8" s="1"/>
  <c r="S65" i="8"/>
  <c r="AQ8" i="8"/>
  <c r="AK180" i="8"/>
  <c r="AA207" i="8"/>
  <c r="Z223" i="8"/>
  <c r="AA239" i="8" s="1"/>
  <c r="AL234" i="8"/>
  <c r="AA204" i="8"/>
  <c r="Z220" i="8"/>
  <c r="AA236" i="8" s="1"/>
  <c r="AA206" i="8"/>
  <c r="Z222" i="8"/>
  <c r="AA238" i="8" s="1"/>
  <c r="AM196" i="8"/>
  <c r="AL212" i="8"/>
  <c r="AM228" i="8" s="1"/>
  <c r="BI212" i="8"/>
  <c r="BJ228" i="8" s="1"/>
  <c r="AW212" i="8"/>
  <c r="AX228" i="8" s="1"/>
  <c r="U206" i="8"/>
  <c r="T222" i="8"/>
  <c r="U238" i="8" s="1"/>
  <c r="Z215" i="8"/>
  <c r="AA231" i="8" s="1"/>
  <c r="AA199" i="8"/>
  <c r="T234" i="8"/>
  <c r="R215" i="8"/>
  <c r="R231" i="8" s="1"/>
  <c r="S199" i="8"/>
  <c r="AJ234" i="8"/>
  <c r="AK202" i="8"/>
  <c r="X234" i="8"/>
  <c r="AJ185" i="8"/>
  <c r="AJ217" i="8" s="1"/>
  <c r="AD77" i="8"/>
  <c r="AL190" i="8"/>
  <c r="AF134" i="8"/>
  <c r="AL185" i="8"/>
  <c r="AF77" i="8"/>
  <c r="AK185" i="8"/>
  <c r="AE77" i="8"/>
  <c r="AK190" i="8"/>
  <c r="AE134" i="8"/>
  <c r="AK184" i="8"/>
  <c r="AE64" i="8"/>
  <c r="AL191" i="8"/>
  <c r="AF159" i="8"/>
  <c r="AL188" i="8"/>
  <c r="AF109" i="8"/>
  <c r="AL183" i="8"/>
  <c r="AF49" i="8"/>
  <c r="AK191" i="8"/>
  <c r="AE159" i="8"/>
  <c r="AK183" i="8"/>
  <c r="AE49" i="8"/>
  <c r="Y180" i="8"/>
  <c r="X180" i="8"/>
  <c r="K77" i="8"/>
  <c r="CC66" i="8"/>
  <c r="S180" i="8"/>
  <c r="S212" i="8" s="1"/>
  <c r="T228" i="8" s="1"/>
  <c r="CE5" i="8"/>
  <c r="M8" i="8"/>
  <c r="CE8" i="8" s="1"/>
  <c r="L64" i="8"/>
  <c r="CD64" i="8" s="1"/>
  <c r="M77" i="8"/>
  <c r="L8" i="8"/>
  <c r="CD8" i="8" s="1"/>
  <c r="K49" i="8"/>
  <c r="CC49" i="8" s="1"/>
  <c r="K64" i="8"/>
  <c r="CC64" i="8" s="1"/>
  <c r="R233" i="8"/>
  <c r="T201" i="8"/>
  <c r="T196" i="8"/>
  <c r="R236" i="8"/>
  <c r="CD5" i="8"/>
  <c r="Y200" i="8"/>
  <c r="Y199" i="8"/>
  <c r="Y201" i="8"/>
  <c r="R238" i="8"/>
  <c r="Z206" i="8"/>
  <c r="X238" i="8"/>
  <c r="X189" i="8"/>
  <c r="X221" i="8" s="1"/>
  <c r="R206" i="8"/>
  <c r="R204" i="8"/>
  <c r="Z199" i="8"/>
  <c r="Z201" i="8"/>
  <c r="Z189" i="8"/>
  <c r="R199" i="8"/>
  <c r="R200" i="8"/>
  <c r="S200" i="8"/>
  <c r="T189" i="8"/>
  <c r="Y189" i="8"/>
  <c r="Y221" i="8" s="1"/>
  <c r="S201" i="8"/>
  <c r="R201" i="8"/>
  <c r="Y206" i="8"/>
  <c r="AL189" i="8"/>
  <c r="AK189" i="8"/>
  <c r="Z187" i="8"/>
  <c r="X187" i="8"/>
  <c r="X219" i="8" s="1"/>
  <c r="AL187" i="8"/>
  <c r="AK187" i="8"/>
  <c r="R187" i="8"/>
  <c r="R219" i="8" s="1"/>
  <c r="S187" i="8"/>
  <c r="S219" i="8" s="1"/>
  <c r="Y187" i="8"/>
  <c r="Y219" i="8" s="1"/>
  <c r="T191" i="8"/>
  <c r="T183" i="8"/>
  <c r="S190" i="8"/>
  <c r="S222" i="8" s="1"/>
  <c r="R189" i="8"/>
  <c r="R221" i="8" s="1"/>
  <c r="T187" i="8"/>
  <c r="T188" i="8"/>
  <c r="S189" i="8"/>
  <c r="S221" i="8" s="1"/>
  <c r="S191" i="8"/>
  <c r="S223" i="8" s="1"/>
  <c r="S188" i="8"/>
  <c r="CD160" i="8"/>
  <c r="AK65" i="8"/>
  <c r="AF160" i="8"/>
  <c r="BD160" i="8"/>
  <c r="V93" i="6"/>
  <c r="V99" i="6"/>
  <c r="X99" i="6"/>
  <c r="X93" i="6"/>
  <c r="K77" i="3"/>
  <c r="K125" i="1"/>
  <c r="E114" i="6"/>
  <c r="K134" i="3"/>
  <c r="M125" i="3"/>
  <c r="K125" i="3"/>
  <c r="I125" i="3"/>
  <c r="M134" i="3"/>
  <c r="I134" i="3"/>
  <c r="CE77" i="8" l="1"/>
  <c r="M160" i="8"/>
  <c r="CC77" i="8"/>
  <c r="Z233" i="8"/>
  <c r="AM205" i="8"/>
  <c r="AL221" i="8"/>
  <c r="AM237" i="8" s="1"/>
  <c r="AM199" i="8"/>
  <c r="AL215" i="8"/>
  <c r="AM231" i="8" s="1"/>
  <c r="AL206" i="8"/>
  <c r="AK222" i="8"/>
  <c r="AE65" i="8"/>
  <c r="U199" i="8"/>
  <c r="T215" i="8"/>
  <c r="U231" i="8" s="1"/>
  <c r="AA203" i="8"/>
  <c r="Z219" i="8"/>
  <c r="AA235" i="8" s="1"/>
  <c r="AK201" i="8"/>
  <c r="AL207" i="8"/>
  <c r="AK223" i="8"/>
  <c r="AK216" i="8"/>
  <c r="AM206" i="8"/>
  <c r="AL222" i="8"/>
  <c r="AM238" i="8" s="1"/>
  <c r="S204" i="8"/>
  <c r="S220" i="8"/>
  <c r="U207" i="8"/>
  <c r="T223" i="8"/>
  <c r="U239" i="8" s="1"/>
  <c r="AL205" i="8"/>
  <c r="AK221" i="8"/>
  <c r="AJ201" i="8"/>
  <c r="AL196" i="8"/>
  <c r="AK212" i="8"/>
  <c r="AL228" i="8" s="1"/>
  <c r="S161" i="8"/>
  <c r="AQ161" i="8" s="1"/>
  <c r="AQ65" i="8"/>
  <c r="U204" i="8"/>
  <c r="T220" i="8"/>
  <c r="U236" i="8" s="1"/>
  <c r="Z238" i="8"/>
  <c r="Z196" i="8"/>
  <c r="Y212" i="8"/>
  <c r="Z228" i="8" s="1"/>
  <c r="AM204" i="8"/>
  <c r="AL220" i="8"/>
  <c r="AM236" i="8" s="1"/>
  <c r="AL201" i="8"/>
  <c r="AK217" i="8"/>
  <c r="T219" i="8"/>
  <c r="U235" i="8" s="1"/>
  <c r="U203" i="8"/>
  <c r="AL203" i="8"/>
  <c r="AK219" i="8"/>
  <c r="AM203" i="8"/>
  <c r="AL219" i="8"/>
  <c r="AM235" i="8" s="1"/>
  <c r="AL199" i="8"/>
  <c r="AK215" i="8"/>
  <c r="AM207" i="8"/>
  <c r="AL223" i="8"/>
  <c r="AM239" i="8" s="1"/>
  <c r="AM201" i="8"/>
  <c r="AL217" i="8"/>
  <c r="AM233" i="8" s="1"/>
  <c r="AA205" i="8"/>
  <c r="Z221" i="8"/>
  <c r="AA237" i="8" s="1"/>
  <c r="U205" i="8"/>
  <c r="T221" i="8"/>
  <c r="U237" i="8" s="1"/>
  <c r="Y196" i="8"/>
  <c r="L65" i="8"/>
  <c r="CD65" i="8" s="1"/>
  <c r="L165" i="8" s="1"/>
  <c r="CE160" i="8"/>
  <c r="Z231" i="8"/>
  <c r="Y238" i="8"/>
  <c r="T233" i="8"/>
  <c r="T205" i="8"/>
  <c r="T206" i="8"/>
  <c r="S233" i="8"/>
  <c r="T199" i="8"/>
  <c r="X237" i="8"/>
  <c r="AJ233" i="8"/>
  <c r="Z205" i="8"/>
  <c r="X233" i="8"/>
  <c r="Y233" i="8"/>
  <c r="Y231" i="8"/>
  <c r="X231" i="8"/>
  <c r="X232" i="8"/>
  <c r="Y232" i="8"/>
  <c r="R232" i="8"/>
  <c r="S232" i="8"/>
  <c r="T204" i="8"/>
  <c r="R237" i="8"/>
  <c r="R235" i="8"/>
  <c r="AW233" i="8"/>
  <c r="AV233" i="8"/>
  <c r="Y203" i="8"/>
  <c r="T203" i="8"/>
  <c r="S231" i="8"/>
  <c r="R203" i="8"/>
  <c r="S203" i="8"/>
  <c r="S206" i="8"/>
  <c r="T207" i="8"/>
  <c r="S205" i="8"/>
  <c r="R205" i="8"/>
  <c r="Z203" i="8"/>
  <c r="Y205" i="8"/>
  <c r="S192" i="8"/>
  <c r="D100" i="6"/>
  <c r="D94" i="6"/>
  <c r="D81" i="6"/>
  <c r="D70" i="6"/>
  <c r="D62" i="6"/>
  <c r="D45" i="6"/>
  <c r="Z235" i="8" l="1"/>
  <c r="L166" i="8"/>
  <c r="L167" i="8"/>
  <c r="L174" i="8"/>
  <c r="L173" i="8"/>
  <c r="T231" i="8"/>
  <c r="L175" i="8"/>
  <c r="AL237" i="8"/>
  <c r="AL239" i="8"/>
  <c r="AL238" i="8"/>
  <c r="AL231" i="8"/>
  <c r="AL233" i="8"/>
  <c r="T235" i="8"/>
  <c r="AL235" i="8"/>
  <c r="Z237" i="8"/>
  <c r="AK233" i="8"/>
  <c r="T239" i="8"/>
  <c r="T237" i="8"/>
  <c r="L161" i="8"/>
  <c r="BI224" i="8" s="1"/>
  <c r="S237" i="8"/>
  <c r="Y237" i="8"/>
  <c r="S235" i="8"/>
  <c r="T238" i="8"/>
  <c r="S238" i="8"/>
  <c r="T236" i="8"/>
  <c r="S236" i="8"/>
  <c r="S245" i="8"/>
  <c r="Y235" i="8"/>
  <c r="X235" i="8"/>
  <c r="D113" i="6"/>
  <c r="L168" i="8" l="1"/>
  <c r="L176" i="8"/>
  <c r="S224" i="8"/>
  <c r="BJ224" i="8"/>
  <c r="BK224" i="8"/>
  <c r="AM224" i="8"/>
  <c r="AY224" i="8"/>
  <c r="CD161" i="8"/>
  <c r="AW224" i="8"/>
  <c r="BI247" i="8"/>
  <c r="S247" i="8"/>
  <c r="M102" i="3"/>
  <c r="M105" i="3"/>
  <c r="M99" i="3"/>
  <c r="K102" i="3"/>
  <c r="K105" i="3"/>
  <c r="J105" i="3"/>
  <c r="AK105" i="8" s="1"/>
  <c r="AE105" i="8" s="1"/>
  <c r="J102" i="3"/>
  <c r="AK102" i="8" s="1"/>
  <c r="AE102" i="8" s="1"/>
  <c r="J101" i="3"/>
  <c r="AK101" i="8" s="1"/>
  <c r="AE101" i="8" s="1"/>
  <c r="J100" i="3"/>
  <c r="AK100" i="8" s="1"/>
  <c r="AE100" i="8" s="1"/>
  <c r="J99" i="3"/>
  <c r="AK99" i="8" s="1"/>
  <c r="AE99" i="8" s="1"/>
  <c r="J98" i="3"/>
  <c r="AK98" i="8" s="1"/>
  <c r="AE98" i="8" s="1"/>
  <c r="J97" i="3"/>
  <c r="AK97" i="8" s="1"/>
  <c r="AE97" i="8" s="1"/>
  <c r="J96" i="3"/>
  <c r="H105" i="3"/>
  <c r="Y105" i="8" s="1"/>
  <c r="H102" i="3"/>
  <c r="Y102" i="8" s="1"/>
  <c r="X80" i="6"/>
  <c r="V80" i="6"/>
  <c r="W94" i="6"/>
  <c r="U94" i="6"/>
  <c r="X94" i="6"/>
  <c r="V94" i="6"/>
  <c r="X86" i="6"/>
  <c r="W86" i="6"/>
  <c r="V86" i="6"/>
  <c r="U86" i="6"/>
  <c r="X85" i="6"/>
  <c r="W85" i="6"/>
  <c r="V85" i="6"/>
  <c r="U85" i="6"/>
  <c r="X84" i="6"/>
  <c r="W84" i="6"/>
  <c r="V84" i="6"/>
  <c r="U84" i="6"/>
  <c r="U74" i="6"/>
  <c r="V74" i="6"/>
  <c r="W74" i="6"/>
  <c r="X74" i="6"/>
  <c r="U75" i="6"/>
  <c r="V75" i="6"/>
  <c r="W75" i="6"/>
  <c r="X75" i="6"/>
  <c r="X73" i="6"/>
  <c r="W73" i="6"/>
  <c r="V73" i="6"/>
  <c r="U73" i="6"/>
  <c r="X72" i="6"/>
  <c r="W72" i="6"/>
  <c r="V72" i="6"/>
  <c r="U72" i="6"/>
  <c r="X71" i="6"/>
  <c r="W71" i="6"/>
  <c r="V71" i="6"/>
  <c r="U71" i="6"/>
  <c r="X70" i="6"/>
  <c r="W70" i="6"/>
  <c r="V70" i="6"/>
  <c r="U70" i="6"/>
  <c r="AK96" i="8" l="1"/>
  <c r="J109" i="3"/>
  <c r="J160" i="3" s="1"/>
  <c r="J161" i="3" s="1"/>
  <c r="AK175" i="8"/>
  <c r="AK176" i="8" s="1"/>
  <c r="AK177" i="8" s="1"/>
  <c r="AK109" i="8"/>
  <c r="AK160" i="8" s="1"/>
  <c r="AK161" i="8" s="1"/>
  <c r="AE96" i="8"/>
  <c r="AZ240" i="8"/>
  <c r="AZ248" i="8" s="1"/>
  <c r="AY247" i="8"/>
  <c r="BK247" i="8"/>
  <c r="BL240" i="8"/>
  <c r="BL248" i="8" s="1"/>
  <c r="BK240" i="8"/>
  <c r="BK248" i="8" s="1"/>
  <c r="BJ247" i="8"/>
  <c r="AW247" i="8"/>
  <c r="AN240" i="8"/>
  <c r="AN248" i="8" s="1"/>
  <c r="AM247" i="8"/>
  <c r="BJ240" i="8"/>
  <c r="BJ248" i="8" s="1"/>
  <c r="AB109" i="3"/>
  <c r="V61" i="6"/>
  <c r="X61" i="6"/>
  <c r="I105" i="3"/>
  <c r="I102" i="3"/>
  <c r="W80" i="6"/>
  <c r="W93" i="6" s="1"/>
  <c r="W99" i="6" s="1"/>
  <c r="U80" i="6"/>
  <c r="U93" i="6" s="1"/>
  <c r="U99" i="6" s="1"/>
  <c r="P107" i="6"/>
  <c r="P108" i="6"/>
  <c r="G68" i="6"/>
  <c r="H68" i="6"/>
  <c r="I68" i="6"/>
  <c r="J68" i="6" s="1"/>
  <c r="U68" i="6"/>
  <c r="V68" i="6"/>
  <c r="W68" i="6"/>
  <c r="X68" i="6"/>
  <c r="O108" i="6"/>
  <c r="O107" i="6"/>
  <c r="M140" i="3"/>
  <c r="K140" i="3"/>
  <c r="I140" i="3"/>
  <c r="AK167" i="8" l="1"/>
  <c r="AK168" i="8" s="1"/>
  <c r="AK169" i="8" s="1"/>
  <c r="O112" i="6"/>
  <c r="P112" i="6" s="1"/>
  <c r="K141" i="3"/>
  <c r="H149" i="3"/>
  <c r="Y149" i="8" s="1"/>
  <c r="H148" i="3"/>
  <c r="M150" i="3"/>
  <c r="K150" i="3"/>
  <c r="I150" i="3"/>
  <c r="Y148" i="8" l="1"/>
  <c r="Y174" i="8" s="1"/>
  <c r="H159" i="3"/>
  <c r="Y166" i="8"/>
  <c r="Y159" i="8"/>
  <c r="AK188" i="8"/>
  <c r="AK192" i="8" s="1"/>
  <c r="AE109" i="8"/>
  <c r="V62" i="6"/>
  <c r="V64" i="6"/>
  <c r="V65" i="6"/>
  <c r="X62" i="6"/>
  <c r="X64" i="6"/>
  <c r="X65" i="6"/>
  <c r="X63" i="6"/>
  <c r="V63" i="6"/>
  <c r="W65" i="6"/>
  <c r="W64" i="6"/>
  <c r="W62" i="6"/>
  <c r="W63" i="6"/>
  <c r="U62" i="6"/>
  <c r="U64" i="6"/>
  <c r="U65" i="6"/>
  <c r="U63" i="6"/>
  <c r="AK245" i="8" l="1"/>
  <c r="AL204" i="8"/>
  <c r="AK220" i="8"/>
  <c r="AL236" i="8" s="1"/>
  <c r="AE161" i="8"/>
  <c r="AE160" i="8"/>
  <c r="Y191" i="8"/>
  <c r="AK224" i="8"/>
  <c r="U69" i="6"/>
  <c r="W69" i="6"/>
  <c r="M89" i="3"/>
  <c r="K89" i="3"/>
  <c r="I89" i="3"/>
  <c r="M88" i="3"/>
  <c r="K88" i="3"/>
  <c r="I88" i="3"/>
  <c r="M86" i="3"/>
  <c r="K86" i="3"/>
  <c r="I86" i="3"/>
  <c r="M87" i="3"/>
  <c r="K87" i="3"/>
  <c r="I87" i="3"/>
  <c r="Z207" i="8" l="1"/>
  <c r="Y223" i="8"/>
  <c r="Z239" i="8" s="1"/>
  <c r="AK247" i="8"/>
  <c r="G63" i="6"/>
  <c r="H63" i="6"/>
  <c r="I63" i="6"/>
  <c r="J63" i="6" s="1"/>
  <c r="G62" i="6"/>
  <c r="H62" i="6"/>
  <c r="I62" i="6"/>
  <c r="G64" i="6"/>
  <c r="H64" i="6"/>
  <c r="I64" i="6"/>
  <c r="J64" i="6" s="1"/>
  <c r="G65" i="6"/>
  <c r="H65" i="6"/>
  <c r="I65" i="6"/>
  <c r="J65" i="6" s="1"/>
  <c r="G70" i="6"/>
  <c r="H70" i="6"/>
  <c r="G71" i="6"/>
  <c r="H71" i="6"/>
  <c r="G72" i="6"/>
  <c r="H72" i="6"/>
  <c r="G73" i="6"/>
  <c r="H73" i="6"/>
  <c r="G74" i="6"/>
  <c r="H74" i="6"/>
  <c r="G75" i="6"/>
  <c r="H75" i="6"/>
  <c r="G84" i="6"/>
  <c r="H84" i="6"/>
  <c r="I84" i="6"/>
  <c r="G85" i="6"/>
  <c r="H85" i="6"/>
  <c r="I85" i="6"/>
  <c r="J85" i="6" s="1"/>
  <c r="G86" i="6"/>
  <c r="H86" i="6"/>
  <c r="I86" i="6"/>
  <c r="J86" i="6" s="1"/>
  <c r="H94" i="6"/>
  <c r="I94" i="6"/>
  <c r="K109" i="3"/>
  <c r="AB109" i="1"/>
  <c r="AB77" i="1"/>
  <c r="I52" i="6"/>
  <c r="J52" i="6" s="1"/>
  <c r="H52" i="6"/>
  <c r="G52" i="6"/>
  <c r="I49" i="6"/>
  <c r="J49" i="6" s="1"/>
  <c r="H49" i="6"/>
  <c r="G49" i="6"/>
  <c r="I48" i="6"/>
  <c r="J48" i="6" s="1"/>
  <c r="H48" i="6"/>
  <c r="G48" i="6"/>
  <c r="I47" i="6"/>
  <c r="H47" i="6"/>
  <c r="G47" i="6"/>
  <c r="I28" i="6"/>
  <c r="J28" i="6" s="1"/>
  <c r="H28" i="6"/>
  <c r="G28" i="6"/>
  <c r="I27" i="6"/>
  <c r="J27" i="6" s="1"/>
  <c r="H27" i="6"/>
  <c r="G27" i="6"/>
  <c r="I26" i="6"/>
  <c r="J26" i="6" s="1"/>
  <c r="H26" i="6"/>
  <c r="G26" i="6"/>
  <c r="I25" i="6"/>
  <c r="J25" i="6" s="1"/>
  <c r="H25" i="6"/>
  <c r="G25" i="6"/>
  <c r="I23" i="6"/>
  <c r="J23" i="6" s="1"/>
  <c r="H23" i="6"/>
  <c r="G23" i="6"/>
  <c r="I22" i="6"/>
  <c r="J22" i="6" s="1"/>
  <c r="H22" i="6"/>
  <c r="G22" i="6"/>
  <c r="J21" i="6"/>
  <c r="I21" i="6"/>
  <c r="H21" i="6"/>
  <c r="G21" i="6"/>
  <c r="J5" i="6"/>
  <c r="I5" i="6"/>
  <c r="BC160" i="8" l="1"/>
  <c r="I77" i="3"/>
  <c r="G93" i="6"/>
  <c r="H93" i="6" s="1"/>
  <c r="G53" i="6"/>
  <c r="H53" i="6" s="1"/>
  <c r="J62" i="6"/>
  <c r="I69" i="6"/>
  <c r="G32" i="6"/>
  <c r="H32" i="6" s="1"/>
  <c r="J47" i="6"/>
  <c r="I53" i="6"/>
  <c r="J53" i="6" s="1"/>
  <c r="G80" i="6"/>
  <c r="H80" i="6" s="1"/>
  <c r="G69" i="6"/>
  <c r="I32" i="6"/>
  <c r="J32" i="6" s="1"/>
  <c r="J94" i="6"/>
  <c r="I99" i="6"/>
  <c r="J99" i="6" s="1"/>
  <c r="J84" i="6"/>
  <c r="I93" i="6"/>
  <c r="J93" i="6" s="1"/>
  <c r="M77" i="3"/>
  <c r="M109" i="3"/>
  <c r="K159" i="3"/>
  <c r="I159" i="3"/>
  <c r="M159" i="3"/>
  <c r="I109" i="3"/>
  <c r="AB49" i="3"/>
  <c r="AB64" i="3"/>
  <c r="BI65" i="8"/>
  <c r="AB64" i="1"/>
  <c r="AB49" i="1"/>
  <c r="H34" i="6"/>
  <c r="H35" i="6"/>
  <c r="H36" i="6"/>
  <c r="H37" i="6"/>
  <c r="H38" i="6"/>
  <c r="H39" i="6"/>
  <c r="H42" i="6"/>
  <c r="H33" i="6"/>
  <c r="J33" i="6"/>
  <c r="BC65" i="8" l="1"/>
  <c r="BI161" i="8"/>
  <c r="BC161" i="8" s="1"/>
  <c r="AB65" i="3"/>
  <c r="M64" i="3"/>
  <c r="M49" i="3"/>
  <c r="K64" i="3"/>
  <c r="I64" i="3"/>
  <c r="K49" i="3"/>
  <c r="I49" i="3"/>
  <c r="I33" i="6"/>
  <c r="I34" i="6"/>
  <c r="J34" i="6" s="1"/>
  <c r="I35" i="6"/>
  <c r="J35" i="6" s="1"/>
  <c r="I36" i="6"/>
  <c r="J36" i="6" s="1"/>
  <c r="I37" i="6"/>
  <c r="J37" i="6" s="1"/>
  <c r="I38" i="6"/>
  <c r="J38" i="6" s="1"/>
  <c r="I39" i="6"/>
  <c r="J39" i="6" s="1"/>
  <c r="I42" i="6"/>
  <c r="J42" i="6" s="1"/>
  <c r="G34" i="6"/>
  <c r="G35" i="6"/>
  <c r="G36" i="6"/>
  <c r="G37" i="6"/>
  <c r="G38" i="6"/>
  <c r="G39" i="6"/>
  <c r="G42" i="6"/>
  <c r="G33" i="6"/>
  <c r="D44" i="6"/>
  <c r="D114" i="6" s="1"/>
  <c r="L52" i="1"/>
  <c r="J52" i="1"/>
  <c r="AJ52" i="8" s="1"/>
  <c r="AD52" i="8" s="1"/>
  <c r="M52" i="3"/>
  <c r="P35" i="6" s="1"/>
  <c r="K52" i="3"/>
  <c r="N35" i="6" s="1"/>
  <c r="I52" i="3"/>
  <c r="L35" i="6" s="1"/>
  <c r="AV52" i="8" l="1"/>
  <c r="N52" i="1"/>
  <c r="M65" i="3"/>
  <c r="G43" i="6"/>
  <c r="H43" i="6" s="1"/>
  <c r="I43" i="6"/>
  <c r="J43" i="6" s="1"/>
  <c r="K65" i="3"/>
  <c r="I65" i="3"/>
  <c r="M35" i="6"/>
  <c r="K35" i="6"/>
  <c r="M67" i="3"/>
  <c r="M68" i="3"/>
  <c r="M69" i="3"/>
  <c r="M70" i="3"/>
  <c r="M73" i="3"/>
  <c r="M96" i="3"/>
  <c r="M97" i="3"/>
  <c r="M98" i="3"/>
  <c r="M100" i="3"/>
  <c r="M101" i="3"/>
  <c r="M126" i="3"/>
  <c r="M148" i="3"/>
  <c r="M149" i="3"/>
  <c r="M5" i="3"/>
  <c r="M36" i="3"/>
  <c r="M37" i="3"/>
  <c r="M39" i="3"/>
  <c r="M40" i="3"/>
  <c r="M41" i="3"/>
  <c r="M42" i="3"/>
  <c r="M45" i="3"/>
  <c r="M50" i="3"/>
  <c r="P33" i="6" s="1"/>
  <c r="M51" i="3"/>
  <c r="P34" i="6" s="1"/>
  <c r="M53" i="3"/>
  <c r="P36" i="6" s="1"/>
  <c r="M54" i="3"/>
  <c r="P37" i="6" s="1"/>
  <c r="M55" i="3"/>
  <c r="P38" i="6" s="1"/>
  <c r="M56" i="3"/>
  <c r="P39" i="6" s="1"/>
  <c r="M60" i="3"/>
  <c r="P42" i="6" s="1"/>
  <c r="M35" i="3"/>
  <c r="P6" i="6" s="1"/>
  <c r="I67" i="3"/>
  <c r="I68" i="3"/>
  <c r="I69" i="3"/>
  <c r="I70" i="3"/>
  <c r="I73" i="3"/>
  <c r="I96" i="3"/>
  <c r="I97" i="3"/>
  <c r="I98" i="3"/>
  <c r="I99" i="3"/>
  <c r="I100" i="3"/>
  <c r="I101" i="3"/>
  <c r="I126" i="3"/>
  <c r="I66" i="3"/>
  <c r="K67" i="3"/>
  <c r="K68" i="3"/>
  <c r="K69" i="3"/>
  <c r="K70" i="3"/>
  <c r="K73" i="3"/>
  <c r="K96" i="3"/>
  <c r="K97" i="3"/>
  <c r="K98" i="3"/>
  <c r="K99" i="3"/>
  <c r="K100" i="3"/>
  <c r="K101" i="3"/>
  <c r="K126" i="3"/>
  <c r="K149" i="3"/>
  <c r="K66" i="3"/>
  <c r="K35" i="3"/>
  <c r="K36" i="3"/>
  <c r="N22" i="6" s="1"/>
  <c r="K37" i="3"/>
  <c r="N23" i="6" s="1"/>
  <c r="K39" i="3"/>
  <c r="N25" i="6" s="1"/>
  <c r="K40" i="3"/>
  <c r="N26" i="6" s="1"/>
  <c r="K41" i="3"/>
  <c r="N27" i="6" s="1"/>
  <c r="K42" i="3"/>
  <c r="N28" i="6" s="1"/>
  <c r="K45" i="3"/>
  <c r="K50" i="3"/>
  <c r="N33" i="6" s="1"/>
  <c r="K51" i="3"/>
  <c r="N34" i="6" s="1"/>
  <c r="K53" i="3"/>
  <c r="N36" i="6" s="1"/>
  <c r="K54" i="3"/>
  <c r="N37" i="6" s="1"/>
  <c r="K55" i="3"/>
  <c r="N38" i="6" s="1"/>
  <c r="K56" i="3"/>
  <c r="N39" i="6" s="1"/>
  <c r="K60" i="3"/>
  <c r="N42" i="6" s="1"/>
  <c r="K5" i="3"/>
  <c r="I35" i="3"/>
  <c r="I36" i="3"/>
  <c r="L22" i="6" s="1"/>
  <c r="I37" i="3"/>
  <c r="L23" i="6" s="1"/>
  <c r="I39" i="3"/>
  <c r="L25" i="6" s="1"/>
  <c r="I40" i="3"/>
  <c r="L26" i="6" s="1"/>
  <c r="I41" i="3"/>
  <c r="L27" i="6" s="1"/>
  <c r="I42" i="3"/>
  <c r="L28" i="6" s="1"/>
  <c r="I45" i="3"/>
  <c r="I50" i="3"/>
  <c r="L33" i="6" s="1"/>
  <c r="I51" i="3"/>
  <c r="L34" i="6" s="1"/>
  <c r="I53" i="3"/>
  <c r="L36" i="6" s="1"/>
  <c r="I54" i="3"/>
  <c r="L37" i="6" s="1"/>
  <c r="I55" i="3"/>
  <c r="L38" i="6" s="1"/>
  <c r="I56" i="3"/>
  <c r="L39" i="6" s="1"/>
  <c r="I60" i="3"/>
  <c r="L42" i="6" s="1"/>
  <c r="K148" i="3"/>
  <c r="H101" i="3"/>
  <c r="Y101" i="8" s="1"/>
  <c r="H100" i="3"/>
  <c r="Y100" i="8" s="1"/>
  <c r="H99" i="3"/>
  <c r="Y99" i="8" s="1"/>
  <c r="H98" i="3"/>
  <c r="Y98" i="8" s="1"/>
  <c r="H97" i="3"/>
  <c r="Y97" i="8" s="1"/>
  <c r="H96" i="3"/>
  <c r="D65" i="3"/>
  <c r="A65" i="3" s="1"/>
  <c r="Y96" i="8" l="1"/>
  <c r="H109" i="3"/>
  <c r="H160" i="3" s="1"/>
  <c r="H161" i="3" s="1"/>
  <c r="Y175" i="8"/>
  <c r="Y176" i="8" s="1"/>
  <c r="Y167" i="8"/>
  <c r="Y168" i="8" s="1"/>
  <c r="Y109" i="8"/>
  <c r="Y160" i="8" s="1"/>
  <c r="Y161" i="8" s="1"/>
  <c r="BH52" i="8"/>
  <c r="BB52" i="8"/>
  <c r="AP52" i="8"/>
  <c r="O35" i="6"/>
  <c r="L21" i="6"/>
  <c r="L6" i="6"/>
  <c r="N21" i="6"/>
  <c r="N6" i="6"/>
  <c r="I44" i="6"/>
  <c r="J44" i="6" s="1"/>
  <c r="D161" i="3"/>
  <c r="G5" i="1"/>
  <c r="M5" i="1"/>
  <c r="P5" i="6" s="1"/>
  <c r="J35" i="1"/>
  <c r="L35" i="1"/>
  <c r="J36" i="1"/>
  <c r="AJ36" i="8" s="1"/>
  <c r="AD36" i="8" s="1"/>
  <c r="L36" i="1"/>
  <c r="AV36" i="8" s="1"/>
  <c r="J37" i="1"/>
  <c r="AJ37" i="8" s="1"/>
  <c r="AD37" i="8" s="1"/>
  <c r="L37" i="1"/>
  <c r="AV37" i="8" s="1"/>
  <c r="J39" i="1"/>
  <c r="AJ39" i="8" s="1"/>
  <c r="AD39" i="8" s="1"/>
  <c r="L39" i="1"/>
  <c r="AV39" i="8" s="1"/>
  <c r="L40" i="1"/>
  <c r="AV40" i="8" s="1"/>
  <c r="J41" i="1"/>
  <c r="AJ41" i="8" s="1"/>
  <c r="AD41" i="8" s="1"/>
  <c r="L41" i="1"/>
  <c r="AV41" i="8" s="1"/>
  <c r="J42" i="1"/>
  <c r="AJ42" i="8" s="1"/>
  <c r="AD42" i="8" s="1"/>
  <c r="L42" i="1"/>
  <c r="AV42" i="8" s="1"/>
  <c r="J45" i="1"/>
  <c r="AJ45" i="8" s="1"/>
  <c r="AD45" i="8" s="1"/>
  <c r="L45" i="1"/>
  <c r="AV45" i="8" s="1"/>
  <c r="J50" i="1"/>
  <c r="L50" i="1"/>
  <c r="J51" i="1"/>
  <c r="AJ51" i="8" s="1"/>
  <c r="AD51" i="8" s="1"/>
  <c r="L51" i="1"/>
  <c r="AV51" i="8" s="1"/>
  <c r="AP51" i="8" s="1"/>
  <c r="J53" i="1"/>
  <c r="AJ53" i="8" s="1"/>
  <c r="AD53" i="8" s="1"/>
  <c r="L53" i="1"/>
  <c r="AV53" i="8" s="1"/>
  <c r="AP53" i="8" s="1"/>
  <c r="J54" i="1"/>
  <c r="AJ54" i="8" s="1"/>
  <c r="AD54" i="8" s="1"/>
  <c r="L54" i="1"/>
  <c r="J55" i="1"/>
  <c r="AJ55" i="8" s="1"/>
  <c r="AD55" i="8" s="1"/>
  <c r="L55" i="1"/>
  <c r="AV55" i="8" s="1"/>
  <c r="AP55" i="8" s="1"/>
  <c r="J56" i="1"/>
  <c r="AJ56" i="8" s="1"/>
  <c r="AD56" i="8" s="1"/>
  <c r="L56" i="1"/>
  <c r="J60" i="1"/>
  <c r="AJ60" i="8" s="1"/>
  <c r="AD60" i="8" s="1"/>
  <c r="L60" i="1"/>
  <c r="AV60" i="8" s="1"/>
  <c r="A5" i="1" l="1"/>
  <c r="G8" i="1"/>
  <c r="G65" i="1" s="1"/>
  <c r="L49" i="1"/>
  <c r="AV50" i="8"/>
  <c r="L64" i="1"/>
  <c r="AJ50" i="8"/>
  <c r="AD50" i="8" s="1"/>
  <c r="J64" i="1"/>
  <c r="AV35" i="8"/>
  <c r="AV49" i="8" s="1"/>
  <c r="BB40" i="8"/>
  <c r="AP40" i="8"/>
  <c r="AV54" i="8"/>
  <c r="AP54" i="8" s="1"/>
  <c r="BB37" i="8"/>
  <c r="AP37" i="8"/>
  <c r="AP36" i="8"/>
  <c r="BB36" i="8"/>
  <c r="AP50" i="8"/>
  <c r="AJ35" i="8"/>
  <c r="BB39" i="8"/>
  <c r="AP39" i="8"/>
  <c r="AP45" i="8"/>
  <c r="BB45" i="8"/>
  <c r="AP60" i="8"/>
  <c r="AP42" i="8"/>
  <c r="BB42" i="8"/>
  <c r="AV56" i="8"/>
  <c r="AP41" i="8"/>
  <c r="BB41" i="8"/>
  <c r="Y188" i="8"/>
  <c r="AB5" i="1"/>
  <c r="M6" i="6"/>
  <c r="N54" i="1"/>
  <c r="R5" i="8"/>
  <c r="R173" i="8" s="1"/>
  <c r="AB65" i="1"/>
  <c r="N56" i="1"/>
  <c r="K6" i="6"/>
  <c r="K27" i="6"/>
  <c r="I5" i="1"/>
  <c r="J5" i="1" s="1"/>
  <c r="J8" i="1" s="1"/>
  <c r="H5" i="6"/>
  <c r="G5" i="6"/>
  <c r="G44" i="6" s="1"/>
  <c r="K21" i="6"/>
  <c r="N55" i="1"/>
  <c r="BH55" i="8" s="1"/>
  <c r="BB55" i="8" s="1"/>
  <c r="M38" i="6"/>
  <c r="K38" i="6"/>
  <c r="M23" i="6"/>
  <c r="N60" i="1"/>
  <c r="BH60" i="8" s="1"/>
  <c r="BB60" i="8" s="1"/>
  <c r="M42" i="6"/>
  <c r="N53" i="1"/>
  <c r="BH53" i="8" s="1"/>
  <c r="BB53" i="8" s="1"/>
  <c r="M36" i="6"/>
  <c r="M26" i="6"/>
  <c r="M22" i="6"/>
  <c r="M27" i="6"/>
  <c r="K23" i="6"/>
  <c r="K37" i="6"/>
  <c r="K42" i="6"/>
  <c r="K36" i="6"/>
  <c r="K22" i="6"/>
  <c r="M39" i="6"/>
  <c r="N51" i="1"/>
  <c r="BH51" i="8" s="1"/>
  <c r="BB51" i="8" s="1"/>
  <c r="M34" i="6"/>
  <c r="M28" i="6"/>
  <c r="M25" i="6"/>
  <c r="N50" i="1"/>
  <c r="M33" i="6"/>
  <c r="K33" i="6"/>
  <c r="M37" i="6"/>
  <c r="K39" i="6"/>
  <c r="K34" i="6"/>
  <c r="K28" i="6"/>
  <c r="K25" i="6"/>
  <c r="M21" i="6"/>
  <c r="K5" i="1"/>
  <c r="G148" i="1"/>
  <c r="G137" i="1"/>
  <c r="AJ64" i="8" l="1"/>
  <c r="BH50" i="8"/>
  <c r="BB50" i="8" s="1"/>
  <c r="N64" i="1"/>
  <c r="AV64" i="8"/>
  <c r="AP64" i="8" s="1"/>
  <c r="R148" i="8"/>
  <c r="K148" i="8" s="1"/>
  <c r="A148" i="1"/>
  <c r="Y220" i="8"/>
  <c r="Z236" i="8" s="1"/>
  <c r="A137" i="1"/>
  <c r="R137" i="8"/>
  <c r="K137" i="8" s="1"/>
  <c r="BH56" i="8"/>
  <c r="AD35" i="8"/>
  <c r="BB35" i="8"/>
  <c r="AP35" i="8"/>
  <c r="BH54" i="8"/>
  <c r="BB54" i="8" s="1"/>
  <c r="BB56" i="8"/>
  <c r="AP56" i="8"/>
  <c r="AP49" i="8"/>
  <c r="BB49" i="8"/>
  <c r="R165" i="8"/>
  <c r="R8" i="8"/>
  <c r="I8" i="1"/>
  <c r="AB148" i="1"/>
  <c r="AB137" i="1"/>
  <c r="Y192" i="8"/>
  <c r="Z204" i="8"/>
  <c r="K5" i="8"/>
  <c r="X212" i="8" s="1"/>
  <c r="AV184" i="8"/>
  <c r="AV216" i="8" s="1"/>
  <c r="O39" i="6"/>
  <c r="AV183" i="8"/>
  <c r="AV215" i="8" s="1"/>
  <c r="O37" i="6"/>
  <c r="AJ5" i="8"/>
  <c r="H137" i="1"/>
  <c r="X137" i="8" s="1"/>
  <c r="H148" i="1"/>
  <c r="X148" i="8" s="1"/>
  <c r="H44" i="6"/>
  <c r="L5" i="1"/>
  <c r="L8" i="1" s="1"/>
  <c r="L65" i="1" s="1"/>
  <c r="N5" i="6"/>
  <c r="K43" i="6"/>
  <c r="L43" i="6" s="1"/>
  <c r="M32" i="6"/>
  <c r="N32" i="6" s="1"/>
  <c r="M43" i="6"/>
  <c r="N43" i="6" s="1"/>
  <c r="G107" i="6"/>
  <c r="H107" i="6"/>
  <c r="J148" i="1"/>
  <c r="AJ148" i="8" s="1"/>
  <c r="AD148" i="8" s="1"/>
  <c r="K148" i="1"/>
  <c r="L148" i="1" s="1"/>
  <c r="AV148" i="8" s="1"/>
  <c r="I137" i="1"/>
  <c r="J137" i="1" s="1"/>
  <c r="AJ137" i="8" s="1"/>
  <c r="K5" i="6"/>
  <c r="M49" i="1"/>
  <c r="O34" i="6"/>
  <c r="K49" i="1"/>
  <c r="I64" i="1"/>
  <c r="O42" i="6"/>
  <c r="O38" i="6"/>
  <c r="K64" i="1"/>
  <c r="O33" i="6"/>
  <c r="O36" i="6"/>
  <c r="K137" i="1"/>
  <c r="L137" i="1" s="1"/>
  <c r="AV137" i="8" s="1"/>
  <c r="BH64" i="8" l="1"/>
  <c r="AD137" i="8"/>
  <c r="AJ8" i="8"/>
  <c r="AD8" i="8" s="1"/>
  <c r="AP137" i="8"/>
  <c r="BB137" i="8"/>
  <c r="AP148" i="8"/>
  <c r="BB148" i="8"/>
  <c r="AD5" i="8"/>
  <c r="AJ184" i="8"/>
  <c r="AD64" i="8"/>
  <c r="R65" i="8"/>
  <c r="R180" i="8"/>
  <c r="Y228" i="8"/>
  <c r="K8" i="8"/>
  <c r="CC8" i="8" s="1"/>
  <c r="K8" i="1"/>
  <c r="CC5" i="8"/>
  <c r="AW232" i="8"/>
  <c r="AV232" i="8"/>
  <c r="AV231" i="8"/>
  <c r="AW231" i="8"/>
  <c r="Y245" i="8"/>
  <c r="Y224" i="8"/>
  <c r="AV199" i="8"/>
  <c r="AW199" i="8"/>
  <c r="AV200" i="8"/>
  <c r="AW200" i="8"/>
  <c r="M5" i="6"/>
  <c r="M44" i="6" s="1"/>
  <c r="AV5" i="8"/>
  <c r="AV173" i="8" s="1"/>
  <c r="CC148" i="8"/>
  <c r="CC137" i="8"/>
  <c r="I107" i="6"/>
  <c r="J107" i="6" s="1"/>
  <c r="N5" i="1"/>
  <c r="O43" i="6"/>
  <c r="P43" i="6" s="1"/>
  <c r="K107" i="6"/>
  <c r="L107" i="6"/>
  <c r="N107" i="6"/>
  <c r="M107" i="6"/>
  <c r="M64" i="1"/>
  <c r="BH5" i="8" l="1"/>
  <c r="N8" i="1"/>
  <c r="N65" i="1" s="1"/>
  <c r="BB5" i="8"/>
  <c r="BH8" i="8"/>
  <c r="S196" i="8"/>
  <c r="R196" i="8"/>
  <c r="R212" i="8"/>
  <c r="R228" i="8" s="1"/>
  <c r="AV165" i="8"/>
  <c r="AV8" i="8"/>
  <c r="AP8" i="8" s="1"/>
  <c r="AJ216" i="8"/>
  <c r="AK232" i="8" s="1"/>
  <c r="AJ180" i="8"/>
  <c r="BH184" i="8"/>
  <c r="BH200" i="8" s="1"/>
  <c r="BB64" i="8"/>
  <c r="AJ200" i="8"/>
  <c r="AK200" i="8"/>
  <c r="K65" i="8"/>
  <c r="CC65" i="8" s="1"/>
  <c r="X228" i="8"/>
  <c r="M8" i="1"/>
  <c r="Y247" i="8"/>
  <c r="AV65" i="8"/>
  <c r="AP5" i="8"/>
  <c r="N44" i="6"/>
  <c r="O5" i="6"/>
  <c r="O44" i="6" s="1"/>
  <c r="D65" i="1"/>
  <c r="A65" i="1" s="1"/>
  <c r="G138" i="1"/>
  <c r="BI200" i="8" l="1"/>
  <c r="AV180" i="8"/>
  <c r="AW196" i="8" s="1"/>
  <c r="A138" i="1"/>
  <c r="R138" i="8"/>
  <c r="K138" i="8" s="1"/>
  <c r="AJ232" i="8"/>
  <c r="AJ212" i="8"/>
  <c r="AK196" i="8"/>
  <c r="AJ196" i="8"/>
  <c r="S228" i="8"/>
  <c r="BH216" i="8"/>
  <c r="BH232" i="8" s="1"/>
  <c r="BH180" i="8"/>
  <c r="BH196" i="8" s="1"/>
  <c r="BB8" i="8"/>
  <c r="AP65" i="8"/>
  <c r="AB138" i="1"/>
  <c r="BH65" i="8"/>
  <c r="K138" i="1"/>
  <c r="P44" i="6"/>
  <c r="D161" i="1"/>
  <c r="K65" i="1"/>
  <c r="I138" i="1"/>
  <c r="BI196" i="8" l="1"/>
  <c r="AV212" i="8"/>
  <c r="AV196" i="8"/>
  <c r="BI232" i="8"/>
  <c r="AJ228" i="8"/>
  <c r="AK228" i="8"/>
  <c r="BH212" i="8"/>
  <c r="BH228" i="8" s="1"/>
  <c r="BB65" i="8"/>
  <c r="CC138" i="8"/>
  <c r="H101" i="1"/>
  <c r="X101" i="8" s="1"/>
  <c r="H98" i="1"/>
  <c r="X98" i="8" s="1"/>
  <c r="H99" i="1"/>
  <c r="X99" i="8" s="1"/>
  <c r="H100" i="1"/>
  <c r="X100" i="8" s="1"/>
  <c r="H97" i="1"/>
  <c r="X97" i="8" s="1"/>
  <c r="H96" i="1"/>
  <c r="X96" i="8" l="1"/>
  <c r="X175" i="8" s="1"/>
  <c r="H109" i="1"/>
  <c r="AV228" i="8"/>
  <c r="AW228" i="8"/>
  <c r="BI228" i="8"/>
  <c r="X167" i="8"/>
  <c r="X109" i="8"/>
  <c r="I74" i="6"/>
  <c r="J74" i="6" s="1"/>
  <c r="I73" i="6"/>
  <c r="J73" i="6" s="1"/>
  <c r="I72" i="6"/>
  <c r="J72" i="6" s="1"/>
  <c r="I75" i="6"/>
  <c r="J75" i="6" s="1"/>
  <c r="I71" i="6"/>
  <c r="J71" i="6" s="1"/>
  <c r="I70" i="6"/>
  <c r="N66" i="1"/>
  <c r="N67" i="1"/>
  <c r="BH67" i="8" s="1"/>
  <c r="BB67" i="8" s="1"/>
  <c r="N68" i="1"/>
  <c r="BH68" i="8" s="1"/>
  <c r="BB68" i="8" s="1"/>
  <c r="N69" i="1"/>
  <c r="BH69" i="8" s="1"/>
  <c r="N70" i="1"/>
  <c r="BH70" i="8" s="1"/>
  <c r="BB70" i="8" s="1"/>
  <c r="N73" i="1"/>
  <c r="BH73" i="8" s="1"/>
  <c r="BB73" i="8" s="1"/>
  <c r="N100" i="1"/>
  <c r="BH100" i="8" s="1"/>
  <c r="N113" i="1"/>
  <c r="N114" i="1"/>
  <c r="BH114" i="8" s="1"/>
  <c r="BB114" i="8" s="1"/>
  <c r="N115" i="1"/>
  <c r="BH115" i="8" s="1"/>
  <c r="BB115" i="8" s="1"/>
  <c r="L87" i="1"/>
  <c r="AV87" i="8" s="1"/>
  <c r="L86" i="1"/>
  <c r="L88" i="1"/>
  <c r="AV88" i="8" s="1"/>
  <c r="L89" i="1"/>
  <c r="L150" i="1"/>
  <c r="AV150" i="8" s="1"/>
  <c r="L96" i="1"/>
  <c r="L97" i="1"/>
  <c r="AV97" i="8" s="1"/>
  <c r="AP97" i="8" s="1"/>
  <c r="L98" i="1"/>
  <c r="AV98" i="8" s="1"/>
  <c r="L99" i="1"/>
  <c r="AV99" i="8" s="1"/>
  <c r="L100" i="1"/>
  <c r="AV100" i="8" s="1"/>
  <c r="L101" i="1"/>
  <c r="AV101" i="8" s="1"/>
  <c r="AP101" i="8" s="1"/>
  <c r="L126" i="1"/>
  <c r="L134" i="1" s="1"/>
  <c r="L138" i="1"/>
  <c r="AV138" i="8" s="1"/>
  <c r="J87" i="1"/>
  <c r="AJ87" i="8" s="1"/>
  <c r="AD87" i="8" s="1"/>
  <c r="J86" i="1"/>
  <c r="J88" i="1"/>
  <c r="AJ88" i="8" s="1"/>
  <c r="AD88" i="8" s="1"/>
  <c r="J89" i="1"/>
  <c r="AJ89" i="8" s="1"/>
  <c r="AD89" i="8" s="1"/>
  <c r="J150" i="1"/>
  <c r="AJ150" i="8" s="1"/>
  <c r="AD150" i="8" s="1"/>
  <c r="J96" i="1"/>
  <c r="J97" i="1"/>
  <c r="AJ97" i="8" s="1"/>
  <c r="AD97" i="8" s="1"/>
  <c r="J98" i="1"/>
  <c r="AJ98" i="8" s="1"/>
  <c r="AD98" i="8" s="1"/>
  <c r="J99" i="1"/>
  <c r="AJ99" i="8" s="1"/>
  <c r="AD99" i="8" s="1"/>
  <c r="J100" i="1"/>
  <c r="AJ100" i="8" s="1"/>
  <c r="AD100" i="8" s="1"/>
  <c r="J101" i="1"/>
  <c r="AJ101" i="8" s="1"/>
  <c r="AD101" i="8" s="1"/>
  <c r="J113" i="1"/>
  <c r="J114" i="1"/>
  <c r="AJ114" i="8" s="1"/>
  <c r="AD114" i="8" s="1"/>
  <c r="J115" i="1"/>
  <c r="AJ115" i="8" s="1"/>
  <c r="AD115" i="8" s="1"/>
  <c r="J126" i="1"/>
  <c r="J138" i="1"/>
  <c r="AJ138" i="8" s="1"/>
  <c r="AD138" i="8" s="1"/>
  <c r="AJ113" i="8" l="1"/>
  <c r="J125" i="1"/>
  <c r="AV96" i="8"/>
  <c r="L109" i="1"/>
  <c r="BH113" i="8"/>
  <c r="N125" i="1"/>
  <c r="AJ86" i="8"/>
  <c r="J95" i="1"/>
  <c r="AV86" i="8"/>
  <c r="L95" i="1"/>
  <c r="AJ126" i="8"/>
  <c r="J134" i="1"/>
  <c r="BH66" i="8"/>
  <c r="N77" i="1"/>
  <c r="AJ96" i="8"/>
  <c r="AJ109" i="8" s="1"/>
  <c r="J109" i="1"/>
  <c r="BH173" i="8"/>
  <c r="BB69" i="8"/>
  <c r="AP99" i="8"/>
  <c r="BH125" i="8"/>
  <c r="BB113" i="8"/>
  <c r="AJ134" i="8"/>
  <c r="AD126" i="8"/>
  <c r="AP88" i="8"/>
  <c r="AP96" i="8"/>
  <c r="BB138" i="8"/>
  <c r="AP138" i="8"/>
  <c r="AP150" i="8"/>
  <c r="AV126" i="8"/>
  <c r="AV89" i="8"/>
  <c r="AP89" i="8" s="1"/>
  <c r="BB100" i="8"/>
  <c r="AP100" i="8"/>
  <c r="AP86" i="8"/>
  <c r="AV95" i="8"/>
  <c r="AD113" i="8"/>
  <c r="AJ125" i="8"/>
  <c r="AP87" i="8"/>
  <c r="AV109" i="8"/>
  <c r="AP109" i="8" s="1"/>
  <c r="AP98" i="8"/>
  <c r="AJ95" i="8"/>
  <c r="BH77" i="8"/>
  <c r="BB66" i="8"/>
  <c r="K134" i="1"/>
  <c r="N89" i="1"/>
  <c r="BH89" i="8" s="1"/>
  <c r="X188" i="8"/>
  <c r="X220" i="8" s="1"/>
  <c r="L85" i="6"/>
  <c r="I134" i="1"/>
  <c r="L86" i="6"/>
  <c r="L84" i="6"/>
  <c r="I125" i="1"/>
  <c r="J70" i="6"/>
  <c r="I80" i="6"/>
  <c r="J80" i="6" s="1"/>
  <c r="M74" i="6"/>
  <c r="N74" i="6"/>
  <c r="K74" i="6"/>
  <c r="L74" i="6"/>
  <c r="M68" i="6"/>
  <c r="N68" i="6"/>
  <c r="K68" i="6"/>
  <c r="L68" i="6"/>
  <c r="K72" i="6"/>
  <c r="L72" i="6"/>
  <c r="K63" i="6"/>
  <c r="L63" i="6"/>
  <c r="M94" i="6"/>
  <c r="M99" i="6" s="1"/>
  <c r="N99" i="6" s="1"/>
  <c r="N94" i="6"/>
  <c r="N71" i="6"/>
  <c r="M71" i="6"/>
  <c r="O74" i="6"/>
  <c r="P74" i="6"/>
  <c r="K71" i="6"/>
  <c r="L71" i="6"/>
  <c r="M86" i="6"/>
  <c r="N86" i="6"/>
  <c r="L70" i="6"/>
  <c r="K70" i="6"/>
  <c r="O86" i="6"/>
  <c r="P86" i="6"/>
  <c r="K94" i="6"/>
  <c r="K99" i="6" s="1"/>
  <c r="L99" i="6" s="1"/>
  <c r="L94" i="6"/>
  <c r="M70" i="6"/>
  <c r="N70" i="6"/>
  <c r="K86" i="6"/>
  <c r="N85" i="6"/>
  <c r="M85" i="6"/>
  <c r="M75" i="6"/>
  <c r="N75" i="6"/>
  <c r="N65" i="6"/>
  <c r="M65" i="6"/>
  <c r="O85" i="6"/>
  <c r="P85" i="6"/>
  <c r="K85" i="6"/>
  <c r="M84" i="6"/>
  <c r="N84" i="6"/>
  <c r="K84" i="6"/>
  <c r="O94" i="6"/>
  <c r="O99" i="6" s="1"/>
  <c r="P99" i="6" s="1"/>
  <c r="P94" i="6"/>
  <c r="K75" i="6"/>
  <c r="L75" i="6"/>
  <c r="K65" i="6"/>
  <c r="L65" i="6"/>
  <c r="M64" i="6"/>
  <c r="N64" i="6"/>
  <c r="K64" i="6"/>
  <c r="L64" i="6"/>
  <c r="M73" i="6"/>
  <c r="N73" i="6"/>
  <c r="M62" i="6"/>
  <c r="N62" i="6"/>
  <c r="K73" i="6"/>
  <c r="L73" i="6"/>
  <c r="L62" i="6"/>
  <c r="K62" i="6"/>
  <c r="N72" i="6"/>
  <c r="M72" i="6"/>
  <c r="M63" i="6"/>
  <c r="N63" i="6"/>
  <c r="P84" i="6"/>
  <c r="O84" i="6"/>
  <c r="L49" i="6"/>
  <c r="K49" i="6"/>
  <c r="N97" i="1"/>
  <c r="BH97" i="8" s="1"/>
  <c r="BB97" i="8" s="1"/>
  <c r="N52" i="6"/>
  <c r="M52" i="6"/>
  <c r="L52" i="6"/>
  <c r="K52" i="6"/>
  <c r="N96" i="1"/>
  <c r="N48" i="6"/>
  <c r="M48" i="6"/>
  <c r="P52" i="6"/>
  <c r="O52" i="6"/>
  <c r="L48" i="6"/>
  <c r="K48" i="6"/>
  <c r="N150" i="1"/>
  <c r="N159" i="1" s="1"/>
  <c r="N47" i="6"/>
  <c r="M47" i="6"/>
  <c r="P49" i="6"/>
  <c r="O49" i="6"/>
  <c r="L47" i="6"/>
  <c r="K47" i="6"/>
  <c r="N101" i="1"/>
  <c r="BH101" i="8" s="1"/>
  <c r="BB101" i="8" s="1"/>
  <c r="O48" i="6"/>
  <c r="P48" i="6"/>
  <c r="N88" i="1"/>
  <c r="BH88" i="8" s="1"/>
  <c r="BB88" i="8" s="1"/>
  <c r="O47" i="6"/>
  <c r="P47" i="6"/>
  <c r="N99" i="1"/>
  <c r="BH99" i="8" s="1"/>
  <c r="BB99" i="8" s="1"/>
  <c r="N86" i="1"/>
  <c r="N49" i="6"/>
  <c r="M49" i="6"/>
  <c r="N98" i="1"/>
  <c r="BH98" i="8" s="1"/>
  <c r="BB98" i="8" s="1"/>
  <c r="N87" i="1"/>
  <c r="BH87" i="8" s="1"/>
  <c r="BB87" i="8" s="1"/>
  <c r="G139" i="1"/>
  <c r="G136" i="1"/>
  <c r="G153" i="1"/>
  <c r="G149" i="1"/>
  <c r="H138" i="1"/>
  <c r="X138" i="8" s="1"/>
  <c r="G135" i="1"/>
  <c r="G159" i="1" s="1"/>
  <c r="G160" i="1" s="1"/>
  <c r="BH86" i="8" l="1"/>
  <c r="N95" i="1"/>
  <c r="AJ175" i="8"/>
  <c r="BH96" i="8"/>
  <c r="BB96" i="8" s="1"/>
  <c r="N109" i="1"/>
  <c r="N160" i="1" s="1"/>
  <c r="N161" i="1" s="1"/>
  <c r="AD86" i="8"/>
  <c r="AD96" i="8"/>
  <c r="BH150" i="8"/>
  <c r="BH175" i="8" s="1"/>
  <c r="BH176" i="8" s="1"/>
  <c r="AV175" i="8"/>
  <c r="A135" i="1"/>
  <c r="R135" i="8"/>
  <c r="A139" i="1"/>
  <c r="R139" i="8"/>
  <c r="K139" i="8" s="1"/>
  <c r="A149" i="1"/>
  <c r="R149" i="8"/>
  <c r="K149" i="8" s="1"/>
  <c r="A153" i="1"/>
  <c r="R153" i="8"/>
  <c r="K153" i="8" s="1"/>
  <c r="A136" i="1"/>
  <c r="R136" i="8"/>
  <c r="K136" i="8" s="1"/>
  <c r="BB126" i="8"/>
  <c r="AP126" i="8"/>
  <c r="AV134" i="8"/>
  <c r="AV190" i="8" s="1"/>
  <c r="AV222" i="8" s="1"/>
  <c r="AP95" i="8"/>
  <c r="BH109" i="8"/>
  <c r="BB86" i="8"/>
  <c r="BH95" i="8"/>
  <c r="BB89" i="8"/>
  <c r="BH165" i="8"/>
  <c r="AB149" i="1"/>
  <c r="AB153" i="1"/>
  <c r="AB136" i="1"/>
  <c r="AB139" i="1"/>
  <c r="AV188" i="8"/>
  <c r="AD95" i="8"/>
  <c r="AJ167" i="8"/>
  <c r="M134" i="1"/>
  <c r="AV167" i="8"/>
  <c r="Y204" i="8"/>
  <c r="P65" i="6"/>
  <c r="AB135" i="1"/>
  <c r="O65" i="6"/>
  <c r="K77" i="1"/>
  <c r="M125" i="1"/>
  <c r="M93" i="6"/>
  <c r="N93" i="6" s="1"/>
  <c r="G116" i="6"/>
  <c r="AD125" i="8"/>
  <c r="K153" i="1"/>
  <c r="L153" i="1" s="1"/>
  <c r="AV153" i="8" s="1"/>
  <c r="H136" i="1"/>
  <c r="X136" i="8" s="1"/>
  <c r="I139" i="1"/>
  <c r="J139" i="1" s="1"/>
  <c r="AJ139" i="8" s="1"/>
  <c r="M69" i="6"/>
  <c r="O53" i="6"/>
  <c r="M53" i="6"/>
  <c r="N53" i="6" s="1"/>
  <c r="K69" i="6"/>
  <c r="K80" i="6"/>
  <c r="L80" i="6" s="1"/>
  <c r="O93" i="6"/>
  <c r="P93" i="6" s="1"/>
  <c r="K93" i="6"/>
  <c r="L93" i="6" s="1"/>
  <c r="M80" i="6"/>
  <c r="N80" i="6" s="1"/>
  <c r="K53" i="6"/>
  <c r="L53" i="6" s="1"/>
  <c r="K149" i="1"/>
  <c r="L149" i="1" s="1"/>
  <c r="H108" i="6"/>
  <c r="G108" i="6"/>
  <c r="G112" i="6" s="1"/>
  <c r="H112" i="6" s="1"/>
  <c r="O68" i="6"/>
  <c r="P68" i="6"/>
  <c r="O72" i="6"/>
  <c r="P72" i="6"/>
  <c r="P75" i="6"/>
  <c r="O75" i="6"/>
  <c r="O73" i="6"/>
  <c r="P73" i="6"/>
  <c r="P62" i="6"/>
  <c r="O62" i="6"/>
  <c r="P64" i="6"/>
  <c r="O64" i="6"/>
  <c r="O63" i="6"/>
  <c r="P63" i="6"/>
  <c r="P71" i="6"/>
  <c r="O71" i="6"/>
  <c r="M109" i="1"/>
  <c r="O70" i="6"/>
  <c r="P70" i="6"/>
  <c r="M77" i="1"/>
  <c r="I77" i="1"/>
  <c r="I109" i="1"/>
  <c r="K109" i="1"/>
  <c r="K135" i="1"/>
  <c r="L135" i="1" s="1"/>
  <c r="H149" i="1"/>
  <c r="X149" i="8" s="1"/>
  <c r="K139" i="1"/>
  <c r="L139" i="1" s="1"/>
  <c r="AV139" i="8" s="1"/>
  <c r="H139" i="1"/>
  <c r="X139" i="8" s="1"/>
  <c r="H153" i="1"/>
  <c r="X153" i="8" s="1"/>
  <c r="I153" i="1"/>
  <c r="J153" i="1" s="1"/>
  <c r="AJ153" i="8" s="1"/>
  <c r="I136" i="1"/>
  <c r="J136" i="1" s="1"/>
  <c r="AJ136" i="8" s="1"/>
  <c r="K136" i="1"/>
  <c r="L136" i="1" s="1"/>
  <c r="AV136" i="8" s="1"/>
  <c r="J149" i="1"/>
  <c r="AJ149" i="8" s="1"/>
  <c r="I135" i="1"/>
  <c r="J135" i="1" s="1"/>
  <c r="H135" i="1"/>
  <c r="X135" i="8" l="1"/>
  <c r="H159" i="1"/>
  <c r="H160" i="1" s="1"/>
  <c r="H161" i="1" s="1"/>
  <c r="AJ135" i="8"/>
  <c r="AJ174" i="8" s="1"/>
  <c r="J159" i="1"/>
  <c r="J160" i="1" s="1"/>
  <c r="AV135" i="8"/>
  <c r="L159" i="1"/>
  <c r="L160" i="1" s="1"/>
  <c r="L161" i="1" s="1"/>
  <c r="BB150" i="8"/>
  <c r="BH159" i="8"/>
  <c r="BH191" i="8" s="1"/>
  <c r="R174" i="8"/>
  <c r="R176" i="8" s="1"/>
  <c r="AD153" i="8"/>
  <c r="AV174" i="8"/>
  <c r="AV176" i="8" s="1"/>
  <c r="AV177" i="8" s="1"/>
  <c r="X174" i="8"/>
  <c r="X176" i="8" s="1"/>
  <c r="AD136" i="8"/>
  <c r="AD149" i="8"/>
  <c r="AD139" i="8"/>
  <c r="BH160" i="8"/>
  <c r="BH161" i="8" s="1"/>
  <c r="K135" i="8"/>
  <c r="R166" i="8"/>
  <c r="R159" i="8"/>
  <c r="R160" i="8" s="1"/>
  <c r="AP153" i="8"/>
  <c r="BB153" i="8"/>
  <c r="BB139" i="8"/>
  <c r="AP139" i="8"/>
  <c r="AJ159" i="8"/>
  <c r="AJ160" i="8" s="1"/>
  <c r="AD135" i="8"/>
  <c r="AP136" i="8"/>
  <c r="BB136" i="8"/>
  <c r="AV149" i="8"/>
  <c r="AV159" i="8" s="1"/>
  <c r="AV220" i="8"/>
  <c r="AV236" i="8" s="1"/>
  <c r="AP134" i="8"/>
  <c r="BB134" i="8"/>
  <c r="X166" i="8"/>
  <c r="X159" i="8"/>
  <c r="X160" i="8" s="1"/>
  <c r="BB135" i="8"/>
  <c r="AP135" i="8"/>
  <c r="BH185" i="8"/>
  <c r="BB77" i="8"/>
  <c r="BH189" i="8"/>
  <c r="BH221" i="8" s="1"/>
  <c r="BH237" i="8" s="1"/>
  <c r="BB125" i="8"/>
  <c r="AJ188" i="8"/>
  <c r="AD109" i="8"/>
  <c r="AJ190" i="8"/>
  <c r="AK206" i="8" s="1"/>
  <c r="AD134" i="8"/>
  <c r="BH201" i="8"/>
  <c r="AJ187" i="8"/>
  <c r="AV204" i="8"/>
  <c r="AW204" i="8"/>
  <c r="AV187" i="8"/>
  <c r="BH167" i="8"/>
  <c r="BH168" i="8" s="1"/>
  <c r="AV238" i="8"/>
  <c r="AW238" i="8"/>
  <c r="BI237" i="8"/>
  <c r="Y236" i="8"/>
  <c r="X236" i="8"/>
  <c r="BI205" i="8"/>
  <c r="AV206" i="8"/>
  <c r="AW206" i="8"/>
  <c r="AJ189" i="8"/>
  <c r="AJ221" i="8" s="1"/>
  <c r="CC136" i="8"/>
  <c r="CC139" i="8"/>
  <c r="CC153" i="8"/>
  <c r="N108" i="6"/>
  <c r="CC149" i="8"/>
  <c r="I108" i="6"/>
  <c r="J108" i="6" s="1"/>
  <c r="P53" i="6"/>
  <c r="O80" i="6"/>
  <c r="P80" i="6" s="1"/>
  <c r="O69" i="6"/>
  <c r="M108" i="6"/>
  <c r="M112" i="6" s="1"/>
  <c r="N112" i="6" s="1"/>
  <c r="G113" i="6"/>
  <c r="K108" i="6"/>
  <c r="K112" i="6" s="1"/>
  <c r="L112" i="6" s="1"/>
  <c r="L108" i="6"/>
  <c r="M65" i="1"/>
  <c r="I5" i="3"/>
  <c r="L5" i="6" s="1"/>
  <c r="CC135" i="8" l="1"/>
  <c r="BH207" i="8"/>
  <c r="BH223" i="8"/>
  <c r="BI207" i="8"/>
  <c r="K167" i="8"/>
  <c r="K166" i="8"/>
  <c r="K165" i="8"/>
  <c r="AW236" i="8"/>
  <c r="K173" i="8"/>
  <c r="K174" i="8"/>
  <c r="K175" i="8"/>
  <c r="R191" i="8"/>
  <c r="S207" i="8" s="1"/>
  <c r="AJ220" i="8"/>
  <c r="AK236" i="8" s="1"/>
  <c r="R192" i="8"/>
  <c r="AJ204" i="8"/>
  <c r="BH217" i="8"/>
  <c r="BH233" i="8" s="1"/>
  <c r="AV219" i="8"/>
  <c r="AW235" i="8" s="1"/>
  <c r="AJ222" i="8"/>
  <c r="AK238" i="8" s="1"/>
  <c r="AP149" i="8"/>
  <c r="BB149" i="8"/>
  <c r="AK204" i="8"/>
  <c r="BH205" i="8"/>
  <c r="AJ219" i="8"/>
  <c r="AK235" i="8" s="1"/>
  <c r="BI201" i="8"/>
  <c r="AP159" i="8"/>
  <c r="BB159" i="8"/>
  <c r="AV160" i="8"/>
  <c r="BH188" i="8"/>
  <c r="BI204" i="8" s="1"/>
  <c r="BB109" i="8"/>
  <c r="BH187" i="8"/>
  <c r="BH203" i="8" s="1"/>
  <c r="BB95" i="8"/>
  <c r="AJ203" i="8"/>
  <c r="AJ206" i="8"/>
  <c r="AK203" i="8"/>
  <c r="K159" i="8"/>
  <c r="CC159" i="8" s="1"/>
  <c r="X168" i="8"/>
  <c r="X161" i="8"/>
  <c r="AV203" i="8"/>
  <c r="AW203" i="8"/>
  <c r="AJ166" i="8"/>
  <c r="AK237" i="8"/>
  <c r="AJ237" i="8"/>
  <c r="R168" i="8"/>
  <c r="AJ205" i="8"/>
  <c r="AK205" i="8"/>
  <c r="AV166" i="8"/>
  <c r="AV191" i="8"/>
  <c r="AV223" i="8" s="1"/>
  <c r="R161" i="8"/>
  <c r="I112" i="6"/>
  <c r="J112" i="6" s="1"/>
  <c r="G114" i="6"/>
  <c r="O113" i="6"/>
  <c r="O114" i="6" s="1"/>
  <c r="K159" i="1"/>
  <c r="M113" i="6"/>
  <c r="M159" i="1"/>
  <c r="K113" i="6"/>
  <c r="I159" i="1"/>
  <c r="F113" i="6"/>
  <c r="M66" i="3"/>
  <c r="J40" i="1"/>
  <c r="AJ40" i="8" l="1"/>
  <c r="J49" i="1"/>
  <c r="J65" i="1" s="1"/>
  <c r="J161" i="1" s="1"/>
  <c r="BI203" i="8"/>
  <c r="K160" i="8"/>
  <c r="CC160" i="8" s="1"/>
  <c r="BI239" i="8"/>
  <c r="BH239" i="8"/>
  <c r="R207" i="8"/>
  <c r="AJ173" i="8"/>
  <c r="AJ176" i="8" s="1"/>
  <c r="AJ177" i="8" s="1"/>
  <c r="R223" i="8"/>
  <c r="R239" i="8" s="1"/>
  <c r="AJ235" i="8"/>
  <c r="K176" i="8"/>
  <c r="AJ236" i="8"/>
  <c r="AV235" i="8"/>
  <c r="BH219" i="8"/>
  <c r="BI235" i="8" s="1"/>
  <c r="BH220" i="8"/>
  <c r="BI236" i="8" s="1"/>
  <c r="BI233" i="8"/>
  <c r="BH192" i="8"/>
  <c r="BI208" i="8" s="1"/>
  <c r="BI246" i="8" s="1"/>
  <c r="AJ238" i="8"/>
  <c r="AP160" i="8"/>
  <c r="AV161" i="8"/>
  <c r="AP161" i="8" s="1"/>
  <c r="AD40" i="8"/>
  <c r="AJ49" i="8"/>
  <c r="AJ165" i="8"/>
  <c r="AJ168" i="8" s="1"/>
  <c r="AJ169" i="8" s="1"/>
  <c r="BH204" i="8"/>
  <c r="BB160" i="8"/>
  <c r="AJ191" i="8"/>
  <c r="AK207" i="8" s="1"/>
  <c r="AD159" i="8"/>
  <c r="X191" i="8"/>
  <c r="AD160" i="8"/>
  <c r="R245" i="8"/>
  <c r="AV239" i="8"/>
  <c r="AW239" i="8"/>
  <c r="AV168" i="8"/>
  <c r="AV169" i="8" s="1"/>
  <c r="AV192" i="8"/>
  <c r="AW207" i="8"/>
  <c r="AV207" i="8"/>
  <c r="S208" i="8"/>
  <c r="S246" i="8" s="1"/>
  <c r="R208" i="8"/>
  <c r="R246" i="8" s="1"/>
  <c r="M114" i="6"/>
  <c r="K26" i="6"/>
  <c r="K32" i="6" s="1"/>
  <c r="L32" i="6" s="1"/>
  <c r="K161" i="8" l="1"/>
  <c r="BH235" i="8"/>
  <c r="S239" i="8"/>
  <c r="BB161" i="8"/>
  <c r="BH208" i="8"/>
  <c r="BH246" i="8" s="1"/>
  <c r="BH245" i="8"/>
  <c r="X223" i="8"/>
  <c r="Y239" i="8" s="1"/>
  <c r="BH236" i="8"/>
  <c r="AJ207" i="8"/>
  <c r="AJ223" i="8"/>
  <c r="AJ239" i="8" s="1"/>
  <c r="CC161" i="8"/>
  <c r="R224" i="8"/>
  <c r="R240" i="8" s="1"/>
  <c r="R248" i="8" s="1"/>
  <c r="Y207" i="8"/>
  <c r="X192" i="8"/>
  <c r="Y208" i="8" s="1"/>
  <c r="Y246" i="8" s="1"/>
  <c r="AV224" i="8"/>
  <c r="AV245" i="8"/>
  <c r="BH224" i="8"/>
  <c r="AV208" i="8"/>
  <c r="AV246" i="8" s="1"/>
  <c r="AW208" i="8"/>
  <c r="AW246" i="8" s="1"/>
  <c r="K168" i="8"/>
  <c r="I49" i="1"/>
  <c r="K44" i="6"/>
  <c r="X239" i="8" l="1"/>
  <c r="AK239" i="8"/>
  <c r="AJ183" i="8"/>
  <c r="AJ192" i="8" s="1"/>
  <c r="AJ245" i="8" s="1"/>
  <c r="AD49" i="8"/>
  <c r="X224" i="8"/>
  <c r="X247" i="8" s="1"/>
  <c r="X245" i="8"/>
  <c r="AJ199" i="8"/>
  <c r="AJ65" i="8"/>
  <c r="AJ161" i="8" s="1"/>
  <c r="S240" i="8"/>
  <c r="S248" i="8" s="1"/>
  <c r="R247" i="8"/>
  <c r="BH240" i="8"/>
  <c r="BH248" i="8" s="1"/>
  <c r="BH247" i="8"/>
  <c r="BI240" i="8"/>
  <c r="BI248" i="8" s="1"/>
  <c r="AV247" i="8"/>
  <c r="AW240" i="8"/>
  <c r="AW248" i="8" s="1"/>
  <c r="AV240" i="8"/>
  <c r="AV248" i="8" s="1"/>
  <c r="K114" i="6"/>
  <c r="L44" i="6"/>
  <c r="I65" i="1"/>
  <c r="F44" i="6"/>
  <c r="AK199" i="8" l="1"/>
  <c r="AJ215" i="8"/>
  <c r="AJ231" i="8" s="1"/>
  <c r="AD161" i="8"/>
  <c r="AD65" i="8"/>
  <c r="Y240" i="8"/>
  <c r="Y248" i="8" s="1"/>
  <c r="X240" i="8"/>
  <c r="X248" i="8" s="1"/>
  <c r="AJ208" i="8"/>
  <c r="AJ246" i="8" s="1"/>
  <c r="AJ224" i="8"/>
  <c r="AK240" i="8" s="1"/>
  <c r="AK248" i="8" s="1"/>
  <c r="AK208" i="8"/>
  <c r="AK246" i="8" s="1"/>
  <c r="F117" i="6"/>
  <c r="F114" i="6"/>
  <c r="F119" i="6"/>
  <c r="F118" i="6"/>
  <c r="I113" i="6"/>
  <c r="AK231" i="8" l="1"/>
  <c r="AJ247" i="8"/>
  <c r="AJ240" i="8"/>
  <c r="AJ248" i="8" s="1"/>
  <c r="I114" i="6"/>
  <c r="AB60" i="9" l="1"/>
  <c r="AB57" i="9"/>
  <c r="AB52" i="9"/>
  <c r="AB54" i="9" l="1"/>
  <c r="AB55" i="9"/>
  <c r="I58" i="9"/>
  <c r="AB58" i="9"/>
  <c r="M55" i="9"/>
  <c r="K55" i="9"/>
  <c r="AB53" i="9"/>
  <c r="I57" i="9"/>
  <c r="Z168" i="8" l="1"/>
  <c r="K59" i="9"/>
  <c r="AB50" i="9"/>
  <c r="A65" i="9"/>
  <c r="M58" i="9"/>
  <c r="I55" i="9"/>
  <c r="AB56" i="9"/>
  <c r="AB51" i="9"/>
  <c r="K58" i="9"/>
  <c r="I52" i="9"/>
  <c r="AB59" i="9"/>
  <c r="Z184" i="8" l="1"/>
  <c r="T168" i="8"/>
  <c r="AX169" i="8" s="1"/>
  <c r="M52" i="9"/>
  <c r="K57" i="9"/>
  <c r="AB64" i="9"/>
  <c r="M59" i="9"/>
  <c r="K52" i="9"/>
  <c r="T184" i="8"/>
  <c r="M57" i="9"/>
  <c r="U200" i="8" l="1"/>
  <c r="T216" i="8"/>
  <c r="U232" i="8" s="1"/>
  <c r="AA200" i="8"/>
  <c r="Z216" i="8"/>
  <c r="AA232" i="8" s="1"/>
  <c r="AX64" i="8"/>
  <c r="M64" i="8"/>
  <c r="Z192" i="8"/>
  <c r="AA208" i="8" s="1"/>
  <c r="AA246" i="8" s="1"/>
  <c r="Z200" i="8"/>
  <c r="T192" i="8"/>
  <c r="U208" i="8" s="1"/>
  <c r="U246" i="8" s="1"/>
  <c r="T200" i="8"/>
  <c r="AB65" i="9"/>
  <c r="Z232" i="8" l="1"/>
  <c r="T232" i="8"/>
  <c r="AR64" i="8"/>
  <c r="AX184" i="8"/>
  <c r="CE64" i="8"/>
  <c r="M65" i="8"/>
  <c r="T208" i="8"/>
  <c r="T246" i="8" s="1"/>
  <c r="T245" i="8"/>
  <c r="Z208" i="8"/>
  <c r="Z246" i="8" s="1"/>
  <c r="Z245" i="8"/>
  <c r="M165" i="8" l="1"/>
  <c r="M173" i="8"/>
  <c r="M174" i="8"/>
  <c r="M175" i="8"/>
  <c r="AY200" i="8"/>
  <c r="AX216" i="8"/>
  <c r="AX200" i="8"/>
  <c r="AX192" i="8"/>
  <c r="CE65" i="8"/>
  <c r="M166" i="8" s="1"/>
  <c r="M161" i="8"/>
  <c r="T224" i="8" s="1"/>
  <c r="M167" i="8" l="1"/>
  <c r="M168" i="8" s="1"/>
  <c r="M176" i="8"/>
  <c r="AX245" i="8"/>
  <c r="AY208" i="8"/>
  <c r="AY246" i="8" s="1"/>
  <c r="AX208" i="8"/>
  <c r="AX246" i="8" s="1"/>
  <c r="AX224" i="8"/>
  <c r="AY232" i="8"/>
  <c r="AX232" i="8"/>
  <c r="T240" i="8"/>
  <c r="T248" i="8" s="1"/>
  <c r="CE161" i="8"/>
  <c r="U224" i="8"/>
  <c r="AA224" i="8"/>
  <c r="Z224" i="8"/>
  <c r="Z240" i="8" s="1"/>
  <c r="Z248" i="8" s="1"/>
  <c r="T247" i="8"/>
  <c r="I56" i="9"/>
  <c r="AX240" i="8" l="1"/>
  <c r="AX248" i="8" s="1"/>
  <c r="AX247" i="8"/>
  <c r="AY240" i="8"/>
  <c r="AY248" i="8" s="1"/>
  <c r="U247" i="8"/>
  <c r="V240" i="8"/>
  <c r="V248" i="8" s="1"/>
  <c r="Z247" i="8"/>
  <c r="AA240" i="8"/>
  <c r="AA248" i="8" s="1"/>
  <c r="U240" i="8"/>
  <c r="U248" i="8" s="1"/>
  <c r="AB240" i="8"/>
  <c r="AB248" i="8" s="1"/>
  <c r="AA247" i="8"/>
  <c r="K56" i="9"/>
  <c r="M56" i="9"/>
  <c r="I59" i="9"/>
  <c r="I54" i="9" l="1"/>
  <c r="M54" i="9" l="1"/>
  <c r="K54" i="9"/>
  <c r="I53" i="9" l="1"/>
  <c r="M53" i="9" l="1"/>
  <c r="I60" i="9"/>
  <c r="K53" i="9"/>
  <c r="K50" i="9" l="1"/>
  <c r="M60" i="9"/>
  <c r="I50" i="9"/>
  <c r="K60" i="9"/>
  <c r="M50" i="9" l="1"/>
  <c r="I51" i="9" l="1"/>
  <c r="K51" i="9"/>
  <c r="AL165" i="8" l="1"/>
  <c r="AL168" i="8" s="1"/>
  <c r="AL169" i="8" s="1"/>
  <c r="K64" i="9"/>
  <c r="I64" i="9"/>
  <c r="AL184" i="8" l="1"/>
  <c r="AF64" i="8"/>
  <c r="AL192" i="8"/>
  <c r="I65" i="9"/>
  <c r="M64" i="9"/>
  <c r="K65" i="9"/>
  <c r="AX65" i="8"/>
  <c r="AL65" i="8"/>
  <c r="AL245" i="8" l="1"/>
  <c r="AM208" i="8"/>
  <c r="AM246" i="8" s="1"/>
  <c r="AL224" i="8"/>
  <c r="AL208" i="8"/>
  <c r="AL246" i="8" s="1"/>
  <c r="AM200" i="8"/>
  <c r="AL216" i="8"/>
  <c r="AL200" i="8"/>
  <c r="BD64" i="8"/>
  <c r="AX161" i="8"/>
  <c r="AR161" i="8" s="1"/>
  <c r="AR65" i="8"/>
  <c r="AF65" i="8"/>
  <c r="AL161" i="8"/>
  <c r="BJ65" i="8"/>
  <c r="BJ161" i="8" s="1"/>
  <c r="M65" i="9"/>
  <c r="AF161" i="8"/>
  <c r="AM232" i="8" l="1"/>
  <c r="AL232" i="8"/>
  <c r="AM240" i="8"/>
  <c r="AM248" i="8" s="1"/>
  <c r="AL247" i="8"/>
  <c r="AL240" i="8"/>
  <c r="AL248" i="8" s="1"/>
  <c r="BD161" i="8"/>
  <c r="BD65" i="8"/>
  <c r="H69" i="6" l="1"/>
  <c r="G164" i="1"/>
  <c r="H113" i="6"/>
  <c r="AB95" i="9"/>
  <c r="F167" i="9" s="1"/>
  <c r="F166" i="1"/>
  <c r="G161" i="14"/>
  <c r="G161" i="12"/>
  <c r="AB95" i="13"/>
  <c r="F165" i="13" s="1"/>
  <c r="AB95" i="14"/>
  <c r="F167" i="14" s="1"/>
  <c r="F165" i="14"/>
  <c r="AB95" i="12"/>
  <c r="F167" i="12" s="1"/>
  <c r="AB95" i="3"/>
  <c r="F167" i="3" s="1"/>
  <c r="F165" i="3"/>
  <c r="G161" i="13"/>
  <c r="AB95" i="1"/>
  <c r="F167" i="1" s="1"/>
  <c r="F165" i="1"/>
  <c r="G161" i="3"/>
  <c r="G161" i="9"/>
  <c r="F166" i="3" l="1"/>
  <c r="F168" i="3" s="1"/>
  <c r="F166" i="14"/>
  <c r="F168" i="14" s="1"/>
  <c r="G161" i="1"/>
  <c r="H114" i="6" s="1"/>
  <c r="F168" i="1"/>
  <c r="F166" i="9"/>
  <c r="F165" i="12"/>
  <c r="F166" i="12"/>
  <c r="F166" i="13"/>
  <c r="F167" i="13"/>
  <c r="F165" i="9"/>
  <c r="F168" i="13" l="1"/>
  <c r="F168" i="9"/>
  <c r="F168" i="12"/>
  <c r="I95" i="14"/>
  <c r="I95" i="3"/>
  <c r="K95" i="3"/>
  <c r="K95" i="12"/>
  <c r="I95" i="12"/>
  <c r="K95" i="14"/>
  <c r="P69" i="6"/>
  <c r="M95" i="1"/>
  <c r="J69" i="6"/>
  <c r="I95" i="9"/>
  <c r="M95" i="12"/>
  <c r="X69" i="6"/>
  <c r="M95" i="9"/>
  <c r="M95" i="13"/>
  <c r="N69" i="6"/>
  <c r="K95" i="1"/>
  <c r="M160" i="1"/>
  <c r="I95" i="1"/>
  <c r="L69" i="6"/>
  <c r="L113" i="6"/>
  <c r="I95" i="13"/>
  <c r="I160" i="12"/>
  <c r="K95" i="13"/>
  <c r="I161" i="13"/>
  <c r="M161" i="1"/>
  <c r="K160" i="12"/>
  <c r="K161" i="14"/>
  <c r="M95" i="14"/>
  <c r="J113" i="6"/>
  <c r="K95" i="9"/>
  <c r="K160" i="9"/>
  <c r="I161" i="9"/>
  <c r="M160" i="12"/>
  <c r="I161" i="3"/>
  <c r="K160" i="3"/>
  <c r="V69" i="6"/>
  <c r="M95" i="3"/>
  <c r="I160" i="14"/>
  <c r="K160" i="13"/>
  <c r="M160" i="9"/>
  <c r="K161" i="12" l="1"/>
  <c r="M160" i="13"/>
  <c r="K161" i="13"/>
  <c r="I160" i="3"/>
  <c r="K161" i="3"/>
  <c r="K161" i="9"/>
  <c r="I160" i="13"/>
  <c r="M160" i="3"/>
  <c r="I161" i="14"/>
  <c r="M161" i="14"/>
  <c r="N114" i="6"/>
  <c r="K161" i="1"/>
  <c r="I160" i="9"/>
  <c r="M161" i="12"/>
  <c r="I161" i="12"/>
  <c r="K160" i="1"/>
  <c r="N113" i="6"/>
  <c r="M161" i="13"/>
  <c r="J114" i="6"/>
  <c r="M160" i="14"/>
  <c r="K160" i="14"/>
  <c r="P113" i="6"/>
  <c r="I160" i="1"/>
  <c r="L114" i="6" l="1"/>
  <c r="I161" i="1"/>
  <c r="M161" i="9"/>
  <c r="M161" i="3"/>
  <c r="P114" i="6"/>
  <c r="BU161" i="8"/>
  <c r="BU160" i="8"/>
  <c r="BU95" i="8"/>
  <c r="BO95" i="8"/>
  <c r="BR161" i="8"/>
  <c r="BR160" i="8"/>
  <c r="BR95" i="8"/>
  <c r="BQ95" i="8"/>
  <c r="BT161" i="8"/>
  <c r="BT160" i="8"/>
  <c r="BT95" i="8"/>
  <c r="BN95" i="8"/>
  <c r="BS161" i="8"/>
  <c r="BS160" i="8"/>
  <c r="BS95" i="8"/>
  <c r="BP95" i="8"/>
</calcChain>
</file>

<file path=xl/sharedStrings.xml><?xml version="1.0" encoding="utf-8"?>
<sst xmlns="http://schemas.openxmlformats.org/spreadsheetml/2006/main" count="5288" uniqueCount="231">
  <si>
    <t>AERE</t>
  </si>
  <si>
    <t>Salève Vivant</t>
  </si>
  <si>
    <t>APICY</t>
  </si>
  <si>
    <t>ProVélo GE</t>
  </si>
  <si>
    <t>EVAV</t>
  </si>
  <si>
    <t>AMANCY_Giratoire Coriandre</t>
  </si>
  <si>
    <t>PERS-JUSSY_Giratoire Casino</t>
  </si>
  <si>
    <t>REIGNIER_Giratoire église</t>
  </si>
  <si>
    <t>REIGNIER_Giratoire La Forge</t>
  </si>
  <si>
    <t>ARTHAZ_Giratoire lavage auto</t>
  </si>
  <si>
    <t>ETREMBIERES_Giratoire ex PN93</t>
  </si>
  <si>
    <t>ETREMBIERES_Carrefour sous Château</t>
  </si>
  <si>
    <t>SCIENTRIER_Carrefour Tour de Bellecombe</t>
  </si>
  <si>
    <t>LA ROCHE_Carrefour Biocoop</t>
  </si>
  <si>
    <t>LA ROCHE_Giratoire La Poste</t>
  </si>
  <si>
    <t>LA ROCHE_Giratoire ENILV</t>
  </si>
  <si>
    <t>ARENTHON_La Papeterie</t>
  </si>
  <si>
    <t>ST-PIERRE_Franchissement Borne-Dessy</t>
  </si>
  <si>
    <t>BONNEVILLE_Franchissement Borne-Tucinge</t>
  </si>
  <si>
    <t>ST-PIERRE_Pont principal sur le Borne</t>
  </si>
  <si>
    <t>NatEnv &amp; Fabrique à Biclou</t>
  </si>
  <si>
    <t>-</t>
  </si>
  <si>
    <t>GAILLARD_Douane de Moïllesullaz</t>
  </si>
  <si>
    <t>ANNEMASSE_Clos Fleury</t>
  </si>
  <si>
    <t>GAILLARD_Douane de Fossard</t>
  </si>
  <si>
    <t>AMBILLY_Voie verte Pont Noir</t>
  </si>
  <si>
    <t>ANNEMASSE_Voie verte Jura</t>
  </si>
  <si>
    <t>ARCHAMPS_Douane de Landecy</t>
  </si>
  <si>
    <t>COLLONGES_Douane de Croix de Rozon</t>
  </si>
  <si>
    <t>BOSSEY_Douane de Pierre-Grand</t>
  </si>
  <si>
    <t>BOSSEY_Douane de Troinex/Bossey</t>
  </si>
  <si>
    <t>VEYRIER_Douane du Pas de l'Echelle</t>
  </si>
  <si>
    <t>ST-JULIEN_Douane de Perly</t>
  </si>
  <si>
    <t>ST-JULIEN_Passage douanier des Crottes</t>
  </si>
  <si>
    <t>VIRY_Douane de Soral 2</t>
  </si>
  <si>
    <t>ST-JULIEN_Douane de Soral 1</t>
  </si>
  <si>
    <t>DIVONNE_Douane de Crassy / Crassier</t>
  </si>
  <si>
    <t>ST-GENIS_Giratoire Porte de France</t>
  </si>
  <si>
    <t>FERNEY_Douane de Mategnin</t>
  </si>
  <si>
    <t>Autres modes</t>
  </si>
  <si>
    <t>Piétons</t>
  </si>
  <si>
    <t>&gt; Suisse</t>
  </si>
  <si>
    <t>&gt; France</t>
  </si>
  <si>
    <t>total</t>
  </si>
  <si>
    <t>HP</t>
  </si>
  <si>
    <t>Groupe St-Julien</t>
  </si>
  <si>
    <t>ST-JULIEN_Douane de Certoux (rte Thérens)</t>
  </si>
  <si>
    <t>ST-JULIEN_Paguette (chemin de l'Aire)</t>
  </si>
  <si>
    <t>GENEVE_Rue du XXXI Décembre</t>
  </si>
  <si>
    <t>GENEVE_Bd Georges Favon</t>
  </si>
  <si>
    <t>GENEVE_Av. Pictet de Rochemont</t>
  </si>
  <si>
    <t>GENEVE_Voie Verte / Av. Frank Thomas</t>
  </si>
  <si>
    <t>GENEVE_Bd des Tranchées</t>
  </si>
  <si>
    <t>Association(s)</t>
  </si>
  <si>
    <t>Nombre de vélos</t>
  </si>
  <si>
    <t>% VAE dans le total</t>
  </si>
  <si>
    <t>% femmes dans le total</t>
  </si>
  <si>
    <t>% de VAE chez les femmes</t>
  </si>
  <si>
    <t>ANNEMASSE_Devant l'agglo</t>
  </si>
  <si>
    <t>France / Suisse / Frontière</t>
  </si>
  <si>
    <t>France</t>
  </si>
  <si>
    <t>Suisse</t>
  </si>
  <si>
    <t>Frontière</t>
  </si>
  <si>
    <t>NB VAE dans le total</t>
  </si>
  <si>
    <t>NB de VAE chez les femmes</t>
  </si>
  <si>
    <t>NB de femmes dans le total</t>
  </si>
  <si>
    <t>TOTAL</t>
  </si>
  <si>
    <t>Localisation des postes de comptage :</t>
  </si>
  <si>
    <t>données partielles</t>
  </si>
  <si>
    <t>Nombre de bénévoles</t>
  </si>
  <si>
    <t>UP Cluses</t>
  </si>
  <si>
    <t>CLUSES_Passerelle de Messy</t>
  </si>
  <si>
    <t>ATE Vaud / ProVélo La Côte</t>
  </si>
  <si>
    <t>GENEVE_Rue Ferdinand Hodler</t>
  </si>
  <si>
    <t>Arrière-pays</t>
  </si>
  <si>
    <t>OUI</t>
  </si>
  <si>
    <t>NON</t>
  </si>
  <si>
    <t>Sous-total périmètre urbain</t>
  </si>
  <si>
    <t>Sous-total périmètre "arrière-pays"</t>
  </si>
  <si>
    <t>Postes de comptage</t>
  </si>
  <si>
    <t>GENEVE_Voie Verte / Av. Bel-Air</t>
  </si>
  <si>
    <t>GENEVE_Arquebuse</t>
  </si>
  <si>
    <t>NatEnv (Nature Environnement en Pays rochois)
Fabrique à Biclou
Pays rochois en Transition</t>
  </si>
  <si>
    <t>AERE (Association Environnement Reignier-Esery)</t>
  </si>
  <si>
    <t>EVAV (En Ville A Vélo)</t>
  </si>
  <si>
    <t>APiCy (Association des Piétons et Cyclistes du Pays de Gex)</t>
  </si>
  <si>
    <t>Université Populaire de Cluses</t>
  </si>
  <si>
    <t>nombre total de cyclistes comptés sur toute la période</t>
  </si>
  <si>
    <t>Colonne</t>
  </si>
  <si>
    <t>D</t>
  </si>
  <si>
    <t>G</t>
  </si>
  <si>
    <t>H</t>
  </si>
  <si>
    <t>nombre de bénévoles par poste de comptage</t>
  </si>
  <si>
    <t>E</t>
  </si>
  <si>
    <t>nom/localisation du poste de comptage</t>
  </si>
  <si>
    <t>F</t>
  </si>
  <si>
    <t>implantation : France / Suisse / Frontière</t>
  </si>
  <si>
    <t>I</t>
  </si>
  <si>
    <t>J</t>
  </si>
  <si>
    <t>K</t>
  </si>
  <si>
    <t>L</t>
  </si>
  <si>
    <t>M</t>
  </si>
  <si>
    <t>N</t>
  </si>
  <si>
    <t>nombre de VAE dans le total (référence à la colonne G)</t>
  </si>
  <si>
    <t>nombre de femmes dans le total (référence à la colonne G)</t>
  </si>
  <si>
    <t>nombre de cyclistes comptés sur l'heure de pointe (7h30 - 8h30) uniquement</t>
  </si>
  <si>
    <t>S</t>
  </si>
  <si>
    <t>T</t>
  </si>
  <si>
    <t>U</t>
  </si>
  <si>
    <t>V</t>
  </si>
  <si>
    <t>FRONTIERE</t>
  </si>
  <si>
    <t xml:space="preserve">Eléments obligatoires pour les postes frontières et carrefours proches frontière               </t>
  </si>
  <si>
    <t>nombre total de cyclistes comptés sur toute la période - Direction Suisse</t>
  </si>
  <si>
    <t>nombre de cyclistes comptés sur l'heure de pointe (7h30 - 8h30) uniquement - Direction Suisse</t>
  </si>
  <si>
    <t>nombre total de cyclistes comptés sur toute la période - Direction France</t>
  </si>
  <si>
    <t>nombre de cyclistes comptés sur l'heure de pointe (7h30 - 8h30) uniquement - Direction France</t>
  </si>
  <si>
    <t>Ce qu'il faut renseigner</t>
  </si>
  <si>
    <t>O</t>
  </si>
  <si>
    <t>P</t>
  </si>
  <si>
    <t>Q</t>
  </si>
  <si>
    <t>R</t>
  </si>
  <si>
    <t>calcul automatique (du nombre de femmes dans le total)</t>
  </si>
  <si>
    <t>calcul automatique (du nombre de VAE dans le total)</t>
  </si>
  <si>
    <t>nombre total de VAE chez les femmes (valeur spécifique à relever)</t>
  </si>
  <si>
    <t>calcul automatique (du nombre total de VAE chez les femmes)</t>
  </si>
  <si>
    <t>DONNEES GENERALES</t>
  </si>
  <si>
    <t>AUTRES DONNEES</t>
  </si>
  <si>
    <t>nombre total de personnes comptées sur toute la période en "autre mode" (trottinette, gyropode…)</t>
  </si>
  <si>
    <t>nombre total de piétons comptés sur toute la période</t>
  </si>
  <si>
    <t>nombre total de piétons comptés en HPM (7h30 - 8h30)</t>
  </si>
  <si>
    <t>nombre total de personnes comptées en HPM (7h30 - 8h30) en "autre mode" (trottinette, gyropode…)</t>
  </si>
  <si>
    <t>Toutes les cellules blanches ne sont pas à renseigner (formule de calcul ou NC)</t>
  </si>
  <si>
    <t>REIGNIER_Giratoire Foron</t>
  </si>
  <si>
    <t>#</t>
  </si>
  <si>
    <t>%</t>
  </si>
  <si>
    <t>Evolution des vélos 2020-2021</t>
  </si>
  <si>
    <t>Evolution des VAE 2020-2021</t>
  </si>
  <si>
    <t>Evolution des femmes  2020-2021</t>
  </si>
  <si>
    <t>Sous-total</t>
  </si>
  <si>
    <t>Evolution des VAE chez les femmes 2020-2021</t>
  </si>
  <si>
    <t>LA ROCHE_Gare Passage à niveau (new2021)</t>
  </si>
  <si>
    <t>LA ROCHE_Gare Passage à niveau (new 2021)</t>
  </si>
  <si>
    <t>en HP</t>
  </si>
  <si>
    <t>THÔNEX_Ch. de la Mousse/Rte de Jussy</t>
  </si>
  <si>
    <t>CHÊNE-BOURG_Ecole de Haller</t>
  </si>
  <si>
    <t>Compté par ProVélo en 2021 (Salève Vivant en 2020)</t>
  </si>
  <si>
    <t>VALLEIRY_La Joux</t>
  </si>
  <si>
    <t>VIRY_Malagny</t>
  </si>
  <si>
    <t>VERSONNEX_Douane de Collex-Bossy</t>
  </si>
  <si>
    <t>SAUVERNY_Douane de Sauverny</t>
  </si>
  <si>
    <t>DIVONNE_Douane de Chavanne</t>
  </si>
  <si>
    <t>APiCy (Association des Piétons et Cyclistes du Pays de Gex)
+ ProVélo La Côte et ATE Vaud</t>
  </si>
  <si>
    <t>GRILLY_Douane du Pont</t>
  </si>
  <si>
    <t>DIVONNE-CRASSIER_Voie verte</t>
  </si>
  <si>
    <t>STJEAN_Douane de Dardagny</t>
  </si>
  <si>
    <t>CHALLEX_Douane de La Plaine</t>
  </si>
  <si>
    <t>POUGNY_Douane de Chancy</t>
  </si>
  <si>
    <t>FERNEY_Douane du GdSaconnex</t>
  </si>
  <si>
    <t>FERNEY_Douane de Vireloup</t>
  </si>
  <si>
    <t>Total</t>
  </si>
  <si>
    <t>VAE dans le total</t>
  </si>
  <si>
    <t>[en %]</t>
  </si>
  <si>
    <t>[en valeur]</t>
  </si>
  <si>
    <t>L'Abeille (Contamine)</t>
  </si>
  <si>
    <t>BONNE_Loëx (sous voie rapide)</t>
  </si>
  <si>
    <t>ACMB (Chablais)</t>
  </si>
  <si>
    <t>COMMUNE_Carrefour</t>
  </si>
  <si>
    <t>Le Préau</t>
  </si>
  <si>
    <t>AMDC (Chablais)</t>
  </si>
  <si>
    <t>AMANCY Sous-terrain Vozerier (new 2022)</t>
  </si>
  <si>
    <t>ST-PIERRE M. Bricolage</t>
  </si>
  <si>
    <t>ST-JULIEN_Douane piét. (chemin de Chécande)</t>
  </si>
  <si>
    <t>Compté par Salève Vivant en 2021 sous le nom Charrot</t>
  </si>
  <si>
    <t>ST-JULIEN_Douane piét. (chemin de Lathoy)</t>
  </si>
  <si>
    <t>Y compris comptage France-France carrefour Sous Lathoy</t>
  </si>
  <si>
    <t>COLLONGES_Passage parking du Marché</t>
  </si>
  <si>
    <t>GENEVE_Route de Lausanne</t>
  </si>
  <si>
    <t>GENEVE_Route de Chancy</t>
  </si>
  <si>
    <t>GENEVE_Rue de Lyon</t>
  </si>
  <si>
    <t>GENEVE_Rue de la Servette</t>
  </si>
  <si>
    <t>THONEX/GAILLARD_hameau de Fossard</t>
  </si>
  <si>
    <t>THONEX/GAILLARD_Pont de Souville</t>
  </si>
  <si>
    <t>ALLINGES_Rond point des Fleysets</t>
  </si>
  <si>
    <t>BONS_Gare</t>
  </si>
  <si>
    <t>DOUVAINE_Mairie</t>
  </si>
  <si>
    <t>EVIAN_Gare</t>
  </si>
  <si>
    <t>PERRIGNIER_Gare</t>
  </si>
  <si>
    <t>THONON_Embarcadère CGN</t>
  </si>
  <si>
    <t>THONON_Entrée côté place de Crête</t>
  </si>
  <si>
    <t>THONON_Parvis de la gare</t>
  </si>
  <si>
    <t>THONON_Avenue d’Evian</t>
  </si>
  <si>
    <t>THONON_Carrefour Libération</t>
  </si>
  <si>
    <t>THONON_Collège Champagne</t>
  </si>
  <si>
    <t>THONON_Ecole Jule Ferry</t>
  </si>
  <si>
    <t>THONON_Rond point J. Ferry G Andrier Pl des Arts Bld du Canal</t>
  </si>
  <si>
    <t>THONON/ANTHY_Pont de Marclaz</t>
  </si>
  <si>
    <t>THONON/MARIN_Pont de Dranse</t>
  </si>
  <si>
    <t>VEIGY_Douane</t>
  </si>
  <si>
    <t>REIGNIER_Carrefour Marsinge / Viaison</t>
  </si>
  <si>
    <t>Compté par Salève Vivant en 2020 (sinon ProVélo ou EVAV ?)</t>
  </si>
  <si>
    <t>Femmes dans le total</t>
  </si>
  <si>
    <t>VAE chez les femmes</t>
  </si>
  <si>
    <t>NB de bénévoles</t>
  </si>
  <si>
    <t/>
  </si>
  <si>
    <t>NB postes</t>
  </si>
  <si>
    <t>Localisation des postes de comptage</t>
  </si>
  <si>
    <t>OK</t>
  </si>
  <si>
    <t>VAE-Femmes</t>
  </si>
  <si>
    <t>Femmes</t>
  </si>
  <si>
    <t>VAE</t>
  </si>
  <si>
    <t>L'Abeille</t>
  </si>
  <si>
    <t>AMDC</t>
  </si>
  <si>
    <t>NatEnv</t>
  </si>
  <si>
    <t>ATE VD</t>
  </si>
  <si>
    <t>APiCy</t>
  </si>
  <si>
    <t>Evolution en %</t>
  </si>
  <si>
    <t>RECAPITULATIF PAR ASSOCIATION (en NB)</t>
  </si>
  <si>
    <t>RECAPITULATIF PAR ASSOCIATION (en %)</t>
  </si>
  <si>
    <r>
      <t xml:space="preserve">RECAPITULATIF PAR ASSOCIATION (en NB)
</t>
    </r>
    <r>
      <rPr>
        <b/>
        <i/>
        <sz val="11.5"/>
        <color theme="0"/>
        <rFont val="Calibri"/>
        <family val="2"/>
        <scheme val="minor"/>
      </rPr>
      <t>en moyenne par carrefour</t>
    </r>
  </si>
  <si>
    <r>
      <t xml:space="preserve">RECAPITULATIF PAR ASSOCIATION (en %)
</t>
    </r>
    <r>
      <rPr>
        <b/>
        <i/>
        <sz val="11.5"/>
        <color theme="0"/>
        <rFont val="Calibri"/>
        <family val="2"/>
        <scheme val="minor"/>
      </rPr>
      <t>en moyenne par carrefour</t>
    </r>
  </si>
  <si>
    <t>en NB</t>
  </si>
  <si>
    <t>en %</t>
  </si>
  <si>
    <t>MOY.</t>
  </si>
  <si>
    <t>SYNTHESE</t>
  </si>
  <si>
    <t>Eléments à renseigner par chaque association dans l'onglet "2023"</t>
  </si>
  <si>
    <t>&gt;&gt; cellules en bleu dans l'onglet "2023"</t>
  </si>
  <si>
    <t>Eléments obligatoires &gt;&gt; cellules en vert dans l'onglet "2023"</t>
  </si>
  <si>
    <t>Eléments facultatifs &gt;&gt; cellules en rose dans l'onglet "2023"</t>
  </si>
  <si>
    <t>REIGNIER_Giratoire ex gendarmerie</t>
  </si>
  <si>
    <t>REIGNIER_Carrefour Gare - Tour d'Ivoire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</si>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</sst>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_€_-;\-* #,##0\ _€_-;_-* &quot;-&quot;\ _€_-;_-@_-"/>
    <numFmt numFmtId="165" formatCode="0&quot; postes de comptages&quot;"/>
    <numFmt numFmtId="166" formatCode="0&quot; &quot;%"/>
    <numFmt numFmtId="167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.5"/>
      <color theme="0"/>
      <name val="Calibri"/>
      <family val="2"/>
      <scheme val="minor"/>
    </font>
    <font>
      <b/>
      <i/>
      <sz val="11.5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DFF8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rgb="FF00B0F0"/>
        <bgColor indexed="64"/>
      </patternFill>
    </fill>
    <fill>
      <patternFill patternType="solid">
        <fgColor theme="1" tint="0.34998626667073579"/>
        <bgColor indexed="64"/>
      </patternFill>
    </fill>
  </fills>
  <borders count="23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/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/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auto="1"/>
      </right>
      <top style="dotted">
        <color theme="1" tint="0.499984740745262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tted">
        <color theme="1" tint="0.499984740745262"/>
      </right>
      <top/>
      <bottom/>
      <diagonal/>
    </border>
    <border>
      <left style="dotted">
        <color theme="1" tint="0.499984740745262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medium">
        <color auto="1"/>
      </left>
      <right style="dotted">
        <color theme="1" tint="0.499984740745262"/>
      </right>
      <top/>
      <bottom/>
      <diagonal/>
    </border>
    <border>
      <left style="medium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thin">
        <color auto="1"/>
      </right>
      <top/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 style="thin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tted">
        <color theme="1" tint="0.499984740745262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theme="1" tint="0.499984740745262"/>
      </right>
      <top style="medium">
        <color auto="1"/>
      </top>
      <bottom style="medium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tted">
        <color theme="1" tint="0.499984740745262"/>
      </bottom>
      <diagonal/>
    </border>
    <border>
      <left/>
      <right style="thin">
        <color auto="1"/>
      </right>
      <top/>
      <bottom style="dotted">
        <color theme="1" tint="0.499984740745262"/>
      </bottom>
      <diagonal/>
    </border>
    <border>
      <left style="medium">
        <color auto="1"/>
      </left>
      <right/>
      <top/>
      <bottom style="dotted">
        <color theme="1" tint="0.499984740745262"/>
      </bottom>
      <diagonal/>
    </border>
    <border>
      <left style="medium">
        <color auto="1"/>
      </left>
      <right/>
      <top style="dotted">
        <color theme="1" tint="0.499984740745262"/>
      </top>
      <bottom style="dotted">
        <color theme="1" tint="0.499984740745262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thin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dotted">
        <color theme="1" tint="0.499984740745262"/>
      </top>
      <bottom/>
      <diagonal/>
    </border>
    <border>
      <left/>
      <right/>
      <top style="dotted">
        <color theme="1" tint="0.499984740745262"/>
      </top>
      <bottom/>
      <diagonal/>
    </border>
    <border>
      <left style="thin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medium">
        <color auto="1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dotted">
        <color theme="1" tint="0.499984740745262"/>
      </top>
      <bottom/>
      <diagonal/>
    </border>
    <border>
      <left style="thin">
        <color auto="1"/>
      </left>
      <right style="medium">
        <color auto="1"/>
      </right>
      <top style="dotted">
        <color theme="1" tint="0.499984740745262"/>
      </top>
      <bottom/>
      <diagonal/>
    </border>
    <border>
      <left style="medium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dotted">
        <color auto="1"/>
      </right>
      <top style="dotted">
        <color theme="1" tint="0.499984740745262"/>
      </top>
      <bottom/>
      <diagonal/>
    </border>
    <border>
      <left style="dotted">
        <color auto="1"/>
      </left>
      <right style="dotted">
        <color theme="1" tint="0.499984740745262"/>
      </right>
      <top style="dotted">
        <color theme="1" tint="0.499984740745262"/>
      </top>
      <bottom/>
      <diagonal/>
    </border>
    <border>
      <left style="dotted">
        <color theme="1" tint="0.499984740745262"/>
      </left>
      <right style="thin">
        <color auto="1"/>
      </right>
      <top style="dotted">
        <color theme="1" tint="0.499984740745262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dotted">
        <color theme="1" tint="0.499984740745262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theme="1" tint="0.499984740745262"/>
      </right>
      <top style="thin">
        <color auto="1"/>
      </top>
      <bottom/>
      <diagonal/>
    </border>
    <border>
      <left style="dotted">
        <color theme="1" tint="0.499984740745262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theme="1" tint="0.499984740745262"/>
      </right>
      <top style="medium">
        <color auto="1"/>
      </top>
      <bottom style="dotted">
        <color auto="1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auto="1"/>
      </top>
      <bottom style="dotted">
        <color auto="1"/>
      </bottom>
      <diagonal/>
    </border>
    <border>
      <left style="dotted">
        <color theme="1" tint="0.499984740745262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dotted">
        <color theme="1" tint="0.499984740745262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theme="1" tint="0.499984740745262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tted">
        <color theme="1" tint="0.499984740745262"/>
      </right>
      <top style="dotted">
        <color auto="1"/>
      </top>
      <bottom style="dotted">
        <color auto="1"/>
      </bottom>
      <diagonal/>
    </border>
    <border>
      <left/>
      <right style="dotted">
        <color theme="1" tint="0.499984740745262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rgb="FF7F7F7F"/>
      </right>
      <top style="dotted">
        <color auto="1"/>
      </top>
      <bottom style="dotted">
        <color auto="1"/>
      </bottom>
      <diagonal/>
    </border>
    <border>
      <left style="dotted">
        <color rgb="FF7F7F7F"/>
      </left>
      <right style="thin">
        <color rgb="FF000000"/>
      </right>
      <top style="dotted">
        <color auto="1"/>
      </top>
      <bottom style="dotted">
        <color auto="1"/>
      </bottom>
      <diagonal/>
    </border>
    <border>
      <left style="dotted">
        <color rgb="FF7F7F7F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rgb="FF7F7F7F"/>
      </right>
      <top style="thin">
        <color auto="1"/>
      </top>
      <bottom style="dotted">
        <color auto="1"/>
      </bottom>
      <diagonal/>
    </border>
    <border>
      <left style="dotted">
        <color rgb="FF7F7F7F"/>
      </left>
      <right style="thin">
        <color rgb="FF000000"/>
      </right>
      <top style="thin">
        <color auto="1"/>
      </top>
      <bottom style="dotted">
        <color auto="1"/>
      </bottom>
      <diagonal/>
    </border>
    <border>
      <left style="dotted">
        <color rgb="FF7F7F7F"/>
      </left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6" fontId="17" fillId="0" borderId="0" applyFont="0" applyBorder="0" applyProtection="0"/>
  </cellStyleXfs>
  <cellXfs count="9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3" borderId="26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9" fontId="0" fillId="3" borderId="15" xfId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3" borderId="7" xfId="0" applyFill="1" applyBorder="1" applyAlignment="1">
      <alignment horizontal="center" vertical="center"/>
    </xf>
    <xf numFmtId="0" fontId="4" fillId="0" borderId="59" xfId="0" applyFont="1" applyBorder="1" applyAlignment="1">
      <alignment vertical="center" wrapText="1"/>
    </xf>
    <xf numFmtId="0" fontId="0" fillId="0" borderId="59" xfId="0" applyBorder="1" applyAlignment="1">
      <alignment vertical="center"/>
    </xf>
    <xf numFmtId="0" fontId="4" fillId="0" borderId="59" xfId="0" applyFont="1" applyBorder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9" fontId="2" fillId="3" borderId="0" xfId="1" applyFont="1" applyFill="1" applyAlignment="1">
      <alignment horizontal="center" vertical="center"/>
    </xf>
    <xf numFmtId="0" fontId="7" fillId="0" borderId="60" xfId="0" applyFont="1" applyBorder="1" applyAlignment="1">
      <alignment vertical="center"/>
    </xf>
    <xf numFmtId="0" fontId="0" fillId="0" borderId="60" xfId="0" applyBorder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0" fontId="7" fillId="0" borderId="0" xfId="0" applyFont="1" applyAlignment="1">
      <alignment vertical="center"/>
    </xf>
    <xf numFmtId="9" fontId="13" fillId="3" borderId="33" xfId="1" applyFont="1" applyFill="1" applyBorder="1" applyAlignment="1">
      <alignment horizontal="center" vertical="center"/>
    </xf>
    <xf numFmtId="3" fontId="13" fillId="3" borderId="35" xfId="1" applyNumberFormat="1" applyFont="1" applyFill="1" applyBorder="1" applyAlignment="1">
      <alignment horizontal="center" vertical="center"/>
    </xf>
    <xf numFmtId="3" fontId="13" fillId="3" borderId="33" xfId="0" applyNumberFormat="1" applyFont="1" applyFill="1" applyBorder="1" applyAlignment="1">
      <alignment horizontal="center" vertical="center"/>
    </xf>
    <xf numFmtId="3" fontId="13" fillId="3" borderId="35" xfId="0" applyNumberFormat="1" applyFont="1" applyFill="1" applyBorder="1" applyAlignment="1">
      <alignment horizontal="center" vertical="center"/>
    </xf>
    <xf numFmtId="3" fontId="13" fillId="3" borderId="41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9" fontId="6" fillId="3" borderId="15" xfId="1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3" fontId="13" fillId="3" borderId="40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1" applyFont="1" applyBorder="1" applyAlignment="1">
      <alignment horizontal="center" vertical="center"/>
    </xf>
    <xf numFmtId="0" fontId="4" fillId="3" borderId="28" xfId="0" applyFont="1" applyFill="1" applyBorder="1" applyAlignment="1">
      <alignment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39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7" borderId="36" xfId="0" applyFont="1" applyFill="1" applyBorder="1" applyAlignment="1">
      <alignment horizontal="center" vertical="center"/>
    </xf>
    <xf numFmtId="0" fontId="6" fillId="7" borderId="32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14" fillId="0" borderId="0" xfId="0" applyFont="1" applyAlignment="1">
      <alignment vertical="center"/>
    </xf>
    <xf numFmtId="0" fontId="10" fillId="9" borderId="0" xfId="0" applyFont="1" applyFill="1" applyAlignment="1">
      <alignment vertical="center"/>
    </xf>
    <xf numFmtId="0" fontId="7" fillId="9" borderId="0" xfId="0" applyFont="1" applyFill="1" applyAlignment="1">
      <alignment vertical="center"/>
    </xf>
    <xf numFmtId="0" fontId="9" fillId="9" borderId="0" xfId="0" applyFont="1" applyFill="1" applyAlignment="1">
      <alignment vertical="center"/>
    </xf>
    <xf numFmtId="0" fontId="0" fillId="9" borderId="0" xfId="0" applyFill="1" applyAlignment="1">
      <alignment vertical="center"/>
    </xf>
    <xf numFmtId="0" fontId="14" fillId="9" borderId="0" xfId="0" applyFont="1" applyFill="1" applyAlignment="1">
      <alignment vertical="center"/>
    </xf>
    <xf numFmtId="0" fontId="15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vertical="center"/>
    </xf>
    <xf numFmtId="0" fontId="0" fillId="9" borderId="0" xfId="0" applyFill="1" applyAlignment="1">
      <alignment horizontal="center" vertical="center"/>
    </xf>
    <xf numFmtId="0" fontId="6" fillId="9" borderId="0" xfId="0" applyFont="1" applyFill="1" applyAlignment="1">
      <alignment vertical="center"/>
    </xf>
    <xf numFmtId="0" fontId="0" fillId="9" borderId="64" xfId="0" applyFill="1" applyBorder="1" applyAlignment="1">
      <alignment vertical="center"/>
    </xf>
    <xf numFmtId="0" fontId="0" fillId="9" borderId="64" xfId="0" applyFill="1" applyBorder="1" applyAlignment="1">
      <alignment horizontal="center" vertical="center"/>
    </xf>
    <xf numFmtId="0" fontId="0" fillId="9" borderId="65" xfId="0" applyFill="1" applyBorder="1" applyAlignment="1">
      <alignment vertical="center"/>
    </xf>
    <xf numFmtId="0" fontId="0" fillId="9" borderId="65" xfId="0" applyFill="1" applyBorder="1" applyAlignment="1">
      <alignment horizontal="center" vertical="center"/>
    </xf>
    <xf numFmtId="0" fontId="0" fillId="9" borderId="66" xfId="0" applyFill="1" applyBorder="1" applyAlignment="1">
      <alignment vertical="center"/>
    </xf>
    <xf numFmtId="0" fontId="0" fillId="9" borderId="67" xfId="0" applyFill="1" applyBorder="1" applyAlignment="1">
      <alignment vertical="center"/>
    </xf>
    <xf numFmtId="0" fontId="0" fillId="9" borderId="68" xfId="0" applyFill="1" applyBorder="1" applyAlignment="1">
      <alignment vertical="center"/>
    </xf>
    <xf numFmtId="0" fontId="7" fillId="9" borderId="68" xfId="0" applyFont="1" applyFill="1" applyBorder="1" applyAlignment="1">
      <alignment vertical="center"/>
    </xf>
    <xf numFmtId="0" fontId="7" fillId="9" borderId="67" xfId="0" applyFont="1" applyFill="1" applyBorder="1" applyAlignment="1">
      <alignment vertical="center"/>
    </xf>
    <xf numFmtId="0" fontId="14" fillId="9" borderId="68" xfId="0" applyFont="1" applyFill="1" applyBorder="1" applyAlignment="1">
      <alignment vertical="center"/>
    </xf>
    <xf numFmtId="0" fontId="14" fillId="9" borderId="67" xfId="0" applyFont="1" applyFill="1" applyBorder="1" applyAlignment="1">
      <alignment vertical="center"/>
    </xf>
    <xf numFmtId="0" fontId="0" fillId="9" borderId="69" xfId="0" applyFill="1" applyBorder="1" applyAlignment="1">
      <alignment vertical="center"/>
    </xf>
    <xf numFmtId="0" fontId="0" fillId="9" borderId="70" xfId="0" applyFill="1" applyBorder="1" applyAlignment="1">
      <alignment vertical="center"/>
    </xf>
    <xf numFmtId="0" fontId="0" fillId="9" borderId="71" xfId="0" applyFill="1" applyBorder="1" applyAlignment="1">
      <alignment vertical="center"/>
    </xf>
    <xf numFmtId="0" fontId="8" fillId="8" borderId="0" xfId="0" applyFont="1" applyFill="1" applyAlignment="1">
      <alignment vertical="center"/>
    </xf>
    <xf numFmtId="0" fontId="4" fillId="3" borderId="27" xfId="0" applyFont="1" applyFill="1" applyBorder="1" applyAlignment="1">
      <alignment vertical="center"/>
    </xf>
    <xf numFmtId="0" fontId="4" fillId="3" borderId="51" xfId="0" applyFont="1" applyFill="1" applyBorder="1" applyAlignment="1">
      <alignment horizontal="center" vertical="center"/>
    </xf>
    <xf numFmtId="0" fontId="3" fillId="2" borderId="77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80" xfId="0" applyFont="1" applyFill="1" applyBorder="1" applyAlignment="1">
      <alignment horizontal="center" vertical="center" wrapText="1"/>
    </xf>
    <xf numFmtId="0" fontId="3" fillId="2" borderId="84" xfId="0" applyFont="1" applyFill="1" applyBorder="1" applyAlignment="1">
      <alignment horizontal="center" vertical="center" wrapText="1"/>
    </xf>
    <xf numFmtId="0" fontId="3" fillId="2" borderId="83" xfId="0" applyFont="1" applyFill="1" applyBorder="1" applyAlignment="1">
      <alignment horizontal="center" vertical="center" wrapText="1"/>
    </xf>
    <xf numFmtId="0" fontId="3" fillId="2" borderId="85" xfId="0" applyFont="1" applyFill="1" applyBorder="1" applyAlignment="1">
      <alignment horizontal="center" vertical="center" wrapText="1"/>
    </xf>
    <xf numFmtId="0" fontId="3" fillId="2" borderId="86" xfId="0" applyFont="1" applyFill="1" applyBorder="1" applyAlignment="1">
      <alignment horizontal="center" vertical="center" wrapText="1"/>
    </xf>
    <xf numFmtId="0" fontId="3" fillId="2" borderId="87" xfId="0" applyFont="1" applyFill="1" applyBorder="1" applyAlignment="1">
      <alignment horizontal="center" vertical="center" wrapText="1"/>
    </xf>
    <xf numFmtId="0" fontId="6" fillId="5" borderId="88" xfId="0" applyFont="1" applyFill="1" applyBorder="1" applyAlignment="1">
      <alignment horizontal="center" vertical="center"/>
    </xf>
    <xf numFmtId="0" fontId="3" fillId="2" borderId="92" xfId="0" applyFont="1" applyFill="1" applyBorder="1" applyAlignment="1">
      <alignment horizontal="center" vertical="center" wrapText="1"/>
    </xf>
    <xf numFmtId="9" fontId="3" fillId="2" borderId="93" xfId="1" applyFont="1" applyFill="1" applyBorder="1" applyAlignment="1">
      <alignment horizontal="center" vertical="center" wrapText="1"/>
    </xf>
    <xf numFmtId="9" fontId="3" fillId="2" borderId="87" xfId="1" applyFont="1" applyFill="1" applyBorder="1" applyAlignment="1">
      <alignment horizontal="center" vertical="center" wrapText="1"/>
    </xf>
    <xf numFmtId="0" fontId="3" fillId="2" borderId="93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7" borderId="111" xfId="0" applyFont="1" applyFill="1" applyBorder="1" applyAlignment="1">
      <alignment horizontal="center" vertical="center"/>
    </xf>
    <xf numFmtId="3" fontId="6" fillId="7" borderId="9" xfId="1" applyNumberFormat="1" applyFont="1" applyFill="1" applyBorder="1" applyAlignment="1">
      <alignment horizontal="center" vertical="center"/>
    </xf>
    <xf numFmtId="3" fontId="6" fillId="7" borderId="11" xfId="1" applyNumberFormat="1" applyFont="1" applyFill="1" applyBorder="1" applyAlignment="1">
      <alignment horizontal="center" vertical="center"/>
    </xf>
    <xf numFmtId="3" fontId="6" fillId="7" borderId="13" xfId="1" applyNumberFormat="1" applyFont="1" applyFill="1" applyBorder="1" applyAlignment="1">
      <alignment horizontal="center" vertical="center"/>
    </xf>
    <xf numFmtId="3" fontId="6" fillId="7" borderId="111" xfId="1" applyNumberFormat="1" applyFont="1" applyFill="1" applyBorder="1" applyAlignment="1">
      <alignment horizontal="center" vertical="center"/>
    </xf>
    <xf numFmtId="3" fontId="6" fillId="7" borderId="36" xfId="1" applyNumberFormat="1" applyFont="1" applyFill="1" applyBorder="1" applyAlignment="1">
      <alignment horizontal="center" vertical="center"/>
    </xf>
    <xf numFmtId="3" fontId="6" fillId="7" borderId="15" xfId="1" applyNumberFormat="1" applyFont="1" applyFill="1" applyBorder="1" applyAlignment="1">
      <alignment horizontal="center" vertical="center"/>
    </xf>
    <xf numFmtId="0" fontId="6" fillId="7" borderId="110" xfId="0" applyFont="1" applyFill="1" applyBorder="1" applyAlignment="1">
      <alignment horizontal="center" vertical="center"/>
    </xf>
    <xf numFmtId="0" fontId="6" fillId="3" borderId="111" xfId="0" applyFont="1" applyFill="1" applyBorder="1" applyAlignment="1">
      <alignment horizontal="center" vertical="center"/>
    </xf>
    <xf numFmtId="0" fontId="6" fillId="3" borderId="110" xfId="0" applyFont="1" applyFill="1" applyBorder="1" applyAlignment="1">
      <alignment horizontal="center" vertical="center"/>
    </xf>
    <xf numFmtId="0" fontId="6" fillId="3" borderId="112" xfId="0" applyFont="1" applyFill="1" applyBorder="1" applyAlignment="1">
      <alignment horizontal="center" vertical="center"/>
    </xf>
    <xf numFmtId="3" fontId="16" fillId="7" borderId="33" xfId="1" applyNumberFormat="1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16" fillId="3" borderId="33" xfId="0" applyFont="1" applyFill="1" applyBorder="1" applyAlignment="1">
      <alignment horizontal="center" vertical="center"/>
    </xf>
    <xf numFmtId="0" fontId="16" fillId="3" borderId="35" xfId="0" applyFont="1" applyFill="1" applyBorder="1" applyAlignment="1">
      <alignment horizontal="center" vertical="center"/>
    </xf>
    <xf numFmtId="0" fontId="16" fillId="3" borderId="41" xfId="0" applyFont="1" applyFill="1" applyBorder="1" applyAlignment="1">
      <alignment horizontal="center" vertical="center"/>
    </xf>
    <xf numFmtId="0" fontId="6" fillId="7" borderId="89" xfId="0" applyFont="1" applyFill="1" applyBorder="1" applyAlignment="1">
      <alignment horizontal="center" vertical="center"/>
    </xf>
    <xf numFmtId="0" fontId="6" fillId="7" borderId="88" xfId="0" applyFont="1" applyFill="1" applyBorder="1" applyAlignment="1">
      <alignment horizontal="center" vertical="center"/>
    </xf>
    <xf numFmtId="0" fontId="6" fillId="5" borderId="89" xfId="0" applyFont="1" applyFill="1" applyBorder="1" applyAlignment="1">
      <alignment horizontal="center" vertical="center"/>
    </xf>
    <xf numFmtId="0" fontId="6" fillId="5" borderId="115" xfId="0" applyFont="1" applyFill="1" applyBorder="1" applyAlignment="1">
      <alignment horizontal="center" vertical="center"/>
    </xf>
    <xf numFmtId="0" fontId="3" fillId="2" borderId="117" xfId="0" applyFont="1" applyFill="1" applyBorder="1" applyAlignment="1">
      <alignment horizontal="center" vertical="center" wrapText="1"/>
    </xf>
    <xf numFmtId="0" fontId="0" fillId="7" borderId="44" xfId="0" applyFill="1" applyBorder="1" applyAlignment="1">
      <alignment vertical="center"/>
    </xf>
    <xf numFmtId="0" fontId="0" fillId="7" borderId="45" xfId="0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0" fillId="7" borderId="46" xfId="0" applyFill="1" applyBorder="1" applyAlignment="1">
      <alignment vertical="center"/>
    </xf>
    <xf numFmtId="0" fontId="0" fillId="7" borderId="4" xfId="0" applyFill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/>
    </xf>
    <xf numFmtId="0" fontId="0" fillId="7" borderId="47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0" fillId="7" borderId="48" xfId="0" applyFill="1" applyBorder="1" applyAlignment="1">
      <alignment vertical="center"/>
    </xf>
    <xf numFmtId="0" fontId="0" fillId="7" borderId="6" xfId="0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4" fillId="7" borderId="56" xfId="0" applyFont="1" applyFill="1" applyBorder="1" applyAlignment="1">
      <alignment horizontal="center" vertical="center" wrapText="1"/>
    </xf>
    <xf numFmtId="0" fontId="0" fillId="7" borderId="49" xfId="0" applyFill="1" applyBorder="1" applyAlignment="1">
      <alignment vertical="center"/>
    </xf>
    <xf numFmtId="0" fontId="0" fillId="7" borderId="7" xfId="0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/>
    </xf>
    <xf numFmtId="0" fontId="4" fillId="7" borderId="94" xfId="0" applyFont="1" applyFill="1" applyBorder="1" applyAlignment="1">
      <alignment horizontal="center" vertical="center"/>
    </xf>
    <xf numFmtId="0" fontId="0" fillId="7" borderId="95" xfId="0" applyFill="1" applyBorder="1" applyAlignment="1">
      <alignment vertical="center"/>
    </xf>
    <xf numFmtId="0" fontId="0" fillId="7" borderId="96" xfId="0" applyFill="1" applyBorder="1" applyAlignment="1">
      <alignment horizontal="center" vertical="center"/>
    </xf>
    <xf numFmtId="0" fontId="6" fillId="7" borderId="107" xfId="0" applyFont="1" applyFill="1" applyBorder="1" applyAlignment="1">
      <alignment horizontal="center" vertical="center"/>
    </xf>
    <xf numFmtId="0" fontId="4" fillId="7" borderId="51" xfId="0" applyFont="1" applyFill="1" applyBorder="1" applyAlignment="1">
      <alignment horizontal="center" vertical="center"/>
    </xf>
    <xf numFmtId="165" fontId="4" fillId="7" borderId="42" xfId="0" applyNumberFormat="1" applyFont="1" applyFill="1" applyBorder="1" applyAlignment="1">
      <alignment horizontal="left" vertical="center"/>
    </xf>
    <xf numFmtId="0" fontId="4" fillId="7" borderId="50" xfId="0" applyFont="1" applyFill="1" applyBorder="1" applyAlignment="1">
      <alignment horizontal="center" vertical="center"/>
    </xf>
    <xf numFmtId="0" fontId="16" fillId="7" borderId="40" xfId="0" applyFont="1" applyFill="1" applyBorder="1" applyAlignment="1">
      <alignment horizontal="center" vertical="center"/>
    </xf>
    <xf numFmtId="0" fontId="6" fillId="7" borderId="46" xfId="0" applyFont="1" applyFill="1" applyBorder="1" applyAlignment="1">
      <alignment vertical="center"/>
    </xf>
    <xf numFmtId="0" fontId="6" fillId="7" borderId="47" xfId="0" applyFont="1" applyFill="1" applyBorder="1" applyAlignment="1">
      <alignment vertical="center"/>
    </xf>
    <xf numFmtId="0" fontId="6" fillId="7" borderId="48" xfId="0" applyFont="1" applyFill="1" applyBorder="1" applyAlignment="1">
      <alignment vertical="center"/>
    </xf>
    <xf numFmtId="0" fontId="4" fillId="7" borderId="56" xfId="0" applyFont="1" applyFill="1" applyBorder="1" applyAlignment="1">
      <alignment horizontal="center" vertical="center"/>
    </xf>
    <xf numFmtId="3" fontId="13" fillId="7" borderId="40" xfId="0" applyNumberFormat="1" applyFont="1" applyFill="1" applyBorder="1" applyAlignment="1">
      <alignment horizontal="center" vertical="center"/>
    </xf>
    <xf numFmtId="0" fontId="6" fillId="7" borderId="98" xfId="0" applyFont="1" applyFill="1" applyBorder="1" applyAlignment="1">
      <alignment horizontal="center" vertical="center"/>
    </xf>
    <xf numFmtId="0" fontId="6" fillId="7" borderId="100" xfId="0" applyFont="1" applyFill="1" applyBorder="1" applyAlignment="1">
      <alignment horizontal="center" vertical="center"/>
    </xf>
    <xf numFmtId="0" fontId="6" fillId="7" borderId="102" xfId="0" applyFont="1" applyFill="1" applyBorder="1" applyAlignment="1">
      <alignment horizontal="center" vertical="center"/>
    </xf>
    <xf numFmtId="0" fontId="6" fillId="7" borderId="104" xfId="0" applyFont="1" applyFill="1" applyBorder="1" applyAlignment="1">
      <alignment horizontal="center" vertical="center"/>
    </xf>
    <xf numFmtId="0" fontId="6" fillId="7" borderId="106" xfId="0" applyFont="1" applyFill="1" applyBorder="1" applyAlignment="1">
      <alignment horizontal="center" vertical="center"/>
    </xf>
    <xf numFmtId="0" fontId="6" fillId="7" borderId="109" xfId="0" applyFont="1" applyFill="1" applyBorder="1" applyAlignment="1">
      <alignment horizontal="center" vertical="center"/>
    </xf>
    <xf numFmtId="0" fontId="16" fillId="7" borderId="114" xfId="0" applyFont="1" applyFill="1" applyBorder="1" applyAlignment="1">
      <alignment horizontal="center" vertical="center"/>
    </xf>
    <xf numFmtId="3" fontId="13" fillId="7" borderId="34" xfId="0" applyNumberFormat="1" applyFont="1" applyFill="1" applyBorder="1" applyAlignment="1">
      <alignment horizontal="center" vertical="center"/>
    </xf>
    <xf numFmtId="3" fontId="13" fillId="7" borderId="33" xfId="1" applyNumberFormat="1" applyFont="1" applyFill="1" applyBorder="1" applyAlignment="1">
      <alignment horizontal="center" vertical="center"/>
    </xf>
    <xf numFmtId="9" fontId="6" fillId="11" borderId="97" xfId="1" applyFont="1" applyFill="1" applyBorder="1" applyAlignment="1">
      <alignment horizontal="center" vertical="center"/>
    </xf>
    <xf numFmtId="9" fontId="6" fillId="11" borderId="99" xfId="1" applyFont="1" applyFill="1" applyBorder="1" applyAlignment="1">
      <alignment horizontal="center" vertical="center"/>
    </xf>
    <xf numFmtId="9" fontId="6" fillId="11" borderId="101" xfId="1" applyFont="1" applyFill="1" applyBorder="1" applyAlignment="1">
      <alignment horizontal="center" vertical="center"/>
    </xf>
    <xf numFmtId="9" fontId="6" fillId="11" borderId="103" xfId="1" applyFont="1" applyFill="1" applyBorder="1" applyAlignment="1">
      <alignment horizontal="center" vertical="center"/>
    </xf>
    <xf numFmtId="9" fontId="6" fillId="11" borderId="105" xfId="1" applyFont="1" applyFill="1" applyBorder="1" applyAlignment="1">
      <alignment horizontal="center" vertical="center"/>
    </xf>
    <xf numFmtId="9" fontId="6" fillId="11" borderId="108" xfId="1" applyFont="1" applyFill="1" applyBorder="1" applyAlignment="1">
      <alignment horizontal="center" vertical="center"/>
    </xf>
    <xf numFmtId="9" fontId="16" fillId="11" borderId="113" xfId="1" applyFont="1" applyFill="1" applyBorder="1" applyAlignment="1">
      <alignment horizontal="center" vertical="center"/>
    </xf>
    <xf numFmtId="9" fontId="6" fillId="11" borderId="32" xfId="1" applyFont="1" applyFill="1" applyBorder="1" applyAlignment="1">
      <alignment horizontal="center" vertical="center"/>
    </xf>
    <xf numFmtId="9" fontId="6" fillId="11" borderId="18" xfId="1" applyFont="1" applyFill="1" applyBorder="1" applyAlignment="1">
      <alignment horizontal="center" vertical="center"/>
    </xf>
    <xf numFmtId="9" fontId="6" fillId="11" borderId="19" xfId="1" applyFont="1" applyFill="1" applyBorder="1" applyAlignment="1">
      <alignment horizontal="center" vertical="center"/>
    </xf>
    <xf numFmtId="9" fontId="6" fillId="11" borderId="20" xfId="1" applyFont="1" applyFill="1" applyBorder="1" applyAlignment="1">
      <alignment horizontal="center" vertical="center"/>
    </xf>
    <xf numFmtId="9" fontId="6" fillId="11" borderId="21" xfId="1" applyFont="1" applyFill="1" applyBorder="1" applyAlignment="1">
      <alignment horizontal="center" vertical="center"/>
    </xf>
    <xf numFmtId="9" fontId="6" fillId="11" borderId="110" xfId="1" applyFont="1" applyFill="1" applyBorder="1" applyAlignment="1">
      <alignment horizontal="center" vertical="center"/>
    </xf>
    <xf numFmtId="9" fontId="16" fillId="11" borderId="35" xfId="1" applyFont="1" applyFill="1" applyBorder="1" applyAlignment="1">
      <alignment horizontal="center" vertical="center"/>
    </xf>
    <xf numFmtId="0" fontId="4" fillId="7" borderId="57" xfId="0" applyFont="1" applyFill="1" applyBorder="1" applyAlignment="1">
      <alignment horizontal="center" vertical="center"/>
    </xf>
    <xf numFmtId="0" fontId="0" fillId="7" borderId="118" xfId="0" applyFill="1" applyBorder="1" applyAlignment="1">
      <alignment vertical="center"/>
    </xf>
    <xf numFmtId="0" fontId="0" fillId="7" borderId="116" xfId="0" applyFill="1" applyBorder="1" applyAlignment="1">
      <alignment horizontal="center" vertical="center"/>
    </xf>
    <xf numFmtId="0" fontId="0" fillId="3" borderId="116" xfId="0" applyFill="1" applyBorder="1" applyAlignment="1">
      <alignment horizontal="center" vertical="center"/>
    </xf>
    <xf numFmtId="0" fontId="0" fillId="3" borderId="107" xfId="0" applyFill="1" applyBorder="1" applyAlignment="1">
      <alignment horizontal="center" vertical="center"/>
    </xf>
    <xf numFmtId="0" fontId="0" fillId="3" borderId="110" xfId="0" applyFill="1" applyBorder="1" applyAlignment="1">
      <alignment horizontal="center" vertical="center"/>
    </xf>
    <xf numFmtId="0" fontId="6" fillId="7" borderId="49" xfId="0" applyFont="1" applyFill="1" applyBorder="1" applyAlignment="1">
      <alignment vertical="center"/>
    </xf>
    <xf numFmtId="3" fontId="6" fillId="3" borderId="21" xfId="1" applyNumberFormat="1" applyFont="1" applyFill="1" applyBorder="1" applyAlignment="1">
      <alignment horizontal="center" vertical="center"/>
    </xf>
    <xf numFmtId="3" fontId="6" fillId="3" borderId="110" xfId="1" applyNumberFormat="1" applyFont="1" applyFill="1" applyBorder="1" applyAlignment="1">
      <alignment horizontal="center" vertical="center"/>
    </xf>
    <xf numFmtId="0" fontId="4" fillId="0" borderId="59" xfId="0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9" fontId="6" fillId="5" borderId="18" xfId="1" applyFont="1" applyFill="1" applyBorder="1" applyAlignment="1">
      <alignment horizontal="center" vertical="center"/>
    </xf>
    <xf numFmtId="9" fontId="6" fillId="5" borderId="10" xfId="1" applyFont="1" applyFill="1" applyBorder="1" applyAlignment="1">
      <alignment horizontal="center" vertical="center"/>
    </xf>
    <xf numFmtId="9" fontId="6" fillId="5" borderId="19" xfId="1" applyFont="1" applyFill="1" applyBorder="1" applyAlignment="1">
      <alignment horizontal="center" vertical="center"/>
    </xf>
    <xf numFmtId="9" fontId="6" fillId="5" borderId="20" xfId="1" applyFont="1" applyFill="1" applyBorder="1" applyAlignment="1">
      <alignment horizontal="center" vertical="center"/>
    </xf>
    <xf numFmtId="9" fontId="6" fillId="5" borderId="12" xfId="1" applyFont="1" applyFill="1" applyBorder="1" applyAlignment="1">
      <alignment horizontal="center" vertical="center"/>
    </xf>
    <xf numFmtId="9" fontId="6" fillId="5" borderId="14" xfId="1" applyFont="1" applyFill="1" applyBorder="1" applyAlignment="1">
      <alignment horizontal="center" vertical="center"/>
    </xf>
    <xf numFmtId="9" fontId="6" fillId="5" borderId="21" xfId="1" applyFont="1" applyFill="1" applyBorder="1" applyAlignment="1">
      <alignment horizontal="center" vertical="center"/>
    </xf>
    <xf numFmtId="9" fontId="6" fillId="5" borderId="16" xfId="1" applyFont="1" applyFill="1" applyBorder="1" applyAlignment="1">
      <alignment horizontal="center" vertical="center"/>
    </xf>
    <xf numFmtId="9" fontId="13" fillId="11" borderId="35" xfId="1" applyFont="1" applyFill="1" applyBorder="1" applyAlignment="1">
      <alignment horizontal="center" vertical="center"/>
    </xf>
    <xf numFmtId="9" fontId="13" fillId="11" borderId="51" xfId="1" applyFont="1" applyFill="1" applyBorder="1" applyAlignment="1">
      <alignment horizontal="center" vertical="center"/>
    </xf>
    <xf numFmtId="3" fontId="13" fillId="4" borderId="33" xfId="1" applyNumberFormat="1" applyFont="1" applyFill="1" applyBorder="1" applyAlignment="1">
      <alignment horizontal="center" vertical="center"/>
    </xf>
    <xf numFmtId="9" fontId="13" fillId="4" borderId="35" xfId="1" applyFont="1" applyFill="1" applyBorder="1" applyAlignment="1">
      <alignment horizontal="center" vertical="center"/>
    </xf>
    <xf numFmtId="0" fontId="0" fillId="3" borderId="96" xfId="0" applyFill="1" applyBorder="1" applyAlignment="1">
      <alignment horizontal="center" vertical="center"/>
    </xf>
    <xf numFmtId="0" fontId="0" fillId="7" borderId="120" xfId="0" applyFill="1" applyBorder="1" applyAlignment="1">
      <alignment vertical="center"/>
    </xf>
    <xf numFmtId="0" fontId="0" fillId="0" borderId="119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94" xfId="0" applyBorder="1" applyAlignment="1">
      <alignment vertical="center"/>
    </xf>
    <xf numFmtId="9" fontId="0" fillId="3" borderId="126" xfId="1" applyFont="1" applyFill="1" applyBorder="1" applyAlignment="1">
      <alignment horizontal="center" vertical="center"/>
    </xf>
    <xf numFmtId="9" fontId="0" fillId="3" borderId="134" xfId="1" applyFont="1" applyFill="1" applyBorder="1" applyAlignment="1">
      <alignment horizontal="center" vertical="center"/>
    </xf>
    <xf numFmtId="0" fontId="6" fillId="7" borderId="126" xfId="0" applyFont="1" applyFill="1" applyBorder="1" applyAlignment="1">
      <alignment horizontal="center" vertical="center"/>
    </xf>
    <xf numFmtId="0" fontId="6" fillId="7" borderId="125" xfId="0" applyFont="1" applyFill="1" applyBorder="1" applyAlignment="1">
      <alignment horizontal="center" vertical="center"/>
    </xf>
    <xf numFmtId="0" fontId="6" fillId="7" borderId="134" xfId="0" applyFont="1" applyFill="1" applyBorder="1" applyAlignment="1">
      <alignment horizontal="center" vertical="center"/>
    </xf>
    <xf numFmtId="0" fontId="6" fillId="7" borderId="133" xfId="0" applyFont="1" applyFill="1" applyBorder="1" applyAlignment="1">
      <alignment horizontal="center" vertical="center"/>
    </xf>
    <xf numFmtId="0" fontId="6" fillId="7" borderId="140" xfId="0" applyFont="1" applyFill="1" applyBorder="1" applyAlignment="1">
      <alignment horizontal="center" vertical="center"/>
    </xf>
    <xf numFmtId="0" fontId="6" fillId="7" borderId="139" xfId="0" applyFont="1" applyFill="1" applyBorder="1" applyAlignment="1">
      <alignment horizontal="center" vertical="center"/>
    </xf>
    <xf numFmtId="0" fontId="0" fillId="5" borderId="123" xfId="0" applyFill="1" applyBorder="1" applyAlignment="1">
      <alignment horizontal="center" vertical="center"/>
    </xf>
    <xf numFmtId="0" fontId="6" fillId="5" borderId="124" xfId="0" applyFont="1" applyFill="1" applyBorder="1" applyAlignment="1">
      <alignment horizontal="center" vertical="center"/>
    </xf>
    <xf numFmtId="0" fontId="6" fillId="5" borderId="125" xfId="0" applyFont="1" applyFill="1" applyBorder="1" applyAlignment="1">
      <alignment horizontal="center" vertical="center"/>
    </xf>
    <xf numFmtId="9" fontId="6" fillId="3" borderId="126" xfId="1" applyFont="1" applyFill="1" applyBorder="1" applyAlignment="1">
      <alignment horizontal="center" vertical="center"/>
    </xf>
    <xf numFmtId="3" fontId="6" fillId="5" borderId="125" xfId="1" applyNumberFormat="1" applyFont="1" applyFill="1" applyBorder="1" applyAlignment="1">
      <alignment horizontal="center" vertical="center"/>
    </xf>
    <xf numFmtId="0" fontId="0" fillId="5" borderId="131" xfId="0" applyFill="1" applyBorder="1" applyAlignment="1">
      <alignment horizontal="center" vertical="center"/>
    </xf>
    <xf numFmtId="0" fontId="6" fillId="5" borderId="132" xfId="0" applyFont="1" applyFill="1" applyBorder="1" applyAlignment="1">
      <alignment horizontal="center" vertical="center"/>
    </xf>
    <xf numFmtId="0" fontId="6" fillId="5" borderId="133" xfId="0" applyFont="1" applyFill="1" applyBorder="1" applyAlignment="1">
      <alignment horizontal="center" vertical="center"/>
    </xf>
    <xf numFmtId="9" fontId="6" fillId="3" borderId="134" xfId="1" applyFont="1" applyFill="1" applyBorder="1" applyAlignment="1">
      <alignment horizontal="center" vertical="center"/>
    </xf>
    <xf numFmtId="3" fontId="6" fillId="5" borderId="133" xfId="1" applyNumberFormat="1" applyFont="1" applyFill="1" applyBorder="1" applyAlignment="1">
      <alignment horizontal="center" vertical="center"/>
    </xf>
    <xf numFmtId="0" fontId="0" fillId="5" borderId="137" xfId="0" applyFill="1" applyBorder="1" applyAlignment="1">
      <alignment horizontal="center" vertical="center"/>
    </xf>
    <xf numFmtId="0" fontId="6" fillId="5" borderId="138" xfId="0" applyFont="1" applyFill="1" applyBorder="1" applyAlignment="1">
      <alignment horizontal="center" vertical="center"/>
    </xf>
    <xf numFmtId="0" fontId="6" fillId="5" borderId="139" xfId="0" applyFont="1" applyFill="1" applyBorder="1" applyAlignment="1">
      <alignment horizontal="center" vertical="center"/>
    </xf>
    <xf numFmtId="9" fontId="6" fillId="3" borderId="140" xfId="1" applyFont="1" applyFill="1" applyBorder="1" applyAlignment="1">
      <alignment horizontal="center" vertical="center"/>
    </xf>
    <xf numFmtId="3" fontId="6" fillId="5" borderId="139" xfId="1" applyNumberFormat="1" applyFont="1" applyFill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0" fillId="7" borderId="142" xfId="0" applyFill="1" applyBorder="1" applyAlignment="1">
      <alignment vertical="center"/>
    </xf>
    <xf numFmtId="0" fontId="0" fillId="0" borderId="144" xfId="0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5" borderId="145" xfId="0" applyFont="1" applyFill="1" applyBorder="1" applyAlignment="1">
      <alignment horizontal="center" vertical="center"/>
    </xf>
    <xf numFmtId="9" fontId="6" fillId="5" borderId="146" xfId="1" applyFont="1" applyFill="1" applyBorder="1" applyAlignment="1">
      <alignment horizontal="center" vertical="center"/>
    </xf>
    <xf numFmtId="0" fontId="4" fillId="7" borderId="56" xfId="0" applyFont="1" applyFill="1" applyBorder="1" applyAlignment="1">
      <alignment vertical="center"/>
    </xf>
    <xf numFmtId="0" fontId="0" fillId="0" borderId="0" xfId="0" quotePrefix="1" applyAlignment="1">
      <alignment vertical="center"/>
    </xf>
    <xf numFmtId="0" fontId="13" fillId="7" borderId="55" xfId="0" applyFont="1" applyFill="1" applyBorder="1" applyAlignment="1">
      <alignment horizontal="center" vertical="center"/>
    </xf>
    <xf numFmtId="0" fontId="0" fillId="0" borderId="121" xfId="0" applyBorder="1" applyAlignment="1">
      <alignment horizontal="center" vertical="center"/>
    </xf>
    <xf numFmtId="0" fontId="0" fillId="0" borderId="122" xfId="0" applyBorder="1" applyAlignment="1">
      <alignment horizontal="center" vertical="center"/>
    </xf>
    <xf numFmtId="0" fontId="0" fillId="0" borderId="143" xfId="0" applyBorder="1" applyAlignment="1">
      <alignment horizontal="center" vertical="center"/>
    </xf>
    <xf numFmtId="0" fontId="3" fillId="2" borderId="84" xfId="0" applyFont="1" applyFill="1" applyBorder="1" applyAlignment="1">
      <alignment horizontal="centerContinuous" vertical="center" wrapText="1"/>
    </xf>
    <xf numFmtId="0" fontId="3" fillId="2" borderId="147" xfId="0" applyFont="1" applyFill="1" applyBorder="1" applyAlignment="1">
      <alignment horizontal="centerContinuous" vertical="center" wrapText="1"/>
    </xf>
    <xf numFmtId="0" fontId="3" fillId="2" borderId="78" xfId="0" applyFont="1" applyFill="1" applyBorder="1" applyAlignment="1">
      <alignment horizontal="centerContinuous" vertical="center" wrapText="1"/>
    </xf>
    <xf numFmtId="0" fontId="3" fillId="2" borderId="77" xfId="0" applyFont="1" applyFill="1" applyBorder="1" applyAlignment="1">
      <alignment horizontal="centerContinuous" vertical="center" wrapText="1"/>
    </xf>
    <xf numFmtId="164" fontId="13" fillId="3" borderId="35" xfId="0" applyNumberFormat="1" applyFont="1" applyFill="1" applyBorder="1" applyAlignment="1">
      <alignment horizontal="center" vertical="center"/>
    </xf>
    <xf numFmtId="164" fontId="13" fillId="3" borderId="33" xfId="0" applyNumberFormat="1" applyFont="1" applyFill="1" applyBorder="1" applyAlignment="1">
      <alignment horizontal="center" vertical="center"/>
    </xf>
    <xf numFmtId="9" fontId="3" fillId="2" borderId="78" xfId="1" applyFont="1" applyFill="1" applyBorder="1" applyAlignment="1">
      <alignment horizontal="centerContinuous" vertical="center" wrapText="1"/>
    </xf>
    <xf numFmtId="0" fontId="3" fillId="2" borderId="73" xfId="0" applyFont="1" applyFill="1" applyBorder="1" applyAlignment="1">
      <alignment horizontal="centerContinuous" vertical="center" wrapText="1"/>
    </xf>
    <xf numFmtId="0" fontId="3" fillId="2" borderId="1" xfId="0" applyFont="1" applyFill="1" applyBorder="1" applyAlignment="1">
      <alignment horizontal="centerContinuous" vertical="center" wrapText="1"/>
    </xf>
    <xf numFmtId="0" fontId="3" fillId="2" borderId="74" xfId="0" applyFont="1" applyFill="1" applyBorder="1" applyAlignment="1">
      <alignment horizontal="centerContinuous" vertical="center" wrapText="1"/>
    </xf>
    <xf numFmtId="9" fontId="3" fillId="2" borderId="1" xfId="1" applyFont="1" applyFill="1" applyBorder="1" applyAlignment="1">
      <alignment horizontal="centerContinuous" vertical="center" wrapText="1"/>
    </xf>
    <xf numFmtId="9" fontId="3" fillId="2" borderId="74" xfId="1" applyFont="1" applyFill="1" applyBorder="1" applyAlignment="1">
      <alignment horizontal="centerContinuous" vertical="center" wrapText="1"/>
    </xf>
    <xf numFmtId="9" fontId="3" fillId="2" borderId="77" xfId="1" applyFont="1" applyFill="1" applyBorder="1" applyAlignment="1">
      <alignment horizontal="centerContinuous" vertical="center" wrapText="1"/>
    </xf>
    <xf numFmtId="9" fontId="3" fillId="2" borderId="147" xfId="1" applyFont="1" applyFill="1" applyBorder="1" applyAlignment="1">
      <alignment horizontal="centerContinuous" vertical="center" wrapText="1"/>
    </xf>
    <xf numFmtId="9" fontId="3" fillId="2" borderId="148" xfId="1" applyFont="1" applyFill="1" applyBorder="1" applyAlignment="1">
      <alignment horizontal="centerContinuous" vertical="center" wrapText="1"/>
    </xf>
    <xf numFmtId="0" fontId="4" fillId="3" borderId="56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0" fontId="4" fillId="7" borderId="52" xfId="0" applyFont="1" applyFill="1" applyBorder="1" applyAlignment="1">
      <alignment horizontal="center" vertical="center"/>
    </xf>
    <xf numFmtId="0" fontId="4" fillId="13" borderId="0" xfId="0" applyFont="1" applyFill="1" applyAlignment="1">
      <alignment vertical="center"/>
    </xf>
    <xf numFmtId="0" fontId="11" fillId="13" borderId="0" xfId="0" applyFont="1" applyFill="1" applyAlignment="1">
      <alignment vertical="center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vertical="center"/>
    </xf>
    <xf numFmtId="0" fontId="6" fillId="13" borderId="126" xfId="0" applyFont="1" applyFill="1" applyBorder="1" applyAlignment="1">
      <alignment horizontal="center" vertical="center"/>
    </xf>
    <xf numFmtId="0" fontId="6" fillId="13" borderId="125" xfId="0" applyFont="1" applyFill="1" applyBorder="1" applyAlignment="1">
      <alignment horizontal="center" vertical="center"/>
    </xf>
    <xf numFmtId="0" fontId="6" fillId="13" borderId="128" xfId="0" applyFont="1" applyFill="1" applyBorder="1" applyAlignment="1">
      <alignment horizontal="center" vertical="center"/>
    </xf>
    <xf numFmtId="0" fontId="6" fillId="13" borderId="134" xfId="0" applyFont="1" applyFill="1" applyBorder="1" applyAlignment="1">
      <alignment horizontal="center" vertical="center"/>
    </xf>
    <xf numFmtId="0" fontId="6" fillId="13" borderId="133" xfId="0" applyFont="1" applyFill="1" applyBorder="1" applyAlignment="1">
      <alignment horizontal="center" vertical="center"/>
    </xf>
    <xf numFmtId="0" fontId="6" fillId="13" borderId="136" xfId="0" applyFont="1" applyFill="1" applyBorder="1" applyAlignment="1">
      <alignment horizontal="center" vertical="center"/>
    </xf>
    <xf numFmtId="0" fontId="6" fillId="13" borderId="140" xfId="0" applyFont="1" applyFill="1" applyBorder="1" applyAlignment="1">
      <alignment horizontal="center" vertical="center"/>
    </xf>
    <xf numFmtId="0" fontId="6" fillId="13" borderId="139" xfId="0" applyFont="1" applyFill="1" applyBorder="1" applyAlignment="1">
      <alignment horizontal="center" vertical="center"/>
    </xf>
    <xf numFmtId="0" fontId="6" fillId="13" borderId="141" xfId="0" applyFont="1" applyFill="1" applyBorder="1" applyAlignment="1">
      <alignment horizontal="center" vertical="center"/>
    </xf>
    <xf numFmtId="0" fontId="0" fillId="7" borderId="149" xfId="0" applyFill="1" applyBorder="1" applyAlignment="1">
      <alignment vertical="center"/>
    </xf>
    <xf numFmtId="0" fontId="0" fillId="7" borderId="150" xfId="0" applyFill="1" applyBorder="1" applyAlignment="1">
      <alignment horizontal="center" vertical="center"/>
    </xf>
    <xf numFmtId="0" fontId="6" fillId="7" borderId="151" xfId="0" applyFont="1" applyFill="1" applyBorder="1" applyAlignment="1">
      <alignment horizontal="center" vertical="center"/>
    </xf>
    <xf numFmtId="9" fontId="6" fillId="11" borderId="152" xfId="1" applyFont="1" applyFill="1" applyBorder="1" applyAlignment="1">
      <alignment horizontal="center" vertical="center"/>
    </xf>
    <xf numFmtId="0" fontId="6" fillId="7" borderId="153" xfId="0" applyFont="1" applyFill="1" applyBorder="1" applyAlignment="1">
      <alignment horizontal="center" vertical="center"/>
    </xf>
    <xf numFmtId="9" fontId="6" fillId="11" borderId="154" xfId="1" applyFont="1" applyFill="1" applyBorder="1" applyAlignment="1">
      <alignment horizontal="center" vertical="center"/>
    </xf>
    <xf numFmtId="3" fontId="6" fillId="7" borderId="145" xfId="1" applyNumberFormat="1" applyFont="1" applyFill="1" applyBorder="1" applyAlignment="1">
      <alignment horizontal="center" vertical="center"/>
    </xf>
    <xf numFmtId="0" fontId="6" fillId="7" borderId="145" xfId="0" applyFont="1" applyFill="1" applyBorder="1" applyAlignment="1">
      <alignment horizontal="center" vertical="center"/>
    </xf>
    <xf numFmtId="0" fontId="6" fillId="7" borderId="154" xfId="0" applyFont="1" applyFill="1" applyBorder="1" applyAlignment="1">
      <alignment horizontal="center" vertical="center"/>
    </xf>
    <xf numFmtId="0" fontId="6" fillId="3" borderId="145" xfId="0" applyFont="1" applyFill="1" applyBorder="1" applyAlignment="1">
      <alignment horizontal="center" vertical="center"/>
    </xf>
    <xf numFmtId="0" fontId="6" fillId="3" borderId="154" xfId="0" applyFont="1" applyFill="1" applyBorder="1" applyAlignment="1">
      <alignment horizontal="center" vertical="center"/>
    </xf>
    <xf numFmtId="0" fontId="6" fillId="3" borderId="146" xfId="0" applyFont="1" applyFill="1" applyBorder="1" applyAlignment="1">
      <alignment horizontal="center" vertical="center"/>
    </xf>
    <xf numFmtId="9" fontId="6" fillId="5" borderId="154" xfId="1" applyFont="1" applyFill="1" applyBorder="1" applyAlignment="1">
      <alignment horizontal="center" vertical="center"/>
    </xf>
    <xf numFmtId="0" fontId="6" fillId="7" borderId="149" xfId="0" applyFont="1" applyFill="1" applyBorder="1" applyAlignment="1">
      <alignment vertical="center"/>
    </xf>
    <xf numFmtId="0" fontId="0" fillId="7" borderId="76" xfId="0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56" xfId="0" applyFont="1" applyFill="1" applyBorder="1" applyAlignment="1">
      <alignment horizontal="left" vertical="center"/>
    </xf>
    <xf numFmtId="0" fontId="13" fillId="3" borderId="56" xfId="0" applyFont="1" applyFill="1" applyBorder="1" applyAlignment="1">
      <alignment horizontal="left" vertical="center"/>
    </xf>
    <xf numFmtId="0" fontId="4" fillId="3" borderId="57" xfId="0" applyFont="1" applyFill="1" applyBorder="1" applyAlignment="1">
      <alignment horizontal="left" vertical="center"/>
    </xf>
    <xf numFmtId="1" fontId="3" fillId="2" borderId="93" xfId="1" applyNumberFormat="1" applyFont="1" applyFill="1" applyBorder="1" applyAlignment="1">
      <alignment horizontal="centerContinuous" vertical="center" wrapText="1"/>
    </xf>
    <xf numFmtId="1" fontId="3" fillId="2" borderId="86" xfId="1" applyNumberFormat="1" applyFont="1" applyFill="1" applyBorder="1" applyAlignment="1">
      <alignment horizontal="centerContinuous" vertical="center" wrapText="1"/>
    </xf>
    <xf numFmtId="0" fontId="3" fillId="2" borderId="86" xfId="0" applyFont="1" applyFill="1" applyBorder="1" applyAlignment="1">
      <alignment horizontal="centerContinuous" vertical="center" wrapText="1"/>
    </xf>
    <xf numFmtId="9" fontId="6" fillId="3" borderId="155" xfId="1" applyFont="1" applyFill="1" applyBorder="1" applyAlignment="1">
      <alignment horizontal="center" vertical="center"/>
    </xf>
    <xf numFmtId="9" fontId="6" fillId="3" borderId="156" xfId="1" applyFont="1" applyFill="1" applyBorder="1" applyAlignment="1">
      <alignment horizontal="center" vertical="center"/>
    </xf>
    <xf numFmtId="9" fontId="0" fillId="3" borderId="155" xfId="1" applyFont="1" applyFill="1" applyBorder="1" applyAlignment="1">
      <alignment horizontal="center" vertical="center"/>
    </xf>
    <xf numFmtId="9" fontId="0" fillId="3" borderId="156" xfId="1" applyFont="1" applyFill="1" applyBorder="1" applyAlignment="1">
      <alignment horizontal="center" vertical="center"/>
    </xf>
    <xf numFmtId="9" fontId="0" fillId="3" borderId="161" xfId="1" applyFont="1" applyFill="1" applyBorder="1" applyAlignment="1">
      <alignment horizontal="center" vertical="center"/>
    </xf>
    <xf numFmtId="0" fontId="3" fillId="2" borderId="93" xfId="0" applyFont="1" applyFill="1" applyBorder="1" applyAlignment="1">
      <alignment horizontal="centerContinuous" vertical="center" wrapText="1"/>
    </xf>
    <xf numFmtId="9" fontId="6" fillId="3" borderId="157" xfId="1" applyFont="1" applyFill="1" applyBorder="1" applyAlignment="1">
      <alignment horizontal="center" vertical="center"/>
    </xf>
    <xf numFmtId="9" fontId="0" fillId="3" borderId="157" xfId="1" applyFont="1" applyFill="1" applyBorder="1" applyAlignment="1">
      <alignment horizontal="center" vertical="center"/>
    </xf>
    <xf numFmtId="9" fontId="0" fillId="3" borderId="164" xfId="1" applyFont="1" applyFill="1" applyBorder="1" applyAlignment="1">
      <alignment horizontal="center" vertical="center"/>
    </xf>
    <xf numFmtId="0" fontId="5" fillId="2" borderId="77" xfId="0" applyFont="1" applyFill="1" applyBorder="1" applyAlignment="1">
      <alignment horizontal="center" vertical="center" wrapText="1"/>
    </xf>
    <xf numFmtId="0" fontId="5" fillId="2" borderId="78" xfId="0" applyFont="1" applyFill="1" applyBorder="1" applyAlignment="1">
      <alignment horizontal="center" vertical="center" wrapText="1"/>
    </xf>
    <xf numFmtId="0" fontId="5" fillId="2" borderId="79" xfId="0" applyFont="1" applyFill="1" applyBorder="1" applyAlignment="1">
      <alignment horizontal="center" vertical="center" wrapText="1"/>
    </xf>
    <xf numFmtId="0" fontId="5" fillId="2" borderId="80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11" xfId="0" applyFont="1" applyFill="1" applyBorder="1" applyAlignment="1">
      <alignment horizontal="center" vertical="center"/>
    </xf>
    <xf numFmtId="0" fontId="2" fillId="3" borderId="110" xfId="0" applyFont="1" applyFill="1" applyBorder="1" applyAlignment="1">
      <alignment horizontal="center" vertical="center"/>
    </xf>
    <xf numFmtId="0" fontId="2" fillId="3" borderId="11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64" fontId="13" fillId="3" borderId="41" xfId="0" applyNumberFormat="1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9" fontId="4" fillId="3" borderId="33" xfId="1" applyFont="1" applyFill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0" fontId="9" fillId="3" borderId="27" xfId="0" applyFont="1" applyFill="1" applyBorder="1" applyAlignment="1">
      <alignment vertical="center"/>
    </xf>
    <xf numFmtId="0" fontId="9" fillId="3" borderId="51" xfId="0" applyFont="1" applyFill="1" applyBorder="1" applyAlignment="1">
      <alignment horizontal="center" vertical="center"/>
    </xf>
    <xf numFmtId="3" fontId="19" fillId="3" borderId="40" xfId="0" applyNumberFormat="1" applyFont="1" applyFill="1" applyBorder="1" applyAlignment="1">
      <alignment horizontal="center" vertical="center"/>
    </xf>
    <xf numFmtId="3" fontId="19" fillId="3" borderId="35" xfId="0" applyNumberFormat="1" applyFont="1" applyFill="1" applyBorder="1" applyAlignment="1">
      <alignment horizontal="center" vertical="center"/>
    </xf>
    <xf numFmtId="9" fontId="19" fillId="3" borderId="33" xfId="1" applyFont="1" applyFill="1" applyBorder="1" applyAlignment="1">
      <alignment horizontal="center" vertical="center"/>
    </xf>
    <xf numFmtId="3" fontId="19" fillId="3" borderId="35" xfId="1" applyNumberFormat="1" applyFont="1" applyFill="1" applyBorder="1" applyAlignment="1">
      <alignment horizontal="center" vertical="center"/>
    </xf>
    <xf numFmtId="3" fontId="19" fillId="3" borderId="33" xfId="0" applyNumberFormat="1" applyFont="1" applyFill="1" applyBorder="1" applyAlignment="1">
      <alignment horizontal="center" vertical="center"/>
    </xf>
    <xf numFmtId="3" fontId="19" fillId="3" borderId="41" xfId="0" applyNumberFormat="1" applyFont="1" applyFill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0" fillId="3" borderId="27" xfId="0" applyFont="1" applyFill="1" applyBorder="1" applyAlignment="1">
      <alignment vertical="center"/>
    </xf>
    <xf numFmtId="9" fontId="21" fillId="3" borderId="158" xfId="1" applyFont="1" applyFill="1" applyBorder="1" applyAlignment="1">
      <alignment horizontal="center" vertical="center"/>
    </xf>
    <xf numFmtId="9" fontId="21" fillId="3" borderId="159" xfId="1" applyFont="1" applyFill="1" applyBorder="1" applyAlignment="1">
      <alignment horizontal="center" vertical="center"/>
    </xf>
    <xf numFmtId="9" fontId="21" fillId="3" borderId="160" xfId="1" applyFont="1" applyFill="1" applyBorder="1" applyAlignment="1">
      <alignment horizontal="center" vertical="center"/>
    </xf>
    <xf numFmtId="3" fontId="22" fillId="3" borderId="33" xfId="0" applyNumberFormat="1" applyFont="1" applyFill="1" applyBorder="1" applyAlignment="1">
      <alignment horizontal="center" vertical="center"/>
    </xf>
    <xf numFmtId="3" fontId="22" fillId="3" borderId="35" xfId="0" applyNumberFormat="1" applyFont="1" applyFill="1" applyBorder="1" applyAlignment="1">
      <alignment horizontal="center" vertical="center"/>
    </xf>
    <xf numFmtId="3" fontId="22" fillId="3" borderId="4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3" fillId="3" borderId="27" xfId="0" applyFont="1" applyFill="1" applyBorder="1" applyAlignment="1">
      <alignment vertical="center"/>
    </xf>
    <xf numFmtId="3" fontId="23" fillId="3" borderId="50" xfId="0" applyNumberFormat="1" applyFont="1" applyFill="1" applyBorder="1" applyAlignment="1">
      <alignment horizontal="center" vertical="center"/>
    </xf>
    <xf numFmtId="9" fontId="24" fillId="3" borderId="158" xfId="1" applyFont="1" applyFill="1" applyBorder="1" applyAlignment="1">
      <alignment horizontal="center" vertical="center"/>
    </xf>
    <xf numFmtId="9" fontId="24" fillId="3" borderId="159" xfId="1" applyFont="1" applyFill="1" applyBorder="1" applyAlignment="1">
      <alignment horizontal="center" vertical="center"/>
    </xf>
    <xf numFmtId="9" fontId="24" fillId="3" borderId="160" xfId="1" applyFont="1" applyFill="1" applyBorder="1" applyAlignment="1">
      <alignment horizontal="center" vertical="center"/>
    </xf>
    <xf numFmtId="3" fontId="25" fillId="3" borderId="33" xfId="0" applyNumberFormat="1" applyFont="1" applyFill="1" applyBorder="1" applyAlignment="1">
      <alignment horizontal="center" vertical="center"/>
    </xf>
    <xf numFmtId="3" fontId="25" fillId="3" borderId="35" xfId="0" applyNumberFormat="1" applyFont="1" applyFill="1" applyBorder="1" applyAlignment="1">
      <alignment horizontal="center" vertical="center"/>
    </xf>
    <xf numFmtId="3" fontId="25" fillId="3" borderId="4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3" fontId="20" fillId="3" borderId="50" xfId="0" applyNumberFormat="1" applyFont="1" applyFill="1" applyBorder="1" applyAlignment="1">
      <alignment horizontal="center" vertical="center"/>
    </xf>
    <xf numFmtId="3" fontId="21" fillId="3" borderId="158" xfId="1" applyNumberFormat="1" applyFont="1" applyFill="1" applyBorder="1" applyAlignment="1">
      <alignment horizontal="center" vertical="center"/>
    </xf>
    <xf numFmtId="3" fontId="21" fillId="3" borderId="159" xfId="1" applyNumberFormat="1" applyFont="1" applyFill="1" applyBorder="1" applyAlignment="1">
      <alignment horizontal="center" vertical="center"/>
    </xf>
    <xf numFmtId="3" fontId="21" fillId="3" borderId="160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3" borderId="156" xfId="0" applyFont="1" applyFill="1" applyBorder="1" applyAlignment="1">
      <alignment horizontal="left" vertical="center"/>
    </xf>
    <xf numFmtId="0" fontId="20" fillId="3" borderId="159" xfId="0" applyFont="1" applyFill="1" applyBorder="1" applyAlignment="1">
      <alignment horizontal="center" vertical="center"/>
    </xf>
    <xf numFmtId="0" fontId="13" fillId="3" borderId="156" xfId="0" applyFont="1" applyFill="1" applyBorder="1" applyAlignment="1">
      <alignment horizontal="left" vertical="center"/>
    </xf>
    <xf numFmtId="0" fontId="4" fillId="3" borderId="155" xfId="0" applyFont="1" applyFill="1" applyBorder="1" applyAlignment="1">
      <alignment horizontal="left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158" xfId="0" applyFont="1" applyFill="1" applyBorder="1" applyAlignment="1">
      <alignment horizontal="center" vertical="center"/>
    </xf>
    <xf numFmtId="0" fontId="13" fillId="3" borderId="155" xfId="0" applyFont="1" applyFill="1" applyBorder="1" applyAlignment="1">
      <alignment horizontal="left" vertical="center"/>
    </xf>
    <xf numFmtId="0" fontId="23" fillId="3" borderId="42" xfId="0" applyFont="1" applyFill="1" applyBorder="1" applyAlignment="1">
      <alignment horizontal="center" vertical="center"/>
    </xf>
    <xf numFmtId="0" fontId="4" fillId="3" borderId="157" xfId="0" applyFont="1" applyFill="1" applyBorder="1" applyAlignment="1">
      <alignment horizontal="left" vertical="center"/>
    </xf>
    <xf numFmtId="0" fontId="20" fillId="3" borderId="160" xfId="0" applyFont="1" applyFill="1" applyBorder="1" applyAlignment="1">
      <alignment horizontal="center" vertical="center"/>
    </xf>
    <xf numFmtId="0" fontId="13" fillId="3" borderId="157" xfId="0" applyFont="1" applyFill="1" applyBorder="1" applyAlignment="1">
      <alignment horizontal="left" vertical="center"/>
    </xf>
    <xf numFmtId="0" fontId="0" fillId="3" borderId="170" xfId="0" applyFill="1" applyBorder="1" applyAlignment="1">
      <alignment vertical="center"/>
    </xf>
    <xf numFmtId="0" fontId="7" fillId="0" borderId="60" xfId="0" applyFont="1" applyBorder="1" applyAlignment="1">
      <alignment horizontal="center" vertical="center"/>
    </xf>
    <xf numFmtId="0" fontId="0" fillId="3" borderId="156" xfId="0" applyFill="1" applyBorder="1" applyAlignment="1">
      <alignment horizontal="center" vertical="center"/>
    </xf>
    <xf numFmtId="0" fontId="0" fillId="3" borderId="157" xfId="0" applyFill="1" applyBorder="1" applyAlignment="1">
      <alignment horizontal="center" vertical="center"/>
    </xf>
    <xf numFmtId="0" fontId="6" fillId="3" borderId="156" xfId="0" applyFont="1" applyFill="1" applyBorder="1" applyAlignment="1">
      <alignment horizontal="center" vertical="center"/>
    </xf>
    <xf numFmtId="0" fontId="6" fillId="3" borderId="157" xfId="0" applyFont="1" applyFill="1" applyBorder="1" applyAlignment="1">
      <alignment horizontal="center" vertical="center"/>
    </xf>
    <xf numFmtId="0" fontId="0" fillId="3" borderId="162" xfId="0" applyFill="1" applyBorder="1" applyAlignment="1">
      <alignment horizontal="center" vertical="center"/>
    </xf>
    <xf numFmtId="0" fontId="0" fillId="3" borderId="163" xfId="0" applyFill="1" applyBorder="1" applyAlignment="1">
      <alignment horizontal="center" vertical="center"/>
    </xf>
    <xf numFmtId="3" fontId="20" fillId="3" borderId="159" xfId="0" applyNumberFormat="1" applyFont="1" applyFill="1" applyBorder="1" applyAlignment="1">
      <alignment horizontal="center" vertical="center"/>
    </xf>
    <xf numFmtId="3" fontId="20" fillId="3" borderId="160" xfId="0" applyNumberFormat="1" applyFont="1" applyFill="1" applyBorder="1" applyAlignment="1">
      <alignment horizontal="center" vertical="center"/>
    </xf>
    <xf numFmtId="0" fontId="0" fillId="5" borderId="175" xfId="0" applyFill="1" applyBorder="1" applyAlignment="1">
      <alignment horizontal="center" vertical="center"/>
    </xf>
    <xf numFmtId="0" fontId="0" fillId="5" borderId="176" xfId="0" applyFill="1" applyBorder="1" applyAlignment="1">
      <alignment horizontal="center" vertical="center"/>
    </xf>
    <xf numFmtId="0" fontId="0" fillId="5" borderId="178" xfId="0" applyFill="1" applyBorder="1" applyAlignment="1">
      <alignment horizontal="center" vertical="center"/>
    </xf>
    <xf numFmtId="0" fontId="0" fillId="5" borderId="179" xfId="0" applyFill="1" applyBorder="1" applyAlignment="1">
      <alignment horizontal="center" vertical="center"/>
    </xf>
    <xf numFmtId="0" fontId="0" fillId="5" borderId="181" xfId="0" applyFill="1" applyBorder="1" applyAlignment="1">
      <alignment horizontal="center" vertical="center"/>
    </xf>
    <xf numFmtId="0" fontId="0" fillId="5" borderId="182" xfId="0" applyFill="1" applyBorder="1" applyAlignment="1">
      <alignment horizontal="center" vertical="center"/>
    </xf>
    <xf numFmtId="0" fontId="6" fillId="5" borderId="175" xfId="0" applyFont="1" applyFill="1" applyBorder="1" applyAlignment="1">
      <alignment horizontal="center" vertical="center"/>
    </xf>
    <xf numFmtId="0" fontId="6" fillId="5" borderId="176" xfId="0" applyFont="1" applyFill="1" applyBorder="1" applyAlignment="1">
      <alignment horizontal="center" vertical="center"/>
    </xf>
    <xf numFmtId="0" fontId="6" fillId="5" borderId="178" xfId="0" applyFont="1" applyFill="1" applyBorder="1" applyAlignment="1">
      <alignment horizontal="center" vertical="center"/>
    </xf>
    <xf numFmtId="0" fontId="6" fillId="5" borderId="179" xfId="0" applyFont="1" applyFill="1" applyBorder="1" applyAlignment="1">
      <alignment horizontal="center" vertical="center"/>
    </xf>
    <xf numFmtId="0" fontId="6" fillId="5" borderId="181" xfId="0" applyFont="1" applyFill="1" applyBorder="1" applyAlignment="1">
      <alignment horizontal="center" vertical="center"/>
    </xf>
    <xf numFmtId="0" fontId="6" fillId="5" borderId="182" xfId="0" applyFont="1" applyFill="1" applyBorder="1" applyAlignment="1">
      <alignment horizontal="center" vertical="center"/>
    </xf>
    <xf numFmtId="0" fontId="6" fillId="5" borderId="131" xfId="0" applyFont="1" applyFill="1" applyBorder="1" applyAlignment="1">
      <alignment horizontal="center" vertical="center"/>
    </xf>
    <xf numFmtId="9" fontId="6" fillId="3" borderId="127" xfId="1" applyFont="1" applyFill="1" applyBorder="1" applyAlignment="1">
      <alignment horizontal="center" vertical="center"/>
    </xf>
    <xf numFmtId="9" fontId="6" fillId="3" borderId="174" xfId="1" applyFont="1" applyFill="1" applyBorder="1" applyAlignment="1">
      <alignment horizontal="center" vertical="center"/>
    </xf>
    <xf numFmtId="9" fontId="6" fillId="3" borderId="175" xfId="1" applyFont="1" applyFill="1" applyBorder="1" applyAlignment="1">
      <alignment horizontal="center" vertical="center"/>
    </xf>
    <xf numFmtId="9" fontId="6" fillId="3" borderId="176" xfId="1" applyFont="1" applyFill="1" applyBorder="1" applyAlignment="1">
      <alignment horizontal="center" vertical="center"/>
    </xf>
    <xf numFmtId="0" fontId="2" fillId="7" borderId="126" xfId="0" applyFont="1" applyFill="1" applyBorder="1" applyAlignment="1">
      <alignment horizontal="center" vertical="center"/>
    </xf>
    <xf numFmtId="0" fontId="2" fillId="7" borderId="125" xfId="0" applyFont="1" applyFill="1" applyBorder="1" applyAlignment="1">
      <alignment horizontal="center" vertical="center"/>
    </xf>
    <xf numFmtId="0" fontId="2" fillId="3" borderId="126" xfId="0" applyFont="1" applyFill="1" applyBorder="1" applyAlignment="1">
      <alignment horizontal="center" vertical="center"/>
    </xf>
    <xf numFmtId="0" fontId="2" fillId="3" borderId="125" xfId="0" applyFont="1" applyFill="1" applyBorder="1" applyAlignment="1">
      <alignment horizontal="center" vertical="center"/>
    </xf>
    <xf numFmtId="0" fontId="2" fillId="3" borderId="128" xfId="0" applyFont="1" applyFill="1" applyBorder="1" applyAlignment="1">
      <alignment horizontal="center" vertical="center"/>
    </xf>
    <xf numFmtId="9" fontId="6" fillId="3" borderId="135" xfId="1" applyFont="1" applyFill="1" applyBorder="1" applyAlignment="1">
      <alignment horizontal="center" vertical="center"/>
    </xf>
    <xf numFmtId="9" fontId="6" fillId="3" borderId="177" xfId="1" applyFont="1" applyFill="1" applyBorder="1" applyAlignment="1">
      <alignment horizontal="center" vertical="center"/>
    </xf>
    <xf numFmtId="9" fontId="6" fillId="3" borderId="178" xfId="1" applyFont="1" applyFill="1" applyBorder="1" applyAlignment="1">
      <alignment horizontal="center" vertical="center"/>
    </xf>
    <xf numFmtId="9" fontId="6" fillId="3" borderId="179" xfId="1" applyFont="1" applyFill="1" applyBorder="1" applyAlignment="1">
      <alignment horizontal="center" vertical="center"/>
    </xf>
    <xf numFmtId="0" fontId="2" fillId="7" borderId="134" xfId="0" applyFont="1" applyFill="1" applyBorder="1" applyAlignment="1">
      <alignment horizontal="center" vertical="center"/>
    </xf>
    <xf numFmtId="0" fontId="2" fillId="7" borderId="133" xfId="0" applyFont="1" applyFill="1" applyBorder="1" applyAlignment="1">
      <alignment horizontal="center" vertical="center"/>
    </xf>
    <xf numFmtId="0" fontId="2" fillId="3" borderId="134" xfId="0" applyFont="1" applyFill="1" applyBorder="1" applyAlignment="1">
      <alignment horizontal="center" vertical="center"/>
    </xf>
    <xf numFmtId="0" fontId="2" fillId="3" borderId="133" xfId="0" applyFont="1" applyFill="1" applyBorder="1" applyAlignment="1">
      <alignment horizontal="center" vertical="center"/>
    </xf>
    <xf numFmtId="0" fontId="2" fillId="3" borderId="136" xfId="0" applyFont="1" applyFill="1" applyBorder="1" applyAlignment="1">
      <alignment horizontal="center" vertical="center"/>
    </xf>
    <xf numFmtId="9" fontId="6" fillId="3" borderId="180" xfId="1" applyFont="1" applyFill="1" applyBorder="1" applyAlignment="1">
      <alignment horizontal="center" vertical="center"/>
    </xf>
    <xf numFmtId="9" fontId="6" fillId="3" borderId="181" xfId="1" applyFont="1" applyFill="1" applyBorder="1" applyAlignment="1">
      <alignment horizontal="center" vertical="center"/>
    </xf>
    <xf numFmtId="9" fontId="6" fillId="3" borderId="182" xfId="1" applyFont="1" applyFill="1" applyBorder="1" applyAlignment="1">
      <alignment horizontal="center" vertical="center"/>
    </xf>
    <xf numFmtId="0" fontId="2" fillId="7" borderId="140" xfId="0" applyFont="1" applyFill="1" applyBorder="1" applyAlignment="1">
      <alignment horizontal="center" vertical="center"/>
    </xf>
    <xf numFmtId="0" fontId="2" fillId="7" borderId="139" xfId="0" applyFont="1" applyFill="1" applyBorder="1" applyAlignment="1">
      <alignment horizontal="center" vertical="center"/>
    </xf>
    <xf numFmtId="0" fontId="2" fillId="3" borderId="140" xfId="0" applyFont="1" applyFill="1" applyBorder="1" applyAlignment="1">
      <alignment horizontal="center" vertical="center"/>
    </xf>
    <xf numFmtId="0" fontId="2" fillId="3" borderId="139" xfId="0" applyFont="1" applyFill="1" applyBorder="1" applyAlignment="1">
      <alignment horizontal="center" vertical="center"/>
    </xf>
    <xf numFmtId="0" fontId="2" fillId="3" borderId="141" xfId="0" applyFont="1" applyFill="1" applyBorder="1" applyAlignment="1">
      <alignment horizontal="center" vertical="center"/>
    </xf>
    <xf numFmtId="0" fontId="2" fillId="3" borderId="184" xfId="0" applyFont="1" applyFill="1" applyBorder="1" applyAlignment="1">
      <alignment horizontal="center" vertical="center"/>
    </xf>
    <xf numFmtId="0" fontId="2" fillId="3" borderId="183" xfId="0" applyFont="1" applyFill="1" applyBorder="1" applyAlignment="1">
      <alignment horizontal="center" vertical="center"/>
    </xf>
    <xf numFmtId="0" fontId="2" fillId="3" borderId="185" xfId="0" applyFont="1" applyFill="1" applyBorder="1" applyAlignment="1">
      <alignment horizontal="center" vertical="center"/>
    </xf>
    <xf numFmtId="0" fontId="0" fillId="3" borderId="161" xfId="0" applyFill="1" applyBorder="1" applyAlignment="1">
      <alignment horizontal="center" vertical="center"/>
    </xf>
    <xf numFmtId="0" fontId="0" fillId="3" borderId="164" xfId="0" applyFill="1" applyBorder="1" applyAlignment="1">
      <alignment horizontal="center" vertical="center"/>
    </xf>
    <xf numFmtId="0" fontId="6" fillId="5" borderId="123" xfId="0" applyFont="1" applyFill="1" applyBorder="1" applyAlignment="1">
      <alignment horizontal="center" vertical="center"/>
    </xf>
    <xf numFmtId="0" fontId="2" fillId="13" borderId="126" xfId="0" applyFont="1" applyFill="1" applyBorder="1" applyAlignment="1">
      <alignment horizontal="center" vertical="center"/>
    </xf>
    <xf numFmtId="0" fontId="2" fillId="13" borderId="125" xfId="0" applyFont="1" applyFill="1" applyBorder="1" applyAlignment="1">
      <alignment horizontal="center" vertical="center"/>
    </xf>
    <xf numFmtId="0" fontId="2" fillId="13" borderId="128" xfId="0" applyFont="1" applyFill="1" applyBorder="1" applyAlignment="1">
      <alignment horizontal="center" vertical="center"/>
    </xf>
    <xf numFmtId="0" fontId="2" fillId="13" borderId="134" xfId="0" applyFont="1" applyFill="1" applyBorder="1" applyAlignment="1">
      <alignment horizontal="center" vertical="center"/>
    </xf>
    <xf numFmtId="0" fontId="2" fillId="13" borderId="133" xfId="0" applyFont="1" applyFill="1" applyBorder="1" applyAlignment="1">
      <alignment horizontal="center" vertical="center"/>
    </xf>
    <xf numFmtId="0" fontId="2" fillId="13" borderId="136" xfId="0" applyFont="1" applyFill="1" applyBorder="1" applyAlignment="1">
      <alignment horizontal="center" vertical="center"/>
    </xf>
    <xf numFmtId="0" fontId="6" fillId="5" borderId="137" xfId="0" applyFont="1" applyFill="1" applyBorder="1" applyAlignment="1">
      <alignment horizontal="center" vertical="center"/>
    </xf>
    <xf numFmtId="0" fontId="2" fillId="13" borderId="140" xfId="0" applyFont="1" applyFill="1" applyBorder="1" applyAlignment="1">
      <alignment horizontal="center" vertical="center"/>
    </xf>
    <xf numFmtId="0" fontId="2" fillId="13" borderId="139" xfId="0" applyFont="1" applyFill="1" applyBorder="1" applyAlignment="1">
      <alignment horizontal="center" vertical="center"/>
    </xf>
    <xf numFmtId="0" fontId="2" fillId="13" borderId="141" xfId="0" applyFont="1" applyFill="1" applyBorder="1" applyAlignment="1">
      <alignment horizontal="center" vertical="center"/>
    </xf>
    <xf numFmtId="9" fontId="0" fillId="3" borderId="174" xfId="1" applyFont="1" applyFill="1" applyBorder="1" applyAlignment="1">
      <alignment horizontal="center" vertical="center"/>
    </xf>
    <xf numFmtId="9" fontId="0" fillId="3" borderId="175" xfId="1" applyFont="1" applyFill="1" applyBorder="1" applyAlignment="1">
      <alignment horizontal="center" vertical="center"/>
    </xf>
    <xf numFmtId="9" fontId="0" fillId="3" borderId="176" xfId="1" applyFont="1" applyFill="1" applyBorder="1" applyAlignment="1">
      <alignment horizontal="center" vertical="center"/>
    </xf>
    <xf numFmtId="9" fontId="0" fillId="3" borderId="177" xfId="1" applyFont="1" applyFill="1" applyBorder="1" applyAlignment="1">
      <alignment horizontal="center" vertical="center"/>
    </xf>
    <xf numFmtId="9" fontId="0" fillId="3" borderId="178" xfId="1" applyFont="1" applyFill="1" applyBorder="1" applyAlignment="1">
      <alignment horizontal="center" vertical="center"/>
    </xf>
    <xf numFmtId="9" fontId="0" fillId="3" borderId="179" xfId="1" applyFont="1" applyFill="1" applyBorder="1" applyAlignment="1">
      <alignment horizontal="center" vertical="center"/>
    </xf>
    <xf numFmtId="0" fontId="4" fillId="3" borderId="165" xfId="0" applyFont="1" applyFill="1" applyBorder="1" applyAlignment="1">
      <alignment horizontal="left" vertical="center"/>
    </xf>
    <xf numFmtId="0" fontId="4" fillId="3" borderId="162" xfId="0" applyFont="1" applyFill="1" applyBorder="1" applyAlignment="1">
      <alignment horizontal="left" vertical="center"/>
    </xf>
    <xf numFmtId="0" fontId="23" fillId="3" borderId="15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5" borderId="188" xfId="0" applyFont="1" applyFill="1" applyBorder="1" applyAlignment="1">
      <alignment horizontal="center" vertical="center"/>
    </xf>
    <xf numFmtId="0" fontId="6" fillId="5" borderId="189" xfId="0" applyFont="1" applyFill="1" applyBorder="1" applyAlignment="1">
      <alignment horizontal="center" vertical="center"/>
    </xf>
    <xf numFmtId="0" fontId="6" fillId="5" borderId="190" xfId="0" applyFont="1" applyFill="1" applyBorder="1" applyAlignment="1">
      <alignment horizontal="center" vertical="center"/>
    </xf>
    <xf numFmtId="9" fontId="6" fillId="3" borderId="194" xfId="1" applyFont="1" applyFill="1" applyBorder="1" applyAlignment="1">
      <alignment horizontal="center" vertical="center"/>
    </xf>
    <xf numFmtId="9" fontId="6" fillId="3" borderId="192" xfId="1" applyFont="1" applyFill="1" applyBorder="1" applyAlignment="1">
      <alignment horizontal="center" vertical="center"/>
    </xf>
    <xf numFmtId="9" fontId="6" fillId="3" borderId="195" xfId="1" applyFont="1" applyFill="1" applyBorder="1" applyAlignment="1">
      <alignment horizontal="center" vertical="center"/>
    </xf>
    <xf numFmtId="9" fontId="6" fillId="3" borderId="188" xfId="1" applyFont="1" applyFill="1" applyBorder="1" applyAlignment="1">
      <alignment horizontal="center" vertical="center"/>
    </xf>
    <xf numFmtId="9" fontId="6" fillId="3" borderId="189" xfId="1" applyFont="1" applyFill="1" applyBorder="1" applyAlignment="1">
      <alignment horizontal="center" vertical="center"/>
    </xf>
    <xf numFmtId="0" fontId="2" fillId="7" borderId="194" xfId="0" applyFont="1" applyFill="1" applyBorder="1" applyAlignment="1">
      <alignment horizontal="center" vertical="center"/>
    </xf>
    <xf numFmtId="0" fontId="2" fillId="7" borderId="193" xfId="0" applyFont="1" applyFill="1" applyBorder="1" applyAlignment="1">
      <alignment horizontal="center" vertical="center"/>
    </xf>
    <xf numFmtId="0" fontId="2" fillId="3" borderId="194" xfId="0" applyFont="1" applyFill="1" applyBorder="1" applyAlignment="1">
      <alignment horizontal="center" vertical="center"/>
    </xf>
    <xf numFmtId="0" fontId="2" fillId="3" borderId="193" xfId="0" applyFont="1" applyFill="1" applyBorder="1" applyAlignment="1">
      <alignment horizontal="center" vertical="center"/>
    </xf>
    <xf numFmtId="0" fontId="2" fillId="3" borderId="196" xfId="0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9" fontId="6" fillId="0" borderId="0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14" borderId="197" xfId="0" applyFont="1" applyFill="1" applyBorder="1" applyAlignment="1">
      <alignment horizontal="centerContinuous" vertical="center"/>
    </xf>
    <xf numFmtId="0" fontId="28" fillId="14" borderId="198" xfId="0" applyFont="1" applyFill="1" applyBorder="1" applyAlignment="1">
      <alignment horizontal="centerContinuous" vertical="center"/>
    </xf>
    <xf numFmtId="0" fontId="28" fillId="14" borderId="45" xfId="0" applyFont="1" applyFill="1" applyBorder="1" applyAlignment="1">
      <alignment horizontal="centerContinuous" vertical="center"/>
    </xf>
    <xf numFmtId="0" fontId="8" fillId="14" borderId="199" xfId="0" applyFont="1" applyFill="1" applyBorder="1" applyAlignment="1">
      <alignment horizontal="center" vertical="center"/>
    </xf>
    <xf numFmtId="0" fontId="8" fillId="14" borderId="200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3" fontId="0" fillId="0" borderId="199" xfId="0" applyNumberFormat="1" applyBorder="1" applyAlignment="1">
      <alignment horizontal="center" vertical="center"/>
    </xf>
    <xf numFmtId="3" fontId="0" fillId="0" borderId="200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201" xfId="0" applyNumberFormat="1" applyBorder="1" applyAlignment="1">
      <alignment horizontal="center" vertical="center"/>
    </xf>
    <xf numFmtId="3" fontId="0" fillId="0" borderId="202" xfId="0" applyNumberFormat="1" applyBorder="1" applyAlignment="1">
      <alignment horizontal="center" vertical="center"/>
    </xf>
    <xf numFmtId="3" fontId="0" fillId="0" borderId="116" xfId="0" applyNumberFormat="1" applyBorder="1" applyAlignment="1">
      <alignment horizontal="center" vertical="center"/>
    </xf>
    <xf numFmtId="3" fontId="7" fillId="0" borderId="203" xfId="0" applyNumberFormat="1" applyFont="1" applyBorder="1" applyAlignment="1">
      <alignment horizontal="center" vertical="center"/>
    </xf>
    <xf numFmtId="3" fontId="7" fillId="0" borderId="204" xfId="0" applyNumberFormat="1" applyFont="1" applyBorder="1" applyAlignment="1">
      <alignment horizontal="center" vertical="center"/>
    </xf>
    <xf numFmtId="3" fontId="7" fillId="0" borderId="50" xfId="0" applyNumberFormat="1" applyFont="1" applyBorder="1" applyAlignment="1">
      <alignment horizontal="center" vertical="center"/>
    </xf>
    <xf numFmtId="0" fontId="7" fillId="0" borderId="205" xfId="0" applyFont="1" applyBorder="1" applyAlignment="1">
      <alignment vertical="center"/>
    </xf>
    <xf numFmtId="0" fontId="0" fillId="0" borderId="206" xfId="0" applyBorder="1" applyAlignment="1">
      <alignment horizontal="center" vertical="center"/>
    </xf>
    <xf numFmtId="0" fontId="0" fillId="0" borderId="207" xfId="0" applyBorder="1" applyAlignment="1">
      <alignment vertical="center"/>
    </xf>
    <xf numFmtId="0" fontId="0" fillId="0" borderId="208" xfId="0" applyBorder="1" applyAlignment="1">
      <alignment vertical="center"/>
    </xf>
    <xf numFmtId="9" fontId="2" fillId="0" borderId="206" xfId="1" applyFont="1" applyBorder="1" applyAlignment="1">
      <alignment horizontal="center" vertical="center"/>
    </xf>
    <xf numFmtId="0" fontId="6" fillId="3" borderId="184" xfId="0" applyFont="1" applyFill="1" applyBorder="1" applyAlignment="1">
      <alignment horizontal="center" vertical="center"/>
    </xf>
    <xf numFmtId="0" fontId="6" fillId="3" borderId="183" xfId="0" applyFont="1" applyFill="1" applyBorder="1" applyAlignment="1">
      <alignment horizontal="center" vertical="center"/>
    </xf>
    <xf numFmtId="0" fontId="6" fillId="3" borderId="185" xfId="0" applyFont="1" applyFill="1" applyBorder="1" applyAlignment="1">
      <alignment horizontal="center" vertical="center"/>
    </xf>
    <xf numFmtId="0" fontId="4" fillId="3" borderId="211" xfId="0" applyFont="1" applyFill="1" applyBorder="1" applyAlignment="1">
      <alignment horizontal="center" vertical="center"/>
    </xf>
    <xf numFmtId="0" fontId="4" fillId="3" borderId="212" xfId="0" applyFont="1" applyFill="1" applyBorder="1" applyAlignment="1">
      <alignment horizontal="center" vertical="center"/>
    </xf>
    <xf numFmtId="0" fontId="4" fillId="3" borderId="161" xfId="0" applyFont="1" applyFill="1" applyBorder="1" applyAlignment="1">
      <alignment horizontal="center" vertical="center"/>
    </xf>
    <xf numFmtId="0" fontId="4" fillId="3" borderId="164" xfId="0" applyFont="1" applyFill="1" applyBorder="1" applyAlignment="1">
      <alignment horizontal="center" vertical="center"/>
    </xf>
    <xf numFmtId="0" fontId="4" fillId="3" borderId="209" xfId="0" applyFont="1" applyFill="1" applyBorder="1" applyAlignment="1">
      <alignment vertical="center"/>
    </xf>
    <xf numFmtId="0" fontId="4" fillId="3" borderId="210" xfId="0" applyFont="1" applyFill="1" applyBorder="1" applyAlignment="1">
      <alignment vertical="center"/>
    </xf>
    <xf numFmtId="0" fontId="0" fillId="0" borderId="72" xfId="0" applyBorder="1" applyAlignment="1">
      <alignment vertical="center"/>
    </xf>
    <xf numFmtId="0" fontId="0" fillId="0" borderId="72" xfId="0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Continuous" vertical="center"/>
    </xf>
    <xf numFmtId="0" fontId="28" fillId="0" borderId="0" xfId="0" applyFont="1" applyAlignment="1">
      <alignment horizontal="centerContinuous" vertical="center"/>
    </xf>
    <xf numFmtId="9" fontId="2" fillId="0" borderId="0" xfId="1" applyFont="1" applyFill="1" applyBorder="1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167" fontId="0" fillId="0" borderId="0" xfId="1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3" fontId="0" fillId="0" borderId="0" xfId="0" applyNumberFormat="1" applyAlignment="1">
      <alignment vertical="center"/>
    </xf>
    <xf numFmtId="3" fontId="7" fillId="0" borderId="0" xfId="0" applyNumberFormat="1" applyFont="1" applyAlignment="1">
      <alignment vertical="center"/>
    </xf>
    <xf numFmtId="0" fontId="8" fillId="14" borderId="214" xfId="0" applyFont="1" applyFill="1" applyBorder="1" applyAlignment="1">
      <alignment horizontal="center" vertical="center"/>
    </xf>
    <xf numFmtId="0" fontId="8" fillId="14" borderId="215" xfId="0" applyFont="1" applyFill="1" applyBorder="1" applyAlignment="1">
      <alignment horizontal="center" vertical="center"/>
    </xf>
    <xf numFmtId="0" fontId="8" fillId="14" borderId="96" xfId="0" applyFont="1" applyFill="1" applyBorder="1" applyAlignment="1">
      <alignment horizontal="center" vertical="center"/>
    </xf>
    <xf numFmtId="3" fontId="0" fillId="0" borderId="198" xfId="0" applyNumberFormat="1" applyBorder="1" applyAlignment="1">
      <alignment vertical="center"/>
    </xf>
    <xf numFmtId="3" fontId="0" fillId="0" borderId="45" xfId="0" applyNumberFormat="1" applyBorder="1" applyAlignment="1">
      <alignment vertical="center"/>
    </xf>
    <xf numFmtId="3" fontId="0" fillId="0" borderId="200" xfId="0" applyNumberFormat="1" applyBorder="1" applyAlignment="1">
      <alignment vertical="center"/>
    </xf>
    <xf numFmtId="3" fontId="0" fillId="0" borderId="7" xfId="0" applyNumberFormat="1" applyBorder="1" applyAlignment="1">
      <alignment vertical="center"/>
    </xf>
    <xf numFmtId="0" fontId="29" fillId="0" borderId="216" xfId="0" applyFont="1" applyBorder="1" applyAlignment="1">
      <alignment vertical="center"/>
    </xf>
    <xf numFmtId="3" fontId="0" fillId="0" borderId="197" xfId="0" applyNumberFormat="1" applyBorder="1" applyAlignment="1">
      <alignment vertical="center"/>
    </xf>
    <xf numFmtId="0" fontId="29" fillId="0" borderId="217" xfId="0" applyFont="1" applyBorder="1" applyAlignment="1">
      <alignment vertical="center"/>
    </xf>
    <xf numFmtId="3" fontId="0" fillId="0" borderId="199" xfId="0" applyNumberFormat="1" applyBorder="1" applyAlignment="1">
      <alignment vertical="center"/>
    </xf>
    <xf numFmtId="0" fontId="29" fillId="0" borderId="217" xfId="0" applyFont="1" applyBorder="1" applyAlignment="1">
      <alignment vertical="center" wrapText="1"/>
    </xf>
    <xf numFmtId="0" fontId="29" fillId="0" borderId="218" xfId="0" applyFont="1" applyBorder="1" applyAlignment="1">
      <alignment vertical="center"/>
    </xf>
    <xf numFmtId="3" fontId="0" fillId="0" borderId="201" xfId="0" applyNumberFormat="1" applyBorder="1" applyAlignment="1">
      <alignment vertical="center"/>
    </xf>
    <xf numFmtId="3" fontId="0" fillId="0" borderId="202" xfId="0" applyNumberFormat="1" applyBorder="1" applyAlignment="1">
      <alignment vertical="center"/>
    </xf>
    <xf numFmtId="3" fontId="0" fillId="0" borderId="116" xfId="0" applyNumberFormat="1" applyBorder="1" applyAlignment="1">
      <alignment vertical="center"/>
    </xf>
    <xf numFmtId="0" fontId="7" fillId="0" borderId="213" xfId="0" applyFont="1" applyBorder="1" applyAlignment="1">
      <alignment vertical="center"/>
    </xf>
    <xf numFmtId="3" fontId="7" fillId="0" borderId="203" xfId="0" applyNumberFormat="1" applyFont="1" applyBorder="1" applyAlignment="1">
      <alignment vertical="center"/>
    </xf>
    <xf numFmtId="3" fontId="7" fillId="0" borderId="204" xfId="0" applyNumberFormat="1" applyFont="1" applyBorder="1" applyAlignment="1">
      <alignment vertical="center"/>
    </xf>
    <xf numFmtId="3" fontId="7" fillId="0" borderId="50" xfId="0" applyNumberFormat="1" applyFont="1" applyBorder="1" applyAlignment="1">
      <alignment vertical="center"/>
    </xf>
    <xf numFmtId="9" fontId="0" fillId="0" borderId="200" xfId="1" applyFont="1" applyFill="1" applyBorder="1" applyAlignment="1">
      <alignment vertical="center"/>
    </xf>
    <xf numFmtId="9" fontId="0" fillId="0" borderId="7" xfId="1" applyFont="1" applyFill="1" applyBorder="1" applyAlignment="1">
      <alignment vertical="center"/>
    </xf>
    <xf numFmtId="9" fontId="0" fillId="0" borderId="198" xfId="1" applyFont="1" applyFill="1" applyBorder="1" applyAlignment="1">
      <alignment horizontal="right" vertical="center"/>
    </xf>
    <xf numFmtId="9" fontId="0" fillId="0" borderId="45" xfId="1" applyFont="1" applyFill="1" applyBorder="1" applyAlignment="1">
      <alignment horizontal="right" vertical="center"/>
    </xf>
    <xf numFmtId="9" fontId="0" fillId="0" borderId="200" xfId="1" applyFont="1" applyFill="1" applyBorder="1" applyAlignment="1">
      <alignment horizontal="right" vertical="center"/>
    </xf>
    <xf numFmtId="9" fontId="0" fillId="0" borderId="7" xfId="1" applyFont="1" applyFill="1" applyBorder="1" applyAlignment="1">
      <alignment horizontal="right" vertical="center"/>
    </xf>
    <xf numFmtId="9" fontId="0" fillId="0" borderId="202" xfId="1" applyFont="1" applyFill="1" applyBorder="1" applyAlignment="1">
      <alignment horizontal="right" vertical="center"/>
    </xf>
    <xf numFmtId="9" fontId="0" fillId="0" borderId="116" xfId="1" applyFont="1" applyFill="1" applyBorder="1" applyAlignment="1">
      <alignment horizontal="right" vertical="center"/>
    </xf>
    <xf numFmtId="9" fontId="7" fillId="0" borderId="204" xfId="1" applyFont="1" applyFill="1" applyBorder="1" applyAlignment="1">
      <alignment horizontal="right" vertical="center"/>
    </xf>
    <xf numFmtId="9" fontId="7" fillId="0" borderId="50" xfId="1" applyFont="1" applyFill="1" applyBorder="1" applyAlignment="1">
      <alignment horizontal="right" vertical="center"/>
    </xf>
    <xf numFmtId="9" fontId="0" fillId="0" borderId="197" xfId="1" applyFont="1" applyFill="1" applyBorder="1" applyAlignment="1">
      <alignment horizontal="right" vertical="center"/>
    </xf>
    <xf numFmtId="9" fontId="0" fillId="0" borderId="199" xfId="1" applyFont="1" applyFill="1" applyBorder="1" applyAlignment="1">
      <alignment horizontal="right" vertical="center"/>
    </xf>
    <xf numFmtId="9" fontId="0" fillId="0" borderId="201" xfId="1" applyFont="1" applyFill="1" applyBorder="1" applyAlignment="1">
      <alignment horizontal="right" vertical="center"/>
    </xf>
    <xf numFmtId="9" fontId="7" fillId="0" borderId="203" xfId="1" applyFont="1" applyFill="1" applyBorder="1" applyAlignment="1">
      <alignment horizontal="right" vertical="center"/>
    </xf>
    <xf numFmtId="0" fontId="8" fillId="14" borderId="28" xfId="0" applyFont="1" applyFill="1" applyBorder="1" applyAlignment="1">
      <alignment horizontal="centerContinuous" vertical="center"/>
    </xf>
    <xf numFmtId="0" fontId="28" fillId="14" borderId="52" xfId="0" applyFont="1" applyFill="1" applyBorder="1" applyAlignment="1">
      <alignment horizontal="centerContinuous" vertical="center"/>
    </xf>
    <xf numFmtId="0" fontId="28" fillId="14" borderId="219" xfId="0" applyFont="1" applyFill="1" applyBorder="1" applyAlignment="1">
      <alignment horizontal="centerContinuous" vertical="center"/>
    </xf>
    <xf numFmtId="3" fontId="0" fillId="0" borderId="197" xfId="0" applyNumberFormat="1" applyBorder="1" applyAlignment="1">
      <alignment horizontal="center" vertical="center"/>
    </xf>
    <xf numFmtId="3" fontId="0" fillId="0" borderId="198" xfId="0" applyNumberFormat="1" applyBorder="1" applyAlignment="1">
      <alignment horizontal="center" vertical="center"/>
    </xf>
    <xf numFmtId="3" fontId="0" fillId="0" borderId="45" xfId="0" applyNumberFormat="1" applyBorder="1" applyAlignment="1">
      <alignment horizontal="center" vertical="center"/>
    </xf>
    <xf numFmtId="9" fontId="0" fillId="0" borderId="201" xfId="0" applyNumberFormat="1" applyBorder="1" applyAlignment="1">
      <alignment horizontal="center" vertical="center"/>
    </xf>
    <xf numFmtId="9" fontId="0" fillId="0" borderId="202" xfId="0" applyNumberFormat="1" applyBorder="1" applyAlignment="1">
      <alignment horizontal="center" vertical="center"/>
    </xf>
    <xf numFmtId="9" fontId="0" fillId="0" borderId="116" xfId="0" applyNumberFormat="1" applyBorder="1" applyAlignment="1">
      <alignment horizontal="center" vertical="center"/>
    </xf>
    <xf numFmtId="0" fontId="7" fillId="0" borderId="208" xfId="0" applyFont="1" applyBorder="1" applyAlignment="1">
      <alignment vertical="center"/>
    </xf>
    <xf numFmtId="0" fontId="7" fillId="0" borderId="219" xfId="0" applyFont="1" applyBorder="1" applyAlignment="1">
      <alignment vertical="center"/>
    </xf>
    <xf numFmtId="0" fontId="7" fillId="0" borderId="27" xfId="0" applyFont="1" applyBorder="1" applyAlignment="1">
      <alignment horizontal="center" vertical="center"/>
    </xf>
    <xf numFmtId="0" fontId="3" fillId="2" borderId="74" xfId="0" applyFont="1" applyFill="1" applyBorder="1" applyAlignment="1">
      <alignment horizontal="center" vertical="center" wrapText="1"/>
    </xf>
    <xf numFmtId="0" fontId="3" fillId="2" borderId="76" xfId="0" applyFont="1" applyFill="1" applyBorder="1" applyAlignment="1">
      <alignment horizontal="center" vertical="center" wrapText="1"/>
    </xf>
    <xf numFmtId="0" fontId="4" fillId="3" borderId="161" xfId="0" applyFont="1" applyFill="1" applyBorder="1" applyAlignment="1">
      <alignment horizontal="left" vertical="center"/>
    </xf>
    <xf numFmtId="0" fontId="4" fillId="3" borderId="164" xfId="0" applyFont="1" applyFill="1" applyBorder="1" applyAlignment="1">
      <alignment horizontal="left" vertical="center"/>
    </xf>
    <xf numFmtId="0" fontId="23" fillId="3" borderId="159" xfId="0" applyFont="1" applyFill="1" applyBorder="1" applyAlignment="1">
      <alignment horizontal="center" vertical="center"/>
    </xf>
    <xf numFmtId="0" fontId="23" fillId="3" borderId="160" xfId="0" applyFont="1" applyFill="1" applyBorder="1" applyAlignment="1">
      <alignment horizontal="center" vertical="center"/>
    </xf>
    <xf numFmtId="0" fontId="0" fillId="5" borderId="187" xfId="0" applyFill="1" applyBorder="1" applyAlignment="1">
      <alignment vertical="center"/>
    </xf>
    <xf numFmtId="0" fontId="0" fillId="5" borderId="188" xfId="0" applyFill="1" applyBorder="1" applyAlignment="1">
      <alignment horizontal="center" vertical="center"/>
    </xf>
    <xf numFmtId="0" fontId="0" fillId="5" borderId="189" xfId="0" applyFill="1" applyBorder="1" applyAlignment="1">
      <alignment horizontal="center" vertical="center"/>
    </xf>
    <xf numFmtId="0" fontId="0" fillId="5" borderId="190" xfId="0" applyFill="1" applyBorder="1" applyAlignment="1">
      <alignment horizontal="center" vertical="center"/>
    </xf>
    <xf numFmtId="0" fontId="0" fillId="5" borderId="172" xfId="0" applyFill="1" applyBorder="1" applyAlignment="1">
      <alignment vertical="center"/>
    </xf>
    <xf numFmtId="0" fontId="3" fillId="2" borderId="0" xfId="0" applyFont="1" applyFill="1" applyAlignment="1">
      <alignment horizontal="centerContinuous" vertical="center" wrapText="1"/>
    </xf>
    <xf numFmtId="0" fontId="3" fillId="2" borderId="85" xfId="0" applyFont="1" applyFill="1" applyBorder="1" applyAlignment="1">
      <alignment horizontal="centerContinuous" vertical="center" wrapText="1"/>
    </xf>
    <xf numFmtId="164" fontId="6" fillId="5" borderId="220" xfId="0" applyNumberFormat="1" applyFont="1" applyFill="1" applyBorder="1" applyAlignment="1">
      <alignment horizontal="center" vertical="center"/>
    </xf>
    <xf numFmtId="164" fontId="6" fillId="5" borderId="188" xfId="0" applyNumberFormat="1" applyFont="1" applyFill="1" applyBorder="1" applyAlignment="1">
      <alignment horizontal="center" vertical="center"/>
    </xf>
    <xf numFmtId="164" fontId="6" fillId="5" borderId="189" xfId="0" applyNumberFormat="1" applyFont="1" applyFill="1" applyBorder="1" applyAlignment="1">
      <alignment horizontal="center" vertical="center"/>
    </xf>
    <xf numFmtId="164" fontId="6" fillId="5" borderId="221" xfId="0" applyNumberFormat="1" applyFont="1" applyFill="1" applyBorder="1" applyAlignment="1">
      <alignment horizontal="center" vertical="center"/>
    </xf>
    <xf numFmtId="164" fontId="6" fillId="5" borderId="178" xfId="0" applyNumberFormat="1" applyFont="1" applyFill="1" applyBorder="1" applyAlignment="1">
      <alignment horizontal="center" vertical="center"/>
    </xf>
    <xf numFmtId="164" fontId="6" fillId="5" borderId="179" xfId="0" applyNumberFormat="1" applyFont="1" applyFill="1" applyBorder="1" applyAlignment="1">
      <alignment horizontal="center" vertical="center"/>
    </xf>
    <xf numFmtId="164" fontId="6" fillId="5" borderId="222" xfId="0" applyNumberFormat="1" applyFont="1" applyFill="1" applyBorder="1" applyAlignment="1">
      <alignment horizontal="center" vertical="center"/>
    </xf>
    <xf numFmtId="164" fontId="6" fillId="5" borderId="181" xfId="0" applyNumberFormat="1" applyFont="1" applyFill="1" applyBorder="1" applyAlignment="1">
      <alignment horizontal="center" vertical="center"/>
    </xf>
    <xf numFmtId="164" fontId="6" fillId="5" borderId="182" xfId="0" applyNumberFormat="1" applyFont="1" applyFill="1" applyBorder="1" applyAlignment="1">
      <alignment horizontal="center" vertical="center"/>
    </xf>
    <xf numFmtId="164" fontId="6" fillId="3" borderId="223" xfId="0" applyNumberFormat="1" applyFont="1" applyFill="1" applyBorder="1" applyAlignment="1">
      <alignment horizontal="center" vertical="center"/>
    </xf>
    <xf numFmtId="164" fontId="6" fillId="3" borderId="156" xfId="0" applyNumberFormat="1" applyFont="1" applyFill="1" applyBorder="1" applyAlignment="1">
      <alignment horizontal="center" vertical="center"/>
    </xf>
    <xf numFmtId="164" fontId="6" fillId="3" borderId="157" xfId="0" applyNumberFormat="1" applyFont="1" applyFill="1" applyBorder="1" applyAlignment="1">
      <alignment horizontal="center" vertical="center"/>
    </xf>
    <xf numFmtId="164" fontId="6" fillId="5" borderId="224" xfId="0" applyNumberFormat="1" applyFont="1" applyFill="1" applyBorder="1" applyAlignment="1">
      <alignment horizontal="center" vertical="center"/>
    </xf>
    <xf numFmtId="164" fontId="6" fillId="5" borderId="175" xfId="0" applyNumberFormat="1" applyFont="1" applyFill="1" applyBorder="1" applyAlignment="1">
      <alignment horizontal="center" vertical="center"/>
    </xf>
    <xf numFmtId="164" fontId="6" fillId="5" borderId="176" xfId="0" applyNumberFormat="1" applyFont="1" applyFill="1" applyBorder="1" applyAlignment="1">
      <alignment horizontal="center" vertical="center"/>
    </xf>
    <xf numFmtId="164" fontId="0" fillId="10" borderId="175" xfId="0" applyNumberFormat="1" applyFill="1" applyBorder="1" applyAlignment="1">
      <alignment horizontal="center" vertical="center"/>
    </xf>
    <xf numFmtId="164" fontId="0" fillId="10" borderId="176" xfId="0" applyNumberFormat="1" applyFill="1" applyBorder="1" applyAlignment="1">
      <alignment horizontal="center" vertical="center"/>
    </xf>
    <xf numFmtId="164" fontId="0" fillId="10" borderId="221" xfId="0" applyNumberFormat="1" applyFill="1" applyBorder="1" applyAlignment="1">
      <alignment horizontal="center" vertical="center"/>
    </xf>
    <xf numFmtId="164" fontId="0" fillId="10" borderId="178" xfId="0" applyNumberFormat="1" applyFill="1" applyBorder="1" applyAlignment="1">
      <alignment horizontal="center" vertical="center"/>
    </xf>
    <xf numFmtId="164" fontId="0" fillId="10" borderId="179" xfId="0" applyNumberFormat="1" applyFill="1" applyBorder="1" applyAlignment="1">
      <alignment horizontal="center" vertical="center"/>
    </xf>
    <xf numFmtId="164" fontId="0" fillId="3" borderId="223" xfId="0" applyNumberFormat="1" applyFill="1" applyBorder="1" applyAlignment="1">
      <alignment horizontal="center" vertical="center"/>
    </xf>
    <xf numFmtId="164" fontId="0" fillId="3" borderId="156" xfId="0" applyNumberFormat="1" applyFill="1" applyBorder="1" applyAlignment="1">
      <alignment horizontal="center" vertical="center"/>
    </xf>
    <xf numFmtId="164" fontId="0" fillId="3" borderId="157" xfId="0" applyNumberFormat="1" applyFill="1" applyBorder="1" applyAlignment="1">
      <alignment horizontal="center" vertical="center"/>
    </xf>
    <xf numFmtId="3" fontId="21" fillId="3" borderId="225" xfId="0" applyNumberFormat="1" applyFont="1" applyFill="1" applyBorder="1" applyAlignment="1">
      <alignment horizontal="center" vertical="center"/>
    </xf>
    <xf numFmtId="3" fontId="21" fillId="3" borderId="159" xfId="0" applyNumberFormat="1" applyFont="1" applyFill="1" applyBorder="1" applyAlignment="1">
      <alignment horizontal="center" vertical="center"/>
    </xf>
    <xf numFmtId="3" fontId="21" fillId="3" borderId="160" xfId="0" applyNumberFormat="1" applyFont="1" applyFill="1" applyBorder="1" applyAlignment="1">
      <alignment horizontal="center" vertical="center"/>
    </xf>
    <xf numFmtId="164" fontId="0" fillId="5" borderId="224" xfId="0" applyNumberFormat="1" applyFill="1" applyBorder="1" applyAlignment="1">
      <alignment horizontal="center" vertical="center"/>
    </xf>
    <xf numFmtId="164" fontId="0" fillId="5" borderId="175" xfId="0" applyNumberFormat="1" applyFill="1" applyBorder="1" applyAlignment="1">
      <alignment horizontal="center" vertical="center"/>
    </xf>
    <xf numFmtId="164" fontId="0" fillId="5" borderId="176" xfId="0" applyNumberFormat="1" applyFill="1" applyBorder="1" applyAlignment="1">
      <alignment horizontal="center" vertical="center"/>
    </xf>
    <xf numFmtId="164" fontId="0" fillId="5" borderId="221" xfId="0" applyNumberFormat="1" applyFill="1" applyBorder="1" applyAlignment="1">
      <alignment horizontal="center" vertical="center"/>
    </xf>
    <xf numFmtId="164" fontId="0" fillId="5" borderId="178" xfId="0" applyNumberFormat="1" applyFill="1" applyBorder="1" applyAlignment="1">
      <alignment horizontal="center" vertical="center"/>
    </xf>
    <xf numFmtId="164" fontId="0" fillId="5" borderId="179" xfId="0" applyNumberFormat="1" applyFill="1" applyBorder="1" applyAlignment="1">
      <alignment horizontal="center" vertical="center"/>
    </xf>
    <xf numFmtId="164" fontId="0" fillId="3" borderId="226" xfId="0" applyNumberFormat="1" applyFill="1" applyBorder="1" applyAlignment="1">
      <alignment horizontal="center" vertical="center"/>
    </xf>
    <xf numFmtId="164" fontId="0" fillId="3" borderId="162" xfId="0" applyNumberFormat="1" applyFill="1" applyBorder="1" applyAlignment="1">
      <alignment horizontal="center" vertical="center"/>
    </xf>
    <xf numFmtId="164" fontId="0" fillId="3" borderId="163" xfId="0" applyNumberFormat="1" applyFill="1" applyBorder="1" applyAlignment="1">
      <alignment horizontal="center" vertical="center"/>
    </xf>
    <xf numFmtId="3" fontId="24" fillId="3" borderId="225" xfId="0" applyNumberFormat="1" applyFont="1" applyFill="1" applyBorder="1" applyAlignment="1">
      <alignment horizontal="center" vertical="center"/>
    </xf>
    <xf numFmtId="3" fontId="24" fillId="3" borderId="159" xfId="0" applyNumberFormat="1" applyFont="1" applyFill="1" applyBorder="1" applyAlignment="1">
      <alignment horizontal="center" vertical="center"/>
    </xf>
    <xf numFmtId="3" fontId="24" fillId="3" borderId="160" xfId="0" applyNumberFormat="1" applyFont="1" applyFill="1" applyBorder="1" applyAlignment="1">
      <alignment horizontal="center" vertical="center"/>
    </xf>
    <xf numFmtId="164" fontId="6" fillId="5" borderId="195" xfId="0" applyNumberFormat="1" applyFont="1" applyFill="1" applyBorder="1" applyAlignment="1">
      <alignment horizontal="center" vertical="center"/>
    </xf>
    <xf numFmtId="164" fontId="6" fillId="5" borderId="177" xfId="0" applyNumberFormat="1" applyFont="1" applyFill="1" applyBorder="1" applyAlignment="1">
      <alignment horizontal="center" vertical="center"/>
    </xf>
    <xf numFmtId="164" fontId="6" fillId="5" borderId="180" xfId="0" applyNumberFormat="1" applyFont="1" applyFill="1" applyBorder="1" applyAlignment="1">
      <alignment horizontal="center" vertical="center"/>
    </xf>
    <xf numFmtId="164" fontId="6" fillId="3" borderId="155" xfId="0" applyNumberFormat="1" applyFont="1" applyFill="1" applyBorder="1" applyAlignment="1">
      <alignment horizontal="center" vertical="center"/>
    </xf>
    <xf numFmtId="164" fontId="6" fillId="5" borderId="174" xfId="0" applyNumberFormat="1" applyFont="1" applyFill="1" applyBorder="1" applyAlignment="1">
      <alignment horizontal="center" vertical="center"/>
    </xf>
    <xf numFmtId="164" fontId="0" fillId="10" borderId="174" xfId="0" applyNumberFormat="1" applyFill="1" applyBorder="1" applyAlignment="1">
      <alignment horizontal="center" vertical="center"/>
    </xf>
    <xf numFmtId="164" fontId="0" fillId="10" borderId="177" xfId="0" applyNumberFormat="1" applyFill="1" applyBorder="1" applyAlignment="1">
      <alignment horizontal="center" vertical="center"/>
    </xf>
    <xf numFmtId="164" fontId="0" fillId="3" borderId="155" xfId="0" applyNumberFormat="1" applyFill="1" applyBorder="1" applyAlignment="1">
      <alignment horizontal="center" vertical="center"/>
    </xf>
    <xf numFmtId="3" fontId="21" fillId="3" borderId="158" xfId="0" applyNumberFormat="1" applyFont="1" applyFill="1" applyBorder="1" applyAlignment="1">
      <alignment horizontal="center" vertical="center"/>
    </xf>
    <xf numFmtId="164" fontId="0" fillId="5" borderId="174" xfId="0" applyNumberFormat="1" applyFill="1" applyBorder="1" applyAlignment="1">
      <alignment horizontal="center" vertical="center"/>
    </xf>
    <xf numFmtId="164" fontId="0" fillId="5" borderId="177" xfId="0" applyNumberFormat="1" applyFill="1" applyBorder="1" applyAlignment="1">
      <alignment horizontal="center" vertical="center"/>
    </xf>
    <xf numFmtId="164" fontId="0" fillId="3" borderId="165" xfId="0" applyNumberFormat="1" applyFill="1" applyBorder="1" applyAlignment="1">
      <alignment horizontal="center" vertical="center"/>
    </xf>
    <xf numFmtId="3" fontId="24" fillId="3" borderId="158" xfId="0" applyNumberFormat="1" applyFont="1" applyFill="1" applyBorder="1" applyAlignment="1">
      <alignment horizontal="center" vertical="center"/>
    </xf>
    <xf numFmtId="165" fontId="21" fillId="3" borderId="168" xfId="0" applyNumberFormat="1" applyFont="1" applyFill="1" applyBorder="1" applyAlignment="1">
      <alignment horizontal="left" vertical="center"/>
    </xf>
    <xf numFmtId="165" fontId="24" fillId="3" borderId="168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centerContinuous" vertical="center" wrapText="1"/>
    </xf>
    <xf numFmtId="9" fontId="2" fillId="0" borderId="60" xfId="1" applyFont="1" applyBorder="1" applyAlignment="1">
      <alignment horizontal="center"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29" fillId="0" borderId="28" xfId="0" applyFont="1" applyBorder="1" applyAlignment="1">
      <alignment vertical="center"/>
    </xf>
    <xf numFmtId="0" fontId="29" fillId="0" borderId="2" xfId="0" applyFont="1" applyBorder="1" applyAlignment="1">
      <alignment vertical="center"/>
    </xf>
    <xf numFmtId="0" fontId="29" fillId="0" borderId="2" xfId="0" applyFont="1" applyBorder="1" applyAlignment="1">
      <alignment vertical="center" wrapText="1"/>
    </xf>
    <xf numFmtId="0" fontId="29" fillId="0" borderId="18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7" xfId="0" applyFont="1" applyBorder="1" applyAlignment="1">
      <alignment vertical="center"/>
    </xf>
    <xf numFmtId="9" fontId="0" fillId="12" borderId="174" xfId="1" applyFont="1" applyFill="1" applyBorder="1" applyAlignment="1" applyProtection="1">
      <alignment horizontal="center" vertical="center"/>
    </xf>
    <xf numFmtId="9" fontId="0" fillId="12" borderId="175" xfId="1" applyFont="1" applyFill="1" applyBorder="1" applyAlignment="1" applyProtection="1">
      <alignment horizontal="center" vertical="center"/>
    </xf>
    <xf numFmtId="9" fontId="0" fillId="12" borderId="176" xfId="1" applyFont="1" applyFill="1" applyBorder="1" applyAlignment="1" applyProtection="1">
      <alignment horizontal="center" vertical="center"/>
    </xf>
    <xf numFmtId="9" fontId="0" fillId="12" borderId="177" xfId="1" applyFont="1" applyFill="1" applyBorder="1" applyAlignment="1" applyProtection="1">
      <alignment horizontal="center" vertical="center"/>
    </xf>
    <xf numFmtId="9" fontId="0" fillId="12" borderId="178" xfId="1" applyFont="1" applyFill="1" applyBorder="1" applyAlignment="1" applyProtection="1">
      <alignment horizontal="center" vertical="center"/>
    </xf>
    <xf numFmtId="9" fontId="0" fillId="12" borderId="179" xfId="1" applyFont="1" applyFill="1" applyBorder="1" applyAlignment="1" applyProtection="1">
      <alignment horizontal="center" vertical="center"/>
    </xf>
    <xf numFmtId="9" fontId="6" fillId="3" borderId="165" xfId="1" applyFont="1" applyFill="1" applyBorder="1" applyAlignment="1">
      <alignment horizontal="center" vertical="center"/>
    </xf>
    <xf numFmtId="9" fontId="6" fillId="3" borderId="162" xfId="1" applyFont="1" applyFill="1" applyBorder="1" applyAlignment="1">
      <alignment horizontal="center" vertical="center"/>
    </xf>
    <xf numFmtId="9" fontId="6" fillId="3" borderId="163" xfId="1" applyFont="1" applyFill="1" applyBorder="1" applyAlignment="1">
      <alignment horizontal="center" vertical="center"/>
    </xf>
    <xf numFmtId="9" fontId="2" fillId="0" borderId="0" xfId="1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vertical="center" wrapText="1"/>
    </xf>
    <xf numFmtId="0" fontId="29" fillId="0" borderId="219" xfId="0" applyFont="1" applyBorder="1" applyAlignment="1">
      <alignment vertical="center"/>
    </xf>
    <xf numFmtId="0" fontId="29" fillId="0" borderId="207" xfId="0" applyFont="1" applyBorder="1" applyAlignment="1">
      <alignment vertical="center"/>
    </xf>
    <xf numFmtId="0" fontId="29" fillId="0" borderId="207" xfId="0" applyFont="1" applyBorder="1" applyAlignment="1">
      <alignment vertical="center" wrapText="1"/>
    </xf>
    <xf numFmtId="0" fontId="29" fillId="0" borderId="208" xfId="0" applyFont="1" applyBorder="1" applyAlignment="1">
      <alignment vertical="center"/>
    </xf>
    <xf numFmtId="0" fontId="7" fillId="0" borderId="227" xfId="0" applyFont="1" applyBorder="1" applyAlignment="1">
      <alignment vertical="center"/>
    </xf>
    <xf numFmtId="0" fontId="28" fillId="14" borderId="1" xfId="0" applyFont="1" applyFill="1" applyBorder="1" applyAlignment="1">
      <alignment horizontal="centerContinuous" vertical="center"/>
    </xf>
    <xf numFmtId="0" fontId="28" fillId="14" borderId="205" xfId="0" applyFont="1" applyFill="1" applyBorder="1" applyAlignment="1">
      <alignment horizontal="centerContinuous" vertical="center"/>
    </xf>
    <xf numFmtId="0" fontId="28" fillId="14" borderId="166" xfId="0" applyFont="1" applyFill="1" applyBorder="1" applyAlignment="1">
      <alignment horizontal="centerContinuous" vertical="center"/>
    </xf>
    <xf numFmtId="0" fontId="6" fillId="3" borderId="126" xfId="0" applyFont="1" applyFill="1" applyBorder="1" applyAlignment="1">
      <alignment horizontal="center" vertical="center"/>
    </xf>
    <xf numFmtId="0" fontId="6" fillId="3" borderId="125" xfId="0" applyFont="1" applyFill="1" applyBorder="1" applyAlignment="1">
      <alignment horizontal="center" vertical="center"/>
    </xf>
    <xf numFmtId="0" fontId="6" fillId="3" borderId="128" xfId="0" applyFont="1" applyFill="1" applyBorder="1" applyAlignment="1">
      <alignment horizontal="center" vertical="center"/>
    </xf>
    <xf numFmtId="0" fontId="6" fillId="3" borderId="134" xfId="0" applyFont="1" applyFill="1" applyBorder="1" applyAlignment="1">
      <alignment horizontal="center" vertical="center"/>
    </xf>
    <xf numFmtId="0" fontId="6" fillId="3" borderId="133" xfId="0" applyFont="1" applyFill="1" applyBorder="1" applyAlignment="1">
      <alignment horizontal="center" vertical="center"/>
    </xf>
    <xf numFmtId="0" fontId="6" fillId="3" borderId="136" xfId="0" applyFont="1" applyFill="1" applyBorder="1" applyAlignment="1">
      <alignment horizontal="center" vertical="center"/>
    </xf>
    <xf numFmtId="0" fontId="6" fillId="3" borderId="140" xfId="0" applyFont="1" applyFill="1" applyBorder="1" applyAlignment="1">
      <alignment horizontal="center" vertical="center"/>
    </xf>
    <xf numFmtId="0" fontId="6" fillId="3" borderId="139" xfId="0" applyFont="1" applyFill="1" applyBorder="1" applyAlignment="1">
      <alignment horizontal="center" vertical="center"/>
    </xf>
    <xf numFmtId="0" fontId="6" fillId="3" borderId="141" xfId="0" applyFont="1" applyFill="1" applyBorder="1" applyAlignment="1">
      <alignment horizontal="center" vertical="center"/>
    </xf>
    <xf numFmtId="0" fontId="0" fillId="5" borderId="124" xfId="0" applyFill="1" applyBorder="1" applyAlignment="1">
      <alignment horizontal="center" vertical="center"/>
    </xf>
    <xf numFmtId="0" fontId="0" fillId="5" borderId="125" xfId="0" applyFill="1" applyBorder="1" applyAlignment="1">
      <alignment horizontal="center" vertical="center"/>
    </xf>
    <xf numFmtId="0" fontId="0" fillId="5" borderId="132" xfId="0" applyFill="1" applyBorder="1" applyAlignment="1">
      <alignment horizontal="center" vertical="center"/>
    </xf>
    <xf numFmtId="0" fontId="0" fillId="5" borderId="133" xfId="0" applyFill="1" applyBorder="1" applyAlignment="1">
      <alignment horizontal="center" vertical="center"/>
    </xf>
    <xf numFmtId="0" fontId="27" fillId="5" borderId="132" xfId="0" applyFont="1" applyFill="1" applyBorder="1" applyAlignment="1">
      <alignment horizontal="center" vertical="center"/>
    </xf>
    <xf numFmtId="0" fontId="27" fillId="5" borderId="133" xfId="0" applyFont="1" applyFill="1" applyBorder="1" applyAlignment="1">
      <alignment horizontal="center" vertical="center"/>
    </xf>
    <xf numFmtId="9" fontId="27" fillId="3" borderId="134" xfId="1" applyFont="1" applyFill="1" applyBorder="1" applyAlignment="1">
      <alignment horizontal="center" vertical="center"/>
    </xf>
    <xf numFmtId="3" fontId="27" fillId="5" borderId="133" xfId="1" applyNumberFormat="1" applyFont="1" applyFill="1" applyBorder="1" applyAlignment="1">
      <alignment horizontal="center" vertical="center"/>
    </xf>
    <xf numFmtId="0" fontId="27" fillId="7" borderId="134" xfId="0" applyFont="1" applyFill="1" applyBorder="1" applyAlignment="1">
      <alignment horizontal="center" vertical="center"/>
    </xf>
    <xf numFmtId="0" fontId="27" fillId="7" borderId="133" xfId="0" applyFont="1" applyFill="1" applyBorder="1" applyAlignment="1">
      <alignment horizontal="center" vertical="center"/>
    </xf>
    <xf numFmtId="0" fontId="27" fillId="13" borderId="134" xfId="0" applyFont="1" applyFill="1" applyBorder="1" applyAlignment="1">
      <alignment horizontal="center" vertical="center"/>
    </xf>
    <xf numFmtId="0" fontId="27" fillId="13" borderId="133" xfId="0" applyFont="1" applyFill="1" applyBorder="1" applyAlignment="1">
      <alignment horizontal="center" vertical="center"/>
    </xf>
    <xf numFmtId="0" fontId="27" fillId="13" borderId="136" xfId="0" applyFont="1" applyFill="1" applyBorder="1" applyAlignment="1">
      <alignment horizontal="center" vertical="center"/>
    </xf>
    <xf numFmtId="9" fontId="6" fillId="3" borderId="228" xfId="1" applyFont="1" applyFill="1" applyBorder="1" applyAlignment="1">
      <alignment horizontal="center" vertical="center"/>
    </xf>
    <xf numFmtId="9" fontId="6" fillId="3" borderId="229" xfId="1" applyFont="1" applyFill="1" applyBorder="1" applyAlignment="1">
      <alignment horizontal="center" vertical="center"/>
    </xf>
    <xf numFmtId="0" fontId="0" fillId="10" borderId="230" xfId="0" applyFill="1" applyBorder="1" applyAlignment="1">
      <alignment horizontal="center" vertical="center"/>
    </xf>
    <xf numFmtId="0" fontId="0" fillId="10" borderId="231" xfId="0" applyFill="1" applyBorder="1" applyAlignment="1">
      <alignment horizontal="center" vertical="center"/>
    </xf>
    <xf numFmtId="3" fontId="0" fillId="10" borderId="232" xfId="2" applyNumberFormat="1" applyFont="1" applyFill="1" applyBorder="1" applyAlignment="1" applyProtection="1">
      <alignment horizontal="center" vertical="center"/>
    </xf>
    <xf numFmtId="0" fontId="6" fillId="5" borderId="191" xfId="0" applyFont="1" applyFill="1" applyBorder="1" applyAlignment="1">
      <alignment horizontal="center" vertical="center"/>
    </xf>
    <xf numFmtId="0" fontId="6" fillId="5" borderId="193" xfId="0" applyFont="1" applyFill="1" applyBorder="1" applyAlignment="1">
      <alignment horizontal="center" vertical="center"/>
    </xf>
    <xf numFmtId="3" fontId="6" fillId="5" borderId="193" xfId="1" applyNumberFormat="1" applyFont="1" applyFill="1" applyBorder="1" applyAlignment="1">
      <alignment horizontal="center" vertical="center"/>
    </xf>
    <xf numFmtId="0" fontId="6" fillId="7" borderId="194" xfId="0" applyFont="1" applyFill="1" applyBorder="1" applyAlignment="1">
      <alignment horizontal="center" vertical="center"/>
    </xf>
    <xf numFmtId="0" fontId="6" fillId="7" borderId="193" xfId="0" applyFont="1" applyFill="1" applyBorder="1" applyAlignment="1">
      <alignment horizontal="center" vertical="center"/>
    </xf>
    <xf numFmtId="0" fontId="6" fillId="3" borderId="194" xfId="0" applyFont="1" applyFill="1" applyBorder="1" applyAlignment="1">
      <alignment horizontal="center" vertical="center"/>
    </xf>
    <xf numFmtId="0" fontId="6" fillId="3" borderId="193" xfId="0" applyFont="1" applyFill="1" applyBorder="1" applyAlignment="1">
      <alignment horizontal="center" vertical="center"/>
    </xf>
    <xf numFmtId="0" fontId="6" fillId="3" borderId="196" xfId="0" applyFont="1" applyFill="1" applyBorder="1" applyAlignment="1">
      <alignment horizontal="center" vertical="center"/>
    </xf>
    <xf numFmtId="0" fontId="0" fillId="10" borderId="233" xfId="0" applyFill="1" applyBorder="1" applyAlignment="1">
      <alignment horizontal="center" vertical="center"/>
    </xf>
    <xf numFmtId="0" fontId="0" fillId="10" borderId="129" xfId="0" applyFill="1" applyBorder="1" applyAlignment="1">
      <alignment horizontal="center" vertical="center"/>
    </xf>
    <xf numFmtId="3" fontId="0" fillId="10" borderId="130" xfId="2" applyNumberFormat="1" applyFont="1" applyFill="1" applyBorder="1" applyAlignment="1" applyProtection="1">
      <alignment horizontal="center" vertical="center"/>
    </xf>
    <xf numFmtId="0" fontId="0" fillId="10" borderId="234" xfId="0" applyFill="1" applyBorder="1" applyAlignment="1">
      <alignment horizontal="center" vertical="center"/>
    </xf>
    <xf numFmtId="0" fontId="0" fillId="10" borderId="235" xfId="0" applyFill="1" applyBorder="1" applyAlignment="1">
      <alignment horizontal="center" vertical="center"/>
    </xf>
    <xf numFmtId="3" fontId="0" fillId="10" borderId="236" xfId="2" applyNumberFormat="1" applyFont="1" applyFill="1" applyBorder="1" applyAlignment="1" applyProtection="1">
      <alignment horizontal="center" vertical="center"/>
    </xf>
    <xf numFmtId="0" fontId="27" fillId="5" borderId="138" xfId="0" applyFont="1" applyFill="1" applyBorder="1" applyAlignment="1">
      <alignment horizontal="center" vertical="center"/>
    </xf>
    <xf numFmtId="0" fontId="27" fillId="5" borderId="139" xfId="0" applyFont="1" applyFill="1" applyBorder="1" applyAlignment="1">
      <alignment horizontal="center" vertical="center"/>
    </xf>
    <xf numFmtId="9" fontId="27" fillId="3" borderId="140" xfId="1" applyFont="1" applyFill="1" applyBorder="1" applyAlignment="1">
      <alignment horizontal="center" vertical="center"/>
    </xf>
    <xf numFmtId="3" fontId="27" fillId="5" borderId="139" xfId="1" applyNumberFormat="1" applyFont="1" applyFill="1" applyBorder="1" applyAlignment="1">
      <alignment horizontal="center" vertical="center"/>
    </xf>
    <xf numFmtId="0" fontId="27" fillId="7" borderId="140" xfId="0" applyFont="1" applyFill="1" applyBorder="1" applyAlignment="1">
      <alignment horizontal="center" vertical="center"/>
    </xf>
    <xf numFmtId="0" fontId="27" fillId="7" borderId="139" xfId="0" applyFont="1" applyFill="1" applyBorder="1" applyAlignment="1">
      <alignment horizontal="center" vertical="center"/>
    </xf>
    <xf numFmtId="0" fontId="27" fillId="13" borderId="140" xfId="0" applyFont="1" applyFill="1" applyBorder="1" applyAlignment="1">
      <alignment horizontal="center" vertical="center"/>
    </xf>
    <xf numFmtId="0" fontId="27" fillId="13" borderId="139" xfId="0" applyFont="1" applyFill="1" applyBorder="1" applyAlignment="1">
      <alignment horizontal="center" vertical="center"/>
    </xf>
    <xf numFmtId="0" fontId="27" fillId="13" borderId="141" xfId="0" applyFont="1" applyFill="1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65" fontId="20" fillId="3" borderId="168" xfId="0" applyNumberFormat="1" applyFont="1" applyFill="1" applyBorder="1" applyAlignment="1">
      <alignment horizontal="left" vertical="center"/>
    </xf>
    <xf numFmtId="0" fontId="0" fillId="3" borderId="167" xfId="0" applyFill="1" applyBorder="1" applyAlignment="1">
      <alignment vertical="center"/>
    </xf>
    <xf numFmtId="0" fontId="6" fillId="3" borderId="167" xfId="0" applyFont="1" applyFill="1" applyBorder="1" applyAlignment="1">
      <alignment vertical="center"/>
    </xf>
    <xf numFmtId="0" fontId="0" fillId="5" borderId="171" xfId="0" applyFill="1" applyBorder="1" applyAlignment="1">
      <alignment vertical="center"/>
    </xf>
    <xf numFmtId="0" fontId="6" fillId="5" borderId="171" xfId="0" applyFont="1" applyFill="1" applyBorder="1" applyAlignment="1">
      <alignment vertical="center"/>
    </xf>
    <xf numFmtId="0" fontId="6" fillId="5" borderId="172" xfId="0" applyFont="1" applyFill="1" applyBorder="1" applyAlignment="1">
      <alignment vertical="center"/>
    </xf>
    <xf numFmtId="0" fontId="6" fillId="5" borderId="173" xfId="0" applyFont="1" applyFill="1" applyBorder="1" applyAlignment="1">
      <alignment vertical="center"/>
    </xf>
    <xf numFmtId="0" fontId="0" fillId="5" borderId="173" xfId="0" applyFill="1" applyBorder="1" applyAlignment="1">
      <alignment vertical="center"/>
    </xf>
    <xf numFmtId="0" fontId="0" fillId="3" borderId="169" xfId="0" applyFill="1" applyBorder="1" applyAlignment="1">
      <alignment vertical="center"/>
    </xf>
    <xf numFmtId="0" fontId="4" fillId="3" borderId="163" xfId="0" applyFont="1" applyFill="1" applyBorder="1" applyAlignment="1">
      <alignment horizontal="left" vertical="center"/>
    </xf>
    <xf numFmtId="0" fontId="6" fillId="5" borderId="187" xfId="0" applyFont="1" applyFill="1" applyBorder="1" applyAlignment="1">
      <alignment vertical="center"/>
    </xf>
    <xf numFmtId="0" fontId="33" fillId="5" borderId="172" xfId="0" applyFont="1" applyFill="1" applyBorder="1" applyAlignment="1">
      <alignment vertical="center"/>
    </xf>
    <xf numFmtId="0" fontId="33" fillId="5" borderId="173" xfId="0" applyFont="1" applyFill="1" applyBorder="1" applyAlignment="1">
      <alignment vertical="center"/>
    </xf>
    <xf numFmtId="164" fontId="6" fillId="5" borderId="195" xfId="1" applyNumberFormat="1" applyFont="1" applyFill="1" applyBorder="1" applyAlignment="1">
      <alignment horizontal="center" vertical="center"/>
    </xf>
    <xf numFmtId="164" fontId="6" fillId="5" borderId="188" xfId="1" applyNumberFormat="1" applyFont="1" applyFill="1" applyBorder="1" applyAlignment="1">
      <alignment horizontal="center" vertical="center"/>
    </xf>
    <xf numFmtId="164" fontId="6" fillId="5" borderId="189" xfId="1" applyNumberFormat="1" applyFont="1" applyFill="1" applyBorder="1" applyAlignment="1">
      <alignment horizontal="center" vertical="center"/>
    </xf>
    <xf numFmtId="164" fontId="6" fillId="5" borderId="177" xfId="1" applyNumberFormat="1" applyFont="1" applyFill="1" applyBorder="1" applyAlignment="1">
      <alignment horizontal="center" vertical="center"/>
    </xf>
    <xf numFmtId="164" fontId="6" fillId="5" borderId="178" xfId="1" applyNumberFormat="1" applyFont="1" applyFill="1" applyBorder="1" applyAlignment="1">
      <alignment horizontal="center" vertical="center"/>
    </xf>
    <xf numFmtId="164" fontId="6" fillId="5" borderId="179" xfId="1" applyNumberFormat="1" applyFont="1" applyFill="1" applyBorder="1" applyAlignment="1">
      <alignment horizontal="center" vertical="center"/>
    </xf>
    <xf numFmtId="164" fontId="6" fillId="5" borderId="180" xfId="1" applyNumberFormat="1" applyFont="1" applyFill="1" applyBorder="1" applyAlignment="1">
      <alignment horizontal="center" vertical="center"/>
    </xf>
    <xf numFmtId="164" fontId="6" fillId="5" borderId="181" xfId="1" applyNumberFormat="1" applyFont="1" applyFill="1" applyBorder="1" applyAlignment="1">
      <alignment horizontal="center" vertical="center"/>
    </xf>
    <xf numFmtId="164" fontId="6" fillId="5" borderId="182" xfId="1" applyNumberFormat="1" applyFont="1" applyFill="1" applyBorder="1" applyAlignment="1">
      <alignment horizontal="center" vertical="center"/>
    </xf>
    <xf numFmtId="164" fontId="6" fillId="5" borderId="174" xfId="1" applyNumberFormat="1" applyFont="1" applyFill="1" applyBorder="1" applyAlignment="1">
      <alignment horizontal="center" vertical="center"/>
    </xf>
    <xf numFmtId="164" fontId="6" fillId="5" borderId="175" xfId="1" applyNumberFormat="1" applyFont="1" applyFill="1" applyBorder="1" applyAlignment="1">
      <alignment horizontal="center" vertical="center"/>
    </xf>
    <xf numFmtId="164" fontId="6" fillId="5" borderId="176" xfId="1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6" fillId="3" borderId="169" xfId="0" applyFont="1" applyFill="1" applyBorder="1" applyAlignment="1">
      <alignment vertical="center"/>
    </xf>
    <xf numFmtId="0" fontId="12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 textRotation="90"/>
    </xf>
    <xf numFmtId="0" fontId="8" fillId="8" borderId="0" xfId="0" applyFont="1" applyFill="1" applyAlignment="1">
      <alignment horizontal="center" vertical="center"/>
    </xf>
    <xf numFmtId="0" fontId="4" fillId="3" borderId="61" xfId="0" applyFont="1" applyFill="1" applyBorder="1" applyAlignment="1">
      <alignment vertical="center"/>
    </xf>
    <xf numFmtId="0" fontId="4" fillId="3" borderId="59" xfId="0" applyFont="1" applyFill="1" applyBorder="1" applyAlignment="1">
      <alignment vertical="center"/>
    </xf>
    <xf numFmtId="0" fontId="4" fillId="3" borderId="62" xfId="0" applyFont="1" applyFill="1" applyBorder="1" applyAlignment="1">
      <alignment vertical="center"/>
    </xf>
    <xf numFmtId="0" fontId="4" fillId="3" borderId="9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72" xfId="0" applyFont="1" applyFill="1" applyBorder="1" applyAlignment="1">
      <alignment horizontal="center" vertical="center"/>
    </xf>
    <xf numFmtId="0" fontId="4" fillId="3" borderId="60" xfId="0" applyFont="1" applyFill="1" applyBorder="1" applyAlignment="1">
      <alignment horizontal="center" vertical="center"/>
    </xf>
    <xf numFmtId="0" fontId="4" fillId="3" borderId="63" xfId="0" applyFont="1" applyFill="1" applyBorder="1" applyAlignment="1">
      <alignment vertical="center"/>
    </xf>
    <xf numFmtId="0" fontId="4" fillId="5" borderId="95" xfId="0" applyFont="1" applyFill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142" xfId="0" applyFont="1" applyFill="1" applyBorder="1" applyAlignment="1">
      <alignment horizontal="center" vertical="center"/>
    </xf>
    <xf numFmtId="0" fontId="4" fillId="5" borderId="56" xfId="0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 vertical="center"/>
    </xf>
    <xf numFmtId="0" fontId="13" fillId="5" borderId="56" xfId="0" applyFont="1" applyFill="1" applyBorder="1" applyAlignment="1">
      <alignment horizontal="center" vertical="center" wrapText="1"/>
    </xf>
    <xf numFmtId="0" fontId="13" fillId="5" borderId="5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75" xfId="0" applyFont="1" applyFill="1" applyBorder="1" applyAlignment="1">
      <alignment horizontal="center" vertical="center" wrapText="1"/>
    </xf>
    <xf numFmtId="0" fontId="3" fillId="2" borderId="43" xfId="0" applyFont="1" applyFill="1" applyBorder="1" applyAlignment="1">
      <alignment horizontal="center" vertical="center" wrapText="1"/>
    </xf>
    <xf numFmtId="9" fontId="3" fillId="2" borderId="35" xfId="1" applyFont="1" applyFill="1" applyBorder="1" applyAlignment="1">
      <alignment horizontal="center" vertical="center" wrapText="1"/>
    </xf>
    <xf numFmtId="0" fontId="3" fillId="2" borderId="168" xfId="0" applyFont="1" applyFill="1" applyBorder="1" applyAlignment="1">
      <alignment vertical="center" wrapText="1"/>
    </xf>
    <xf numFmtId="0" fontId="4" fillId="5" borderId="52" xfId="0" applyFont="1" applyFill="1" applyBorder="1" applyAlignment="1">
      <alignment horizontal="center" vertical="center"/>
    </xf>
    <xf numFmtId="0" fontId="4" fillId="5" borderId="56" xfId="0" applyFont="1" applyFill="1" applyBorder="1" applyAlignment="1">
      <alignment horizontal="center" vertical="center" wrapText="1"/>
    </xf>
    <xf numFmtId="0" fontId="13" fillId="5" borderId="52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0" fillId="0" borderId="186" xfId="0" applyBorder="1" applyAlignment="1">
      <alignment vertical="center" wrapText="1"/>
    </xf>
    <xf numFmtId="0" fontId="4" fillId="3" borderId="56" xfId="0" applyFont="1" applyFill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4" fillId="3" borderId="28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4" fillId="3" borderId="52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2" borderId="58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9" fontId="3" fillId="2" borderId="33" xfId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vertical="center" wrapText="1"/>
    </xf>
    <xf numFmtId="0" fontId="4" fillId="5" borderId="164" xfId="0" applyFont="1" applyFill="1" applyBorder="1" applyAlignment="1">
      <alignment horizontal="center" vertical="center"/>
    </xf>
    <xf numFmtId="0" fontId="4" fillId="5" borderId="83" xfId="0" applyFont="1" applyFill="1" applyBorder="1" applyAlignment="1">
      <alignment horizontal="center" vertical="center"/>
    </xf>
    <xf numFmtId="0" fontId="4" fillId="5" borderId="212" xfId="0" applyFont="1" applyFill="1" applyBorder="1" applyAlignment="1">
      <alignment horizontal="center" vertical="center"/>
    </xf>
    <xf numFmtId="0" fontId="4" fillId="5" borderId="209" xfId="0" applyFont="1" applyFill="1" applyBorder="1" applyAlignment="1">
      <alignment horizontal="center" vertical="center"/>
    </xf>
    <xf numFmtId="0" fontId="4" fillId="5" borderId="117" xfId="0" applyFont="1" applyFill="1" applyBorder="1" applyAlignment="1">
      <alignment horizontal="center" vertical="center"/>
    </xf>
    <xf numFmtId="0" fontId="4" fillId="5" borderId="210" xfId="0" applyFont="1" applyFill="1" applyBorder="1" applyAlignment="1">
      <alignment horizontal="center" vertical="center"/>
    </xf>
    <xf numFmtId="0" fontId="4" fillId="5" borderId="161" xfId="0" applyFont="1" applyFill="1" applyBorder="1" applyAlignment="1">
      <alignment horizontal="center" vertical="center"/>
    </xf>
    <xf numFmtId="0" fontId="4" fillId="5" borderId="82" xfId="0" applyFont="1" applyFill="1" applyBorder="1" applyAlignment="1">
      <alignment horizontal="center" vertical="center"/>
    </xf>
    <xf numFmtId="0" fontId="4" fillId="5" borderId="211" xfId="0" applyFont="1" applyFill="1" applyBorder="1" applyAlignment="1">
      <alignment horizontal="center" vertical="center"/>
    </xf>
    <xf numFmtId="0" fontId="13" fillId="5" borderId="188" xfId="0" applyFont="1" applyFill="1" applyBorder="1" applyAlignment="1">
      <alignment horizontal="center" vertical="center"/>
    </xf>
    <xf numFmtId="0" fontId="13" fillId="5" borderId="178" xfId="0" applyFont="1" applyFill="1" applyBorder="1" applyAlignment="1">
      <alignment horizontal="center" vertical="center"/>
    </xf>
    <xf numFmtId="0" fontId="13" fillId="5" borderId="181" xfId="0" applyFont="1" applyFill="1" applyBorder="1" applyAlignment="1">
      <alignment horizontal="center" vertical="center"/>
    </xf>
    <xf numFmtId="0" fontId="28" fillId="14" borderId="0" xfId="0" applyFont="1" applyFill="1" applyAlignment="1">
      <alignment horizontal="center" vertical="center" textRotation="90"/>
    </xf>
    <xf numFmtId="0" fontId="4" fillId="3" borderId="95" xfId="0" applyFont="1" applyFill="1" applyBorder="1" applyAlignment="1">
      <alignment horizontal="center" vertical="center"/>
    </xf>
    <xf numFmtId="0" fontId="4" fillId="3" borderId="76" xfId="0" applyFont="1" applyFill="1" applyBorder="1" applyAlignment="1">
      <alignment horizontal="center" vertical="center"/>
    </xf>
    <xf numFmtId="0" fontId="4" fillId="3" borderId="142" xfId="0" applyFont="1" applyFill="1" applyBorder="1" applyAlignment="1">
      <alignment horizontal="center" vertical="center"/>
    </xf>
    <xf numFmtId="0" fontId="4" fillId="3" borderId="237" xfId="0" applyFont="1" applyFill="1" applyBorder="1" applyAlignment="1">
      <alignment horizontal="center" vertical="center"/>
    </xf>
    <xf numFmtId="0" fontId="4" fillId="5" borderId="175" xfId="0" applyFont="1" applyFill="1" applyBorder="1" applyAlignment="1">
      <alignment horizontal="center" vertical="center"/>
    </xf>
    <xf numFmtId="0" fontId="4" fillId="5" borderId="178" xfId="0" applyFont="1" applyFill="1" applyBorder="1" applyAlignment="1">
      <alignment horizontal="center" vertical="center"/>
    </xf>
    <xf numFmtId="0" fontId="4" fillId="5" borderId="181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4" fillId="5" borderId="176" xfId="0" applyFont="1" applyFill="1" applyBorder="1" applyAlignment="1">
      <alignment horizontal="center" vertical="center"/>
    </xf>
    <xf numFmtId="0" fontId="4" fillId="5" borderId="179" xfId="0" applyFont="1" applyFill="1" applyBorder="1" applyAlignment="1">
      <alignment horizontal="center" vertical="center"/>
    </xf>
    <xf numFmtId="0" fontId="4" fillId="5" borderId="182" xfId="0" applyFont="1" applyFill="1" applyBorder="1" applyAlignment="1">
      <alignment horizontal="center" vertical="center"/>
    </xf>
    <xf numFmtId="0" fontId="4" fillId="5" borderId="195" xfId="0" applyFont="1" applyFill="1" applyBorder="1" applyAlignment="1">
      <alignment horizontal="center" vertical="center"/>
    </xf>
    <xf numFmtId="0" fontId="4" fillId="5" borderId="177" xfId="0" applyFont="1" applyFill="1" applyBorder="1" applyAlignment="1">
      <alignment horizontal="center" vertical="center"/>
    </xf>
    <xf numFmtId="0" fontId="4" fillId="5" borderId="180" xfId="0" applyFont="1" applyFill="1" applyBorder="1" applyAlignment="1">
      <alignment horizontal="center" vertical="center"/>
    </xf>
    <xf numFmtId="0" fontId="4" fillId="5" borderId="188" xfId="0" applyFont="1" applyFill="1" applyBorder="1" applyAlignment="1">
      <alignment horizontal="center" vertical="center"/>
    </xf>
    <xf numFmtId="0" fontId="4" fillId="5" borderId="189" xfId="0" applyFont="1" applyFill="1" applyBorder="1" applyAlignment="1">
      <alignment horizontal="center" vertical="center"/>
    </xf>
    <xf numFmtId="0" fontId="4" fillId="5" borderId="174" xfId="0" applyFont="1" applyFill="1" applyBorder="1" applyAlignment="1">
      <alignment horizontal="center" vertical="center" wrapText="1"/>
    </xf>
    <xf numFmtId="0" fontId="4" fillId="5" borderId="177" xfId="0" applyFont="1" applyFill="1" applyBorder="1" applyAlignment="1">
      <alignment horizontal="center" vertical="center" wrapText="1"/>
    </xf>
    <xf numFmtId="0" fontId="4" fillId="5" borderId="180" xfId="0" applyFont="1" applyFill="1" applyBorder="1" applyAlignment="1">
      <alignment horizontal="center" vertical="center" wrapText="1"/>
    </xf>
    <xf numFmtId="0" fontId="4" fillId="5" borderId="175" xfId="0" applyFont="1" applyFill="1" applyBorder="1" applyAlignment="1">
      <alignment horizontal="center" vertical="center" wrapText="1"/>
    </xf>
    <xf numFmtId="0" fontId="4" fillId="5" borderId="178" xfId="0" applyFont="1" applyFill="1" applyBorder="1" applyAlignment="1">
      <alignment horizontal="center" vertical="center" wrapText="1"/>
    </xf>
    <xf numFmtId="0" fontId="4" fillId="5" borderId="181" xfId="0" applyFont="1" applyFill="1" applyBorder="1" applyAlignment="1">
      <alignment horizontal="center" vertical="center" wrapText="1"/>
    </xf>
    <xf numFmtId="0" fontId="4" fillId="5" borderId="176" xfId="0" applyFont="1" applyFill="1" applyBorder="1" applyAlignment="1">
      <alignment horizontal="center" vertical="center" wrapText="1"/>
    </xf>
    <xf numFmtId="0" fontId="4" fillId="5" borderId="179" xfId="0" applyFont="1" applyFill="1" applyBorder="1" applyAlignment="1">
      <alignment horizontal="center" vertical="center" wrapText="1"/>
    </xf>
    <xf numFmtId="0" fontId="4" fillId="5" borderId="182" xfId="0" applyFont="1" applyFill="1" applyBorder="1" applyAlignment="1">
      <alignment horizontal="center" vertical="center" wrapText="1"/>
    </xf>
    <xf numFmtId="0" fontId="13" fillId="5" borderId="195" xfId="0" applyFont="1" applyFill="1" applyBorder="1" applyAlignment="1">
      <alignment horizontal="center" vertical="center"/>
    </xf>
    <xf numFmtId="0" fontId="13" fillId="5" borderId="177" xfId="0" applyFont="1" applyFill="1" applyBorder="1" applyAlignment="1">
      <alignment horizontal="center" vertical="center"/>
    </xf>
    <xf numFmtId="0" fontId="13" fillId="5" borderId="180" xfId="0" applyFont="1" applyFill="1" applyBorder="1" applyAlignment="1">
      <alignment horizontal="center" vertical="center"/>
    </xf>
    <xf numFmtId="0" fontId="10" fillId="14" borderId="0" xfId="0" applyFont="1" applyFill="1" applyAlignment="1">
      <alignment horizontal="center" vertical="center" textRotation="90"/>
    </xf>
    <xf numFmtId="0" fontId="31" fillId="14" borderId="0" xfId="0" applyFont="1" applyFill="1" applyAlignment="1">
      <alignment horizontal="center" vertical="center" textRotation="90"/>
    </xf>
    <xf numFmtId="0" fontId="31" fillId="14" borderId="0" xfId="0" applyFont="1" applyFill="1" applyAlignment="1">
      <alignment horizontal="center" vertical="center" textRotation="90" wrapText="1"/>
    </xf>
    <xf numFmtId="0" fontId="13" fillId="5" borderId="175" xfId="0" applyFont="1" applyFill="1" applyBorder="1" applyAlignment="1">
      <alignment horizontal="center" vertical="center"/>
    </xf>
    <xf numFmtId="0" fontId="13" fillId="5" borderId="189" xfId="0" applyFont="1" applyFill="1" applyBorder="1" applyAlignment="1">
      <alignment horizontal="center" vertical="center"/>
    </xf>
    <xf numFmtId="0" fontId="13" fillId="5" borderId="179" xfId="0" applyFont="1" applyFill="1" applyBorder="1" applyAlignment="1">
      <alignment horizontal="center" vertical="center"/>
    </xf>
    <xf numFmtId="0" fontId="13" fillId="5" borderId="182" xfId="0" applyFont="1" applyFill="1" applyBorder="1" applyAlignment="1">
      <alignment horizontal="center" vertical="center"/>
    </xf>
    <xf numFmtId="0" fontId="13" fillId="5" borderId="175" xfId="0" applyFont="1" applyFill="1" applyBorder="1" applyAlignment="1">
      <alignment horizontal="center" vertical="center" wrapText="1"/>
    </xf>
    <xf numFmtId="0" fontId="13" fillId="5" borderId="178" xfId="0" applyFont="1" applyFill="1" applyBorder="1" applyAlignment="1">
      <alignment horizontal="center" vertical="center" wrapText="1"/>
    </xf>
    <xf numFmtId="0" fontId="13" fillId="5" borderId="181" xfId="0" applyFont="1" applyFill="1" applyBorder="1" applyAlignment="1">
      <alignment horizontal="center" vertical="center" wrapText="1"/>
    </xf>
    <xf numFmtId="0" fontId="13" fillId="5" borderId="176" xfId="0" applyFont="1" applyFill="1" applyBorder="1" applyAlignment="1">
      <alignment horizontal="center" vertical="center"/>
    </xf>
    <xf numFmtId="0" fontId="13" fillId="5" borderId="174" xfId="0" applyFont="1" applyFill="1" applyBorder="1" applyAlignment="1">
      <alignment horizontal="center" vertical="center"/>
    </xf>
    <xf numFmtId="0" fontId="13" fillId="5" borderId="176" xfId="0" applyFont="1" applyFill="1" applyBorder="1" applyAlignment="1">
      <alignment horizontal="center" vertical="center" wrapText="1"/>
    </xf>
    <xf numFmtId="0" fontId="13" fillId="5" borderId="179" xfId="0" applyFont="1" applyFill="1" applyBorder="1" applyAlignment="1">
      <alignment horizontal="center" vertical="center" wrapText="1"/>
    </xf>
    <xf numFmtId="0" fontId="13" fillId="5" borderId="182" xfId="0" applyFont="1" applyFill="1" applyBorder="1" applyAlignment="1">
      <alignment horizontal="center" vertical="center" wrapText="1"/>
    </xf>
    <xf numFmtId="0" fontId="4" fillId="3" borderId="49" xfId="0" applyFont="1" applyFill="1" applyBorder="1" applyAlignment="1">
      <alignment horizontal="center" vertical="center" wrapText="1"/>
    </xf>
    <xf numFmtId="0" fontId="13" fillId="5" borderId="174" xfId="0" applyFont="1" applyFill="1" applyBorder="1" applyAlignment="1">
      <alignment horizontal="center" vertical="center" wrapText="1"/>
    </xf>
    <xf numFmtId="0" fontId="13" fillId="5" borderId="177" xfId="0" applyFont="1" applyFill="1" applyBorder="1" applyAlignment="1">
      <alignment horizontal="center" vertical="center" wrapText="1"/>
    </xf>
    <xf numFmtId="0" fontId="13" fillId="5" borderId="180" xfId="0" applyFont="1" applyFill="1" applyBorder="1" applyAlignment="1">
      <alignment horizontal="center" vertical="center" wrapText="1"/>
    </xf>
    <xf numFmtId="0" fontId="4" fillId="3" borderId="73" xfId="0" applyFont="1" applyFill="1" applyBorder="1" applyAlignment="1">
      <alignment vertical="center"/>
    </xf>
    <xf numFmtId="0" fontId="4" fillId="3" borderId="4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60" xfId="0" applyFill="1" applyBorder="1" applyAlignment="1">
      <alignment horizontal="center" vertical="center"/>
    </xf>
    <xf numFmtId="0" fontId="0" fillId="3" borderId="63" xfId="0" applyFill="1" applyBorder="1" applyAlignment="1">
      <alignment vertical="center"/>
    </xf>
    <xf numFmtId="0" fontId="4" fillId="3" borderId="61" xfId="0" applyFont="1" applyFill="1" applyBorder="1" applyAlignment="1">
      <alignment vertical="center" wrapText="1"/>
    </xf>
    <xf numFmtId="0" fontId="4" fillId="3" borderId="95" xfId="0" applyFont="1" applyFill="1" applyBorder="1" applyAlignment="1">
      <alignment horizontal="center" vertical="center" wrapText="1"/>
    </xf>
    <xf numFmtId="0" fontId="0" fillId="0" borderId="118" xfId="0" applyBorder="1" applyAlignment="1">
      <alignment horizontal="center" vertical="center" wrapText="1"/>
    </xf>
    <xf numFmtId="0" fontId="4" fillId="3" borderId="27" xfId="0" applyFont="1" applyFill="1" applyBorder="1" applyAlignment="1">
      <alignment vertical="center"/>
    </xf>
    <xf numFmtId="0" fontId="0" fillId="0" borderId="28" xfId="0" applyBorder="1" applyAlignment="1">
      <alignment vertical="center"/>
    </xf>
    <xf numFmtId="0" fontId="4" fillId="5" borderId="174" xfId="0" applyFont="1" applyFill="1" applyBorder="1" applyAlignment="1">
      <alignment horizontal="center" vertical="center"/>
    </xf>
    <xf numFmtId="0" fontId="4" fillId="3" borderId="42" xfId="0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58" xfId="0" applyFont="1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3" fillId="2" borderId="14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4" xfId="0" applyFont="1" applyFill="1" applyBorder="1" applyAlignment="1">
      <alignment horizontal="center" vertical="center" wrapText="1"/>
    </xf>
    <xf numFmtId="0" fontId="3" fillId="2" borderId="7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76" xfId="0" applyFont="1" applyFill="1" applyBorder="1" applyAlignment="1">
      <alignment horizontal="center" vertical="center" wrapText="1"/>
    </xf>
    <xf numFmtId="0" fontId="0" fillId="0" borderId="63" xfId="0" applyBorder="1" applyAlignment="1">
      <alignment vertical="center"/>
    </xf>
    <xf numFmtId="0" fontId="4" fillId="7" borderId="5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7" borderId="144" xfId="0" applyFont="1" applyFill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56" xfId="0" applyFont="1" applyFill="1" applyBorder="1" applyAlignment="1">
      <alignment horizontal="center" vertical="center" wrapText="1"/>
    </xf>
    <xf numFmtId="0" fontId="4" fillId="7" borderId="56" xfId="0" applyFont="1" applyFill="1" applyBorder="1" applyAlignment="1">
      <alignment horizontal="center" vertical="center"/>
    </xf>
    <xf numFmtId="0" fontId="4" fillId="7" borderId="52" xfId="0" applyFont="1" applyFill="1" applyBorder="1" applyAlignment="1">
      <alignment horizontal="center" vertical="center"/>
    </xf>
    <xf numFmtId="0" fontId="4" fillId="3" borderId="59" xfId="0" applyFont="1" applyFill="1" applyBorder="1" applyAlignment="1">
      <alignment vertical="center" wrapText="1"/>
    </xf>
    <xf numFmtId="0" fontId="0" fillId="0" borderId="62" xfId="0" applyBorder="1" applyAlignment="1">
      <alignment vertical="center" wrapText="1"/>
    </xf>
    <xf numFmtId="0" fontId="4" fillId="3" borderId="9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3" fillId="2" borderId="90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vertical="center" wrapText="1"/>
    </xf>
    <xf numFmtId="0" fontId="3" fillId="2" borderId="73" xfId="0" applyFont="1" applyFill="1" applyBorder="1" applyAlignment="1">
      <alignment horizontal="center" vertical="center" wrapText="1"/>
    </xf>
    <xf numFmtId="0" fontId="3" fillId="2" borderId="81" xfId="0" applyFont="1" applyFill="1" applyBorder="1" applyAlignment="1">
      <alignment horizontal="center" vertical="center" wrapText="1"/>
    </xf>
    <xf numFmtId="0" fontId="3" fillId="2" borderId="82" xfId="0" applyFont="1" applyFill="1" applyBorder="1" applyAlignment="1">
      <alignment horizontal="center" vertical="center" wrapText="1"/>
    </xf>
    <xf numFmtId="0" fontId="3" fillId="2" borderId="83" xfId="0" applyFont="1" applyFill="1" applyBorder="1" applyAlignment="1">
      <alignment horizontal="center" vertical="center" wrapText="1"/>
    </xf>
    <xf numFmtId="0" fontId="3" fillId="2" borderId="80" xfId="0" applyFont="1" applyFill="1" applyBorder="1" applyAlignment="1">
      <alignment horizontal="center" vertical="center" wrapText="1"/>
    </xf>
    <xf numFmtId="9" fontId="3" fillId="2" borderId="90" xfId="1" applyFont="1" applyFill="1" applyBorder="1" applyAlignment="1">
      <alignment horizontal="center" vertical="center" wrapText="1"/>
    </xf>
    <xf numFmtId="9" fontId="3" fillId="2" borderId="91" xfId="1" applyFont="1" applyFill="1" applyBorder="1" applyAlignment="1">
      <alignment horizontal="center" vertical="center" wrapText="1"/>
    </xf>
    <xf numFmtId="0" fontId="4" fillId="3" borderId="60" xfId="0" applyFont="1" applyFill="1" applyBorder="1" applyAlignment="1">
      <alignment horizontal="center" vertical="center" wrapText="1"/>
    </xf>
    <xf numFmtId="0" fontId="4" fillId="7" borderId="53" xfId="0" applyFont="1" applyFill="1" applyBorder="1" applyAlignment="1">
      <alignment horizontal="center" vertical="center" wrapText="1"/>
    </xf>
    <xf numFmtId="0" fontId="4" fillId="7" borderId="54" xfId="0" applyFont="1" applyFill="1" applyBorder="1" applyAlignment="1">
      <alignment horizontal="center" vertical="center" wrapText="1"/>
    </xf>
    <xf numFmtId="0" fontId="4" fillId="7" borderId="144" xfId="0" applyFont="1" applyFill="1" applyBorder="1" applyAlignment="1">
      <alignment horizontal="center" vertical="center" wrapText="1"/>
    </xf>
    <xf numFmtId="0" fontId="4" fillId="7" borderId="55" xfId="0" applyFont="1" applyFill="1" applyBorder="1" applyAlignment="1">
      <alignment horizontal="center" vertical="center" wrapText="1"/>
    </xf>
    <xf numFmtId="0" fontId="4" fillId="3" borderId="57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63" xfId="0" applyFont="1" applyFill="1" applyBorder="1" applyAlignment="1">
      <alignment vertical="center" wrapText="1"/>
    </xf>
    <xf numFmtId="0" fontId="4" fillId="3" borderId="53" xfId="0" applyFont="1" applyFill="1" applyBorder="1" applyAlignment="1">
      <alignment horizontal="center" vertical="center"/>
    </xf>
    <xf numFmtId="0" fontId="4" fillId="3" borderId="54" xfId="0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13" fillId="7" borderId="94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7" borderId="119" xfId="0" applyFont="1" applyFill="1" applyBorder="1" applyAlignment="1">
      <alignment horizontal="center" vertical="center"/>
    </xf>
  </cellXfs>
  <cellStyles count="3">
    <cellStyle name="Excel Built-in Percent" xfId="2" xr:uid="{00000000-0005-0000-0000-000000000000}"/>
    <cellStyle name="Normal" xfId="0" builtinId="0"/>
    <cellStyle name="Pourcentage" xfId="1" builtinId="5"/>
  </cellStyles>
  <dxfs count="32">
    <dxf>
      <font>
        <color rgb="FF92D05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rgb="FF92D05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/>
      </font>
    </dxf>
    <dxf>
      <font>
        <color rgb="FF92D050"/>
      </font>
    </dxf>
    <dxf>
      <font>
        <color rgb="FF92D050"/>
      </font>
    </dxf>
    <dxf>
      <font>
        <color theme="0"/>
      </font>
    </dxf>
    <dxf>
      <font>
        <color theme="0" tint="-4.9989318521683403E-2"/>
      </font>
    </dxf>
    <dxf>
      <font>
        <color rgb="FF92D050"/>
      </font>
    </dxf>
    <dxf>
      <font>
        <color theme="0" tint="-4.9989318521683403E-2"/>
      </font>
    </dxf>
    <dxf>
      <font>
        <color rgb="FF92D050"/>
      </font>
    </dxf>
    <dxf>
      <font>
        <color theme="0" tint="-4.9989318521683403E-2"/>
      </font>
    </dxf>
    <dxf>
      <font>
        <color rgb="FF92D050"/>
      </font>
    </dxf>
    <dxf>
      <font>
        <color theme="0" tint="-4.9989318521683403E-2"/>
      </font>
    </dxf>
    <dxf>
      <font>
        <color rgb="FF92D050"/>
      </font>
    </dxf>
  </dxfs>
  <tableStyles count="0" defaultTableStyle="TableStyleMedium2" defaultPivotStyle="PivotStyleLight16"/>
  <colors>
    <mruColors>
      <color rgb="FFFF33CC"/>
      <color rgb="FFFF99CC"/>
      <color rgb="FF2DFF8C"/>
      <color rgb="FFFFCCCC"/>
      <color rgb="FFCC99FF"/>
      <color rgb="FFA9DA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H35"/>
  <sheetViews>
    <sheetView zoomScaleNormal="100" workbookViewId="0">
      <selection activeCell="F25" sqref="F25"/>
    </sheetView>
  </sheetViews>
  <sheetFormatPr baseColWidth="10" defaultColWidth="11.44140625" defaultRowHeight="14.4" x14ac:dyDescent="0.3"/>
  <cols>
    <col min="1" max="2" width="1.109375" style="1" customWidth="1"/>
    <col min="3" max="4" width="2.109375" style="1" customWidth="1"/>
    <col min="5" max="5" width="6.5546875" style="2" customWidth="1"/>
    <col min="6" max="6" width="91.6640625" style="1" customWidth="1"/>
    <col min="7" max="8" width="1.109375" style="1" customWidth="1"/>
    <col min="9" max="16384" width="11.44140625" style="1"/>
  </cols>
  <sheetData>
    <row r="1" spans="1:8" ht="7.5" customHeight="1" thickBot="1" x14ac:dyDescent="0.35">
      <c r="A1" s="81"/>
      <c r="B1" s="87"/>
      <c r="C1" s="87"/>
      <c r="D1" s="87"/>
      <c r="E1" s="88"/>
      <c r="F1" s="87"/>
      <c r="G1" s="87"/>
      <c r="H1" s="81"/>
    </row>
    <row r="2" spans="1:8" ht="7.5" customHeight="1" thickTop="1" x14ac:dyDescent="0.3">
      <c r="A2" s="93"/>
      <c r="B2" s="99"/>
      <c r="C2" s="89"/>
      <c r="D2" s="89"/>
      <c r="E2" s="90"/>
      <c r="F2" s="89"/>
      <c r="G2" s="91"/>
      <c r="H2" s="92"/>
    </row>
    <row r="3" spans="1:8" ht="24.75" customHeight="1" x14ac:dyDescent="0.3">
      <c r="A3" s="93"/>
      <c r="B3" s="92"/>
      <c r="C3" s="743" t="s">
        <v>224</v>
      </c>
      <c r="D3" s="743"/>
      <c r="E3" s="743"/>
      <c r="F3" s="743"/>
      <c r="G3" s="93"/>
      <c r="H3" s="92"/>
    </row>
    <row r="4" spans="1:8" ht="6.75" customHeight="1" x14ac:dyDescent="0.3">
      <c r="A4" s="93"/>
      <c r="B4" s="92"/>
      <c r="C4" s="78"/>
      <c r="D4" s="78"/>
      <c r="E4" s="78"/>
      <c r="F4" s="78"/>
      <c r="G4" s="93"/>
      <c r="H4" s="92"/>
    </row>
    <row r="5" spans="1:8" s="31" customFormat="1" ht="17.25" customHeight="1" x14ac:dyDescent="0.3">
      <c r="A5" s="94"/>
      <c r="B5" s="95"/>
      <c r="C5" s="79"/>
      <c r="D5" s="745" t="s">
        <v>88</v>
      </c>
      <c r="E5" s="745"/>
      <c r="F5" s="101" t="s">
        <v>116</v>
      </c>
      <c r="G5" s="94"/>
      <c r="H5" s="95"/>
    </row>
    <row r="6" spans="1:8" ht="6.75" customHeight="1" x14ac:dyDescent="0.3">
      <c r="A6" s="93"/>
      <c r="B6" s="92"/>
      <c r="C6" s="78"/>
      <c r="D6" s="78"/>
      <c r="E6" s="78"/>
      <c r="F6" s="78"/>
      <c r="G6" s="93"/>
      <c r="H6" s="92"/>
    </row>
    <row r="7" spans="1:8" ht="18" x14ac:dyDescent="0.3">
      <c r="A7" s="93"/>
      <c r="B7" s="92"/>
      <c r="C7" s="80"/>
      <c r="D7" s="22" t="s">
        <v>131</v>
      </c>
      <c r="E7" s="23"/>
      <c r="F7" s="20"/>
      <c r="G7" s="93"/>
      <c r="H7" s="92"/>
    </row>
    <row r="8" spans="1:8" ht="6.75" customHeight="1" x14ac:dyDescent="0.3">
      <c r="A8" s="93"/>
      <c r="B8" s="92"/>
      <c r="C8" s="78"/>
      <c r="D8" s="78"/>
      <c r="E8" s="78"/>
      <c r="F8" s="78"/>
      <c r="G8" s="93"/>
      <c r="H8" s="92"/>
    </row>
    <row r="9" spans="1:8" ht="18" x14ac:dyDescent="0.3">
      <c r="A9" s="93"/>
      <c r="B9" s="92"/>
      <c r="C9" s="80"/>
      <c r="D9" s="28" t="s">
        <v>226</v>
      </c>
      <c r="E9" s="29"/>
      <c r="F9" s="30"/>
      <c r="G9" s="93"/>
      <c r="H9" s="92"/>
    </row>
    <row r="10" spans="1:8" x14ac:dyDescent="0.3">
      <c r="A10" s="93"/>
      <c r="B10" s="92"/>
      <c r="C10" s="81"/>
      <c r="D10" s="744" t="s">
        <v>125</v>
      </c>
      <c r="E10" s="85" t="s">
        <v>89</v>
      </c>
      <c r="F10" s="81" t="s">
        <v>92</v>
      </c>
      <c r="G10" s="93"/>
      <c r="H10" s="92"/>
    </row>
    <row r="11" spans="1:8" x14ac:dyDescent="0.3">
      <c r="A11" s="93"/>
      <c r="B11" s="92"/>
      <c r="C11" s="81"/>
      <c r="D11" s="744"/>
      <c r="E11" s="85" t="s">
        <v>93</v>
      </c>
      <c r="F11" s="81" t="s">
        <v>94</v>
      </c>
      <c r="G11" s="93"/>
      <c r="H11" s="92"/>
    </row>
    <row r="12" spans="1:8" x14ac:dyDescent="0.3">
      <c r="A12" s="93"/>
      <c r="B12" s="92"/>
      <c r="C12" s="81"/>
      <c r="D12" s="744"/>
      <c r="E12" s="85" t="s">
        <v>95</v>
      </c>
      <c r="F12" s="81" t="s">
        <v>96</v>
      </c>
      <c r="G12" s="93"/>
      <c r="H12" s="92"/>
    </row>
    <row r="13" spans="1:8" x14ac:dyDescent="0.3">
      <c r="A13" s="93"/>
      <c r="B13" s="92"/>
      <c r="C13" s="81"/>
      <c r="D13" s="744"/>
      <c r="E13" s="85" t="s">
        <v>90</v>
      </c>
      <c r="F13" s="81" t="s">
        <v>87</v>
      </c>
      <c r="G13" s="93"/>
      <c r="H13" s="92"/>
    </row>
    <row r="14" spans="1:8" x14ac:dyDescent="0.3">
      <c r="A14" s="93"/>
      <c r="B14" s="92"/>
      <c r="C14" s="81"/>
      <c r="D14" s="744"/>
      <c r="E14" s="85" t="s">
        <v>91</v>
      </c>
      <c r="F14" s="81" t="s">
        <v>105</v>
      </c>
      <c r="G14" s="93"/>
      <c r="H14" s="92"/>
    </row>
    <row r="15" spans="1:8" s="77" customFormat="1" x14ac:dyDescent="0.3">
      <c r="A15" s="96"/>
      <c r="B15" s="97"/>
      <c r="C15" s="82"/>
      <c r="D15" s="744"/>
      <c r="E15" s="83" t="s">
        <v>97</v>
      </c>
      <c r="F15" s="84" t="s">
        <v>122</v>
      </c>
      <c r="G15" s="96"/>
      <c r="H15" s="97"/>
    </row>
    <row r="16" spans="1:8" x14ac:dyDescent="0.3">
      <c r="A16" s="93"/>
      <c r="B16" s="92"/>
      <c r="C16" s="81"/>
      <c r="D16" s="744"/>
      <c r="E16" s="85" t="s">
        <v>98</v>
      </c>
      <c r="F16" s="81" t="s">
        <v>103</v>
      </c>
      <c r="G16" s="93"/>
      <c r="H16" s="92"/>
    </row>
    <row r="17" spans="1:8" s="77" customFormat="1" x14ac:dyDescent="0.3">
      <c r="A17" s="96"/>
      <c r="B17" s="97"/>
      <c r="C17" s="82"/>
      <c r="D17" s="744"/>
      <c r="E17" s="83" t="s">
        <v>99</v>
      </c>
      <c r="F17" s="84" t="s">
        <v>121</v>
      </c>
      <c r="G17" s="96"/>
      <c r="H17" s="97"/>
    </row>
    <row r="18" spans="1:8" x14ac:dyDescent="0.3">
      <c r="A18" s="93"/>
      <c r="B18" s="92"/>
      <c r="C18" s="81"/>
      <c r="D18" s="744"/>
      <c r="E18" s="85" t="s">
        <v>100</v>
      </c>
      <c r="F18" s="81" t="s">
        <v>104</v>
      </c>
      <c r="G18" s="93"/>
      <c r="H18" s="92"/>
    </row>
    <row r="19" spans="1:8" ht="6.75" customHeight="1" x14ac:dyDescent="0.3">
      <c r="A19" s="93"/>
      <c r="B19" s="92"/>
      <c r="C19" s="81"/>
      <c r="D19" s="81"/>
      <c r="E19" s="85"/>
      <c r="F19" s="81"/>
      <c r="G19" s="93"/>
      <c r="H19" s="92"/>
    </row>
    <row r="20" spans="1:8" ht="15.75" customHeight="1" x14ac:dyDescent="0.3">
      <c r="A20" s="93"/>
      <c r="B20" s="92"/>
      <c r="C20" s="81"/>
      <c r="D20" s="280" t="s">
        <v>111</v>
      </c>
      <c r="E20" s="280"/>
      <c r="F20" s="280"/>
      <c r="G20" s="93"/>
      <c r="H20" s="92"/>
    </row>
    <row r="21" spans="1:8" ht="15.6" x14ac:dyDescent="0.3">
      <c r="A21" s="93"/>
      <c r="B21" s="92"/>
      <c r="C21" s="81"/>
      <c r="D21" s="281" t="s">
        <v>225</v>
      </c>
      <c r="E21" s="282"/>
      <c r="F21" s="283"/>
      <c r="G21" s="93"/>
      <c r="H21" s="92"/>
    </row>
    <row r="22" spans="1:8" x14ac:dyDescent="0.3">
      <c r="A22" s="93"/>
      <c r="B22" s="92"/>
      <c r="C22" s="81"/>
      <c r="D22" s="744" t="s">
        <v>110</v>
      </c>
      <c r="E22" s="85" t="s">
        <v>106</v>
      </c>
      <c r="F22" s="86" t="s">
        <v>112</v>
      </c>
      <c r="G22" s="93"/>
      <c r="H22" s="92"/>
    </row>
    <row r="23" spans="1:8" x14ac:dyDescent="0.3">
      <c r="A23" s="93"/>
      <c r="B23" s="92"/>
      <c r="C23" s="81"/>
      <c r="D23" s="744"/>
      <c r="E23" s="85" t="s">
        <v>107</v>
      </c>
      <c r="F23" s="81" t="s">
        <v>113</v>
      </c>
      <c r="G23" s="93"/>
      <c r="H23" s="92"/>
    </row>
    <row r="24" spans="1:8" x14ac:dyDescent="0.3">
      <c r="A24" s="93"/>
      <c r="B24" s="92"/>
      <c r="C24" s="81"/>
      <c r="D24" s="744"/>
      <c r="E24" s="85" t="s">
        <v>108</v>
      </c>
      <c r="F24" s="86" t="s">
        <v>114</v>
      </c>
      <c r="G24" s="93"/>
      <c r="H24" s="92"/>
    </row>
    <row r="25" spans="1:8" x14ac:dyDescent="0.3">
      <c r="A25" s="93"/>
      <c r="B25" s="92"/>
      <c r="C25" s="81"/>
      <c r="D25" s="744"/>
      <c r="E25" s="85" t="s">
        <v>109</v>
      </c>
      <c r="F25" s="81" t="s">
        <v>115</v>
      </c>
      <c r="G25" s="93"/>
      <c r="H25" s="92"/>
    </row>
    <row r="26" spans="1:8" ht="6.75" customHeight="1" x14ac:dyDescent="0.3">
      <c r="A26" s="93"/>
      <c r="B26" s="92"/>
      <c r="C26" s="78"/>
      <c r="D26" s="78"/>
      <c r="E26" s="78"/>
      <c r="F26" s="78"/>
      <c r="G26" s="93"/>
      <c r="H26" s="92"/>
    </row>
    <row r="27" spans="1:8" ht="18" x14ac:dyDescent="0.3">
      <c r="A27" s="93"/>
      <c r="B27" s="92"/>
      <c r="C27" s="80"/>
      <c r="D27" s="74" t="s">
        <v>227</v>
      </c>
      <c r="E27" s="75"/>
      <c r="F27" s="76"/>
      <c r="G27" s="93"/>
      <c r="H27" s="92"/>
    </row>
    <row r="28" spans="1:8" s="77" customFormat="1" ht="15" customHeight="1" x14ac:dyDescent="0.3">
      <c r="A28" s="96"/>
      <c r="B28" s="97"/>
      <c r="C28" s="82"/>
      <c r="D28" s="744" t="s">
        <v>126</v>
      </c>
      <c r="E28" s="83" t="s">
        <v>101</v>
      </c>
      <c r="F28" s="84" t="s">
        <v>124</v>
      </c>
      <c r="G28" s="96"/>
      <c r="H28" s="97"/>
    </row>
    <row r="29" spans="1:8" x14ac:dyDescent="0.3">
      <c r="A29" s="93"/>
      <c r="B29" s="92"/>
      <c r="C29" s="81"/>
      <c r="D29" s="744"/>
      <c r="E29" s="85" t="s">
        <v>102</v>
      </c>
      <c r="F29" s="81" t="s">
        <v>123</v>
      </c>
      <c r="G29" s="93"/>
      <c r="H29" s="92"/>
    </row>
    <row r="30" spans="1:8" x14ac:dyDescent="0.3">
      <c r="A30" s="93"/>
      <c r="B30" s="92"/>
      <c r="C30" s="81"/>
      <c r="D30" s="744"/>
      <c r="E30" s="85" t="s">
        <v>117</v>
      </c>
      <c r="F30" s="81" t="s">
        <v>127</v>
      </c>
      <c r="G30" s="93"/>
      <c r="H30" s="92"/>
    </row>
    <row r="31" spans="1:8" x14ac:dyDescent="0.3">
      <c r="A31" s="93"/>
      <c r="B31" s="92"/>
      <c r="C31" s="81"/>
      <c r="D31" s="744"/>
      <c r="E31" s="85" t="s">
        <v>118</v>
      </c>
      <c r="F31" s="81" t="s">
        <v>130</v>
      </c>
      <c r="G31" s="93"/>
      <c r="H31" s="92"/>
    </row>
    <row r="32" spans="1:8" x14ac:dyDescent="0.3">
      <c r="A32" s="93"/>
      <c r="B32" s="92"/>
      <c r="C32" s="81"/>
      <c r="D32" s="744"/>
      <c r="E32" s="85" t="s">
        <v>119</v>
      </c>
      <c r="F32" s="81" t="s">
        <v>128</v>
      </c>
      <c r="G32" s="93"/>
      <c r="H32" s="92"/>
    </row>
    <row r="33" spans="1:8" x14ac:dyDescent="0.3">
      <c r="A33" s="93"/>
      <c r="B33" s="92"/>
      <c r="C33" s="81"/>
      <c r="D33" s="744"/>
      <c r="E33" s="85" t="s">
        <v>120</v>
      </c>
      <c r="F33" s="81" t="s">
        <v>129</v>
      </c>
      <c r="G33" s="93"/>
      <c r="H33" s="92"/>
    </row>
    <row r="34" spans="1:8" ht="7.5" customHeight="1" thickBot="1" x14ac:dyDescent="0.35">
      <c r="A34" s="93"/>
      <c r="B34" s="100"/>
      <c r="C34" s="87"/>
      <c r="D34" s="87"/>
      <c r="E34" s="88"/>
      <c r="F34" s="87"/>
      <c r="G34" s="98"/>
      <c r="H34" s="92"/>
    </row>
    <row r="35" spans="1:8" ht="7.5" customHeight="1" thickTop="1" x14ac:dyDescent="0.3">
      <c r="A35" s="81"/>
      <c r="B35" s="89"/>
      <c r="C35" s="89"/>
      <c r="D35" s="89"/>
      <c r="E35" s="90"/>
      <c r="F35" s="89"/>
      <c r="G35" s="89"/>
      <c r="H35" s="81"/>
    </row>
  </sheetData>
  <sheetProtection password="D0CE" sheet="1" objects="1" scenarios="1"/>
  <mergeCells count="5">
    <mergeCell ref="C3:F3"/>
    <mergeCell ref="D22:D25"/>
    <mergeCell ref="D5:E5"/>
    <mergeCell ref="D10:D18"/>
    <mergeCell ref="D28:D3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B233"/>
  <sheetViews>
    <sheetView zoomScale="90" zoomScaleNormal="90" workbookViewId="0">
      <pane xSplit="6" ySplit="4" topLeftCell="G5" activePane="bottomRight" state="frozen"/>
      <selection activeCell="B2" sqref="B2:B4"/>
      <selection pane="topRight" activeCell="B2" sqref="B2:B4"/>
      <selection pane="bottomLeft" activeCell="B2" sqref="B2:B4"/>
      <selection pane="bottomRight" activeCell="B2" sqref="B2:B4"/>
    </sheetView>
  </sheetViews>
  <sheetFormatPr baseColWidth="10" defaultColWidth="11.44140625" defaultRowHeight="14.4" x14ac:dyDescent="0.3"/>
  <cols>
    <col min="1" max="1" width="3" style="20" customWidth="1"/>
    <col min="2" max="2" width="33.6640625" style="1" customWidth="1"/>
    <col min="3" max="3" width="11.5546875" style="2" customWidth="1"/>
    <col min="4" max="4" width="8.44140625" style="2" customWidth="1"/>
    <col min="5" max="5" width="44.88671875" style="1" customWidth="1"/>
    <col min="6" max="6" width="11.109375" style="2" customWidth="1"/>
    <col min="7" max="7" width="11.44140625" style="2"/>
    <col min="8" max="8" width="11.44140625" style="2" customWidth="1"/>
    <col min="9" max="9" width="11.44140625" style="3" customWidth="1"/>
    <col min="10" max="10" width="11.44140625" style="4" customWidth="1"/>
    <col min="11" max="11" width="11.44140625" style="3" customWidth="1"/>
    <col min="12" max="12" width="11.44140625" style="4" customWidth="1"/>
    <col min="13" max="13" width="11.44140625" style="3" customWidth="1"/>
    <col min="14" max="14" width="11.44140625" style="4" customWidth="1"/>
    <col min="15" max="22" width="7.5546875" style="2" customWidth="1"/>
    <col min="23" max="23" width="5.33203125" style="2" customWidth="1"/>
    <col min="24" max="24" width="11.44140625" style="1" customWidth="1"/>
    <col min="25" max="27" width="11.44140625" style="1"/>
    <col min="28" max="28" width="11.44140625" style="2"/>
    <col min="29" max="16384" width="11.44140625" style="1"/>
  </cols>
  <sheetData>
    <row r="1" spans="1:28" s="20" customFormat="1" ht="17.25" customHeight="1" thickBot="1" x14ac:dyDescent="0.35">
      <c r="C1" s="23"/>
      <c r="D1" s="23"/>
      <c r="E1" s="23">
        <v>7</v>
      </c>
      <c r="F1" s="23"/>
      <c r="G1" s="23"/>
      <c r="H1" s="23"/>
      <c r="I1" s="24"/>
      <c r="J1" s="25"/>
      <c r="K1" s="24"/>
      <c r="L1" s="25"/>
      <c r="M1" s="24"/>
      <c r="N1" s="25"/>
      <c r="O1" s="23"/>
      <c r="P1" s="23"/>
      <c r="Q1" s="23"/>
      <c r="R1" s="23"/>
      <c r="S1" s="23"/>
      <c r="T1" s="23"/>
      <c r="U1" s="23"/>
      <c r="V1" s="23"/>
      <c r="W1" s="23"/>
      <c r="AB1" s="23"/>
    </row>
    <row r="2" spans="1:28" s="6" customFormat="1" ht="30" customHeight="1" thickBot="1" x14ac:dyDescent="0.35">
      <c r="A2" s="21" t="s">
        <v>106</v>
      </c>
      <c r="B2" s="769" t="s">
        <v>53</v>
      </c>
      <c r="C2" s="772" t="s">
        <v>74</v>
      </c>
      <c r="D2" s="772" t="s">
        <v>69</v>
      </c>
      <c r="E2" s="765" t="s">
        <v>79</v>
      </c>
      <c r="F2" s="761" t="s">
        <v>59</v>
      </c>
      <c r="G2" s="786" t="s">
        <v>54</v>
      </c>
      <c r="H2" s="771"/>
      <c r="I2" s="787" t="s">
        <v>55</v>
      </c>
      <c r="J2" s="764" t="s">
        <v>63</v>
      </c>
      <c r="K2" s="787" t="s">
        <v>56</v>
      </c>
      <c r="L2" s="764" t="s">
        <v>65</v>
      </c>
      <c r="M2" s="787" t="s">
        <v>57</v>
      </c>
      <c r="N2" s="764" t="s">
        <v>64</v>
      </c>
      <c r="O2" s="770" t="s">
        <v>39</v>
      </c>
      <c r="P2" s="771"/>
      <c r="Q2" s="770" t="s">
        <v>40</v>
      </c>
      <c r="R2" s="771"/>
      <c r="S2" s="770" t="s">
        <v>41</v>
      </c>
      <c r="T2" s="771"/>
      <c r="U2" s="761" t="s">
        <v>42</v>
      </c>
      <c r="V2" s="785"/>
      <c r="W2" s="204"/>
      <c r="AB2" s="462"/>
    </row>
    <row r="3" spans="1:28" s="6" customFormat="1" ht="30" customHeight="1" thickBot="1" x14ac:dyDescent="0.35">
      <c r="A3" s="21" t="s">
        <v>106</v>
      </c>
      <c r="B3" s="769"/>
      <c r="C3" s="772"/>
      <c r="D3" s="772"/>
      <c r="E3" s="765"/>
      <c r="F3" s="762"/>
      <c r="G3" s="108"/>
      <c r="H3" s="105"/>
      <c r="I3" s="787"/>
      <c r="J3" s="764"/>
      <c r="K3" s="787"/>
      <c r="L3" s="764"/>
      <c r="M3" s="787"/>
      <c r="N3" s="764"/>
      <c r="O3" s="104"/>
      <c r="P3" s="105"/>
      <c r="Q3" s="104"/>
      <c r="R3" s="105"/>
      <c r="S3" s="104"/>
      <c r="T3" s="105"/>
      <c r="U3" s="106"/>
      <c r="V3" s="107"/>
      <c r="W3" s="204"/>
      <c r="AB3" s="462"/>
    </row>
    <row r="4" spans="1:28" s="6" customFormat="1" ht="30" customHeight="1" thickBot="1" x14ac:dyDescent="0.35">
      <c r="A4" s="21" t="s">
        <v>106</v>
      </c>
      <c r="B4" s="769"/>
      <c r="C4" s="772"/>
      <c r="D4" s="772"/>
      <c r="E4" s="765"/>
      <c r="F4" s="763"/>
      <c r="G4" s="10" t="s">
        <v>43</v>
      </c>
      <c r="H4" s="11" t="s">
        <v>44</v>
      </c>
      <c r="I4" s="787"/>
      <c r="J4" s="764"/>
      <c r="K4" s="787"/>
      <c r="L4" s="764"/>
      <c r="M4" s="787"/>
      <c r="N4" s="764"/>
      <c r="O4" s="12" t="s">
        <v>43</v>
      </c>
      <c r="P4" s="11" t="s">
        <v>44</v>
      </c>
      <c r="Q4" s="12" t="s">
        <v>43</v>
      </c>
      <c r="R4" s="11" t="s">
        <v>44</v>
      </c>
      <c r="S4" s="12" t="s">
        <v>43</v>
      </c>
      <c r="T4" s="11" t="s">
        <v>44</v>
      </c>
      <c r="U4" s="12" t="s">
        <v>43</v>
      </c>
      <c r="V4" s="13" t="s">
        <v>44</v>
      </c>
      <c r="W4" s="204"/>
      <c r="AB4" s="462">
        <v>2020</v>
      </c>
    </row>
    <row r="5" spans="1:28" ht="15.75" customHeight="1" x14ac:dyDescent="0.3">
      <c r="A5" s="20" t="str">
        <f t="shared" ref="A5:A49" si="0">IF(D5="Sous-total","S",IF(G5="","","X"))</f>
        <v>X</v>
      </c>
      <c r="B5" s="778" t="s">
        <v>70</v>
      </c>
      <c r="C5" s="781" t="s">
        <v>75</v>
      </c>
      <c r="D5" s="766">
        <v>2</v>
      </c>
      <c r="E5" s="573" t="s">
        <v>71</v>
      </c>
      <c r="F5" s="576" t="s">
        <v>60</v>
      </c>
      <c r="G5" s="691">
        <f>27+11+2+15+8</f>
        <v>63</v>
      </c>
      <c r="H5" s="692">
        <v>29</v>
      </c>
      <c r="I5" s="467">
        <f>2/G5</f>
        <v>3.1746031746031744E-2</v>
      </c>
      <c r="J5" s="693">
        <f>I5*G5</f>
        <v>2</v>
      </c>
      <c r="K5" s="466">
        <f>(2+15)/G5</f>
        <v>0.26984126984126983</v>
      </c>
      <c r="L5" s="693">
        <f>K5*G5</f>
        <v>17</v>
      </c>
      <c r="M5" s="466">
        <f>2/17</f>
        <v>0.11764705882352941</v>
      </c>
      <c r="N5" s="693">
        <f>IF(M5="-","-",M5*L5)</f>
        <v>2</v>
      </c>
      <c r="O5" s="694"/>
      <c r="P5" s="695"/>
      <c r="Q5" s="694"/>
      <c r="R5" s="695"/>
      <c r="S5" s="696"/>
      <c r="T5" s="697"/>
      <c r="U5" s="696"/>
      <c r="V5" s="698"/>
      <c r="W5" s="205"/>
      <c r="AB5" s="2" t="str">
        <f t="shared" ref="AB5:AB50" si="1">IF(G5&gt;0,$F5,"")</f>
        <v>France</v>
      </c>
    </row>
    <row r="6" spans="1:28" ht="15.75" customHeight="1" x14ac:dyDescent="0.3">
      <c r="A6" s="20" t="str">
        <f t="shared" si="0"/>
        <v/>
      </c>
      <c r="B6" s="779"/>
      <c r="C6" s="782"/>
      <c r="D6" s="757"/>
      <c r="E6" s="727" t="s">
        <v>166</v>
      </c>
      <c r="F6" s="237"/>
      <c r="G6" s="238"/>
      <c r="H6" s="239"/>
      <c r="I6" s="686"/>
      <c r="J6" s="241"/>
      <c r="K6" s="240"/>
      <c r="L6" s="241"/>
      <c r="M6" s="240"/>
      <c r="N6" s="241"/>
      <c r="O6" s="228"/>
      <c r="P6" s="229"/>
      <c r="Q6" s="228"/>
      <c r="R6" s="229"/>
      <c r="S6" s="667"/>
      <c r="T6" s="668"/>
      <c r="U6" s="667"/>
      <c r="V6" s="669"/>
      <c r="W6" s="205"/>
    </row>
    <row r="7" spans="1:28" ht="15.75" customHeight="1" x14ac:dyDescent="0.3">
      <c r="A7" s="20" t="str">
        <f t="shared" si="0"/>
        <v/>
      </c>
      <c r="B7" s="779"/>
      <c r="C7" s="782"/>
      <c r="D7" s="757"/>
      <c r="E7" s="728" t="s">
        <v>166</v>
      </c>
      <c r="F7" s="242"/>
      <c r="G7" s="243"/>
      <c r="H7" s="244"/>
      <c r="I7" s="687"/>
      <c r="J7" s="246"/>
      <c r="K7" s="245"/>
      <c r="L7" s="246"/>
      <c r="M7" s="245"/>
      <c r="N7" s="246"/>
      <c r="O7" s="230"/>
      <c r="P7" s="231"/>
      <c r="Q7" s="230"/>
      <c r="R7" s="231"/>
      <c r="S7" s="670"/>
      <c r="T7" s="671"/>
      <c r="U7" s="670"/>
      <c r="V7" s="672"/>
      <c r="W7" s="205"/>
    </row>
    <row r="8" spans="1:28" ht="15.6" x14ac:dyDescent="0.3">
      <c r="A8" s="20" t="str">
        <f t="shared" si="0"/>
        <v>S</v>
      </c>
      <c r="B8" s="779"/>
      <c r="C8" s="783"/>
      <c r="D8" s="309" t="s">
        <v>138</v>
      </c>
      <c r="E8" s="717"/>
      <c r="F8" s="16"/>
      <c r="G8" s="251">
        <f>SUM(G5:G7)</f>
        <v>63</v>
      </c>
      <c r="H8" s="119">
        <f>SUM(H5:H7)</f>
        <v>29</v>
      </c>
      <c r="I8" s="9">
        <f>J8/G8</f>
        <v>3.1746031746031744E-2</v>
      </c>
      <c r="J8" s="202">
        <f>SUM(J5:J7)</f>
        <v>2</v>
      </c>
      <c r="K8" s="9">
        <f>L8/G8</f>
        <v>0.26984126984126983</v>
      </c>
      <c r="L8" s="202">
        <f>SUM(L5:L7)</f>
        <v>17</v>
      </c>
      <c r="M8" s="9">
        <f>N8/L8</f>
        <v>0.11764705882352941</v>
      </c>
      <c r="N8" s="202">
        <f t="shared" ref="N8:V8" si="2">SUM(N5:N7)</f>
        <v>2</v>
      </c>
      <c r="O8" s="118">
        <f t="shared" si="2"/>
        <v>0</v>
      </c>
      <c r="P8" s="119">
        <f t="shared" si="2"/>
        <v>0</v>
      </c>
      <c r="Q8" s="118">
        <f t="shared" si="2"/>
        <v>0</v>
      </c>
      <c r="R8" s="119">
        <f t="shared" si="2"/>
        <v>0</v>
      </c>
      <c r="S8" s="118">
        <f t="shared" si="2"/>
        <v>0</v>
      </c>
      <c r="T8" s="119">
        <f t="shared" si="2"/>
        <v>0</v>
      </c>
      <c r="U8" s="118">
        <f t="shared" si="2"/>
        <v>0</v>
      </c>
      <c r="V8" s="120">
        <f t="shared" si="2"/>
        <v>0</v>
      </c>
      <c r="W8" s="205"/>
    </row>
    <row r="9" spans="1:28" ht="15.75" customHeight="1" x14ac:dyDescent="0.3">
      <c r="A9" s="20" t="str">
        <f t="shared" si="0"/>
        <v/>
      </c>
      <c r="B9" s="779" t="s">
        <v>163</v>
      </c>
      <c r="C9" s="782" t="s">
        <v>75</v>
      </c>
      <c r="D9" s="757"/>
      <c r="E9" s="719" t="s">
        <v>164</v>
      </c>
      <c r="F9" s="232" t="s">
        <v>60</v>
      </c>
      <c r="G9" s="233"/>
      <c r="H9" s="234"/>
      <c r="I9" s="411" t="e">
        <f>2/G9</f>
        <v>#DIV/0!</v>
      </c>
      <c r="J9" s="236"/>
      <c r="K9" s="235" t="e">
        <f>(2+15)/G9</f>
        <v>#DIV/0!</v>
      </c>
      <c r="L9" s="236"/>
      <c r="M9" s="235">
        <f>2/17</f>
        <v>0.11764705882352941</v>
      </c>
      <c r="N9" s="236"/>
      <c r="O9" s="226"/>
      <c r="P9" s="227"/>
      <c r="Q9" s="226"/>
      <c r="R9" s="227"/>
      <c r="S9" s="664"/>
      <c r="T9" s="665"/>
      <c r="U9" s="664"/>
      <c r="V9" s="666"/>
      <c r="W9" s="205"/>
      <c r="AB9" s="2" t="str">
        <f t="shared" si="1"/>
        <v/>
      </c>
    </row>
    <row r="10" spans="1:28" ht="15.75" customHeight="1" x14ac:dyDescent="0.3">
      <c r="A10" s="20" t="str">
        <f t="shared" si="0"/>
        <v/>
      </c>
      <c r="B10" s="779"/>
      <c r="C10" s="782"/>
      <c r="D10" s="757"/>
      <c r="E10" s="577"/>
      <c r="F10" s="237"/>
      <c r="G10" s="238"/>
      <c r="H10" s="239"/>
      <c r="I10" s="686"/>
      <c r="J10" s="241"/>
      <c r="K10" s="240"/>
      <c r="L10" s="241"/>
      <c r="M10" s="240"/>
      <c r="N10" s="241"/>
      <c r="O10" s="228"/>
      <c r="P10" s="229"/>
      <c r="Q10" s="228"/>
      <c r="R10" s="229"/>
      <c r="S10" s="667"/>
      <c r="T10" s="668"/>
      <c r="U10" s="667"/>
      <c r="V10" s="669"/>
      <c r="W10" s="205"/>
    </row>
    <row r="11" spans="1:28" ht="15.75" customHeight="1" x14ac:dyDescent="0.3">
      <c r="A11" s="20" t="str">
        <f t="shared" si="0"/>
        <v/>
      </c>
      <c r="B11" s="779"/>
      <c r="C11" s="782"/>
      <c r="D11" s="757"/>
      <c r="E11" s="723"/>
      <c r="F11" s="242"/>
      <c r="G11" s="243"/>
      <c r="H11" s="244"/>
      <c r="I11" s="687"/>
      <c r="J11" s="246"/>
      <c r="K11" s="245"/>
      <c r="L11" s="246"/>
      <c r="M11" s="245"/>
      <c r="N11" s="246"/>
      <c r="O11" s="230"/>
      <c r="P11" s="231"/>
      <c r="Q11" s="230"/>
      <c r="R11" s="231"/>
      <c r="S11" s="670"/>
      <c r="T11" s="671"/>
      <c r="U11" s="670"/>
      <c r="V11" s="672"/>
      <c r="W11" s="205"/>
    </row>
    <row r="12" spans="1:28" ht="15.6" x14ac:dyDescent="0.3">
      <c r="A12" s="20" t="str">
        <f t="shared" si="0"/>
        <v>S</v>
      </c>
      <c r="B12" s="780"/>
      <c r="C12" s="783"/>
      <c r="D12" s="309" t="s">
        <v>138</v>
      </c>
      <c r="E12" s="717"/>
      <c r="F12" s="16"/>
      <c r="G12" s="251">
        <f>SUM(G9:G11)</f>
        <v>0</v>
      </c>
      <c r="H12" s="119">
        <f>SUM(H9:H11)</f>
        <v>0</v>
      </c>
      <c r="I12" s="9" t="e">
        <f>J12/G12</f>
        <v>#DIV/0!</v>
      </c>
      <c r="J12" s="202">
        <f>SUM(J9:J11)</f>
        <v>0</v>
      </c>
      <c r="K12" s="9" t="e">
        <f>L12/G12</f>
        <v>#DIV/0!</v>
      </c>
      <c r="L12" s="202">
        <f>SUM(L9:L11)</f>
        <v>0</v>
      </c>
      <c r="M12" s="9" t="e">
        <f>N12/L12</f>
        <v>#DIV/0!</v>
      </c>
      <c r="N12" s="202">
        <f t="shared" ref="N12" si="3">SUM(N9:N11)</f>
        <v>0</v>
      </c>
      <c r="O12" s="118">
        <f t="shared" ref="O12" si="4">SUM(O9:O11)</f>
        <v>0</v>
      </c>
      <c r="P12" s="119">
        <f t="shared" ref="P12" si="5">SUM(P9:P11)</f>
        <v>0</v>
      </c>
      <c r="Q12" s="118">
        <f t="shared" ref="Q12" si="6">SUM(Q9:Q11)</f>
        <v>0</v>
      </c>
      <c r="R12" s="119">
        <f t="shared" ref="R12" si="7">SUM(R9:R11)</f>
        <v>0</v>
      </c>
      <c r="S12" s="118">
        <f t="shared" ref="S12" si="8">SUM(S9:S11)</f>
        <v>0</v>
      </c>
      <c r="T12" s="119">
        <f t="shared" ref="T12" si="9">SUM(T9:T11)</f>
        <v>0</v>
      </c>
      <c r="U12" s="118">
        <f t="shared" ref="U12" si="10">SUM(U9:U11)</f>
        <v>0</v>
      </c>
      <c r="V12" s="120">
        <f t="shared" ref="V12" si="11">SUM(V9:V11)</f>
        <v>0</v>
      </c>
      <c r="W12" s="205"/>
    </row>
    <row r="13" spans="1:28" ht="15" customHeight="1" x14ac:dyDescent="0.3">
      <c r="A13" s="20" t="str">
        <f t="shared" si="0"/>
        <v/>
      </c>
      <c r="B13" s="773" t="s">
        <v>168</v>
      </c>
      <c r="C13" s="775" t="s">
        <v>75</v>
      </c>
      <c r="D13" s="767"/>
      <c r="E13" s="719" t="s">
        <v>182</v>
      </c>
      <c r="F13" s="232" t="s">
        <v>60</v>
      </c>
      <c r="G13" s="702"/>
      <c r="H13" s="703"/>
      <c r="I13" s="411">
        <v>0.32258064516129031</v>
      </c>
      <c r="J13" s="704"/>
      <c r="K13" s="235">
        <v>0.32258064516129031</v>
      </c>
      <c r="L13" s="704"/>
      <c r="M13" s="235" t="s">
        <v>21</v>
      </c>
      <c r="N13" s="236" t="s">
        <v>21</v>
      </c>
      <c r="O13" s="226" t="s">
        <v>21</v>
      </c>
      <c r="P13" s="227" t="s">
        <v>21</v>
      </c>
      <c r="Q13" s="226" t="s">
        <v>21</v>
      </c>
      <c r="R13" s="227" t="s">
        <v>21</v>
      </c>
      <c r="S13" s="664"/>
      <c r="T13" s="665"/>
      <c r="U13" s="664"/>
      <c r="V13" s="666"/>
      <c r="W13" s="205"/>
      <c r="AB13" s="2" t="str">
        <f t="shared" si="1"/>
        <v/>
      </c>
    </row>
    <row r="14" spans="1:28" ht="15" customHeight="1" x14ac:dyDescent="0.3">
      <c r="A14" s="20" t="str">
        <f t="shared" si="0"/>
        <v/>
      </c>
      <c r="B14" s="773"/>
      <c r="C14" s="775"/>
      <c r="D14" s="767"/>
      <c r="E14" s="577" t="s">
        <v>183</v>
      </c>
      <c r="F14" s="237" t="s">
        <v>60</v>
      </c>
      <c r="G14" s="688"/>
      <c r="H14" s="689"/>
      <c r="I14" s="420">
        <v>0.48</v>
      </c>
      <c r="J14" s="690"/>
      <c r="K14" s="240">
        <v>0.36</v>
      </c>
      <c r="L14" s="690"/>
      <c r="M14" s="240" t="s">
        <v>21</v>
      </c>
      <c r="N14" s="241" t="s">
        <v>21</v>
      </c>
      <c r="O14" s="228" t="s">
        <v>21</v>
      </c>
      <c r="P14" s="229" t="s">
        <v>21</v>
      </c>
      <c r="Q14" s="228" t="s">
        <v>21</v>
      </c>
      <c r="R14" s="229" t="s">
        <v>21</v>
      </c>
      <c r="S14" s="667"/>
      <c r="T14" s="668"/>
      <c r="U14" s="667"/>
      <c r="V14" s="669"/>
      <c r="W14" s="205"/>
      <c r="AB14" s="2" t="str">
        <f t="shared" si="1"/>
        <v/>
      </c>
    </row>
    <row r="15" spans="1:28" ht="15" customHeight="1" x14ac:dyDescent="0.3">
      <c r="A15" s="20" t="str">
        <f t="shared" si="0"/>
        <v/>
      </c>
      <c r="B15" s="773"/>
      <c r="C15" s="775"/>
      <c r="D15" s="767"/>
      <c r="E15" s="577" t="s">
        <v>184</v>
      </c>
      <c r="F15" s="237" t="s">
        <v>60</v>
      </c>
      <c r="G15" s="688"/>
      <c r="H15" s="689"/>
      <c r="I15" s="420">
        <v>0.48</v>
      </c>
      <c r="J15" s="690"/>
      <c r="K15" s="240">
        <v>0.36</v>
      </c>
      <c r="L15" s="690"/>
      <c r="M15" s="240" t="s">
        <v>21</v>
      </c>
      <c r="N15" s="241" t="s">
        <v>21</v>
      </c>
      <c r="O15" s="228" t="s">
        <v>21</v>
      </c>
      <c r="P15" s="229" t="s">
        <v>21</v>
      </c>
      <c r="Q15" s="228" t="s">
        <v>21</v>
      </c>
      <c r="R15" s="229" t="s">
        <v>21</v>
      </c>
      <c r="S15" s="667"/>
      <c r="T15" s="668"/>
      <c r="U15" s="667"/>
      <c r="V15" s="669"/>
      <c r="W15" s="205"/>
      <c r="AB15" s="2" t="str">
        <f t="shared" si="1"/>
        <v/>
      </c>
    </row>
    <row r="16" spans="1:28" ht="15" customHeight="1" x14ac:dyDescent="0.3">
      <c r="A16" s="20" t="str">
        <f t="shared" si="0"/>
        <v/>
      </c>
      <c r="B16" s="773"/>
      <c r="C16" s="775"/>
      <c r="D16" s="767"/>
      <c r="E16" s="577" t="s">
        <v>185</v>
      </c>
      <c r="F16" s="237" t="s">
        <v>60</v>
      </c>
      <c r="G16" s="688"/>
      <c r="H16" s="689"/>
      <c r="I16" s="420">
        <v>0.48</v>
      </c>
      <c r="J16" s="690"/>
      <c r="K16" s="240">
        <v>0.36</v>
      </c>
      <c r="L16" s="690"/>
      <c r="M16" s="240" t="s">
        <v>21</v>
      </c>
      <c r="N16" s="241" t="s">
        <v>21</v>
      </c>
      <c r="O16" s="228" t="s">
        <v>21</v>
      </c>
      <c r="P16" s="229" t="s">
        <v>21</v>
      </c>
      <c r="Q16" s="228" t="s">
        <v>21</v>
      </c>
      <c r="R16" s="229" t="s">
        <v>21</v>
      </c>
      <c r="S16" s="667"/>
      <c r="T16" s="668"/>
      <c r="U16" s="667"/>
      <c r="V16" s="669"/>
      <c r="W16" s="205"/>
      <c r="AB16" s="2" t="str">
        <f t="shared" si="1"/>
        <v/>
      </c>
    </row>
    <row r="17" spans="1:28" ht="15" customHeight="1" x14ac:dyDescent="0.3">
      <c r="A17" s="20" t="str">
        <f t="shared" si="0"/>
        <v/>
      </c>
      <c r="B17" s="773"/>
      <c r="C17" s="775"/>
      <c r="D17" s="767"/>
      <c r="E17" s="577" t="s">
        <v>186</v>
      </c>
      <c r="F17" s="237" t="s">
        <v>60</v>
      </c>
      <c r="G17" s="688"/>
      <c r="H17" s="689"/>
      <c r="I17" s="420">
        <v>0.48</v>
      </c>
      <c r="J17" s="690"/>
      <c r="K17" s="240">
        <v>0.36</v>
      </c>
      <c r="L17" s="690"/>
      <c r="M17" s="240" t="s">
        <v>21</v>
      </c>
      <c r="N17" s="241" t="s">
        <v>21</v>
      </c>
      <c r="O17" s="228" t="s">
        <v>21</v>
      </c>
      <c r="P17" s="229" t="s">
        <v>21</v>
      </c>
      <c r="Q17" s="228" t="s">
        <v>21</v>
      </c>
      <c r="R17" s="229" t="s">
        <v>21</v>
      </c>
      <c r="S17" s="667"/>
      <c r="T17" s="668"/>
      <c r="U17" s="667"/>
      <c r="V17" s="669"/>
      <c r="W17" s="205"/>
      <c r="AB17" s="2" t="str">
        <f t="shared" si="1"/>
        <v/>
      </c>
    </row>
    <row r="18" spans="1:28" ht="15" customHeight="1" x14ac:dyDescent="0.3">
      <c r="A18" s="20" t="str">
        <f t="shared" si="0"/>
        <v/>
      </c>
      <c r="B18" s="773"/>
      <c r="C18" s="775"/>
      <c r="D18" s="767"/>
      <c r="E18" s="577" t="s">
        <v>187</v>
      </c>
      <c r="F18" s="237" t="s">
        <v>62</v>
      </c>
      <c r="G18" s="688"/>
      <c r="H18" s="689"/>
      <c r="I18" s="420">
        <v>0.48</v>
      </c>
      <c r="J18" s="690"/>
      <c r="K18" s="240">
        <v>0.36</v>
      </c>
      <c r="L18" s="690"/>
      <c r="M18" s="240" t="s">
        <v>21</v>
      </c>
      <c r="N18" s="241" t="s">
        <v>21</v>
      </c>
      <c r="O18" s="228" t="s">
        <v>21</v>
      </c>
      <c r="P18" s="229" t="s">
        <v>21</v>
      </c>
      <c r="Q18" s="228" t="s">
        <v>21</v>
      </c>
      <c r="R18" s="229" t="s">
        <v>21</v>
      </c>
      <c r="S18" s="667"/>
      <c r="T18" s="668"/>
      <c r="U18" s="667"/>
      <c r="V18" s="669"/>
      <c r="W18" s="205"/>
      <c r="AB18" s="2" t="str">
        <f t="shared" si="1"/>
        <v/>
      </c>
    </row>
    <row r="19" spans="1:28" ht="15" customHeight="1" x14ac:dyDescent="0.3">
      <c r="A19" s="20" t="str">
        <f t="shared" si="0"/>
        <v/>
      </c>
      <c r="B19" s="773"/>
      <c r="C19" s="775"/>
      <c r="D19" s="767"/>
      <c r="E19" s="577" t="s">
        <v>188</v>
      </c>
      <c r="F19" s="237" t="s">
        <v>60</v>
      </c>
      <c r="G19" s="688"/>
      <c r="H19" s="689"/>
      <c r="I19" s="420">
        <v>0.48</v>
      </c>
      <c r="J19" s="690"/>
      <c r="K19" s="240">
        <v>0.36</v>
      </c>
      <c r="L19" s="690"/>
      <c r="M19" s="240" t="s">
        <v>21</v>
      </c>
      <c r="N19" s="241" t="s">
        <v>21</v>
      </c>
      <c r="O19" s="228" t="s">
        <v>21</v>
      </c>
      <c r="P19" s="229" t="s">
        <v>21</v>
      </c>
      <c r="Q19" s="228" t="s">
        <v>21</v>
      </c>
      <c r="R19" s="229" t="s">
        <v>21</v>
      </c>
      <c r="S19" s="667"/>
      <c r="T19" s="668"/>
      <c r="U19" s="667"/>
      <c r="V19" s="669"/>
      <c r="W19" s="205"/>
      <c r="AB19" s="2" t="str">
        <f t="shared" si="1"/>
        <v/>
      </c>
    </row>
    <row r="20" spans="1:28" ht="15" customHeight="1" x14ac:dyDescent="0.3">
      <c r="A20" s="20" t="str">
        <f t="shared" si="0"/>
        <v/>
      </c>
      <c r="B20" s="773"/>
      <c r="C20" s="775"/>
      <c r="D20" s="767"/>
      <c r="E20" s="577" t="s">
        <v>189</v>
      </c>
      <c r="F20" s="237" t="s">
        <v>60</v>
      </c>
      <c r="G20" s="688"/>
      <c r="H20" s="689"/>
      <c r="I20" s="420">
        <v>0.48</v>
      </c>
      <c r="J20" s="690"/>
      <c r="K20" s="240">
        <v>0.36</v>
      </c>
      <c r="L20" s="690"/>
      <c r="M20" s="240" t="s">
        <v>21</v>
      </c>
      <c r="N20" s="241" t="s">
        <v>21</v>
      </c>
      <c r="O20" s="228" t="s">
        <v>21</v>
      </c>
      <c r="P20" s="229" t="s">
        <v>21</v>
      </c>
      <c r="Q20" s="228" t="s">
        <v>21</v>
      </c>
      <c r="R20" s="229" t="s">
        <v>21</v>
      </c>
      <c r="S20" s="667"/>
      <c r="T20" s="668"/>
      <c r="U20" s="667"/>
      <c r="V20" s="669"/>
      <c r="W20" s="205"/>
      <c r="AB20" s="2" t="str">
        <f t="shared" si="1"/>
        <v/>
      </c>
    </row>
    <row r="21" spans="1:28" ht="15" customHeight="1" x14ac:dyDescent="0.3">
      <c r="A21" s="20" t="str">
        <f t="shared" si="0"/>
        <v/>
      </c>
      <c r="B21" s="773"/>
      <c r="C21" s="775"/>
      <c r="D21" s="767"/>
      <c r="E21" s="577" t="s">
        <v>190</v>
      </c>
      <c r="F21" s="237" t="s">
        <v>60</v>
      </c>
      <c r="G21" s="688"/>
      <c r="H21" s="689"/>
      <c r="I21" s="420">
        <v>0.48</v>
      </c>
      <c r="J21" s="690"/>
      <c r="K21" s="240">
        <v>0.36</v>
      </c>
      <c r="L21" s="690"/>
      <c r="M21" s="240" t="s">
        <v>21</v>
      </c>
      <c r="N21" s="241" t="s">
        <v>21</v>
      </c>
      <c r="O21" s="228" t="s">
        <v>21</v>
      </c>
      <c r="P21" s="229" t="s">
        <v>21</v>
      </c>
      <c r="Q21" s="228" t="s">
        <v>21</v>
      </c>
      <c r="R21" s="229" t="s">
        <v>21</v>
      </c>
      <c r="S21" s="667"/>
      <c r="T21" s="668"/>
      <c r="U21" s="667"/>
      <c r="V21" s="669"/>
      <c r="W21" s="205"/>
      <c r="AB21" s="2" t="str">
        <f t="shared" si="1"/>
        <v/>
      </c>
    </row>
    <row r="22" spans="1:28" ht="15" customHeight="1" x14ac:dyDescent="0.3">
      <c r="A22" s="20" t="str">
        <f t="shared" si="0"/>
        <v/>
      </c>
      <c r="B22" s="773"/>
      <c r="C22" s="775"/>
      <c r="D22" s="767"/>
      <c r="E22" s="577" t="s">
        <v>191</v>
      </c>
      <c r="F22" s="237" t="s">
        <v>60</v>
      </c>
      <c r="G22" s="688"/>
      <c r="H22" s="689"/>
      <c r="I22" s="420">
        <v>0.48</v>
      </c>
      <c r="J22" s="690"/>
      <c r="K22" s="240">
        <v>0.36</v>
      </c>
      <c r="L22" s="690"/>
      <c r="M22" s="240" t="s">
        <v>21</v>
      </c>
      <c r="N22" s="241" t="s">
        <v>21</v>
      </c>
      <c r="O22" s="228" t="s">
        <v>21</v>
      </c>
      <c r="P22" s="229" t="s">
        <v>21</v>
      </c>
      <c r="Q22" s="228" t="s">
        <v>21</v>
      </c>
      <c r="R22" s="229" t="s">
        <v>21</v>
      </c>
      <c r="S22" s="667"/>
      <c r="T22" s="668"/>
      <c r="U22" s="667"/>
      <c r="V22" s="669"/>
      <c r="W22" s="205"/>
      <c r="AB22" s="2" t="str">
        <f t="shared" si="1"/>
        <v/>
      </c>
    </row>
    <row r="23" spans="1:28" ht="15" customHeight="1" x14ac:dyDescent="0.3">
      <c r="A23" s="20" t="str">
        <f t="shared" si="0"/>
        <v/>
      </c>
      <c r="B23" s="773"/>
      <c r="C23" s="775"/>
      <c r="D23" s="767"/>
      <c r="E23" s="577" t="s">
        <v>192</v>
      </c>
      <c r="F23" s="237" t="s">
        <v>60</v>
      </c>
      <c r="G23" s="688"/>
      <c r="H23" s="689"/>
      <c r="I23" s="420">
        <v>0.48</v>
      </c>
      <c r="J23" s="690"/>
      <c r="K23" s="240">
        <v>0.36</v>
      </c>
      <c r="L23" s="690"/>
      <c r="M23" s="240" t="s">
        <v>21</v>
      </c>
      <c r="N23" s="241" t="s">
        <v>21</v>
      </c>
      <c r="O23" s="228" t="s">
        <v>21</v>
      </c>
      <c r="P23" s="229" t="s">
        <v>21</v>
      </c>
      <c r="Q23" s="228" t="s">
        <v>21</v>
      </c>
      <c r="R23" s="229" t="s">
        <v>21</v>
      </c>
      <c r="S23" s="667"/>
      <c r="T23" s="668"/>
      <c r="U23" s="667"/>
      <c r="V23" s="669"/>
      <c r="W23" s="205"/>
      <c r="AB23" s="2" t="str">
        <f t="shared" si="1"/>
        <v/>
      </c>
    </row>
    <row r="24" spans="1:28" ht="15" customHeight="1" x14ac:dyDescent="0.3">
      <c r="A24" s="20" t="str">
        <f t="shared" si="0"/>
        <v/>
      </c>
      <c r="B24" s="773"/>
      <c r="C24" s="775"/>
      <c r="D24" s="767"/>
      <c r="E24" s="577" t="s">
        <v>193</v>
      </c>
      <c r="F24" s="237" t="s">
        <v>60</v>
      </c>
      <c r="G24" s="688"/>
      <c r="H24" s="689"/>
      <c r="I24" s="420">
        <v>0.48</v>
      </c>
      <c r="J24" s="690"/>
      <c r="K24" s="240">
        <v>0.36</v>
      </c>
      <c r="L24" s="690"/>
      <c r="M24" s="240" t="s">
        <v>21</v>
      </c>
      <c r="N24" s="241" t="s">
        <v>21</v>
      </c>
      <c r="O24" s="228" t="s">
        <v>21</v>
      </c>
      <c r="P24" s="229" t="s">
        <v>21</v>
      </c>
      <c r="Q24" s="228" t="s">
        <v>21</v>
      </c>
      <c r="R24" s="229" t="s">
        <v>21</v>
      </c>
      <c r="S24" s="667"/>
      <c r="T24" s="668"/>
      <c r="U24" s="667"/>
      <c r="V24" s="669"/>
      <c r="W24" s="205"/>
      <c r="AB24" s="2" t="str">
        <f t="shared" si="1"/>
        <v/>
      </c>
    </row>
    <row r="25" spans="1:28" ht="15" customHeight="1" x14ac:dyDescent="0.3">
      <c r="A25" s="20" t="str">
        <f t="shared" si="0"/>
        <v/>
      </c>
      <c r="B25" s="773"/>
      <c r="C25" s="775"/>
      <c r="D25" s="767"/>
      <c r="E25" s="577" t="s">
        <v>194</v>
      </c>
      <c r="F25" s="237" t="s">
        <v>60</v>
      </c>
      <c r="G25" s="688"/>
      <c r="H25" s="689"/>
      <c r="I25" s="420">
        <v>0.48</v>
      </c>
      <c r="J25" s="690"/>
      <c r="K25" s="240">
        <v>0.36</v>
      </c>
      <c r="L25" s="690"/>
      <c r="M25" s="240" t="s">
        <v>21</v>
      </c>
      <c r="N25" s="241" t="s">
        <v>21</v>
      </c>
      <c r="O25" s="228" t="s">
        <v>21</v>
      </c>
      <c r="P25" s="229" t="s">
        <v>21</v>
      </c>
      <c r="Q25" s="228" t="s">
        <v>21</v>
      </c>
      <c r="R25" s="229" t="s">
        <v>21</v>
      </c>
      <c r="S25" s="667"/>
      <c r="T25" s="668"/>
      <c r="U25" s="667"/>
      <c r="V25" s="669"/>
      <c r="W25" s="205"/>
      <c r="AB25" s="2" t="str">
        <f t="shared" si="1"/>
        <v/>
      </c>
    </row>
    <row r="26" spans="1:28" ht="15" customHeight="1" x14ac:dyDescent="0.3">
      <c r="A26" s="20" t="str">
        <f t="shared" si="0"/>
        <v/>
      </c>
      <c r="B26" s="773"/>
      <c r="C26" s="775"/>
      <c r="D26" s="767"/>
      <c r="E26" s="577" t="s">
        <v>195</v>
      </c>
      <c r="F26" s="237" t="s">
        <v>60</v>
      </c>
      <c r="G26" s="688"/>
      <c r="H26" s="689"/>
      <c r="I26" s="420">
        <v>0.48</v>
      </c>
      <c r="J26" s="690"/>
      <c r="K26" s="240">
        <v>0.36</v>
      </c>
      <c r="L26" s="690"/>
      <c r="M26" s="240" t="s">
        <v>21</v>
      </c>
      <c r="N26" s="241" t="s">
        <v>21</v>
      </c>
      <c r="O26" s="228" t="s">
        <v>21</v>
      </c>
      <c r="P26" s="229" t="s">
        <v>21</v>
      </c>
      <c r="Q26" s="228" t="s">
        <v>21</v>
      </c>
      <c r="R26" s="229" t="s">
        <v>21</v>
      </c>
      <c r="S26" s="667"/>
      <c r="T26" s="668"/>
      <c r="U26" s="667"/>
      <c r="V26" s="669"/>
      <c r="W26" s="205"/>
      <c r="AB26" s="2" t="str">
        <f t="shared" si="1"/>
        <v/>
      </c>
    </row>
    <row r="27" spans="1:28" ht="15" customHeight="1" x14ac:dyDescent="0.3">
      <c r="A27" s="20" t="str">
        <f t="shared" si="0"/>
        <v/>
      </c>
      <c r="B27" s="773"/>
      <c r="C27" s="775"/>
      <c r="D27" s="767"/>
      <c r="E27" s="577" t="s">
        <v>196</v>
      </c>
      <c r="F27" s="237" t="s">
        <v>60</v>
      </c>
      <c r="G27" s="688"/>
      <c r="H27" s="689"/>
      <c r="I27" s="420">
        <v>0.48</v>
      </c>
      <c r="J27" s="690"/>
      <c r="K27" s="240">
        <v>0.36</v>
      </c>
      <c r="L27" s="690"/>
      <c r="M27" s="240" t="s">
        <v>21</v>
      </c>
      <c r="N27" s="241" t="s">
        <v>21</v>
      </c>
      <c r="O27" s="228" t="s">
        <v>21</v>
      </c>
      <c r="P27" s="229" t="s">
        <v>21</v>
      </c>
      <c r="Q27" s="228" t="s">
        <v>21</v>
      </c>
      <c r="R27" s="229" t="s">
        <v>21</v>
      </c>
      <c r="S27" s="667"/>
      <c r="T27" s="668"/>
      <c r="U27" s="667"/>
      <c r="V27" s="669"/>
      <c r="W27" s="205"/>
      <c r="AB27" s="2" t="str">
        <f t="shared" si="1"/>
        <v/>
      </c>
    </row>
    <row r="28" spans="1:28" ht="15" customHeight="1" x14ac:dyDescent="0.3">
      <c r="A28" s="20" t="str">
        <f t="shared" si="0"/>
        <v/>
      </c>
      <c r="B28" s="773"/>
      <c r="C28" s="775"/>
      <c r="D28" s="767"/>
      <c r="E28" s="577" t="s">
        <v>197</v>
      </c>
      <c r="F28" s="237" t="s">
        <v>62</v>
      </c>
      <c r="G28" s="238"/>
      <c r="H28" s="239"/>
      <c r="I28" s="420">
        <v>0.5</v>
      </c>
      <c r="J28" s="241"/>
      <c r="K28" s="240">
        <v>0</v>
      </c>
      <c r="L28" s="241"/>
      <c r="M28" s="240" t="s">
        <v>21</v>
      </c>
      <c r="N28" s="241" t="s">
        <v>21</v>
      </c>
      <c r="O28" s="228" t="s">
        <v>21</v>
      </c>
      <c r="P28" s="229" t="s">
        <v>21</v>
      </c>
      <c r="Q28" s="228" t="s">
        <v>21</v>
      </c>
      <c r="R28" s="229" t="s">
        <v>21</v>
      </c>
      <c r="S28" s="667"/>
      <c r="T28" s="668"/>
      <c r="U28" s="667"/>
      <c r="V28" s="669"/>
      <c r="W28" s="205"/>
      <c r="AB28" s="2" t="str">
        <f t="shared" si="1"/>
        <v/>
      </c>
    </row>
    <row r="29" spans="1:28" ht="15" customHeight="1" x14ac:dyDescent="0.3">
      <c r="A29" s="20" t="str">
        <f t="shared" si="0"/>
        <v/>
      </c>
      <c r="B29" s="773"/>
      <c r="C29" s="775"/>
      <c r="D29" s="767"/>
      <c r="E29" s="727" t="s">
        <v>166</v>
      </c>
      <c r="F29" s="237"/>
      <c r="G29" s="238"/>
      <c r="H29" s="239"/>
      <c r="I29" s="686"/>
      <c r="J29" s="241"/>
      <c r="K29" s="240"/>
      <c r="L29" s="241"/>
      <c r="M29" s="240"/>
      <c r="N29" s="241"/>
      <c r="O29" s="228"/>
      <c r="P29" s="229"/>
      <c r="Q29" s="228"/>
      <c r="R29" s="229"/>
      <c r="S29" s="667"/>
      <c r="T29" s="668"/>
      <c r="U29" s="667"/>
      <c r="V29" s="669"/>
      <c r="W29" s="205"/>
    </row>
    <row r="30" spans="1:28" ht="15" customHeight="1" x14ac:dyDescent="0.3">
      <c r="A30" s="20" t="str">
        <f t="shared" si="0"/>
        <v/>
      </c>
      <c r="B30" s="773"/>
      <c r="C30" s="775"/>
      <c r="D30" s="767"/>
      <c r="E30" s="727" t="s">
        <v>166</v>
      </c>
      <c r="F30" s="237"/>
      <c r="G30" s="238"/>
      <c r="H30" s="239"/>
      <c r="I30" s="686"/>
      <c r="J30" s="241"/>
      <c r="K30" s="240"/>
      <c r="L30" s="241"/>
      <c r="M30" s="240"/>
      <c r="N30" s="241"/>
      <c r="O30" s="228"/>
      <c r="P30" s="229"/>
      <c r="Q30" s="228"/>
      <c r="R30" s="229"/>
      <c r="S30" s="667"/>
      <c r="T30" s="668"/>
      <c r="U30" s="667"/>
      <c r="V30" s="669"/>
      <c r="W30" s="205"/>
    </row>
    <row r="31" spans="1:28" ht="15" customHeight="1" x14ac:dyDescent="0.3">
      <c r="A31" s="20" t="str">
        <f t="shared" si="0"/>
        <v/>
      </c>
      <c r="B31" s="773"/>
      <c r="C31" s="775"/>
      <c r="D31" s="767"/>
      <c r="E31" s="727" t="s">
        <v>166</v>
      </c>
      <c r="F31" s="237"/>
      <c r="G31" s="238"/>
      <c r="H31" s="239"/>
      <c r="I31" s="686"/>
      <c r="J31" s="241"/>
      <c r="K31" s="240"/>
      <c r="L31" s="241"/>
      <c r="M31" s="240"/>
      <c r="N31" s="241"/>
      <c r="O31" s="228"/>
      <c r="P31" s="229"/>
      <c r="Q31" s="228"/>
      <c r="R31" s="229"/>
      <c r="S31" s="667"/>
      <c r="T31" s="668"/>
      <c r="U31" s="667"/>
      <c r="V31" s="669"/>
      <c r="W31" s="205"/>
    </row>
    <row r="32" spans="1:28" ht="15" customHeight="1" x14ac:dyDescent="0.3">
      <c r="A32" s="20" t="str">
        <f t="shared" si="0"/>
        <v/>
      </c>
      <c r="B32" s="773"/>
      <c r="C32" s="775"/>
      <c r="D32" s="767"/>
      <c r="E32" s="727" t="s">
        <v>166</v>
      </c>
      <c r="F32" s="237"/>
      <c r="G32" s="238"/>
      <c r="H32" s="239"/>
      <c r="I32" s="686"/>
      <c r="J32" s="241"/>
      <c r="K32" s="240"/>
      <c r="L32" s="241"/>
      <c r="M32" s="240"/>
      <c r="N32" s="241"/>
      <c r="O32" s="228"/>
      <c r="P32" s="229"/>
      <c r="Q32" s="228"/>
      <c r="R32" s="229"/>
      <c r="S32" s="667"/>
      <c r="T32" s="668"/>
      <c r="U32" s="667"/>
      <c r="V32" s="669"/>
      <c r="W32" s="205"/>
    </row>
    <row r="33" spans="1:28" ht="15" customHeight="1" x14ac:dyDescent="0.3">
      <c r="A33" s="20" t="str">
        <f t="shared" si="0"/>
        <v/>
      </c>
      <c r="B33" s="773"/>
      <c r="C33" s="775"/>
      <c r="D33" s="767"/>
      <c r="E33" s="728" t="s">
        <v>166</v>
      </c>
      <c r="F33" s="242"/>
      <c r="G33" s="243"/>
      <c r="H33" s="244"/>
      <c r="I33" s="687"/>
      <c r="J33" s="246"/>
      <c r="K33" s="245"/>
      <c r="L33" s="246"/>
      <c r="M33" s="245"/>
      <c r="N33" s="246"/>
      <c r="O33" s="230"/>
      <c r="P33" s="231"/>
      <c r="Q33" s="230"/>
      <c r="R33" s="231"/>
      <c r="S33" s="670"/>
      <c r="T33" s="671"/>
      <c r="U33" s="670"/>
      <c r="V33" s="672"/>
      <c r="W33" s="205"/>
    </row>
    <row r="34" spans="1:28" ht="15.6" x14ac:dyDescent="0.3">
      <c r="A34" s="20" t="str">
        <f t="shared" si="0"/>
        <v>S</v>
      </c>
      <c r="B34" s="773"/>
      <c r="C34" s="776"/>
      <c r="D34" s="309" t="s">
        <v>138</v>
      </c>
      <c r="E34" s="717"/>
      <c r="F34" s="16"/>
      <c r="G34" s="7">
        <f>SUM(G13:G33)</f>
        <v>0</v>
      </c>
      <c r="H34" s="8">
        <f>SUM(H13:H33)</f>
        <v>0</v>
      </c>
      <c r="I34" s="9" t="e">
        <f>J34/G34</f>
        <v>#DIV/0!</v>
      </c>
      <c r="J34" s="202">
        <f>SUM(J13:J33)</f>
        <v>0</v>
      </c>
      <c r="K34" s="9" t="e">
        <f>L34/G34</f>
        <v>#DIV/0!</v>
      </c>
      <c r="L34" s="202">
        <f>SUM(L13:L33)</f>
        <v>0</v>
      </c>
      <c r="M34" s="9" t="e">
        <f>N34/L34</f>
        <v>#DIV/0!</v>
      </c>
      <c r="N34" s="202">
        <f t="shared" ref="N34:V34" si="12">SUM(N13:N33)</f>
        <v>0</v>
      </c>
      <c r="O34" s="118">
        <f t="shared" si="12"/>
        <v>0</v>
      </c>
      <c r="P34" s="119">
        <f t="shared" si="12"/>
        <v>0</v>
      </c>
      <c r="Q34" s="118">
        <f t="shared" si="12"/>
        <v>0</v>
      </c>
      <c r="R34" s="119">
        <f t="shared" si="12"/>
        <v>0</v>
      </c>
      <c r="S34" s="118">
        <f t="shared" si="12"/>
        <v>0</v>
      </c>
      <c r="T34" s="119">
        <f t="shared" si="12"/>
        <v>0</v>
      </c>
      <c r="U34" s="118">
        <f t="shared" si="12"/>
        <v>0</v>
      </c>
      <c r="V34" s="120">
        <f t="shared" si="12"/>
        <v>0</v>
      </c>
      <c r="W34" s="205"/>
      <c r="AB34" s="2" t="str">
        <f t="shared" si="1"/>
        <v/>
      </c>
    </row>
    <row r="35" spans="1:28" ht="15" customHeight="1" x14ac:dyDescent="0.3">
      <c r="A35" s="20" t="str">
        <f t="shared" si="0"/>
        <v>X</v>
      </c>
      <c r="B35" s="773" t="s">
        <v>20</v>
      </c>
      <c r="C35" s="775" t="s">
        <v>75</v>
      </c>
      <c r="D35" s="767">
        <v>8</v>
      </c>
      <c r="E35" s="719" t="s">
        <v>13</v>
      </c>
      <c r="F35" s="232" t="s">
        <v>60</v>
      </c>
      <c r="G35" s="702">
        <v>31</v>
      </c>
      <c r="H35" s="703">
        <v>23</v>
      </c>
      <c r="I35" s="411">
        <v>0.32258064516129031</v>
      </c>
      <c r="J35" s="704">
        <f t="shared" ref="J35:J153" si="13">I35*G35</f>
        <v>10</v>
      </c>
      <c r="K35" s="235">
        <v>0.32258064516129031</v>
      </c>
      <c r="L35" s="704">
        <f t="shared" ref="L35:L153" si="14">K35*G35</f>
        <v>10</v>
      </c>
      <c r="M35" s="235" t="s">
        <v>21</v>
      </c>
      <c r="N35" s="236" t="s">
        <v>21</v>
      </c>
      <c r="O35" s="226" t="s">
        <v>21</v>
      </c>
      <c r="P35" s="227" t="s">
        <v>21</v>
      </c>
      <c r="Q35" s="226" t="s">
        <v>21</v>
      </c>
      <c r="R35" s="227" t="s">
        <v>21</v>
      </c>
      <c r="S35" s="664"/>
      <c r="T35" s="665"/>
      <c r="U35" s="664"/>
      <c r="V35" s="666"/>
      <c r="W35" s="205"/>
      <c r="AB35" s="2" t="str">
        <f t="shared" si="1"/>
        <v>France</v>
      </c>
    </row>
    <row r="36" spans="1:28" ht="15" customHeight="1" x14ac:dyDescent="0.3">
      <c r="A36" s="20" t="str">
        <f t="shared" si="0"/>
        <v>X</v>
      </c>
      <c r="B36" s="773"/>
      <c r="C36" s="775"/>
      <c r="D36" s="767"/>
      <c r="E36" s="577" t="s">
        <v>14</v>
      </c>
      <c r="F36" s="237" t="s">
        <v>60</v>
      </c>
      <c r="G36" s="688">
        <v>25</v>
      </c>
      <c r="H36" s="689">
        <v>13</v>
      </c>
      <c r="I36" s="420">
        <v>0.48</v>
      </c>
      <c r="J36" s="690">
        <f t="shared" si="13"/>
        <v>12</v>
      </c>
      <c r="K36" s="240">
        <v>0.36</v>
      </c>
      <c r="L36" s="690">
        <f t="shared" si="14"/>
        <v>9</v>
      </c>
      <c r="M36" s="240" t="s">
        <v>21</v>
      </c>
      <c r="N36" s="241" t="s">
        <v>21</v>
      </c>
      <c r="O36" s="228" t="s">
        <v>21</v>
      </c>
      <c r="P36" s="229" t="s">
        <v>21</v>
      </c>
      <c r="Q36" s="228" t="s">
        <v>21</v>
      </c>
      <c r="R36" s="229" t="s">
        <v>21</v>
      </c>
      <c r="S36" s="667"/>
      <c r="T36" s="668"/>
      <c r="U36" s="667"/>
      <c r="V36" s="669"/>
      <c r="W36" s="205"/>
      <c r="AB36" s="2" t="str">
        <f t="shared" si="1"/>
        <v>France</v>
      </c>
    </row>
    <row r="37" spans="1:28" ht="15" customHeight="1" x14ac:dyDescent="0.3">
      <c r="A37" s="20" t="str">
        <f t="shared" si="0"/>
        <v>X</v>
      </c>
      <c r="B37" s="773"/>
      <c r="C37" s="775"/>
      <c r="D37" s="767"/>
      <c r="E37" s="577" t="s">
        <v>15</v>
      </c>
      <c r="F37" s="237" t="s">
        <v>60</v>
      </c>
      <c r="G37" s="688">
        <v>18</v>
      </c>
      <c r="H37" s="689">
        <v>10</v>
      </c>
      <c r="I37" s="420">
        <v>0.5</v>
      </c>
      <c r="J37" s="690">
        <f t="shared" si="13"/>
        <v>9</v>
      </c>
      <c r="K37" s="240">
        <v>0.16666666666666666</v>
      </c>
      <c r="L37" s="690">
        <f t="shared" si="14"/>
        <v>3</v>
      </c>
      <c r="M37" s="240" t="s">
        <v>21</v>
      </c>
      <c r="N37" s="241" t="s">
        <v>21</v>
      </c>
      <c r="O37" s="228" t="s">
        <v>21</v>
      </c>
      <c r="P37" s="229" t="s">
        <v>21</v>
      </c>
      <c r="Q37" s="228" t="s">
        <v>21</v>
      </c>
      <c r="R37" s="229" t="s">
        <v>21</v>
      </c>
      <c r="S37" s="667"/>
      <c r="T37" s="668"/>
      <c r="U37" s="667"/>
      <c r="V37" s="669"/>
      <c r="W37" s="205"/>
      <c r="AB37" s="2" t="str">
        <f t="shared" si="1"/>
        <v>France</v>
      </c>
    </row>
    <row r="38" spans="1:28" ht="15" customHeight="1" x14ac:dyDescent="0.3">
      <c r="A38" s="20" t="str">
        <f t="shared" si="0"/>
        <v/>
      </c>
      <c r="B38" s="773"/>
      <c r="C38" s="775"/>
      <c r="D38" s="767"/>
      <c r="E38" s="577" t="s">
        <v>141</v>
      </c>
      <c r="F38" s="237" t="s">
        <v>60</v>
      </c>
      <c r="G38" s="688"/>
      <c r="H38" s="689"/>
      <c r="I38" s="420">
        <v>0.5</v>
      </c>
      <c r="J38" s="690"/>
      <c r="K38" s="240">
        <v>0.16666666666666666</v>
      </c>
      <c r="L38" s="690"/>
      <c r="M38" s="240" t="s">
        <v>21</v>
      </c>
      <c r="N38" s="241" t="s">
        <v>21</v>
      </c>
      <c r="O38" s="228" t="s">
        <v>21</v>
      </c>
      <c r="P38" s="229" t="s">
        <v>21</v>
      </c>
      <c r="Q38" s="228" t="s">
        <v>21</v>
      </c>
      <c r="R38" s="229" t="s">
        <v>21</v>
      </c>
      <c r="S38" s="667"/>
      <c r="T38" s="668"/>
      <c r="U38" s="667"/>
      <c r="V38" s="669"/>
      <c r="W38" s="205"/>
      <c r="AB38" s="2" t="str">
        <f t="shared" si="1"/>
        <v/>
      </c>
    </row>
    <row r="39" spans="1:28" ht="15" customHeight="1" x14ac:dyDescent="0.3">
      <c r="A39" s="20" t="str">
        <f t="shared" si="0"/>
        <v>X</v>
      </c>
      <c r="B39" s="773"/>
      <c r="C39" s="775"/>
      <c r="D39" s="767"/>
      <c r="E39" s="577" t="s">
        <v>16</v>
      </c>
      <c r="F39" s="237" t="s">
        <v>60</v>
      </c>
      <c r="G39" s="688">
        <v>14</v>
      </c>
      <c r="H39" s="689">
        <v>9</v>
      </c>
      <c r="I39" s="420">
        <v>7.1428571428571425E-2</v>
      </c>
      <c r="J39" s="690">
        <f t="shared" si="13"/>
        <v>1</v>
      </c>
      <c r="K39" s="240">
        <v>7.1428571428571425E-2</v>
      </c>
      <c r="L39" s="690">
        <f t="shared" si="14"/>
        <v>1</v>
      </c>
      <c r="M39" s="240" t="s">
        <v>21</v>
      </c>
      <c r="N39" s="241" t="s">
        <v>21</v>
      </c>
      <c r="O39" s="228" t="s">
        <v>21</v>
      </c>
      <c r="P39" s="229" t="s">
        <v>21</v>
      </c>
      <c r="Q39" s="228" t="s">
        <v>21</v>
      </c>
      <c r="R39" s="229" t="s">
        <v>21</v>
      </c>
      <c r="S39" s="667"/>
      <c r="T39" s="668"/>
      <c r="U39" s="667"/>
      <c r="V39" s="669"/>
      <c r="W39" s="205"/>
      <c r="AB39" s="2" t="str">
        <f t="shared" si="1"/>
        <v>France</v>
      </c>
    </row>
    <row r="40" spans="1:28" ht="15" customHeight="1" x14ac:dyDescent="0.3">
      <c r="A40" s="20" t="str">
        <f t="shared" si="0"/>
        <v>X</v>
      </c>
      <c r="B40" s="773"/>
      <c r="C40" s="775"/>
      <c r="D40" s="767"/>
      <c r="E40" s="577" t="s">
        <v>17</v>
      </c>
      <c r="F40" s="237" t="s">
        <v>60</v>
      </c>
      <c r="G40" s="688">
        <v>24</v>
      </c>
      <c r="H40" s="689">
        <v>16</v>
      </c>
      <c r="I40" s="420">
        <v>4.1666666666666664E-2</v>
      </c>
      <c r="J40" s="690">
        <f t="shared" si="13"/>
        <v>1</v>
      </c>
      <c r="K40" s="240">
        <v>0.20833333333333334</v>
      </c>
      <c r="L40" s="690">
        <f t="shared" si="14"/>
        <v>5</v>
      </c>
      <c r="M40" s="240" t="s">
        <v>21</v>
      </c>
      <c r="N40" s="241" t="s">
        <v>21</v>
      </c>
      <c r="O40" s="228" t="s">
        <v>21</v>
      </c>
      <c r="P40" s="229" t="s">
        <v>21</v>
      </c>
      <c r="Q40" s="228" t="s">
        <v>21</v>
      </c>
      <c r="R40" s="229" t="s">
        <v>21</v>
      </c>
      <c r="S40" s="667"/>
      <c r="T40" s="668"/>
      <c r="U40" s="667"/>
      <c r="V40" s="669"/>
      <c r="W40" s="205"/>
      <c r="AB40" s="2" t="str">
        <f t="shared" si="1"/>
        <v>France</v>
      </c>
    </row>
    <row r="41" spans="1:28" ht="15" customHeight="1" x14ac:dyDescent="0.3">
      <c r="A41" s="20" t="str">
        <f t="shared" si="0"/>
        <v>X</v>
      </c>
      <c r="B41" s="773"/>
      <c r="C41" s="775"/>
      <c r="D41" s="767"/>
      <c r="E41" s="577" t="s">
        <v>18</v>
      </c>
      <c r="F41" s="237" t="s">
        <v>60</v>
      </c>
      <c r="G41" s="688">
        <v>29</v>
      </c>
      <c r="H41" s="689">
        <v>21</v>
      </c>
      <c r="I41" s="420">
        <v>0</v>
      </c>
      <c r="J41" s="690">
        <f t="shared" si="13"/>
        <v>0</v>
      </c>
      <c r="K41" s="240">
        <v>0.41379310344827586</v>
      </c>
      <c r="L41" s="690">
        <f t="shared" si="14"/>
        <v>12</v>
      </c>
      <c r="M41" s="240" t="s">
        <v>21</v>
      </c>
      <c r="N41" s="241" t="s">
        <v>21</v>
      </c>
      <c r="O41" s="228" t="s">
        <v>21</v>
      </c>
      <c r="P41" s="229" t="s">
        <v>21</v>
      </c>
      <c r="Q41" s="228" t="s">
        <v>21</v>
      </c>
      <c r="R41" s="229" t="s">
        <v>21</v>
      </c>
      <c r="S41" s="667"/>
      <c r="T41" s="668"/>
      <c r="U41" s="667"/>
      <c r="V41" s="669"/>
      <c r="W41" s="205"/>
      <c r="AB41" s="2" t="str">
        <f t="shared" si="1"/>
        <v>France</v>
      </c>
    </row>
    <row r="42" spans="1:28" ht="15" customHeight="1" x14ac:dyDescent="0.3">
      <c r="A42" s="20" t="str">
        <f t="shared" si="0"/>
        <v>X</v>
      </c>
      <c r="B42" s="773"/>
      <c r="C42" s="775"/>
      <c r="D42" s="767"/>
      <c r="E42" s="577" t="s">
        <v>19</v>
      </c>
      <c r="F42" s="237" t="s">
        <v>60</v>
      </c>
      <c r="G42" s="688">
        <v>27</v>
      </c>
      <c r="H42" s="689">
        <v>17</v>
      </c>
      <c r="I42" s="420">
        <v>0.25925925925925924</v>
      </c>
      <c r="J42" s="690">
        <f t="shared" si="13"/>
        <v>7</v>
      </c>
      <c r="K42" s="240">
        <v>0.48148148148148145</v>
      </c>
      <c r="L42" s="690">
        <f t="shared" si="14"/>
        <v>13</v>
      </c>
      <c r="M42" s="240" t="s">
        <v>21</v>
      </c>
      <c r="N42" s="241" t="s">
        <v>21</v>
      </c>
      <c r="O42" s="228" t="s">
        <v>21</v>
      </c>
      <c r="P42" s="229" t="s">
        <v>21</v>
      </c>
      <c r="Q42" s="228" t="s">
        <v>21</v>
      </c>
      <c r="R42" s="229" t="s">
        <v>21</v>
      </c>
      <c r="S42" s="667"/>
      <c r="T42" s="668"/>
      <c r="U42" s="667"/>
      <c r="V42" s="669"/>
      <c r="W42" s="205"/>
      <c r="AB42" s="2" t="str">
        <f t="shared" si="1"/>
        <v>France</v>
      </c>
    </row>
    <row r="43" spans="1:28" ht="15" customHeight="1" x14ac:dyDescent="0.3">
      <c r="A43" s="20" t="str">
        <f t="shared" si="0"/>
        <v/>
      </c>
      <c r="B43" s="773"/>
      <c r="C43" s="775"/>
      <c r="D43" s="767"/>
      <c r="E43" s="577" t="s">
        <v>169</v>
      </c>
      <c r="F43" s="237" t="s">
        <v>60</v>
      </c>
      <c r="G43" s="699"/>
      <c r="H43" s="700"/>
      <c r="I43" s="420">
        <v>0.25925925925925924</v>
      </c>
      <c r="J43" s="701"/>
      <c r="K43" s="240">
        <v>0.48148148148148145</v>
      </c>
      <c r="L43" s="701"/>
      <c r="M43" s="240" t="s">
        <v>21</v>
      </c>
      <c r="N43" s="241" t="s">
        <v>21</v>
      </c>
      <c r="O43" s="228" t="s">
        <v>21</v>
      </c>
      <c r="P43" s="229" t="s">
        <v>21</v>
      </c>
      <c r="Q43" s="228" t="s">
        <v>21</v>
      </c>
      <c r="R43" s="229" t="s">
        <v>21</v>
      </c>
      <c r="S43" s="667"/>
      <c r="T43" s="668"/>
      <c r="U43" s="667"/>
      <c r="V43" s="669"/>
      <c r="W43" s="205"/>
      <c r="AB43" s="2" t="str">
        <f t="shared" si="1"/>
        <v/>
      </c>
    </row>
    <row r="44" spans="1:28" ht="15" customHeight="1" x14ac:dyDescent="0.3">
      <c r="A44" s="20" t="str">
        <f t="shared" si="0"/>
        <v/>
      </c>
      <c r="B44" s="773"/>
      <c r="C44" s="775"/>
      <c r="D44" s="767"/>
      <c r="E44" s="577" t="s">
        <v>170</v>
      </c>
      <c r="F44" s="237" t="s">
        <v>60</v>
      </c>
      <c r="G44" s="699"/>
      <c r="H44" s="700"/>
      <c r="I44" s="420">
        <v>0.25925925925925924</v>
      </c>
      <c r="J44" s="701"/>
      <c r="K44" s="240">
        <v>0.48148148148148145</v>
      </c>
      <c r="L44" s="701"/>
      <c r="M44" s="240" t="s">
        <v>21</v>
      </c>
      <c r="N44" s="241" t="s">
        <v>21</v>
      </c>
      <c r="O44" s="228" t="s">
        <v>21</v>
      </c>
      <c r="P44" s="229" t="s">
        <v>21</v>
      </c>
      <c r="Q44" s="228" t="s">
        <v>21</v>
      </c>
      <c r="R44" s="229" t="s">
        <v>21</v>
      </c>
      <c r="S44" s="667"/>
      <c r="T44" s="668"/>
      <c r="U44" s="667"/>
      <c r="V44" s="669"/>
      <c r="W44" s="205"/>
      <c r="AB44" s="2" t="str">
        <f t="shared" si="1"/>
        <v/>
      </c>
    </row>
    <row r="45" spans="1:28" ht="15" customHeight="1" x14ac:dyDescent="0.3">
      <c r="A45" s="20" t="str">
        <f t="shared" si="0"/>
        <v>X</v>
      </c>
      <c r="B45" s="773"/>
      <c r="C45" s="775"/>
      <c r="D45" s="767"/>
      <c r="E45" s="577" t="s">
        <v>5</v>
      </c>
      <c r="F45" s="237" t="s">
        <v>60</v>
      </c>
      <c r="G45" s="238">
        <v>4</v>
      </c>
      <c r="H45" s="239">
        <v>2</v>
      </c>
      <c r="I45" s="420">
        <v>0.5</v>
      </c>
      <c r="J45" s="241">
        <f t="shared" si="13"/>
        <v>2</v>
      </c>
      <c r="K45" s="240">
        <v>0</v>
      </c>
      <c r="L45" s="241">
        <f t="shared" si="14"/>
        <v>0</v>
      </c>
      <c r="M45" s="240" t="s">
        <v>21</v>
      </c>
      <c r="N45" s="241" t="s">
        <v>21</v>
      </c>
      <c r="O45" s="228" t="s">
        <v>21</v>
      </c>
      <c r="P45" s="229" t="s">
        <v>21</v>
      </c>
      <c r="Q45" s="228" t="s">
        <v>21</v>
      </c>
      <c r="R45" s="229" t="s">
        <v>21</v>
      </c>
      <c r="S45" s="667"/>
      <c r="T45" s="668"/>
      <c r="U45" s="667"/>
      <c r="V45" s="669"/>
      <c r="W45" s="205"/>
      <c r="AB45" s="2" t="str">
        <f t="shared" si="1"/>
        <v>France</v>
      </c>
    </row>
    <row r="46" spans="1:28" ht="15" customHeight="1" x14ac:dyDescent="0.3">
      <c r="A46" s="20" t="str">
        <f t="shared" si="0"/>
        <v/>
      </c>
      <c r="B46" s="773"/>
      <c r="C46" s="775"/>
      <c r="D46" s="767"/>
      <c r="E46" s="727" t="s">
        <v>166</v>
      </c>
      <c r="F46" s="237"/>
      <c r="G46" s="238"/>
      <c r="H46" s="239"/>
      <c r="I46" s="686"/>
      <c r="J46" s="241"/>
      <c r="K46" s="240"/>
      <c r="L46" s="241"/>
      <c r="M46" s="240"/>
      <c r="N46" s="241"/>
      <c r="O46" s="228"/>
      <c r="P46" s="229"/>
      <c r="Q46" s="228"/>
      <c r="R46" s="229"/>
      <c r="S46" s="667"/>
      <c r="T46" s="668"/>
      <c r="U46" s="667"/>
      <c r="V46" s="669"/>
      <c r="W46" s="205"/>
    </row>
    <row r="47" spans="1:28" ht="15" customHeight="1" x14ac:dyDescent="0.3">
      <c r="A47" s="20" t="str">
        <f t="shared" si="0"/>
        <v/>
      </c>
      <c r="B47" s="773"/>
      <c r="C47" s="775"/>
      <c r="D47" s="767"/>
      <c r="E47" s="727" t="s">
        <v>166</v>
      </c>
      <c r="F47" s="237"/>
      <c r="G47" s="238"/>
      <c r="H47" s="239"/>
      <c r="I47" s="686"/>
      <c r="J47" s="241"/>
      <c r="K47" s="240"/>
      <c r="L47" s="241"/>
      <c r="M47" s="240"/>
      <c r="N47" s="241"/>
      <c r="O47" s="228"/>
      <c r="P47" s="229"/>
      <c r="Q47" s="228"/>
      <c r="R47" s="229"/>
      <c r="S47" s="667"/>
      <c r="T47" s="668"/>
      <c r="U47" s="667"/>
      <c r="V47" s="669"/>
      <c r="W47" s="205"/>
    </row>
    <row r="48" spans="1:28" ht="15" customHeight="1" x14ac:dyDescent="0.3">
      <c r="A48" s="20" t="str">
        <f t="shared" si="0"/>
        <v/>
      </c>
      <c r="B48" s="773"/>
      <c r="C48" s="775"/>
      <c r="D48" s="767"/>
      <c r="E48" s="728" t="s">
        <v>166</v>
      </c>
      <c r="F48" s="242"/>
      <c r="G48" s="243"/>
      <c r="H48" s="244"/>
      <c r="I48" s="687"/>
      <c r="J48" s="246"/>
      <c r="K48" s="245"/>
      <c r="L48" s="246"/>
      <c r="M48" s="245"/>
      <c r="N48" s="246"/>
      <c r="O48" s="230"/>
      <c r="P48" s="231"/>
      <c r="Q48" s="230"/>
      <c r="R48" s="231"/>
      <c r="S48" s="670"/>
      <c r="T48" s="671"/>
      <c r="U48" s="670"/>
      <c r="V48" s="672"/>
      <c r="W48" s="205"/>
    </row>
    <row r="49" spans="1:28" ht="15.6" x14ac:dyDescent="0.3">
      <c r="A49" s="20" t="str">
        <f t="shared" si="0"/>
        <v>S</v>
      </c>
      <c r="B49" s="773"/>
      <c r="C49" s="776"/>
      <c r="D49" s="309" t="s">
        <v>138</v>
      </c>
      <c r="E49" s="717"/>
      <c r="F49" s="16"/>
      <c r="G49" s="7">
        <f>SUM(G35:G48)</f>
        <v>172</v>
      </c>
      <c r="H49" s="8">
        <f>SUM(H35:H48)</f>
        <v>111</v>
      </c>
      <c r="I49" s="9">
        <f>J49/G49</f>
        <v>0.2441860465116279</v>
      </c>
      <c r="J49" s="202">
        <f>SUM(J35:J48)</f>
        <v>42</v>
      </c>
      <c r="K49" s="9">
        <f>L49/G49</f>
        <v>0.30813953488372092</v>
      </c>
      <c r="L49" s="202">
        <f>SUM(L35:L48)</f>
        <v>53</v>
      </c>
      <c r="M49" s="9">
        <f>N49/L49</f>
        <v>0</v>
      </c>
      <c r="N49" s="202">
        <f t="shared" ref="N49:V49" si="15">SUM(N35:N48)</f>
        <v>0</v>
      </c>
      <c r="O49" s="118">
        <f t="shared" si="15"/>
        <v>0</v>
      </c>
      <c r="P49" s="119">
        <f t="shared" si="15"/>
        <v>0</v>
      </c>
      <c r="Q49" s="118">
        <f t="shared" si="15"/>
        <v>0</v>
      </c>
      <c r="R49" s="119">
        <f t="shared" si="15"/>
        <v>0</v>
      </c>
      <c r="S49" s="118">
        <f t="shared" si="15"/>
        <v>0</v>
      </c>
      <c r="T49" s="119">
        <f t="shared" si="15"/>
        <v>0</v>
      </c>
      <c r="U49" s="118">
        <f t="shared" si="15"/>
        <v>0</v>
      </c>
      <c r="V49" s="120">
        <f t="shared" si="15"/>
        <v>0</v>
      </c>
      <c r="W49" s="205"/>
      <c r="AB49" s="2">
        <f t="shared" si="1"/>
        <v>0</v>
      </c>
    </row>
    <row r="50" spans="1:28" x14ac:dyDescent="0.3">
      <c r="A50" s="20" t="str">
        <f>IF(D50="Sous-total","S",IF(G50="","","X"))</f>
        <v>X</v>
      </c>
      <c r="B50" s="773" t="s">
        <v>0</v>
      </c>
      <c r="C50" s="775" t="s">
        <v>75</v>
      </c>
      <c r="D50" s="757">
        <v>9</v>
      </c>
      <c r="E50" s="719" t="s">
        <v>10</v>
      </c>
      <c r="F50" s="232" t="s">
        <v>60</v>
      </c>
      <c r="G50" s="233">
        <v>37</v>
      </c>
      <c r="H50" s="234">
        <v>23</v>
      </c>
      <c r="I50" s="411">
        <v>0.38</v>
      </c>
      <c r="J50" s="236">
        <f t="shared" si="13"/>
        <v>14.06</v>
      </c>
      <c r="K50" s="235">
        <v>0.16</v>
      </c>
      <c r="L50" s="236">
        <f t="shared" si="14"/>
        <v>5.92</v>
      </c>
      <c r="M50" s="235">
        <v>1</v>
      </c>
      <c r="N50" s="236">
        <f t="shared" ref="N50:N51" si="16">IF(M50="-","-",M50*L50)</f>
        <v>5.92</v>
      </c>
      <c r="O50" s="226"/>
      <c r="P50" s="227"/>
      <c r="Q50" s="226"/>
      <c r="R50" s="227"/>
      <c r="S50" s="664" t="s">
        <v>21</v>
      </c>
      <c r="T50" s="665" t="s">
        <v>21</v>
      </c>
      <c r="U50" s="664" t="s">
        <v>21</v>
      </c>
      <c r="V50" s="666" t="s">
        <v>21</v>
      </c>
      <c r="W50" s="205"/>
      <c r="AB50" s="2" t="str">
        <f t="shared" si="1"/>
        <v>France</v>
      </c>
    </row>
    <row r="51" spans="1:28" x14ac:dyDescent="0.3">
      <c r="A51" s="20" t="str">
        <f t="shared" ref="A51:A113" si="17">IF(D51="Sous-total","S",IF(G51="","","X"))</f>
        <v>X</v>
      </c>
      <c r="B51" s="773"/>
      <c r="C51" s="775"/>
      <c r="D51" s="757"/>
      <c r="E51" s="577" t="s">
        <v>11</v>
      </c>
      <c r="F51" s="237" t="s">
        <v>60</v>
      </c>
      <c r="G51" s="238">
        <v>33</v>
      </c>
      <c r="H51" s="239">
        <v>15</v>
      </c>
      <c r="I51" s="420">
        <v>0.3</v>
      </c>
      <c r="J51" s="241">
        <f t="shared" si="13"/>
        <v>9.9</v>
      </c>
      <c r="K51" s="240">
        <v>0.09</v>
      </c>
      <c r="L51" s="241">
        <f t="shared" si="14"/>
        <v>2.9699999999999998</v>
      </c>
      <c r="M51" s="240">
        <v>1</v>
      </c>
      <c r="N51" s="241">
        <f t="shared" si="16"/>
        <v>2.9699999999999998</v>
      </c>
      <c r="O51" s="228"/>
      <c r="P51" s="229"/>
      <c r="Q51" s="228"/>
      <c r="R51" s="229"/>
      <c r="S51" s="667" t="s">
        <v>21</v>
      </c>
      <c r="T51" s="668" t="s">
        <v>21</v>
      </c>
      <c r="U51" s="667" t="s">
        <v>21</v>
      </c>
      <c r="V51" s="669" t="s">
        <v>21</v>
      </c>
      <c r="W51" s="205"/>
      <c r="AB51" s="2" t="str">
        <f t="shared" ref="AB51:AB89" si="18">IF(G51&gt;0,$F51,"")</f>
        <v>France</v>
      </c>
    </row>
    <row r="52" spans="1:28" x14ac:dyDescent="0.3">
      <c r="A52" s="20" t="str">
        <f t="shared" si="17"/>
        <v>X</v>
      </c>
      <c r="B52" s="773"/>
      <c r="C52" s="775"/>
      <c r="D52" s="757"/>
      <c r="E52" s="577" t="s">
        <v>12</v>
      </c>
      <c r="F52" s="237" t="s">
        <v>60</v>
      </c>
      <c r="G52" s="238">
        <v>6</v>
      </c>
      <c r="H52" s="239">
        <v>5</v>
      </c>
      <c r="I52" s="420">
        <v>0</v>
      </c>
      <c r="J52" s="241">
        <f t="shared" ref="J52" si="19">I52*G52</f>
        <v>0</v>
      </c>
      <c r="K52" s="240">
        <v>0</v>
      </c>
      <c r="L52" s="241">
        <f t="shared" ref="L52" si="20">K52*G52</f>
        <v>0</v>
      </c>
      <c r="M52" s="240">
        <v>0</v>
      </c>
      <c r="N52" s="241">
        <f>IF(M52="-","-",M52*L52)</f>
        <v>0</v>
      </c>
      <c r="O52" s="228"/>
      <c r="P52" s="229"/>
      <c r="Q52" s="228"/>
      <c r="R52" s="229"/>
      <c r="S52" s="667" t="s">
        <v>21</v>
      </c>
      <c r="T52" s="668" t="s">
        <v>21</v>
      </c>
      <c r="U52" s="667" t="s">
        <v>21</v>
      </c>
      <c r="V52" s="669" t="s">
        <v>21</v>
      </c>
      <c r="W52" s="205"/>
      <c r="AB52" s="2" t="str">
        <f t="shared" si="18"/>
        <v>France</v>
      </c>
    </row>
    <row r="53" spans="1:28" x14ac:dyDescent="0.3">
      <c r="A53" s="20" t="str">
        <f t="shared" si="17"/>
        <v>X</v>
      </c>
      <c r="B53" s="773"/>
      <c r="C53" s="775"/>
      <c r="D53" s="757"/>
      <c r="E53" s="577" t="s">
        <v>7</v>
      </c>
      <c r="F53" s="237" t="s">
        <v>60</v>
      </c>
      <c r="G53" s="238">
        <v>25</v>
      </c>
      <c r="H53" s="239">
        <v>15</v>
      </c>
      <c r="I53" s="420">
        <v>0.28000000000000003</v>
      </c>
      <c r="J53" s="241">
        <f t="shared" si="13"/>
        <v>7.0000000000000009</v>
      </c>
      <c r="K53" s="240">
        <v>0.16</v>
      </c>
      <c r="L53" s="241">
        <f t="shared" si="14"/>
        <v>4</v>
      </c>
      <c r="M53" s="240">
        <v>0.25</v>
      </c>
      <c r="N53" s="241">
        <f t="shared" ref="N53:N60" si="21">IF(M53="-","-",M53*L53)</f>
        <v>1</v>
      </c>
      <c r="O53" s="228"/>
      <c r="P53" s="229"/>
      <c r="Q53" s="228"/>
      <c r="R53" s="229"/>
      <c r="S53" s="667" t="s">
        <v>21</v>
      </c>
      <c r="T53" s="668" t="s">
        <v>21</v>
      </c>
      <c r="U53" s="667" t="s">
        <v>21</v>
      </c>
      <c r="V53" s="669" t="s">
        <v>21</v>
      </c>
      <c r="W53" s="205"/>
      <c r="AB53" s="2" t="str">
        <f t="shared" si="18"/>
        <v>France</v>
      </c>
    </row>
    <row r="54" spans="1:28" x14ac:dyDescent="0.3">
      <c r="A54" s="20" t="str">
        <f t="shared" si="17"/>
        <v>X</v>
      </c>
      <c r="B54" s="773"/>
      <c r="C54" s="775"/>
      <c r="D54" s="757"/>
      <c r="E54" s="577" t="s">
        <v>132</v>
      </c>
      <c r="F54" s="237" t="s">
        <v>60</v>
      </c>
      <c r="G54" s="238">
        <v>15</v>
      </c>
      <c r="H54" s="239">
        <v>9</v>
      </c>
      <c r="I54" s="420">
        <v>0.13</v>
      </c>
      <c r="J54" s="241">
        <f t="shared" si="13"/>
        <v>1.9500000000000002</v>
      </c>
      <c r="K54" s="240">
        <v>7.0000000000000007E-2</v>
      </c>
      <c r="L54" s="241">
        <f t="shared" si="14"/>
        <v>1.05</v>
      </c>
      <c r="M54" s="240">
        <v>0</v>
      </c>
      <c r="N54" s="241">
        <f t="shared" si="21"/>
        <v>0</v>
      </c>
      <c r="O54" s="228"/>
      <c r="P54" s="229"/>
      <c r="Q54" s="228"/>
      <c r="R54" s="229"/>
      <c r="S54" s="667" t="s">
        <v>21</v>
      </c>
      <c r="T54" s="668" t="s">
        <v>21</v>
      </c>
      <c r="U54" s="667" t="s">
        <v>21</v>
      </c>
      <c r="V54" s="669" t="s">
        <v>21</v>
      </c>
      <c r="W54" s="205"/>
      <c r="AB54" s="2" t="str">
        <f t="shared" si="18"/>
        <v>France</v>
      </c>
    </row>
    <row r="55" spans="1:28" x14ac:dyDescent="0.3">
      <c r="A55" s="20" t="str">
        <f t="shared" si="17"/>
        <v>X</v>
      </c>
      <c r="B55" s="773"/>
      <c r="C55" s="775"/>
      <c r="D55" s="757"/>
      <c r="E55" s="577" t="s">
        <v>8</v>
      </c>
      <c r="F55" s="237" t="s">
        <v>60</v>
      </c>
      <c r="G55" s="238">
        <v>16</v>
      </c>
      <c r="H55" s="239">
        <v>14</v>
      </c>
      <c r="I55" s="420">
        <v>0.38</v>
      </c>
      <c r="J55" s="241">
        <f t="shared" si="13"/>
        <v>6.08</v>
      </c>
      <c r="K55" s="240">
        <v>0.13</v>
      </c>
      <c r="L55" s="241">
        <f t="shared" si="14"/>
        <v>2.08</v>
      </c>
      <c r="M55" s="240">
        <v>1</v>
      </c>
      <c r="N55" s="241">
        <f t="shared" si="21"/>
        <v>2.08</v>
      </c>
      <c r="O55" s="228"/>
      <c r="P55" s="229"/>
      <c r="Q55" s="228"/>
      <c r="R55" s="229"/>
      <c r="S55" s="667" t="s">
        <v>21</v>
      </c>
      <c r="T55" s="668" t="s">
        <v>21</v>
      </c>
      <c r="U55" s="667" t="s">
        <v>21</v>
      </c>
      <c r="V55" s="669" t="s">
        <v>21</v>
      </c>
      <c r="W55" s="205"/>
      <c r="AB55" s="2" t="str">
        <f t="shared" si="18"/>
        <v>France</v>
      </c>
    </row>
    <row r="56" spans="1:28" x14ac:dyDescent="0.3">
      <c r="A56" s="20" t="str">
        <f t="shared" si="17"/>
        <v>X</v>
      </c>
      <c r="B56" s="773"/>
      <c r="C56" s="775"/>
      <c r="D56" s="757"/>
      <c r="E56" s="577" t="s">
        <v>6</v>
      </c>
      <c r="F56" s="237" t="s">
        <v>60</v>
      </c>
      <c r="G56" s="238">
        <v>7</v>
      </c>
      <c r="H56" s="239">
        <v>5</v>
      </c>
      <c r="I56" s="420">
        <v>0.14000000000000001</v>
      </c>
      <c r="J56" s="241">
        <f t="shared" si="13"/>
        <v>0.98000000000000009</v>
      </c>
      <c r="K56" s="240">
        <v>0</v>
      </c>
      <c r="L56" s="241">
        <f t="shared" si="14"/>
        <v>0</v>
      </c>
      <c r="M56" s="240">
        <v>0</v>
      </c>
      <c r="N56" s="241">
        <f t="shared" si="21"/>
        <v>0</v>
      </c>
      <c r="O56" s="228"/>
      <c r="P56" s="229"/>
      <c r="Q56" s="228"/>
      <c r="R56" s="229"/>
      <c r="S56" s="667" t="s">
        <v>21</v>
      </c>
      <c r="T56" s="668" t="s">
        <v>21</v>
      </c>
      <c r="U56" s="667" t="s">
        <v>21</v>
      </c>
      <c r="V56" s="669" t="s">
        <v>21</v>
      </c>
      <c r="W56" s="205"/>
      <c r="AB56" s="2" t="str">
        <f t="shared" si="18"/>
        <v>France</v>
      </c>
    </row>
    <row r="57" spans="1:28" ht="15" customHeight="1" x14ac:dyDescent="0.3">
      <c r="A57" s="20" t="str">
        <f t="shared" si="17"/>
        <v/>
      </c>
      <c r="B57" s="773"/>
      <c r="C57" s="775"/>
      <c r="D57" s="757"/>
      <c r="E57" s="577" t="s">
        <v>228</v>
      </c>
      <c r="F57" s="237" t="s">
        <v>60</v>
      </c>
      <c r="G57" s="238"/>
      <c r="H57" s="239"/>
      <c r="I57" s="420">
        <v>0.14000000000000001</v>
      </c>
      <c r="J57" s="241"/>
      <c r="K57" s="240">
        <v>0</v>
      </c>
      <c r="L57" s="241"/>
      <c r="M57" s="240">
        <v>0</v>
      </c>
      <c r="N57" s="241"/>
      <c r="O57" s="228"/>
      <c r="P57" s="229"/>
      <c r="Q57" s="228"/>
      <c r="R57" s="229"/>
      <c r="S57" s="667" t="s">
        <v>21</v>
      </c>
      <c r="T57" s="668" t="s">
        <v>21</v>
      </c>
      <c r="U57" s="667" t="s">
        <v>21</v>
      </c>
      <c r="V57" s="669" t="s">
        <v>21</v>
      </c>
      <c r="W57" s="205"/>
      <c r="AB57" s="2" t="str">
        <f t="shared" si="18"/>
        <v/>
      </c>
    </row>
    <row r="58" spans="1:28" ht="15" customHeight="1" x14ac:dyDescent="0.3">
      <c r="A58" s="20" t="str">
        <f t="shared" si="17"/>
        <v/>
      </c>
      <c r="B58" s="773"/>
      <c r="C58" s="775"/>
      <c r="D58" s="757"/>
      <c r="E58" s="577" t="s">
        <v>229</v>
      </c>
      <c r="F58" s="237" t="s">
        <v>60</v>
      </c>
      <c r="G58" s="238"/>
      <c r="H58" s="239"/>
      <c r="I58" s="420">
        <v>0.14000000000000001</v>
      </c>
      <c r="J58" s="241"/>
      <c r="K58" s="240">
        <v>0</v>
      </c>
      <c r="L58" s="241"/>
      <c r="M58" s="240">
        <v>0</v>
      </c>
      <c r="N58" s="241"/>
      <c r="O58" s="228"/>
      <c r="P58" s="229"/>
      <c r="Q58" s="228"/>
      <c r="R58" s="229"/>
      <c r="S58" s="667" t="s">
        <v>21</v>
      </c>
      <c r="T58" s="668" t="s">
        <v>21</v>
      </c>
      <c r="U58" s="667" t="s">
        <v>21</v>
      </c>
      <c r="V58" s="669" t="s">
        <v>21</v>
      </c>
      <c r="W58" s="205"/>
      <c r="AB58" s="2" t="str">
        <f t="shared" si="18"/>
        <v/>
      </c>
    </row>
    <row r="59" spans="1:28" x14ac:dyDescent="0.3">
      <c r="A59" s="20" t="str">
        <f t="shared" si="17"/>
        <v/>
      </c>
      <c r="B59" s="773"/>
      <c r="C59" s="775"/>
      <c r="D59" s="757"/>
      <c r="E59" s="577" t="s">
        <v>198</v>
      </c>
      <c r="F59" s="237" t="s">
        <v>60</v>
      </c>
      <c r="G59" s="238"/>
      <c r="H59" s="239"/>
      <c r="I59" s="420">
        <v>0.14000000000000001</v>
      </c>
      <c r="J59" s="241"/>
      <c r="K59" s="240">
        <v>0</v>
      </c>
      <c r="L59" s="241"/>
      <c r="M59" s="240">
        <v>0</v>
      </c>
      <c r="N59" s="241"/>
      <c r="O59" s="228"/>
      <c r="P59" s="229"/>
      <c r="Q59" s="228"/>
      <c r="R59" s="229"/>
      <c r="S59" s="667" t="s">
        <v>21</v>
      </c>
      <c r="T59" s="668" t="s">
        <v>21</v>
      </c>
      <c r="U59" s="667" t="s">
        <v>21</v>
      </c>
      <c r="V59" s="669" t="s">
        <v>21</v>
      </c>
      <c r="W59" s="205"/>
      <c r="AB59" s="2" t="str">
        <f t="shared" si="18"/>
        <v/>
      </c>
    </row>
    <row r="60" spans="1:28" x14ac:dyDescent="0.3">
      <c r="A60" s="20" t="str">
        <f t="shared" si="17"/>
        <v>X</v>
      </c>
      <c r="B60" s="773"/>
      <c r="C60" s="775"/>
      <c r="D60" s="757"/>
      <c r="E60" s="577" t="s">
        <v>9</v>
      </c>
      <c r="F60" s="237" t="s">
        <v>60</v>
      </c>
      <c r="G60" s="238">
        <v>20</v>
      </c>
      <c r="H60" s="239">
        <v>9</v>
      </c>
      <c r="I60" s="420">
        <v>0.25</v>
      </c>
      <c r="J60" s="241">
        <f t="shared" si="13"/>
        <v>5</v>
      </c>
      <c r="K60" s="240">
        <v>0.15</v>
      </c>
      <c r="L60" s="241">
        <f t="shared" si="14"/>
        <v>3</v>
      </c>
      <c r="M60" s="240">
        <v>0.33</v>
      </c>
      <c r="N60" s="241">
        <f t="shared" si="21"/>
        <v>0.99</v>
      </c>
      <c r="O60" s="228"/>
      <c r="P60" s="229"/>
      <c r="Q60" s="228"/>
      <c r="R60" s="229"/>
      <c r="S60" s="667" t="s">
        <v>21</v>
      </c>
      <c r="T60" s="668" t="s">
        <v>21</v>
      </c>
      <c r="U60" s="667" t="s">
        <v>21</v>
      </c>
      <c r="V60" s="669" t="s">
        <v>21</v>
      </c>
      <c r="W60" s="205"/>
      <c r="AB60" s="2" t="str">
        <f t="shared" si="18"/>
        <v>France</v>
      </c>
    </row>
    <row r="61" spans="1:28" ht="15.75" customHeight="1" x14ac:dyDescent="0.3">
      <c r="A61" s="20" t="str">
        <f t="shared" si="17"/>
        <v/>
      </c>
      <c r="B61" s="773"/>
      <c r="C61" s="775"/>
      <c r="D61" s="757"/>
      <c r="E61" s="727" t="s">
        <v>166</v>
      </c>
      <c r="F61" s="237"/>
      <c r="G61" s="238"/>
      <c r="H61" s="239"/>
      <c r="I61" s="686"/>
      <c r="J61" s="241"/>
      <c r="K61" s="240"/>
      <c r="L61" s="241"/>
      <c r="M61" s="240"/>
      <c r="N61" s="241"/>
      <c r="O61" s="228"/>
      <c r="P61" s="229"/>
      <c r="Q61" s="228"/>
      <c r="R61" s="229"/>
      <c r="S61" s="667" t="s">
        <v>21</v>
      </c>
      <c r="T61" s="668" t="s">
        <v>21</v>
      </c>
      <c r="U61" s="667" t="s">
        <v>21</v>
      </c>
      <c r="V61" s="669" t="s">
        <v>21</v>
      </c>
      <c r="W61" s="205"/>
    </row>
    <row r="62" spans="1:28" ht="15.75" customHeight="1" x14ac:dyDescent="0.3">
      <c r="A62" s="20" t="str">
        <f t="shared" si="17"/>
        <v/>
      </c>
      <c r="B62" s="773"/>
      <c r="C62" s="775"/>
      <c r="D62" s="757"/>
      <c r="E62" s="727" t="s">
        <v>166</v>
      </c>
      <c r="F62" s="237"/>
      <c r="G62" s="238"/>
      <c r="H62" s="239"/>
      <c r="I62" s="686"/>
      <c r="J62" s="241"/>
      <c r="K62" s="240"/>
      <c r="L62" s="241"/>
      <c r="M62" s="240"/>
      <c r="N62" s="241"/>
      <c r="O62" s="228"/>
      <c r="P62" s="229"/>
      <c r="Q62" s="228"/>
      <c r="R62" s="229"/>
      <c r="S62" s="667" t="s">
        <v>21</v>
      </c>
      <c r="T62" s="668" t="s">
        <v>21</v>
      </c>
      <c r="U62" s="667" t="s">
        <v>21</v>
      </c>
      <c r="V62" s="669" t="s">
        <v>21</v>
      </c>
      <c r="W62" s="205"/>
    </row>
    <row r="63" spans="1:28" ht="15.75" customHeight="1" x14ac:dyDescent="0.3">
      <c r="A63" s="20" t="str">
        <f t="shared" si="17"/>
        <v/>
      </c>
      <c r="B63" s="773"/>
      <c r="C63" s="775"/>
      <c r="D63" s="757"/>
      <c r="E63" s="728" t="s">
        <v>166</v>
      </c>
      <c r="F63" s="242"/>
      <c r="G63" s="243"/>
      <c r="H63" s="244"/>
      <c r="I63" s="687"/>
      <c r="J63" s="246"/>
      <c r="K63" s="245"/>
      <c r="L63" s="246"/>
      <c r="M63" s="245"/>
      <c r="N63" s="246"/>
      <c r="O63" s="230"/>
      <c r="P63" s="231"/>
      <c r="Q63" s="230"/>
      <c r="R63" s="231"/>
      <c r="S63" s="670" t="s">
        <v>21</v>
      </c>
      <c r="T63" s="671" t="s">
        <v>21</v>
      </c>
      <c r="U63" s="670" t="s">
        <v>21</v>
      </c>
      <c r="V63" s="672" t="s">
        <v>21</v>
      </c>
      <c r="W63" s="205"/>
    </row>
    <row r="64" spans="1:28" ht="16.2" thickBot="1" x14ac:dyDescent="0.35">
      <c r="A64" s="20" t="str">
        <f t="shared" si="17"/>
        <v>S</v>
      </c>
      <c r="B64" s="774"/>
      <c r="C64" s="777"/>
      <c r="D64" s="311" t="s">
        <v>138</v>
      </c>
      <c r="E64" s="724"/>
      <c r="F64" s="219"/>
      <c r="G64" s="7">
        <f>SUM(G50:G63)</f>
        <v>159</v>
      </c>
      <c r="H64" s="8">
        <f>SUM(H50:H63)</f>
        <v>95</v>
      </c>
      <c r="I64" s="9">
        <f>J64/G64</f>
        <v>0.28283018867924525</v>
      </c>
      <c r="J64" s="202">
        <f>SUM(J50:J63)</f>
        <v>44.97</v>
      </c>
      <c r="K64" s="9">
        <f>L64/G64</f>
        <v>0.11962264150943398</v>
      </c>
      <c r="L64" s="202">
        <f>SUM(L50:L63)</f>
        <v>19.020000000000003</v>
      </c>
      <c r="M64" s="9">
        <f>N64/L64</f>
        <v>0.68138801261829651</v>
      </c>
      <c r="N64" s="202">
        <f t="shared" ref="N64:V64" si="22">SUM(N50:N63)</f>
        <v>12.96</v>
      </c>
      <c r="O64" s="500">
        <f t="shared" si="22"/>
        <v>0</v>
      </c>
      <c r="P64" s="501">
        <f t="shared" si="22"/>
        <v>0</v>
      </c>
      <c r="Q64" s="500">
        <f t="shared" si="22"/>
        <v>0</v>
      </c>
      <c r="R64" s="501">
        <f t="shared" si="22"/>
        <v>0</v>
      </c>
      <c r="S64" s="500">
        <f t="shared" si="22"/>
        <v>0</v>
      </c>
      <c r="T64" s="501">
        <f t="shared" si="22"/>
        <v>0</v>
      </c>
      <c r="U64" s="500">
        <f t="shared" si="22"/>
        <v>0</v>
      </c>
      <c r="V64" s="502">
        <f t="shared" si="22"/>
        <v>0</v>
      </c>
      <c r="W64" s="205"/>
      <c r="AB64" s="2">
        <f t="shared" si="18"/>
        <v>0</v>
      </c>
    </row>
    <row r="65" spans="1:28" s="15" customFormat="1" ht="27.75" customHeight="1" thickBot="1" x14ac:dyDescent="0.35">
      <c r="A65" s="20" t="str">
        <f t="shared" si="17"/>
        <v>X</v>
      </c>
      <c r="B65" s="102" t="s">
        <v>78</v>
      </c>
      <c r="C65" s="103"/>
      <c r="D65" s="103">
        <f>SUM(D5:D60)</f>
        <v>19</v>
      </c>
      <c r="E65" s="716" t="s">
        <v>79</v>
      </c>
      <c r="F65" s="372"/>
      <c r="G65" s="341">
        <f>G8+G12+G34+G49+G64</f>
        <v>394</v>
      </c>
      <c r="H65" s="342">
        <f>H8+H12+H34+H49+H64</f>
        <v>235</v>
      </c>
      <c r="I65" s="343">
        <f>J65/G65</f>
        <v>0.22581218274111675</v>
      </c>
      <c r="J65" s="33">
        <f>J8+J12+J34+J49+J64</f>
        <v>88.97</v>
      </c>
      <c r="K65" s="32">
        <f>L65/G65</f>
        <v>0.22593908629441628</v>
      </c>
      <c r="L65" s="33">
        <f>L8+L12+L34+L49+L64</f>
        <v>89.02000000000001</v>
      </c>
      <c r="M65" s="343">
        <f>N65/(L5+L50+L51+L53+L55+L60)</f>
        <v>0.42779525307406352</v>
      </c>
      <c r="N65" s="33">
        <f t="shared" ref="N65:V65" si="23">N8+N12+N34+N49+N64</f>
        <v>14.96</v>
      </c>
      <c r="O65" s="34">
        <f t="shared" si="23"/>
        <v>0</v>
      </c>
      <c r="P65" s="35">
        <f t="shared" si="23"/>
        <v>0</v>
      </c>
      <c r="Q65" s="34">
        <f t="shared" si="23"/>
        <v>0</v>
      </c>
      <c r="R65" s="35">
        <f t="shared" si="23"/>
        <v>0</v>
      </c>
      <c r="S65" s="267">
        <f t="shared" si="23"/>
        <v>0</v>
      </c>
      <c r="T65" s="266">
        <f t="shared" si="23"/>
        <v>0</v>
      </c>
      <c r="U65" s="267">
        <f t="shared" si="23"/>
        <v>0</v>
      </c>
      <c r="V65" s="340">
        <f t="shared" si="23"/>
        <v>0</v>
      </c>
      <c r="W65" s="344"/>
      <c r="Y65" s="339"/>
      <c r="AB65" s="2">
        <f t="shared" si="18"/>
        <v>0</v>
      </c>
    </row>
    <row r="66" spans="1:28" ht="15" customHeight="1" x14ac:dyDescent="0.3">
      <c r="A66" s="20" t="str">
        <f t="shared" si="17"/>
        <v>X</v>
      </c>
      <c r="B66" s="778" t="s">
        <v>4</v>
      </c>
      <c r="C66" s="781" t="s">
        <v>76</v>
      </c>
      <c r="D66" s="768">
        <v>31</v>
      </c>
      <c r="E66" s="726" t="s">
        <v>25</v>
      </c>
      <c r="F66" s="465" t="s">
        <v>60</v>
      </c>
      <c r="G66" s="233">
        <v>603</v>
      </c>
      <c r="H66" s="234">
        <v>173</v>
      </c>
      <c r="I66" s="235">
        <v>0.43</v>
      </c>
      <c r="J66" s="236">
        <v>261</v>
      </c>
      <c r="K66" s="235">
        <v>0.38</v>
      </c>
      <c r="L66" s="236">
        <v>242</v>
      </c>
      <c r="M66" s="235" t="s">
        <v>21</v>
      </c>
      <c r="N66" s="236" t="str">
        <f t="shared" ref="N66:N115" si="24">IF(M66="-","-",M66*L66)</f>
        <v>-</v>
      </c>
      <c r="O66" s="226"/>
      <c r="P66" s="227"/>
      <c r="Q66" s="226"/>
      <c r="R66" s="227"/>
      <c r="S66" s="664"/>
      <c r="T66" s="665"/>
      <c r="U66" s="664"/>
      <c r="V66" s="666"/>
      <c r="W66" s="247"/>
      <c r="AB66" s="2" t="str">
        <f t="shared" si="18"/>
        <v>France</v>
      </c>
    </row>
    <row r="67" spans="1:28" ht="15" customHeight="1" x14ac:dyDescent="0.3">
      <c r="A67" s="20" t="str">
        <f t="shared" si="17"/>
        <v>X</v>
      </c>
      <c r="B67" s="779"/>
      <c r="C67" s="782"/>
      <c r="D67" s="760"/>
      <c r="E67" s="721" t="s">
        <v>26</v>
      </c>
      <c r="F67" s="410" t="s">
        <v>60</v>
      </c>
      <c r="G67" s="238">
        <v>354</v>
      </c>
      <c r="H67" s="239">
        <v>103</v>
      </c>
      <c r="I67" s="240">
        <v>0.4</v>
      </c>
      <c r="J67" s="241">
        <v>142</v>
      </c>
      <c r="K67" s="240">
        <v>0.42</v>
      </c>
      <c r="L67" s="241">
        <v>161</v>
      </c>
      <c r="M67" s="240" t="s">
        <v>21</v>
      </c>
      <c r="N67" s="241" t="str">
        <f t="shared" si="24"/>
        <v>-</v>
      </c>
      <c r="O67" s="228"/>
      <c r="P67" s="229"/>
      <c r="Q67" s="228"/>
      <c r="R67" s="229"/>
      <c r="S67" s="667"/>
      <c r="T67" s="668"/>
      <c r="U67" s="667"/>
      <c r="V67" s="669"/>
      <c r="W67" s="247"/>
      <c r="AB67" s="2" t="str">
        <f t="shared" si="18"/>
        <v>France</v>
      </c>
    </row>
    <row r="68" spans="1:28" ht="15" customHeight="1" x14ac:dyDescent="0.3">
      <c r="A68" s="20" t="str">
        <f t="shared" si="17"/>
        <v>X</v>
      </c>
      <c r="B68" s="779"/>
      <c r="C68" s="782"/>
      <c r="D68" s="760"/>
      <c r="E68" s="721" t="s">
        <v>58</v>
      </c>
      <c r="F68" s="410" t="s">
        <v>60</v>
      </c>
      <c r="G68" s="238">
        <v>222</v>
      </c>
      <c r="H68" s="239">
        <v>66</v>
      </c>
      <c r="I68" s="240">
        <v>0.36</v>
      </c>
      <c r="J68" s="241">
        <v>137</v>
      </c>
      <c r="K68" s="240">
        <v>0.38</v>
      </c>
      <c r="L68" s="241">
        <v>88</v>
      </c>
      <c r="M68" s="240" t="s">
        <v>21</v>
      </c>
      <c r="N68" s="241" t="str">
        <f t="shared" si="24"/>
        <v>-</v>
      </c>
      <c r="O68" s="228"/>
      <c r="P68" s="229"/>
      <c r="Q68" s="228"/>
      <c r="R68" s="229"/>
      <c r="S68" s="667"/>
      <c r="T68" s="668"/>
      <c r="U68" s="667"/>
      <c r="V68" s="669"/>
      <c r="W68" s="247"/>
      <c r="AB68" s="2" t="str">
        <f t="shared" si="18"/>
        <v>France</v>
      </c>
    </row>
    <row r="69" spans="1:28" ht="15" customHeight="1" x14ac:dyDescent="0.3">
      <c r="A69" s="20" t="str">
        <f t="shared" si="17"/>
        <v>X</v>
      </c>
      <c r="B69" s="779"/>
      <c r="C69" s="782"/>
      <c r="D69" s="760"/>
      <c r="E69" s="721" t="s">
        <v>24</v>
      </c>
      <c r="F69" s="410" t="s">
        <v>62</v>
      </c>
      <c r="G69" s="238">
        <v>106</v>
      </c>
      <c r="H69" s="239">
        <v>35</v>
      </c>
      <c r="I69" s="240">
        <v>0.38</v>
      </c>
      <c r="J69" s="241">
        <v>39</v>
      </c>
      <c r="K69" s="240">
        <v>0.44</v>
      </c>
      <c r="L69" s="241">
        <v>48</v>
      </c>
      <c r="M69" s="240" t="s">
        <v>21</v>
      </c>
      <c r="N69" s="241" t="str">
        <f t="shared" si="24"/>
        <v>-</v>
      </c>
      <c r="O69" s="228"/>
      <c r="P69" s="229"/>
      <c r="Q69" s="228"/>
      <c r="R69" s="229"/>
      <c r="S69" s="667"/>
      <c r="T69" s="668"/>
      <c r="U69" s="667"/>
      <c r="V69" s="669"/>
      <c r="W69" s="247"/>
      <c r="AB69" s="2" t="str">
        <f t="shared" si="18"/>
        <v>Frontière</v>
      </c>
    </row>
    <row r="70" spans="1:28" ht="15" customHeight="1" x14ac:dyDescent="0.3">
      <c r="A70" s="20" t="str">
        <f t="shared" si="17"/>
        <v>X</v>
      </c>
      <c r="B70" s="779"/>
      <c r="C70" s="782"/>
      <c r="D70" s="760"/>
      <c r="E70" s="721" t="s">
        <v>23</v>
      </c>
      <c r="F70" s="410" t="s">
        <v>60</v>
      </c>
      <c r="G70" s="238">
        <v>206</v>
      </c>
      <c r="H70" s="239">
        <v>70</v>
      </c>
      <c r="I70" s="240">
        <v>0.43</v>
      </c>
      <c r="J70" s="241">
        <v>87</v>
      </c>
      <c r="K70" s="240">
        <v>0.39</v>
      </c>
      <c r="L70" s="241">
        <v>83</v>
      </c>
      <c r="M70" s="240" t="s">
        <v>21</v>
      </c>
      <c r="N70" s="241" t="str">
        <f t="shared" si="24"/>
        <v>-</v>
      </c>
      <c r="O70" s="228"/>
      <c r="P70" s="229"/>
      <c r="Q70" s="228"/>
      <c r="R70" s="229"/>
      <c r="S70" s="667"/>
      <c r="T70" s="668"/>
      <c r="U70" s="667"/>
      <c r="V70" s="669"/>
      <c r="W70" s="247"/>
      <c r="AB70" s="2" t="str">
        <f t="shared" si="18"/>
        <v>France</v>
      </c>
    </row>
    <row r="71" spans="1:28" ht="15" customHeight="1" x14ac:dyDescent="0.3">
      <c r="A71" s="20" t="str">
        <f t="shared" si="17"/>
        <v/>
      </c>
      <c r="B71" s="779"/>
      <c r="C71" s="782"/>
      <c r="D71" s="760"/>
      <c r="E71" s="727" t="s">
        <v>166</v>
      </c>
      <c r="F71" s="410" t="s">
        <v>203</v>
      </c>
      <c r="G71" s="238"/>
      <c r="H71" s="239"/>
      <c r="I71" s="240">
        <v>0.43</v>
      </c>
      <c r="J71" s="241"/>
      <c r="K71" s="240">
        <v>0.39</v>
      </c>
      <c r="L71" s="241"/>
      <c r="M71" s="240" t="s">
        <v>21</v>
      </c>
      <c r="N71" s="241"/>
      <c r="O71" s="228"/>
      <c r="P71" s="229"/>
      <c r="Q71" s="228"/>
      <c r="R71" s="229"/>
      <c r="S71" s="667"/>
      <c r="T71" s="668"/>
      <c r="U71" s="667"/>
      <c r="V71" s="669"/>
      <c r="W71" s="247"/>
      <c r="AB71" s="2" t="str">
        <f t="shared" si="18"/>
        <v/>
      </c>
    </row>
    <row r="72" spans="1:28" ht="15" customHeight="1" x14ac:dyDescent="0.3">
      <c r="A72" s="20" t="str">
        <f t="shared" si="17"/>
        <v/>
      </c>
      <c r="B72" s="779"/>
      <c r="C72" s="782"/>
      <c r="D72" s="760"/>
      <c r="E72" s="727" t="s">
        <v>166</v>
      </c>
      <c r="F72" s="410" t="s">
        <v>203</v>
      </c>
      <c r="G72" s="238"/>
      <c r="H72" s="239"/>
      <c r="I72" s="240">
        <v>0.43</v>
      </c>
      <c r="J72" s="241"/>
      <c r="K72" s="240">
        <v>0.39</v>
      </c>
      <c r="L72" s="241"/>
      <c r="M72" s="240" t="s">
        <v>21</v>
      </c>
      <c r="N72" s="241"/>
      <c r="O72" s="228"/>
      <c r="P72" s="229"/>
      <c r="Q72" s="228"/>
      <c r="R72" s="229"/>
      <c r="S72" s="667"/>
      <c r="T72" s="668"/>
      <c r="U72" s="667"/>
      <c r="V72" s="669"/>
      <c r="W72" s="247"/>
      <c r="AB72" s="2" t="str">
        <f t="shared" si="18"/>
        <v/>
      </c>
    </row>
    <row r="73" spans="1:28" ht="15" customHeight="1" x14ac:dyDescent="0.3">
      <c r="A73" s="20" t="str">
        <f t="shared" si="17"/>
        <v>X</v>
      </c>
      <c r="B73" s="779"/>
      <c r="C73" s="782"/>
      <c r="D73" s="760"/>
      <c r="E73" s="721" t="s">
        <v>22</v>
      </c>
      <c r="F73" s="410" t="s">
        <v>62</v>
      </c>
      <c r="G73" s="238">
        <v>173</v>
      </c>
      <c r="H73" s="239">
        <v>62</v>
      </c>
      <c r="I73" s="240">
        <v>0.23</v>
      </c>
      <c r="J73" s="241">
        <v>39</v>
      </c>
      <c r="K73" s="240">
        <v>0.39</v>
      </c>
      <c r="L73" s="241">
        <v>75</v>
      </c>
      <c r="M73" s="240" t="s">
        <v>21</v>
      </c>
      <c r="N73" s="241" t="str">
        <f t="shared" si="24"/>
        <v>-</v>
      </c>
      <c r="O73" s="228"/>
      <c r="P73" s="229"/>
      <c r="Q73" s="228"/>
      <c r="R73" s="229"/>
      <c r="S73" s="667"/>
      <c r="T73" s="668"/>
      <c r="U73" s="667"/>
      <c r="V73" s="669"/>
      <c r="W73" s="247"/>
      <c r="AB73" s="2" t="str">
        <f t="shared" si="18"/>
        <v>Frontière</v>
      </c>
    </row>
    <row r="74" spans="1:28" ht="15" customHeight="1" x14ac:dyDescent="0.3">
      <c r="A74" s="20" t="str">
        <f t="shared" si="17"/>
        <v/>
      </c>
      <c r="B74" s="779"/>
      <c r="C74" s="782"/>
      <c r="D74" s="760"/>
      <c r="E74" s="727" t="s">
        <v>166</v>
      </c>
      <c r="F74" s="410"/>
      <c r="G74" s="238"/>
      <c r="H74" s="239"/>
      <c r="I74" s="240"/>
      <c r="J74" s="241"/>
      <c r="K74" s="240"/>
      <c r="L74" s="241"/>
      <c r="M74" s="240"/>
      <c r="N74" s="241"/>
      <c r="O74" s="228"/>
      <c r="P74" s="229"/>
      <c r="Q74" s="228"/>
      <c r="R74" s="229"/>
      <c r="S74" s="667"/>
      <c r="T74" s="668"/>
      <c r="U74" s="667"/>
      <c r="V74" s="669"/>
      <c r="W74" s="247"/>
    </row>
    <row r="75" spans="1:28" ht="15" customHeight="1" x14ac:dyDescent="0.3">
      <c r="A75" s="20" t="str">
        <f t="shared" si="17"/>
        <v/>
      </c>
      <c r="B75" s="779"/>
      <c r="C75" s="782"/>
      <c r="D75" s="760"/>
      <c r="E75" s="727" t="s">
        <v>166</v>
      </c>
      <c r="F75" s="410"/>
      <c r="G75" s="238"/>
      <c r="H75" s="239"/>
      <c r="I75" s="240"/>
      <c r="J75" s="241"/>
      <c r="K75" s="240"/>
      <c r="L75" s="241"/>
      <c r="M75" s="240"/>
      <c r="N75" s="241"/>
      <c r="O75" s="228"/>
      <c r="P75" s="229"/>
      <c r="Q75" s="228"/>
      <c r="R75" s="229"/>
      <c r="S75" s="667"/>
      <c r="T75" s="668"/>
      <c r="U75" s="667"/>
      <c r="V75" s="669"/>
      <c r="W75" s="247"/>
    </row>
    <row r="76" spans="1:28" ht="15" customHeight="1" x14ac:dyDescent="0.3">
      <c r="A76" s="20" t="str">
        <f t="shared" si="17"/>
        <v/>
      </c>
      <c r="B76" s="779"/>
      <c r="C76" s="782"/>
      <c r="D76" s="760"/>
      <c r="E76" s="728" t="s">
        <v>166</v>
      </c>
      <c r="F76" s="449"/>
      <c r="G76" s="243"/>
      <c r="H76" s="244"/>
      <c r="I76" s="245"/>
      <c r="J76" s="246"/>
      <c r="K76" s="245"/>
      <c r="L76" s="246"/>
      <c r="M76" s="245"/>
      <c r="N76" s="246"/>
      <c r="O76" s="230"/>
      <c r="P76" s="231"/>
      <c r="Q76" s="230"/>
      <c r="R76" s="231"/>
      <c r="S76" s="670"/>
      <c r="T76" s="671"/>
      <c r="U76" s="670"/>
      <c r="V76" s="672"/>
      <c r="W76" s="247"/>
    </row>
    <row r="77" spans="1:28" ht="15.6" x14ac:dyDescent="0.3">
      <c r="A77" s="20" t="str">
        <f t="shared" si="17"/>
        <v>S</v>
      </c>
      <c r="B77" s="784"/>
      <c r="C77" s="782"/>
      <c r="D77" s="309" t="s">
        <v>138</v>
      </c>
      <c r="E77" s="717"/>
      <c r="F77" s="16"/>
      <c r="G77" s="7">
        <f>SUM(G66:G76)</f>
        <v>1664</v>
      </c>
      <c r="H77" s="8">
        <f>SUM(H66:H76)</f>
        <v>509</v>
      </c>
      <c r="I77" s="9">
        <f>J77/G77</f>
        <v>0.42367788461538464</v>
      </c>
      <c r="J77" s="202">
        <f>SUM(J66:J76)</f>
        <v>705</v>
      </c>
      <c r="K77" s="51">
        <f>L77/G77</f>
        <v>0.41887019230769229</v>
      </c>
      <c r="L77" s="202">
        <f>SUM(L66:L76)</f>
        <v>697</v>
      </c>
      <c r="M77" s="9">
        <f>N77/L77</f>
        <v>0</v>
      </c>
      <c r="N77" s="202">
        <f>SUM(N66:N76)</f>
        <v>0</v>
      </c>
      <c r="O77" s="118">
        <f t="shared" ref="O77:V77" si="25">SUM(O66:O76)</f>
        <v>0</v>
      </c>
      <c r="P77" s="119">
        <f t="shared" si="25"/>
        <v>0</v>
      </c>
      <c r="Q77" s="118">
        <f t="shared" si="25"/>
        <v>0</v>
      </c>
      <c r="R77" s="119">
        <f t="shared" si="25"/>
        <v>0</v>
      </c>
      <c r="S77" s="118">
        <f t="shared" si="25"/>
        <v>0</v>
      </c>
      <c r="T77" s="119">
        <f t="shared" si="25"/>
        <v>0</v>
      </c>
      <c r="U77" s="118">
        <f t="shared" si="25"/>
        <v>0</v>
      </c>
      <c r="V77" s="120">
        <f t="shared" si="25"/>
        <v>0</v>
      </c>
      <c r="W77" s="205"/>
      <c r="AB77" s="2">
        <f t="shared" si="18"/>
        <v>0</v>
      </c>
    </row>
    <row r="78" spans="1:28" x14ac:dyDescent="0.3">
      <c r="A78" s="20" t="str">
        <f t="shared" si="17"/>
        <v/>
      </c>
      <c r="B78" s="779" t="s">
        <v>167</v>
      </c>
      <c r="C78" s="782" t="s">
        <v>76</v>
      </c>
      <c r="D78" s="757"/>
      <c r="E78" s="719" t="s">
        <v>171</v>
      </c>
      <c r="F78" s="232" t="s">
        <v>62</v>
      </c>
      <c r="G78" s="233"/>
      <c r="H78" s="234"/>
      <c r="I78" s="235">
        <v>0.63636363636363635</v>
      </c>
      <c r="J78" s="236"/>
      <c r="K78" s="235">
        <v>0.24242424242424243</v>
      </c>
      <c r="L78" s="236"/>
      <c r="M78" s="235">
        <v>0.875</v>
      </c>
      <c r="N78" s="236"/>
      <c r="O78" s="226"/>
      <c r="P78" s="227"/>
      <c r="Q78" s="226"/>
      <c r="R78" s="227"/>
      <c r="S78" s="284"/>
      <c r="T78" s="285"/>
      <c r="U78" s="284"/>
      <c r="V78" s="286"/>
      <c r="W78" s="205"/>
      <c r="X78" s="1" t="s">
        <v>172</v>
      </c>
      <c r="AB78" s="2" t="str">
        <f t="shared" si="18"/>
        <v/>
      </c>
    </row>
    <row r="79" spans="1:28" x14ac:dyDescent="0.3">
      <c r="A79" s="20" t="str">
        <f t="shared" si="17"/>
        <v/>
      </c>
      <c r="B79" s="779"/>
      <c r="C79" s="782"/>
      <c r="D79" s="757"/>
      <c r="E79" s="577" t="s">
        <v>173</v>
      </c>
      <c r="F79" s="237" t="s">
        <v>62</v>
      </c>
      <c r="G79" s="238"/>
      <c r="H79" s="239"/>
      <c r="I79" s="240">
        <v>0.60227272727272729</v>
      </c>
      <c r="J79" s="241"/>
      <c r="K79" s="240">
        <v>0.36363636363636365</v>
      </c>
      <c r="L79" s="241"/>
      <c r="M79" s="240">
        <v>0.84375</v>
      </c>
      <c r="N79" s="241"/>
      <c r="O79" s="228"/>
      <c r="P79" s="229"/>
      <c r="Q79" s="228"/>
      <c r="R79" s="229"/>
      <c r="S79" s="287"/>
      <c r="T79" s="288"/>
      <c r="U79" s="287"/>
      <c r="V79" s="289"/>
      <c r="W79" s="205"/>
      <c r="AB79" s="2" t="str">
        <f t="shared" si="18"/>
        <v/>
      </c>
    </row>
    <row r="80" spans="1:28" ht="15" customHeight="1" x14ac:dyDescent="0.3">
      <c r="A80" s="20" t="str">
        <f t="shared" si="17"/>
        <v/>
      </c>
      <c r="B80" s="779"/>
      <c r="C80" s="782"/>
      <c r="D80" s="757"/>
      <c r="E80" s="727" t="s">
        <v>166</v>
      </c>
      <c r="F80" s="237"/>
      <c r="G80" s="238"/>
      <c r="H80" s="239"/>
      <c r="I80" s="240">
        <v>0.6428571428571429</v>
      </c>
      <c r="J80" s="241"/>
      <c r="K80" s="240">
        <v>0.5</v>
      </c>
      <c r="L80" s="241"/>
      <c r="M80" s="240">
        <v>0.5714285714285714</v>
      </c>
      <c r="N80" s="241"/>
      <c r="O80" s="228"/>
      <c r="P80" s="229"/>
      <c r="Q80" s="228"/>
      <c r="R80" s="229"/>
      <c r="S80" s="287"/>
      <c r="T80" s="288"/>
      <c r="U80" s="287"/>
      <c r="V80" s="289"/>
      <c r="W80" s="205"/>
      <c r="AB80" s="2" t="str">
        <f t="shared" si="18"/>
        <v/>
      </c>
    </row>
    <row r="81" spans="1:28" ht="15" customHeight="1" x14ac:dyDescent="0.3">
      <c r="A81" s="20" t="str">
        <f t="shared" si="17"/>
        <v/>
      </c>
      <c r="B81" s="779"/>
      <c r="C81" s="782"/>
      <c r="D81" s="757"/>
      <c r="E81" s="727" t="s">
        <v>166</v>
      </c>
      <c r="F81" s="237"/>
      <c r="G81" s="238"/>
      <c r="H81" s="239"/>
      <c r="I81" s="240">
        <v>0.65217391304347827</v>
      </c>
      <c r="J81" s="241"/>
      <c r="K81" s="240">
        <v>0.47826086956521741</v>
      </c>
      <c r="L81" s="241"/>
      <c r="M81" s="240">
        <v>0.72727272727272729</v>
      </c>
      <c r="N81" s="241"/>
      <c r="O81" s="228"/>
      <c r="P81" s="229"/>
      <c r="Q81" s="228"/>
      <c r="R81" s="229"/>
      <c r="S81" s="287"/>
      <c r="T81" s="288"/>
      <c r="U81" s="287"/>
      <c r="V81" s="289"/>
      <c r="W81" s="205"/>
      <c r="AB81" s="2" t="str">
        <f t="shared" si="18"/>
        <v/>
      </c>
    </row>
    <row r="82" spans="1:28" ht="15" customHeight="1" x14ac:dyDescent="0.3">
      <c r="A82" s="20" t="str">
        <f t="shared" si="17"/>
        <v/>
      </c>
      <c r="B82" s="779"/>
      <c r="C82" s="782"/>
      <c r="D82" s="757"/>
      <c r="E82" s="727" t="s">
        <v>166</v>
      </c>
      <c r="F82" s="237" t="s">
        <v>203</v>
      </c>
      <c r="G82" s="238"/>
      <c r="H82" s="239"/>
      <c r="I82" s="240">
        <v>0.65217391304347827</v>
      </c>
      <c r="J82" s="241"/>
      <c r="K82" s="240">
        <v>0.47826086956521741</v>
      </c>
      <c r="L82" s="241"/>
      <c r="M82" s="240">
        <v>0.72727272727272729</v>
      </c>
      <c r="N82" s="241"/>
      <c r="O82" s="228"/>
      <c r="P82" s="229"/>
      <c r="Q82" s="228"/>
      <c r="R82" s="229"/>
      <c r="S82" s="287"/>
      <c r="T82" s="288"/>
      <c r="U82" s="287"/>
      <c r="V82" s="289"/>
      <c r="W82" s="205"/>
      <c r="AB82" s="2" t="str">
        <f t="shared" si="18"/>
        <v/>
      </c>
    </row>
    <row r="83" spans="1:28" ht="15" customHeight="1" x14ac:dyDescent="0.3">
      <c r="A83" s="20" t="str">
        <f t="shared" si="17"/>
        <v/>
      </c>
      <c r="B83" s="779"/>
      <c r="C83" s="782"/>
      <c r="D83" s="757"/>
      <c r="E83" s="727" t="s">
        <v>166</v>
      </c>
      <c r="F83" s="237" t="s">
        <v>203</v>
      </c>
      <c r="G83" s="238"/>
      <c r="H83" s="239"/>
      <c r="I83" s="240">
        <v>0.65217391304347827</v>
      </c>
      <c r="J83" s="241"/>
      <c r="K83" s="240">
        <v>0.47826086956521741</v>
      </c>
      <c r="L83" s="241"/>
      <c r="M83" s="240">
        <v>0.72727272727272729</v>
      </c>
      <c r="N83" s="241"/>
      <c r="O83" s="228"/>
      <c r="P83" s="229"/>
      <c r="Q83" s="228"/>
      <c r="R83" s="229"/>
      <c r="S83" s="287"/>
      <c r="T83" s="288"/>
      <c r="U83" s="287"/>
      <c r="V83" s="289"/>
      <c r="W83" s="205"/>
      <c r="AB83" s="2" t="str">
        <f t="shared" si="18"/>
        <v/>
      </c>
    </row>
    <row r="84" spans="1:28" ht="15" customHeight="1" x14ac:dyDescent="0.3">
      <c r="A84" s="20" t="str">
        <f t="shared" si="17"/>
        <v/>
      </c>
      <c r="B84" s="779"/>
      <c r="C84" s="782"/>
      <c r="D84" s="757"/>
      <c r="E84" s="728" t="s">
        <v>166</v>
      </c>
      <c r="F84" s="242"/>
      <c r="G84" s="243"/>
      <c r="H84" s="244"/>
      <c r="I84" s="245">
        <v>0.5</v>
      </c>
      <c r="J84" s="246"/>
      <c r="K84" s="245">
        <v>0.47222222222222221</v>
      </c>
      <c r="L84" s="246"/>
      <c r="M84" s="245">
        <v>0.76470588235294112</v>
      </c>
      <c r="N84" s="246"/>
      <c r="O84" s="230"/>
      <c r="P84" s="231"/>
      <c r="Q84" s="230"/>
      <c r="R84" s="231"/>
      <c r="S84" s="290"/>
      <c r="T84" s="291"/>
      <c r="U84" s="290"/>
      <c r="V84" s="292"/>
      <c r="W84" s="205"/>
      <c r="AB84" s="2" t="str">
        <f t="shared" si="18"/>
        <v/>
      </c>
    </row>
    <row r="85" spans="1:28" ht="15.6" x14ac:dyDescent="0.3">
      <c r="A85" s="20" t="str">
        <f t="shared" si="17"/>
        <v>S</v>
      </c>
      <c r="B85" s="784"/>
      <c r="C85" s="782"/>
      <c r="D85" s="309" t="s">
        <v>138</v>
      </c>
      <c r="E85" s="717"/>
      <c r="F85" s="16"/>
      <c r="G85" s="7">
        <f>SUM(G78:G84)</f>
        <v>0</v>
      </c>
      <c r="H85" s="8">
        <f>SUM(H78:H84)</f>
        <v>0</v>
      </c>
      <c r="I85" s="9" t="e">
        <f>J85/G85</f>
        <v>#DIV/0!</v>
      </c>
      <c r="J85" s="202">
        <f>SUM(J78:J84)</f>
        <v>0</v>
      </c>
      <c r="K85" s="51" t="e">
        <f>L85/G85</f>
        <v>#DIV/0!</v>
      </c>
      <c r="L85" s="202">
        <f>SUM(L78:L84)</f>
        <v>0</v>
      </c>
      <c r="M85" s="9" t="e">
        <f>N85/L85</f>
        <v>#DIV/0!</v>
      </c>
      <c r="N85" s="202">
        <f>SUM(N78:N84)</f>
        <v>0</v>
      </c>
      <c r="O85" s="118"/>
      <c r="P85" s="119"/>
      <c r="Q85" s="118"/>
      <c r="R85" s="119"/>
      <c r="S85" s="118">
        <f>SUM(S78:S84)</f>
        <v>0</v>
      </c>
      <c r="T85" s="119">
        <f>SUM(T78:T84)</f>
        <v>0</v>
      </c>
      <c r="U85" s="118">
        <f>SUM(U78:U84)</f>
        <v>0</v>
      </c>
      <c r="V85" s="120">
        <f>SUM(V78:V84)</f>
        <v>0</v>
      </c>
      <c r="W85" s="205"/>
      <c r="AB85" s="2" t="str">
        <f t="shared" si="18"/>
        <v/>
      </c>
    </row>
    <row r="86" spans="1:28" ht="15" customHeight="1" x14ac:dyDescent="0.3">
      <c r="A86" s="20" t="str">
        <f t="shared" si="17"/>
        <v>X</v>
      </c>
      <c r="B86" s="746" t="s">
        <v>1</v>
      </c>
      <c r="C86" s="749" t="s">
        <v>76</v>
      </c>
      <c r="D86" s="754">
        <v>12</v>
      </c>
      <c r="E86" s="719" t="s">
        <v>27</v>
      </c>
      <c r="F86" s="232" t="s">
        <v>62</v>
      </c>
      <c r="G86" s="233">
        <v>33</v>
      </c>
      <c r="H86" s="234">
        <v>33</v>
      </c>
      <c r="I86" s="235">
        <v>0.63636363636363635</v>
      </c>
      <c r="J86" s="236">
        <f t="shared" si="13"/>
        <v>21</v>
      </c>
      <c r="K86" s="235">
        <v>0.24242424242424243</v>
      </c>
      <c r="L86" s="236">
        <f t="shared" si="14"/>
        <v>8</v>
      </c>
      <c r="M86" s="235">
        <v>0.875</v>
      </c>
      <c r="N86" s="236">
        <f t="shared" si="24"/>
        <v>7</v>
      </c>
      <c r="O86" s="226"/>
      <c r="P86" s="227"/>
      <c r="Q86" s="226"/>
      <c r="R86" s="227"/>
      <c r="S86" s="284">
        <v>33</v>
      </c>
      <c r="T86" s="285">
        <v>33</v>
      </c>
      <c r="U86" s="284">
        <v>0</v>
      </c>
      <c r="V86" s="286">
        <v>0</v>
      </c>
      <c r="W86" s="205"/>
      <c r="AB86" s="2" t="str">
        <f t="shared" si="18"/>
        <v>Frontière</v>
      </c>
    </row>
    <row r="87" spans="1:28" ht="15" customHeight="1" x14ac:dyDescent="0.3">
      <c r="A87" s="20" t="str">
        <f t="shared" si="17"/>
        <v>X</v>
      </c>
      <c r="B87" s="747"/>
      <c r="C87" s="750"/>
      <c r="D87" s="755"/>
      <c r="E87" s="577" t="s">
        <v>28</v>
      </c>
      <c r="F87" s="237" t="s">
        <v>62</v>
      </c>
      <c r="G87" s="238">
        <v>88</v>
      </c>
      <c r="H87" s="239">
        <v>88</v>
      </c>
      <c r="I87" s="240">
        <v>0.60227272727272729</v>
      </c>
      <c r="J87" s="241">
        <f>I87*G87</f>
        <v>53</v>
      </c>
      <c r="K87" s="240">
        <v>0.36363636363636365</v>
      </c>
      <c r="L87" s="241">
        <f>K87*G87</f>
        <v>32</v>
      </c>
      <c r="M87" s="240">
        <v>0.84375</v>
      </c>
      <c r="N87" s="241">
        <f>IF(M87="-","-",M87*L87)</f>
        <v>27</v>
      </c>
      <c r="O87" s="228"/>
      <c r="P87" s="229"/>
      <c r="Q87" s="228"/>
      <c r="R87" s="229"/>
      <c r="S87" s="287">
        <v>78</v>
      </c>
      <c r="T87" s="288">
        <v>78</v>
      </c>
      <c r="U87" s="287">
        <v>10</v>
      </c>
      <c r="V87" s="289">
        <v>10</v>
      </c>
      <c r="W87" s="205"/>
      <c r="AB87" s="2" t="str">
        <f t="shared" si="18"/>
        <v>Frontière</v>
      </c>
    </row>
    <row r="88" spans="1:28" ht="15" customHeight="1" x14ac:dyDescent="0.3">
      <c r="A88" s="20" t="str">
        <f t="shared" si="17"/>
        <v>X</v>
      </c>
      <c r="B88" s="747"/>
      <c r="C88" s="750"/>
      <c r="D88" s="755"/>
      <c r="E88" s="577" t="s">
        <v>29</v>
      </c>
      <c r="F88" s="237" t="s">
        <v>62</v>
      </c>
      <c r="G88" s="238">
        <v>14</v>
      </c>
      <c r="H88" s="239">
        <v>14</v>
      </c>
      <c r="I88" s="240">
        <v>0.6428571428571429</v>
      </c>
      <c r="J88" s="241">
        <f t="shared" si="13"/>
        <v>9</v>
      </c>
      <c r="K88" s="240">
        <v>0.5</v>
      </c>
      <c r="L88" s="241">
        <f t="shared" si="14"/>
        <v>7</v>
      </c>
      <c r="M88" s="240">
        <v>0.5714285714285714</v>
      </c>
      <c r="N88" s="241">
        <f t="shared" si="24"/>
        <v>4</v>
      </c>
      <c r="O88" s="228"/>
      <c r="P88" s="229"/>
      <c r="Q88" s="228"/>
      <c r="R88" s="229"/>
      <c r="S88" s="287">
        <v>14</v>
      </c>
      <c r="T88" s="288">
        <v>14</v>
      </c>
      <c r="U88" s="287">
        <v>0</v>
      </c>
      <c r="V88" s="289">
        <v>0</v>
      </c>
      <c r="W88" s="205"/>
      <c r="AB88" s="2" t="str">
        <f t="shared" si="18"/>
        <v>Frontière</v>
      </c>
    </row>
    <row r="89" spans="1:28" ht="15" customHeight="1" x14ac:dyDescent="0.3">
      <c r="A89" s="20" t="str">
        <f t="shared" si="17"/>
        <v>X</v>
      </c>
      <c r="B89" s="747"/>
      <c r="C89" s="750"/>
      <c r="D89" s="755"/>
      <c r="E89" s="577" t="s">
        <v>30</v>
      </c>
      <c r="F89" s="237" t="s">
        <v>62</v>
      </c>
      <c r="G89" s="238">
        <v>23</v>
      </c>
      <c r="H89" s="239">
        <v>23</v>
      </c>
      <c r="I89" s="240">
        <v>0.65217391304347827</v>
      </c>
      <c r="J89" s="241">
        <f t="shared" si="13"/>
        <v>15</v>
      </c>
      <c r="K89" s="240">
        <v>0.47826086956521741</v>
      </c>
      <c r="L89" s="241">
        <f t="shared" si="14"/>
        <v>11</v>
      </c>
      <c r="M89" s="240">
        <v>0.72727272727272729</v>
      </c>
      <c r="N89" s="241">
        <f t="shared" si="24"/>
        <v>8</v>
      </c>
      <c r="O89" s="228"/>
      <c r="P89" s="229"/>
      <c r="Q89" s="228"/>
      <c r="R89" s="229"/>
      <c r="S89" s="287">
        <v>20</v>
      </c>
      <c r="T89" s="288">
        <v>20</v>
      </c>
      <c r="U89" s="287">
        <v>3</v>
      </c>
      <c r="V89" s="289">
        <v>3</v>
      </c>
      <c r="W89" s="205"/>
      <c r="AB89" s="2" t="str">
        <f t="shared" si="18"/>
        <v>Frontière</v>
      </c>
    </row>
    <row r="90" spans="1:28" ht="15" customHeight="1" x14ac:dyDescent="0.3">
      <c r="A90" s="20" t="str">
        <f t="shared" si="17"/>
        <v/>
      </c>
      <c r="B90" s="747"/>
      <c r="C90" s="750"/>
      <c r="D90" s="755"/>
      <c r="E90" s="577" t="s">
        <v>175</v>
      </c>
      <c r="F90" s="237" t="s">
        <v>62</v>
      </c>
      <c r="G90" s="238"/>
      <c r="H90" s="239"/>
      <c r="I90" s="240">
        <v>0.65217391304347827</v>
      </c>
      <c r="J90" s="241"/>
      <c r="K90" s="240">
        <v>0.47826086956521741</v>
      </c>
      <c r="L90" s="241"/>
      <c r="M90" s="240">
        <v>0.72727272727272729</v>
      </c>
      <c r="N90" s="241"/>
      <c r="O90" s="228"/>
      <c r="P90" s="229"/>
      <c r="Q90" s="228"/>
      <c r="R90" s="229"/>
      <c r="S90" s="287"/>
      <c r="T90" s="288"/>
      <c r="U90" s="287"/>
      <c r="V90" s="289"/>
      <c r="W90" s="205"/>
      <c r="AB90" s="2" t="str">
        <f t="shared" ref="AB90:AB162" si="26">IF(G90&gt;0,$F90,"")</f>
        <v/>
      </c>
    </row>
    <row r="91" spans="1:28" ht="15" customHeight="1" x14ac:dyDescent="0.3">
      <c r="A91" s="20" t="str">
        <f t="shared" si="17"/>
        <v/>
      </c>
      <c r="B91" s="747"/>
      <c r="C91" s="750"/>
      <c r="D91" s="755"/>
      <c r="E91" s="727" t="s">
        <v>166</v>
      </c>
      <c r="F91" s="237" t="s">
        <v>203</v>
      </c>
      <c r="G91" s="238"/>
      <c r="H91" s="239"/>
      <c r="I91" s="240">
        <v>0.65217391304347827</v>
      </c>
      <c r="J91" s="241"/>
      <c r="K91" s="240">
        <v>0.47826086956521741</v>
      </c>
      <c r="L91" s="241"/>
      <c r="M91" s="240">
        <v>0.72727272727272729</v>
      </c>
      <c r="N91" s="241"/>
      <c r="O91" s="228"/>
      <c r="P91" s="229"/>
      <c r="Q91" s="228"/>
      <c r="R91" s="229"/>
      <c r="S91" s="287"/>
      <c r="T91" s="288"/>
      <c r="U91" s="287"/>
      <c r="V91" s="289"/>
      <c r="W91" s="205"/>
      <c r="AB91" s="2" t="str">
        <f t="shared" si="26"/>
        <v/>
      </c>
    </row>
    <row r="92" spans="1:28" ht="15.75" customHeight="1" x14ac:dyDescent="0.3">
      <c r="A92" s="20" t="str">
        <f t="shared" si="17"/>
        <v/>
      </c>
      <c r="B92" s="747"/>
      <c r="C92" s="750"/>
      <c r="D92" s="755"/>
      <c r="E92" s="727" t="s">
        <v>166</v>
      </c>
      <c r="F92" s="237"/>
      <c r="G92" s="238"/>
      <c r="H92" s="239"/>
      <c r="I92" s="240"/>
      <c r="J92" s="241"/>
      <c r="K92" s="240"/>
      <c r="L92" s="241"/>
      <c r="M92" s="240"/>
      <c r="N92" s="241"/>
      <c r="O92" s="228"/>
      <c r="P92" s="229"/>
      <c r="Q92" s="228"/>
      <c r="R92" s="229"/>
      <c r="S92" s="287"/>
      <c r="T92" s="288"/>
      <c r="U92" s="287"/>
      <c r="V92" s="289"/>
      <c r="W92" s="205"/>
    </row>
    <row r="93" spans="1:28" ht="15.75" customHeight="1" x14ac:dyDescent="0.3">
      <c r="A93" s="20" t="str">
        <f t="shared" si="17"/>
        <v/>
      </c>
      <c r="B93" s="747"/>
      <c r="C93" s="750"/>
      <c r="D93" s="755"/>
      <c r="E93" s="727" t="s">
        <v>166</v>
      </c>
      <c r="F93" s="237"/>
      <c r="G93" s="238"/>
      <c r="H93" s="239"/>
      <c r="I93" s="240"/>
      <c r="J93" s="241"/>
      <c r="K93" s="240"/>
      <c r="L93" s="241"/>
      <c r="M93" s="240"/>
      <c r="N93" s="241"/>
      <c r="O93" s="228"/>
      <c r="P93" s="229"/>
      <c r="Q93" s="228"/>
      <c r="R93" s="229"/>
      <c r="S93" s="287"/>
      <c r="T93" s="288"/>
      <c r="U93" s="287"/>
      <c r="V93" s="289"/>
      <c r="W93" s="205"/>
    </row>
    <row r="94" spans="1:28" ht="15.75" customHeight="1" x14ac:dyDescent="0.3">
      <c r="A94" s="20" t="str">
        <f t="shared" si="17"/>
        <v/>
      </c>
      <c r="B94" s="747"/>
      <c r="C94" s="750"/>
      <c r="D94" s="756"/>
      <c r="E94" s="728" t="s">
        <v>166</v>
      </c>
      <c r="F94" s="242"/>
      <c r="G94" s="243"/>
      <c r="H94" s="244"/>
      <c r="I94" s="245"/>
      <c r="J94" s="246"/>
      <c r="K94" s="245"/>
      <c r="L94" s="246"/>
      <c r="M94" s="245"/>
      <c r="N94" s="246"/>
      <c r="O94" s="230"/>
      <c r="P94" s="231"/>
      <c r="Q94" s="230"/>
      <c r="R94" s="231"/>
      <c r="S94" s="290"/>
      <c r="T94" s="291"/>
      <c r="U94" s="290"/>
      <c r="V94" s="292"/>
      <c r="W94" s="205"/>
    </row>
    <row r="95" spans="1:28" ht="15.6" x14ac:dyDescent="0.3">
      <c r="A95" s="20" t="str">
        <f t="shared" si="17"/>
        <v>S</v>
      </c>
      <c r="B95" s="753"/>
      <c r="C95" s="752"/>
      <c r="D95" s="309" t="s">
        <v>138</v>
      </c>
      <c r="E95" s="717"/>
      <c r="F95" s="16"/>
      <c r="G95" s="7">
        <f>SUM(G86:G94)</f>
        <v>158</v>
      </c>
      <c r="H95" s="8">
        <f>SUM(H86:H94)</f>
        <v>158</v>
      </c>
      <c r="I95" s="9">
        <f>J95/G95</f>
        <v>0.620253164556962</v>
      </c>
      <c r="J95" s="202">
        <f>SUM(J86:J94)</f>
        <v>98</v>
      </c>
      <c r="K95" s="51">
        <f>L95/G95</f>
        <v>0.36708860759493672</v>
      </c>
      <c r="L95" s="202">
        <f>SUM(L86:L94)</f>
        <v>58</v>
      </c>
      <c r="M95" s="9">
        <f>N95/L95</f>
        <v>0.7931034482758621</v>
      </c>
      <c r="N95" s="202">
        <f t="shared" ref="N95:V95" si="27">SUM(N86:N94)</f>
        <v>46</v>
      </c>
      <c r="O95" s="118">
        <f t="shared" si="27"/>
        <v>0</v>
      </c>
      <c r="P95" s="119">
        <f t="shared" si="27"/>
        <v>0</v>
      </c>
      <c r="Q95" s="118">
        <f t="shared" si="27"/>
        <v>0</v>
      </c>
      <c r="R95" s="119">
        <f t="shared" si="27"/>
        <v>0</v>
      </c>
      <c r="S95" s="118">
        <f t="shared" si="27"/>
        <v>145</v>
      </c>
      <c r="T95" s="119">
        <f t="shared" si="27"/>
        <v>145</v>
      </c>
      <c r="U95" s="118">
        <f t="shared" si="27"/>
        <v>13</v>
      </c>
      <c r="V95" s="120">
        <f t="shared" si="27"/>
        <v>13</v>
      </c>
      <c r="W95" s="205"/>
      <c r="AB95" s="2">
        <f t="shared" si="26"/>
        <v>0</v>
      </c>
    </row>
    <row r="96" spans="1:28" ht="15" customHeight="1" x14ac:dyDescent="0.3">
      <c r="A96" s="20" t="str">
        <f t="shared" si="17"/>
        <v>X</v>
      </c>
      <c r="B96" s="779" t="s">
        <v>45</v>
      </c>
      <c r="C96" s="775" t="s">
        <v>76</v>
      </c>
      <c r="D96" s="759">
        <v>10</v>
      </c>
      <c r="E96" s="720" t="s">
        <v>32</v>
      </c>
      <c r="F96" s="232" t="s">
        <v>62</v>
      </c>
      <c r="G96" s="233">
        <v>59</v>
      </c>
      <c r="H96" s="234">
        <f>G96</f>
        <v>59</v>
      </c>
      <c r="I96" s="235">
        <v>0.51</v>
      </c>
      <c r="J96" s="236">
        <f t="shared" si="13"/>
        <v>30.09</v>
      </c>
      <c r="K96" s="235">
        <v>0.44</v>
      </c>
      <c r="L96" s="236">
        <f t="shared" si="14"/>
        <v>25.96</v>
      </c>
      <c r="M96" s="235">
        <v>0.62</v>
      </c>
      <c r="N96" s="236">
        <f t="shared" si="24"/>
        <v>16.095200000000002</v>
      </c>
      <c r="O96" s="226"/>
      <c r="P96" s="227"/>
      <c r="Q96" s="226"/>
      <c r="R96" s="227"/>
      <c r="S96" s="284"/>
      <c r="T96" s="285"/>
      <c r="U96" s="284"/>
      <c r="V96" s="286"/>
      <c r="W96" s="205"/>
      <c r="AB96" s="2" t="str">
        <f t="shared" si="26"/>
        <v>Frontière</v>
      </c>
    </row>
    <row r="97" spans="1:28" ht="15" customHeight="1" x14ac:dyDescent="0.3">
      <c r="A97" s="20" t="str">
        <f t="shared" si="17"/>
        <v>X</v>
      </c>
      <c r="B97" s="779"/>
      <c r="C97" s="775"/>
      <c r="D97" s="759"/>
      <c r="E97" s="721" t="s">
        <v>33</v>
      </c>
      <c r="F97" s="237" t="s">
        <v>62</v>
      </c>
      <c r="G97" s="238">
        <v>45</v>
      </c>
      <c r="H97" s="239">
        <f>G97</f>
        <v>45</v>
      </c>
      <c r="I97" s="240">
        <v>0.57999999999999996</v>
      </c>
      <c r="J97" s="241">
        <f t="shared" si="13"/>
        <v>26.099999999999998</v>
      </c>
      <c r="K97" s="240">
        <v>0.44</v>
      </c>
      <c r="L97" s="241">
        <f t="shared" si="14"/>
        <v>19.8</v>
      </c>
      <c r="M97" s="240">
        <v>0.65</v>
      </c>
      <c r="N97" s="241">
        <f t="shared" si="24"/>
        <v>12.870000000000001</v>
      </c>
      <c r="O97" s="228"/>
      <c r="P97" s="229"/>
      <c r="Q97" s="228"/>
      <c r="R97" s="229"/>
      <c r="S97" s="287"/>
      <c r="T97" s="288"/>
      <c r="U97" s="287"/>
      <c r="V97" s="289"/>
      <c r="W97" s="205"/>
      <c r="AB97" s="2" t="str">
        <f t="shared" si="26"/>
        <v>Frontière</v>
      </c>
    </row>
    <row r="98" spans="1:28" ht="15" customHeight="1" x14ac:dyDescent="0.3">
      <c r="A98" s="20" t="str">
        <f t="shared" si="17"/>
        <v>X</v>
      </c>
      <c r="B98" s="779"/>
      <c r="C98" s="775"/>
      <c r="D98" s="759"/>
      <c r="E98" s="721" t="s">
        <v>47</v>
      </c>
      <c r="F98" s="237" t="s">
        <v>62</v>
      </c>
      <c r="G98" s="238">
        <v>16</v>
      </c>
      <c r="H98" s="239">
        <f t="shared" ref="H98:H100" si="28">G98</f>
        <v>16</v>
      </c>
      <c r="I98" s="240">
        <v>0.44</v>
      </c>
      <c r="J98" s="241">
        <f t="shared" si="13"/>
        <v>7.04</v>
      </c>
      <c r="K98" s="240">
        <v>0.31</v>
      </c>
      <c r="L98" s="241">
        <f t="shared" si="14"/>
        <v>4.96</v>
      </c>
      <c r="M98" s="240">
        <v>0.4</v>
      </c>
      <c r="N98" s="241">
        <f t="shared" si="24"/>
        <v>1.984</v>
      </c>
      <c r="O98" s="228"/>
      <c r="P98" s="229"/>
      <c r="Q98" s="228"/>
      <c r="R98" s="229"/>
      <c r="S98" s="287"/>
      <c r="T98" s="288"/>
      <c r="U98" s="287"/>
      <c r="V98" s="289"/>
      <c r="W98" s="205"/>
      <c r="AB98" s="2" t="str">
        <f t="shared" si="26"/>
        <v>Frontière</v>
      </c>
    </row>
    <row r="99" spans="1:28" ht="15" customHeight="1" x14ac:dyDescent="0.3">
      <c r="A99" s="20" t="str">
        <f t="shared" si="17"/>
        <v>X</v>
      </c>
      <c r="B99" s="779"/>
      <c r="C99" s="775"/>
      <c r="D99" s="759"/>
      <c r="E99" s="721" t="s">
        <v>46</v>
      </c>
      <c r="F99" s="237" t="s">
        <v>62</v>
      </c>
      <c r="G99" s="238">
        <v>31</v>
      </c>
      <c r="H99" s="239">
        <f t="shared" si="28"/>
        <v>31</v>
      </c>
      <c r="I99" s="240">
        <v>0.28999999999999998</v>
      </c>
      <c r="J99" s="241">
        <f t="shared" si="13"/>
        <v>8.99</v>
      </c>
      <c r="K99" s="240">
        <v>0.32</v>
      </c>
      <c r="L99" s="241">
        <f t="shared" si="14"/>
        <v>9.92</v>
      </c>
      <c r="M99" s="240">
        <v>0.3</v>
      </c>
      <c r="N99" s="241">
        <f t="shared" si="24"/>
        <v>2.976</v>
      </c>
      <c r="O99" s="228"/>
      <c r="P99" s="229"/>
      <c r="Q99" s="228"/>
      <c r="R99" s="229"/>
      <c r="S99" s="287"/>
      <c r="T99" s="288"/>
      <c r="U99" s="287"/>
      <c r="V99" s="289"/>
      <c r="W99" s="205"/>
      <c r="AB99" s="2" t="str">
        <f t="shared" si="26"/>
        <v>Frontière</v>
      </c>
    </row>
    <row r="100" spans="1:28" ht="15" customHeight="1" x14ac:dyDescent="0.3">
      <c r="A100" s="20" t="str">
        <f t="shared" si="17"/>
        <v>X</v>
      </c>
      <c r="B100" s="779"/>
      <c r="C100" s="775"/>
      <c r="D100" s="759"/>
      <c r="E100" s="721" t="s">
        <v>35</v>
      </c>
      <c r="F100" s="237" t="s">
        <v>62</v>
      </c>
      <c r="G100" s="238">
        <v>3</v>
      </c>
      <c r="H100" s="239">
        <f t="shared" si="28"/>
        <v>3</v>
      </c>
      <c r="I100" s="240">
        <v>0</v>
      </c>
      <c r="J100" s="241">
        <f t="shared" si="13"/>
        <v>0</v>
      </c>
      <c r="K100" s="240">
        <v>0</v>
      </c>
      <c r="L100" s="241">
        <f t="shared" si="14"/>
        <v>0</v>
      </c>
      <c r="M100" s="240" t="s">
        <v>21</v>
      </c>
      <c r="N100" s="241" t="str">
        <f t="shared" si="24"/>
        <v>-</v>
      </c>
      <c r="O100" s="228"/>
      <c r="P100" s="229"/>
      <c r="Q100" s="228"/>
      <c r="R100" s="229"/>
      <c r="S100" s="287"/>
      <c r="T100" s="288"/>
      <c r="U100" s="287"/>
      <c r="V100" s="289"/>
      <c r="W100" s="205"/>
      <c r="AB100" s="2" t="str">
        <f t="shared" si="26"/>
        <v>Frontière</v>
      </c>
    </row>
    <row r="101" spans="1:28" ht="15" customHeight="1" x14ac:dyDescent="0.3">
      <c r="A101" s="20" t="str">
        <f t="shared" si="17"/>
        <v>X</v>
      </c>
      <c r="B101" s="779"/>
      <c r="C101" s="775"/>
      <c r="D101" s="759"/>
      <c r="E101" s="721" t="s">
        <v>34</v>
      </c>
      <c r="F101" s="237" t="s">
        <v>62</v>
      </c>
      <c r="G101" s="238">
        <v>13</v>
      </c>
      <c r="H101" s="239">
        <f>G101</f>
        <v>13</v>
      </c>
      <c r="I101" s="240">
        <v>0.23</v>
      </c>
      <c r="J101" s="241">
        <f t="shared" si="13"/>
        <v>2.99</v>
      </c>
      <c r="K101" s="240">
        <v>0.15</v>
      </c>
      <c r="L101" s="241">
        <f t="shared" si="14"/>
        <v>1.95</v>
      </c>
      <c r="M101" s="240">
        <v>0.5</v>
      </c>
      <c r="N101" s="241">
        <f t="shared" si="24"/>
        <v>0.97499999999999998</v>
      </c>
      <c r="O101" s="228"/>
      <c r="P101" s="229"/>
      <c r="Q101" s="228"/>
      <c r="R101" s="229"/>
      <c r="S101" s="287"/>
      <c r="T101" s="288"/>
      <c r="U101" s="287"/>
      <c r="V101" s="289"/>
      <c r="W101" s="205"/>
      <c r="AB101" s="2" t="str">
        <f t="shared" si="26"/>
        <v>Frontière</v>
      </c>
    </row>
    <row r="102" spans="1:28" ht="15.75" customHeight="1" x14ac:dyDescent="0.3">
      <c r="A102" s="20" t="str">
        <f t="shared" si="17"/>
        <v/>
      </c>
      <c r="B102" s="779"/>
      <c r="C102" s="775"/>
      <c r="D102" s="759"/>
      <c r="E102" s="721" t="s">
        <v>147</v>
      </c>
      <c r="F102" s="237" t="s">
        <v>62</v>
      </c>
      <c r="G102" s="238"/>
      <c r="H102" s="239"/>
      <c r="I102" s="240"/>
      <c r="J102" s="241"/>
      <c r="K102" s="240"/>
      <c r="L102" s="241"/>
      <c r="M102" s="240"/>
      <c r="N102" s="241"/>
      <c r="O102" s="228"/>
      <c r="P102" s="229"/>
      <c r="Q102" s="228"/>
      <c r="R102" s="229"/>
      <c r="S102" s="287"/>
      <c r="T102" s="288"/>
      <c r="U102" s="287"/>
      <c r="V102" s="289"/>
      <c r="W102" s="205"/>
      <c r="AB102" s="2" t="str">
        <f t="shared" si="26"/>
        <v/>
      </c>
    </row>
    <row r="103" spans="1:28" ht="15.75" customHeight="1" x14ac:dyDescent="0.3">
      <c r="A103" s="20" t="str">
        <f t="shared" si="17"/>
        <v/>
      </c>
      <c r="B103" s="779"/>
      <c r="C103" s="775"/>
      <c r="D103" s="759"/>
      <c r="E103" s="727" t="s">
        <v>166</v>
      </c>
      <c r="F103" s="237" t="s">
        <v>62</v>
      </c>
      <c r="G103" s="238"/>
      <c r="H103" s="239"/>
      <c r="I103" s="240"/>
      <c r="J103" s="241"/>
      <c r="K103" s="240"/>
      <c r="L103" s="241"/>
      <c r="M103" s="240"/>
      <c r="N103" s="241"/>
      <c r="O103" s="228"/>
      <c r="P103" s="229"/>
      <c r="Q103" s="228"/>
      <c r="R103" s="229"/>
      <c r="S103" s="287"/>
      <c r="T103" s="288"/>
      <c r="U103" s="287"/>
      <c r="V103" s="289"/>
      <c r="W103" s="205"/>
      <c r="AB103" s="2" t="str">
        <f t="shared" si="26"/>
        <v/>
      </c>
    </row>
    <row r="104" spans="1:28" ht="15.75" customHeight="1" x14ac:dyDescent="0.3">
      <c r="A104" s="20" t="str">
        <f t="shared" si="17"/>
        <v/>
      </c>
      <c r="B104" s="779"/>
      <c r="C104" s="775"/>
      <c r="D104" s="759"/>
      <c r="E104" s="727" t="s">
        <v>166</v>
      </c>
      <c r="F104" s="237" t="s">
        <v>62</v>
      </c>
      <c r="G104" s="238"/>
      <c r="H104" s="239"/>
      <c r="I104" s="240"/>
      <c r="J104" s="241"/>
      <c r="K104" s="240"/>
      <c r="L104" s="241"/>
      <c r="M104" s="240"/>
      <c r="N104" s="241"/>
      <c r="O104" s="228"/>
      <c r="P104" s="229"/>
      <c r="Q104" s="228"/>
      <c r="R104" s="229"/>
      <c r="S104" s="287"/>
      <c r="T104" s="288"/>
      <c r="U104" s="287"/>
      <c r="V104" s="289"/>
      <c r="W104" s="205"/>
      <c r="AB104" s="2" t="str">
        <f t="shared" si="26"/>
        <v/>
      </c>
    </row>
    <row r="105" spans="1:28" ht="15.75" customHeight="1" x14ac:dyDescent="0.3">
      <c r="A105" s="20" t="str">
        <f t="shared" si="17"/>
        <v/>
      </c>
      <c r="B105" s="779"/>
      <c r="C105" s="775"/>
      <c r="D105" s="759"/>
      <c r="E105" s="721" t="s">
        <v>146</v>
      </c>
      <c r="F105" s="237" t="s">
        <v>62</v>
      </c>
      <c r="G105" s="238"/>
      <c r="H105" s="239"/>
      <c r="I105" s="240"/>
      <c r="J105" s="241"/>
      <c r="K105" s="240"/>
      <c r="L105" s="241"/>
      <c r="M105" s="240"/>
      <c r="N105" s="241"/>
      <c r="O105" s="228"/>
      <c r="P105" s="229"/>
      <c r="Q105" s="228"/>
      <c r="R105" s="229"/>
      <c r="S105" s="287"/>
      <c r="T105" s="288"/>
      <c r="U105" s="287"/>
      <c r="V105" s="289"/>
      <c r="W105" s="205"/>
      <c r="AB105" s="2" t="str">
        <f t="shared" si="26"/>
        <v/>
      </c>
    </row>
    <row r="106" spans="1:28" ht="15.75" customHeight="1" x14ac:dyDescent="0.3">
      <c r="A106" s="20" t="str">
        <f t="shared" si="17"/>
        <v/>
      </c>
      <c r="B106" s="779"/>
      <c r="C106" s="775"/>
      <c r="D106" s="759"/>
      <c r="E106" s="727" t="s">
        <v>166</v>
      </c>
      <c r="F106" s="237"/>
      <c r="G106" s="238"/>
      <c r="H106" s="239"/>
      <c r="I106" s="240"/>
      <c r="J106" s="241"/>
      <c r="K106" s="240"/>
      <c r="L106" s="241"/>
      <c r="M106" s="240"/>
      <c r="N106" s="241"/>
      <c r="O106" s="228"/>
      <c r="P106" s="229"/>
      <c r="Q106" s="228"/>
      <c r="R106" s="229"/>
      <c r="S106" s="287"/>
      <c r="T106" s="288"/>
      <c r="U106" s="287"/>
      <c r="V106" s="289"/>
      <c r="W106" s="205"/>
    </row>
    <row r="107" spans="1:28" ht="15.75" customHeight="1" x14ac:dyDescent="0.3">
      <c r="A107" s="20" t="str">
        <f t="shared" si="17"/>
        <v/>
      </c>
      <c r="B107" s="779"/>
      <c r="C107" s="775"/>
      <c r="D107" s="759"/>
      <c r="E107" s="727" t="s">
        <v>166</v>
      </c>
      <c r="F107" s="237"/>
      <c r="G107" s="238"/>
      <c r="H107" s="239"/>
      <c r="I107" s="240"/>
      <c r="J107" s="241"/>
      <c r="K107" s="240"/>
      <c r="L107" s="241"/>
      <c r="M107" s="240"/>
      <c r="N107" s="241"/>
      <c r="O107" s="228"/>
      <c r="P107" s="229"/>
      <c r="Q107" s="228"/>
      <c r="R107" s="229"/>
      <c r="S107" s="287"/>
      <c r="T107" s="288"/>
      <c r="U107" s="287"/>
      <c r="V107" s="289"/>
      <c r="W107" s="205"/>
    </row>
    <row r="108" spans="1:28" ht="15.75" customHeight="1" x14ac:dyDescent="0.3">
      <c r="A108" s="20" t="str">
        <f t="shared" si="17"/>
        <v/>
      </c>
      <c r="B108" s="779"/>
      <c r="C108" s="775"/>
      <c r="D108" s="759"/>
      <c r="E108" s="728" t="s">
        <v>166</v>
      </c>
      <c r="F108" s="242"/>
      <c r="G108" s="243"/>
      <c r="H108" s="244"/>
      <c r="I108" s="245"/>
      <c r="J108" s="246"/>
      <c r="K108" s="245"/>
      <c r="L108" s="246"/>
      <c r="M108" s="245"/>
      <c r="N108" s="246"/>
      <c r="O108" s="230"/>
      <c r="P108" s="231"/>
      <c r="Q108" s="230"/>
      <c r="R108" s="231"/>
      <c r="S108" s="290"/>
      <c r="T108" s="291"/>
      <c r="U108" s="290"/>
      <c r="V108" s="292"/>
      <c r="W108" s="205"/>
    </row>
    <row r="109" spans="1:28" ht="15.6" x14ac:dyDescent="0.3">
      <c r="A109" s="20" t="str">
        <f t="shared" si="17"/>
        <v>S</v>
      </c>
      <c r="B109" s="784"/>
      <c r="C109" s="775"/>
      <c r="D109" s="309" t="s">
        <v>138</v>
      </c>
      <c r="E109" s="718"/>
      <c r="F109" s="16"/>
      <c r="G109" s="7">
        <f>SUM(G96:G108)</f>
        <v>167</v>
      </c>
      <c r="H109" s="8">
        <f>SUM(H96:H108)</f>
        <v>167</v>
      </c>
      <c r="I109" s="9">
        <f>J109/G109</f>
        <v>0.45035928143712572</v>
      </c>
      <c r="J109" s="202">
        <f>SUM(J96:J108)</f>
        <v>75.209999999999994</v>
      </c>
      <c r="K109" s="51">
        <f>L109/G109</f>
        <v>0.37479041916167671</v>
      </c>
      <c r="L109" s="202">
        <f>SUM(L96:L108)</f>
        <v>62.590000000000011</v>
      </c>
      <c r="M109" s="9">
        <f>N109/L109</f>
        <v>0.55760025563189008</v>
      </c>
      <c r="N109" s="202">
        <f t="shared" ref="N109:V109" si="29">SUM(N96:N108)</f>
        <v>34.900200000000005</v>
      </c>
      <c r="O109" s="118">
        <f t="shared" si="29"/>
        <v>0</v>
      </c>
      <c r="P109" s="119">
        <f t="shared" si="29"/>
        <v>0</v>
      </c>
      <c r="Q109" s="118">
        <f t="shared" si="29"/>
        <v>0</v>
      </c>
      <c r="R109" s="119">
        <f t="shared" si="29"/>
        <v>0</v>
      </c>
      <c r="S109" s="118">
        <f t="shared" si="29"/>
        <v>0</v>
      </c>
      <c r="T109" s="119">
        <f t="shared" si="29"/>
        <v>0</v>
      </c>
      <c r="U109" s="118">
        <f t="shared" si="29"/>
        <v>0</v>
      </c>
      <c r="V109" s="120">
        <f t="shared" si="29"/>
        <v>0</v>
      </c>
      <c r="W109" s="205"/>
      <c r="AB109" s="2">
        <f t="shared" si="26"/>
        <v>0</v>
      </c>
    </row>
    <row r="110" spans="1:28" x14ac:dyDescent="0.3">
      <c r="A110" s="20" t="str">
        <f t="shared" si="17"/>
        <v/>
      </c>
      <c r="B110" s="773" t="s">
        <v>2</v>
      </c>
      <c r="C110" s="782" t="s">
        <v>76</v>
      </c>
      <c r="D110" s="760">
        <v>14</v>
      </c>
      <c r="E110" s="720" t="s">
        <v>154</v>
      </c>
      <c r="F110" s="232" t="s">
        <v>62</v>
      </c>
      <c r="G110" s="673"/>
      <c r="H110" s="674"/>
      <c r="I110" s="224"/>
      <c r="J110" s="236"/>
      <c r="K110" s="235"/>
      <c r="L110" s="236"/>
      <c r="M110" s="224"/>
      <c r="N110" s="236"/>
      <c r="O110" s="226"/>
      <c r="P110" s="227"/>
      <c r="Q110" s="226"/>
      <c r="R110" s="227"/>
      <c r="S110" s="284"/>
      <c r="T110" s="285"/>
      <c r="U110" s="284"/>
      <c r="V110" s="286"/>
      <c r="W110" s="259"/>
      <c r="X110" s="221"/>
      <c r="AB110" s="2" t="str">
        <f t="shared" si="26"/>
        <v/>
      </c>
    </row>
    <row r="111" spans="1:28" ht="15.75" customHeight="1" x14ac:dyDescent="0.3">
      <c r="A111" s="20" t="str">
        <f t="shared" si="17"/>
        <v/>
      </c>
      <c r="B111" s="773"/>
      <c r="C111" s="782"/>
      <c r="D111" s="760"/>
      <c r="E111" s="721" t="s">
        <v>155</v>
      </c>
      <c r="F111" s="237" t="s">
        <v>62</v>
      </c>
      <c r="G111" s="675"/>
      <c r="H111" s="676"/>
      <c r="I111" s="225"/>
      <c r="J111" s="241"/>
      <c r="K111" s="240"/>
      <c r="L111" s="241"/>
      <c r="M111" s="225"/>
      <c r="N111" s="241"/>
      <c r="O111" s="228"/>
      <c r="P111" s="229"/>
      <c r="Q111" s="228"/>
      <c r="R111" s="229"/>
      <c r="S111" s="287"/>
      <c r="T111" s="288"/>
      <c r="U111" s="287"/>
      <c r="V111" s="289"/>
      <c r="W111" s="260"/>
      <c r="X111" s="222"/>
      <c r="AB111" s="2" t="str">
        <f t="shared" si="26"/>
        <v/>
      </c>
    </row>
    <row r="112" spans="1:28" ht="15.75" customHeight="1" x14ac:dyDescent="0.3">
      <c r="A112" s="20" t="str">
        <f t="shared" si="17"/>
        <v/>
      </c>
      <c r="B112" s="773"/>
      <c r="C112" s="782"/>
      <c r="D112" s="760"/>
      <c r="E112" s="721" t="s">
        <v>156</v>
      </c>
      <c r="F112" s="237" t="s">
        <v>62</v>
      </c>
      <c r="G112" s="675"/>
      <c r="H112" s="676"/>
      <c r="I112" s="225"/>
      <c r="J112" s="241"/>
      <c r="K112" s="240"/>
      <c r="L112" s="241"/>
      <c r="M112" s="225"/>
      <c r="N112" s="241"/>
      <c r="O112" s="228"/>
      <c r="P112" s="229"/>
      <c r="Q112" s="228"/>
      <c r="R112" s="229"/>
      <c r="S112" s="287"/>
      <c r="T112" s="288"/>
      <c r="U112" s="287"/>
      <c r="V112" s="289"/>
      <c r="W112" s="260"/>
      <c r="X112" s="222"/>
      <c r="AB112" s="2" t="str">
        <f t="shared" si="26"/>
        <v/>
      </c>
    </row>
    <row r="113" spans="1:28" ht="15" customHeight="1" x14ac:dyDescent="0.3">
      <c r="A113" s="20" t="str">
        <f t="shared" si="17"/>
        <v>X</v>
      </c>
      <c r="B113" s="773"/>
      <c r="C113" s="782"/>
      <c r="D113" s="760"/>
      <c r="E113" s="721" t="s">
        <v>37</v>
      </c>
      <c r="F113" s="410" t="s">
        <v>62</v>
      </c>
      <c r="G113" s="238">
        <v>217</v>
      </c>
      <c r="H113" s="239">
        <v>102</v>
      </c>
      <c r="I113" s="240">
        <v>0.28999999999999998</v>
      </c>
      <c r="J113" s="241">
        <f t="shared" si="13"/>
        <v>62.929999999999993</v>
      </c>
      <c r="K113" s="240">
        <v>0.32</v>
      </c>
      <c r="L113" s="241">
        <v>69</v>
      </c>
      <c r="M113" s="240" t="s">
        <v>21</v>
      </c>
      <c r="N113" s="241" t="str">
        <f t="shared" si="24"/>
        <v>-</v>
      </c>
      <c r="O113" s="228">
        <v>27</v>
      </c>
      <c r="P113" s="229">
        <v>8</v>
      </c>
      <c r="Q113" s="228">
        <v>33</v>
      </c>
      <c r="R113" s="229">
        <v>14</v>
      </c>
      <c r="S113" s="287">
        <v>241</v>
      </c>
      <c r="T113" s="288">
        <v>112</v>
      </c>
      <c r="U113" s="287">
        <v>9</v>
      </c>
      <c r="V113" s="289">
        <v>4</v>
      </c>
      <c r="W113" s="260"/>
      <c r="X113" s="222"/>
      <c r="AB113" s="2" t="str">
        <f t="shared" si="26"/>
        <v>Frontière</v>
      </c>
    </row>
    <row r="114" spans="1:28" ht="15" customHeight="1" x14ac:dyDescent="0.3">
      <c r="A114" s="20" t="str">
        <f t="shared" ref="A114:A159" si="30">IF(D114="Sous-total","S",IF(G114="","","X"))</f>
        <v>X</v>
      </c>
      <c r="B114" s="773"/>
      <c r="C114" s="782"/>
      <c r="D114" s="760"/>
      <c r="E114" s="721" t="s">
        <v>157</v>
      </c>
      <c r="F114" s="410" t="s">
        <v>62</v>
      </c>
      <c r="G114" s="238">
        <v>156</v>
      </c>
      <c r="H114" s="239">
        <v>87</v>
      </c>
      <c r="I114" s="240">
        <v>0.4</v>
      </c>
      <c r="J114" s="241">
        <f t="shared" si="13"/>
        <v>62.400000000000006</v>
      </c>
      <c r="K114" s="240">
        <v>0.39</v>
      </c>
      <c r="L114" s="241">
        <v>61</v>
      </c>
      <c r="M114" s="240" t="s">
        <v>21</v>
      </c>
      <c r="N114" s="241" t="str">
        <f t="shared" si="24"/>
        <v>-</v>
      </c>
      <c r="O114" s="228">
        <v>7</v>
      </c>
      <c r="P114" s="229">
        <v>5</v>
      </c>
      <c r="Q114" s="228">
        <v>4</v>
      </c>
      <c r="R114" s="229">
        <v>1</v>
      </c>
      <c r="S114" s="287">
        <v>146</v>
      </c>
      <c r="T114" s="288">
        <v>81</v>
      </c>
      <c r="U114" s="287">
        <v>14</v>
      </c>
      <c r="V114" s="289">
        <v>7</v>
      </c>
      <c r="W114" s="260"/>
      <c r="X114" s="222"/>
      <c r="AB114" s="2" t="str">
        <f t="shared" si="26"/>
        <v>Frontière</v>
      </c>
    </row>
    <row r="115" spans="1:28" ht="15" customHeight="1" x14ac:dyDescent="0.3">
      <c r="A115" s="20" t="str">
        <f t="shared" si="30"/>
        <v>X</v>
      </c>
      <c r="B115" s="773"/>
      <c r="C115" s="782"/>
      <c r="D115" s="760"/>
      <c r="E115" s="721" t="s">
        <v>38</v>
      </c>
      <c r="F115" s="410" t="s">
        <v>62</v>
      </c>
      <c r="G115" s="238">
        <v>167</v>
      </c>
      <c r="H115" s="239">
        <v>80</v>
      </c>
      <c r="I115" s="240">
        <v>0.26</v>
      </c>
      <c r="J115" s="241">
        <f t="shared" si="13"/>
        <v>43.42</v>
      </c>
      <c r="K115" s="240">
        <v>0.37</v>
      </c>
      <c r="L115" s="241">
        <v>62</v>
      </c>
      <c r="M115" s="240" t="s">
        <v>21</v>
      </c>
      <c r="N115" s="241" t="str">
        <f t="shared" si="24"/>
        <v>-</v>
      </c>
      <c r="O115" s="228">
        <v>7</v>
      </c>
      <c r="P115" s="229">
        <v>3</v>
      </c>
      <c r="Q115" s="228">
        <v>33</v>
      </c>
      <c r="R115" s="229">
        <v>14</v>
      </c>
      <c r="S115" s="287">
        <v>153</v>
      </c>
      <c r="T115" s="288">
        <v>74</v>
      </c>
      <c r="U115" s="287">
        <v>47</v>
      </c>
      <c r="V115" s="289">
        <v>20</v>
      </c>
      <c r="W115" s="260"/>
      <c r="X115" s="222"/>
      <c r="AB115" s="2" t="str">
        <f t="shared" si="26"/>
        <v>Frontière</v>
      </c>
    </row>
    <row r="116" spans="1:28" ht="15" customHeight="1" x14ac:dyDescent="0.3">
      <c r="A116" s="20" t="str">
        <f t="shared" si="30"/>
        <v/>
      </c>
      <c r="B116" s="773"/>
      <c r="C116" s="782"/>
      <c r="D116" s="760"/>
      <c r="E116" s="721" t="s">
        <v>158</v>
      </c>
      <c r="F116" s="237" t="s">
        <v>62</v>
      </c>
      <c r="G116" s="238"/>
      <c r="H116" s="239"/>
      <c r="I116" s="240">
        <v>0.26</v>
      </c>
      <c r="J116" s="241"/>
      <c r="K116" s="240">
        <v>0.37</v>
      </c>
      <c r="L116" s="241"/>
      <c r="M116" s="240" t="s">
        <v>21</v>
      </c>
      <c r="N116" s="241"/>
      <c r="O116" s="228"/>
      <c r="P116" s="229"/>
      <c r="Q116" s="228"/>
      <c r="R116" s="229"/>
      <c r="S116" s="287"/>
      <c r="T116" s="288"/>
      <c r="U116" s="287"/>
      <c r="V116" s="289"/>
      <c r="W116" s="260"/>
      <c r="X116" s="222"/>
      <c r="AB116" s="2" t="str">
        <f t="shared" si="26"/>
        <v/>
      </c>
    </row>
    <row r="117" spans="1:28" ht="15" customHeight="1" x14ac:dyDescent="0.3">
      <c r="A117" s="20" t="str">
        <f t="shared" si="30"/>
        <v/>
      </c>
      <c r="B117" s="773"/>
      <c r="C117" s="782"/>
      <c r="D117" s="760"/>
      <c r="E117" s="721" t="s">
        <v>148</v>
      </c>
      <c r="F117" s="237" t="s">
        <v>62</v>
      </c>
      <c r="G117" s="238"/>
      <c r="H117" s="239"/>
      <c r="I117" s="240">
        <v>0.26</v>
      </c>
      <c r="J117" s="241"/>
      <c r="K117" s="240">
        <v>0.37</v>
      </c>
      <c r="L117" s="241"/>
      <c r="M117" s="240" t="s">
        <v>21</v>
      </c>
      <c r="N117" s="241"/>
      <c r="O117" s="228"/>
      <c r="P117" s="229"/>
      <c r="Q117" s="228"/>
      <c r="R117" s="229"/>
      <c r="S117" s="287"/>
      <c r="T117" s="288"/>
      <c r="U117" s="287"/>
      <c r="V117" s="289"/>
      <c r="W117" s="260"/>
      <c r="X117" s="222"/>
      <c r="AB117" s="2" t="str">
        <f t="shared" si="26"/>
        <v/>
      </c>
    </row>
    <row r="118" spans="1:28" ht="15" customHeight="1" x14ac:dyDescent="0.3">
      <c r="A118" s="20" t="str">
        <f t="shared" si="30"/>
        <v/>
      </c>
      <c r="B118" s="773"/>
      <c r="C118" s="782"/>
      <c r="D118" s="760"/>
      <c r="E118" s="721" t="s">
        <v>149</v>
      </c>
      <c r="F118" s="410" t="s">
        <v>62</v>
      </c>
      <c r="G118" s="238"/>
      <c r="H118" s="239"/>
      <c r="I118" s="240">
        <v>0.26</v>
      </c>
      <c r="J118" s="241"/>
      <c r="K118" s="240">
        <v>0.37</v>
      </c>
      <c r="L118" s="241"/>
      <c r="M118" s="240" t="s">
        <v>21</v>
      </c>
      <c r="N118" s="241"/>
      <c r="O118" s="228"/>
      <c r="P118" s="229"/>
      <c r="Q118" s="228"/>
      <c r="R118" s="229"/>
      <c r="S118" s="287"/>
      <c r="T118" s="288"/>
      <c r="U118" s="287"/>
      <c r="V118" s="289"/>
      <c r="W118" s="260"/>
      <c r="X118" s="222"/>
      <c r="AB118" s="2" t="str">
        <f t="shared" si="26"/>
        <v/>
      </c>
    </row>
    <row r="119" spans="1:28" ht="15" customHeight="1" x14ac:dyDescent="0.3">
      <c r="A119" s="20" t="str">
        <f t="shared" si="30"/>
        <v/>
      </c>
      <c r="B119" s="773"/>
      <c r="C119" s="782"/>
      <c r="D119" s="760"/>
      <c r="E119" s="727" t="s">
        <v>166</v>
      </c>
      <c r="F119" s="410" t="s">
        <v>62</v>
      </c>
      <c r="G119" s="238"/>
      <c r="H119" s="239"/>
      <c r="I119" s="240">
        <v>0.26</v>
      </c>
      <c r="J119" s="241"/>
      <c r="K119" s="240">
        <v>0.37</v>
      </c>
      <c r="L119" s="241"/>
      <c r="M119" s="240" t="s">
        <v>21</v>
      </c>
      <c r="N119" s="241"/>
      <c r="O119" s="228"/>
      <c r="P119" s="229"/>
      <c r="Q119" s="228"/>
      <c r="R119" s="229"/>
      <c r="S119" s="287"/>
      <c r="T119" s="288"/>
      <c r="U119" s="287"/>
      <c r="V119" s="289"/>
      <c r="W119" s="260"/>
      <c r="X119" s="222"/>
      <c r="AB119" s="2" t="str">
        <f t="shared" si="26"/>
        <v/>
      </c>
    </row>
    <row r="120" spans="1:28" ht="15" customHeight="1" x14ac:dyDescent="0.3">
      <c r="A120" s="20" t="str">
        <f t="shared" si="30"/>
        <v/>
      </c>
      <c r="B120" s="773"/>
      <c r="C120" s="782"/>
      <c r="D120" s="760"/>
      <c r="E120" s="727" t="s">
        <v>166</v>
      </c>
      <c r="F120" s="410" t="s">
        <v>62</v>
      </c>
      <c r="G120" s="238"/>
      <c r="H120" s="239"/>
      <c r="I120" s="240">
        <v>0.26</v>
      </c>
      <c r="J120" s="241"/>
      <c r="K120" s="240">
        <v>0.37</v>
      </c>
      <c r="L120" s="241"/>
      <c r="M120" s="240" t="s">
        <v>21</v>
      </c>
      <c r="N120" s="241"/>
      <c r="O120" s="228"/>
      <c r="P120" s="229"/>
      <c r="Q120" s="228"/>
      <c r="R120" s="229"/>
      <c r="S120" s="287"/>
      <c r="T120" s="288"/>
      <c r="U120" s="287"/>
      <c r="V120" s="289"/>
      <c r="W120" s="260"/>
      <c r="X120" s="222"/>
      <c r="AB120" s="2" t="str">
        <f t="shared" si="26"/>
        <v/>
      </c>
    </row>
    <row r="121" spans="1:28" ht="15" customHeight="1" x14ac:dyDescent="0.3">
      <c r="A121" s="20" t="str">
        <f t="shared" si="30"/>
        <v/>
      </c>
      <c r="B121" s="773"/>
      <c r="C121" s="782"/>
      <c r="D121" s="760"/>
      <c r="E121" s="721" t="s">
        <v>152</v>
      </c>
      <c r="F121" s="410" t="s">
        <v>62</v>
      </c>
      <c r="G121" s="238"/>
      <c r="H121" s="239"/>
      <c r="I121" s="240"/>
      <c r="J121" s="241"/>
      <c r="K121" s="240"/>
      <c r="L121" s="241"/>
      <c r="M121" s="240"/>
      <c r="N121" s="241"/>
      <c r="O121" s="228"/>
      <c r="P121" s="229"/>
      <c r="Q121" s="228"/>
      <c r="R121" s="229"/>
      <c r="S121" s="287"/>
      <c r="T121" s="288"/>
      <c r="U121" s="287"/>
      <c r="V121" s="289"/>
      <c r="W121" s="260"/>
      <c r="X121" s="222"/>
      <c r="AB121" s="2" t="str">
        <f t="shared" si="26"/>
        <v/>
      </c>
    </row>
    <row r="122" spans="1:28" ht="15" customHeight="1" x14ac:dyDescent="0.3">
      <c r="A122" s="20" t="str">
        <f t="shared" si="30"/>
        <v/>
      </c>
      <c r="B122" s="773"/>
      <c r="C122" s="782"/>
      <c r="D122" s="760"/>
      <c r="E122" s="727" t="s">
        <v>166</v>
      </c>
      <c r="F122" s="410"/>
      <c r="G122" s="238"/>
      <c r="H122" s="239"/>
      <c r="I122" s="240"/>
      <c r="J122" s="241"/>
      <c r="K122" s="240"/>
      <c r="L122" s="241"/>
      <c r="M122" s="240"/>
      <c r="N122" s="241"/>
      <c r="O122" s="228"/>
      <c r="P122" s="229"/>
      <c r="Q122" s="228"/>
      <c r="R122" s="229"/>
      <c r="S122" s="287"/>
      <c r="T122" s="288"/>
      <c r="U122" s="287"/>
      <c r="V122" s="289"/>
      <c r="W122" s="261"/>
      <c r="X122" s="249"/>
    </row>
    <row r="123" spans="1:28" ht="15" customHeight="1" x14ac:dyDescent="0.3">
      <c r="A123" s="20" t="str">
        <f t="shared" si="30"/>
        <v/>
      </c>
      <c r="B123" s="773"/>
      <c r="C123" s="782"/>
      <c r="D123" s="760"/>
      <c r="E123" s="727" t="s">
        <v>166</v>
      </c>
      <c r="F123" s="410"/>
      <c r="G123" s="238"/>
      <c r="H123" s="239"/>
      <c r="I123" s="240"/>
      <c r="J123" s="241"/>
      <c r="K123" s="240"/>
      <c r="L123" s="241"/>
      <c r="M123" s="240"/>
      <c r="N123" s="241"/>
      <c r="O123" s="228"/>
      <c r="P123" s="229"/>
      <c r="Q123" s="228"/>
      <c r="R123" s="229"/>
      <c r="S123" s="287"/>
      <c r="T123" s="288"/>
      <c r="U123" s="287"/>
      <c r="V123" s="289"/>
      <c r="W123" s="261"/>
      <c r="X123" s="249"/>
    </row>
    <row r="124" spans="1:28" ht="15" customHeight="1" x14ac:dyDescent="0.3">
      <c r="A124" s="20" t="str">
        <f t="shared" si="30"/>
        <v/>
      </c>
      <c r="B124" s="773"/>
      <c r="C124" s="782"/>
      <c r="D124" s="760"/>
      <c r="E124" s="728" t="s">
        <v>166</v>
      </c>
      <c r="F124" s="449"/>
      <c r="G124" s="243"/>
      <c r="H124" s="244"/>
      <c r="I124" s="245"/>
      <c r="J124" s="246"/>
      <c r="K124" s="245"/>
      <c r="L124" s="246"/>
      <c r="M124" s="245"/>
      <c r="N124" s="246"/>
      <c r="O124" s="230"/>
      <c r="P124" s="231"/>
      <c r="Q124" s="230"/>
      <c r="R124" s="231"/>
      <c r="S124" s="290"/>
      <c r="T124" s="291"/>
      <c r="U124" s="290"/>
      <c r="V124" s="292"/>
      <c r="W124" s="261"/>
      <c r="X124" s="249"/>
    </row>
    <row r="125" spans="1:28" ht="15.6" x14ac:dyDescent="0.3">
      <c r="A125" s="20" t="str">
        <f t="shared" si="30"/>
        <v>S</v>
      </c>
      <c r="B125" s="773"/>
      <c r="C125" s="782"/>
      <c r="D125" s="310" t="s">
        <v>138</v>
      </c>
      <c r="E125" s="718"/>
      <c r="F125" s="250"/>
      <c r="G125" s="7">
        <f>SUM(G110:G124)</f>
        <v>540</v>
      </c>
      <c r="H125" s="8">
        <f>SUM(H110:H124)</f>
        <v>269</v>
      </c>
      <c r="I125" s="9">
        <f>J125/G125</f>
        <v>0.3125</v>
      </c>
      <c r="J125" s="202">
        <f>SUM(J110:J124)</f>
        <v>168.75</v>
      </c>
      <c r="K125" s="51">
        <f>L125/G125</f>
        <v>0.35555555555555557</v>
      </c>
      <c r="L125" s="202">
        <f>SUM(L110:L124)</f>
        <v>192</v>
      </c>
      <c r="M125" s="9">
        <f>N125/L125</f>
        <v>0</v>
      </c>
      <c r="N125" s="202">
        <f t="shared" ref="N125:V125" si="31">SUM(N110:N124)</f>
        <v>0</v>
      </c>
      <c r="O125" s="118">
        <f t="shared" si="31"/>
        <v>41</v>
      </c>
      <c r="P125" s="119">
        <f t="shared" si="31"/>
        <v>16</v>
      </c>
      <c r="Q125" s="118">
        <f t="shared" si="31"/>
        <v>70</v>
      </c>
      <c r="R125" s="119">
        <f t="shared" si="31"/>
        <v>29</v>
      </c>
      <c r="S125" s="118">
        <f t="shared" si="31"/>
        <v>540</v>
      </c>
      <c r="T125" s="119">
        <f t="shared" si="31"/>
        <v>267</v>
      </c>
      <c r="U125" s="118">
        <f t="shared" si="31"/>
        <v>70</v>
      </c>
      <c r="V125" s="120">
        <f t="shared" si="31"/>
        <v>31</v>
      </c>
      <c r="W125" s="261"/>
      <c r="X125" s="249"/>
      <c r="AB125" s="2">
        <f t="shared" si="26"/>
        <v>0</v>
      </c>
    </row>
    <row r="126" spans="1:28" ht="15.75" customHeight="1" x14ac:dyDescent="0.3">
      <c r="A126" s="20" t="str">
        <f t="shared" si="30"/>
        <v>X</v>
      </c>
      <c r="B126" s="788" t="s">
        <v>72</v>
      </c>
      <c r="C126" s="782" t="s">
        <v>76</v>
      </c>
      <c r="D126" s="760">
        <v>2</v>
      </c>
      <c r="E126" s="720" t="s">
        <v>150</v>
      </c>
      <c r="F126" s="442" t="s">
        <v>62</v>
      </c>
      <c r="G126" s="233">
        <v>21</v>
      </c>
      <c r="H126" s="234">
        <v>8</v>
      </c>
      <c r="I126" s="235">
        <v>0.28999999999999998</v>
      </c>
      <c r="J126" s="236">
        <f t="shared" si="13"/>
        <v>6.09</v>
      </c>
      <c r="K126" s="235">
        <v>0.32</v>
      </c>
      <c r="L126" s="236">
        <f t="shared" si="14"/>
        <v>6.72</v>
      </c>
      <c r="M126" s="235" t="s">
        <v>21</v>
      </c>
      <c r="N126" s="236">
        <v>0</v>
      </c>
      <c r="O126" s="226">
        <v>1</v>
      </c>
      <c r="P126" s="227">
        <v>0</v>
      </c>
      <c r="Q126" s="226">
        <v>7</v>
      </c>
      <c r="R126" s="227">
        <v>5</v>
      </c>
      <c r="S126" s="284">
        <v>19</v>
      </c>
      <c r="T126" s="285">
        <v>8</v>
      </c>
      <c r="U126" s="284">
        <v>9</v>
      </c>
      <c r="V126" s="286">
        <v>5</v>
      </c>
      <c r="W126" s="205"/>
      <c r="AB126" s="2" t="str">
        <f t="shared" si="26"/>
        <v>Frontière</v>
      </c>
    </row>
    <row r="127" spans="1:28" ht="15.75" customHeight="1" x14ac:dyDescent="0.3">
      <c r="A127" s="20" t="str">
        <f t="shared" si="30"/>
        <v/>
      </c>
      <c r="B127" s="788"/>
      <c r="C127" s="782"/>
      <c r="D127" s="760"/>
      <c r="E127" s="721" t="s">
        <v>153</v>
      </c>
      <c r="F127" s="410" t="s">
        <v>62</v>
      </c>
      <c r="G127" s="238"/>
      <c r="H127" s="239"/>
      <c r="I127" s="240"/>
      <c r="J127" s="241"/>
      <c r="K127" s="240"/>
      <c r="L127" s="241"/>
      <c r="M127" s="240"/>
      <c r="N127" s="241"/>
      <c r="O127" s="228"/>
      <c r="P127" s="229"/>
      <c r="Q127" s="228"/>
      <c r="R127" s="229"/>
      <c r="S127" s="287"/>
      <c r="T127" s="288"/>
      <c r="U127" s="287"/>
      <c r="V127" s="289"/>
      <c r="W127" s="205"/>
      <c r="AB127" s="2" t="str">
        <f t="shared" si="26"/>
        <v/>
      </c>
    </row>
    <row r="128" spans="1:28" ht="15.75" customHeight="1" x14ac:dyDescent="0.3">
      <c r="A128" s="20" t="str">
        <f t="shared" si="30"/>
        <v/>
      </c>
      <c r="B128" s="788"/>
      <c r="C128" s="782"/>
      <c r="D128" s="760"/>
      <c r="E128" s="727" t="s">
        <v>166</v>
      </c>
      <c r="F128" s="410" t="s">
        <v>62</v>
      </c>
      <c r="G128" s="238"/>
      <c r="H128" s="239"/>
      <c r="I128" s="240"/>
      <c r="J128" s="241"/>
      <c r="K128" s="240"/>
      <c r="L128" s="241"/>
      <c r="M128" s="240"/>
      <c r="N128" s="241"/>
      <c r="O128" s="228"/>
      <c r="P128" s="229"/>
      <c r="Q128" s="228"/>
      <c r="R128" s="229"/>
      <c r="S128" s="287"/>
      <c r="T128" s="288"/>
      <c r="U128" s="287"/>
      <c r="V128" s="289"/>
      <c r="W128" s="205"/>
      <c r="AB128" s="2" t="str">
        <f t="shared" si="26"/>
        <v/>
      </c>
    </row>
    <row r="129" spans="1:28" ht="15.75" customHeight="1" x14ac:dyDescent="0.3">
      <c r="A129" s="20" t="str">
        <f t="shared" si="30"/>
        <v/>
      </c>
      <c r="B129" s="788"/>
      <c r="C129" s="782"/>
      <c r="D129" s="760"/>
      <c r="E129" s="727" t="s">
        <v>166</v>
      </c>
      <c r="F129" s="410" t="s">
        <v>62</v>
      </c>
      <c r="G129" s="238"/>
      <c r="H129" s="239"/>
      <c r="I129" s="240"/>
      <c r="J129" s="241"/>
      <c r="K129" s="240"/>
      <c r="L129" s="241"/>
      <c r="M129" s="240"/>
      <c r="N129" s="241"/>
      <c r="O129" s="228"/>
      <c r="P129" s="229"/>
      <c r="Q129" s="228"/>
      <c r="R129" s="229"/>
      <c r="S129" s="287"/>
      <c r="T129" s="288"/>
      <c r="U129" s="287"/>
      <c r="V129" s="289"/>
      <c r="W129" s="205"/>
      <c r="AB129" s="2" t="str">
        <f t="shared" si="26"/>
        <v/>
      </c>
    </row>
    <row r="130" spans="1:28" ht="15.75" customHeight="1" x14ac:dyDescent="0.3">
      <c r="A130" s="20" t="str">
        <f t="shared" si="30"/>
        <v/>
      </c>
      <c r="B130" s="788"/>
      <c r="C130" s="782"/>
      <c r="D130" s="760"/>
      <c r="E130" s="721" t="s">
        <v>36</v>
      </c>
      <c r="F130" s="410" t="s">
        <v>62</v>
      </c>
      <c r="G130" s="238"/>
      <c r="H130" s="239"/>
      <c r="I130" s="240"/>
      <c r="J130" s="241"/>
      <c r="K130" s="240"/>
      <c r="L130" s="241"/>
      <c r="M130" s="240"/>
      <c r="N130" s="241"/>
      <c r="O130" s="228"/>
      <c r="P130" s="229"/>
      <c r="Q130" s="228"/>
      <c r="R130" s="229"/>
      <c r="S130" s="287"/>
      <c r="T130" s="288"/>
      <c r="U130" s="287"/>
      <c r="V130" s="289"/>
      <c r="W130" s="205"/>
      <c r="AB130" s="2" t="str">
        <f t="shared" si="26"/>
        <v/>
      </c>
    </row>
    <row r="131" spans="1:28" ht="15.75" customHeight="1" x14ac:dyDescent="0.3">
      <c r="A131" s="20" t="str">
        <f t="shared" si="30"/>
        <v/>
      </c>
      <c r="B131" s="788"/>
      <c r="C131" s="782"/>
      <c r="D131" s="760"/>
      <c r="E131" s="727" t="s">
        <v>166</v>
      </c>
      <c r="F131" s="410"/>
      <c r="G131" s="238"/>
      <c r="H131" s="239"/>
      <c r="I131" s="240"/>
      <c r="J131" s="241"/>
      <c r="K131" s="240"/>
      <c r="L131" s="241"/>
      <c r="M131" s="240"/>
      <c r="N131" s="241"/>
      <c r="O131" s="228"/>
      <c r="P131" s="229"/>
      <c r="Q131" s="228"/>
      <c r="R131" s="229"/>
      <c r="S131" s="287"/>
      <c r="T131" s="288"/>
      <c r="U131" s="287"/>
      <c r="V131" s="289"/>
      <c r="W131" s="205"/>
    </row>
    <row r="132" spans="1:28" ht="15.75" customHeight="1" x14ac:dyDescent="0.3">
      <c r="A132" s="20" t="str">
        <f t="shared" si="30"/>
        <v/>
      </c>
      <c r="B132" s="788"/>
      <c r="C132" s="782"/>
      <c r="D132" s="760"/>
      <c r="E132" s="727" t="s">
        <v>166</v>
      </c>
      <c r="F132" s="410"/>
      <c r="G132" s="238"/>
      <c r="H132" s="239"/>
      <c r="I132" s="240"/>
      <c r="J132" s="241"/>
      <c r="K132" s="240"/>
      <c r="L132" s="241"/>
      <c r="M132" s="240"/>
      <c r="N132" s="241"/>
      <c r="O132" s="228"/>
      <c r="P132" s="229"/>
      <c r="Q132" s="228"/>
      <c r="R132" s="229"/>
      <c r="S132" s="287"/>
      <c r="T132" s="288"/>
      <c r="U132" s="287"/>
      <c r="V132" s="289"/>
      <c r="W132" s="205"/>
    </row>
    <row r="133" spans="1:28" ht="15.75" customHeight="1" x14ac:dyDescent="0.3">
      <c r="A133" s="20" t="str">
        <f t="shared" si="30"/>
        <v/>
      </c>
      <c r="B133" s="788"/>
      <c r="C133" s="782"/>
      <c r="D133" s="760"/>
      <c r="E133" s="728" t="s">
        <v>166</v>
      </c>
      <c r="F133" s="449"/>
      <c r="G133" s="243"/>
      <c r="H133" s="244"/>
      <c r="I133" s="245"/>
      <c r="J133" s="246"/>
      <c r="K133" s="245"/>
      <c r="L133" s="246"/>
      <c r="M133" s="245"/>
      <c r="N133" s="246"/>
      <c r="O133" s="230"/>
      <c r="P133" s="231"/>
      <c r="Q133" s="230"/>
      <c r="R133" s="231"/>
      <c r="S133" s="290"/>
      <c r="T133" s="291"/>
      <c r="U133" s="290"/>
      <c r="V133" s="292"/>
      <c r="W133" s="205"/>
    </row>
    <row r="134" spans="1:28" ht="15.75" customHeight="1" x14ac:dyDescent="0.3">
      <c r="A134" s="20" t="str">
        <f t="shared" si="30"/>
        <v>S</v>
      </c>
      <c r="B134" s="788"/>
      <c r="C134" s="782"/>
      <c r="D134" s="310" t="s">
        <v>138</v>
      </c>
      <c r="E134" s="718"/>
      <c r="F134" s="250"/>
      <c r="G134" s="7">
        <f>SUM(G126:G133)</f>
        <v>21</v>
      </c>
      <c r="H134" s="8">
        <f>SUM(H126:H133)</f>
        <v>8</v>
      </c>
      <c r="I134" s="9">
        <f>J134/G134</f>
        <v>0.28999999999999998</v>
      </c>
      <c r="J134" s="202">
        <f>SUM(J126:J133)</f>
        <v>6.09</v>
      </c>
      <c r="K134" s="51">
        <f>L134/G134</f>
        <v>0.32</v>
      </c>
      <c r="L134" s="202">
        <f>SUM(L126:L133)</f>
        <v>6.72</v>
      </c>
      <c r="M134" s="9">
        <f>N134/L134</f>
        <v>0</v>
      </c>
      <c r="N134" s="202">
        <f t="shared" ref="N134:V134" si="32">SUM(N126:N133)</f>
        <v>0</v>
      </c>
      <c r="O134" s="118">
        <f t="shared" si="32"/>
        <v>1</v>
      </c>
      <c r="P134" s="119">
        <f t="shared" si="32"/>
        <v>0</v>
      </c>
      <c r="Q134" s="118">
        <f t="shared" si="32"/>
        <v>7</v>
      </c>
      <c r="R134" s="119">
        <f t="shared" si="32"/>
        <v>5</v>
      </c>
      <c r="S134" s="118">
        <f t="shared" si="32"/>
        <v>19</v>
      </c>
      <c r="T134" s="119">
        <f t="shared" si="32"/>
        <v>8</v>
      </c>
      <c r="U134" s="118">
        <f t="shared" si="32"/>
        <v>9</v>
      </c>
      <c r="V134" s="120">
        <f t="shared" si="32"/>
        <v>5</v>
      </c>
      <c r="W134" s="205"/>
      <c r="AB134" s="2">
        <f t="shared" si="26"/>
        <v>0</v>
      </c>
    </row>
    <row r="135" spans="1:28" ht="15.75" customHeight="1" x14ac:dyDescent="0.3">
      <c r="A135" s="20" t="str">
        <f t="shared" si="30"/>
        <v>X</v>
      </c>
      <c r="B135" s="746" t="s">
        <v>3</v>
      </c>
      <c r="C135" s="749" t="s">
        <v>76</v>
      </c>
      <c r="D135" s="754">
        <v>14</v>
      </c>
      <c r="E135" s="719" t="s">
        <v>48</v>
      </c>
      <c r="F135" s="232" t="s">
        <v>61</v>
      </c>
      <c r="G135" s="233">
        <f>17+25</f>
        <v>42</v>
      </c>
      <c r="H135" s="234">
        <f>G135</f>
        <v>42</v>
      </c>
      <c r="I135" s="235">
        <f>17/G135</f>
        <v>0.40476190476190477</v>
      </c>
      <c r="J135" s="236">
        <f t="shared" si="13"/>
        <v>17</v>
      </c>
      <c r="K135" s="235">
        <f>21/G135</f>
        <v>0.5</v>
      </c>
      <c r="L135" s="236">
        <f t="shared" si="14"/>
        <v>21</v>
      </c>
      <c r="M135" s="235"/>
      <c r="N135" s="236"/>
      <c r="O135" s="226"/>
      <c r="P135" s="227"/>
      <c r="Q135" s="226"/>
      <c r="R135" s="227"/>
      <c r="S135" s="664"/>
      <c r="T135" s="665"/>
      <c r="U135" s="664"/>
      <c r="V135" s="666"/>
      <c r="W135" s="205"/>
      <c r="AB135" s="2" t="str">
        <f t="shared" si="26"/>
        <v>Suisse</v>
      </c>
    </row>
    <row r="136" spans="1:28" ht="15.75" customHeight="1" x14ac:dyDescent="0.3">
      <c r="A136" s="20" t="str">
        <f t="shared" si="30"/>
        <v>X</v>
      </c>
      <c r="B136" s="747"/>
      <c r="C136" s="750"/>
      <c r="D136" s="755"/>
      <c r="E136" s="577" t="s">
        <v>49</v>
      </c>
      <c r="F136" s="237" t="s">
        <v>61</v>
      </c>
      <c r="G136" s="238">
        <f>122+29+119+13</f>
        <v>283</v>
      </c>
      <c r="H136" s="239">
        <f>G136</f>
        <v>283</v>
      </c>
      <c r="I136" s="240">
        <f>(29+13)/G136</f>
        <v>0.14840989399293286</v>
      </c>
      <c r="J136" s="241">
        <f t="shared" si="13"/>
        <v>42</v>
      </c>
      <c r="K136" s="240">
        <f>(65+47)/G136</f>
        <v>0.39575971731448761</v>
      </c>
      <c r="L136" s="241">
        <f t="shared" si="14"/>
        <v>112</v>
      </c>
      <c r="M136" s="240"/>
      <c r="N136" s="241"/>
      <c r="O136" s="228"/>
      <c r="P136" s="229"/>
      <c r="Q136" s="228"/>
      <c r="R136" s="229"/>
      <c r="S136" s="667"/>
      <c r="T136" s="668"/>
      <c r="U136" s="667"/>
      <c r="V136" s="669"/>
      <c r="W136" s="205"/>
      <c r="AB136" s="2" t="str">
        <f t="shared" si="26"/>
        <v>Suisse</v>
      </c>
    </row>
    <row r="137" spans="1:28" ht="15.75" customHeight="1" x14ac:dyDescent="0.3">
      <c r="A137" s="20" t="str">
        <f t="shared" si="30"/>
        <v>X</v>
      </c>
      <c r="B137" s="747"/>
      <c r="C137" s="750"/>
      <c r="D137" s="755"/>
      <c r="E137" s="577" t="s">
        <v>81</v>
      </c>
      <c r="F137" s="237" t="s">
        <v>61</v>
      </c>
      <c r="G137" s="238">
        <f>(19+11+31+18)</f>
        <v>79</v>
      </c>
      <c r="H137" s="239">
        <f>G137</f>
        <v>79</v>
      </c>
      <c r="I137" s="240">
        <f>(11+18)/G137</f>
        <v>0.36708860759493672</v>
      </c>
      <c r="J137" s="241">
        <f t="shared" ref="J137" si="33">I137*G137</f>
        <v>29</v>
      </c>
      <c r="K137" s="240">
        <f>(5+28)/G137</f>
        <v>0.41772151898734178</v>
      </c>
      <c r="L137" s="241">
        <f t="shared" ref="L137" si="34">K137*G137</f>
        <v>33</v>
      </c>
      <c r="M137" s="240"/>
      <c r="N137" s="241"/>
      <c r="O137" s="228"/>
      <c r="P137" s="229"/>
      <c r="Q137" s="228"/>
      <c r="R137" s="229"/>
      <c r="S137" s="667"/>
      <c r="T137" s="668"/>
      <c r="U137" s="667"/>
      <c r="V137" s="669"/>
      <c r="W137" s="205"/>
      <c r="AB137" s="2" t="str">
        <f t="shared" si="26"/>
        <v>Suisse</v>
      </c>
    </row>
    <row r="138" spans="1:28" ht="15.75" customHeight="1" x14ac:dyDescent="0.3">
      <c r="A138" s="20" t="str">
        <f t="shared" si="30"/>
        <v>X</v>
      </c>
      <c r="B138" s="747"/>
      <c r="C138" s="750"/>
      <c r="D138" s="755"/>
      <c r="E138" s="577" t="s">
        <v>73</v>
      </c>
      <c r="F138" s="237" t="s">
        <v>61</v>
      </c>
      <c r="G138" s="238">
        <f>15+8+12+6+33+34</f>
        <v>108</v>
      </c>
      <c r="H138" s="239">
        <f t="shared" ref="H138:H153" si="35">G138</f>
        <v>108</v>
      </c>
      <c r="I138" s="240">
        <f>(8+6+33)/G138</f>
        <v>0.43518518518518517</v>
      </c>
      <c r="J138" s="241">
        <f t="shared" si="13"/>
        <v>47</v>
      </c>
      <c r="K138" s="240">
        <f>(12+6+33)/G138</f>
        <v>0.47222222222222221</v>
      </c>
      <c r="L138" s="241">
        <f t="shared" si="14"/>
        <v>51</v>
      </c>
      <c r="M138" s="240"/>
      <c r="N138" s="241"/>
      <c r="O138" s="228"/>
      <c r="P138" s="229"/>
      <c r="Q138" s="228"/>
      <c r="R138" s="229"/>
      <c r="S138" s="667"/>
      <c r="T138" s="668"/>
      <c r="U138" s="667"/>
      <c r="V138" s="669"/>
      <c r="W138" s="205"/>
      <c r="AB138" s="2" t="str">
        <f t="shared" si="26"/>
        <v>Suisse</v>
      </c>
    </row>
    <row r="139" spans="1:28" ht="15.75" customHeight="1" x14ac:dyDescent="0.3">
      <c r="A139" s="20" t="str">
        <f t="shared" si="30"/>
        <v>X</v>
      </c>
      <c r="B139" s="747"/>
      <c r="C139" s="750"/>
      <c r="D139" s="755"/>
      <c r="E139" s="577" t="s">
        <v>50</v>
      </c>
      <c r="F139" s="237" t="s">
        <v>61</v>
      </c>
      <c r="G139" s="238">
        <f>56+28+19+14</f>
        <v>117</v>
      </c>
      <c r="H139" s="239">
        <f t="shared" si="35"/>
        <v>117</v>
      </c>
      <c r="I139" s="240">
        <f>(28+14)/G139</f>
        <v>0.35897435897435898</v>
      </c>
      <c r="J139" s="241">
        <f t="shared" si="13"/>
        <v>42</v>
      </c>
      <c r="K139" s="240">
        <f>(31+21)/G139</f>
        <v>0.44444444444444442</v>
      </c>
      <c r="L139" s="241">
        <f t="shared" si="14"/>
        <v>52</v>
      </c>
      <c r="M139" s="240"/>
      <c r="N139" s="241"/>
      <c r="O139" s="228"/>
      <c r="P139" s="229"/>
      <c r="Q139" s="228"/>
      <c r="R139" s="229"/>
      <c r="S139" s="667"/>
      <c r="T139" s="668"/>
      <c r="U139" s="667"/>
      <c r="V139" s="669"/>
      <c r="W139" s="205"/>
      <c r="AB139" s="2" t="str">
        <f t="shared" si="26"/>
        <v>Suisse</v>
      </c>
    </row>
    <row r="140" spans="1:28" ht="15.75" customHeight="1" x14ac:dyDescent="0.3">
      <c r="A140" s="20" t="str">
        <f t="shared" si="30"/>
        <v/>
      </c>
      <c r="B140" s="747"/>
      <c r="C140" s="750"/>
      <c r="D140" s="755"/>
      <c r="E140" s="577" t="s">
        <v>144</v>
      </c>
      <c r="F140" s="237" t="s">
        <v>61</v>
      </c>
      <c r="G140" s="238"/>
      <c r="H140" s="239"/>
      <c r="I140" s="240"/>
      <c r="J140" s="241"/>
      <c r="K140" s="240"/>
      <c r="L140" s="241"/>
      <c r="M140" s="240"/>
      <c r="N140" s="241"/>
      <c r="O140" s="228"/>
      <c r="P140" s="229"/>
      <c r="Q140" s="228"/>
      <c r="R140" s="229"/>
      <c r="S140" s="667"/>
      <c r="T140" s="668"/>
      <c r="U140" s="667"/>
      <c r="V140" s="669"/>
      <c r="W140" s="205"/>
      <c r="AB140" s="2" t="str">
        <f t="shared" si="26"/>
        <v/>
      </c>
    </row>
    <row r="141" spans="1:28" ht="15.75" customHeight="1" x14ac:dyDescent="0.3">
      <c r="A141" s="20" t="str">
        <f t="shared" si="30"/>
        <v/>
      </c>
      <c r="B141" s="747"/>
      <c r="C141" s="750"/>
      <c r="D141" s="755"/>
      <c r="E141" s="577" t="s">
        <v>143</v>
      </c>
      <c r="F141" s="237" t="s">
        <v>61</v>
      </c>
      <c r="G141" s="238"/>
      <c r="H141" s="239"/>
      <c r="I141" s="240"/>
      <c r="J141" s="241"/>
      <c r="K141" s="240"/>
      <c r="L141" s="241"/>
      <c r="M141" s="240"/>
      <c r="N141" s="241"/>
      <c r="O141" s="228"/>
      <c r="P141" s="229"/>
      <c r="Q141" s="228"/>
      <c r="R141" s="229"/>
      <c r="S141" s="667"/>
      <c r="T141" s="668"/>
      <c r="U141" s="667"/>
      <c r="V141" s="669"/>
      <c r="W141" s="205"/>
      <c r="AB141" s="2" t="str">
        <f t="shared" si="26"/>
        <v/>
      </c>
    </row>
    <row r="142" spans="1:28" ht="15.75" customHeight="1" x14ac:dyDescent="0.3">
      <c r="A142" s="20" t="str">
        <f t="shared" si="30"/>
        <v/>
      </c>
      <c r="B142" s="747"/>
      <c r="C142" s="750"/>
      <c r="D142" s="755"/>
      <c r="E142" s="577" t="s">
        <v>176</v>
      </c>
      <c r="F142" s="237" t="s">
        <v>61</v>
      </c>
      <c r="G142" s="238"/>
      <c r="H142" s="239"/>
      <c r="I142" s="240"/>
      <c r="J142" s="241"/>
      <c r="K142" s="240"/>
      <c r="L142" s="241"/>
      <c r="M142" s="240"/>
      <c r="N142" s="241"/>
      <c r="O142" s="228"/>
      <c r="P142" s="229"/>
      <c r="Q142" s="228"/>
      <c r="R142" s="229"/>
      <c r="S142" s="667"/>
      <c r="T142" s="668"/>
      <c r="U142" s="667"/>
      <c r="V142" s="669"/>
      <c r="W142" s="205"/>
      <c r="AB142" s="2" t="str">
        <f t="shared" si="26"/>
        <v/>
      </c>
    </row>
    <row r="143" spans="1:28" ht="15.75" customHeight="1" x14ac:dyDescent="0.3">
      <c r="A143" s="20" t="str">
        <f t="shared" si="30"/>
        <v/>
      </c>
      <c r="B143" s="747"/>
      <c r="C143" s="750"/>
      <c r="D143" s="755"/>
      <c r="E143" s="577" t="s">
        <v>177</v>
      </c>
      <c r="F143" s="237" t="s">
        <v>61</v>
      </c>
      <c r="G143" s="238"/>
      <c r="H143" s="239"/>
      <c r="I143" s="240"/>
      <c r="J143" s="241"/>
      <c r="K143" s="240"/>
      <c r="L143" s="241"/>
      <c r="M143" s="240"/>
      <c r="N143" s="241"/>
      <c r="O143" s="228"/>
      <c r="P143" s="229"/>
      <c r="Q143" s="228"/>
      <c r="R143" s="229"/>
      <c r="S143" s="667"/>
      <c r="T143" s="668"/>
      <c r="U143" s="667"/>
      <c r="V143" s="669"/>
      <c r="W143" s="205"/>
      <c r="AB143" s="2" t="str">
        <f t="shared" si="26"/>
        <v/>
      </c>
    </row>
    <row r="144" spans="1:28" ht="15.75" customHeight="1" x14ac:dyDescent="0.3">
      <c r="A144" s="20" t="str">
        <f t="shared" si="30"/>
        <v/>
      </c>
      <c r="B144" s="747"/>
      <c r="C144" s="750"/>
      <c r="D144" s="755"/>
      <c r="E144" s="577" t="s">
        <v>178</v>
      </c>
      <c r="F144" s="237" t="s">
        <v>61</v>
      </c>
      <c r="G144" s="238"/>
      <c r="H144" s="239"/>
      <c r="I144" s="240"/>
      <c r="J144" s="241"/>
      <c r="K144" s="240"/>
      <c r="L144" s="241"/>
      <c r="M144" s="240"/>
      <c r="N144" s="241"/>
      <c r="O144" s="228"/>
      <c r="P144" s="229"/>
      <c r="Q144" s="228"/>
      <c r="R144" s="229"/>
      <c r="S144" s="667"/>
      <c r="T144" s="668"/>
      <c r="U144" s="667"/>
      <c r="V144" s="669"/>
      <c r="W144" s="205"/>
      <c r="AB144" s="2" t="str">
        <f t="shared" si="26"/>
        <v/>
      </c>
    </row>
    <row r="145" spans="1:28" ht="15.75" customHeight="1" x14ac:dyDescent="0.3">
      <c r="A145" s="20" t="str">
        <f t="shared" si="30"/>
        <v/>
      </c>
      <c r="B145" s="747"/>
      <c r="C145" s="750"/>
      <c r="D145" s="755"/>
      <c r="E145" s="577" t="s">
        <v>179</v>
      </c>
      <c r="F145" s="237" t="s">
        <v>61</v>
      </c>
      <c r="G145" s="238"/>
      <c r="H145" s="239"/>
      <c r="I145" s="240"/>
      <c r="J145" s="241"/>
      <c r="K145" s="240"/>
      <c r="L145" s="241"/>
      <c r="M145" s="240"/>
      <c r="N145" s="241"/>
      <c r="O145" s="228"/>
      <c r="P145" s="229"/>
      <c r="Q145" s="228"/>
      <c r="R145" s="229"/>
      <c r="S145" s="667"/>
      <c r="T145" s="668"/>
      <c r="U145" s="667"/>
      <c r="V145" s="669"/>
      <c r="W145" s="205"/>
      <c r="AB145" s="2" t="str">
        <f t="shared" si="26"/>
        <v/>
      </c>
    </row>
    <row r="146" spans="1:28" ht="15.75" customHeight="1" x14ac:dyDescent="0.3">
      <c r="A146" s="20" t="str">
        <f t="shared" si="30"/>
        <v/>
      </c>
      <c r="B146" s="747"/>
      <c r="C146" s="750"/>
      <c r="D146" s="755"/>
      <c r="E146" s="577" t="s">
        <v>180</v>
      </c>
      <c r="F146" s="237" t="s">
        <v>61</v>
      </c>
      <c r="G146" s="238"/>
      <c r="H146" s="239"/>
      <c r="I146" s="240"/>
      <c r="J146" s="241"/>
      <c r="K146" s="240"/>
      <c r="L146" s="241"/>
      <c r="M146" s="240"/>
      <c r="N146" s="241"/>
      <c r="O146" s="228"/>
      <c r="P146" s="229"/>
      <c r="Q146" s="228"/>
      <c r="R146" s="229"/>
      <c r="S146" s="667"/>
      <c r="T146" s="668"/>
      <c r="U146" s="667"/>
      <c r="V146" s="669"/>
      <c r="W146" s="205"/>
      <c r="AB146" s="2" t="str">
        <f t="shared" si="26"/>
        <v/>
      </c>
    </row>
    <row r="147" spans="1:28" ht="15.75" customHeight="1" x14ac:dyDescent="0.3">
      <c r="A147" s="20" t="str">
        <f t="shared" si="30"/>
        <v/>
      </c>
      <c r="B147" s="747"/>
      <c r="C147" s="750"/>
      <c r="D147" s="755"/>
      <c r="E147" s="577" t="s">
        <v>181</v>
      </c>
      <c r="F147" s="237" t="s">
        <v>61</v>
      </c>
      <c r="G147" s="238"/>
      <c r="H147" s="239"/>
      <c r="I147" s="240"/>
      <c r="J147" s="241"/>
      <c r="K147" s="240"/>
      <c r="L147" s="241"/>
      <c r="M147" s="240"/>
      <c r="N147" s="241"/>
      <c r="O147" s="228"/>
      <c r="P147" s="229"/>
      <c r="Q147" s="228"/>
      <c r="R147" s="229"/>
      <c r="S147" s="667"/>
      <c r="T147" s="668"/>
      <c r="U147" s="667"/>
      <c r="V147" s="669"/>
      <c r="W147" s="205"/>
      <c r="AB147" s="2" t="str">
        <f t="shared" si="26"/>
        <v/>
      </c>
    </row>
    <row r="148" spans="1:28" ht="15.75" customHeight="1" x14ac:dyDescent="0.3">
      <c r="A148" s="20" t="str">
        <f t="shared" si="30"/>
        <v>X</v>
      </c>
      <c r="B148" s="747"/>
      <c r="C148" s="750"/>
      <c r="D148" s="755"/>
      <c r="E148" s="577" t="s">
        <v>80</v>
      </c>
      <c r="F148" s="237" t="s">
        <v>61</v>
      </c>
      <c r="G148" s="238">
        <f>(388+263)</f>
        <v>651</v>
      </c>
      <c r="H148" s="239">
        <f>G148</f>
        <v>651</v>
      </c>
      <c r="I148" s="240"/>
      <c r="J148" s="241">
        <f t="shared" ref="J148" si="36">I148*G148</f>
        <v>0</v>
      </c>
      <c r="K148" s="240">
        <f>250/G148</f>
        <v>0.38402457757296465</v>
      </c>
      <c r="L148" s="241">
        <f t="shared" ref="L148" si="37">K148*G148</f>
        <v>250</v>
      </c>
      <c r="M148" s="240"/>
      <c r="N148" s="241"/>
      <c r="O148" s="228"/>
      <c r="P148" s="229"/>
      <c r="Q148" s="228"/>
      <c r="R148" s="229"/>
      <c r="S148" s="667"/>
      <c r="T148" s="668"/>
      <c r="U148" s="667"/>
      <c r="V148" s="669"/>
      <c r="W148" s="205"/>
      <c r="AB148" s="2" t="str">
        <f t="shared" si="26"/>
        <v>Suisse</v>
      </c>
    </row>
    <row r="149" spans="1:28" ht="15.75" customHeight="1" x14ac:dyDescent="0.3">
      <c r="A149" s="20" t="str">
        <f t="shared" si="30"/>
        <v>X</v>
      </c>
      <c r="B149" s="747"/>
      <c r="C149" s="750"/>
      <c r="D149" s="755"/>
      <c r="E149" s="577" t="s">
        <v>51</v>
      </c>
      <c r="F149" s="237" t="s">
        <v>61</v>
      </c>
      <c r="G149" s="238">
        <f>284+220+60+51</f>
        <v>615</v>
      </c>
      <c r="H149" s="239">
        <f t="shared" si="35"/>
        <v>615</v>
      </c>
      <c r="I149" s="240"/>
      <c r="J149" s="241">
        <f t="shared" si="13"/>
        <v>0</v>
      </c>
      <c r="K149" s="240">
        <f>(195+46)/G149</f>
        <v>0.39186991869918697</v>
      </c>
      <c r="L149" s="241">
        <f t="shared" si="14"/>
        <v>241</v>
      </c>
      <c r="M149" s="240"/>
      <c r="N149" s="241"/>
      <c r="O149" s="228"/>
      <c r="P149" s="229"/>
      <c r="Q149" s="228"/>
      <c r="R149" s="229"/>
      <c r="S149" s="667"/>
      <c r="T149" s="668"/>
      <c r="U149" s="667"/>
      <c r="V149" s="669"/>
      <c r="W149" s="205"/>
      <c r="AB149" s="2" t="str">
        <f t="shared" si="26"/>
        <v>Suisse</v>
      </c>
    </row>
    <row r="150" spans="1:28" ht="15" customHeight="1" x14ac:dyDescent="0.3">
      <c r="A150" s="20" t="str">
        <f>IF(D150="Sous-total","S",IF(G150="","","X"))</f>
        <v>X</v>
      </c>
      <c r="B150" s="747"/>
      <c r="C150" s="750"/>
      <c r="D150" s="755"/>
      <c r="E150" s="577" t="s">
        <v>31</v>
      </c>
      <c r="F150" s="237" t="s">
        <v>62</v>
      </c>
      <c r="G150" s="238">
        <v>36</v>
      </c>
      <c r="H150" s="239">
        <v>36</v>
      </c>
      <c r="I150" s="240">
        <v>0.5</v>
      </c>
      <c r="J150" s="241">
        <f>I150*G150</f>
        <v>18</v>
      </c>
      <c r="K150" s="240">
        <v>0.47222222222222221</v>
      </c>
      <c r="L150" s="241">
        <f>K150*G150</f>
        <v>17</v>
      </c>
      <c r="M150" s="240">
        <v>0.76470588235294112</v>
      </c>
      <c r="N150" s="241">
        <f>IF(M150="-","-",M150*L150)</f>
        <v>13</v>
      </c>
      <c r="O150" s="228"/>
      <c r="P150" s="229"/>
      <c r="Q150" s="228"/>
      <c r="R150" s="229"/>
      <c r="S150" s="287">
        <v>36</v>
      </c>
      <c r="T150" s="288">
        <v>36</v>
      </c>
      <c r="U150" s="287">
        <v>0</v>
      </c>
      <c r="V150" s="289">
        <v>0</v>
      </c>
      <c r="W150" s="205"/>
      <c r="X150" s="1" t="s">
        <v>199</v>
      </c>
      <c r="AB150" s="2" t="str">
        <f>IF(G150&gt;0,$F150,"")</f>
        <v>Frontière</v>
      </c>
    </row>
    <row r="151" spans="1:28" ht="15.75" customHeight="1" x14ac:dyDescent="0.3">
      <c r="A151" s="20" t="str">
        <f t="shared" si="30"/>
        <v/>
      </c>
      <c r="B151" s="747"/>
      <c r="C151" s="750"/>
      <c r="D151" s="755"/>
      <c r="E151" s="727" t="s">
        <v>166</v>
      </c>
      <c r="F151" s="237" t="s">
        <v>203</v>
      </c>
      <c r="G151" s="238"/>
      <c r="H151" s="239"/>
      <c r="I151" s="240"/>
      <c r="J151" s="241"/>
      <c r="K151" s="240" t="e">
        <f t="shared" ref="K151:K152" si="38">(195+46)/G151</f>
        <v>#DIV/0!</v>
      </c>
      <c r="L151" s="241"/>
      <c r="M151" s="240"/>
      <c r="N151" s="241"/>
      <c r="O151" s="228"/>
      <c r="P151" s="229"/>
      <c r="Q151" s="228"/>
      <c r="R151" s="229"/>
      <c r="S151" s="667"/>
      <c r="T151" s="668"/>
      <c r="U151" s="667"/>
      <c r="V151" s="669"/>
      <c r="W151" s="205"/>
      <c r="AB151" s="2" t="str">
        <f t="shared" si="26"/>
        <v/>
      </c>
    </row>
    <row r="152" spans="1:28" ht="15.75" customHeight="1" x14ac:dyDescent="0.3">
      <c r="A152" s="20" t="str">
        <f t="shared" si="30"/>
        <v/>
      </c>
      <c r="B152" s="747"/>
      <c r="C152" s="750"/>
      <c r="D152" s="755"/>
      <c r="E152" s="727" t="s">
        <v>166</v>
      </c>
      <c r="F152" s="237" t="s">
        <v>203</v>
      </c>
      <c r="G152" s="238"/>
      <c r="H152" s="239"/>
      <c r="I152" s="240"/>
      <c r="J152" s="241"/>
      <c r="K152" s="240" t="e">
        <f t="shared" si="38"/>
        <v>#DIV/0!</v>
      </c>
      <c r="L152" s="241"/>
      <c r="M152" s="240"/>
      <c r="N152" s="241"/>
      <c r="O152" s="228"/>
      <c r="P152" s="229"/>
      <c r="Q152" s="228"/>
      <c r="R152" s="229"/>
      <c r="S152" s="667"/>
      <c r="T152" s="668"/>
      <c r="U152" s="667"/>
      <c r="V152" s="669"/>
      <c r="W152" s="205"/>
      <c r="AB152" s="2" t="str">
        <f t="shared" si="26"/>
        <v/>
      </c>
    </row>
    <row r="153" spans="1:28" ht="15.75" customHeight="1" x14ac:dyDescent="0.3">
      <c r="A153" s="20" t="str">
        <f t="shared" si="30"/>
        <v>X</v>
      </c>
      <c r="B153" s="747"/>
      <c r="C153" s="750"/>
      <c r="D153" s="755"/>
      <c r="E153" s="577" t="s">
        <v>52</v>
      </c>
      <c r="F153" s="237" t="s">
        <v>61</v>
      </c>
      <c r="G153" s="238">
        <f>215+82+11+8</f>
        <v>316</v>
      </c>
      <c r="H153" s="239">
        <f t="shared" si="35"/>
        <v>316</v>
      </c>
      <c r="I153" s="240">
        <f>(82+8)/G153</f>
        <v>0.2848101265822785</v>
      </c>
      <c r="J153" s="241">
        <f t="shared" si="13"/>
        <v>90</v>
      </c>
      <c r="K153" s="240">
        <f>(116+8)/G153</f>
        <v>0.39240506329113922</v>
      </c>
      <c r="L153" s="241">
        <f t="shared" si="14"/>
        <v>124</v>
      </c>
      <c r="M153" s="240"/>
      <c r="N153" s="241"/>
      <c r="O153" s="228"/>
      <c r="P153" s="229"/>
      <c r="Q153" s="228"/>
      <c r="R153" s="229"/>
      <c r="S153" s="667"/>
      <c r="T153" s="668"/>
      <c r="U153" s="667"/>
      <c r="V153" s="669"/>
      <c r="W153" s="205"/>
      <c r="AB153" s="2" t="str">
        <f t="shared" si="26"/>
        <v>Suisse</v>
      </c>
    </row>
    <row r="154" spans="1:28" ht="15.75" customHeight="1" x14ac:dyDescent="0.3">
      <c r="A154" s="20" t="str">
        <f t="shared" si="30"/>
        <v/>
      </c>
      <c r="B154" s="747"/>
      <c r="C154" s="750"/>
      <c r="D154" s="755"/>
      <c r="E154" s="727" t="s">
        <v>166</v>
      </c>
      <c r="F154" s="237"/>
      <c r="G154" s="238"/>
      <c r="H154" s="239"/>
      <c r="I154" s="240"/>
      <c r="J154" s="241"/>
      <c r="K154" s="240"/>
      <c r="L154" s="241"/>
      <c r="M154" s="240"/>
      <c r="N154" s="241"/>
      <c r="O154" s="228"/>
      <c r="P154" s="229"/>
      <c r="Q154" s="228"/>
      <c r="R154" s="229"/>
      <c r="S154" s="667"/>
      <c r="T154" s="668"/>
      <c r="U154" s="667"/>
      <c r="V154" s="669"/>
      <c r="W154" s="205"/>
    </row>
    <row r="155" spans="1:28" ht="15.75" customHeight="1" x14ac:dyDescent="0.3">
      <c r="A155" s="20" t="str">
        <f t="shared" si="30"/>
        <v/>
      </c>
      <c r="B155" s="747"/>
      <c r="C155" s="750"/>
      <c r="D155" s="755"/>
      <c r="E155" s="727" t="s">
        <v>166</v>
      </c>
      <c r="F155" s="237"/>
      <c r="G155" s="238"/>
      <c r="H155" s="239"/>
      <c r="I155" s="240"/>
      <c r="J155" s="241"/>
      <c r="K155" s="240"/>
      <c r="L155" s="241"/>
      <c r="M155" s="240"/>
      <c r="N155" s="241"/>
      <c r="O155" s="228"/>
      <c r="P155" s="229"/>
      <c r="Q155" s="228"/>
      <c r="R155" s="229"/>
      <c r="S155" s="667"/>
      <c r="T155" s="668"/>
      <c r="U155" s="667"/>
      <c r="V155" s="669"/>
      <c r="W155" s="205"/>
    </row>
    <row r="156" spans="1:28" ht="15.75" customHeight="1" x14ac:dyDescent="0.3">
      <c r="A156" s="20" t="str">
        <f t="shared" si="30"/>
        <v/>
      </c>
      <c r="B156" s="747"/>
      <c r="C156" s="750"/>
      <c r="D156" s="755"/>
      <c r="E156" s="727" t="s">
        <v>166</v>
      </c>
      <c r="F156" s="237"/>
      <c r="G156" s="238"/>
      <c r="H156" s="239"/>
      <c r="I156" s="240"/>
      <c r="J156" s="241"/>
      <c r="K156" s="240"/>
      <c r="L156" s="241"/>
      <c r="M156" s="240"/>
      <c r="N156" s="241"/>
      <c r="O156" s="228"/>
      <c r="P156" s="229"/>
      <c r="Q156" s="228"/>
      <c r="R156" s="229"/>
      <c r="S156" s="667"/>
      <c r="T156" s="668"/>
      <c r="U156" s="667"/>
      <c r="V156" s="669"/>
      <c r="W156" s="205"/>
    </row>
    <row r="157" spans="1:28" ht="15.75" customHeight="1" x14ac:dyDescent="0.3">
      <c r="A157" s="20" t="str">
        <f t="shared" si="30"/>
        <v/>
      </c>
      <c r="B157" s="747"/>
      <c r="C157" s="750"/>
      <c r="D157" s="755"/>
      <c r="E157" s="727" t="s">
        <v>166</v>
      </c>
      <c r="F157" s="237"/>
      <c r="G157" s="238"/>
      <c r="H157" s="239"/>
      <c r="I157" s="240"/>
      <c r="J157" s="241"/>
      <c r="K157" s="240"/>
      <c r="L157" s="241"/>
      <c r="M157" s="240"/>
      <c r="N157" s="241"/>
      <c r="O157" s="228"/>
      <c r="P157" s="229"/>
      <c r="Q157" s="228"/>
      <c r="R157" s="229"/>
      <c r="S157" s="667"/>
      <c r="T157" s="668"/>
      <c r="U157" s="667"/>
      <c r="V157" s="669"/>
      <c r="W157" s="205"/>
    </row>
    <row r="158" spans="1:28" ht="15.75" customHeight="1" x14ac:dyDescent="0.3">
      <c r="A158" s="20" t="str">
        <f t="shared" si="30"/>
        <v/>
      </c>
      <c r="B158" s="747"/>
      <c r="C158" s="750"/>
      <c r="D158" s="756"/>
      <c r="E158" s="728" t="s">
        <v>166</v>
      </c>
      <c r="F158" s="242"/>
      <c r="G158" s="243"/>
      <c r="H158" s="244"/>
      <c r="I158" s="245"/>
      <c r="J158" s="246"/>
      <c r="K158" s="245"/>
      <c r="L158" s="246"/>
      <c r="M158" s="245"/>
      <c r="N158" s="246"/>
      <c r="O158" s="230"/>
      <c r="P158" s="231"/>
      <c r="Q158" s="230"/>
      <c r="R158" s="231"/>
      <c r="S158" s="670"/>
      <c r="T158" s="671"/>
      <c r="U158" s="670"/>
      <c r="V158" s="672"/>
      <c r="W158" s="205"/>
    </row>
    <row r="159" spans="1:28" ht="16.2" thickBot="1" x14ac:dyDescent="0.35">
      <c r="A159" s="20" t="str">
        <f t="shared" si="30"/>
        <v>S</v>
      </c>
      <c r="B159" s="748"/>
      <c r="C159" s="751"/>
      <c r="D159" s="311" t="s">
        <v>138</v>
      </c>
      <c r="E159" s="388"/>
      <c r="F159" s="198"/>
      <c r="G159" s="199">
        <f>SUM(G135:G158)</f>
        <v>2247</v>
      </c>
      <c r="H159" s="200">
        <f>SUM(H135:H158)</f>
        <v>2247</v>
      </c>
      <c r="I159" s="9">
        <f>J159/G159</f>
        <v>0.12683578104138851</v>
      </c>
      <c r="J159" s="203">
        <f>SUM(J135:J158)</f>
        <v>285</v>
      </c>
      <c r="K159" s="51">
        <f>L159/G159</f>
        <v>0.40097908322207387</v>
      </c>
      <c r="L159" s="203">
        <f>SUM(L135:L158)</f>
        <v>901</v>
      </c>
      <c r="M159" s="9">
        <f>N159/L159</f>
        <v>1.4428412874583796E-2</v>
      </c>
      <c r="N159" s="203">
        <f t="shared" ref="N159:V159" si="39">SUM(N135:N158)</f>
        <v>13</v>
      </c>
      <c r="O159" s="129">
        <f t="shared" si="39"/>
        <v>0</v>
      </c>
      <c r="P159" s="130">
        <f t="shared" si="39"/>
        <v>0</v>
      </c>
      <c r="Q159" s="129">
        <f t="shared" si="39"/>
        <v>0</v>
      </c>
      <c r="R159" s="130">
        <f t="shared" si="39"/>
        <v>0</v>
      </c>
      <c r="S159" s="129">
        <f t="shared" si="39"/>
        <v>36</v>
      </c>
      <c r="T159" s="130">
        <f t="shared" si="39"/>
        <v>36</v>
      </c>
      <c r="U159" s="129">
        <f t="shared" si="39"/>
        <v>0</v>
      </c>
      <c r="V159" s="131">
        <f t="shared" si="39"/>
        <v>0</v>
      </c>
      <c r="W159" s="205"/>
    </row>
    <row r="160" spans="1:28" s="15" customFormat="1" ht="27.75" customHeight="1" thickBot="1" x14ac:dyDescent="0.35">
      <c r="A160" s="20" t="s">
        <v>106</v>
      </c>
      <c r="B160" s="102" t="s">
        <v>77</v>
      </c>
      <c r="C160" s="103"/>
      <c r="D160" s="103">
        <f>SUM(D66:D159)</f>
        <v>83</v>
      </c>
      <c r="E160" s="631" t="s">
        <v>79</v>
      </c>
      <c r="F160" s="372"/>
      <c r="G160" s="56">
        <f>G77+G85+G95+G109+G125+G134+G159</f>
        <v>4797</v>
      </c>
      <c r="H160" s="35">
        <f>H77+H85+H95+H109+H125+H134+H159</f>
        <v>3358</v>
      </c>
      <c r="I160" s="32">
        <f>J160/G160</f>
        <v>0.27893475088597036</v>
      </c>
      <c r="J160" s="33">
        <f>J77+J85+J95+J109+J125+J134+J159</f>
        <v>1338.05</v>
      </c>
      <c r="K160" s="32">
        <f>L160/G160</f>
        <v>0.39968938920158431</v>
      </c>
      <c r="L160" s="33">
        <f>L77+L85+L95+L109+L125+L134+L159</f>
        <v>1917.31</v>
      </c>
      <c r="M160" s="32">
        <f>N160/(SUM(L86:L101))</f>
        <v>0.52578643821042614</v>
      </c>
      <c r="N160" s="33">
        <f t="shared" ref="N160:V160" si="40">N77+N85+N95+N109+N125+N134+N159</f>
        <v>93.900200000000012</v>
      </c>
      <c r="O160" s="34">
        <f t="shared" si="40"/>
        <v>42</v>
      </c>
      <c r="P160" s="35">
        <f t="shared" si="40"/>
        <v>16</v>
      </c>
      <c r="Q160" s="34">
        <f t="shared" si="40"/>
        <v>77</v>
      </c>
      <c r="R160" s="35">
        <f t="shared" si="40"/>
        <v>34</v>
      </c>
      <c r="S160" s="34">
        <f t="shared" si="40"/>
        <v>740</v>
      </c>
      <c r="T160" s="35">
        <f t="shared" si="40"/>
        <v>456</v>
      </c>
      <c r="U160" s="34">
        <f t="shared" si="40"/>
        <v>92</v>
      </c>
      <c r="V160" s="36">
        <f t="shared" si="40"/>
        <v>49</v>
      </c>
      <c r="W160" s="206"/>
      <c r="AB160" s="2"/>
    </row>
    <row r="161" spans="1:28" s="354" customFormat="1" ht="31.5" customHeight="1" thickBot="1" x14ac:dyDescent="0.35">
      <c r="A161" s="20" t="s">
        <v>106</v>
      </c>
      <c r="B161" s="345" t="s">
        <v>66</v>
      </c>
      <c r="C161" s="346"/>
      <c r="D161" s="346">
        <f>D160+D65</f>
        <v>102</v>
      </c>
      <c r="E161" s="632" t="s">
        <v>79</v>
      </c>
      <c r="F161" s="364"/>
      <c r="G161" s="347">
        <f>G65+G160</f>
        <v>5191</v>
      </c>
      <c r="H161" s="348">
        <f>H65+H160</f>
        <v>3593</v>
      </c>
      <c r="I161" s="349">
        <f>J161/G161</f>
        <v>0.27490271623964552</v>
      </c>
      <c r="J161" s="350">
        <f>J65+J160</f>
        <v>1427.02</v>
      </c>
      <c r="K161" s="349">
        <f>L161/G161</f>
        <v>0.38650163744943167</v>
      </c>
      <c r="L161" s="350">
        <f>L65+L160</f>
        <v>2006.33</v>
      </c>
      <c r="M161" s="349">
        <f>N161/(L5+L50+L51+L53+L55+L60+SUM(L86:L101))</f>
        <v>0.50974058812511713</v>
      </c>
      <c r="N161" s="350">
        <f t="shared" ref="N161:V161" si="41">N65+N160</f>
        <v>108.86020000000002</v>
      </c>
      <c r="O161" s="351">
        <f t="shared" si="41"/>
        <v>42</v>
      </c>
      <c r="P161" s="348">
        <f t="shared" si="41"/>
        <v>16</v>
      </c>
      <c r="Q161" s="351">
        <f t="shared" si="41"/>
        <v>77</v>
      </c>
      <c r="R161" s="348">
        <f t="shared" si="41"/>
        <v>34</v>
      </c>
      <c r="S161" s="351">
        <f t="shared" si="41"/>
        <v>740</v>
      </c>
      <c r="T161" s="348">
        <f t="shared" si="41"/>
        <v>456</v>
      </c>
      <c r="U161" s="351">
        <f t="shared" si="41"/>
        <v>92</v>
      </c>
      <c r="V161" s="352">
        <f t="shared" si="41"/>
        <v>49</v>
      </c>
      <c r="W161" s="353"/>
      <c r="AB161" s="2"/>
    </row>
    <row r="162" spans="1:28" x14ac:dyDescent="0.3">
      <c r="A162" s="20" t="s">
        <v>106</v>
      </c>
      <c r="B162" s="5"/>
      <c r="C162" s="14"/>
      <c r="D162" s="14"/>
      <c r="E162" s="5"/>
      <c r="F162" s="14"/>
      <c r="G162" s="57"/>
      <c r="H162" s="57"/>
      <c r="I162" s="58"/>
      <c r="J162" s="58"/>
      <c r="K162" s="58"/>
      <c r="L162" s="58"/>
      <c r="M162" s="758" t="s">
        <v>68</v>
      </c>
      <c r="N162" s="758"/>
      <c r="O162" s="57"/>
      <c r="P162" s="57"/>
      <c r="Q162" s="57"/>
      <c r="R162" s="57"/>
      <c r="S162" s="57"/>
      <c r="T162" s="57"/>
      <c r="U162" s="57"/>
      <c r="V162" s="57"/>
      <c r="AB162" s="2" t="str">
        <f t="shared" si="26"/>
        <v/>
      </c>
    </row>
    <row r="163" spans="1:28" x14ac:dyDescent="0.3">
      <c r="A163" s="20" t="s">
        <v>106</v>
      </c>
      <c r="F163" s="1"/>
    </row>
    <row r="164" spans="1:28" x14ac:dyDescent="0.3">
      <c r="A164" s="20" t="s">
        <v>106</v>
      </c>
      <c r="E164" s="26" t="s">
        <v>205</v>
      </c>
      <c r="F164" s="389" t="s">
        <v>204</v>
      </c>
      <c r="G164" s="2">
        <f>COUNTBLANK(G5:G153)</f>
        <v>91</v>
      </c>
    </row>
    <row r="165" spans="1:28" x14ac:dyDescent="0.3">
      <c r="A165" s="20" t="s">
        <v>106</v>
      </c>
      <c r="E165" s="223" t="s">
        <v>60</v>
      </c>
      <c r="F165" s="714">
        <f>COUNTIF(AB$5:AB$153,$E164)</f>
        <v>0</v>
      </c>
    </row>
    <row r="166" spans="1:28" x14ac:dyDescent="0.3">
      <c r="A166" s="20" t="s">
        <v>106</v>
      </c>
      <c r="E166" s="1" t="s">
        <v>61</v>
      </c>
      <c r="F166" s="2">
        <f>COUNTIF(AB$5:AB$153,$E165)</f>
        <v>21</v>
      </c>
    </row>
    <row r="167" spans="1:28" ht="15" thickBot="1" x14ac:dyDescent="0.35">
      <c r="A167" s="20" t="s">
        <v>106</v>
      </c>
      <c r="E167" s="509" t="s">
        <v>62</v>
      </c>
      <c r="F167" s="510">
        <f>COUNTIF(AB$5:AB$153,$E166)</f>
        <v>8</v>
      </c>
    </row>
    <row r="168" spans="1:28" x14ac:dyDescent="0.3">
      <c r="A168" s="20" t="s">
        <v>106</v>
      </c>
      <c r="E168" s="511" t="s">
        <v>66</v>
      </c>
      <c r="F168" s="715">
        <f t="shared" ref="F168" si="42">SUM(F165:F167)</f>
        <v>29</v>
      </c>
    </row>
    <row r="169" spans="1:28" x14ac:dyDescent="0.3">
      <c r="E169" s="31"/>
    </row>
    <row r="170" spans="1:28" x14ac:dyDescent="0.3">
      <c r="E170" s="31"/>
    </row>
    <row r="171" spans="1:28" x14ac:dyDescent="0.3">
      <c r="E171" s="31"/>
    </row>
    <row r="172" spans="1:28" x14ac:dyDescent="0.3">
      <c r="E172" s="31"/>
    </row>
    <row r="175" spans="1:28" ht="15" customHeight="1" x14ac:dyDescent="0.3"/>
    <row r="176" spans="1:28" ht="15" customHeight="1" x14ac:dyDescent="0.3"/>
    <row r="177" spans="5:5" s="1" customFormat="1" ht="15" customHeight="1" x14ac:dyDescent="0.3"/>
    <row r="178" spans="5:5" s="1" customFormat="1" ht="15" customHeight="1" x14ac:dyDescent="0.3"/>
    <row r="179" spans="5:5" s="1" customFormat="1" ht="15" customHeight="1" x14ac:dyDescent="0.3"/>
    <row r="180" spans="5:5" s="1" customFormat="1" ht="15" customHeight="1" x14ac:dyDescent="0.3"/>
    <row r="181" spans="5:5" s="1" customFormat="1" ht="15" customHeight="1" x14ac:dyDescent="0.3"/>
    <row r="182" spans="5:5" s="1" customFormat="1" ht="15" customHeight="1" x14ac:dyDescent="0.3"/>
    <row r="183" spans="5:5" s="1" customFormat="1" ht="15" customHeight="1" x14ac:dyDescent="0.3"/>
    <row r="184" spans="5:5" s="1" customFormat="1" ht="15.75" customHeight="1" x14ac:dyDescent="0.3"/>
    <row r="185" spans="5:5" s="1" customFormat="1" ht="15.75" customHeight="1" x14ac:dyDescent="0.3">
      <c r="E185" s="31"/>
    </row>
    <row r="186" spans="5:5" s="1" customFormat="1" ht="15" customHeight="1" x14ac:dyDescent="0.3"/>
    <row r="187" spans="5:5" s="1" customFormat="1" ht="15" customHeight="1" x14ac:dyDescent="0.3">
      <c r="E187" s="31"/>
    </row>
    <row r="188" spans="5:5" s="1" customFormat="1" ht="15" customHeight="1" x14ac:dyDescent="0.3">
      <c r="E188" s="31"/>
    </row>
    <row r="189" spans="5:5" s="1" customFormat="1" ht="15" customHeight="1" x14ac:dyDescent="0.3"/>
    <row r="201" spans="5:5" x14ac:dyDescent="0.3">
      <c r="E201" s="31"/>
    </row>
    <row r="203" spans="5:5" x14ac:dyDescent="0.3">
      <c r="E203" s="31"/>
    </row>
    <row r="204" spans="5:5" x14ac:dyDescent="0.3">
      <c r="E204" s="31"/>
    </row>
    <row r="217" spans="5:5" x14ac:dyDescent="0.3">
      <c r="E217" s="31"/>
    </row>
    <row r="219" spans="5:5" x14ac:dyDescent="0.3">
      <c r="E219" s="31"/>
    </row>
    <row r="220" spans="5:5" x14ac:dyDescent="0.3">
      <c r="E220" s="31"/>
    </row>
    <row r="233" spans="5:5" x14ac:dyDescent="0.3">
      <c r="E233" s="31"/>
    </row>
  </sheetData>
  <sheetProtection password="D0CE" sheet="1" objects="1" scenarios="1"/>
  <autoFilter ref="A1:V167" xr:uid="{00000000-0009-0000-0000-000001000000}"/>
  <mergeCells count="53">
    <mergeCell ref="C66:C77"/>
    <mergeCell ref="C96:C109"/>
    <mergeCell ref="B96:B109"/>
    <mergeCell ref="B126:B134"/>
    <mergeCell ref="C126:C134"/>
    <mergeCell ref="B110:B125"/>
    <mergeCell ref="C110:C125"/>
    <mergeCell ref="B78:B85"/>
    <mergeCell ref="C78:C85"/>
    <mergeCell ref="U2:V2"/>
    <mergeCell ref="Q2:R2"/>
    <mergeCell ref="O2:P2"/>
    <mergeCell ref="G2:H2"/>
    <mergeCell ref="I2:I4"/>
    <mergeCell ref="K2:K4"/>
    <mergeCell ref="M2:M4"/>
    <mergeCell ref="D66:D76"/>
    <mergeCell ref="B2:B4"/>
    <mergeCell ref="S2:T2"/>
    <mergeCell ref="D2:D4"/>
    <mergeCell ref="C2:C4"/>
    <mergeCell ref="B35:B49"/>
    <mergeCell ref="B50:B64"/>
    <mergeCell ref="C35:C49"/>
    <mergeCell ref="C50:C64"/>
    <mergeCell ref="B13:B34"/>
    <mergeCell ref="C13:C34"/>
    <mergeCell ref="B5:B8"/>
    <mergeCell ref="B9:B12"/>
    <mergeCell ref="C5:C8"/>
    <mergeCell ref="C9:C12"/>
    <mergeCell ref="B66:B77"/>
    <mergeCell ref="D5:D7"/>
    <mergeCell ref="D9:D11"/>
    <mergeCell ref="D13:D33"/>
    <mergeCell ref="D35:D48"/>
    <mergeCell ref="D50:D63"/>
    <mergeCell ref="F2:F4"/>
    <mergeCell ref="J2:J4"/>
    <mergeCell ref="L2:L4"/>
    <mergeCell ref="N2:N4"/>
    <mergeCell ref="E2:E4"/>
    <mergeCell ref="D78:D84"/>
    <mergeCell ref="M162:N162"/>
    <mergeCell ref="D96:D108"/>
    <mergeCell ref="D110:D124"/>
    <mergeCell ref="D126:D133"/>
    <mergeCell ref="B135:B159"/>
    <mergeCell ref="C135:C159"/>
    <mergeCell ref="C86:C95"/>
    <mergeCell ref="B86:B95"/>
    <mergeCell ref="D135:D158"/>
    <mergeCell ref="D86:D94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I65 K65 I160:I161 M64:M65 I64 I49 I159 I109 K160:K161 I153:L153 I135:L139 I126:M126 I113:K115 M113:N115 I96:N101 I86:N86 I88:N89 J148:L149 I77 I60:K60 I95 K95 M95 K49 M49 K64 K77 M77 K109 M109 K159 M15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AB233"/>
  <sheetViews>
    <sheetView view="pageBreakPreview" zoomScale="90" zoomScaleNormal="70" zoomScaleSheetLayoutView="90" workbookViewId="0">
      <pane xSplit="6" ySplit="4" topLeftCell="G5" activePane="bottomRight" state="frozen"/>
      <selection activeCell="B2" sqref="B2:B4"/>
      <selection pane="topRight" activeCell="B2" sqref="B2:B4"/>
      <selection pane="bottomLeft" activeCell="B2" sqref="B2:B4"/>
      <selection pane="bottomRight" activeCell="B2" sqref="B2:B4"/>
    </sheetView>
  </sheetViews>
  <sheetFormatPr baseColWidth="10" defaultColWidth="11.44140625" defaultRowHeight="14.4" x14ac:dyDescent="0.3"/>
  <cols>
    <col min="1" max="1" width="3" style="20" customWidth="1"/>
    <col min="2" max="2" width="33.6640625" style="1" customWidth="1"/>
    <col min="3" max="3" width="11.5546875" style="2" customWidth="1"/>
    <col min="4" max="4" width="8.44140625" style="2" customWidth="1"/>
    <col min="5" max="5" width="44.88671875" style="1" customWidth="1"/>
    <col min="6" max="6" width="11.109375" style="2" customWidth="1"/>
    <col min="7" max="7" width="11.44140625" style="2"/>
    <col min="8" max="8" width="11.44140625" style="2" customWidth="1"/>
    <col min="9" max="9" width="11.44140625" style="3" customWidth="1"/>
    <col min="10" max="10" width="11.44140625" style="4" customWidth="1"/>
    <col min="11" max="11" width="11.44140625" style="3" customWidth="1"/>
    <col min="12" max="12" width="11.44140625" style="4" customWidth="1"/>
    <col min="13" max="13" width="11.44140625" style="3" customWidth="1"/>
    <col min="14" max="14" width="11.44140625" style="4" customWidth="1"/>
    <col min="15" max="22" width="7.5546875" style="2" customWidth="1"/>
    <col min="23" max="23" width="5.33203125" style="2" customWidth="1"/>
    <col min="24" max="24" width="11.44140625" style="1" customWidth="1"/>
    <col min="25" max="27" width="11.44140625" style="1"/>
    <col min="28" max="28" width="11.44140625" style="2"/>
    <col min="29" max="16384" width="11.44140625" style="1"/>
  </cols>
  <sheetData>
    <row r="1" spans="1:28" s="20" customFormat="1" ht="17.25" customHeight="1" thickBot="1" x14ac:dyDescent="0.35">
      <c r="C1" s="23"/>
      <c r="D1" s="23"/>
      <c r="E1" s="23">
        <v>7</v>
      </c>
      <c r="F1" s="23"/>
      <c r="G1" s="23"/>
      <c r="H1" s="23"/>
      <c r="I1" s="24"/>
      <c r="J1" s="25"/>
      <c r="K1" s="24"/>
      <c r="L1" s="25"/>
      <c r="M1" s="24"/>
      <c r="N1" s="25"/>
      <c r="O1" s="23"/>
      <c r="P1" s="23"/>
      <c r="Q1" s="23"/>
      <c r="R1" s="23"/>
      <c r="S1" s="23"/>
      <c r="T1" s="23"/>
      <c r="U1" s="23"/>
      <c r="V1" s="23"/>
      <c r="W1" s="23"/>
      <c r="AB1" s="23"/>
    </row>
    <row r="2" spans="1:28" s="6" customFormat="1" ht="30" customHeight="1" thickBot="1" x14ac:dyDescent="0.35">
      <c r="A2" s="21" t="s">
        <v>106</v>
      </c>
      <c r="B2" s="769" t="s">
        <v>53</v>
      </c>
      <c r="C2" s="772" t="s">
        <v>74</v>
      </c>
      <c r="D2" s="772" t="s">
        <v>69</v>
      </c>
      <c r="E2" s="765" t="s">
        <v>79</v>
      </c>
      <c r="F2" s="761" t="s">
        <v>59</v>
      </c>
      <c r="G2" s="786" t="s">
        <v>54</v>
      </c>
      <c r="H2" s="771"/>
      <c r="I2" s="787" t="s">
        <v>55</v>
      </c>
      <c r="J2" s="764" t="s">
        <v>63</v>
      </c>
      <c r="K2" s="787" t="s">
        <v>56</v>
      </c>
      <c r="L2" s="764" t="s">
        <v>65</v>
      </c>
      <c r="M2" s="787" t="s">
        <v>57</v>
      </c>
      <c r="N2" s="764" t="s">
        <v>64</v>
      </c>
      <c r="O2" s="770" t="s">
        <v>39</v>
      </c>
      <c r="P2" s="771"/>
      <c r="Q2" s="770" t="s">
        <v>40</v>
      </c>
      <c r="R2" s="771"/>
      <c r="S2" s="770" t="s">
        <v>41</v>
      </c>
      <c r="T2" s="771"/>
      <c r="U2" s="761" t="s">
        <v>42</v>
      </c>
      <c r="V2" s="785"/>
      <c r="W2" s="204"/>
      <c r="AB2" s="462"/>
    </row>
    <row r="3" spans="1:28" s="6" customFormat="1" ht="30" customHeight="1" thickBot="1" x14ac:dyDescent="0.35">
      <c r="A3" s="21" t="s">
        <v>106</v>
      </c>
      <c r="B3" s="769"/>
      <c r="C3" s="772"/>
      <c r="D3" s="772"/>
      <c r="E3" s="765"/>
      <c r="F3" s="762"/>
      <c r="G3" s="108"/>
      <c r="H3" s="105"/>
      <c r="I3" s="787"/>
      <c r="J3" s="764"/>
      <c r="K3" s="787"/>
      <c r="L3" s="764"/>
      <c r="M3" s="787"/>
      <c r="N3" s="764"/>
      <c r="O3" s="104"/>
      <c r="P3" s="105"/>
      <c r="Q3" s="104"/>
      <c r="R3" s="105"/>
      <c r="S3" s="104"/>
      <c r="T3" s="105"/>
      <c r="U3" s="106"/>
      <c r="V3" s="107"/>
      <c r="W3" s="204"/>
      <c r="AB3" s="462"/>
    </row>
    <row r="4" spans="1:28" s="6" customFormat="1" ht="30" customHeight="1" thickBot="1" x14ac:dyDescent="0.35">
      <c r="A4" s="21" t="s">
        <v>106</v>
      </c>
      <c r="B4" s="769"/>
      <c r="C4" s="772"/>
      <c r="D4" s="772"/>
      <c r="E4" s="765"/>
      <c r="F4" s="763"/>
      <c r="G4" s="10" t="s">
        <v>43</v>
      </c>
      <c r="H4" s="11" t="s">
        <v>44</v>
      </c>
      <c r="I4" s="787"/>
      <c r="J4" s="764"/>
      <c r="K4" s="787"/>
      <c r="L4" s="764"/>
      <c r="M4" s="787"/>
      <c r="N4" s="764"/>
      <c r="O4" s="12" t="s">
        <v>43</v>
      </c>
      <c r="P4" s="11" t="s">
        <v>44</v>
      </c>
      <c r="Q4" s="12" t="s">
        <v>43</v>
      </c>
      <c r="R4" s="11" t="s">
        <v>44</v>
      </c>
      <c r="S4" s="12" t="s">
        <v>43</v>
      </c>
      <c r="T4" s="11" t="s">
        <v>44</v>
      </c>
      <c r="U4" s="12" t="s">
        <v>43</v>
      </c>
      <c r="V4" s="13" t="s">
        <v>44</v>
      </c>
      <c r="W4" s="204"/>
      <c r="AB4" s="462">
        <v>2020</v>
      </c>
    </row>
    <row r="5" spans="1:28" ht="15.75" customHeight="1" x14ac:dyDescent="0.3">
      <c r="A5" s="20" t="str">
        <f t="shared" ref="A5:A49" si="0">IF(D5="Sous-total","S",IF(G5="","","X"))</f>
        <v>X</v>
      </c>
      <c r="B5" s="778" t="s">
        <v>70</v>
      </c>
      <c r="C5" s="781" t="s">
        <v>75</v>
      </c>
      <c r="D5" s="766">
        <v>2</v>
      </c>
      <c r="E5" s="573" t="s">
        <v>71</v>
      </c>
      <c r="F5" s="576" t="s">
        <v>60</v>
      </c>
      <c r="G5" s="691">
        <v>102</v>
      </c>
      <c r="H5" s="692">
        <v>94</v>
      </c>
      <c r="I5" s="467">
        <f>J5/G5</f>
        <v>1.9607843137254902E-2</v>
      </c>
      <c r="J5" s="693">
        <v>2</v>
      </c>
      <c r="K5" s="466">
        <f>L5/G5</f>
        <v>0.17647058823529413</v>
      </c>
      <c r="L5" s="693">
        <v>18</v>
      </c>
      <c r="M5" s="466">
        <f>IF(N5="-","-",N5/L5)</f>
        <v>0.1111111111111111</v>
      </c>
      <c r="N5" s="693">
        <v>2</v>
      </c>
      <c r="O5" s="694"/>
      <c r="P5" s="695"/>
      <c r="Q5" s="694"/>
      <c r="R5" s="695"/>
      <c r="S5" s="696"/>
      <c r="T5" s="697"/>
      <c r="U5" s="696"/>
      <c r="V5" s="698"/>
      <c r="W5" s="205"/>
      <c r="AB5" s="2" t="str">
        <f t="shared" ref="AB5:AB50" si="1">IF(G5&gt;0,$F5,"")</f>
        <v>France</v>
      </c>
    </row>
    <row r="6" spans="1:28" ht="15.75" customHeight="1" x14ac:dyDescent="0.3">
      <c r="A6" s="20" t="str">
        <f t="shared" si="0"/>
        <v/>
      </c>
      <c r="B6" s="779"/>
      <c r="C6" s="782"/>
      <c r="D6" s="757"/>
      <c r="E6" s="727" t="s">
        <v>166</v>
      </c>
      <c r="F6" s="237"/>
      <c r="G6" s="238"/>
      <c r="H6" s="239"/>
      <c r="I6" s="686"/>
      <c r="J6" s="241"/>
      <c r="K6" s="240"/>
      <c r="L6" s="241"/>
      <c r="M6" s="240"/>
      <c r="N6" s="241"/>
      <c r="O6" s="228"/>
      <c r="P6" s="229"/>
      <c r="Q6" s="228"/>
      <c r="R6" s="229"/>
      <c r="S6" s="667"/>
      <c r="T6" s="668"/>
      <c r="U6" s="667"/>
      <c r="V6" s="669"/>
      <c r="W6" s="205"/>
    </row>
    <row r="7" spans="1:28" ht="15.75" customHeight="1" x14ac:dyDescent="0.3">
      <c r="A7" s="20" t="str">
        <f t="shared" si="0"/>
        <v/>
      </c>
      <c r="B7" s="779"/>
      <c r="C7" s="782"/>
      <c r="D7" s="757"/>
      <c r="E7" s="728" t="s">
        <v>166</v>
      </c>
      <c r="F7" s="242"/>
      <c r="G7" s="243"/>
      <c r="H7" s="244"/>
      <c r="I7" s="687"/>
      <c r="J7" s="246"/>
      <c r="K7" s="245"/>
      <c r="L7" s="246"/>
      <c r="M7" s="245"/>
      <c r="N7" s="246"/>
      <c r="O7" s="230"/>
      <c r="P7" s="231"/>
      <c r="Q7" s="230"/>
      <c r="R7" s="231"/>
      <c r="S7" s="670"/>
      <c r="T7" s="671"/>
      <c r="U7" s="670"/>
      <c r="V7" s="672"/>
      <c r="W7" s="205"/>
    </row>
    <row r="8" spans="1:28" ht="15.6" x14ac:dyDescent="0.3">
      <c r="A8" s="20" t="str">
        <f t="shared" si="0"/>
        <v>S</v>
      </c>
      <c r="B8" s="779"/>
      <c r="C8" s="783"/>
      <c r="D8" s="309" t="s">
        <v>138</v>
      </c>
      <c r="E8" s="717"/>
      <c r="F8" s="16"/>
      <c r="G8" s="251">
        <f>SUM(G5:G7)</f>
        <v>102</v>
      </c>
      <c r="H8" s="119">
        <f>SUM(H5:H7)</f>
        <v>94</v>
      </c>
      <c r="I8" s="9">
        <f>J8/G8</f>
        <v>1.9607843137254902E-2</v>
      </c>
      <c r="J8" s="202">
        <f>SUM(J5:J7)</f>
        <v>2</v>
      </c>
      <c r="K8" s="9">
        <f>L8/G8</f>
        <v>0.17647058823529413</v>
      </c>
      <c r="L8" s="202">
        <f>SUM(L5:L7)</f>
        <v>18</v>
      </c>
      <c r="M8" s="9">
        <f>N8/L8</f>
        <v>0.1111111111111111</v>
      </c>
      <c r="N8" s="202">
        <f t="shared" ref="N8:V8" si="2">SUM(N5:N7)</f>
        <v>2</v>
      </c>
      <c r="O8" s="118">
        <f t="shared" si="2"/>
        <v>0</v>
      </c>
      <c r="P8" s="119">
        <f t="shared" si="2"/>
        <v>0</v>
      </c>
      <c r="Q8" s="118">
        <f t="shared" si="2"/>
        <v>0</v>
      </c>
      <c r="R8" s="119">
        <f t="shared" si="2"/>
        <v>0</v>
      </c>
      <c r="S8" s="118">
        <f t="shared" si="2"/>
        <v>0</v>
      </c>
      <c r="T8" s="119">
        <f t="shared" si="2"/>
        <v>0</v>
      </c>
      <c r="U8" s="118">
        <f t="shared" si="2"/>
        <v>0</v>
      </c>
      <c r="V8" s="120">
        <f t="shared" si="2"/>
        <v>0</v>
      </c>
      <c r="W8" s="205"/>
    </row>
    <row r="9" spans="1:28" ht="15.75" customHeight="1" x14ac:dyDescent="0.3">
      <c r="A9" s="20" t="str">
        <f t="shared" si="0"/>
        <v/>
      </c>
      <c r="B9" s="779" t="s">
        <v>163</v>
      </c>
      <c r="C9" s="782" t="s">
        <v>75</v>
      </c>
      <c r="D9" s="757"/>
      <c r="E9" s="719" t="s">
        <v>164</v>
      </c>
      <c r="F9" s="232" t="s">
        <v>60</v>
      </c>
      <c r="G9" s="233"/>
      <c r="H9" s="234"/>
      <c r="I9" s="411" t="e">
        <f>J9/G9</f>
        <v>#DIV/0!</v>
      </c>
      <c r="J9" s="236"/>
      <c r="K9" s="235" t="e">
        <f>L9/G9</f>
        <v>#DIV/0!</v>
      </c>
      <c r="L9" s="236"/>
      <c r="M9" s="235" t="e">
        <f>IF(N9="-","-",N9/L9)</f>
        <v>#DIV/0!</v>
      </c>
      <c r="N9" s="236"/>
      <c r="O9" s="226"/>
      <c r="P9" s="227"/>
      <c r="Q9" s="226"/>
      <c r="R9" s="227"/>
      <c r="S9" s="664"/>
      <c r="T9" s="665"/>
      <c r="U9" s="664"/>
      <c r="V9" s="666"/>
      <c r="W9" s="205"/>
      <c r="AB9" s="2" t="str">
        <f t="shared" si="1"/>
        <v/>
      </c>
    </row>
    <row r="10" spans="1:28" ht="15.75" customHeight="1" x14ac:dyDescent="0.3">
      <c r="A10" s="20" t="str">
        <f t="shared" si="0"/>
        <v/>
      </c>
      <c r="B10" s="779"/>
      <c r="C10" s="782"/>
      <c r="D10" s="757"/>
      <c r="E10" s="577"/>
      <c r="F10" s="237"/>
      <c r="G10" s="238"/>
      <c r="H10" s="239"/>
      <c r="I10" s="686"/>
      <c r="J10" s="241"/>
      <c r="K10" s="240"/>
      <c r="L10" s="241"/>
      <c r="M10" s="240"/>
      <c r="N10" s="241"/>
      <c r="O10" s="228"/>
      <c r="P10" s="229"/>
      <c r="Q10" s="228"/>
      <c r="R10" s="229"/>
      <c r="S10" s="667"/>
      <c r="T10" s="668"/>
      <c r="U10" s="667"/>
      <c r="V10" s="669"/>
      <c r="W10" s="205"/>
    </row>
    <row r="11" spans="1:28" ht="15.75" customHeight="1" x14ac:dyDescent="0.3">
      <c r="A11" s="20" t="str">
        <f t="shared" si="0"/>
        <v/>
      </c>
      <c r="B11" s="779"/>
      <c r="C11" s="782"/>
      <c r="D11" s="757"/>
      <c r="E11" s="723"/>
      <c r="F11" s="242"/>
      <c r="G11" s="243"/>
      <c r="H11" s="244"/>
      <c r="I11" s="687"/>
      <c r="J11" s="246"/>
      <c r="K11" s="245"/>
      <c r="L11" s="246"/>
      <c r="M11" s="245"/>
      <c r="N11" s="246"/>
      <c r="O11" s="230"/>
      <c r="P11" s="231"/>
      <c r="Q11" s="230"/>
      <c r="R11" s="231"/>
      <c r="S11" s="670"/>
      <c r="T11" s="671"/>
      <c r="U11" s="670"/>
      <c r="V11" s="672"/>
      <c r="W11" s="205"/>
    </row>
    <row r="12" spans="1:28" ht="15.6" x14ac:dyDescent="0.3">
      <c r="A12" s="20" t="str">
        <f t="shared" si="0"/>
        <v>S</v>
      </c>
      <c r="B12" s="780"/>
      <c r="C12" s="783"/>
      <c r="D12" s="309" t="s">
        <v>138</v>
      </c>
      <c r="E12" s="717"/>
      <c r="F12" s="16"/>
      <c r="G12" s="251">
        <f>SUM(G9:G11)</f>
        <v>0</v>
      </c>
      <c r="H12" s="119">
        <f>SUM(H9:H11)</f>
        <v>0</v>
      </c>
      <c r="I12" s="9" t="e">
        <f>J12/G12</f>
        <v>#DIV/0!</v>
      </c>
      <c r="J12" s="202">
        <f>SUM(J9:J11)</f>
        <v>0</v>
      </c>
      <c r="K12" s="9" t="e">
        <f>L12/G12</f>
        <v>#DIV/0!</v>
      </c>
      <c r="L12" s="202">
        <f>SUM(L9:L11)</f>
        <v>0</v>
      </c>
      <c r="M12" s="9" t="e">
        <f>N12/L12</f>
        <v>#DIV/0!</v>
      </c>
      <c r="N12" s="202">
        <f t="shared" ref="N12" si="3">SUM(N9:N11)</f>
        <v>0</v>
      </c>
      <c r="O12" s="118">
        <f t="shared" ref="O12" si="4">SUM(O9:O11)</f>
        <v>0</v>
      </c>
      <c r="P12" s="119">
        <f t="shared" ref="P12" si="5">SUM(P9:P11)</f>
        <v>0</v>
      </c>
      <c r="Q12" s="118">
        <f t="shared" ref="Q12" si="6">SUM(Q9:Q11)</f>
        <v>0</v>
      </c>
      <c r="R12" s="119">
        <f t="shared" ref="R12" si="7">SUM(R9:R11)</f>
        <v>0</v>
      </c>
      <c r="S12" s="118">
        <f t="shared" ref="S12" si="8">SUM(S9:S11)</f>
        <v>0</v>
      </c>
      <c r="T12" s="119">
        <f t="shared" ref="T12" si="9">SUM(T9:T11)</f>
        <v>0</v>
      </c>
      <c r="U12" s="118">
        <f t="shared" ref="U12" si="10">SUM(U9:U11)</f>
        <v>0</v>
      </c>
      <c r="V12" s="120">
        <f t="shared" ref="V12" si="11">SUM(V9:V11)</f>
        <v>0</v>
      </c>
      <c r="W12" s="205"/>
    </row>
    <row r="13" spans="1:28" ht="15" customHeight="1" x14ac:dyDescent="0.3">
      <c r="A13" s="20" t="str">
        <f t="shared" si="0"/>
        <v/>
      </c>
      <c r="B13" s="773" t="s">
        <v>168</v>
      </c>
      <c r="C13" s="775" t="s">
        <v>75</v>
      </c>
      <c r="D13" s="767"/>
      <c r="E13" s="719" t="s">
        <v>182</v>
      </c>
      <c r="F13" s="232" t="s">
        <v>60</v>
      </c>
      <c r="G13" s="702"/>
      <c r="H13" s="703"/>
      <c r="I13" s="411" t="e">
        <f t="shared" ref="I13:I28" si="12">J13/G13</f>
        <v>#DIV/0!</v>
      </c>
      <c r="J13" s="704"/>
      <c r="K13" s="235" t="e">
        <f t="shared" ref="K13:K28" si="13">L13/G13</f>
        <v>#DIV/0!</v>
      </c>
      <c r="L13" s="704"/>
      <c r="M13" s="235" t="str">
        <f>IF(N13="-","-",N13/L13)</f>
        <v>-</v>
      </c>
      <c r="N13" s="236" t="s">
        <v>21</v>
      </c>
      <c r="O13" s="226" t="s">
        <v>21</v>
      </c>
      <c r="P13" s="227" t="s">
        <v>21</v>
      </c>
      <c r="Q13" s="226" t="s">
        <v>21</v>
      </c>
      <c r="R13" s="227" t="s">
        <v>21</v>
      </c>
      <c r="S13" s="664" t="s">
        <v>21</v>
      </c>
      <c r="T13" s="665" t="s">
        <v>21</v>
      </c>
      <c r="U13" s="664" t="s">
        <v>21</v>
      </c>
      <c r="V13" s="666" t="s">
        <v>21</v>
      </c>
      <c r="W13" s="205"/>
      <c r="AB13" s="2" t="str">
        <f t="shared" si="1"/>
        <v/>
      </c>
    </row>
    <row r="14" spans="1:28" ht="15" customHeight="1" x14ac:dyDescent="0.3">
      <c r="A14" s="20" t="str">
        <f t="shared" si="0"/>
        <v/>
      </c>
      <c r="B14" s="773"/>
      <c r="C14" s="775"/>
      <c r="D14" s="767"/>
      <c r="E14" s="577" t="s">
        <v>183</v>
      </c>
      <c r="F14" s="237" t="s">
        <v>60</v>
      </c>
      <c r="G14" s="688"/>
      <c r="H14" s="689"/>
      <c r="I14" s="420" t="e">
        <f t="shared" si="12"/>
        <v>#DIV/0!</v>
      </c>
      <c r="J14" s="690"/>
      <c r="K14" s="240" t="e">
        <f t="shared" si="13"/>
        <v>#DIV/0!</v>
      </c>
      <c r="L14" s="690"/>
      <c r="M14" s="240" t="str">
        <f t="shared" ref="M14:M28" si="14">IF(N14="-","-",N14/L14)</f>
        <v>-</v>
      </c>
      <c r="N14" s="241" t="s">
        <v>21</v>
      </c>
      <c r="O14" s="228" t="s">
        <v>21</v>
      </c>
      <c r="P14" s="229" t="s">
        <v>21</v>
      </c>
      <c r="Q14" s="228" t="s">
        <v>21</v>
      </c>
      <c r="R14" s="229" t="s">
        <v>21</v>
      </c>
      <c r="S14" s="667" t="s">
        <v>21</v>
      </c>
      <c r="T14" s="668" t="s">
        <v>21</v>
      </c>
      <c r="U14" s="667" t="s">
        <v>21</v>
      </c>
      <c r="V14" s="669" t="s">
        <v>21</v>
      </c>
      <c r="W14" s="205"/>
      <c r="AB14" s="2" t="str">
        <f t="shared" si="1"/>
        <v/>
      </c>
    </row>
    <row r="15" spans="1:28" ht="15" customHeight="1" x14ac:dyDescent="0.3">
      <c r="A15" s="20" t="str">
        <f t="shared" si="0"/>
        <v/>
      </c>
      <c r="B15" s="773"/>
      <c r="C15" s="775"/>
      <c r="D15" s="767"/>
      <c r="E15" s="577" t="s">
        <v>184</v>
      </c>
      <c r="F15" s="237" t="s">
        <v>60</v>
      </c>
      <c r="G15" s="688"/>
      <c r="H15" s="689"/>
      <c r="I15" s="420" t="e">
        <f t="shared" ref="I15:I27" si="15">J15/G15</f>
        <v>#DIV/0!</v>
      </c>
      <c r="J15" s="690"/>
      <c r="K15" s="240" t="e">
        <f t="shared" ref="K15:K27" si="16">L15/G15</f>
        <v>#DIV/0!</v>
      </c>
      <c r="L15" s="690"/>
      <c r="M15" s="240" t="str">
        <f t="shared" ref="M15:M27" si="17">IF(N15="-","-",N15/L15)</f>
        <v>-</v>
      </c>
      <c r="N15" s="241" t="s">
        <v>21</v>
      </c>
      <c r="O15" s="228" t="s">
        <v>21</v>
      </c>
      <c r="P15" s="229" t="s">
        <v>21</v>
      </c>
      <c r="Q15" s="228" t="s">
        <v>21</v>
      </c>
      <c r="R15" s="229" t="s">
        <v>21</v>
      </c>
      <c r="S15" s="667" t="s">
        <v>21</v>
      </c>
      <c r="T15" s="668" t="s">
        <v>21</v>
      </c>
      <c r="U15" s="667" t="s">
        <v>21</v>
      </c>
      <c r="V15" s="669" t="s">
        <v>21</v>
      </c>
      <c r="W15" s="205"/>
      <c r="AB15" s="2" t="str">
        <f t="shared" si="1"/>
        <v/>
      </c>
    </row>
    <row r="16" spans="1:28" ht="15" customHeight="1" x14ac:dyDescent="0.3">
      <c r="A16" s="20" t="str">
        <f t="shared" si="0"/>
        <v/>
      </c>
      <c r="B16" s="773"/>
      <c r="C16" s="775"/>
      <c r="D16" s="767"/>
      <c r="E16" s="577" t="s">
        <v>185</v>
      </c>
      <c r="F16" s="237" t="s">
        <v>60</v>
      </c>
      <c r="G16" s="688"/>
      <c r="H16" s="689"/>
      <c r="I16" s="420" t="e">
        <f t="shared" si="15"/>
        <v>#DIV/0!</v>
      </c>
      <c r="J16" s="690"/>
      <c r="K16" s="240" t="e">
        <f t="shared" si="16"/>
        <v>#DIV/0!</v>
      </c>
      <c r="L16" s="690"/>
      <c r="M16" s="240" t="str">
        <f t="shared" si="17"/>
        <v>-</v>
      </c>
      <c r="N16" s="241" t="s">
        <v>21</v>
      </c>
      <c r="O16" s="228" t="s">
        <v>21</v>
      </c>
      <c r="P16" s="229" t="s">
        <v>21</v>
      </c>
      <c r="Q16" s="228" t="s">
        <v>21</v>
      </c>
      <c r="R16" s="229" t="s">
        <v>21</v>
      </c>
      <c r="S16" s="667" t="s">
        <v>21</v>
      </c>
      <c r="T16" s="668" t="s">
        <v>21</v>
      </c>
      <c r="U16" s="667" t="s">
        <v>21</v>
      </c>
      <c r="V16" s="669" t="s">
        <v>21</v>
      </c>
      <c r="W16" s="205"/>
      <c r="AB16" s="2" t="str">
        <f t="shared" si="1"/>
        <v/>
      </c>
    </row>
    <row r="17" spans="1:28" ht="15" customHeight="1" x14ac:dyDescent="0.3">
      <c r="A17" s="20" t="str">
        <f t="shared" si="0"/>
        <v/>
      </c>
      <c r="B17" s="773"/>
      <c r="C17" s="775"/>
      <c r="D17" s="767"/>
      <c r="E17" s="577" t="s">
        <v>186</v>
      </c>
      <c r="F17" s="237" t="s">
        <v>60</v>
      </c>
      <c r="G17" s="688"/>
      <c r="H17" s="689"/>
      <c r="I17" s="420" t="e">
        <f t="shared" si="15"/>
        <v>#DIV/0!</v>
      </c>
      <c r="J17" s="690"/>
      <c r="K17" s="240" t="e">
        <f t="shared" si="16"/>
        <v>#DIV/0!</v>
      </c>
      <c r="L17" s="690"/>
      <c r="M17" s="240" t="str">
        <f t="shared" si="17"/>
        <v>-</v>
      </c>
      <c r="N17" s="241" t="s">
        <v>21</v>
      </c>
      <c r="O17" s="228" t="s">
        <v>21</v>
      </c>
      <c r="P17" s="229" t="s">
        <v>21</v>
      </c>
      <c r="Q17" s="228" t="s">
        <v>21</v>
      </c>
      <c r="R17" s="229" t="s">
        <v>21</v>
      </c>
      <c r="S17" s="667" t="s">
        <v>21</v>
      </c>
      <c r="T17" s="668" t="s">
        <v>21</v>
      </c>
      <c r="U17" s="667" t="s">
        <v>21</v>
      </c>
      <c r="V17" s="669" t="s">
        <v>21</v>
      </c>
      <c r="W17" s="205"/>
      <c r="AB17" s="2" t="str">
        <f t="shared" si="1"/>
        <v/>
      </c>
    </row>
    <row r="18" spans="1:28" ht="15" customHeight="1" x14ac:dyDescent="0.3">
      <c r="A18" s="20" t="str">
        <f t="shared" si="0"/>
        <v/>
      </c>
      <c r="B18" s="773"/>
      <c r="C18" s="775"/>
      <c r="D18" s="767"/>
      <c r="E18" s="577" t="s">
        <v>187</v>
      </c>
      <c r="F18" s="237" t="s">
        <v>62</v>
      </c>
      <c r="G18" s="688"/>
      <c r="H18" s="689"/>
      <c r="I18" s="420" t="e">
        <f t="shared" si="15"/>
        <v>#DIV/0!</v>
      </c>
      <c r="J18" s="690"/>
      <c r="K18" s="240" t="e">
        <f t="shared" si="16"/>
        <v>#DIV/0!</v>
      </c>
      <c r="L18" s="690"/>
      <c r="M18" s="240" t="str">
        <f t="shared" si="17"/>
        <v>-</v>
      </c>
      <c r="N18" s="241" t="s">
        <v>21</v>
      </c>
      <c r="O18" s="228" t="s">
        <v>21</v>
      </c>
      <c r="P18" s="229" t="s">
        <v>21</v>
      </c>
      <c r="Q18" s="228" t="s">
        <v>21</v>
      </c>
      <c r="R18" s="229" t="s">
        <v>21</v>
      </c>
      <c r="S18" s="667" t="s">
        <v>21</v>
      </c>
      <c r="T18" s="668" t="s">
        <v>21</v>
      </c>
      <c r="U18" s="667" t="s">
        <v>21</v>
      </c>
      <c r="V18" s="669" t="s">
        <v>21</v>
      </c>
      <c r="W18" s="205"/>
      <c r="AB18" s="2" t="str">
        <f t="shared" si="1"/>
        <v/>
      </c>
    </row>
    <row r="19" spans="1:28" ht="15" customHeight="1" x14ac:dyDescent="0.3">
      <c r="A19" s="20" t="str">
        <f t="shared" si="0"/>
        <v/>
      </c>
      <c r="B19" s="773"/>
      <c r="C19" s="775"/>
      <c r="D19" s="767"/>
      <c r="E19" s="577" t="s">
        <v>188</v>
      </c>
      <c r="F19" s="237" t="s">
        <v>60</v>
      </c>
      <c r="G19" s="688"/>
      <c r="H19" s="689"/>
      <c r="I19" s="420" t="e">
        <f t="shared" si="15"/>
        <v>#DIV/0!</v>
      </c>
      <c r="J19" s="690"/>
      <c r="K19" s="240" t="e">
        <f t="shared" si="16"/>
        <v>#DIV/0!</v>
      </c>
      <c r="L19" s="690"/>
      <c r="M19" s="240" t="str">
        <f t="shared" si="17"/>
        <v>-</v>
      </c>
      <c r="N19" s="241" t="s">
        <v>21</v>
      </c>
      <c r="O19" s="228" t="s">
        <v>21</v>
      </c>
      <c r="P19" s="229" t="s">
        <v>21</v>
      </c>
      <c r="Q19" s="228" t="s">
        <v>21</v>
      </c>
      <c r="R19" s="229" t="s">
        <v>21</v>
      </c>
      <c r="S19" s="667" t="s">
        <v>21</v>
      </c>
      <c r="T19" s="668" t="s">
        <v>21</v>
      </c>
      <c r="U19" s="667" t="s">
        <v>21</v>
      </c>
      <c r="V19" s="669" t="s">
        <v>21</v>
      </c>
      <c r="W19" s="205"/>
      <c r="AB19" s="2" t="str">
        <f t="shared" si="1"/>
        <v/>
      </c>
    </row>
    <row r="20" spans="1:28" ht="15" customHeight="1" x14ac:dyDescent="0.3">
      <c r="A20" s="20" t="str">
        <f t="shared" si="0"/>
        <v/>
      </c>
      <c r="B20" s="773"/>
      <c r="C20" s="775"/>
      <c r="D20" s="767"/>
      <c r="E20" s="577" t="s">
        <v>189</v>
      </c>
      <c r="F20" s="237" t="s">
        <v>60</v>
      </c>
      <c r="G20" s="688"/>
      <c r="H20" s="689"/>
      <c r="I20" s="420" t="e">
        <f t="shared" si="15"/>
        <v>#DIV/0!</v>
      </c>
      <c r="J20" s="690"/>
      <c r="K20" s="240" t="e">
        <f t="shared" si="16"/>
        <v>#DIV/0!</v>
      </c>
      <c r="L20" s="690"/>
      <c r="M20" s="240" t="str">
        <f t="shared" si="17"/>
        <v>-</v>
      </c>
      <c r="N20" s="241" t="s">
        <v>21</v>
      </c>
      <c r="O20" s="228" t="s">
        <v>21</v>
      </c>
      <c r="P20" s="229" t="s">
        <v>21</v>
      </c>
      <c r="Q20" s="228" t="s">
        <v>21</v>
      </c>
      <c r="R20" s="229" t="s">
        <v>21</v>
      </c>
      <c r="S20" s="667" t="s">
        <v>21</v>
      </c>
      <c r="T20" s="668" t="s">
        <v>21</v>
      </c>
      <c r="U20" s="667" t="s">
        <v>21</v>
      </c>
      <c r="V20" s="669" t="s">
        <v>21</v>
      </c>
      <c r="W20" s="205"/>
      <c r="AB20" s="2" t="str">
        <f t="shared" si="1"/>
        <v/>
      </c>
    </row>
    <row r="21" spans="1:28" ht="15" customHeight="1" x14ac:dyDescent="0.3">
      <c r="A21" s="20" t="str">
        <f t="shared" si="0"/>
        <v/>
      </c>
      <c r="B21" s="773"/>
      <c r="C21" s="775"/>
      <c r="D21" s="767"/>
      <c r="E21" s="577" t="s">
        <v>190</v>
      </c>
      <c r="F21" s="237" t="s">
        <v>60</v>
      </c>
      <c r="G21" s="688"/>
      <c r="H21" s="689"/>
      <c r="I21" s="420" t="e">
        <f t="shared" si="15"/>
        <v>#DIV/0!</v>
      </c>
      <c r="J21" s="690"/>
      <c r="K21" s="240" t="e">
        <f t="shared" si="16"/>
        <v>#DIV/0!</v>
      </c>
      <c r="L21" s="690"/>
      <c r="M21" s="240" t="str">
        <f t="shared" si="17"/>
        <v>-</v>
      </c>
      <c r="N21" s="241" t="s">
        <v>21</v>
      </c>
      <c r="O21" s="228" t="s">
        <v>21</v>
      </c>
      <c r="P21" s="229" t="s">
        <v>21</v>
      </c>
      <c r="Q21" s="228" t="s">
        <v>21</v>
      </c>
      <c r="R21" s="229" t="s">
        <v>21</v>
      </c>
      <c r="S21" s="667" t="s">
        <v>21</v>
      </c>
      <c r="T21" s="668" t="s">
        <v>21</v>
      </c>
      <c r="U21" s="667" t="s">
        <v>21</v>
      </c>
      <c r="V21" s="669" t="s">
        <v>21</v>
      </c>
      <c r="W21" s="205"/>
      <c r="AB21" s="2" t="str">
        <f t="shared" si="1"/>
        <v/>
      </c>
    </row>
    <row r="22" spans="1:28" ht="15" customHeight="1" x14ac:dyDescent="0.3">
      <c r="A22" s="20" t="str">
        <f t="shared" si="0"/>
        <v/>
      </c>
      <c r="B22" s="773"/>
      <c r="C22" s="775"/>
      <c r="D22" s="767"/>
      <c r="E22" s="577" t="s">
        <v>191</v>
      </c>
      <c r="F22" s="237" t="s">
        <v>60</v>
      </c>
      <c r="G22" s="688"/>
      <c r="H22" s="689"/>
      <c r="I22" s="420" t="e">
        <f t="shared" si="15"/>
        <v>#DIV/0!</v>
      </c>
      <c r="J22" s="690"/>
      <c r="K22" s="240" t="e">
        <f t="shared" si="16"/>
        <v>#DIV/0!</v>
      </c>
      <c r="L22" s="690"/>
      <c r="M22" s="240" t="str">
        <f t="shared" si="17"/>
        <v>-</v>
      </c>
      <c r="N22" s="241" t="s">
        <v>21</v>
      </c>
      <c r="O22" s="228" t="s">
        <v>21</v>
      </c>
      <c r="P22" s="229" t="s">
        <v>21</v>
      </c>
      <c r="Q22" s="228" t="s">
        <v>21</v>
      </c>
      <c r="R22" s="229" t="s">
        <v>21</v>
      </c>
      <c r="S22" s="667" t="s">
        <v>21</v>
      </c>
      <c r="T22" s="668" t="s">
        <v>21</v>
      </c>
      <c r="U22" s="667" t="s">
        <v>21</v>
      </c>
      <c r="V22" s="669" t="s">
        <v>21</v>
      </c>
      <c r="W22" s="205"/>
      <c r="AB22" s="2" t="str">
        <f t="shared" si="1"/>
        <v/>
      </c>
    </row>
    <row r="23" spans="1:28" ht="15" customHeight="1" x14ac:dyDescent="0.3">
      <c r="A23" s="20" t="str">
        <f t="shared" si="0"/>
        <v/>
      </c>
      <c r="B23" s="773"/>
      <c r="C23" s="775"/>
      <c r="D23" s="767"/>
      <c r="E23" s="577" t="s">
        <v>192</v>
      </c>
      <c r="F23" s="237" t="s">
        <v>60</v>
      </c>
      <c r="G23" s="688"/>
      <c r="H23" s="689"/>
      <c r="I23" s="420" t="e">
        <f t="shared" si="15"/>
        <v>#DIV/0!</v>
      </c>
      <c r="J23" s="690"/>
      <c r="K23" s="240" t="e">
        <f t="shared" si="16"/>
        <v>#DIV/0!</v>
      </c>
      <c r="L23" s="690"/>
      <c r="M23" s="240" t="str">
        <f t="shared" si="17"/>
        <v>-</v>
      </c>
      <c r="N23" s="241" t="s">
        <v>21</v>
      </c>
      <c r="O23" s="228" t="s">
        <v>21</v>
      </c>
      <c r="P23" s="229" t="s">
        <v>21</v>
      </c>
      <c r="Q23" s="228" t="s">
        <v>21</v>
      </c>
      <c r="R23" s="229" t="s">
        <v>21</v>
      </c>
      <c r="S23" s="667" t="s">
        <v>21</v>
      </c>
      <c r="T23" s="668" t="s">
        <v>21</v>
      </c>
      <c r="U23" s="667" t="s">
        <v>21</v>
      </c>
      <c r="V23" s="669" t="s">
        <v>21</v>
      </c>
      <c r="W23" s="205"/>
      <c r="AB23" s="2" t="str">
        <f t="shared" si="1"/>
        <v/>
      </c>
    </row>
    <row r="24" spans="1:28" ht="15" customHeight="1" x14ac:dyDescent="0.3">
      <c r="A24" s="20" t="str">
        <f t="shared" si="0"/>
        <v/>
      </c>
      <c r="B24" s="773"/>
      <c r="C24" s="775"/>
      <c r="D24" s="767"/>
      <c r="E24" s="577" t="s">
        <v>193</v>
      </c>
      <c r="F24" s="237" t="s">
        <v>60</v>
      </c>
      <c r="G24" s="688"/>
      <c r="H24" s="689"/>
      <c r="I24" s="420" t="e">
        <f t="shared" si="15"/>
        <v>#DIV/0!</v>
      </c>
      <c r="J24" s="690"/>
      <c r="K24" s="240" t="e">
        <f t="shared" si="16"/>
        <v>#DIV/0!</v>
      </c>
      <c r="L24" s="690"/>
      <c r="M24" s="240" t="str">
        <f t="shared" si="17"/>
        <v>-</v>
      </c>
      <c r="N24" s="241" t="s">
        <v>21</v>
      </c>
      <c r="O24" s="228" t="s">
        <v>21</v>
      </c>
      <c r="P24" s="229" t="s">
        <v>21</v>
      </c>
      <c r="Q24" s="228" t="s">
        <v>21</v>
      </c>
      <c r="R24" s="229" t="s">
        <v>21</v>
      </c>
      <c r="S24" s="667" t="s">
        <v>21</v>
      </c>
      <c r="T24" s="668" t="s">
        <v>21</v>
      </c>
      <c r="U24" s="667" t="s">
        <v>21</v>
      </c>
      <c r="V24" s="669" t="s">
        <v>21</v>
      </c>
      <c r="W24" s="205"/>
      <c r="AB24" s="2" t="str">
        <f t="shared" si="1"/>
        <v/>
      </c>
    </row>
    <row r="25" spans="1:28" ht="15" customHeight="1" x14ac:dyDescent="0.3">
      <c r="A25" s="20" t="str">
        <f t="shared" si="0"/>
        <v/>
      </c>
      <c r="B25" s="773"/>
      <c r="C25" s="775"/>
      <c r="D25" s="767"/>
      <c r="E25" s="577" t="s">
        <v>194</v>
      </c>
      <c r="F25" s="237" t="s">
        <v>60</v>
      </c>
      <c r="G25" s="688"/>
      <c r="H25" s="689"/>
      <c r="I25" s="420" t="e">
        <f t="shared" si="15"/>
        <v>#DIV/0!</v>
      </c>
      <c r="J25" s="690"/>
      <c r="K25" s="240" t="e">
        <f t="shared" si="16"/>
        <v>#DIV/0!</v>
      </c>
      <c r="L25" s="690"/>
      <c r="M25" s="240" t="str">
        <f t="shared" si="17"/>
        <v>-</v>
      </c>
      <c r="N25" s="241" t="s">
        <v>21</v>
      </c>
      <c r="O25" s="228" t="s">
        <v>21</v>
      </c>
      <c r="P25" s="229" t="s">
        <v>21</v>
      </c>
      <c r="Q25" s="228" t="s">
        <v>21</v>
      </c>
      <c r="R25" s="229" t="s">
        <v>21</v>
      </c>
      <c r="S25" s="667" t="s">
        <v>21</v>
      </c>
      <c r="T25" s="668" t="s">
        <v>21</v>
      </c>
      <c r="U25" s="667" t="s">
        <v>21</v>
      </c>
      <c r="V25" s="669" t="s">
        <v>21</v>
      </c>
      <c r="W25" s="205"/>
      <c r="AB25" s="2" t="str">
        <f t="shared" si="1"/>
        <v/>
      </c>
    </row>
    <row r="26" spans="1:28" ht="15" customHeight="1" x14ac:dyDescent="0.3">
      <c r="A26" s="20" t="str">
        <f t="shared" si="0"/>
        <v/>
      </c>
      <c r="B26" s="773"/>
      <c r="C26" s="775"/>
      <c r="D26" s="767"/>
      <c r="E26" s="577" t="s">
        <v>195</v>
      </c>
      <c r="F26" s="237" t="s">
        <v>60</v>
      </c>
      <c r="G26" s="688"/>
      <c r="H26" s="689"/>
      <c r="I26" s="420" t="e">
        <f t="shared" si="15"/>
        <v>#DIV/0!</v>
      </c>
      <c r="J26" s="690"/>
      <c r="K26" s="240" t="e">
        <f t="shared" si="16"/>
        <v>#DIV/0!</v>
      </c>
      <c r="L26" s="690"/>
      <c r="M26" s="240" t="str">
        <f t="shared" si="17"/>
        <v>-</v>
      </c>
      <c r="N26" s="241" t="s">
        <v>21</v>
      </c>
      <c r="O26" s="228" t="s">
        <v>21</v>
      </c>
      <c r="P26" s="229" t="s">
        <v>21</v>
      </c>
      <c r="Q26" s="228" t="s">
        <v>21</v>
      </c>
      <c r="R26" s="229" t="s">
        <v>21</v>
      </c>
      <c r="S26" s="667" t="s">
        <v>21</v>
      </c>
      <c r="T26" s="668" t="s">
        <v>21</v>
      </c>
      <c r="U26" s="667" t="s">
        <v>21</v>
      </c>
      <c r="V26" s="669" t="s">
        <v>21</v>
      </c>
      <c r="W26" s="205"/>
      <c r="AB26" s="2" t="str">
        <f t="shared" si="1"/>
        <v/>
      </c>
    </row>
    <row r="27" spans="1:28" ht="15" customHeight="1" x14ac:dyDescent="0.3">
      <c r="A27" s="20" t="str">
        <f t="shared" si="0"/>
        <v/>
      </c>
      <c r="B27" s="773"/>
      <c r="C27" s="775"/>
      <c r="D27" s="767"/>
      <c r="E27" s="577" t="s">
        <v>196</v>
      </c>
      <c r="F27" s="237" t="s">
        <v>60</v>
      </c>
      <c r="G27" s="688"/>
      <c r="H27" s="689"/>
      <c r="I27" s="420" t="e">
        <f t="shared" si="15"/>
        <v>#DIV/0!</v>
      </c>
      <c r="J27" s="690"/>
      <c r="K27" s="240" t="e">
        <f t="shared" si="16"/>
        <v>#DIV/0!</v>
      </c>
      <c r="L27" s="690"/>
      <c r="M27" s="240" t="str">
        <f t="shared" si="17"/>
        <v>-</v>
      </c>
      <c r="N27" s="241" t="s">
        <v>21</v>
      </c>
      <c r="O27" s="228" t="s">
        <v>21</v>
      </c>
      <c r="P27" s="229" t="s">
        <v>21</v>
      </c>
      <c r="Q27" s="228" t="s">
        <v>21</v>
      </c>
      <c r="R27" s="229" t="s">
        <v>21</v>
      </c>
      <c r="S27" s="667" t="s">
        <v>21</v>
      </c>
      <c r="T27" s="668" t="s">
        <v>21</v>
      </c>
      <c r="U27" s="667" t="s">
        <v>21</v>
      </c>
      <c r="V27" s="669" t="s">
        <v>21</v>
      </c>
      <c r="W27" s="205"/>
      <c r="AB27" s="2" t="str">
        <f t="shared" si="1"/>
        <v/>
      </c>
    </row>
    <row r="28" spans="1:28" ht="15" customHeight="1" x14ac:dyDescent="0.3">
      <c r="A28" s="20" t="str">
        <f t="shared" si="0"/>
        <v/>
      </c>
      <c r="B28" s="773"/>
      <c r="C28" s="775"/>
      <c r="D28" s="767"/>
      <c r="E28" s="577" t="s">
        <v>197</v>
      </c>
      <c r="F28" s="237" t="s">
        <v>62</v>
      </c>
      <c r="G28" s="238"/>
      <c r="H28" s="239"/>
      <c r="I28" s="420" t="e">
        <f t="shared" si="12"/>
        <v>#DIV/0!</v>
      </c>
      <c r="J28" s="241"/>
      <c r="K28" s="240" t="e">
        <f t="shared" si="13"/>
        <v>#DIV/0!</v>
      </c>
      <c r="L28" s="241"/>
      <c r="M28" s="240" t="str">
        <f t="shared" si="14"/>
        <v>-</v>
      </c>
      <c r="N28" s="241" t="s">
        <v>21</v>
      </c>
      <c r="O28" s="228" t="s">
        <v>21</v>
      </c>
      <c r="P28" s="229" t="s">
        <v>21</v>
      </c>
      <c r="Q28" s="228" t="s">
        <v>21</v>
      </c>
      <c r="R28" s="229" t="s">
        <v>21</v>
      </c>
      <c r="S28" s="667" t="s">
        <v>21</v>
      </c>
      <c r="T28" s="668" t="s">
        <v>21</v>
      </c>
      <c r="U28" s="667" t="s">
        <v>21</v>
      </c>
      <c r="V28" s="669" t="s">
        <v>21</v>
      </c>
      <c r="W28" s="205"/>
      <c r="AB28" s="2" t="str">
        <f t="shared" si="1"/>
        <v/>
      </c>
    </row>
    <row r="29" spans="1:28" ht="15" customHeight="1" x14ac:dyDescent="0.3">
      <c r="A29" s="20" t="str">
        <f t="shared" si="0"/>
        <v/>
      </c>
      <c r="B29" s="773"/>
      <c r="C29" s="775"/>
      <c r="D29" s="767"/>
      <c r="E29" s="727" t="s">
        <v>166</v>
      </c>
      <c r="F29" s="237"/>
      <c r="G29" s="238"/>
      <c r="H29" s="239"/>
      <c r="I29" s="686"/>
      <c r="J29" s="241"/>
      <c r="K29" s="240"/>
      <c r="L29" s="241"/>
      <c r="M29" s="240"/>
      <c r="N29" s="241"/>
      <c r="O29" s="228"/>
      <c r="P29" s="229"/>
      <c r="Q29" s="228"/>
      <c r="R29" s="229"/>
      <c r="S29" s="667"/>
      <c r="T29" s="668"/>
      <c r="U29" s="667"/>
      <c r="V29" s="669"/>
      <c r="W29" s="205"/>
    </row>
    <row r="30" spans="1:28" ht="15" customHeight="1" x14ac:dyDescent="0.3">
      <c r="A30" s="20" t="str">
        <f t="shared" si="0"/>
        <v/>
      </c>
      <c r="B30" s="773"/>
      <c r="C30" s="775"/>
      <c r="D30" s="767"/>
      <c r="E30" s="727" t="s">
        <v>166</v>
      </c>
      <c r="F30" s="237"/>
      <c r="G30" s="238"/>
      <c r="H30" s="239"/>
      <c r="I30" s="686"/>
      <c r="J30" s="241"/>
      <c r="K30" s="240"/>
      <c r="L30" s="241"/>
      <c r="M30" s="240"/>
      <c r="N30" s="241"/>
      <c r="O30" s="228"/>
      <c r="P30" s="229"/>
      <c r="Q30" s="228"/>
      <c r="R30" s="229"/>
      <c r="S30" s="667"/>
      <c r="T30" s="668"/>
      <c r="U30" s="667"/>
      <c r="V30" s="669"/>
      <c r="W30" s="205"/>
    </row>
    <row r="31" spans="1:28" ht="15" customHeight="1" x14ac:dyDescent="0.3">
      <c r="A31" s="20" t="str">
        <f t="shared" si="0"/>
        <v/>
      </c>
      <c r="B31" s="773"/>
      <c r="C31" s="775"/>
      <c r="D31" s="767"/>
      <c r="E31" s="727" t="s">
        <v>166</v>
      </c>
      <c r="F31" s="237"/>
      <c r="G31" s="238"/>
      <c r="H31" s="239"/>
      <c r="I31" s="686"/>
      <c r="J31" s="241"/>
      <c r="K31" s="240"/>
      <c r="L31" s="241"/>
      <c r="M31" s="240"/>
      <c r="N31" s="241"/>
      <c r="O31" s="228"/>
      <c r="P31" s="229"/>
      <c r="Q31" s="228"/>
      <c r="R31" s="229"/>
      <c r="S31" s="667"/>
      <c r="T31" s="668"/>
      <c r="U31" s="667"/>
      <c r="V31" s="669"/>
      <c r="W31" s="205"/>
    </row>
    <row r="32" spans="1:28" ht="15" customHeight="1" x14ac:dyDescent="0.3">
      <c r="A32" s="20" t="str">
        <f t="shared" si="0"/>
        <v/>
      </c>
      <c r="B32" s="773"/>
      <c r="C32" s="775"/>
      <c r="D32" s="767"/>
      <c r="E32" s="727" t="s">
        <v>166</v>
      </c>
      <c r="F32" s="237"/>
      <c r="G32" s="238"/>
      <c r="H32" s="239"/>
      <c r="I32" s="686"/>
      <c r="J32" s="241"/>
      <c r="K32" s="240"/>
      <c r="L32" s="241"/>
      <c r="M32" s="240"/>
      <c r="N32" s="241"/>
      <c r="O32" s="228"/>
      <c r="P32" s="229"/>
      <c r="Q32" s="228"/>
      <c r="R32" s="229"/>
      <c r="S32" s="667"/>
      <c r="T32" s="668"/>
      <c r="U32" s="667"/>
      <c r="V32" s="669"/>
      <c r="W32" s="205"/>
    </row>
    <row r="33" spans="1:28" ht="15" customHeight="1" x14ac:dyDescent="0.3">
      <c r="A33" s="20" t="str">
        <f t="shared" si="0"/>
        <v/>
      </c>
      <c r="B33" s="773"/>
      <c r="C33" s="775"/>
      <c r="D33" s="767"/>
      <c r="E33" s="728" t="s">
        <v>166</v>
      </c>
      <c r="F33" s="242"/>
      <c r="G33" s="243"/>
      <c r="H33" s="244"/>
      <c r="I33" s="687"/>
      <c r="J33" s="246"/>
      <c r="K33" s="245"/>
      <c r="L33" s="246"/>
      <c r="M33" s="245"/>
      <c r="N33" s="246"/>
      <c r="O33" s="230"/>
      <c r="P33" s="231"/>
      <c r="Q33" s="230"/>
      <c r="R33" s="231"/>
      <c r="S33" s="670"/>
      <c r="T33" s="671"/>
      <c r="U33" s="670"/>
      <c r="V33" s="672"/>
      <c r="W33" s="205"/>
    </row>
    <row r="34" spans="1:28" ht="15.6" x14ac:dyDescent="0.3">
      <c r="A34" s="20" t="str">
        <f t="shared" si="0"/>
        <v>S</v>
      </c>
      <c r="B34" s="773"/>
      <c r="C34" s="776"/>
      <c r="D34" s="309" t="s">
        <v>138</v>
      </c>
      <c r="E34" s="717"/>
      <c r="F34" s="16"/>
      <c r="G34" s="7">
        <f>SUM(G13:G33)</f>
        <v>0</v>
      </c>
      <c r="H34" s="8">
        <f>SUM(H13:H33)</f>
        <v>0</v>
      </c>
      <c r="I34" s="9" t="e">
        <f>J34/G34</f>
        <v>#DIV/0!</v>
      </c>
      <c r="J34" s="202">
        <f>SUM(J13:J33)</f>
        <v>0</v>
      </c>
      <c r="K34" s="9" t="e">
        <f>L34/G34</f>
        <v>#DIV/0!</v>
      </c>
      <c r="L34" s="202">
        <f>SUM(L13:L33)</f>
        <v>0</v>
      </c>
      <c r="M34" s="9" t="e">
        <f>N34/L34</f>
        <v>#DIV/0!</v>
      </c>
      <c r="N34" s="202">
        <f t="shared" ref="N34:V34" si="18">SUM(N13:N33)</f>
        <v>0</v>
      </c>
      <c r="O34" s="118">
        <f t="shared" si="18"/>
        <v>0</v>
      </c>
      <c r="P34" s="119">
        <f t="shared" si="18"/>
        <v>0</v>
      </c>
      <c r="Q34" s="118">
        <f t="shared" si="18"/>
        <v>0</v>
      </c>
      <c r="R34" s="119">
        <f t="shared" si="18"/>
        <v>0</v>
      </c>
      <c r="S34" s="118">
        <f t="shared" si="18"/>
        <v>0</v>
      </c>
      <c r="T34" s="119">
        <f t="shared" si="18"/>
        <v>0</v>
      </c>
      <c r="U34" s="118">
        <f t="shared" si="18"/>
        <v>0</v>
      </c>
      <c r="V34" s="120">
        <f t="shared" si="18"/>
        <v>0</v>
      </c>
      <c r="W34" s="205"/>
      <c r="AB34" s="2" t="str">
        <f t="shared" si="1"/>
        <v/>
      </c>
    </row>
    <row r="35" spans="1:28" ht="15" customHeight="1" x14ac:dyDescent="0.3">
      <c r="A35" s="20" t="str">
        <f t="shared" si="0"/>
        <v>X</v>
      </c>
      <c r="B35" s="773" t="s">
        <v>82</v>
      </c>
      <c r="C35" s="775" t="s">
        <v>75</v>
      </c>
      <c r="D35" s="767">
        <v>9</v>
      </c>
      <c r="E35" s="719" t="s">
        <v>13</v>
      </c>
      <c r="F35" s="232" t="s">
        <v>60</v>
      </c>
      <c r="G35" s="702">
        <v>76</v>
      </c>
      <c r="H35" s="703">
        <v>50</v>
      </c>
      <c r="I35" s="411">
        <f t="shared" ref="I35:I60" si="19">J35/G35</f>
        <v>0.22368421052631579</v>
      </c>
      <c r="J35" s="704">
        <v>17</v>
      </c>
      <c r="K35" s="235">
        <f t="shared" ref="K35:K60" si="20">L35/G35</f>
        <v>0.36842105263157893</v>
      </c>
      <c r="L35" s="704">
        <v>28</v>
      </c>
      <c r="M35" s="235" t="str">
        <f>IF(N35="-","-",N35/L35)</f>
        <v>-</v>
      </c>
      <c r="N35" s="236" t="s">
        <v>21</v>
      </c>
      <c r="O35" s="226" t="s">
        <v>21</v>
      </c>
      <c r="P35" s="227" t="s">
        <v>21</v>
      </c>
      <c r="Q35" s="226" t="s">
        <v>21</v>
      </c>
      <c r="R35" s="227" t="s">
        <v>21</v>
      </c>
      <c r="S35" s="664" t="s">
        <v>21</v>
      </c>
      <c r="T35" s="665" t="s">
        <v>21</v>
      </c>
      <c r="U35" s="664" t="s">
        <v>21</v>
      </c>
      <c r="V35" s="666" t="s">
        <v>21</v>
      </c>
      <c r="W35" s="205"/>
      <c r="AB35" s="2" t="str">
        <f t="shared" si="1"/>
        <v>France</v>
      </c>
    </row>
    <row r="36" spans="1:28" ht="15" customHeight="1" x14ac:dyDescent="0.3">
      <c r="A36" s="20" t="str">
        <f t="shared" si="0"/>
        <v>X</v>
      </c>
      <c r="B36" s="773"/>
      <c r="C36" s="775"/>
      <c r="D36" s="767"/>
      <c r="E36" s="577" t="s">
        <v>14</v>
      </c>
      <c r="F36" s="237" t="s">
        <v>60</v>
      </c>
      <c r="G36" s="688">
        <v>45</v>
      </c>
      <c r="H36" s="689">
        <v>27</v>
      </c>
      <c r="I36" s="420">
        <f t="shared" si="19"/>
        <v>0.46666666666666667</v>
      </c>
      <c r="J36" s="690">
        <v>21</v>
      </c>
      <c r="K36" s="240">
        <f t="shared" si="20"/>
        <v>0.31111111111111112</v>
      </c>
      <c r="L36" s="690">
        <v>14</v>
      </c>
      <c r="M36" s="240" t="str">
        <f t="shared" ref="M36:M60" si="21">IF(N36="-","-",N36/L36)</f>
        <v>-</v>
      </c>
      <c r="N36" s="241" t="s">
        <v>21</v>
      </c>
      <c r="O36" s="228" t="s">
        <v>21</v>
      </c>
      <c r="P36" s="229" t="s">
        <v>21</v>
      </c>
      <c r="Q36" s="228" t="s">
        <v>21</v>
      </c>
      <c r="R36" s="229" t="s">
        <v>21</v>
      </c>
      <c r="S36" s="667" t="s">
        <v>21</v>
      </c>
      <c r="T36" s="668" t="s">
        <v>21</v>
      </c>
      <c r="U36" s="667" t="s">
        <v>21</v>
      </c>
      <c r="V36" s="669" t="s">
        <v>21</v>
      </c>
      <c r="W36" s="205"/>
      <c r="AB36" s="2" t="str">
        <f t="shared" si="1"/>
        <v>France</v>
      </c>
    </row>
    <row r="37" spans="1:28" ht="15" customHeight="1" x14ac:dyDescent="0.3">
      <c r="A37" s="20" t="str">
        <f t="shared" si="0"/>
        <v>X</v>
      </c>
      <c r="B37" s="773"/>
      <c r="C37" s="775"/>
      <c r="D37" s="767"/>
      <c r="E37" s="577" t="s">
        <v>15</v>
      </c>
      <c r="F37" s="237" t="s">
        <v>60</v>
      </c>
      <c r="G37" s="688">
        <v>16</v>
      </c>
      <c r="H37" s="689">
        <v>10</v>
      </c>
      <c r="I37" s="420">
        <f t="shared" si="19"/>
        <v>0.3125</v>
      </c>
      <c r="J37" s="690">
        <v>5</v>
      </c>
      <c r="K37" s="240">
        <f t="shared" si="20"/>
        <v>0.1875</v>
      </c>
      <c r="L37" s="690">
        <v>3</v>
      </c>
      <c r="M37" s="240" t="str">
        <f t="shared" si="21"/>
        <v>-</v>
      </c>
      <c r="N37" s="241" t="s">
        <v>21</v>
      </c>
      <c r="O37" s="228" t="s">
        <v>21</v>
      </c>
      <c r="P37" s="229" t="s">
        <v>21</v>
      </c>
      <c r="Q37" s="228" t="s">
        <v>21</v>
      </c>
      <c r="R37" s="229" t="s">
        <v>21</v>
      </c>
      <c r="S37" s="667" t="s">
        <v>21</v>
      </c>
      <c r="T37" s="668" t="s">
        <v>21</v>
      </c>
      <c r="U37" s="667" t="s">
        <v>21</v>
      </c>
      <c r="V37" s="669" t="s">
        <v>21</v>
      </c>
      <c r="W37" s="205"/>
      <c r="AB37" s="2" t="str">
        <f t="shared" si="1"/>
        <v>France</v>
      </c>
    </row>
    <row r="38" spans="1:28" ht="15" customHeight="1" x14ac:dyDescent="0.3">
      <c r="A38" s="20" t="str">
        <f t="shared" si="0"/>
        <v>X</v>
      </c>
      <c r="B38" s="773"/>
      <c r="C38" s="775"/>
      <c r="D38" s="767"/>
      <c r="E38" s="577" t="s">
        <v>141</v>
      </c>
      <c r="F38" s="237" t="s">
        <v>60</v>
      </c>
      <c r="G38" s="688">
        <v>56</v>
      </c>
      <c r="H38" s="689">
        <v>36</v>
      </c>
      <c r="I38" s="420">
        <f t="shared" si="19"/>
        <v>0.21428571428571427</v>
      </c>
      <c r="J38" s="690">
        <v>12</v>
      </c>
      <c r="K38" s="240">
        <f t="shared" si="20"/>
        <v>0.17857142857142858</v>
      </c>
      <c r="L38" s="690">
        <v>10</v>
      </c>
      <c r="M38" s="240" t="str">
        <f t="shared" si="21"/>
        <v>-</v>
      </c>
      <c r="N38" s="241" t="s">
        <v>21</v>
      </c>
      <c r="O38" s="228" t="s">
        <v>21</v>
      </c>
      <c r="P38" s="229" t="s">
        <v>21</v>
      </c>
      <c r="Q38" s="228" t="s">
        <v>21</v>
      </c>
      <c r="R38" s="229" t="s">
        <v>21</v>
      </c>
      <c r="S38" s="667"/>
      <c r="T38" s="668"/>
      <c r="U38" s="667"/>
      <c r="V38" s="669"/>
      <c r="W38" s="205"/>
      <c r="AB38" s="2" t="str">
        <f t="shared" si="1"/>
        <v>France</v>
      </c>
    </row>
    <row r="39" spans="1:28" ht="15" customHeight="1" x14ac:dyDescent="0.3">
      <c r="A39" s="20" t="str">
        <f t="shared" si="0"/>
        <v>X</v>
      </c>
      <c r="B39" s="773"/>
      <c r="C39" s="775"/>
      <c r="D39" s="767"/>
      <c r="E39" s="577" t="s">
        <v>16</v>
      </c>
      <c r="F39" s="237" t="s">
        <v>60</v>
      </c>
      <c r="G39" s="688">
        <v>13</v>
      </c>
      <c r="H39" s="689">
        <v>8</v>
      </c>
      <c r="I39" s="420">
        <f t="shared" si="19"/>
        <v>0.53846153846153844</v>
      </c>
      <c r="J39" s="690">
        <v>7</v>
      </c>
      <c r="K39" s="240">
        <f t="shared" si="20"/>
        <v>0.46153846153846156</v>
      </c>
      <c r="L39" s="690">
        <v>6</v>
      </c>
      <c r="M39" s="240" t="str">
        <f t="shared" si="21"/>
        <v>-</v>
      </c>
      <c r="N39" s="241" t="s">
        <v>21</v>
      </c>
      <c r="O39" s="228" t="s">
        <v>21</v>
      </c>
      <c r="P39" s="229" t="s">
        <v>21</v>
      </c>
      <c r="Q39" s="228" t="s">
        <v>21</v>
      </c>
      <c r="R39" s="229" t="s">
        <v>21</v>
      </c>
      <c r="S39" s="667" t="s">
        <v>21</v>
      </c>
      <c r="T39" s="668" t="s">
        <v>21</v>
      </c>
      <c r="U39" s="667" t="s">
        <v>21</v>
      </c>
      <c r="V39" s="669" t="s">
        <v>21</v>
      </c>
      <c r="W39" s="205"/>
      <c r="AB39" s="2" t="str">
        <f t="shared" si="1"/>
        <v>France</v>
      </c>
    </row>
    <row r="40" spans="1:28" ht="15" customHeight="1" x14ac:dyDescent="0.3">
      <c r="A40" s="20" t="str">
        <f t="shared" si="0"/>
        <v>X</v>
      </c>
      <c r="B40" s="773"/>
      <c r="C40" s="775"/>
      <c r="D40" s="767"/>
      <c r="E40" s="577" t="s">
        <v>17</v>
      </c>
      <c r="F40" s="237" t="s">
        <v>60</v>
      </c>
      <c r="G40" s="688">
        <v>24</v>
      </c>
      <c r="H40" s="689">
        <v>20</v>
      </c>
      <c r="I40" s="420">
        <f t="shared" si="19"/>
        <v>0.29166666666666669</v>
      </c>
      <c r="J40" s="690">
        <v>7</v>
      </c>
      <c r="K40" s="240">
        <f t="shared" si="20"/>
        <v>0.29166666666666669</v>
      </c>
      <c r="L40" s="690">
        <v>7</v>
      </c>
      <c r="M40" s="240" t="str">
        <f t="shared" si="21"/>
        <v>-</v>
      </c>
      <c r="N40" s="241" t="s">
        <v>21</v>
      </c>
      <c r="O40" s="228" t="s">
        <v>21</v>
      </c>
      <c r="P40" s="229" t="s">
        <v>21</v>
      </c>
      <c r="Q40" s="228" t="s">
        <v>21</v>
      </c>
      <c r="R40" s="229" t="s">
        <v>21</v>
      </c>
      <c r="S40" s="667" t="s">
        <v>21</v>
      </c>
      <c r="T40" s="668" t="s">
        <v>21</v>
      </c>
      <c r="U40" s="667" t="s">
        <v>21</v>
      </c>
      <c r="V40" s="669" t="s">
        <v>21</v>
      </c>
      <c r="W40" s="205"/>
      <c r="AB40" s="2" t="str">
        <f t="shared" si="1"/>
        <v>France</v>
      </c>
    </row>
    <row r="41" spans="1:28" ht="15" customHeight="1" x14ac:dyDescent="0.3">
      <c r="A41" s="20" t="str">
        <f t="shared" si="0"/>
        <v>X</v>
      </c>
      <c r="B41" s="773"/>
      <c r="C41" s="775"/>
      <c r="D41" s="767"/>
      <c r="E41" s="577" t="s">
        <v>18</v>
      </c>
      <c r="F41" s="237" t="s">
        <v>60</v>
      </c>
      <c r="G41" s="688">
        <v>33</v>
      </c>
      <c r="H41" s="689">
        <v>25</v>
      </c>
      <c r="I41" s="420">
        <f t="shared" si="19"/>
        <v>0</v>
      </c>
      <c r="J41" s="690">
        <v>0</v>
      </c>
      <c r="K41" s="240">
        <f t="shared" si="20"/>
        <v>0.21212121212121213</v>
      </c>
      <c r="L41" s="690">
        <v>7</v>
      </c>
      <c r="M41" s="240" t="str">
        <f t="shared" si="21"/>
        <v>-</v>
      </c>
      <c r="N41" s="241" t="s">
        <v>21</v>
      </c>
      <c r="O41" s="228" t="s">
        <v>21</v>
      </c>
      <c r="P41" s="229" t="s">
        <v>21</v>
      </c>
      <c r="Q41" s="228" t="s">
        <v>21</v>
      </c>
      <c r="R41" s="229" t="s">
        <v>21</v>
      </c>
      <c r="S41" s="667" t="s">
        <v>21</v>
      </c>
      <c r="T41" s="668" t="s">
        <v>21</v>
      </c>
      <c r="U41" s="667" t="s">
        <v>21</v>
      </c>
      <c r="V41" s="669" t="s">
        <v>21</v>
      </c>
      <c r="W41" s="205"/>
      <c r="AB41" s="2" t="str">
        <f t="shared" si="1"/>
        <v>France</v>
      </c>
    </row>
    <row r="42" spans="1:28" ht="15" customHeight="1" x14ac:dyDescent="0.3">
      <c r="A42" s="20" t="str">
        <f t="shared" si="0"/>
        <v>X</v>
      </c>
      <c r="B42" s="773"/>
      <c r="C42" s="775"/>
      <c r="D42" s="767"/>
      <c r="E42" s="577" t="s">
        <v>19</v>
      </c>
      <c r="F42" s="237" t="s">
        <v>60</v>
      </c>
      <c r="G42" s="688">
        <v>32</v>
      </c>
      <c r="H42" s="689">
        <v>17</v>
      </c>
      <c r="I42" s="420">
        <f t="shared" si="19"/>
        <v>0.15625</v>
      </c>
      <c r="J42" s="690">
        <v>5</v>
      </c>
      <c r="K42" s="240">
        <f t="shared" si="20"/>
        <v>0.375</v>
      </c>
      <c r="L42" s="690">
        <v>12</v>
      </c>
      <c r="M42" s="240" t="str">
        <f t="shared" si="21"/>
        <v>-</v>
      </c>
      <c r="N42" s="241" t="s">
        <v>21</v>
      </c>
      <c r="O42" s="228" t="s">
        <v>21</v>
      </c>
      <c r="P42" s="229" t="s">
        <v>21</v>
      </c>
      <c r="Q42" s="228" t="s">
        <v>21</v>
      </c>
      <c r="R42" s="229" t="s">
        <v>21</v>
      </c>
      <c r="S42" s="667" t="s">
        <v>21</v>
      </c>
      <c r="T42" s="668" t="s">
        <v>21</v>
      </c>
      <c r="U42" s="667" t="s">
        <v>21</v>
      </c>
      <c r="V42" s="669" t="s">
        <v>21</v>
      </c>
      <c r="W42" s="205"/>
      <c r="AB42" s="2" t="str">
        <f t="shared" si="1"/>
        <v>France</v>
      </c>
    </row>
    <row r="43" spans="1:28" ht="15" customHeight="1" x14ac:dyDescent="0.3">
      <c r="A43" s="20" t="str">
        <f t="shared" si="0"/>
        <v/>
      </c>
      <c r="B43" s="773"/>
      <c r="C43" s="775"/>
      <c r="D43" s="767"/>
      <c r="E43" s="577" t="s">
        <v>169</v>
      </c>
      <c r="F43" s="237" t="s">
        <v>60</v>
      </c>
      <c r="G43" s="699"/>
      <c r="H43" s="700"/>
      <c r="I43" s="420" t="e">
        <f t="shared" si="19"/>
        <v>#DIV/0!</v>
      </c>
      <c r="J43" s="701"/>
      <c r="K43" s="240" t="e">
        <f t="shared" si="20"/>
        <v>#DIV/0!</v>
      </c>
      <c r="L43" s="701"/>
      <c r="M43" s="240" t="str">
        <f t="shared" si="21"/>
        <v>-</v>
      </c>
      <c r="N43" s="241" t="s">
        <v>21</v>
      </c>
      <c r="O43" s="228" t="s">
        <v>21</v>
      </c>
      <c r="P43" s="229" t="s">
        <v>21</v>
      </c>
      <c r="Q43" s="228" t="s">
        <v>21</v>
      </c>
      <c r="R43" s="229" t="s">
        <v>21</v>
      </c>
      <c r="S43" s="667"/>
      <c r="T43" s="668"/>
      <c r="U43" s="667"/>
      <c r="V43" s="669"/>
      <c r="W43" s="205"/>
      <c r="AB43" s="2" t="str">
        <f t="shared" si="1"/>
        <v/>
      </c>
    </row>
    <row r="44" spans="1:28" ht="15" customHeight="1" x14ac:dyDescent="0.3">
      <c r="A44" s="20" t="str">
        <f t="shared" si="0"/>
        <v/>
      </c>
      <c r="B44" s="773"/>
      <c r="C44" s="775"/>
      <c r="D44" s="767"/>
      <c r="E44" s="577" t="s">
        <v>170</v>
      </c>
      <c r="F44" s="237" t="s">
        <v>60</v>
      </c>
      <c r="G44" s="699"/>
      <c r="H44" s="700"/>
      <c r="I44" s="420" t="e">
        <f t="shared" si="19"/>
        <v>#DIV/0!</v>
      </c>
      <c r="J44" s="701"/>
      <c r="K44" s="240" t="e">
        <f t="shared" si="20"/>
        <v>#DIV/0!</v>
      </c>
      <c r="L44" s="701"/>
      <c r="M44" s="240" t="str">
        <f t="shared" si="21"/>
        <v>-</v>
      </c>
      <c r="N44" s="241" t="s">
        <v>21</v>
      </c>
      <c r="O44" s="228" t="s">
        <v>21</v>
      </c>
      <c r="P44" s="229" t="s">
        <v>21</v>
      </c>
      <c r="Q44" s="228" t="s">
        <v>21</v>
      </c>
      <c r="R44" s="229" t="s">
        <v>21</v>
      </c>
      <c r="S44" s="667"/>
      <c r="T44" s="668"/>
      <c r="U44" s="667"/>
      <c r="V44" s="669"/>
      <c r="W44" s="205"/>
      <c r="AB44" s="2" t="str">
        <f t="shared" si="1"/>
        <v/>
      </c>
    </row>
    <row r="45" spans="1:28" ht="15" customHeight="1" x14ac:dyDescent="0.3">
      <c r="A45" s="20" t="str">
        <f t="shared" si="0"/>
        <v/>
      </c>
      <c r="B45" s="773"/>
      <c r="C45" s="775"/>
      <c r="D45" s="767"/>
      <c r="E45" s="577" t="s">
        <v>5</v>
      </c>
      <c r="F45" s="237" t="s">
        <v>60</v>
      </c>
      <c r="G45" s="238"/>
      <c r="H45" s="239"/>
      <c r="I45" s="420" t="e">
        <f t="shared" si="19"/>
        <v>#DIV/0!</v>
      </c>
      <c r="J45" s="241"/>
      <c r="K45" s="240" t="e">
        <f t="shared" si="20"/>
        <v>#DIV/0!</v>
      </c>
      <c r="L45" s="241"/>
      <c r="M45" s="240" t="str">
        <f t="shared" si="21"/>
        <v>-</v>
      </c>
      <c r="N45" s="241" t="s">
        <v>21</v>
      </c>
      <c r="O45" s="228" t="s">
        <v>21</v>
      </c>
      <c r="P45" s="229" t="s">
        <v>21</v>
      </c>
      <c r="Q45" s="228" t="s">
        <v>21</v>
      </c>
      <c r="R45" s="229" t="s">
        <v>21</v>
      </c>
      <c r="S45" s="667" t="s">
        <v>21</v>
      </c>
      <c r="T45" s="668" t="s">
        <v>21</v>
      </c>
      <c r="U45" s="667" t="s">
        <v>21</v>
      </c>
      <c r="V45" s="669" t="s">
        <v>21</v>
      </c>
      <c r="W45" s="205"/>
      <c r="AB45" s="2" t="str">
        <f t="shared" si="1"/>
        <v/>
      </c>
    </row>
    <row r="46" spans="1:28" ht="15" customHeight="1" x14ac:dyDescent="0.3">
      <c r="A46" s="20" t="str">
        <f t="shared" si="0"/>
        <v/>
      </c>
      <c r="B46" s="773"/>
      <c r="C46" s="775"/>
      <c r="D46" s="767"/>
      <c r="E46" s="727" t="s">
        <v>166</v>
      </c>
      <c r="F46" s="237"/>
      <c r="G46" s="238"/>
      <c r="H46" s="239"/>
      <c r="I46" s="686"/>
      <c r="J46" s="241"/>
      <c r="K46" s="240"/>
      <c r="L46" s="241"/>
      <c r="M46" s="240"/>
      <c r="N46" s="241"/>
      <c r="O46" s="228"/>
      <c r="P46" s="229"/>
      <c r="Q46" s="228"/>
      <c r="R46" s="229"/>
      <c r="S46" s="667"/>
      <c r="T46" s="668"/>
      <c r="U46" s="667"/>
      <c r="V46" s="669"/>
      <c r="W46" s="205"/>
    </row>
    <row r="47" spans="1:28" ht="15" customHeight="1" x14ac:dyDescent="0.3">
      <c r="A47" s="20" t="str">
        <f t="shared" si="0"/>
        <v/>
      </c>
      <c r="B47" s="773"/>
      <c r="C47" s="775"/>
      <c r="D47" s="767"/>
      <c r="E47" s="727" t="s">
        <v>166</v>
      </c>
      <c r="F47" s="237"/>
      <c r="G47" s="238"/>
      <c r="H47" s="239"/>
      <c r="I47" s="686"/>
      <c r="J47" s="241"/>
      <c r="K47" s="240"/>
      <c r="L47" s="241"/>
      <c r="M47" s="240"/>
      <c r="N47" s="241"/>
      <c r="O47" s="228"/>
      <c r="P47" s="229"/>
      <c r="Q47" s="228"/>
      <c r="R47" s="229"/>
      <c r="S47" s="667"/>
      <c r="T47" s="668"/>
      <c r="U47" s="667"/>
      <c r="V47" s="669"/>
      <c r="W47" s="205"/>
    </row>
    <row r="48" spans="1:28" ht="15" customHeight="1" x14ac:dyDescent="0.3">
      <c r="A48" s="20" t="str">
        <f t="shared" si="0"/>
        <v/>
      </c>
      <c r="B48" s="773"/>
      <c r="C48" s="775"/>
      <c r="D48" s="767"/>
      <c r="E48" s="728" t="s">
        <v>166</v>
      </c>
      <c r="F48" s="242"/>
      <c r="G48" s="243"/>
      <c r="H48" s="244"/>
      <c r="I48" s="687"/>
      <c r="J48" s="246"/>
      <c r="K48" s="245"/>
      <c r="L48" s="246"/>
      <c r="M48" s="245"/>
      <c r="N48" s="246"/>
      <c r="O48" s="230"/>
      <c r="P48" s="231"/>
      <c r="Q48" s="230"/>
      <c r="R48" s="231"/>
      <c r="S48" s="670"/>
      <c r="T48" s="671"/>
      <c r="U48" s="670"/>
      <c r="V48" s="672"/>
      <c r="W48" s="205"/>
    </row>
    <row r="49" spans="1:28" ht="15.6" x14ac:dyDescent="0.3">
      <c r="A49" s="20" t="str">
        <f t="shared" si="0"/>
        <v>S</v>
      </c>
      <c r="B49" s="773"/>
      <c r="C49" s="776"/>
      <c r="D49" s="309" t="s">
        <v>138</v>
      </c>
      <c r="E49" s="717"/>
      <c r="F49" s="16"/>
      <c r="G49" s="7">
        <f>SUM(G35:G48)</f>
        <v>295</v>
      </c>
      <c r="H49" s="8">
        <f>SUM(H35:H48)</f>
        <v>193</v>
      </c>
      <c r="I49" s="9">
        <f>J49/G49</f>
        <v>0.25084745762711863</v>
      </c>
      <c r="J49" s="202">
        <f>SUM(J35:J48)</f>
        <v>74</v>
      </c>
      <c r="K49" s="9">
        <f>L49/G49</f>
        <v>0.29491525423728815</v>
      </c>
      <c r="L49" s="202">
        <f>SUM(L35:L48)</f>
        <v>87</v>
      </c>
      <c r="M49" s="9">
        <f>N49/L49</f>
        <v>0</v>
      </c>
      <c r="N49" s="202">
        <f t="shared" ref="N49:V49" si="22">SUM(N35:N48)</f>
        <v>0</v>
      </c>
      <c r="O49" s="118">
        <f t="shared" si="22"/>
        <v>0</v>
      </c>
      <c r="P49" s="119">
        <f t="shared" si="22"/>
        <v>0</v>
      </c>
      <c r="Q49" s="118">
        <f t="shared" si="22"/>
        <v>0</v>
      </c>
      <c r="R49" s="119">
        <f t="shared" si="22"/>
        <v>0</v>
      </c>
      <c r="S49" s="118">
        <f t="shared" si="22"/>
        <v>0</v>
      </c>
      <c r="T49" s="119">
        <f t="shared" si="22"/>
        <v>0</v>
      </c>
      <c r="U49" s="118">
        <f t="shared" si="22"/>
        <v>0</v>
      </c>
      <c r="V49" s="120">
        <f t="shared" si="22"/>
        <v>0</v>
      </c>
      <c r="W49" s="205"/>
      <c r="AB49" s="2">
        <f t="shared" si="1"/>
        <v>0</v>
      </c>
    </row>
    <row r="50" spans="1:28" x14ac:dyDescent="0.3">
      <c r="A50" s="20" t="str">
        <f>IF(D50="Sous-total","S",IF(G50="","","X"))</f>
        <v>X</v>
      </c>
      <c r="B50" s="773" t="s">
        <v>83</v>
      </c>
      <c r="C50" s="775" t="s">
        <v>75</v>
      </c>
      <c r="D50" s="757">
        <v>9</v>
      </c>
      <c r="E50" s="719" t="s">
        <v>10</v>
      </c>
      <c r="F50" s="232" t="s">
        <v>60</v>
      </c>
      <c r="G50" s="233">
        <v>46</v>
      </c>
      <c r="H50" s="234">
        <v>32</v>
      </c>
      <c r="I50" s="411">
        <f t="shared" si="19"/>
        <v>0.65217391304347827</v>
      </c>
      <c r="J50" s="236">
        <v>30</v>
      </c>
      <c r="K50" s="235">
        <f t="shared" si="20"/>
        <v>0.19565217391304349</v>
      </c>
      <c r="L50" s="236">
        <v>9</v>
      </c>
      <c r="M50" s="235">
        <f t="shared" si="21"/>
        <v>1</v>
      </c>
      <c r="N50" s="236">
        <v>9</v>
      </c>
      <c r="O50" s="226" t="s">
        <v>21</v>
      </c>
      <c r="P50" s="227" t="s">
        <v>21</v>
      </c>
      <c r="Q50" s="226" t="s">
        <v>21</v>
      </c>
      <c r="R50" s="227" t="s">
        <v>21</v>
      </c>
      <c r="S50" s="664" t="s">
        <v>21</v>
      </c>
      <c r="T50" s="665" t="s">
        <v>21</v>
      </c>
      <c r="U50" s="664" t="s">
        <v>21</v>
      </c>
      <c r="V50" s="666" t="s">
        <v>21</v>
      </c>
      <c r="W50" s="205"/>
      <c r="AB50" s="2" t="str">
        <f t="shared" si="1"/>
        <v>France</v>
      </c>
    </row>
    <row r="51" spans="1:28" x14ac:dyDescent="0.3">
      <c r="A51" s="20" t="str">
        <f t="shared" ref="A51:A113" si="23">IF(D51="Sous-total","S",IF(G51="","","X"))</f>
        <v>X</v>
      </c>
      <c r="B51" s="773"/>
      <c r="C51" s="775"/>
      <c r="D51" s="757"/>
      <c r="E51" s="577" t="s">
        <v>11</v>
      </c>
      <c r="F51" s="237" t="s">
        <v>60</v>
      </c>
      <c r="G51" s="238">
        <v>28</v>
      </c>
      <c r="H51" s="239">
        <v>17</v>
      </c>
      <c r="I51" s="420">
        <f t="shared" si="19"/>
        <v>0.6428571428571429</v>
      </c>
      <c r="J51" s="241">
        <v>18</v>
      </c>
      <c r="K51" s="240">
        <f t="shared" si="20"/>
        <v>0.32142857142857145</v>
      </c>
      <c r="L51" s="241">
        <v>9</v>
      </c>
      <c r="M51" s="240">
        <f t="shared" si="21"/>
        <v>0.77777777777777779</v>
      </c>
      <c r="N51" s="241">
        <v>7</v>
      </c>
      <c r="O51" s="228" t="s">
        <v>21</v>
      </c>
      <c r="P51" s="229" t="s">
        <v>21</v>
      </c>
      <c r="Q51" s="228" t="s">
        <v>21</v>
      </c>
      <c r="R51" s="229" t="s">
        <v>21</v>
      </c>
      <c r="S51" s="667" t="s">
        <v>21</v>
      </c>
      <c r="T51" s="668" t="s">
        <v>21</v>
      </c>
      <c r="U51" s="667" t="s">
        <v>21</v>
      </c>
      <c r="V51" s="669" t="s">
        <v>21</v>
      </c>
      <c r="W51" s="205"/>
      <c r="AB51" s="2" t="str">
        <f t="shared" ref="AB51:AB89" si="24">IF(G51&gt;0,$F51,"")</f>
        <v>France</v>
      </c>
    </row>
    <row r="52" spans="1:28" x14ac:dyDescent="0.3">
      <c r="A52" s="20" t="str">
        <f t="shared" si="23"/>
        <v>X</v>
      </c>
      <c r="B52" s="773"/>
      <c r="C52" s="775"/>
      <c r="D52" s="757"/>
      <c r="E52" s="577" t="s">
        <v>12</v>
      </c>
      <c r="F52" s="237" t="s">
        <v>60</v>
      </c>
      <c r="G52" s="238">
        <v>5</v>
      </c>
      <c r="H52" s="239">
        <v>5</v>
      </c>
      <c r="I52" s="420">
        <f t="shared" ref="I52" si="25">J52/G52</f>
        <v>0.6</v>
      </c>
      <c r="J52" s="241">
        <v>3</v>
      </c>
      <c r="K52" s="240">
        <f t="shared" ref="K52" si="26">L52/G52</f>
        <v>0.2</v>
      </c>
      <c r="L52" s="241">
        <v>1</v>
      </c>
      <c r="M52" s="240">
        <f t="shared" ref="M52" si="27">IF(N52="-","-",N52/L52)</f>
        <v>1</v>
      </c>
      <c r="N52" s="241">
        <v>1</v>
      </c>
      <c r="O52" s="228" t="s">
        <v>21</v>
      </c>
      <c r="P52" s="229" t="s">
        <v>21</v>
      </c>
      <c r="Q52" s="228" t="s">
        <v>21</v>
      </c>
      <c r="R52" s="229" t="s">
        <v>21</v>
      </c>
      <c r="S52" s="667" t="s">
        <v>21</v>
      </c>
      <c r="T52" s="668" t="s">
        <v>21</v>
      </c>
      <c r="U52" s="667" t="s">
        <v>21</v>
      </c>
      <c r="V52" s="669" t="s">
        <v>21</v>
      </c>
      <c r="W52" s="205"/>
      <c r="AB52" s="2" t="str">
        <f t="shared" si="24"/>
        <v>France</v>
      </c>
    </row>
    <row r="53" spans="1:28" x14ac:dyDescent="0.3">
      <c r="A53" s="20" t="str">
        <f t="shared" si="23"/>
        <v>X</v>
      </c>
      <c r="B53" s="773"/>
      <c r="C53" s="775"/>
      <c r="D53" s="757"/>
      <c r="E53" s="577" t="s">
        <v>7</v>
      </c>
      <c r="F53" s="237" t="s">
        <v>60</v>
      </c>
      <c r="G53" s="238">
        <v>45</v>
      </c>
      <c r="H53" s="239">
        <v>26</v>
      </c>
      <c r="I53" s="420">
        <f t="shared" si="19"/>
        <v>0.26666666666666666</v>
      </c>
      <c r="J53" s="241">
        <v>12</v>
      </c>
      <c r="K53" s="240">
        <f t="shared" si="20"/>
        <v>0.26666666666666666</v>
      </c>
      <c r="L53" s="241">
        <v>12</v>
      </c>
      <c r="M53" s="240">
        <f t="shared" si="21"/>
        <v>0.25</v>
      </c>
      <c r="N53" s="241">
        <v>3</v>
      </c>
      <c r="O53" s="228" t="s">
        <v>21</v>
      </c>
      <c r="P53" s="229" t="s">
        <v>21</v>
      </c>
      <c r="Q53" s="228" t="s">
        <v>21</v>
      </c>
      <c r="R53" s="229" t="s">
        <v>21</v>
      </c>
      <c r="S53" s="667" t="s">
        <v>21</v>
      </c>
      <c r="T53" s="668" t="s">
        <v>21</v>
      </c>
      <c r="U53" s="667" t="s">
        <v>21</v>
      </c>
      <c r="V53" s="669" t="s">
        <v>21</v>
      </c>
      <c r="W53" s="205"/>
      <c r="AB53" s="2" t="str">
        <f t="shared" si="24"/>
        <v>France</v>
      </c>
    </row>
    <row r="54" spans="1:28" x14ac:dyDescent="0.3">
      <c r="A54" s="20" t="str">
        <f t="shared" si="23"/>
        <v>X</v>
      </c>
      <c r="B54" s="773"/>
      <c r="C54" s="775"/>
      <c r="D54" s="757"/>
      <c r="E54" s="577" t="s">
        <v>132</v>
      </c>
      <c r="F54" s="237" t="s">
        <v>60</v>
      </c>
      <c r="G54" s="238">
        <v>14</v>
      </c>
      <c r="H54" s="239">
        <v>9</v>
      </c>
      <c r="I54" s="420">
        <f t="shared" si="19"/>
        <v>0.21428571428571427</v>
      </c>
      <c r="J54" s="241">
        <v>3</v>
      </c>
      <c r="K54" s="240">
        <f t="shared" si="20"/>
        <v>0.14285714285714285</v>
      </c>
      <c r="L54" s="241">
        <v>2</v>
      </c>
      <c r="M54" s="240">
        <f t="shared" si="21"/>
        <v>0.5</v>
      </c>
      <c r="N54" s="241">
        <v>1</v>
      </c>
      <c r="O54" s="228" t="s">
        <v>21</v>
      </c>
      <c r="P54" s="229" t="s">
        <v>21</v>
      </c>
      <c r="Q54" s="228" t="s">
        <v>21</v>
      </c>
      <c r="R54" s="229" t="s">
        <v>21</v>
      </c>
      <c r="S54" s="667" t="s">
        <v>21</v>
      </c>
      <c r="T54" s="668" t="s">
        <v>21</v>
      </c>
      <c r="U54" s="667" t="s">
        <v>21</v>
      </c>
      <c r="V54" s="669" t="s">
        <v>21</v>
      </c>
      <c r="W54" s="205"/>
      <c r="AB54" s="2" t="str">
        <f t="shared" si="24"/>
        <v>France</v>
      </c>
    </row>
    <row r="55" spans="1:28" x14ac:dyDescent="0.3">
      <c r="A55" s="20" t="str">
        <f t="shared" si="23"/>
        <v>X</v>
      </c>
      <c r="B55" s="773"/>
      <c r="C55" s="775"/>
      <c r="D55" s="757"/>
      <c r="E55" s="577" t="s">
        <v>8</v>
      </c>
      <c r="F55" s="237" t="s">
        <v>60</v>
      </c>
      <c r="G55" s="238">
        <v>31</v>
      </c>
      <c r="H55" s="239">
        <v>23</v>
      </c>
      <c r="I55" s="420">
        <f t="shared" si="19"/>
        <v>0.54838709677419351</v>
      </c>
      <c r="J55" s="241">
        <v>17</v>
      </c>
      <c r="K55" s="240">
        <f t="shared" si="20"/>
        <v>0.16129032258064516</v>
      </c>
      <c r="L55" s="241">
        <v>5</v>
      </c>
      <c r="M55" s="240">
        <f t="shared" si="21"/>
        <v>1</v>
      </c>
      <c r="N55" s="241">
        <v>5</v>
      </c>
      <c r="O55" s="228" t="s">
        <v>21</v>
      </c>
      <c r="P55" s="229" t="s">
        <v>21</v>
      </c>
      <c r="Q55" s="228" t="s">
        <v>21</v>
      </c>
      <c r="R55" s="229" t="s">
        <v>21</v>
      </c>
      <c r="S55" s="667" t="s">
        <v>21</v>
      </c>
      <c r="T55" s="668" t="s">
        <v>21</v>
      </c>
      <c r="U55" s="667" t="s">
        <v>21</v>
      </c>
      <c r="V55" s="669" t="s">
        <v>21</v>
      </c>
      <c r="W55" s="205"/>
      <c r="AB55" s="2" t="str">
        <f t="shared" si="24"/>
        <v>France</v>
      </c>
    </row>
    <row r="56" spans="1:28" x14ac:dyDescent="0.3">
      <c r="A56" s="20" t="str">
        <f t="shared" si="23"/>
        <v>X</v>
      </c>
      <c r="B56" s="773"/>
      <c r="C56" s="775"/>
      <c r="D56" s="757"/>
      <c r="E56" s="577" t="s">
        <v>6</v>
      </c>
      <c r="F56" s="237" t="s">
        <v>60</v>
      </c>
      <c r="G56" s="238">
        <v>12</v>
      </c>
      <c r="H56" s="239">
        <v>7</v>
      </c>
      <c r="I56" s="420">
        <f t="shared" si="19"/>
        <v>0.33333333333333331</v>
      </c>
      <c r="J56" s="241">
        <v>4</v>
      </c>
      <c r="K56" s="240">
        <f t="shared" si="20"/>
        <v>0.33333333333333331</v>
      </c>
      <c r="L56" s="241">
        <v>4</v>
      </c>
      <c r="M56" s="240">
        <f t="shared" si="21"/>
        <v>0.5</v>
      </c>
      <c r="N56" s="241">
        <v>2</v>
      </c>
      <c r="O56" s="228" t="s">
        <v>21</v>
      </c>
      <c r="P56" s="229" t="s">
        <v>21</v>
      </c>
      <c r="Q56" s="228" t="s">
        <v>21</v>
      </c>
      <c r="R56" s="229" t="s">
        <v>21</v>
      </c>
      <c r="S56" s="667" t="s">
        <v>21</v>
      </c>
      <c r="T56" s="668" t="s">
        <v>21</v>
      </c>
      <c r="U56" s="667" t="s">
        <v>21</v>
      </c>
      <c r="V56" s="669" t="s">
        <v>21</v>
      </c>
      <c r="W56" s="205"/>
      <c r="AB56" s="2" t="str">
        <f t="shared" si="24"/>
        <v>France</v>
      </c>
    </row>
    <row r="57" spans="1:28" ht="15" customHeight="1" x14ac:dyDescent="0.3">
      <c r="A57" s="20" t="str">
        <f t="shared" si="23"/>
        <v/>
      </c>
      <c r="B57" s="773"/>
      <c r="C57" s="775"/>
      <c r="D57" s="757"/>
      <c r="E57" s="577" t="s">
        <v>228</v>
      </c>
      <c r="F57" s="237" t="s">
        <v>60</v>
      </c>
      <c r="G57" s="238"/>
      <c r="H57" s="239"/>
      <c r="I57" s="420" t="e">
        <f t="shared" si="19"/>
        <v>#DIV/0!</v>
      </c>
      <c r="J57" s="241"/>
      <c r="K57" s="240" t="e">
        <f t="shared" si="20"/>
        <v>#DIV/0!</v>
      </c>
      <c r="L57" s="241"/>
      <c r="M57" s="240" t="e">
        <f t="shared" si="21"/>
        <v>#DIV/0!</v>
      </c>
      <c r="N57" s="241"/>
      <c r="O57" s="228"/>
      <c r="P57" s="229"/>
      <c r="Q57" s="228"/>
      <c r="R57" s="229"/>
      <c r="S57" s="667" t="s">
        <v>21</v>
      </c>
      <c r="T57" s="668" t="s">
        <v>21</v>
      </c>
      <c r="U57" s="667" t="s">
        <v>21</v>
      </c>
      <c r="V57" s="669" t="s">
        <v>21</v>
      </c>
      <c r="W57" s="205"/>
      <c r="AB57" s="2" t="str">
        <f t="shared" si="24"/>
        <v/>
      </c>
    </row>
    <row r="58" spans="1:28" ht="15" customHeight="1" x14ac:dyDescent="0.3">
      <c r="A58" s="20" t="str">
        <f t="shared" si="23"/>
        <v/>
      </c>
      <c r="B58" s="773"/>
      <c r="C58" s="775"/>
      <c r="D58" s="757"/>
      <c r="E58" s="577" t="s">
        <v>229</v>
      </c>
      <c r="F58" s="237" t="s">
        <v>60</v>
      </c>
      <c r="G58" s="238"/>
      <c r="H58" s="239"/>
      <c r="I58" s="420" t="e">
        <f t="shared" ref="I58" si="28">J58/G58</f>
        <v>#DIV/0!</v>
      </c>
      <c r="J58" s="241"/>
      <c r="K58" s="240" t="e">
        <f t="shared" ref="K58" si="29">L58/G58</f>
        <v>#DIV/0!</v>
      </c>
      <c r="L58" s="241"/>
      <c r="M58" s="240" t="e">
        <f t="shared" ref="M58" si="30">IF(N58="-","-",N58/L58)</f>
        <v>#DIV/0!</v>
      </c>
      <c r="N58" s="241"/>
      <c r="O58" s="228"/>
      <c r="P58" s="229"/>
      <c r="Q58" s="228"/>
      <c r="R58" s="229"/>
      <c r="S58" s="667" t="s">
        <v>21</v>
      </c>
      <c r="T58" s="668" t="s">
        <v>21</v>
      </c>
      <c r="U58" s="667" t="s">
        <v>21</v>
      </c>
      <c r="V58" s="669" t="s">
        <v>21</v>
      </c>
      <c r="W58" s="205"/>
      <c r="AB58" s="2" t="str">
        <f t="shared" si="24"/>
        <v/>
      </c>
    </row>
    <row r="59" spans="1:28" x14ac:dyDescent="0.3">
      <c r="A59" s="20" t="str">
        <f t="shared" si="23"/>
        <v/>
      </c>
      <c r="B59" s="773"/>
      <c r="C59" s="775"/>
      <c r="D59" s="757"/>
      <c r="E59" s="577" t="s">
        <v>198</v>
      </c>
      <c r="F59" s="237" t="s">
        <v>60</v>
      </c>
      <c r="G59" s="238"/>
      <c r="H59" s="239"/>
      <c r="I59" s="420" t="e">
        <f t="shared" si="19"/>
        <v>#DIV/0!</v>
      </c>
      <c r="J59" s="241"/>
      <c r="K59" s="240" t="e">
        <f t="shared" si="20"/>
        <v>#DIV/0!</v>
      </c>
      <c r="L59" s="241"/>
      <c r="M59" s="240" t="e">
        <f t="shared" si="21"/>
        <v>#DIV/0!</v>
      </c>
      <c r="N59" s="241"/>
      <c r="O59" s="228" t="s">
        <v>21</v>
      </c>
      <c r="P59" s="229" t="s">
        <v>21</v>
      </c>
      <c r="Q59" s="228" t="s">
        <v>21</v>
      </c>
      <c r="R59" s="229" t="s">
        <v>21</v>
      </c>
      <c r="S59" s="667" t="s">
        <v>21</v>
      </c>
      <c r="T59" s="668" t="s">
        <v>21</v>
      </c>
      <c r="U59" s="667" t="s">
        <v>21</v>
      </c>
      <c r="V59" s="669" t="s">
        <v>21</v>
      </c>
      <c r="W59" s="205"/>
      <c r="AB59" s="2" t="str">
        <f t="shared" si="24"/>
        <v/>
      </c>
    </row>
    <row r="60" spans="1:28" x14ac:dyDescent="0.3">
      <c r="A60" s="20" t="str">
        <f t="shared" si="23"/>
        <v>X</v>
      </c>
      <c r="B60" s="773"/>
      <c r="C60" s="775"/>
      <c r="D60" s="757"/>
      <c r="E60" s="577" t="s">
        <v>9</v>
      </c>
      <c r="F60" s="237" t="s">
        <v>60</v>
      </c>
      <c r="G60" s="238">
        <v>17</v>
      </c>
      <c r="H60" s="239">
        <v>9</v>
      </c>
      <c r="I60" s="420">
        <f t="shared" si="19"/>
        <v>0.41176470588235292</v>
      </c>
      <c r="J60" s="241">
        <v>7</v>
      </c>
      <c r="K60" s="240">
        <f t="shared" si="20"/>
        <v>0.23529411764705882</v>
      </c>
      <c r="L60" s="241">
        <v>4</v>
      </c>
      <c r="M60" s="240">
        <f t="shared" si="21"/>
        <v>0.25</v>
      </c>
      <c r="N60" s="241">
        <v>1</v>
      </c>
      <c r="O60" s="228" t="s">
        <v>21</v>
      </c>
      <c r="P60" s="229" t="s">
        <v>21</v>
      </c>
      <c r="Q60" s="228" t="s">
        <v>21</v>
      </c>
      <c r="R60" s="229" t="s">
        <v>21</v>
      </c>
      <c r="S60" s="667" t="s">
        <v>21</v>
      </c>
      <c r="T60" s="668" t="s">
        <v>21</v>
      </c>
      <c r="U60" s="667" t="s">
        <v>21</v>
      </c>
      <c r="V60" s="669" t="s">
        <v>21</v>
      </c>
      <c r="W60" s="205"/>
      <c r="AB60" s="2" t="str">
        <f t="shared" si="24"/>
        <v>France</v>
      </c>
    </row>
    <row r="61" spans="1:28" ht="15.75" customHeight="1" x14ac:dyDescent="0.3">
      <c r="A61" s="20" t="str">
        <f t="shared" si="23"/>
        <v/>
      </c>
      <c r="B61" s="773"/>
      <c r="C61" s="775"/>
      <c r="D61" s="757"/>
      <c r="E61" s="727" t="s">
        <v>166</v>
      </c>
      <c r="F61" s="237"/>
      <c r="G61" s="238"/>
      <c r="H61" s="239"/>
      <c r="I61" s="686"/>
      <c r="J61" s="241"/>
      <c r="K61" s="240"/>
      <c r="L61" s="241"/>
      <c r="M61" s="240"/>
      <c r="N61" s="241"/>
      <c r="O61" s="228"/>
      <c r="P61" s="229"/>
      <c r="Q61" s="228"/>
      <c r="R61" s="229"/>
      <c r="S61" s="667" t="s">
        <v>21</v>
      </c>
      <c r="T61" s="668" t="s">
        <v>21</v>
      </c>
      <c r="U61" s="667" t="s">
        <v>21</v>
      </c>
      <c r="V61" s="669" t="s">
        <v>21</v>
      </c>
      <c r="W61" s="205"/>
    </row>
    <row r="62" spans="1:28" ht="15.75" customHeight="1" x14ac:dyDescent="0.3">
      <c r="A62" s="20" t="str">
        <f t="shared" si="23"/>
        <v/>
      </c>
      <c r="B62" s="773"/>
      <c r="C62" s="775"/>
      <c r="D62" s="757"/>
      <c r="E62" s="727" t="s">
        <v>166</v>
      </c>
      <c r="F62" s="237"/>
      <c r="G62" s="238"/>
      <c r="H62" s="239"/>
      <c r="I62" s="686"/>
      <c r="J62" s="241"/>
      <c r="K62" s="240"/>
      <c r="L62" s="241"/>
      <c r="M62" s="240"/>
      <c r="N62" s="241"/>
      <c r="O62" s="228"/>
      <c r="P62" s="229"/>
      <c r="Q62" s="228"/>
      <c r="R62" s="229"/>
      <c r="S62" s="667" t="s">
        <v>21</v>
      </c>
      <c r="T62" s="668" t="s">
        <v>21</v>
      </c>
      <c r="U62" s="667" t="s">
        <v>21</v>
      </c>
      <c r="V62" s="669" t="s">
        <v>21</v>
      </c>
      <c r="W62" s="205"/>
    </row>
    <row r="63" spans="1:28" ht="15.75" customHeight="1" x14ac:dyDescent="0.3">
      <c r="A63" s="20" t="str">
        <f t="shared" si="23"/>
        <v/>
      </c>
      <c r="B63" s="773"/>
      <c r="C63" s="775"/>
      <c r="D63" s="757"/>
      <c r="E63" s="728" t="s">
        <v>166</v>
      </c>
      <c r="F63" s="242"/>
      <c r="G63" s="243"/>
      <c r="H63" s="244"/>
      <c r="I63" s="687"/>
      <c r="J63" s="246"/>
      <c r="K63" s="245"/>
      <c r="L63" s="246"/>
      <c r="M63" s="245"/>
      <c r="N63" s="246"/>
      <c r="O63" s="230"/>
      <c r="P63" s="231"/>
      <c r="Q63" s="230"/>
      <c r="R63" s="231"/>
      <c r="S63" s="670" t="s">
        <v>21</v>
      </c>
      <c r="T63" s="671" t="s">
        <v>21</v>
      </c>
      <c r="U63" s="670" t="s">
        <v>21</v>
      </c>
      <c r="V63" s="672" t="s">
        <v>21</v>
      </c>
      <c r="W63" s="205"/>
    </row>
    <row r="64" spans="1:28" ht="16.2" thickBot="1" x14ac:dyDescent="0.35">
      <c r="A64" s="20" t="str">
        <f t="shared" si="23"/>
        <v>S</v>
      </c>
      <c r="B64" s="774"/>
      <c r="C64" s="777"/>
      <c r="D64" s="311" t="s">
        <v>138</v>
      </c>
      <c r="E64" s="724"/>
      <c r="F64" s="219"/>
      <c r="G64" s="7">
        <f>SUM(G50:G63)</f>
        <v>198</v>
      </c>
      <c r="H64" s="8">
        <f>SUM(H50:H63)</f>
        <v>128</v>
      </c>
      <c r="I64" s="9">
        <f>J64/G64</f>
        <v>0.47474747474747475</v>
      </c>
      <c r="J64" s="202">
        <f>SUM(J50:J63)</f>
        <v>94</v>
      </c>
      <c r="K64" s="9">
        <f>L64/G64</f>
        <v>0.23232323232323232</v>
      </c>
      <c r="L64" s="202">
        <f>SUM(L50:L63)</f>
        <v>46</v>
      </c>
      <c r="M64" s="9">
        <f>N64/L64</f>
        <v>0.63043478260869568</v>
      </c>
      <c r="N64" s="202">
        <f t="shared" ref="N64:V64" si="31">SUM(N50:N63)</f>
        <v>29</v>
      </c>
      <c r="O64" s="500">
        <f t="shared" si="31"/>
        <v>0</v>
      </c>
      <c r="P64" s="501">
        <f t="shared" si="31"/>
        <v>0</v>
      </c>
      <c r="Q64" s="500">
        <f t="shared" si="31"/>
        <v>0</v>
      </c>
      <c r="R64" s="501">
        <f t="shared" si="31"/>
        <v>0</v>
      </c>
      <c r="S64" s="500">
        <f t="shared" si="31"/>
        <v>0</v>
      </c>
      <c r="T64" s="501">
        <f t="shared" si="31"/>
        <v>0</v>
      </c>
      <c r="U64" s="500">
        <f t="shared" si="31"/>
        <v>0</v>
      </c>
      <c r="V64" s="502">
        <f t="shared" si="31"/>
        <v>0</v>
      </c>
      <c r="W64" s="205"/>
      <c r="AB64" s="2">
        <f t="shared" si="24"/>
        <v>0</v>
      </c>
    </row>
    <row r="65" spans="1:28" s="15" customFormat="1" ht="27.75" customHeight="1" thickBot="1" x14ac:dyDescent="0.35">
      <c r="A65" s="20" t="str">
        <f t="shared" si="23"/>
        <v>X</v>
      </c>
      <c r="B65" s="102" t="s">
        <v>78</v>
      </c>
      <c r="C65" s="103"/>
      <c r="D65" s="103">
        <f>SUM(D5:D60)</f>
        <v>20</v>
      </c>
      <c r="E65" s="716" t="s">
        <v>79</v>
      </c>
      <c r="F65" s="372"/>
      <c r="G65" s="341">
        <f>G8+G12+G34+G49+G64</f>
        <v>595</v>
      </c>
      <c r="H65" s="342">
        <f>H8+H12+H34+H49+H64</f>
        <v>415</v>
      </c>
      <c r="I65" s="343">
        <f>J65/G65</f>
        <v>0.2857142857142857</v>
      </c>
      <c r="J65" s="33">
        <f>J8+J12+J34+J49+J64</f>
        <v>170</v>
      </c>
      <c r="K65" s="32">
        <f>L65/G65</f>
        <v>0.253781512605042</v>
      </c>
      <c r="L65" s="33">
        <f>L8+L12+L34+L49+L64</f>
        <v>151</v>
      </c>
      <c r="M65" s="343">
        <f>N65/(L5+SUM(L50:L60))</f>
        <v>0.484375</v>
      </c>
      <c r="N65" s="33">
        <f t="shared" ref="N65:V65" si="32">N8+N12+N34+N49+N64</f>
        <v>31</v>
      </c>
      <c r="O65" s="34">
        <f t="shared" si="32"/>
        <v>0</v>
      </c>
      <c r="P65" s="35">
        <f t="shared" si="32"/>
        <v>0</v>
      </c>
      <c r="Q65" s="34">
        <f t="shared" si="32"/>
        <v>0</v>
      </c>
      <c r="R65" s="35">
        <f t="shared" si="32"/>
        <v>0</v>
      </c>
      <c r="S65" s="267">
        <f t="shared" si="32"/>
        <v>0</v>
      </c>
      <c r="T65" s="266">
        <f t="shared" si="32"/>
        <v>0</v>
      </c>
      <c r="U65" s="267">
        <f t="shared" si="32"/>
        <v>0</v>
      </c>
      <c r="V65" s="340">
        <f t="shared" si="32"/>
        <v>0</v>
      </c>
      <c r="W65" s="344"/>
      <c r="Y65" s="339"/>
      <c r="AB65" s="2">
        <f t="shared" si="24"/>
        <v>0</v>
      </c>
    </row>
    <row r="66" spans="1:28" ht="15" customHeight="1" x14ac:dyDescent="0.3">
      <c r="A66" s="20" t="str">
        <f t="shared" si="23"/>
        <v/>
      </c>
      <c r="B66" s="778" t="s">
        <v>84</v>
      </c>
      <c r="C66" s="781" t="s">
        <v>76</v>
      </c>
      <c r="D66" s="768">
        <v>6</v>
      </c>
      <c r="E66" s="726" t="s">
        <v>25</v>
      </c>
      <c r="F66" s="465" t="s">
        <v>60</v>
      </c>
      <c r="G66" s="233"/>
      <c r="H66" s="234"/>
      <c r="I66" s="235" t="e">
        <f>J66/G66</f>
        <v>#DIV/0!</v>
      </c>
      <c r="J66" s="236"/>
      <c r="K66" s="235" t="e">
        <f>L66/G66</f>
        <v>#DIV/0!</v>
      </c>
      <c r="L66" s="236"/>
      <c r="M66" s="235" t="str">
        <f>IF(N66="-","-",N66/L66)</f>
        <v>-</v>
      </c>
      <c r="N66" s="236" t="s">
        <v>21</v>
      </c>
      <c r="O66" s="226" t="s">
        <v>21</v>
      </c>
      <c r="P66" s="227" t="s">
        <v>21</v>
      </c>
      <c r="Q66" s="226" t="s">
        <v>21</v>
      </c>
      <c r="R66" s="227" t="s">
        <v>21</v>
      </c>
      <c r="S66" s="664"/>
      <c r="T66" s="665"/>
      <c r="U66" s="664"/>
      <c r="V66" s="666"/>
      <c r="W66" s="247"/>
      <c r="AB66" s="2" t="str">
        <f t="shared" si="24"/>
        <v/>
      </c>
    </row>
    <row r="67" spans="1:28" ht="15" customHeight="1" x14ac:dyDescent="0.3">
      <c r="A67" s="20" t="str">
        <f t="shared" si="23"/>
        <v/>
      </c>
      <c r="B67" s="779"/>
      <c r="C67" s="782"/>
      <c r="D67" s="760"/>
      <c r="E67" s="721" t="s">
        <v>26</v>
      </c>
      <c r="F67" s="410" t="s">
        <v>60</v>
      </c>
      <c r="G67" s="238"/>
      <c r="H67" s="239"/>
      <c r="I67" s="240" t="e">
        <f t="shared" ref="I67:I152" si="33">J67/G67</f>
        <v>#DIV/0!</v>
      </c>
      <c r="J67" s="241"/>
      <c r="K67" s="240" t="e">
        <f t="shared" ref="K67:K152" si="34">L67/G67</f>
        <v>#DIV/0!</v>
      </c>
      <c r="L67" s="241"/>
      <c r="M67" s="240" t="str">
        <f t="shared" ref="M67:M152" si="35">IF(N67="-","-",N67/L67)</f>
        <v>-</v>
      </c>
      <c r="N67" s="241" t="s">
        <v>21</v>
      </c>
      <c r="O67" s="228" t="s">
        <v>21</v>
      </c>
      <c r="P67" s="229" t="s">
        <v>21</v>
      </c>
      <c r="Q67" s="228" t="s">
        <v>21</v>
      </c>
      <c r="R67" s="229" t="s">
        <v>21</v>
      </c>
      <c r="S67" s="667"/>
      <c r="T67" s="668"/>
      <c r="U67" s="667"/>
      <c r="V67" s="669"/>
      <c r="W67" s="247"/>
      <c r="AB67" s="2" t="str">
        <f t="shared" si="24"/>
        <v/>
      </c>
    </row>
    <row r="68" spans="1:28" ht="15" customHeight="1" x14ac:dyDescent="0.3">
      <c r="A68" s="20" t="str">
        <f t="shared" si="23"/>
        <v>X</v>
      </c>
      <c r="B68" s="779"/>
      <c r="C68" s="782"/>
      <c r="D68" s="760"/>
      <c r="E68" s="721" t="s">
        <v>58</v>
      </c>
      <c r="F68" s="410" t="s">
        <v>60</v>
      </c>
      <c r="G68" s="238">
        <v>228</v>
      </c>
      <c r="H68" s="239">
        <v>125</v>
      </c>
      <c r="I68" s="240">
        <f t="shared" si="33"/>
        <v>0.39473684210526316</v>
      </c>
      <c r="J68" s="241">
        <v>90</v>
      </c>
      <c r="K68" s="240">
        <f t="shared" si="34"/>
        <v>0.39912280701754388</v>
      </c>
      <c r="L68" s="241">
        <v>91</v>
      </c>
      <c r="M68" s="240" t="str">
        <f t="shared" si="35"/>
        <v>-</v>
      </c>
      <c r="N68" s="241" t="s">
        <v>21</v>
      </c>
      <c r="O68" s="228" t="s">
        <v>21</v>
      </c>
      <c r="P68" s="229" t="s">
        <v>21</v>
      </c>
      <c r="Q68" s="228" t="s">
        <v>21</v>
      </c>
      <c r="R68" s="229" t="s">
        <v>21</v>
      </c>
      <c r="S68" s="667" t="s">
        <v>21</v>
      </c>
      <c r="T68" s="668" t="s">
        <v>21</v>
      </c>
      <c r="U68" s="667" t="s">
        <v>21</v>
      </c>
      <c r="V68" s="669" t="s">
        <v>21</v>
      </c>
      <c r="W68" s="247"/>
      <c r="AB68" s="2" t="str">
        <f t="shared" si="24"/>
        <v>France</v>
      </c>
    </row>
    <row r="69" spans="1:28" ht="15" customHeight="1" x14ac:dyDescent="0.3">
      <c r="A69" s="20" t="str">
        <f t="shared" si="23"/>
        <v>X</v>
      </c>
      <c r="B69" s="779"/>
      <c r="C69" s="782"/>
      <c r="D69" s="760"/>
      <c r="E69" s="721" t="s">
        <v>24</v>
      </c>
      <c r="F69" s="410" t="s">
        <v>62</v>
      </c>
      <c r="G69" s="238">
        <v>141</v>
      </c>
      <c r="H69" s="239">
        <v>80</v>
      </c>
      <c r="I69" s="240">
        <f t="shared" si="33"/>
        <v>0.46099290780141844</v>
      </c>
      <c r="J69" s="241">
        <v>65</v>
      </c>
      <c r="K69" s="240">
        <f t="shared" si="34"/>
        <v>0.43971631205673761</v>
      </c>
      <c r="L69" s="241">
        <v>62</v>
      </c>
      <c r="M69" s="240" t="str">
        <f t="shared" si="35"/>
        <v>-</v>
      </c>
      <c r="N69" s="241" t="s">
        <v>21</v>
      </c>
      <c r="O69" s="228" t="s">
        <v>21</v>
      </c>
      <c r="P69" s="229" t="s">
        <v>21</v>
      </c>
      <c r="Q69" s="228" t="s">
        <v>21</v>
      </c>
      <c r="R69" s="229" t="s">
        <v>21</v>
      </c>
      <c r="S69" s="667"/>
      <c r="T69" s="668"/>
      <c r="U69" s="667"/>
      <c r="V69" s="669"/>
      <c r="W69" s="247"/>
      <c r="AB69" s="2" t="str">
        <f t="shared" si="24"/>
        <v>Frontière</v>
      </c>
    </row>
    <row r="70" spans="1:28" ht="15" customHeight="1" x14ac:dyDescent="0.3">
      <c r="A70" s="20" t="str">
        <f t="shared" si="23"/>
        <v>X</v>
      </c>
      <c r="B70" s="779"/>
      <c r="C70" s="782"/>
      <c r="D70" s="760"/>
      <c r="E70" s="721" t="s">
        <v>23</v>
      </c>
      <c r="F70" s="410" t="s">
        <v>60</v>
      </c>
      <c r="G70" s="238">
        <v>234</v>
      </c>
      <c r="H70" s="239">
        <v>127</v>
      </c>
      <c r="I70" s="240">
        <f t="shared" si="33"/>
        <v>0.42307692307692307</v>
      </c>
      <c r="J70" s="241">
        <v>99</v>
      </c>
      <c r="K70" s="240">
        <f t="shared" si="34"/>
        <v>0.47863247863247865</v>
      </c>
      <c r="L70" s="241">
        <v>112</v>
      </c>
      <c r="M70" s="240" t="str">
        <f t="shared" si="35"/>
        <v>-</v>
      </c>
      <c r="N70" s="241" t="s">
        <v>21</v>
      </c>
      <c r="O70" s="228" t="s">
        <v>21</v>
      </c>
      <c r="P70" s="229" t="s">
        <v>21</v>
      </c>
      <c r="Q70" s="228" t="s">
        <v>21</v>
      </c>
      <c r="R70" s="229" t="s">
        <v>21</v>
      </c>
      <c r="S70" s="667" t="s">
        <v>21</v>
      </c>
      <c r="T70" s="668" t="s">
        <v>21</v>
      </c>
      <c r="U70" s="667" t="s">
        <v>21</v>
      </c>
      <c r="V70" s="669" t="s">
        <v>21</v>
      </c>
      <c r="W70" s="247"/>
      <c r="AB70" s="2" t="str">
        <f t="shared" si="24"/>
        <v>France</v>
      </c>
    </row>
    <row r="71" spans="1:28" ht="15" customHeight="1" x14ac:dyDescent="0.3">
      <c r="A71" s="20" t="str">
        <f t="shared" si="23"/>
        <v/>
      </c>
      <c r="B71" s="779"/>
      <c r="C71" s="782"/>
      <c r="D71" s="760"/>
      <c r="E71" s="727" t="s">
        <v>166</v>
      </c>
      <c r="F71" s="410" t="s">
        <v>203</v>
      </c>
      <c r="G71" s="238"/>
      <c r="H71" s="239"/>
      <c r="I71" s="240" t="e">
        <f t="shared" si="33"/>
        <v>#DIV/0!</v>
      </c>
      <c r="J71" s="241"/>
      <c r="K71" s="240" t="e">
        <f t="shared" si="34"/>
        <v>#DIV/0!</v>
      </c>
      <c r="L71" s="241"/>
      <c r="M71" s="240" t="e">
        <f t="shared" si="35"/>
        <v>#DIV/0!</v>
      </c>
      <c r="N71" s="241"/>
      <c r="O71" s="228"/>
      <c r="P71" s="229"/>
      <c r="Q71" s="228"/>
      <c r="R71" s="229"/>
      <c r="S71" s="667"/>
      <c r="T71" s="668"/>
      <c r="U71" s="667"/>
      <c r="V71" s="669"/>
      <c r="W71" s="247"/>
      <c r="AB71" s="2" t="str">
        <f t="shared" si="24"/>
        <v/>
      </c>
    </row>
    <row r="72" spans="1:28" ht="15" customHeight="1" x14ac:dyDescent="0.3">
      <c r="A72" s="20" t="str">
        <f t="shared" si="23"/>
        <v/>
      </c>
      <c r="B72" s="779"/>
      <c r="C72" s="782"/>
      <c r="D72" s="760"/>
      <c r="E72" s="727" t="s">
        <v>166</v>
      </c>
      <c r="F72" s="410" t="s">
        <v>203</v>
      </c>
      <c r="G72" s="238"/>
      <c r="H72" s="239"/>
      <c r="I72" s="240" t="e">
        <f t="shared" si="33"/>
        <v>#DIV/0!</v>
      </c>
      <c r="J72" s="241"/>
      <c r="K72" s="240" t="e">
        <f t="shared" si="34"/>
        <v>#DIV/0!</v>
      </c>
      <c r="L72" s="241"/>
      <c r="M72" s="240" t="e">
        <f t="shared" si="35"/>
        <v>#DIV/0!</v>
      </c>
      <c r="N72" s="241"/>
      <c r="O72" s="228"/>
      <c r="P72" s="229"/>
      <c r="Q72" s="228"/>
      <c r="R72" s="229"/>
      <c r="S72" s="667"/>
      <c r="T72" s="668"/>
      <c r="U72" s="667"/>
      <c r="V72" s="669"/>
      <c r="W72" s="247"/>
      <c r="AB72" s="2" t="str">
        <f t="shared" si="24"/>
        <v/>
      </c>
    </row>
    <row r="73" spans="1:28" ht="15" customHeight="1" x14ac:dyDescent="0.3">
      <c r="A73" s="20" t="str">
        <f t="shared" si="23"/>
        <v>X</v>
      </c>
      <c r="B73" s="779"/>
      <c r="C73" s="782"/>
      <c r="D73" s="760"/>
      <c r="E73" s="721" t="s">
        <v>22</v>
      </c>
      <c r="F73" s="410" t="s">
        <v>62</v>
      </c>
      <c r="G73" s="238">
        <v>157</v>
      </c>
      <c r="H73" s="239">
        <v>82</v>
      </c>
      <c r="I73" s="240">
        <f t="shared" si="33"/>
        <v>0.22929936305732485</v>
      </c>
      <c r="J73" s="241">
        <v>36</v>
      </c>
      <c r="K73" s="240">
        <f t="shared" si="34"/>
        <v>0.31210191082802546</v>
      </c>
      <c r="L73" s="241">
        <v>49</v>
      </c>
      <c r="M73" s="240" t="str">
        <f t="shared" si="35"/>
        <v>-</v>
      </c>
      <c r="N73" s="241" t="s">
        <v>21</v>
      </c>
      <c r="O73" s="228" t="s">
        <v>21</v>
      </c>
      <c r="P73" s="229" t="s">
        <v>21</v>
      </c>
      <c r="Q73" s="228" t="s">
        <v>21</v>
      </c>
      <c r="R73" s="229" t="s">
        <v>21</v>
      </c>
      <c r="S73" s="667"/>
      <c r="T73" s="668"/>
      <c r="U73" s="667"/>
      <c r="V73" s="669"/>
      <c r="W73" s="247"/>
      <c r="AB73" s="2" t="str">
        <f t="shared" si="24"/>
        <v>Frontière</v>
      </c>
    </row>
    <row r="74" spans="1:28" ht="15" customHeight="1" x14ac:dyDescent="0.3">
      <c r="A74" s="20" t="str">
        <f t="shared" si="23"/>
        <v/>
      </c>
      <c r="B74" s="779"/>
      <c r="C74" s="782"/>
      <c r="D74" s="760"/>
      <c r="E74" s="727" t="s">
        <v>166</v>
      </c>
      <c r="F74" s="410"/>
      <c r="G74" s="238"/>
      <c r="H74" s="239"/>
      <c r="I74" s="240"/>
      <c r="J74" s="241"/>
      <c r="K74" s="240"/>
      <c r="L74" s="241"/>
      <c r="M74" s="240"/>
      <c r="N74" s="241"/>
      <c r="O74" s="228"/>
      <c r="P74" s="229"/>
      <c r="Q74" s="228"/>
      <c r="R74" s="229"/>
      <c r="S74" s="667"/>
      <c r="T74" s="668"/>
      <c r="U74" s="667"/>
      <c r="V74" s="669"/>
      <c r="W74" s="247"/>
    </row>
    <row r="75" spans="1:28" ht="15" customHeight="1" x14ac:dyDescent="0.3">
      <c r="A75" s="20" t="str">
        <f t="shared" si="23"/>
        <v/>
      </c>
      <c r="B75" s="779"/>
      <c r="C75" s="782"/>
      <c r="D75" s="760"/>
      <c r="E75" s="727" t="s">
        <v>166</v>
      </c>
      <c r="F75" s="410"/>
      <c r="G75" s="238"/>
      <c r="H75" s="239"/>
      <c r="I75" s="240"/>
      <c r="J75" s="241"/>
      <c r="K75" s="240"/>
      <c r="L75" s="241"/>
      <c r="M75" s="240"/>
      <c r="N75" s="241"/>
      <c r="O75" s="228"/>
      <c r="P75" s="229"/>
      <c r="Q75" s="228"/>
      <c r="R75" s="229"/>
      <c r="S75" s="667"/>
      <c r="T75" s="668"/>
      <c r="U75" s="667"/>
      <c r="V75" s="669"/>
      <c r="W75" s="247"/>
    </row>
    <row r="76" spans="1:28" ht="15" customHeight="1" x14ac:dyDescent="0.3">
      <c r="A76" s="20" t="str">
        <f t="shared" si="23"/>
        <v/>
      </c>
      <c r="B76" s="779"/>
      <c r="C76" s="782"/>
      <c r="D76" s="760"/>
      <c r="E76" s="728" t="s">
        <v>166</v>
      </c>
      <c r="F76" s="449"/>
      <c r="G76" s="243"/>
      <c r="H76" s="244"/>
      <c r="I76" s="245"/>
      <c r="J76" s="246"/>
      <c r="K76" s="245"/>
      <c r="L76" s="246"/>
      <c r="M76" s="245"/>
      <c r="N76" s="246"/>
      <c r="O76" s="230"/>
      <c r="P76" s="231"/>
      <c r="Q76" s="230"/>
      <c r="R76" s="231"/>
      <c r="S76" s="670"/>
      <c r="T76" s="671"/>
      <c r="U76" s="670"/>
      <c r="V76" s="672"/>
      <c r="W76" s="247"/>
    </row>
    <row r="77" spans="1:28" ht="15.6" x14ac:dyDescent="0.3">
      <c r="A77" s="20" t="str">
        <f t="shared" si="23"/>
        <v>S</v>
      </c>
      <c r="B77" s="784"/>
      <c r="C77" s="782"/>
      <c r="D77" s="309" t="s">
        <v>138</v>
      </c>
      <c r="E77" s="717"/>
      <c r="F77" s="16"/>
      <c r="G77" s="7">
        <f>SUM(G66:G76)</f>
        <v>760</v>
      </c>
      <c r="H77" s="8">
        <f>SUM(H66:H76)</f>
        <v>414</v>
      </c>
      <c r="I77" s="9">
        <f>J77/G77</f>
        <v>0.38157894736842107</v>
      </c>
      <c r="J77" s="202">
        <f>SUM(J66:J76)</f>
        <v>290</v>
      </c>
      <c r="K77" s="51">
        <f>L77/G77</f>
        <v>0.41315789473684211</v>
      </c>
      <c r="L77" s="202">
        <f>SUM(L66:L76)</f>
        <v>314</v>
      </c>
      <c r="M77" s="9">
        <f>N77/L77</f>
        <v>0</v>
      </c>
      <c r="N77" s="202">
        <f>SUM(N66:N76)</f>
        <v>0</v>
      </c>
      <c r="O77" s="118">
        <f t="shared" ref="O77:V77" si="36">SUM(O66:O76)</f>
        <v>0</v>
      </c>
      <c r="P77" s="119">
        <f t="shared" si="36"/>
        <v>0</v>
      </c>
      <c r="Q77" s="118">
        <f t="shared" si="36"/>
        <v>0</v>
      </c>
      <c r="R77" s="119">
        <f t="shared" si="36"/>
        <v>0</v>
      </c>
      <c r="S77" s="118">
        <f t="shared" si="36"/>
        <v>0</v>
      </c>
      <c r="T77" s="119">
        <f t="shared" si="36"/>
        <v>0</v>
      </c>
      <c r="U77" s="118">
        <f t="shared" si="36"/>
        <v>0</v>
      </c>
      <c r="V77" s="120">
        <f t="shared" si="36"/>
        <v>0</v>
      </c>
      <c r="W77" s="205"/>
      <c r="AB77" s="2">
        <f t="shared" si="24"/>
        <v>0</v>
      </c>
    </row>
    <row r="78" spans="1:28" x14ac:dyDescent="0.3">
      <c r="A78" s="20" t="str">
        <f t="shared" si="23"/>
        <v>X</v>
      </c>
      <c r="B78" s="779" t="s">
        <v>167</v>
      </c>
      <c r="C78" s="782" t="s">
        <v>76</v>
      </c>
      <c r="D78" s="757"/>
      <c r="E78" s="719" t="s">
        <v>171</v>
      </c>
      <c r="F78" s="232" t="s">
        <v>62</v>
      </c>
      <c r="G78" s="233">
        <v>5</v>
      </c>
      <c r="H78" s="234">
        <v>4</v>
      </c>
      <c r="I78" s="235">
        <f t="shared" ref="I78" si="37">IF(J78="","",J78/G78)</f>
        <v>0.4</v>
      </c>
      <c r="J78" s="236">
        <v>2</v>
      </c>
      <c r="K78" s="235">
        <f t="shared" ref="K78" si="38">IF(L78="","",L78/G78)</f>
        <v>0.2</v>
      </c>
      <c r="L78" s="236">
        <v>1</v>
      </c>
      <c r="M78" s="235">
        <f t="shared" ref="M78" si="39">IF(N78="","",N78/L78)</f>
        <v>0</v>
      </c>
      <c r="N78" s="236">
        <v>0</v>
      </c>
      <c r="O78" s="226" t="s">
        <v>21</v>
      </c>
      <c r="P78" s="227" t="s">
        <v>21</v>
      </c>
      <c r="Q78" s="226" t="s">
        <v>21</v>
      </c>
      <c r="R78" s="227" t="s">
        <v>21</v>
      </c>
      <c r="S78" s="284">
        <v>5</v>
      </c>
      <c r="T78" s="285">
        <v>4</v>
      </c>
      <c r="U78" s="284">
        <v>0</v>
      </c>
      <c r="V78" s="286">
        <v>0</v>
      </c>
      <c r="W78" s="205"/>
      <c r="X78" s="1" t="s">
        <v>172</v>
      </c>
      <c r="AB78" s="2" t="str">
        <f t="shared" si="24"/>
        <v>Frontière</v>
      </c>
    </row>
    <row r="79" spans="1:28" x14ac:dyDescent="0.3">
      <c r="A79" s="20" t="str">
        <f t="shared" si="23"/>
        <v/>
      </c>
      <c r="B79" s="779"/>
      <c r="C79" s="782"/>
      <c r="D79" s="757"/>
      <c r="E79" s="577" t="s">
        <v>173</v>
      </c>
      <c r="F79" s="237" t="s">
        <v>62</v>
      </c>
      <c r="G79" s="238"/>
      <c r="H79" s="239"/>
      <c r="I79" s="240" t="e">
        <f>J79/G79</f>
        <v>#DIV/0!</v>
      </c>
      <c r="J79" s="241"/>
      <c r="K79" s="240" t="e">
        <f>L79/G79</f>
        <v>#DIV/0!</v>
      </c>
      <c r="L79" s="241"/>
      <c r="M79" s="240" t="e">
        <f>IF(N79="-","-",N79/L79)</f>
        <v>#DIV/0!</v>
      </c>
      <c r="N79" s="241"/>
      <c r="O79" s="228" t="s">
        <v>21</v>
      </c>
      <c r="P79" s="229" t="s">
        <v>21</v>
      </c>
      <c r="Q79" s="228" t="s">
        <v>21</v>
      </c>
      <c r="R79" s="229" t="s">
        <v>21</v>
      </c>
      <c r="S79" s="287"/>
      <c r="T79" s="288"/>
      <c r="U79" s="287"/>
      <c r="V79" s="289"/>
      <c r="W79" s="205"/>
      <c r="AB79" s="2" t="str">
        <f t="shared" si="24"/>
        <v/>
      </c>
    </row>
    <row r="80" spans="1:28" ht="15" customHeight="1" x14ac:dyDescent="0.3">
      <c r="A80" s="20" t="str">
        <f t="shared" si="23"/>
        <v/>
      </c>
      <c r="B80" s="779"/>
      <c r="C80" s="782"/>
      <c r="D80" s="757"/>
      <c r="E80" s="727" t="s">
        <v>166</v>
      </c>
      <c r="F80" s="237"/>
      <c r="G80" s="238"/>
      <c r="H80" s="239"/>
      <c r="I80" s="240" t="e">
        <f t="shared" ref="I80:I84" si="40">J80/G80</f>
        <v>#DIV/0!</v>
      </c>
      <c r="J80" s="241"/>
      <c r="K80" s="240" t="e">
        <f t="shared" ref="K80:K84" si="41">L80/G80</f>
        <v>#DIV/0!</v>
      </c>
      <c r="L80" s="241"/>
      <c r="M80" s="240" t="e">
        <f>IF(N80="-","-",N80/L80)</f>
        <v>#DIV/0!</v>
      </c>
      <c r="N80" s="241"/>
      <c r="O80" s="228" t="s">
        <v>21</v>
      </c>
      <c r="P80" s="229" t="s">
        <v>21</v>
      </c>
      <c r="Q80" s="228" t="s">
        <v>21</v>
      </c>
      <c r="R80" s="229" t="s">
        <v>21</v>
      </c>
      <c r="S80" s="287"/>
      <c r="T80" s="288"/>
      <c r="U80" s="287"/>
      <c r="V80" s="289"/>
      <c r="W80" s="205"/>
      <c r="AB80" s="2" t="str">
        <f t="shared" si="24"/>
        <v/>
      </c>
    </row>
    <row r="81" spans="1:28" ht="15" customHeight="1" x14ac:dyDescent="0.3">
      <c r="A81" s="20" t="str">
        <f t="shared" si="23"/>
        <v/>
      </c>
      <c r="B81" s="779"/>
      <c r="C81" s="782"/>
      <c r="D81" s="757"/>
      <c r="E81" s="727" t="s">
        <v>166</v>
      </c>
      <c r="F81" s="237"/>
      <c r="G81" s="238"/>
      <c r="H81" s="239"/>
      <c r="I81" s="240" t="e">
        <f t="shared" si="40"/>
        <v>#DIV/0!</v>
      </c>
      <c r="J81" s="241"/>
      <c r="K81" s="240" t="e">
        <f t="shared" si="41"/>
        <v>#DIV/0!</v>
      </c>
      <c r="L81" s="241"/>
      <c r="M81" s="240" t="e">
        <f>IF(N81="-","-",N81/L81)</f>
        <v>#DIV/0!</v>
      </c>
      <c r="N81" s="241"/>
      <c r="O81" s="228" t="s">
        <v>21</v>
      </c>
      <c r="P81" s="229" t="s">
        <v>21</v>
      </c>
      <c r="Q81" s="228" t="s">
        <v>21</v>
      </c>
      <c r="R81" s="229" t="s">
        <v>21</v>
      </c>
      <c r="S81" s="287"/>
      <c r="T81" s="288"/>
      <c r="U81" s="287"/>
      <c r="V81" s="289"/>
      <c r="W81" s="205"/>
      <c r="AB81" s="2" t="str">
        <f t="shared" si="24"/>
        <v/>
      </c>
    </row>
    <row r="82" spans="1:28" ht="15" customHeight="1" x14ac:dyDescent="0.3">
      <c r="A82" s="20" t="str">
        <f t="shared" si="23"/>
        <v/>
      </c>
      <c r="B82" s="779"/>
      <c r="C82" s="782"/>
      <c r="D82" s="757"/>
      <c r="E82" s="727" t="s">
        <v>166</v>
      </c>
      <c r="F82" s="237" t="s">
        <v>203</v>
      </c>
      <c r="G82" s="238"/>
      <c r="H82" s="239"/>
      <c r="I82" s="240" t="e">
        <f t="shared" si="40"/>
        <v>#DIV/0!</v>
      </c>
      <c r="J82" s="241"/>
      <c r="K82" s="240" t="e">
        <f t="shared" si="41"/>
        <v>#DIV/0!</v>
      </c>
      <c r="L82" s="241"/>
      <c r="M82" s="240" t="e">
        <f t="shared" ref="M82:M83" si="42">IF(N82="-","-",N82/L82)</f>
        <v>#DIV/0!</v>
      </c>
      <c r="N82" s="241"/>
      <c r="O82" s="228"/>
      <c r="P82" s="229"/>
      <c r="Q82" s="228"/>
      <c r="R82" s="229"/>
      <c r="S82" s="287"/>
      <c r="T82" s="288"/>
      <c r="U82" s="287"/>
      <c r="V82" s="289"/>
      <c r="W82" s="205"/>
      <c r="AB82" s="2" t="str">
        <f t="shared" si="24"/>
        <v/>
      </c>
    </row>
    <row r="83" spans="1:28" ht="15" customHeight="1" x14ac:dyDescent="0.3">
      <c r="A83" s="20" t="str">
        <f t="shared" si="23"/>
        <v/>
      </c>
      <c r="B83" s="779"/>
      <c r="C83" s="782"/>
      <c r="D83" s="757"/>
      <c r="E83" s="727" t="s">
        <v>166</v>
      </c>
      <c r="F83" s="237" t="s">
        <v>203</v>
      </c>
      <c r="G83" s="238"/>
      <c r="H83" s="239"/>
      <c r="I83" s="240" t="e">
        <f t="shared" si="40"/>
        <v>#DIV/0!</v>
      </c>
      <c r="J83" s="241"/>
      <c r="K83" s="240" t="e">
        <f t="shared" si="41"/>
        <v>#DIV/0!</v>
      </c>
      <c r="L83" s="241"/>
      <c r="M83" s="240" t="e">
        <f t="shared" si="42"/>
        <v>#DIV/0!</v>
      </c>
      <c r="N83" s="241"/>
      <c r="O83" s="228"/>
      <c r="P83" s="229"/>
      <c r="Q83" s="228"/>
      <c r="R83" s="229"/>
      <c r="S83" s="287"/>
      <c r="T83" s="288"/>
      <c r="U83" s="287"/>
      <c r="V83" s="289"/>
      <c r="W83" s="205"/>
      <c r="AB83" s="2" t="str">
        <f t="shared" si="24"/>
        <v/>
      </c>
    </row>
    <row r="84" spans="1:28" ht="15" customHeight="1" x14ac:dyDescent="0.3">
      <c r="A84" s="20" t="str">
        <f t="shared" si="23"/>
        <v/>
      </c>
      <c r="B84" s="779"/>
      <c r="C84" s="782"/>
      <c r="D84" s="757"/>
      <c r="E84" s="728" t="s">
        <v>166</v>
      </c>
      <c r="F84" s="242"/>
      <c r="G84" s="243"/>
      <c r="H84" s="244"/>
      <c r="I84" s="245" t="e">
        <f t="shared" si="40"/>
        <v>#DIV/0!</v>
      </c>
      <c r="J84" s="246"/>
      <c r="K84" s="245" t="e">
        <f t="shared" si="41"/>
        <v>#DIV/0!</v>
      </c>
      <c r="L84" s="246"/>
      <c r="M84" s="245" t="e">
        <f>IF(N84="-","-",N84/L84)</f>
        <v>#DIV/0!</v>
      </c>
      <c r="N84" s="246"/>
      <c r="O84" s="230" t="s">
        <v>21</v>
      </c>
      <c r="P84" s="231" t="s">
        <v>21</v>
      </c>
      <c r="Q84" s="230" t="s">
        <v>21</v>
      </c>
      <c r="R84" s="231" t="s">
        <v>21</v>
      </c>
      <c r="S84" s="290"/>
      <c r="T84" s="291"/>
      <c r="U84" s="290"/>
      <c r="V84" s="292"/>
      <c r="W84" s="205"/>
      <c r="AB84" s="2" t="str">
        <f t="shared" si="24"/>
        <v/>
      </c>
    </row>
    <row r="85" spans="1:28" ht="15.6" x14ac:dyDescent="0.3">
      <c r="A85" s="20" t="str">
        <f t="shared" si="23"/>
        <v>S</v>
      </c>
      <c r="B85" s="784"/>
      <c r="C85" s="782"/>
      <c r="D85" s="309" t="s">
        <v>138</v>
      </c>
      <c r="E85" s="717"/>
      <c r="F85" s="16"/>
      <c r="G85" s="7">
        <f>SUM(G78:G84)</f>
        <v>5</v>
      </c>
      <c r="H85" s="8">
        <f>SUM(H78:H84)</f>
        <v>4</v>
      </c>
      <c r="I85" s="9">
        <f>J85/G85</f>
        <v>0.4</v>
      </c>
      <c r="J85" s="202">
        <f>SUM(J78:J84)</f>
        <v>2</v>
      </c>
      <c r="K85" s="51">
        <f>L85/G85</f>
        <v>0.2</v>
      </c>
      <c r="L85" s="202">
        <f>SUM(L78:L84)</f>
        <v>1</v>
      </c>
      <c r="M85" s="9">
        <f>N85/L85</f>
        <v>0</v>
      </c>
      <c r="N85" s="202">
        <f t="shared" ref="N85:V85" si="43">SUM(N78:N84)</f>
        <v>0</v>
      </c>
      <c r="O85" s="118">
        <f t="shared" si="43"/>
        <v>0</v>
      </c>
      <c r="P85" s="119">
        <f t="shared" si="43"/>
        <v>0</v>
      </c>
      <c r="Q85" s="118">
        <f t="shared" si="43"/>
        <v>0</v>
      </c>
      <c r="R85" s="119">
        <f t="shared" si="43"/>
        <v>0</v>
      </c>
      <c r="S85" s="118">
        <f t="shared" si="43"/>
        <v>5</v>
      </c>
      <c r="T85" s="119">
        <f t="shared" si="43"/>
        <v>4</v>
      </c>
      <c r="U85" s="118">
        <f t="shared" si="43"/>
        <v>0</v>
      </c>
      <c r="V85" s="120">
        <f t="shared" si="43"/>
        <v>0</v>
      </c>
      <c r="W85" s="205"/>
      <c r="AB85" s="2">
        <f t="shared" si="24"/>
        <v>0</v>
      </c>
    </row>
    <row r="86" spans="1:28" ht="15" customHeight="1" x14ac:dyDescent="0.3">
      <c r="A86" s="20" t="str">
        <f t="shared" si="23"/>
        <v>X</v>
      </c>
      <c r="B86" s="746" t="s">
        <v>1</v>
      </c>
      <c r="C86" s="749" t="s">
        <v>76</v>
      </c>
      <c r="D86" s="754">
        <v>11</v>
      </c>
      <c r="E86" s="719" t="s">
        <v>27</v>
      </c>
      <c r="F86" s="232" t="s">
        <v>62</v>
      </c>
      <c r="G86" s="233">
        <v>53</v>
      </c>
      <c r="H86" s="234">
        <v>38</v>
      </c>
      <c r="I86" s="235">
        <f t="shared" ref="I86:I91" si="44">J86/G86</f>
        <v>0.60377358490566035</v>
      </c>
      <c r="J86" s="236">
        <v>32</v>
      </c>
      <c r="K86" s="235">
        <f t="shared" ref="K86:K91" si="45">L86/G86</f>
        <v>0.22641509433962265</v>
      </c>
      <c r="L86" s="236">
        <v>12</v>
      </c>
      <c r="M86" s="235">
        <f>IF(N86="-","-",N86/L86)</f>
        <v>0.83333333333333337</v>
      </c>
      <c r="N86" s="236">
        <v>10</v>
      </c>
      <c r="O86" s="226" t="s">
        <v>21</v>
      </c>
      <c r="P86" s="227" t="s">
        <v>21</v>
      </c>
      <c r="Q86" s="226" t="s">
        <v>21</v>
      </c>
      <c r="R86" s="227" t="s">
        <v>21</v>
      </c>
      <c r="S86" s="284">
        <v>51</v>
      </c>
      <c r="T86" s="285">
        <v>36</v>
      </c>
      <c r="U86" s="284">
        <v>2</v>
      </c>
      <c r="V86" s="286">
        <v>2</v>
      </c>
      <c r="W86" s="205"/>
      <c r="AB86" s="2" t="str">
        <f t="shared" si="24"/>
        <v>Frontière</v>
      </c>
    </row>
    <row r="87" spans="1:28" ht="15" customHeight="1" x14ac:dyDescent="0.3">
      <c r="A87" s="20" t="str">
        <f t="shared" si="23"/>
        <v>X</v>
      </c>
      <c r="B87" s="747"/>
      <c r="C87" s="750"/>
      <c r="D87" s="755"/>
      <c r="E87" s="577" t="s">
        <v>28</v>
      </c>
      <c r="F87" s="237" t="s">
        <v>62</v>
      </c>
      <c r="G87" s="238">
        <v>117</v>
      </c>
      <c r="H87" s="239">
        <v>86</v>
      </c>
      <c r="I87" s="240">
        <f>J87/G87</f>
        <v>0.69230769230769229</v>
      </c>
      <c r="J87" s="241">
        <v>81</v>
      </c>
      <c r="K87" s="240">
        <f>L87/G87</f>
        <v>0.40170940170940173</v>
      </c>
      <c r="L87" s="241">
        <v>47</v>
      </c>
      <c r="M87" s="240">
        <f>IF(N87="-","-",N87/L87)</f>
        <v>0.7021276595744681</v>
      </c>
      <c r="N87" s="241">
        <v>33</v>
      </c>
      <c r="O87" s="228" t="s">
        <v>21</v>
      </c>
      <c r="P87" s="229" t="s">
        <v>21</v>
      </c>
      <c r="Q87" s="228" t="s">
        <v>21</v>
      </c>
      <c r="R87" s="229" t="s">
        <v>21</v>
      </c>
      <c r="S87" s="287">
        <v>112</v>
      </c>
      <c r="T87" s="288">
        <v>82</v>
      </c>
      <c r="U87" s="287">
        <v>5</v>
      </c>
      <c r="V87" s="289">
        <v>4</v>
      </c>
      <c r="W87" s="205"/>
      <c r="AB87" s="2" t="str">
        <f t="shared" si="24"/>
        <v>Frontière</v>
      </c>
    </row>
    <row r="88" spans="1:28" ht="15" customHeight="1" x14ac:dyDescent="0.3">
      <c r="A88" s="20" t="str">
        <f t="shared" si="23"/>
        <v>X</v>
      </c>
      <c r="B88" s="747"/>
      <c r="C88" s="750"/>
      <c r="D88" s="755"/>
      <c r="E88" s="577" t="s">
        <v>29</v>
      </c>
      <c r="F88" s="237" t="s">
        <v>62</v>
      </c>
      <c r="G88" s="238">
        <v>22</v>
      </c>
      <c r="H88" s="239">
        <v>20</v>
      </c>
      <c r="I88" s="240">
        <f t="shared" si="44"/>
        <v>0.72727272727272729</v>
      </c>
      <c r="J88" s="241">
        <v>16</v>
      </c>
      <c r="K88" s="240">
        <f t="shared" si="45"/>
        <v>0.54545454545454541</v>
      </c>
      <c r="L88" s="241">
        <v>12</v>
      </c>
      <c r="M88" s="240">
        <f>IF(N88="-","-",N88/L88)</f>
        <v>0.75</v>
      </c>
      <c r="N88" s="241">
        <v>9</v>
      </c>
      <c r="O88" s="228" t="s">
        <v>21</v>
      </c>
      <c r="P88" s="229" t="s">
        <v>21</v>
      </c>
      <c r="Q88" s="228" t="s">
        <v>21</v>
      </c>
      <c r="R88" s="229" t="s">
        <v>21</v>
      </c>
      <c r="S88" s="287">
        <v>22</v>
      </c>
      <c r="T88" s="288">
        <v>20</v>
      </c>
      <c r="U88" s="287">
        <v>0</v>
      </c>
      <c r="V88" s="289">
        <v>0</v>
      </c>
      <c r="W88" s="205"/>
      <c r="AB88" s="2" t="str">
        <f t="shared" si="24"/>
        <v>Frontière</v>
      </c>
    </row>
    <row r="89" spans="1:28" ht="15" customHeight="1" x14ac:dyDescent="0.3">
      <c r="A89" s="20" t="str">
        <f t="shared" si="23"/>
        <v>X</v>
      </c>
      <c r="B89" s="747"/>
      <c r="C89" s="750"/>
      <c r="D89" s="755"/>
      <c r="E89" s="577" t="s">
        <v>30</v>
      </c>
      <c r="F89" s="237" t="s">
        <v>62</v>
      </c>
      <c r="G89" s="238">
        <v>49</v>
      </c>
      <c r="H89" s="239">
        <v>33</v>
      </c>
      <c r="I89" s="240">
        <f t="shared" si="44"/>
        <v>0.7142857142857143</v>
      </c>
      <c r="J89" s="241">
        <v>35</v>
      </c>
      <c r="K89" s="240">
        <f t="shared" si="45"/>
        <v>0.40816326530612246</v>
      </c>
      <c r="L89" s="241">
        <v>20</v>
      </c>
      <c r="M89" s="240">
        <f>IF(N89="-","-",N89/L89)</f>
        <v>0.85</v>
      </c>
      <c r="N89" s="241">
        <v>17</v>
      </c>
      <c r="O89" s="228" t="s">
        <v>21</v>
      </c>
      <c r="P89" s="229" t="s">
        <v>21</v>
      </c>
      <c r="Q89" s="228" t="s">
        <v>21</v>
      </c>
      <c r="R89" s="229" t="s">
        <v>21</v>
      </c>
      <c r="S89" s="287">
        <v>46</v>
      </c>
      <c r="T89" s="288">
        <v>31</v>
      </c>
      <c r="U89" s="287">
        <v>3</v>
      </c>
      <c r="V89" s="289">
        <v>2</v>
      </c>
      <c r="W89" s="205"/>
      <c r="AB89" s="2" t="str">
        <f t="shared" si="24"/>
        <v>Frontière</v>
      </c>
    </row>
    <row r="90" spans="1:28" ht="15" customHeight="1" x14ac:dyDescent="0.3">
      <c r="A90" s="20" t="str">
        <f t="shared" si="23"/>
        <v/>
      </c>
      <c r="B90" s="747"/>
      <c r="C90" s="750"/>
      <c r="D90" s="755"/>
      <c r="E90" s="577" t="s">
        <v>175</v>
      </c>
      <c r="F90" s="237" t="s">
        <v>62</v>
      </c>
      <c r="G90" s="238"/>
      <c r="H90" s="239"/>
      <c r="I90" s="240" t="e">
        <f t="shared" si="44"/>
        <v>#DIV/0!</v>
      </c>
      <c r="J90" s="241"/>
      <c r="K90" s="240" t="e">
        <f t="shared" si="45"/>
        <v>#DIV/0!</v>
      </c>
      <c r="L90" s="241"/>
      <c r="M90" s="240" t="e">
        <f t="shared" ref="M90:M91" si="46">IF(N90="-","-",N90/L90)</f>
        <v>#DIV/0!</v>
      </c>
      <c r="N90" s="241"/>
      <c r="O90" s="228"/>
      <c r="P90" s="229"/>
      <c r="Q90" s="228"/>
      <c r="R90" s="229"/>
      <c r="S90" s="287"/>
      <c r="T90" s="288"/>
      <c r="U90" s="287"/>
      <c r="V90" s="289"/>
      <c r="W90" s="205"/>
      <c r="AB90" s="2" t="str">
        <f t="shared" ref="AB90:AB162" si="47">IF(G90&gt;0,$F90,"")</f>
        <v/>
      </c>
    </row>
    <row r="91" spans="1:28" ht="15" customHeight="1" x14ac:dyDescent="0.3">
      <c r="A91" s="20" t="str">
        <f t="shared" si="23"/>
        <v/>
      </c>
      <c r="B91" s="747"/>
      <c r="C91" s="750"/>
      <c r="D91" s="755"/>
      <c r="E91" s="727" t="s">
        <v>166</v>
      </c>
      <c r="F91" s="237" t="s">
        <v>203</v>
      </c>
      <c r="G91" s="238"/>
      <c r="H91" s="239"/>
      <c r="I91" s="240" t="e">
        <f t="shared" si="44"/>
        <v>#DIV/0!</v>
      </c>
      <c r="J91" s="241"/>
      <c r="K91" s="240" t="e">
        <f t="shared" si="45"/>
        <v>#DIV/0!</v>
      </c>
      <c r="L91" s="241"/>
      <c r="M91" s="240" t="e">
        <f t="shared" si="46"/>
        <v>#DIV/0!</v>
      </c>
      <c r="N91" s="241"/>
      <c r="O91" s="228"/>
      <c r="P91" s="229"/>
      <c r="Q91" s="228"/>
      <c r="R91" s="229"/>
      <c r="S91" s="287"/>
      <c r="T91" s="288"/>
      <c r="U91" s="287"/>
      <c r="V91" s="289"/>
      <c r="W91" s="205"/>
      <c r="AB91" s="2" t="str">
        <f t="shared" si="47"/>
        <v/>
      </c>
    </row>
    <row r="92" spans="1:28" ht="15.75" customHeight="1" x14ac:dyDescent="0.3">
      <c r="A92" s="20" t="str">
        <f t="shared" si="23"/>
        <v/>
      </c>
      <c r="B92" s="747"/>
      <c r="C92" s="750"/>
      <c r="D92" s="755"/>
      <c r="E92" s="727" t="s">
        <v>166</v>
      </c>
      <c r="F92" s="237"/>
      <c r="G92" s="238"/>
      <c r="H92" s="239"/>
      <c r="I92" s="240"/>
      <c r="J92" s="241"/>
      <c r="K92" s="240"/>
      <c r="L92" s="241"/>
      <c r="M92" s="240"/>
      <c r="N92" s="241"/>
      <c r="O92" s="228"/>
      <c r="P92" s="229"/>
      <c r="Q92" s="228"/>
      <c r="R92" s="229"/>
      <c r="S92" s="287"/>
      <c r="T92" s="288"/>
      <c r="U92" s="287"/>
      <c r="V92" s="289"/>
      <c r="W92" s="205"/>
    </row>
    <row r="93" spans="1:28" ht="15.75" customHeight="1" x14ac:dyDescent="0.3">
      <c r="A93" s="20" t="str">
        <f t="shared" si="23"/>
        <v/>
      </c>
      <c r="B93" s="747"/>
      <c r="C93" s="750"/>
      <c r="D93" s="755"/>
      <c r="E93" s="727" t="s">
        <v>166</v>
      </c>
      <c r="F93" s="237"/>
      <c r="G93" s="238"/>
      <c r="H93" s="239"/>
      <c r="I93" s="240"/>
      <c r="J93" s="241"/>
      <c r="K93" s="240"/>
      <c r="L93" s="241"/>
      <c r="M93" s="240"/>
      <c r="N93" s="241"/>
      <c r="O93" s="228"/>
      <c r="P93" s="229"/>
      <c r="Q93" s="228"/>
      <c r="R93" s="229"/>
      <c r="S93" s="287"/>
      <c r="T93" s="288"/>
      <c r="U93" s="287"/>
      <c r="V93" s="289"/>
      <c r="W93" s="205"/>
    </row>
    <row r="94" spans="1:28" ht="15.75" customHeight="1" x14ac:dyDescent="0.3">
      <c r="A94" s="20" t="str">
        <f t="shared" si="23"/>
        <v/>
      </c>
      <c r="B94" s="747"/>
      <c r="C94" s="750"/>
      <c r="D94" s="756"/>
      <c r="E94" s="728" t="s">
        <v>166</v>
      </c>
      <c r="F94" s="242"/>
      <c r="G94" s="243"/>
      <c r="H94" s="244"/>
      <c r="I94" s="245"/>
      <c r="J94" s="246"/>
      <c r="K94" s="245"/>
      <c r="L94" s="246"/>
      <c r="M94" s="245"/>
      <c r="N94" s="246"/>
      <c r="O94" s="230"/>
      <c r="P94" s="231"/>
      <c r="Q94" s="230"/>
      <c r="R94" s="231"/>
      <c r="S94" s="290"/>
      <c r="T94" s="291"/>
      <c r="U94" s="290"/>
      <c r="V94" s="292"/>
      <c r="W94" s="205"/>
    </row>
    <row r="95" spans="1:28" ht="15.6" x14ac:dyDescent="0.3">
      <c r="A95" s="20" t="str">
        <f t="shared" si="23"/>
        <v>S</v>
      </c>
      <c r="B95" s="753"/>
      <c r="C95" s="752"/>
      <c r="D95" s="309" t="s">
        <v>138</v>
      </c>
      <c r="E95" s="717"/>
      <c r="F95" s="16"/>
      <c r="G95" s="7">
        <f>SUM(G86:G94)</f>
        <v>241</v>
      </c>
      <c r="H95" s="8">
        <f>SUM(H86:H94)</f>
        <v>177</v>
      </c>
      <c r="I95" s="9">
        <f>J95/G95</f>
        <v>0.68049792531120334</v>
      </c>
      <c r="J95" s="202">
        <f>SUM(J86:J94)</f>
        <v>164</v>
      </c>
      <c r="K95" s="51">
        <f>L95/G95</f>
        <v>0.37759336099585061</v>
      </c>
      <c r="L95" s="202">
        <f>SUM(L86:L94)</f>
        <v>91</v>
      </c>
      <c r="M95" s="9">
        <f>N95/L95</f>
        <v>0.75824175824175821</v>
      </c>
      <c r="N95" s="202">
        <f t="shared" ref="N95:V95" si="48">SUM(N86:N94)</f>
        <v>69</v>
      </c>
      <c r="O95" s="118">
        <f t="shared" si="48"/>
        <v>0</v>
      </c>
      <c r="P95" s="119">
        <f t="shared" si="48"/>
        <v>0</v>
      </c>
      <c r="Q95" s="118">
        <f t="shared" si="48"/>
        <v>0</v>
      </c>
      <c r="R95" s="119">
        <f t="shared" si="48"/>
        <v>0</v>
      </c>
      <c r="S95" s="118">
        <f t="shared" si="48"/>
        <v>231</v>
      </c>
      <c r="T95" s="119">
        <f t="shared" si="48"/>
        <v>169</v>
      </c>
      <c r="U95" s="118">
        <f t="shared" si="48"/>
        <v>10</v>
      </c>
      <c r="V95" s="120">
        <f t="shared" si="48"/>
        <v>8</v>
      </c>
      <c r="W95" s="205"/>
      <c r="AB95" s="2">
        <f t="shared" si="47"/>
        <v>0</v>
      </c>
    </row>
    <row r="96" spans="1:28" ht="15" customHeight="1" x14ac:dyDescent="0.3">
      <c r="A96" s="20" t="str">
        <f t="shared" si="23"/>
        <v>X</v>
      </c>
      <c r="B96" s="779" t="s">
        <v>45</v>
      </c>
      <c r="C96" s="775" t="s">
        <v>76</v>
      </c>
      <c r="D96" s="759">
        <v>17</v>
      </c>
      <c r="E96" s="720" t="s">
        <v>32</v>
      </c>
      <c r="F96" s="232" t="s">
        <v>62</v>
      </c>
      <c r="G96" s="233">
        <v>76</v>
      </c>
      <c r="H96" s="234">
        <f>G96</f>
        <v>76</v>
      </c>
      <c r="I96" s="235">
        <f t="shared" si="33"/>
        <v>0.5</v>
      </c>
      <c r="J96" s="236">
        <f>17+21</f>
        <v>38</v>
      </c>
      <c r="K96" s="235">
        <f t="shared" si="34"/>
        <v>0.38157894736842107</v>
      </c>
      <c r="L96" s="236">
        <v>29</v>
      </c>
      <c r="M96" s="235">
        <f t="shared" si="35"/>
        <v>0.72413793103448276</v>
      </c>
      <c r="N96" s="236">
        <v>21</v>
      </c>
      <c r="O96" s="226" t="s">
        <v>21</v>
      </c>
      <c r="P96" s="227" t="s">
        <v>21</v>
      </c>
      <c r="Q96" s="226" t="s">
        <v>21</v>
      </c>
      <c r="R96" s="227" t="s">
        <v>21</v>
      </c>
      <c r="S96" s="284">
        <v>75</v>
      </c>
      <c r="T96" s="285">
        <v>75</v>
      </c>
      <c r="U96" s="284">
        <v>1</v>
      </c>
      <c r="V96" s="286">
        <v>1</v>
      </c>
      <c r="W96" s="205"/>
      <c r="AB96" s="2" t="str">
        <f t="shared" si="47"/>
        <v>Frontière</v>
      </c>
    </row>
    <row r="97" spans="1:28" ht="15" customHeight="1" x14ac:dyDescent="0.3">
      <c r="A97" s="20" t="str">
        <f t="shared" si="23"/>
        <v>X</v>
      </c>
      <c r="B97" s="779"/>
      <c r="C97" s="775"/>
      <c r="D97" s="759"/>
      <c r="E97" s="721" t="s">
        <v>33</v>
      </c>
      <c r="F97" s="237" t="s">
        <v>62</v>
      </c>
      <c r="G97" s="238">
        <v>80</v>
      </c>
      <c r="H97" s="239">
        <f>G97</f>
        <v>80</v>
      </c>
      <c r="I97" s="240">
        <f t="shared" si="33"/>
        <v>0.63749999999999996</v>
      </c>
      <c r="J97" s="241">
        <f>25+26</f>
        <v>51</v>
      </c>
      <c r="K97" s="240">
        <f t="shared" si="34"/>
        <v>0.5</v>
      </c>
      <c r="L97" s="241">
        <v>40</v>
      </c>
      <c r="M97" s="240">
        <f t="shared" si="35"/>
        <v>0.65</v>
      </c>
      <c r="N97" s="241">
        <v>26</v>
      </c>
      <c r="O97" s="228" t="s">
        <v>21</v>
      </c>
      <c r="P97" s="229" t="s">
        <v>21</v>
      </c>
      <c r="Q97" s="228" t="s">
        <v>21</v>
      </c>
      <c r="R97" s="229" t="s">
        <v>21</v>
      </c>
      <c r="S97" s="287">
        <v>74</v>
      </c>
      <c r="T97" s="288">
        <v>74</v>
      </c>
      <c r="U97" s="287">
        <v>6</v>
      </c>
      <c r="V97" s="289">
        <v>6</v>
      </c>
      <c r="W97" s="205"/>
      <c r="AB97" s="2" t="str">
        <f t="shared" si="47"/>
        <v>Frontière</v>
      </c>
    </row>
    <row r="98" spans="1:28" ht="15" customHeight="1" x14ac:dyDescent="0.3">
      <c r="A98" s="20" t="str">
        <f t="shared" si="23"/>
        <v>X</v>
      </c>
      <c r="B98" s="779"/>
      <c r="C98" s="775"/>
      <c r="D98" s="759"/>
      <c r="E98" s="721" t="s">
        <v>47</v>
      </c>
      <c r="F98" s="237" t="s">
        <v>62</v>
      </c>
      <c r="G98" s="238">
        <v>31</v>
      </c>
      <c r="H98" s="239">
        <f t="shared" ref="H98:H100" si="49">G98</f>
        <v>31</v>
      </c>
      <c r="I98" s="240">
        <f t="shared" si="33"/>
        <v>0.32258064516129031</v>
      </c>
      <c r="J98" s="241">
        <f>5+5</f>
        <v>10</v>
      </c>
      <c r="K98" s="240">
        <f t="shared" si="34"/>
        <v>0.35483870967741937</v>
      </c>
      <c r="L98" s="241">
        <v>11</v>
      </c>
      <c r="M98" s="240">
        <f t="shared" si="35"/>
        <v>0.45454545454545453</v>
      </c>
      <c r="N98" s="241">
        <v>5</v>
      </c>
      <c r="O98" s="228" t="s">
        <v>21</v>
      </c>
      <c r="P98" s="229" t="s">
        <v>21</v>
      </c>
      <c r="Q98" s="228" t="s">
        <v>21</v>
      </c>
      <c r="R98" s="229" t="s">
        <v>21</v>
      </c>
      <c r="S98" s="287">
        <v>31</v>
      </c>
      <c r="T98" s="288">
        <v>31</v>
      </c>
      <c r="U98" s="287">
        <v>0</v>
      </c>
      <c r="V98" s="289">
        <v>0</v>
      </c>
      <c r="W98" s="205"/>
      <c r="AB98" s="2" t="str">
        <f t="shared" si="47"/>
        <v>Frontière</v>
      </c>
    </row>
    <row r="99" spans="1:28" ht="15" customHeight="1" x14ac:dyDescent="0.3">
      <c r="A99" s="20" t="str">
        <f t="shared" si="23"/>
        <v>X</v>
      </c>
      <c r="B99" s="779"/>
      <c r="C99" s="775"/>
      <c r="D99" s="759"/>
      <c r="E99" s="721" t="s">
        <v>46</v>
      </c>
      <c r="F99" s="237" t="s">
        <v>62</v>
      </c>
      <c r="G99" s="238">
        <v>15</v>
      </c>
      <c r="H99" s="239">
        <f t="shared" si="49"/>
        <v>15</v>
      </c>
      <c r="I99" s="240">
        <f t="shared" si="33"/>
        <v>0.33333333333333331</v>
      </c>
      <c r="J99" s="241">
        <f>5+0</f>
        <v>5</v>
      </c>
      <c r="K99" s="240">
        <f t="shared" si="34"/>
        <v>0</v>
      </c>
      <c r="L99" s="241">
        <v>0</v>
      </c>
      <c r="M99" s="240" t="str">
        <f>IF(N99=0,"-",N99/L99)</f>
        <v>-</v>
      </c>
      <c r="N99" s="241">
        <v>0</v>
      </c>
      <c r="O99" s="228" t="s">
        <v>21</v>
      </c>
      <c r="P99" s="229" t="s">
        <v>21</v>
      </c>
      <c r="Q99" s="228" t="s">
        <v>21</v>
      </c>
      <c r="R99" s="229" t="s">
        <v>21</v>
      </c>
      <c r="S99" s="287">
        <v>15</v>
      </c>
      <c r="T99" s="288">
        <v>15</v>
      </c>
      <c r="U99" s="287">
        <v>0</v>
      </c>
      <c r="V99" s="289">
        <v>0</v>
      </c>
      <c r="W99" s="205"/>
      <c r="AB99" s="2" t="str">
        <f t="shared" si="47"/>
        <v>Frontière</v>
      </c>
    </row>
    <row r="100" spans="1:28" ht="15" customHeight="1" x14ac:dyDescent="0.3">
      <c r="A100" s="20" t="str">
        <f t="shared" si="23"/>
        <v>X</v>
      </c>
      <c r="B100" s="779"/>
      <c r="C100" s="775"/>
      <c r="D100" s="759"/>
      <c r="E100" s="721" t="s">
        <v>35</v>
      </c>
      <c r="F100" s="237" t="s">
        <v>62</v>
      </c>
      <c r="G100" s="238">
        <v>2</v>
      </c>
      <c r="H100" s="239">
        <f t="shared" si="49"/>
        <v>2</v>
      </c>
      <c r="I100" s="240">
        <f t="shared" si="33"/>
        <v>0.5</v>
      </c>
      <c r="J100" s="241">
        <f>0+1</f>
        <v>1</v>
      </c>
      <c r="K100" s="240">
        <f t="shared" si="34"/>
        <v>0.5</v>
      </c>
      <c r="L100" s="241">
        <v>1</v>
      </c>
      <c r="M100" s="240">
        <f t="shared" si="35"/>
        <v>1</v>
      </c>
      <c r="N100" s="241">
        <v>1</v>
      </c>
      <c r="O100" s="228" t="s">
        <v>21</v>
      </c>
      <c r="P100" s="229" t="s">
        <v>21</v>
      </c>
      <c r="Q100" s="228" t="s">
        <v>21</v>
      </c>
      <c r="R100" s="229" t="s">
        <v>21</v>
      </c>
      <c r="S100" s="287">
        <v>1</v>
      </c>
      <c r="T100" s="288">
        <v>1</v>
      </c>
      <c r="U100" s="287">
        <v>1</v>
      </c>
      <c r="V100" s="289">
        <v>1</v>
      </c>
      <c r="W100" s="205"/>
      <c r="AB100" s="2" t="str">
        <f t="shared" si="47"/>
        <v>Frontière</v>
      </c>
    </row>
    <row r="101" spans="1:28" ht="15" customHeight="1" x14ac:dyDescent="0.3">
      <c r="A101" s="20" t="str">
        <f t="shared" si="23"/>
        <v>X</v>
      </c>
      <c r="B101" s="779"/>
      <c r="C101" s="775"/>
      <c r="D101" s="759"/>
      <c r="E101" s="721" t="s">
        <v>34</v>
      </c>
      <c r="F101" s="237" t="s">
        <v>62</v>
      </c>
      <c r="G101" s="238">
        <v>15</v>
      </c>
      <c r="H101" s="239">
        <f>G101</f>
        <v>15</v>
      </c>
      <c r="I101" s="240">
        <f t="shared" si="33"/>
        <v>0.53333333333333333</v>
      </c>
      <c r="J101" s="241">
        <f>6+2</f>
        <v>8</v>
      </c>
      <c r="K101" s="240">
        <f t="shared" si="34"/>
        <v>0.26666666666666666</v>
      </c>
      <c r="L101" s="241">
        <v>4</v>
      </c>
      <c r="M101" s="240">
        <f t="shared" si="35"/>
        <v>0.5</v>
      </c>
      <c r="N101" s="241">
        <v>2</v>
      </c>
      <c r="O101" s="228" t="s">
        <v>21</v>
      </c>
      <c r="P101" s="229" t="s">
        <v>21</v>
      </c>
      <c r="Q101" s="228" t="s">
        <v>21</v>
      </c>
      <c r="R101" s="229" t="s">
        <v>21</v>
      </c>
      <c r="S101" s="287">
        <v>13</v>
      </c>
      <c r="T101" s="288">
        <v>13</v>
      </c>
      <c r="U101" s="287">
        <v>2</v>
      </c>
      <c r="V101" s="289">
        <v>2</v>
      </c>
      <c r="W101" s="205"/>
      <c r="AB101" s="2" t="str">
        <f t="shared" si="47"/>
        <v>Frontière</v>
      </c>
    </row>
    <row r="102" spans="1:28" ht="15.75" customHeight="1" x14ac:dyDescent="0.3">
      <c r="A102" s="20" t="str">
        <f t="shared" si="23"/>
        <v>X</v>
      </c>
      <c r="B102" s="779"/>
      <c r="C102" s="775"/>
      <c r="D102" s="759"/>
      <c r="E102" s="721" t="s">
        <v>147</v>
      </c>
      <c r="F102" s="237" t="s">
        <v>62</v>
      </c>
      <c r="G102" s="238">
        <v>12</v>
      </c>
      <c r="H102" s="239">
        <f>G102</f>
        <v>12</v>
      </c>
      <c r="I102" s="240">
        <f t="shared" si="33"/>
        <v>0.83333333333333337</v>
      </c>
      <c r="J102" s="241">
        <f>3+7</f>
        <v>10</v>
      </c>
      <c r="K102" s="240">
        <f t="shared" si="34"/>
        <v>0.58333333333333337</v>
      </c>
      <c r="L102" s="241">
        <v>7</v>
      </c>
      <c r="M102" s="240">
        <f t="shared" si="35"/>
        <v>1</v>
      </c>
      <c r="N102" s="241">
        <v>7</v>
      </c>
      <c r="O102" s="228" t="s">
        <v>21</v>
      </c>
      <c r="P102" s="229" t="s">
        <v>21</v>
      </c>
      <c r="Q102" s="228" t="s">
        <v>21</v>
      </c>
      <c r="R102" s="229" t="s">
        <v>21</v>
      </c>
      <c r="S102" s="287">
        <v>12</v>
      </c>
      <c r="T102" s="288">
        <v>12</v>
      </c>
      <c r="U102" s="287">
        <v>0</v>
      </c>
      <c r="V102" s="289">
        <v>0</v>
      </c>
      <c r="W102" s="205"/>
      <c r="AB102" s="2" t="str">
        <f t="shared" si="47"/>
        <v>Frontière</v>
      </c>
    </row>
    <row r="103" spans="1:28" ht="15.75" customHeight="1" x14ac:dyDescent="0.3">
      <c r="A103" s="20" t="str">
        <f t="shared" si="23"/>
        <v/>
      </c>
      <c r="B103" s="779"/>
      <c r="C103" s="775"/>
      <c r="D103" s="759"/>
      <c r="E103" s="727" t="s">
        <v>166</v>
      </c>
      <c r="F103" s="237" t="s">
        <v>62</v>
      </c>
      <c r="G103" s="238"/>
      <c r="H103" s="239"/>
      <c r="I103" s="240" t="e">
        <f t="shared" si="33"/>
        <v>#DIV/0!</v>
      </c>
      <c r="J103" s="241"/>
      <c r="K103" s="240" t="e">
        <f t="shared" si="34"/>
        <v>#DIV/0!</v>
      </c>
      <c r="L103" s="241"/>
      <c r="M103" s="240" t="e">
        <f t="shared" si="35"/>
        <v>#DIV/0!</v>
      </c>
      <c r="N103" s="241"/>
      <c r="O103" s="228"/>
      <c r="P103" s="229"/>
      <c r="Q103" s="228"/>
      <c r="R103" s="229"/>
      <c r="S103" s="287"/>
      <c r="T103" s="288"/>
      <c r="U103" s="287"/>
      <c r="V103" s="289"/>
      <c r="W103" s="205"/>
      <c r="AB103" s="2" t="str">
        <f t="shared" si="47"/>
        <v/>
      </c>
    </row>
    <row r="104" spans="1:28" ht="15.75" customHeight="1" x14ac:dyDescent="0.3">
      <c r="A104" s="20" t="str">
        <f t="shared" si="23"/>
        <v/>
      </c>
      <c r="B104" s="779"/>
      <c r="C104" s="775"/>
      <c r="D104" s="759"/>
      <c r="E104" s="727" t="s">
        <v>166</v>
      </c>
      <c r="F104" s="237" t="s">
        <v>62</v>
      </c>
      <c r="G104" s="238"/>
      <c r="H104" s="239"/>
      <c r="I104" s="240" t="e">
        <f t="shared" si="33"/>
        <v>#DIV/0!</v>
      </c>
      <c r="J104" s="241"/>
      <c r="K104" s="240" t="e">
        <f t="shared" si="34"/>
        <v>#DIV/0!</v>
      </c>
      <c r="L104" s="241"/>
      <c r="M104" s="240" t="e">
        <f t="shared" si="35"/>
        <v>#DIV/0!</v>
      </c>
      <c r="N104" s="241"/>
      <c r="O104" s="228"/>
      <c r="P104" s="229"/>
      <c r="Q104" s="228"/>
      <c r="R104" s="229"/>
      <c r="S104" s="287"/>
      <c r="T104" s="288"/>
      <c r="U104" s="287"/>
      <c r="V104" s="289"/>
      <c r="W104" s="205"/>
      <c r="AB104" s="2" t="str">
        <f t="shared" si="47"/>
        <v/>
      </c>
    </row>
    <row r="105" spans="1:28" ht="15.75" customHeight="1" x14ac:dyDescent="0.3">
      <c r="A105" s="20" t="str">
        <f t="shared" si="23"/>
        <v>X</v>
      </c>
      <c r="B105" s="779"/>
      <c r="C105" s="775"/>
      <c r="D105" s="759"/>
      <c r="E105" s="721" t="s">
        <v>146</v>
      </c>
      <c r="F105" s="237" t="s">
        <v>62</v>
      </c>
      <c r="G105" s="238">
        <v>14</v>
      </c>
      <c r="H105" s="239">
        <f>G105</f>
        <v>14</v>
      </c>
      <c r="I105" s="240">
        <f t="shared" si="33"/>
        <v>1</v>
      </c>
      <c r="J105" s="241">
        <f>9+5</f>
        <v>14</v>
      </c>
      <c r="K105" s="240">
        <f t="shared" si="34"/>
        <v>0.35714285714285715</v>
      </c>
      <c r="L105" s="241">
        <v>5</v>
      </c>
      <c r="M105" s="240">
        <f t="shared" si="35"/>
        <v>1</v>
      </c>
      <c r="N105" s="241">
        <v>5</v>
      </c>
      <c r="O105" s="228" t="s">
        <v>21</v>
      </c>
      <c r="P105" s="229" t="s">
        <v>21</v>
      </c>
      <c r="Q105" s="228" t="s">
        <v>21</v>
      </c>
      <c r="R105" s="229" t="s">
        <v>21</v>
      </c>
      <c r="S105" s="287">
        <v>14</v>
      </c>
      <c r="T105" s="288">
        <v>14</v>
      </c>
      <c r="U105" s="287">
        <v>0</v>
      </c>
      <c r="V105" s="289">
        <v>0</v>
      </c>
      <c r="W105" s="205"/>
      <c r="AB105" s="2" t="str">
        <f t="shared" si="47"/>
        <v>Frontière</v>
      </c>
    </row>
    <row r="106" spans="1:28" ht="15.75" customHeight="1" x14ac:dyDescent="0.3">
      <c r="A106" s="20" t="str">
        <f t="shared" si="23"/>
        <v/>
      </c>
      <c r="B106" s="779"/>
      <c r="C106" s="775"/>
      <c r="D106" s="759"/>
      <c r="E106" s="727" t="s">
        <v>166</v>
      </c>
      <c r="F106" s="237"/>
      <c r="G106" s="238"/>
      <c r="H106" s="239"/>
      <c r="I106" s="240"/>
      <c r="J106" s="241"/>
      <c r="K106" s="240"/>
      <c r="L106" s="241"/>
      <c r="M106" s="240"/>
      <c r="N106" s="241"/>
      <c r="O106" s="228"/>
      <c r="P106" s="229"/>
      <c r="Q106" s="228"/>
      <c r="R106" s="229"/>
      <c r="S106" s="287"/>
      <c r="T106" s="288"/>
      <c r="U106" s="287"/>
      <c r="V106" s="289"/>
      <c r="W106" s="205"/>
    </row>
    <row r="107" spans="1:28" ht="15.75" customHeight="1" x14ac:dyDescent="0.3">
      <c r="A107" s="20" t="str">
        <f t="shared" si="23"/>
        <v/>
      </c>
      <c r="B107" s="779"/>
      <c r="C107" s="775"/>
      <c r="D107" s="759"/>
      <c r="E107" s="727" t="s">
        <v>166</v>
      </c>
      <c r="F107" s="237"/>
      <c r="G107" s="238"/>
      <c r="H107" s="239"/>
      <c r="I107" s="240"/>
      <c r="J107" s="241"/>
      <c r="K107" s="240"/>
      <c r="L107" s="241"/>
      <c r="M107" s="240"/>
      <c r="N107" s="241"/>
      <c r="O107" s="228"/>
      <c r="P107" s="229"/>
      <c r="Q107" s="228"/>
      <c r="R107" s="229"/>
      <c r="S107" s="287"/>
      <c r="T107" s="288"/>
      <c r="U107" s="287"/>
      <c r="V107" s="289"/>
      <c r="W107" s="205"/>
    </row>
    <row r="108" spans="1:28" ht="15.75" customHeight="1" x14ac:dyDescent="0.3">
      <c r="A108" s="20" t="str">
        <f t="shared" si="23"/>
        <v/>
      </c>
      <c r="B108" s="779"/>
      <c r="C108" s="775"/>
      <c r="D108" s="759"/>
      <c r="E108" s="728" t="s">
        <v>166</v>
      </c>
      <c r="F108" s="242"/>
      <c r="G108" s="243"/>
      <c r="H108" s="244"/>
      <c r="I108" s="245"/>
      <c r="J108" s="246"/>
      <c r="K108" s="245"/>
      <c r="L108" s="246"/>
      <c r="M108" s="245"/>
      <c r="N108" s="246"/>
      <c r="O108" s="230"/>
      <c r="P108" s="231"/>
      <c r="Q108" s="230"/>
      <c r="R108" s="231"/>
      <c r="S108" s="290"/>
      <c r="T108" s="291"/>
      <c r="U108" s="290"/>
      <c r="V108" s="292"/>
      <c r="W108" s="205"/>
    </row>
    <row r="109" spans="1:28" ht="15.6" x14ac:dyDescent="0.3">
      <c r="A109" s="20" t="str">
        <f t="shared" si="23"/>
        <v>S</v>
      </c>
      <c r="B109" s="784"/>
      <c r="C109" s="775"/>
      <c r="D109" s="309" t="s">
        <v>138</v>
      </c>
      <c r="E109" s="718"/>
      <c r="F109" s="16"/>
      <c r="G109" s="7">
        <f>SUM(G96:G108)</f>
        <v>245</v>
      </c>
      <c r="H109" s="8">
        <f>SUM(H96:H108)</f>
        <v>245</v>
      </c>
      <c r="I109" s="9">
        <f>J109/G109</f>
        <v>0.5591836734693878</v>
      </c>
      <c r="J109" s="202">
        <f>SUM(J96:J108)</f>
        <v>137</v>
      </c>
      <c r="K109" s="51">
        <f>L109/G109</f>
        <v>0.39591836734693875</v>
      </c>
      <c r="L109" s="202">
        <f>SUM(L96:L108)</f>
        <v>97</v>
      </c>
      <c r="M109" s="9">
        <f>N109/L109</f>
        <v>0.69072164948453607</v>
      </c>
      <c r="N109" s="202">
        <f t="shared" ref="N109:V109" si="50">SUM(N96:N108)</f>
        <v>67</v>
      </c>
      <c r="O109" s="118">
        <f t="shared" si="50"/>
        <v>0</v>
      </c>
      <c r="P109" s="119">
        <f t="shared" si="50"/>
        <v>0</v>
      </c>
      <c r="Q109" s="118">
        <f t="shared" si="50"/>
        <v>0</v>
      </c>
      <c r="R109" s="119">
        <f t="shared" si="50"/>
        <v>0</v>
      </c>
      <c r="S109" s="118">
        <f t="shared" si="50"/>
        <v>235</v>
      </c>
      <c r="T109" s="119">
        <f t="shared" si="50"/>
        <v>235</v>
      </c>
      <c r="U109" s="118">
        <f t="shared" si="50"/>
        <v>10</v>
      </c>
      <c r="V109" s="120">
        <f t="shared" si="50"/>
        <v>10</v>
      </c>
      <c r="W109" s="205"/>
      <c r="AB109" s="2">
        <f t="shared" si="47"/>
        <v>0</v>
      </c>
    </row>
    <row r="110" spans="1:28" x14ac:dyDescent="0.3">
      <c r="A110" s="20" t="str">
        <f t="shared" si="23"/>
        <v/>
      </c>
      <c r="B110" s="773" t="s">
        <v>151</v>
      </c>
      <c r="C110" s="782" t="s">
        <v>76</v>
      </c>
      <c r="D110" s="760">
        <v>17</v>
      </c>
      <c r="E110" s="720" t="s">
        <v>154</v>
      </c>
      <c r="F110" s="232" t="s">
        <v>62</v>
      </c>
      <c r="G110" s="673"/>
      <c r="H110" s="674"/>
      <c r="I110" s="224"/>
      <c r="J110" s="236"/>
      <c r="K110" s="235"/>
      <c r="L110" s="236"/>
      <c r="M110" s="224"/>
      <c r="N110" s="236"/>
      <c r="O110" s="226"/>
      <c r="P110" s="227"/>
      <c r="Q110" s="226"/>
      <c r="R110" s="227"/>
      <c r="S110" s="284"/>
      <c r="T110" s="285"/>
      <c r="U110" s="284"/>
      <c r="V110" s="286"/>
      <c r="W110" s="259"/>
      <c r="X110" s="221"/>
      <c r="AB110" s="2" t="str">
        <f t="shared" si="47"/>
        <v/>
      </c>
    </row>
    <row r="111" spans="1:28" ht="15.75" customHeight="1" x14ac:dyDescent="0.3">
      <c r="A111" s="20" t="str">
        <f t="shared" si="23"/>
        <v/>
      </c>
      <c r="B111" s="773"/>
      <c r="C111" s="782"/>
      <c r="D111" s="760"/>
      <c r="E111" s="721" t="s">
        <v>155</v>
      </c>
      <c r="F111" s="237" t="s">
        <v>62</v>
      </c>
      <c r="G111" s="675"/>
      <c r="H111" s="676"/>
      <c r="I111" s="225"/>
      <c r="J111" s="241"/>
      <c r="K111" s="240"/>
      <c r="L111" s="241"/>
      <c r="M111" s="225"/>
      <c r="N111" s="241"/>
      <c r="O111" s="228"/>
      <c r="P111" s="229"/>
      <c r="Q111" s="228"/>
      <c r="R111" s="229"/>
      <c r="S111" s="287"/>
      <c r="T111" s="288"/>
      <c r="U111" s="287"/>
      <c r="V111" s="289"/>
      <c r="W111" s="260"/>
      <c r="X111" s="222"/>
      <c r="AB111" s="2" t="str">
        <f t="shared" si="47"/>
        <v/>
      </c>
    </row>
    <row r="112" spans="1:28" ht="15.75" customHeight="1" x14ac:dyDescent="0.3">
      <c r="A112" s="20" t="str">
        <f t="shared" si="23"/>
        <v/>
      </c>
      <c r="B112" s="773"/>
      <c r="C112" s="782"/>
      <c r="D112" s="760"/>
      <c r="E112" s="721" t="s">
        <v>156</v>
      </c>
      <c r="F112" s="237" t="s">
        <v>62</v>
      </c>
      <c r="G112" s="675"/>
      <c r="H112" s="676"/>
      <c r="I112" s="225"/>
      <c r="J112" s="241"/>
      <c r="K112" s="240"/>
      <c r="L112" s="241"/>
      <c r="M112" s="225"/>
      <c r="N112" s="241"/>
      <c r="O112" s="228"/>
      <c r="P112" s="229"/>
      <c r="Q112" s="228"/>
      <c r="R112" s="229"/>
      <c r="S112" s="287"/>
      <c r="T112" s="288"/>
      <c r="U112" s="287"/>
      <c r="V112" s="289"/>
      <c r="W112" s="260"/>
      <c r="X112" s="222"/>
      <c r="AB112" s="2" t="str">
        <f t="shared" si="47"/>
        <v/>
      </c>
    </row>
    <row r="113" spans="1:28" ht="15" customHeight="1" x14ac:dyDescent="0.3">
      <c r="A113" s="20" t="str">
        <f t="shared" si="23"/>
        <v>X</v>
      </c>
      <c r="B113" s="773"/>
      <c r="C113" s="782"/>
      <c r="D113" s="760"/>
      <c r="E113" s="721" t="s">
        <v>37</v>
      </c>
      <c r="F113" s="410" t="s">
        <v>62</v>
      </c>
      <c r="G113" s="238">
        <v>346</v>
      </c>
      <c r="H113" s="239">
        <v>174</v>
      </c>
      <c r="I113" s="240">
        <f t="shared" si="33"/>
        <v>0.31502890173410403</v>
      </c>
      <c r="J113" s="241">
        <v>109</v>
      </c>
      <c r="K113" s="240">
        <f t="shared" si="34"/>
        <v>0.23699421965317918</v>
      </c>
      <c r="L113" s="241">
        <v>82</v>
      </c>
      <c r="M113" s="240">
        <f t="shared" si="35"/>
        <v>0.52439024390243905</v>
      </c>
      <c r="N113" s="241">
        <v>43</v>
      </c>
      <c r="O113" s="228">
        <v>11</v>
      </c>
      <c r="P113" s="229">
        <v>7</v>
      </c>
      <c r="Q113" s="228">
        <v>50</v>
      </c>
      <c r="R113" s="229">
        <v>36</v>
      </c>
      <c r="S113" s="287">
        <v>374</v>
      </c>
      <c r="T113" s="288">
        <v>195</v>
      </c>
      <c r="U113" s="287">
        <v>22</v>
      </c>
      <c r="V113" s="289">
        <v>15</v>
      </c>
      <c r="W113" s="260"/>
      <c r="X113" s="222"/>
      <c r="AB113" s="2" t="str">
        <f t="shared" si="47"/>
        <v>Frontière</v>
      </c>
    </row>
    <row r="114" spans="1:28" ht="15" customHeight="1" x14ac:dyDescent="0.3">
      <c r="A114" s="20" t="str">
        <f t="shared" ref="A114:A159" si="51">IF(D114="Sous-total","S",IF(G114="","","X"))</f>
        <v>X</v>
      </c>
      <c r="B114" s="773"/>
      <c r="C114" s="782"/>
      <c r="D114" s="760"/>
      <c r="E114" s="721" t="s">
        <v>157</v>
      </c>
      <c r="F114" s="410" t="s">
        <v>62</v>
      </c>
      <c r="G114" s="238">
        <v>230</v>
      </c>
      <c r="H114" s="239">
        <v>116</v>
      </c>
      <c r="I114" s="240">
        <f t="shared" si="33"/>
        <v>0.4</v>
      </c>
      <c r="J114" s="241">
        <v>92</v>
      </c>
      <c r="K114" s="240">
        <f t="shared" si="34"/>
        <v>0.33478260869565218</v>
      </c>
      <c r="L114" s="241">
        <v>77</v>
      </c>
      <c r="M114" s="240">
        <f t="shared" si="35"/>
        <v>0.45454545454545453</v>
      </c>
      <c r="N114" s="241">
        <v>35</v>
      </c>
      <c r="O114" s="228">
        <v>20</v>
      </c>
      <c r="P114" s="229">
        <v>9</v>
      </c>
      <c r="Q114" s="228">
        <v>4</v>
      </c>
      <c r="R114" s="229">
        <v>3</v>
      </c>
      <c r="S114" s="287">
        <v>216</v>
      </c>
      <c r="T114" s="288">
        <v>106</v>
      </c>
      <c r="U114" s="287">
        <v>18</v>
      </c>
      <c r="V114" s="289">
        <v>10</v>
      </c>
      <c r="W114" s="260"/>
      <c r="X114" s="222"/>
      <c r="AB114" s="2" t="str">
        <f t="shared" si="47"/>
        <v>Frontière</v>
      </c>
    </row>
    <row r="115" spans="1:28" ht="15" customHeight="1" x14ac:dyDescent="0.3">
      <c r="A115" s="20" t="str">
        <f t="shared" si="51"/>
        <v>X</v>
      </c>
      <c r="B115" s="773"/>
      <c r="C115" s="782"/>
      <c r="D115" s="760"/>
      <c r="E115" s="721" t="s">
        <v>38</v>
      </c>
      <c r="F115" s="410" t="s">
        <v>62</v>
      </c>
      <c r="G115" s="238">
        <v>239</v>
      </c>
      <c r="H115" s="239">
        <v>114</v>
      </c>
      <c r="I115" s="240">
        <f t="shared" si="33"/>
        <v>0.35564853556485354</v>
      </c>
      <c r="J115" s="241">
        <v>85</v>
      </c>
      <c r="K115" s="240">
        <f t="shared" si="34"/>
        <v>0.32217573221757323</v>
      </c>
      <c r="L115" s="241">
        <v>77</v>
      </c>
      <c r="M115" s="240">
        <f t="shared" si="35"/>
        <v>0.38961038961038963</v>
      </c>
      <c r="N115" s="241">
        <v>30</v>
      </c>
      <c r="O115" s="228">
        <v>13</v>
      </c>
      <c r="P115" s="229">
        <v>5</v>
      </c>
      <c r="Q115" s="228">
        <v>36</v>
      </c>
      <c r="R115" s="229">
        <v>17</v>
      </c>
      <c r="S115" s="287">
        <v>228</v>
      </c>
      <c r="T115" s="288">
        <v>105</v>
      </c>
      <c r="U115" s="287">
        <v>47</v>
      </c>
      <c r="V115" s="289">
        <v>26</v>
      </c>
      <c r="W115" s="260"/>
      <c r="X115" s="222"/>
      <c r="AB115" s="2" t="str">
        <f t="shared" si="47"/>
        <v>Frontière</v>
      </c>
    </row>
    <row r="116" spans="1:28" ht="15" customHeight="1" x14ac:dyDescent="0.3">
      <c r="A116" s="20" t="str">
        <f t="shared" si="51"/>
        <v/>
      </c>
      <c r="B116" s="773"/>
      <c r="C116" s="782"/>
      <c r="D116" s="760"/>
      <c r="E116" s="721" t="s">
        <v>158</v>
      </c>
      <c r="F116" s="237" t="s">
        <v>62</v>
      </c>
      <c r="G116" s="238"/>
      <c r="H116" s="239"/>
      <c r="I116" s="240" t="e">
        <f t="shared" si="33"/>
        <v>#DIV/0!</v>
      </c>
      <c r="J116" s="241"/>
      <c r="K116" s="240" t="e">
        <f t="shared" si="34"/>
        <v>#DIV/0!</v>
      </c>
      <c r="L116" s="241"/>
      <c r="M116" s="240" t="e">
        <f t="shared" si="35"/>
        <v>#DIV/0!</v>
      </c>
      <c r="N116" s="241"/>
      <c r="O116" s="228"/>
      <c r="P116" s="229"/>
      <c r="Q116" s="228"/>
      <c r="R116" s="229"/>
      <c r="S116" s="287"/>
      <c r="T116" s="288"/>
      <c r="U116" s="287"/>
      <c r="V116" s="289"/>
      <c r="W116" s="260"/>
      <c r="X116" s="222"/>
      <c r="AB116" s="2" t="str">
        <f t="shared" si="47"/>
        <v/>
      </c>
    </row>
    <row r="117" spans="1:28" ht="15" customHeight="1" x14ac:dyDescent="0.3">
      <c r="A117" s="20" t="str">
        <f t="shared" si="51"/>
        <v>X</v>
      </c>
      <c r="B117" s="773"/>
      <c r="C117" s="782"/>
      <c r="D117" s="760"/>
      <c r="E117" s="721" t="s">
        <v>148</v>
      </c>
      <c r="F117" s="237" t="s">
        <v>62</v>
      </c>
      <c r="G117" s="238">
        <v>40</v>
      </c>
      <c r="H117" s="239">
        <v>20</v>
      </c>
      <c r="I117" s="240">
        <f t="shared" si="33"/>
        <v>0.375</v>
      </c>
      <c r="J117" s="241">
        <v>15</v>
      </c>
      <c r="K117" s="240">
        <f t="shared" si="34"/>
        <v>0.32500000000000001</v>
      </c>
      <c r="L117" s="241">
        <v>13</v>
      </c>
      <c r="M117" s="240">
        <f t="shared" si="35"/>
        <v>0.53846153846153844</v>
      </c>
      <c r="N117" s="241">
        <v>7</v>
      </c>
      <c r="O117" s="228">
        <v>0</v>
      </c>
      <c r="P117" s="229">
        <v>0</v>
      </c>
      <c r="Q117" s="228">
        <v>0</v>
      </c>
      <c r="R117" s="229">
        <v>0</v>
      </c>
      <c r="S117" s="287">
        <v>28</v>
      </c>
      <c r="T117" s="288">
        <v>15</v>
      </c>
      <c r="U117" s="287">
        <v>12</v>
      </c>
      <c r="V117" s="289">
        <v>5</v>
      </c>
      <c r="W117" s="260"/>
      <c r="X117" s="222"/>
      <c r="AB117" s="2" t="str">
        <f t="shared" si="47"/>
        <v>Frontière</v>
      </c>
    </row>
    <row r="118" spans="1:28" ht="15" customHeight="1" x14ac:dyDescent="0.3">
      <c r="A118" s="20" t="str">
        <f t="shared" si="51"/>
        <v>X</v>
      </c>
      <c r="B118" s="773"/>
      <c r="C118" s="782"/>
      <c r="D118" s="760"/>
      <c r="E118" s="721" t="s">
        <v>149</v>
      </c>
      <c r="F118" s="410" t="s">
        <v>62</v>
      </c>
      <c r="G118" s="238">
        <v>24</v>
      </c>
      <c r="H118" s="239">
        <v>18</v>
      </c>
      <c r="I118" s="240">
        <f t="shared" si="33"/>
        <v>0.45833333333333331</v>
      </c>
      <c r="J118" s="241">
        <v>11</v>
      </c>
      <c r="K118" s="240">
        <f t="shared" si="34"/>
        <v>0.33333333333333331</v>
      </c>
      <c r="L118" s="241">
        <v>8</v>
      </c>
      <c r="M118" s="240">
        <f t="shared" si="35"/>
        <v>0.5</v>
      </c>
      <c r="N118" s="241">
        <v>4</v>
      </c>
      <c r="O118" s="228">
        <v>1</v>
      </c>
      <c r="P118" s="229">
        <v>1</v>
      </c>
      <c r="Q118" s="228">
        <v>10</v>
      </c>
      <c r="R118" s="229">
        <v>9</v>
      </c>
      <c r="S118" s="287">
        <v>32</v>
      </c>
      <c r="T118" s="288">
        <v>25</v>
      </c>
      <c r="U118" s="287">
        <v>2</v>
      </c>
      <c r="V118" s="289">
        <v>2</v>
      </c>
      <c r="W118" s="260"/>
      <c r="X118" s="222"/>
      <c r="AB118" s="2" t="str">
        <f t="shared" si="47"/>
        <v>Frontière</v>
      </c>
    </row>
    <row r="119" spans="1:28" ht="15" customHeight="1" x14ac:dyDescent="0.3">
      <c r="A119" s="20" t="str">
        <f t="shared" si="51"/>
        <v/>
      </c>
      <c r="B119" s="773"/>
      <c r="C119" s="782"/>
      <c r="D119" s="760"/>
      <c r="E119" s="727" t="s">
        <v>166</v>
      </c>
      <c r="F119" s="410" t="s">
        <v>62</v>
      </c>
      <c r="G119" s="238"/>
      <c r="H119" s="239"/>
      <c r="I119" s="240" t="e">
        <f t="shared" si="33"/>
        <v>#DIV/0!</v>
      </c>
      <c r="J119" s="241"/>
      <c r="K119" s="240" t="e">
        <f t="shared" si="34"/>
        <v>#DIV/0!</v>
      </c>
      <c r="L119" s="241"/>
      <c r="M119" s="240" t="e">
        <f t="shared" si="35"/>
        <v>#DIV/0!</v>
      </c>
      <c r="N119" s="241"/>
      <c r="O119" s="228"/>
      <c r="P119" s="229"/>
      <c r="Q119" s="228"/>
      <c r="R119" s="229"/>
      <c r="S119" s="287"/>
      <c r="T119" s="288"/>
      <c r="U119" s="287"/>
      <c r="V119" s="289"/>
      <c r="W119" s="260"/>
      <c r="X119" s="222"/>
      <c r="AB119" s="2" t="str">
        <f t="shared" si="47"/>
        <v/>
      </c>
    </row>
    <row r="120" spans="1:28" ht="15" customHeight="1" x14ac:dyDescent="0.3">
      <c r="A120" s="20" t="str">
        <f t="shared" si="51"/>
        <v/>
      </c>
      <c r="B120" s="773"/>
      <c r="C120" s="782"/>
      <c r="D120" s="760"/>
      <c r="E120" s="727" t="s">
        <v>166</v>
      </c>
      <c r="F120" s="410" t="s">
        <v>62</v>
      </c>
      <c r="G120" s="238"/>
      <c r="H120" s="239"/>
      <c r="I120" s="240" t="e">
        <f t="shared" si="33"/>
        <v>#DIV/0!</v>
      </c>
      <c r="J120" s="241"/>
      <c r="K120" s="240" t="e">
        <f t="shared" si="34"/>
        <v>#DIV/0!</v>
      </c>
      <c r="L120" s="241"/>
      <c r="M120" s="240" t="e">
        <f t="shared" si="35"/>
        <v>#DIV/0!</v>
      </c>
      <c r="N120" s="241"/>
      <c r="O120" s="228"/>
      <c r="P120" s="229"/>
      <c r="Q120" s="228"/>
      <c r="R120" s="229"/>
      <c r="S120" s="287"/>
      <c r="T120" s="288"/>
      <c r="U120" s="287"/>
      <c r="V120" s="289"/>
      <c r="W120" s="260"/>
      <c r="X120" s="222"/>
      <c r="AB120" s="2" t="str">
        <f t="shared" si="47"/>
        <v/>
      </c>
    </row>
    <row r="121" spans="1:28" ht="15" customHeight="1" x14ac:dyDescent="0.3">
      <c r="A121" s="20" t="str">
        <f t="shared" si="51"/>
        <v>X</v>
      </c>
      <c r="B121" s="773"/>
      <c r="C121" s="782"/>
      <c r="D121" s="760"/>
      <c r="E121" s="721" t="s">
        <v>152</v>
      </c>
      <c r="F121" s="410" t="s">
        <v>62</v>
      </c>
      <c r="G121" s="238">
        <v>3</v>
      </c>
      <c r="H121" s="239">
        <v>3</v>
      </c>
      <c r="I121" s="240">
        <f t="shared" si="33"/>
        <v>0.66666666666666663</v>
      </c>
      <c r="J121" s="241">
        <v>2</v>
      </c>
      <c r="K121" s="240">
        <f t="shared" si="34"/>
        <v>0.66666666666666663</v>
      </c>
      <c r="L121" s="241">
        <v>2</v>
      </c>
      <c r="M121" s="240">
        <f t="shared" si="35"/>
        <v>0.5</v>
      </c>
      <c r="N121" s="241">
        <v>1</v>
      </c>
      <c r="O121" s="228">
        <v>0</v>
      </c>
      <c r="P121" s="229">
        <v>0</v>
      </c>
      <c r="Q121" s="228">
        <v>0</v>
      </c>
      <c r="R121" s="229">
        <v>0</v>
      </c>
      <c r="S121" s="287">
        <v>3</v>
      </c>
      <c r="T121" s="288">
        <v>3</v>
      </c>
      <c r="U121" s="287">
        <v>0</v>
      </c>
      <c r="V121" s="289">
        <v>0</v>
      </c>
      <c r="W121" s="260"/>
      <c r="X121" s="222"/>
      <c r="AB121" s="2" t="str">
        <f t="shared" si="47"/>
        <v>Frontière</v>
      </c>
    </row>
    <row r="122" spans="1:28" ht="15" customHeight="1" x14ac:dyDescent="0.3">
      <c r="A122" s="20" t="str">
        <f t="shared" si="51"/>
        <v/>
      </c>
      <c r="B122" s="773"/>
      <c r="C122" s="782"/>
      <c r="D122" s="760"/>
      <c r="E122" s="727" t="s">
        <v>166</v>
      </c>
      <c r="F122" s="410"/>
      <c r="G122" s="238"/>
      <c r="H122" s="239"/>
      <c r="I122" s="240"/>
      <c r="J122" s="241"/>
      <c r="K122" s="240"/>
      <c r="L122" s="241"/>
      <c r="M122" s="240"/>
      <c r="N122" s="241"/>
      <c r="O122" s="228"/>
      <c r="P122" s="229"/>
      <c r="Q122" s="228"/>
      <c r="R122" s="229"/>
      <c r="S122" s="287"/>
      <c r="T122" s="288"/>
      <c r="U122" s="287"/>
      <c r="V122" s="289"/>
      <c r="W122" s="261"/>
      <c r="X122" s="249"/>
    </row>
    <row r="123" spans="1:28" ht="15" customHeight="1" x14ac:dyDescent="0.3">
      <c r="A123" s="20" t="str">
        <f t="shared" si="51"/>
        <v/>
      </c>
      <c r="B123" s="773"/>
      <c r="C123" s="782"/>
      <c r="D123" s="760"/>
      <c r="E123" s="727" t="s">
        <v>166</v>
      </c>
      <c r="F123" s="410"/>
      <c r="G123" s="238"/>
      <c r="H123" s="239"/>
      <c r="I123" s="240"/>
      <c r="J123" s="241"/>
      <c r="K123" s="240"/>
      <c r="L123" s="241"/>
      <c r="M123" s="240"/>
      <c r="N123" s="241"/>
      <c r="O123" s="228"/>
      <c r="P123" s="229"/>
      <c r="Q123" s="228"/>
      <c r="R123" s="229"/>
      <c r="S123" s="287"/>
      <c r="T123" s="288"/>
      <c r="U123" s="287"/>
      <c r="V123" s="289"/>
      <c r="W123" s="261"/>
      <c r="X123" s="249"/>
    </row>
    <row r="124" spans="1:28" ht="15" customHeight="1" x14ac:dyDescent="0.3">
      <c r="A124" s="20" t="str">
        <f t="shared" si="51"/>
        <v/>
      </c>
      <c r="B124" s="773"/>
      <c r="C124" s="782"/>
      <c r="D124" s="760"/>
      <c r="E124" s="728" t="s">
        <v>166</v>
      </c>
      <c r="F124" s="449"/>
      <c r="G124" s="243"/>
      <c r="H124" s="244"/>
      <c r="I124" s="245"/>
      <c r="J124" s="246"/>
      <c r="K124" s="245"/>
      <c r="L124" s="246"/>
      <c r="M124" s="245"/>
      <c r="N124" s="246"/>
      <c r="O124" s="230"/>
      <c r="P124" s="231"/>
      <c r="Q124" s="230"/>
      <c r="R124" s="231"/>
      <c r="S124" s="290"/>
      <c r="T124" s="291"/>
      <c r="U124" s="290"/>
      <c r="V124" s="292"/>
      <c r="W124" s="261"/>
      <c r="X124" s="249"/>
    </row>
    <row r="125" spans="1:28" ht="15.6" x14ac:dyDescent="0.3">
      <c r="A125" s="20" t="str">
        <f t="shared" si="51"/>
        <v>S</v>
      </c>
      <c r="B125" s="773"/>
      <c r="C125" s="782"/>
      <c r="D125" s="310" t="s">
        <v>138</v>
      </c>
      <c r="E125" s="718"/>
      <c r="F125" s="250"/>
      <c r="G125" s="7">
        <f>SUM(G110:G124)</f>
        <v>882</v>
      </c>
      <c r="H125" s="8">
        <f>SUM(H110:H124)</f>
        <v>445</v>
      </c>
      <c r="I125" s="9">
        <f>J125/G125</f>
        <v>0.35600907029478457</v>
      </c>
      <c r="J125" s="202">
        <f>SUM(J110:J124)</f>
        <v>314</v>
      </c>
      <c r="K125" s="51">
        <f>L125/G125</f>
        <v>0.29365079365079366</v>
      </c>
      <c r="L125" s="202">
        <f>SUM(L110:L124)</f>
        <v>259</v>
      </c>
      <c r="M125" s="9">
        <f>N125/L125</f>
        <v>0.46332046332046334</v>
      </c>
      <c r="N125" s="202">
        <f t="shared" ref="N125:V125" si="52">SUM(N110:N124)</f>
        <v>120</v>
      </c>
      <c r="O125" s="118">
        <f t="shared" si="52"/>
        <v>45</v>
      </c>
      <c r="P125" s="119">
        <f t="shared" si="52"/>
        <v>22</v>
      </c>
      <c r="Q125" s="118">
        <f t="shared" si="52"/>
        <v>100</v>
      </c>
      <c r="R125" s="119">
        <f t="shared" si="52"/>
        <v>65</v>
      </c>
      <c r="S125" s="118">
        <f t="shared" si="52"/>
        <v>881</v>
      </c>
      <c r="T125" s="119">
        <f t="shared" si="52"/>
        <v>449</v>
      </c>
      <c r="U125" s="118">
        <f t="shared" si="52"/>
        <v>101</v>
      </c>
      <c r="V125" s="120">
        <f t="shared" si="52"/>
        <v>58</v>
      </c>
      <c r="W125" s="261"/>
      <c r="X125" s="249"/>
      <c r="AB125" s="2">
        <f t="shared" si="47"/>
        <v>0</v>
      </c>
    </row>
    <row r="126" spans="1:28" ht="15.75" customHeight="1" x14ac:dyDescent="0.3">
      <c r="A126" s="20" t="str">
        <f t="shared" si="51"/>
        <v>X</v>
      </c>
      <c r="B126" s="788" t="s">
        <v>72</v>
      </c>
      <c r="C126" s="782" t="s">
        <v>76</v>
      </c>
      <c r="D126" s="760">
        <v>5</v>
      </c>
      <c r="E126" s="720" t="s">
        <v>150</v>
      </c>
      <c r="F126" s="442" t="s">
        <v>62</v>
      </c>
      <c r="G126" s="233">
        <v>47</v>
      </c>
      <c r="H126" s="234">
        <v>38</v>
      </c>
      <c r="I126" s="235">
        <f t="shared" si="33"/>
        <v>0.19148936170212766</v>
      </c>
      <c r="J126" s="236">
        <v>9</v>
      </c>
      <c r="K126" s="235">
        <f t="shared" si="34"/>
        <v>0.23404255319148937</v>
      </c>
      <c r="L126" s="236">
        <v>11</v>
      </c>
      <c r="M126" s="235">
        <f t="shared" si="35"/>
        <v>0.54545454545454541</v>
      </c>
      <c r="N126" s="236">
        <v>6</v>
      </c>
      <c r="O126" s="226">
        <v>1</v>
      </c>
      <c r="P126" s="227">
        <v>0</v>
      </c>
      <c r="Q126" s="226">
        <v>1</v>
      </c>
      <c r="R126" s="227">
        <v>1</v>
      </c>
      <c r="S126" s="284">
        <v>45</v>
      </c>
      <c r="T126" s="285">
        <v>38</v>
      </c>
      <c r="U126" s="284">
        <v>3</v>
      </c>
      <c r="V126" s="286">
        <v>1</v>
      </c>
      <c r="W126" s="205"/>
      <c r="AB126" s="2" t="str">
        <f t="shared" si="47"/>
        <v>Frontière</v>
      </c>
    </row>
    <row r="127" spans="1:28" ht="15.75" customHeight="1" x14ac:dyDescent="0.3">
      <c r="A127" s="20" t="str">
        <f t="shared" si="51"/>
        <v>X</v>
      </c>
      <c r="B127" s="788"/>
      <c r="C127" s="782"/>
      <c r="D127" s="760"/>
      <c r="E127" s="721" t="s">
        <v>153</v>
      </c>
      <c r="F127" s="410" t="s">
        <v>62</v>
      </c>
      <c r="G127" s="238">
        <v>23</v>
      </c>
      <c r="H127" s="239">
        <v>7</v>
      </c>
      <c r="I127" s="240">
        <f t="shared" si="33"/>
        <v>0.39130434782608697</v>
      </c>
      <c r="J127" s="241">
        <v>9</v>
      </c>
      <c r="K127" s="240">
        <f t="shared" si="34"/>
        <v>0.39130434782608697</v>
      </c>
      <c r="L127" s="241">
        <v>9</v>
      </c>
      <c r="M127" s="240">
        <f t="shared" si="35"/>
        <v>0.55555555555555558</v>
      </c>
      <c r="N127" s="241">
        <v>5</v>
      </c>
      <c r="O127" s="228">
        <v>0</v>
      </c>
      <c r="P127" s="229">
        <v>0</v>
      </c>
      <c r="Q127" s="228">
        <v>8</v>
      </c>
      <c r="R127" s="229">
        <v>7</v>
      </c>
      <c r="S127" s="287">
        <v>22</v>
      </c>
      <c r="T127" s="288">
        <v>10</v>
      </c>
      <c r="U127" s="287">
        <v>9</v>
      </c>
      <c r="V127" s="289">
        <v>4</v>
      </c>
      <c r="W127" s="205"/>
      <c r="AB127" s="2" t="str">
        <f t="shared" si="47"/>
        <v>Frontière</v>
      </c>
    </row>
    <row r="128" spans="1:28" ht="15.75" customHeight="1" x14ac:dyDescent="0.3">
      <c r="A128" s="20" t="str">
        <f t="shared" si="51"/>
        <v/>
      </c>
      <c r="B128" s="788"/>
      <c r="C128" s="782"/>
      <c r="D128" s="760"/>
      <c r="E128" s="727" t="s">
        <v>166</v>
      </c>
      <c r="F128" s="410" t="s">
        <v>62</v>
      </c>
      <c r="G128" s="238"/>
      <c r="H128" s="239"/>
      <c r="I128" s="240" t="e">
        <f t="shared" si="33"/>
        <v>#DIV/0!</v>
      </c>
      <c r="J128" s="241"/>
      <c r="K128" s="240" t="e">
        <f t="shared" si="34"/>
        <v>#DIV/0!</v>
      </c>
      <c r="L128" s="241"/>
      <c r="M128" s="240" t="e">
        <f t="shared" si="35"/>
        <v>#DIV/0!</v>
      </c>
      <c r="N128" s="241"/>
      <c r="O128" s="228"/>
      <c r="P128" s="229"/>
      <c r="Q128" s="228"/>
      <c r="R128" s="229"/>
      <c r="S128" s="287"/>
      <c r="T128" s="288"/>
      <c r="U128" s="287"/>
      <c r="V128" s="289"/>
      <c r="W128" s="205"/>
      <c r="AB128" s="2" t="str">
        <f t="shared" si="47"/>
        <v/>
      </c>
    </row>
    <row r="129" spans="1:28" ht="15.75" customHeight="1" x14ac:dyDescent="0.3">
      <c r="A129" s="20" t="str">
        <f t="shared" si="51"/>
        <v/>
      </c>
      <c r="B129" s="788"/>
      <c r="C129" s="782"/>
      <c r="D129" s="760"/>
      <c r="E129" s="727" t="s">
        <v>166</v>
      </c>
      <c r="F129" s="410" t="s">
        <v>62</v>
      </c>
      <c r="G129" s="238"/>
      <c r="H129" s="239"/>
      <c r="I129" s="240" t="e">
        <f t="shared" si="33"/>
        <v>#DIV/0!</v>
      </c>
      <c r="J129" s="241"/>
      <c r="K129" s="240" t="e">
        <f t="shared" si="34"/>
        <v>#DIV/0!</v>
      </c>
      <c r="L129" s="241"/>
      <c r="M129" s="240" t="e">
        <f t="shared" si="35"/>
        <v>#DIV/0!</v>
      </c>
      <c r="N129" s="241"/>
      <c r="O129" s="228"/>
      <c r="P129" s="229"/>
      <c r="Q129" s="228"/>
      <c r="R129" s="229"/>
      <c r="S129" s="287"/>
      <c r="T129" s="288"/>
      <c r="U129" s="287"/>
      <c r="V129" s="289"/>
      <c r="W129" s="205"/>
      <c r="AB129" s="2" t="str">
        <f t="shared" si="47"/>
        <v/>
      </c>
    </row>
    <row r="130" spans="1:28" ht="15.75" customHeight="1" x14ac:dyDescent="0.3">
      <c r="A130" s="20" t="str">
        <f t="shared" si="51"/>
        <v>X</v>
      </c>
      <c r="B130" s="788"/>
      <c r="C130" s="782"/>
      <c r="D130" s="760"/>
      <c r="E130" s="721" t="s">
        <v>36</v>
      </c>
      <c r="F130" s="410" t="s">
        <v>62</v>
      </c>
      <c r="G130" s="238">
        <v>13</v>
      </c>
      <c r="H130" s="239">
        <v>11</v>
      </c>
      <c r="I130" s="240">
        <f t="shared" si="33"/>
        <v>0.38461538461538464</v>
      </c>
      <c r="J130" s="241">
        <v>5</v>
      </c>
      <c r="K130" s="240">
        <f t="shared" si="34"/>
        <v>0.23076923076923078</v>
      </c>
      <c r="L130" s="241">
        <v>3</v>
      </c>
      <c r="M130" s="240">
        <f t="shared" si="35"/>
        <v>0.66666666666666663</v>
      </c>
      <c r="N130" s="241">
        <v>2</v>
      </c>
      <c r="O130" s="228">
        <v>0</v>
      </c>
      <c r="P130" s="229">
        <v>0</v>
      </c>
      <c r="Q130" s="228">
        <v>2</v>
      </c>
      <c r="R130" s="229">
        <v>1</v>
      </c>
      <c r="S130" s="287">
        <v>11</v>
      </c>
      <c r="T130" s="288">
        <v>8</v>
      </c>
      <c r="U130" s="287">
        <v>4</v>
      </c>
      <c r="V130" s="289">
        <v>4</v>
      </c>
      <c r="W130" s="205"/>
      <c r="AB130" s="2" t="str">
        <f t="shared" si="47"/>
        <v>Frontière</v>
      </c>
    </row>
    <row r="131" spans="1:28" ht="15.75" customHeight="1" x14ac:dyDescent="0.3">
      <c r="A131" s="20" t="str">
        <f t="shared" si="51"/>
        <v/>
      </c>
      <c r="B131" s="788"/>
      <c r="C131" s="782"/>
      <c r="D131" s="760"/>
      <c r="E131" s="727" t="s">
        <v>166</v>
      </c>
      <c r="F131" s="410"/>
      <c r="G131" s="238"/>
      <c r="H131" s="239"/>
      <c r="I131" s="240"/>
      <c r="J131" s="241"/>
      <c r="K131" s="240"/>
      <c r="L131" s="241"/>
      <c r="M131" s="240"/>
      <c r="N131" s="241"/>
      <c r="O131" s="228"/>
      <c r="P131" s="229"/>
      <c r="Q131" s="228"/>
      <c r="R131" s="229"/>
      <c r="S131" s="287"/>
      <c r="T131" s="288"/>
      <c r="U131" s="287"/>
      <c r="V131" s="289"/>
      <c r="W131" s="205"/>
    </row>
    <row r="132" spans="1:28" ht="15.75" customHeight="1" x14ac:dyDescent="0.3">
      <c r="A132" s="20" t="str">
        <f t="shared" si="51"/>
        <v/>
      </c>
      <c r="B132" s="788"/>
      <c r="C132" s="782"/>
      <c r="D132" s="760"/>
      <c r="E132" s="727" t="s">
        <v>166</v>
      </c>
      <c r="F132" s="410"/>
      <c r="G132" s="238"/>
      <c r="H132" s="239"/>
      <c r="I132" s="240"/>
      <c r="J132" s="241"/>
      <c r="K132" s="240"/>
      <c r="L132" s="241"/>
      <c r="M132" s="240"/>
      <c r="N132" s="241"/>
      <c r="O132" s="228"/>
      <c r="P132" s="229"/>
      <c r="Q132" s="228"/>
      <c r="R132" s="229"/>
      <c r="S132" s="287"/>
      <c r="T132" s="288"/>
      <c r="U132" s="287"/>
      <c r="V132" s="289"/>
      <c r="W132" s="205"/>
    </row>
    <row r="133" spans="1:28" ht="15.75" customHeight="1" x14ac:dyDescent="0.3">
      <c r="A133" s="20" t="str">
        <f t="shared" si="51"/>
        <v/>
      </c>
      <c r="B133" s="788"/>
      <c r="C133" s="782"/>
      <c r="D133" s="760"/>
      <c r="E133" s="728" t="s">
        <v>166</v>
      </c>
      <c r="F133" s="449"/>
      <c r="G133" s="243"/>
      <c r="H133" s="244"/>
      <c r="I133" s="245"/>
      <c r="J133" s="246"/>
      <c r="K133" s="245"/>
      <c r="L133" s="246"/>
      <c r="M133" s="245"/>
      <c r="N133" s="246"/>
      <c r="O133" s="230"/>
      <c r="P133" s="231"/>
      <c r="Q133" s="230"/>
      <c r="R133" s="231"/>
      <c r="S133" s="290"/>
      <c r="T133" s="291"/>
      <c r="U133" s="290"/>
      <c r="V133" s="292"/>
      <c r="W133" s="205"/>
    </row>
    <row r="134" spans="1:28" ht="15.75" customHeight="1" x14ac:dyDescent="0.3">
      <c r="A134" s="20" t="str">
        <f t="shared" si="51"/>
        <v>S</v>
      </c>
      <c r="B134" s="788"/>
      <c r="C134" s="782"/>
      <c r="D134" s="310" t="s">
        <v>138</v>
      </c>
      <c r="E134" s="718"/>
      <c r="F134" s="250"/>
      <c r="G134" s="7">
        <f>SUM(G126:G133)</f>
        <v>83</v>
      </c>
      <c r="H134" s="8">
        <f>SUM(H126:H133)</f>
        <v>56</v>
      </c>
      <c r="I134" s="9">
        <f>J134/G134</f>
        <v>0.27710843373493976</v>
      </c>
      <c r="J134" s="202">
        <f>SUM(J126:J133)</f>
        <v>23</v>
      </c>
      <c r="K134" s="51">
        <f>L134/G134</f>
        <v>0.27710843373493976</v>
      </c>
      <c r="L134" s="202">
        <f>SUM(L126:L133)</f>
        <v>23</v>
      </c>
      <c r="M134" s="9">
        <f>N134/L134</f>
        <v>0.56521739130434778</v>
      </c>
      <c r="N134" s="202">
        <f t="shared" ref="N134:V134" si="53">SUM(N126:N133)</f>
        <v>13</v>
      </c>
      <c r="O134" s="118">
        <f t="shared" si="53"/>
        <v>1</v>
      </c>
      <c r="P134" s="119">
        <f t="shared" si="53"/>
        <v>0</v>
      </c>
      <c r="Q134" s="118">
        <f t="shared" si="53"/>
        <v>11</v>
      </c>
      <c r="R134" s="119">
        <f t="shared" si="53"/>
        <v>9</v>
      </c>
      <c r="S134" s="118">
        <f t="shared" si="53"/>
        <v>78</v>
      </c>
      <c r="T134" s="119">
        <f t="shared" si="53"/>
        <v>56</v>
      </c>
      <c r="U134" s="118">
        <f t="shared" si="53"/>
        <v>16</v>
      </c>
      <c r="V134" s="120">
        <f t="shared" si="53"/>
        <v>9</v>
      </c>
      <c r="W134" s="205"/>
      <c r="AB134" s="2">
        <f t="shared" si="47"/>
        <v>0</v>
      </c>
    </row>
    <row r="135" spans="1:28" ht="15.75" customHeight="1" x14ac:dyDescent="0.3">
      <c r="A135" s="20" t="str">
        <f t="shared" si="51"/>
        <v/>
      </c>
      <c r="B135" s="746" t="s">
        <v>3</v>
      </c>
      <c r="C135" s="749" t="s">
        <v>76</v>
      </c>
      <c r="D135" s="754">
        <v>11</v>
      </c>
      <c r="E135" s="719" t="s">
        <v>48</v>
      </c>
      <c r="F135" s="232" t="s">
        <v>61</v>
      </c>
      <c r="G135" s="233"/>
      <c r="H135" s="234"/>
      <c r="I135" s="235"/>
      <c r="J135" s="236"/>
      <c r="K135" s="235"/>
      <c r="L135" s="236"/>
      <c r="M135" s="235"/>
      <c r="N135" s="236"/>
      <c r="O135" s="226" t="s">
        <v>21</v>
      </c>
      <c r="P135" s="227" t="s">
        <v>21</v>
      </c>
      <c r="Q135" s="226" t="s">
        <v>21</v>
      </c>
      <c r="R135" s="227" t="s">
        <v>21</v>
      </c>
      <c r="S135" s="664"/>
      <c r="T135" s="665"/>
      <c r="U135" s="664"/>
      <c r="V135" s="666"/>
      <c r="W135" s="205"/>
      <c r="AB135" s="2" t="str">
        <f t="shared" si="47"/>
        <v/>
      </c>
    </row>
    <row r="136" spans="1:28" ht="15.75" customHeight="1" x14ac:dyDescent="0.3">
      <c r="A136" s="20" t="str">
        <f t="shared" si="51"/>
        <v/>
      </c>
      <c r="B136" s="747"/>
      <c r="C136" s="750"/>
      <c r="D136" s="755"/>
      <c r="E136" s="577" t="s">
        <v>49</v>
      </c>
      <c r="F136" s="237" t="s">
        <v>61</v>
      </c>
      <c r="G136" s="238"/>
      <c r="H136" s="239"/>
      <c r="I136" s="240"/>
      <c r="J136" s="241"/>
      <c r="K136" s="240"/>
      <c r="L136" s="241"/>
      <c r="M136" s="240"/>
      <c r="N136" s="241"/>
      <c r="O136" s="228" t="s">
        <v>21</v>
      </c>
      <c r="P136" s="229" t="s">
        <v>21</v>
      </c>
      <c r="Q136" s="228" t="s">
        <v>21</v>
      </c>
      <c r="R136" s="229" t="s">
        <v>21</v>
      </c>
      <c r="S136" s="667"/>
      <c r="T136" s="668"/>
      <c r="U136" s="667"/>
      <c r="V136" s="669"/>
      <c r="W136" s="205"/>
      <c r="AB136" s="2" t="str">
        <f t="shared" si="47"/>
        <v/>
      </c>
    </row>
    <row r="137" spans="1:28" ht="15.75" customHeight="1" x14ac:dyDescent="0.3">
      <c r="A137" s="20" t="str">
        <f t="shared" si="51"/>
        <v/>
      </c>
      <c r="B137" s="747"/>
      <c r="C137" s="750"/>
      <c r="D137" s="755"/>
      <c r="E137" s="577" t="s">
        <v>81</v>
      </c>
      <c r="F137" s="237" t="s">
        <v>61</v>
      </c>
      <c r="G137" s="238"/>
      <c r="H137" s="239"/>
      <c r="I137" s="240"/>
      <c r="J137" s="241"/>
      <c r="K137" s="240"/>
      <c r="L137" s="241"/>
      <c r="M137" s="240"/>
      <c r="N137" s="241"/>
      <c r="O137" s="228" t="s">
        <v>21</v>
      </c>
      <c r="P137" s="229" t="s">
        <v>21</v>
      </c>
      <c r="Q137" s="228" t="s">
        <v>21</v>
      </c>
      <c r="R137" s="229" t="s">
        <v>21</v>
      </c>
      <c r="S137" s="667"/>
      <c r="T137" s="668"/>
      <c r="U137" s="667"/>
      <c r="V137" s="669"/>
      <c r="W137" s="205"/>
      <c r="AB137" s="2" t="str">
        <f t="shared" si="47"/>
        <v/>
      </c>
    </row>
    <row r="138" spans="1:28" ht="15.75" customHeight="1" x14ac:dyDescent="0.3">
      <c r="A138" s="20" t="str">
        <f t="shared" si="51"/>
        <v/>
      </c>
      <c r="B138" s="747"/>
      <c r="C138" s="750"/>
      <c r="D138" s="755"/>
      <c r="E138" s="577" t="s">
        <v>73</v>
      </c>
      <c r="F138" s="237" t="s">
        <v>61</v>
      </c>
      <c r="G138" s="238"/>
      <c r="H138" s="239"/>
      <c r="I138" s="240"/>
      <c r="J138" s="241"/>
      <c r="K138" s="240"/>
      <c r="L138" s="241"/>
      <c r="M138" s="240"/>
      <c r="N138" s="241"/>
      <c r="O138" s="228" t="s">
        <v>21</v>
      </c>
      <c r="P138" s="229" t="s">
        <v>21</v>
      </c>
      <c r="Q138" s="228" t="s">
        <v>21</v>
      </c>
      <c r="R138" s="229" t="s">
        <v>21</v>
      </c>
      <c r="S138" s="667"/>
      <c r="T138" s="668"/>
      <c r="U138" s="667"/>
      <c r="V138" s="669"/>
      <c r="W138" s="205"/>
      <c r="AB138" s="2" t="str">
        <f t="shared" si="47"/>
        <v/>
      </c>
    </row>
    <row r="139" spans="1:28" ht="15.75" customHeight="1" x14ac:dyDescent="0.3">
      <c r="A139" s="20" t="str">
        <f t="shared" si="51"/>
        <v/>
      </c>
      <c r="B139" s="747"/>
      <c r="C139" s="750"/>
      <c r="D139" s="755"/>
      <c r="E139" s="577" t="s">
        <v>50</v>
      </c>
      <c r="F139" s="237" t="s">
        <v>61</v>
      </c>
      <c r="G139" s="238"/>
      <c r="H139" s="239"/>
      <c r="I139" s="240"/>
      <c r="J139" s="241"/>
      <c r="K139" s="240"/>
      <c r="L139" s="241"/>
      <c r="M139" s="240"/>
      <c r="N139" s="241"/>
      <c r="O139" s="228" t="s">
        <v>21</v>
      </c>
      <c r="P139" s="229" t="s">
        <v>21</v>
      </c>
      <c r="Q139" s="228" t="s">
        <v>21</v>
      </c>
      <c r="R139" s="229" t="s">
        <v>21</v>
      </c>
      <c r="S139" s="667"/>
      <c r="T139" s="668"/>
      <c r="U139" s="667"/>
      <c r="V139" s="669"/>
      <c r="W139" s="205"/>
      <c r="AB139" s="2" t="str">
        <f t="shared" si="47"/>
        <v/>
      </c>
    </row>
    <row r="140" spans="1:28" ht="15.75" customHeight="1" x14ac:dyDescent="0.3">
      <c r="A140" s="20" t="str">
        <f t="shared" si="51"/>
        <v>X</v>
      </c>
      <c r="B140" s="747"/>
      <c r="C140" s="750"/>
      <c r="D140" s="755"/>
      <c r="E140" s="577" t="s">
        <v>144</v>
      </c>
      <c r="F140" s="237" t="s">
        <v>61</v>
      </c>
      <c r="G140" s="238">
        <v>159</v>
      </c>
      <c r="H140" s="239">
        <v>159</v>
      </c>
      <c r="I140" s="240">
        <f t="shared" si="33"/>
        <v>0.34591194968553457</v>
      </c>
      <c r="J140" s="241">
        <v>55</v>
      </c>
      <c r="K140" s="240">
        <f t="shared" si="34"/>
        <v>0.41509433962264153</v>
      </c>
      <c r="L140" s="241">
        <v>66</v>
      </c>
      <c r="M140" s="240">
        <f t="shared" si="35"/>
        <v>0.46969696969696972</v>
      </c>
      <c r="N140" s="241">
        <v>31</v>
      </c>
      <c r="O140" s="228" t="s">
        <v>21</v>
      </c>
      <c r="P140" s="229" t="s">
        <v>21</v>
      </c>
      <c r="Q140" s="228" t="s">
        <v>21</v>
      </c>
      <c r="R140" s="229" t="s">
        <v>21</v>
      </c>
      <c r="S140" s="667"/>
      <c r="T140" s="668"/>
      <c r="U140" s="667"/>
      <c r="V140" s="669"/>
      <c r="W140" s="205"/>
      <c r="AB140" s="2" t="str">
        <f t="shared" si="47"/>
        <v>Suisse</v>
      </c>
    </row>
    <row r="141" spans="1:28" ht="15.75" customHeight="1" x14ac:dyDescent="0.3">
      <c r="A141" s="20" t="str">
        <f t="shared" si="51"/>
        <v>X</v>
      </c>
      <c r="B141" s="747"/>
      <c r="C141" s="750"/>
      <c r="D141" s="755"/>
      <c r="E141" s="577" t="s">
        <v>143</v>
      </c>
      <c r="F141" s="237" t="s">
        <v>61</v>
      </c>
      <c r="G141" s="238">
        <v>165</v>
      </c>
      <c r="H141" s="239">
        <v>165</v>
      </c>
      <c r="I141" s="240">
        <f t="shared" si="33"/>
        <v>0</v>
      </c>
      <c r="J141" s="241"/>
      <c r="K141" s="240">
        <f t="shared" si="34"/>
        <v>0</v>
      </c>
      <c r="L141" s="241"/>
      <c r="M141" s="240" t="e">
        <f t="shared" si="35"/>
        <v>#DIV/0!</v>
      </c>
      <c r="N141" s="241"/>
      <c r="O141" s="228" t="s">
        <v>21</v>
      </c>
      <c r="P141" s="229" t="s">
        <v>21</v>
      </c>
      <c r="Q141" s="228" t="s">
        <v>21</v>
      </c>
      <c r="R141" s="229" t="s">
        <v>21</v>
      </c>
      <c r="S141" s="667"/>
      <c r="T141" s="668"/>
      <c r="U141" s="667"/>
      <c r="V141" s="669"/>
      <c r="W141" s="205"/>
      <c r="AB141" s="2" t="str">
        <f t="shared" si="47"/>
        <v>Suisse</v>
      </c>
    </row>
    <row r="142" spans="1:28" ht="15.75" customHeight="1" x14ac:dyDescent="0.3">
      <c r="A142" s="20" t="str">
        <f t="shared" si="51"/>
        <v/>
      </c>
      <c r="B142" s="747"/>
      <c r="C142" s="750"/>
      <c r="D142" s="755"/>
      <c r="E142" s="577" t="s">
        <v>176</v>
      </c>
      <c r="F142" s="237" t="s">
        <v>61</v>
      </c>
      <c r="G142" s="238"/>
      <c r="H142" s="239"/>
      <c r="I142" s="240"/>
      <c r="J142" s="241"/>
      <c r="K142" s="240"/>
      <c r="L142" s="241"/>
      <c r="M142" s="240"/>
      <c r="N142" s="241"/>
      <c r="O142" s="228"/>
      <c r="P142" s="229"/>
      <c r="Q142" s="228"/>
      <c r="R142" s="229"/>
      <c r="S142" s="667"/>
      <c r="T142" s="668"/>
      <c r="U142" s="667"/>
      <c r="V142" s="669"/>
      <c r="W142" s="205"/>
      <c r="AB142" s="2" t="str">
        <f t="shared" si="47"/>
        <v/>
      </c>
    </row>
    <row r="143" spans="1:28" ht="15.75" customHeight="1" x14ac:dyDescent="0.3">
      <c r="A143" s="20" t="str">
        <f t="shared" si="51"/>
        <v/>
      </c>
      <c r="B143" s="747"/>
      <c r="C143" s="750"/>
      <c r="D143" s="755"/>
      <c r="E143" s="577" t="s">
        <v>177</v>
      </c>
      <c r="F143" s="237" t="s">
        <v>61</v>
      </c>
      <c r="G143" s="238"/>
      <c r="H143" s="239"/>
      <c r="I143" s="240"/>
      <c r="J143" s="241"/>
      <c r="K143" s="240"/>
      <c r="L143" s="241"/>
      <c r="M143" s="240"/>
      <c r="N143" s="241"/>
      <c r="O143" s="228"/>
      <c r="P143" s="229"/>
      <c r="Q143" s="228"/>
      <c r="R143" s="229"/>
      <c r="S143" s="667"/>
      <c r="T143" s="668"/>
      <c r="U143" s="667"/>
      <c r="V143" s="669"/>
      <c r="W143" s="205"/>
      <c r="AB143" s="2" t="str">
        <f t="shared" si="47"/>
        <v/>
      </c>
    </row>
    <row r="144" spans="1:28" ht="15.75" customHeight="1" x14ac:dyDescent="0.3">
      <c r="A144" s="20" t="str">
        <f t="shared" si="51"/>
        <v/>
      </c>
      <c r="B144" s="747"/>
      <c r="C144" s="750"/>
      <c r="D144" s="755"/>
      <c r="E144" s="577" t="s">
        <v>178</v>
      </c>
      <c r="F144" s="237" t="s">
        <v>61</v>
      </c>
      <c r="G144" s="238"/>
      <c r="H144" s="239"/>
      <c r="I144" s="240"/>
      <c r="J144" s="241"/>
      <c r="K144" s="240"/>
      <c r="L144" s="241"/>
      <c r="M144" s="240"/>
      <c r="N144" s="241"/>
      <c r="O144" s="228"/>
      <c r="P144" s="229"/>
      <c r="Q144" s="228"/>
      <c r="R144" s="229"/>
      <c r="S144" s="667"/>
      <c r="T144" s="668"/>
      <c r="U144" s="667"/>
      <c r="V144" s="669"/>
      <c r="W144" s="205"/>
      <c r="AB144" s="2" t="str">
        <f t="shared" si="47"/>
        <v/>
      </c>
    </row>
    <row r="145" spans="1:28" ht="15.75" customHeight="1" x14ac:dyDescent="0.3">
      <c r="A145" s="20" t="str">
        <f t="shared" si="51"/>
        <v/>
      </c>
      <c r="B145" s="747"/>
      <c r="C145" s="750"/>
      <c r="D145" s="755"/>
      <c r="E145" s="577" t="s">
        <v>179</v>
      </c>
      <c r="F145" s="237" t="s">
        <v>61</v>
      </c>
      <c r="G145" s="238"/>
      <c r="H145" s="239"/>
      <c r="I145" s="240"/>
      <c r="J145" s="241"/>
      <c r="K145" s="240"/>
      <c r="L145" s="241"/>
      <c r="M145" s="240"/>
      <c r="N145" s="241"/>
      <c r="O145" s="228"/>
      <c r="P145" s="229"/>
      <c r="Q145" s="228"/>
      <c r="R145" s="229"/>
      <c r="S145" s="667"/>
      <c r="T145" s="668"/>
      <c r="U145" s="667"/>
      <c r="V145" s="669"/>
      <c r="W145" s="205"/>
      <c r="AB145" s="2" t="str">
        <f t="shared" si="47"/>
        <v/>
      </c>
    </row>
    <row r="146" spans="1:28" ht="15.75" customHeight="1" x14ac:dyDescent="0.3">
      <c r="A146" s="20" t="str">
        <f t="shared" si="51"/>
        <v/>
      </c>
      <c r="B146" s="747"/>
      <c r="C146" s="750"/>
      <c r="D146" s="755"/>
      <c r="E146" s="577" t="s">
        <v>180</v>
      </c>
      <c r="F146" s="237" t="s">
        <v>61</v>
      </c>
      <c r="G146" s="238"/>
      <c r="H146" s="239"/>
      <c r="I146" s="240"/>
      <c r="J146" s="241"/>
      <c r="K146" s="240"/>
      <c r="L146" s="241"/>
      <c r="M146" s="240"/>
      <c r="N146" s="241"/>
      <c r="O146" s="228"/>
      <c r="P146" s="229"/>
      <c r="Q146" s="228"/>
      <c r="R146" s="229"/>
      <c r="S146" s="667"/>
      <c r="T146" s="668"/>
      <c r="U146" s="667"/>
      <c r="V146" s="669"/>
      <c r="W146" s="205"/>
      <c r="AB146" s="2" t="str">
        <f t="shared" si="47"/>
        <v/>
      </c>
    </row>
    <row r="147" spans="1:28" ht="15.75" customHeight="1" x14ac:dyDescent="0.3">
      <c r="A147" s="20" t="str">
        <f t="shared" si="51"/>
        <v/>
      </c>
      <c r="B147" s="747"/>
      <c r="C147" s="750"/>
      <c r="D147" s="755"/>
      <c r="E147" s="577" t="s">
        <v>181</v>
      </c>
      <c r="F147" s="237" t="s">
        <v>61</v>
      </c>
      <c r="G147" s="238"/>
      <c r="H147" s="239"/>
      <c r="I147" s="240"/>
      <c r="J147" s="241"/>
      <c r="K147" s="240"/>
      <c r="L147" s="241"/>
      <c r="M147" s="240"/>
      <c r="N147" s="241"/>
      <c r="O147" s="228"/>
      <c r="P147" s="229"/>
      <c r="Q147" s="228"/>
      <c r="R147" s="229"/>
      <c r="S147" s="667"/>
      <c r="T147" s="668"/>
      <c r="U147" s="667"/>
      <c r="V147" s="669"/>
      <c r="W147" s="205"/>
      <c r="AB147" s="2" t="str">
        <f t="shared" si="47"/>
        <v/>
      </c>
    </row>
    <row r="148" spans="1:28" ht="15.75" customHeight="1" x14ac:dyDescent="0.3">
      <c r="A148" s="20" t="str">
        <f t="shared" si="51"/>
        <v>X</v>
      </c>
      <c r="B148" s="747"/>
      <c r="C148" s="750"/>
      <c r="D148" s="755"/>
      <c r="E148" s="577" t="s">
        <v>80</v>
      </c>
      <c r="F148" s="237" t="s">
        <v>61</v>
      </c>
      <c r="G148" s="238">
        <v>773</v>
      </c>
      <c r="H148" s="239">
        <f>G148</f>
        <v>773</v>
      </c>
      <c r="I148" s="240">
        <f t="shared" si="33"/>
        <v>0.39327296248382926</v>
      </c>
      <c r="J148" s="241">
        <v>304</v>
      </c>
      <c r="K148" s="240">
        <f t="shared" si="34"/>
        <v>0.43078913324708928</v>
      </c>
      <c r="L148" s="241">
        <v>333</v>
      </c>
      <c r="M148" s="240">
        <f t="shared" si="35"/>
        <v>0.57657657657657657</v>
      </c>
      <c r="N148" s="241">
        <v>192</v>
      </c>
      <c r="O148" s="228" t="s">
        <v>21</v>
      </c>
      <c r="P148" s="229" t="s">
        <v>21</v>
      </c>
      <c r="Q148" s="228" t="s">
        <v>21</v>
      </c>
      <c r="R148" s="229" t="s">
        <v>21</v>
      </c>
      <c r="S148" s="667"/>
      <c r="T148" s="668"/>
      <c r="U148" s="667"/>
      <c r="V148" s="669"/>
      <c r="W148" s="205"/>
      <c r="AB148" s="2" t="str">
        <f t="shared" si="47"/>
        <v>Suisse</v>
      </c>
    </row>
    <row r="149" spans="1:28" ht="15.75" customHeight="1" x14ac:dyDescent="0.3">
      <c r="A149" s="20" t="str">
        <f t="shared" si="51"/>
        <v>X</v>
      </c>
      <c r="B149" s="747"/>
      <c r="C149" s="750"/>
      <c r="D149" s="755"/>
      <c r="E149" s="577" t="s">
        <v>51</v>
      </c>
      <c r="F149" s="237" t="s">
        <v>61</v>
      </c>
      <c r="G149" s="238">
        <v>629</v>
      </c>
      <c r="H149" s="239">
        <f t="shared" ref="H149" si="54">G149</f>
        <v>629</v>
      </c>
      <c r="I149" s="240">
        <f t="shared" si="33"/>
        <v>0.47058823529411764</v>
      </c>
      <c r="J149" s="241">
        <v>296</v>
      </c>
      <c r="K149" s="240">
        <f t="shared" si="34"/>
        <v>0.49443561208267089</v>
      </c>
      <c r="L149" s="241">
        <v>311</v>
      </c>
      <c r="M149" s="240">
        <f t="shared" si="35"/>
        <v>0.58520900321543412</v>
      </c>
      <c r="N149" s="241">
        <v>182</v>
      </c>
      <c r="O149" s="228" t="s">
        <v>21</v>
      </c>
      <c r="P149" s="229" t="s">
        <v>21</v>
      </c>
      <c r="Q149" s="228" t="s">
        <v>21</v>
      </c>
      <c r="R149" s="229" t="s">
        <v>21</v>
      </c>
      <c r="S149" s="667"/>
      <c r="T149" s="668"/>
      <c r="U149" s="667"/>
      <c r="V149" s="669"/>
      <c r="W149" s="205"/>
      <c r="AB149" s="2" t="str">
        <f t="shared" si="47"/>
        <v>Suisse</v>
      </c>
    </row>
    <row r="150" spans="1:28" ht="15" customHeight="1" x14ac:dyDescent="0.3">
      <c r="A150" s="20" t="str">
        <f>IF(D150="Sous-total","S",IF(G150="","","X"))</f>
        <v>X</v>
      </c>
      <c r="B150" s="747"/>
      <c r="C150" s="750"/>
      <c r="D150" s="755"/>
      <c r="E150" s="577" t="s">
        <v>31</v>
      </c>
      <c r="F150" s="237" t="s">
        <v>62</v>
      </c>
      <c r="G150" s="238">
        <v>44</v>
      </c>
      <c r="H150" s="239">
        <v>44</v>
      </c>
      <c r="I150" s="240">
        <f>J150/G150</f>
        <v>0.63636363636363635</v>
      </c>
      <c r="J150" s="241">
        <v>28</v>
      </c>
      <c r="K150" s="240">
        <f>L150/G150</f>
        <v>0.36363636363636365</v>
      </c>
      <c r="L150" s="241">
        <v>16</v>
      </c>
      <c r="M150" s="240">
        <f>IF(N150="-","-",N150/L150)</f>
        <v>0.9375</v>
      </c>
      <c r="N150" s="241">
        <v>15</v>
      </c>
      <c r="O150" s="228" t="s">
        <v>21</v>
      </c>
      <c r="P150" s="229" t="s">
        <v>21</v>
      </c>
      <c r="Q150" s="228" t="s">
        <v>21</v>
      </c>
      <c r="R150" s="229" t="s">
        <v>21</v>
      </c>
      <c r="S150" s="287">
        <v>40</v>
      </c>
      <c r="T150" s="288">
        <v>40</v>
      </c>
      <c r="U150" s="287">
        <v>4</v>
      </c>
      <c r="V150" s="289">
        <v>4</v>
      </c>
      <c r="W150" s="205"/>
      <c r="X150" s="1" t="s">
        <v>199</v>
      </c>
      <c r="AB150" s="2" t="str">
        <f>IF(G150&gt;0,$F150,"")</f>
        <v>Frontière</v>
      </c>
    </row>
    <row r="151" spans="1:28" ht="15.75" customHeight="1" x14ac:dyDescent="0.3">
      <c r="A151" s="20" t="str">
        <f t="shared" si="51"/>
        <v/>
      </c>
      <c r="B151" s="747"/>
      <c r="C151" s="750"/>
      <c r="D151" s="755"/>
      <c r="E151" s="727" t="s">
        <v>166</v>
      </c>
      <c r="F151" s="237" t="s">
        <v>203</v>
      </c>
      <c r="G151" s="238"/>
      <c r="H151" s="239"/>
      <c r="I151" s="240" t="e">
        <f t="shared" si="33"/>
        <v>#DIV/0!</v>
      </c>
      <c r="J151" s="241"/>
      <c r="K151" s="240" t="e">
        <f t="shared" si="34"/>
        <v>#DIV/0!</v>
      </c>
      <c r="L151" s="241"/>
      <c r="M151" s="240" t="e">
        <f t="shared" si="35"/>
        <v>#DIV/0!</v>
      </c>
      <c r="N151" s="241"/>
      <c r="O151" s="228"/>
      <c r="P151" s="229"/>
      <c r="Q151" s="228"/>
      <c r="R151" s="229"/>
      <c r="S151" s="667"/>
      <c r="T151" s="668"/>
      <c r="U151" s="667"/>
      <c r="V151" s="669"/>
      <c r="W151" s="205"/>
      <c r="AB151" s="2" t="str">
        <f t="shared" si="47"/>
        <v/>
      </c>
    </row>
    <row r="152" spans="1:28" ht="15.75" customHeight="1" x14ac:dyDescent="0.3">
      <c r="A152" s="20" t="str">
        <f t="shared" si="51"/>
        <v/>
      </c>
      <c r="B152" s="747"/>
      <c r="C152" s="750"/>
      <c r="D152" s="755"/>
      <c r="E152" s="727" t="s">
        <v>166</v>
      </c>
      <c r="F152" s="237" t="s">
        <v>203</v>
      </c>
      <c r="G152" s="238"/>
      <c r="H152" s="239"/>
      <c r="I152" s="240" t="e">
        <f t="shared" si="33"/>
        <v>#DIV/0!</v>
      </c>
      <c r="J152" s="241"/>
      <c r="K152" s="240" t="e">
        <f t="shared" si="34"/>
        <v>#DIV/0!</v>
      </c>
      <c r="L152" s="241"/>
      <c r="M152" s="240" t="e">
        <f t="shared" si="35"/>
        <v>#DIV/0!</v>
      </c>
      <c r="N152" s="241"/>
      <c r="O152" s="228"/>
      <c r="P152" s="229"/>
      <c r="Q152" s="228"/>
      <c r="R152" s="229"/>
      <c r="S152" s="667"/>
      <c r="T152" s="668"/>
      <c r="U152" s="667"/>
      <c r="V152" s="669"/>
      <c r="W152" s="205"/>
      <c r="AB152" s="2" t="str">
        <f t="shared" si="47"/>
        <v/>
      </c>
    </row>
    <row r="153" spans="1:28" ht="15.75" customHeight="1" x14ac:dyDescent="0.3">
      <c r="A153" s="20" t="str">
        <f t="shared" si="51"/>
        <v/>
      </c>
      <c r="B153" s="747"/>
      <c r="C153" s="750"/>
      <c r="D153" s="755"/>
      <c r="E153" s="577" t="s">
        <v>52</v>
      </c>
      <c r="F153" s="237" t="s">
        <v>61</v>
      </c>
      <c r="G153" s="238"/>
      <c r="H153" s="239"/>
      <c r="I153" s="240"/>
      <c r="J153" s="241"/>
      <c r="K153" s="240"/>
      <c r="L153" s="241"/>
      <c r="M153" s="240"/>
      <c r="N153" s="241"/>
      <c r="O153" s="228" t="s">
        <v>21</v>
      </c>
      <c r="P153" s="229" t="s">
        <v>21</v>
      </c>
      <c r="Q153" s="228" t="s">
        <v>21</v>
      </c>
      <c r="R153" s="229" t="s">
        <v>21</v>
      </c>
      <c r="S153" s="667"/>
      <c r="T153" s="668"/>
      <c r="U153" s="667"/>
      <c r="V153" s="669"/>
      <c r="W153" s="205"/>
      <c r="AB153" s="2" t="str">
        <f t="shared" si="47"/>
        <v/>
      </c>
    </row>
    <row r="154" spans="1:28" ht="15.75" customHeight="1" x14ac:dyDescent="0.3">
      <c r="A154" s="20" t="str">
        <f t="shared" si="51"/>
        <v/>
      </c>
      <c r="B154" s="747"/>
      <c r="C154" s="750"/>
      <c r="D154" s="755"/>
      <c r="E154" s="727" t="s">
        <v>166</v>
      </c>
      <c r="F154" s="237"/>
      <c r="G154" s="238"/>
      <c r="H154" s="239"/>
      <c r="I154" s="240"/>
      <c r="J154" s="241"/>
      <c r="K154" s="240"/>
      <c r="L154" s="241"/>
      <c r="M154" s="240"/>
      <c r="N154" s="241"/>
      <c r="O154" s="228"/>
      <c r="P154" s="229"/>
      <c r="Q154" s="228"/>
      <c r="R154" s="229"/>
      <c r="S154" s="667"/>
      <c r="T154" s="668"/>
      <c r="U154" s="667"/>
      <c r="V154" s="669"/>
      <c r="W154" s="205"/>
    </row>
    <row r="155" spans="1:28" ht="15.75" customHeight="1" x14ac:dyDescent="0.3">
      <c r="A155" s="20" t="str">
        <f t="shared" si="51"/>
        <v/>
      </c>
      <c r="B155" s="747"/>
      <c r="C155" s="750"/>
      <c r="D155" s="755"/>
      <c r="E155" s="727" t="s">
        <v>166</v>
      </c>
      <c r="F155" s="237"/>
      <c r="G155" s="238"/>
      <c r="H155" s="239"/>
      <c r="I155" s="240"/>
      <c r="J155" s="241"/>
      <c r="K155" s="240"/>
      <c r="L155" s="241"/>
      <c r="M155" s="240"/>
      <c r="N155" s="241"/>
      <c r="O155" s="228"/>
      <c r="P155" s="229"/>
      <c r="Q155" s="228"/>
      <c r="R155" s="229"/>
      <c r="S155" s="667"/>
      <c r="T155" s="668"/>
      <c r="U155" s="667"/>
      <c r="V155" s="669"/>
      <c r="W155" s="205"/>
    </row>
    <row r="156" spans="1:28" ht="15.75" customHeight="1" x14ac:dyDescent="0.3">
      <c r="A156" s="20" t="str">
        <f t="shared" si="51"/>
        <v/>
      </c>
      <c r="B156" s="747"/>
      <c r="C156" s="750"/>
      <c r="D156" s="755"/>
      <c r="E156" s="727" t="s">
        <v>166</v>
      </c>
      <c r="F156" s="237"/>
      <c r="G156" s="238"/>
      <c r="H156" s="239"/>
      <c r="I156" s="240"/>
      <c r="J156" s="241"/>
      <c r="K156" s="240"/>
      <c r="L156" s="241"/>
      <c r="M156" s="240"/>
      <c r="N156" s="241"/>
      <c r="O156" s="228"/>
      <c r="P156" s="229"/>
      <c r="Q156" s="228"/>
      <c r="R156" s="229"/>
      <c r="S156" s="667"/>
      <c r="T156" s="668"/>
      <c r="U156" s="667"/>
      <c r="V156" s="669"/>
      <c r="W156" s="205"/>
    </row>
    <row r="157" spans="1:28" ht="15.75" customHeight="1" x14ac:dyDescent="0.3">
      <c r="A157" s="20" t="str">
        <f t="shared" si="51"/>
        <v/>
      </c>
      <c r="B157" s="747"/>
      <c r="C157" s="750"/>
      <c r="D157" s="755"/>
      <c r="E157" s="727" t="s">
        <v>166</v>
      </c>
      <c r="F157" s="237"/>
      <c r="G157" s="238"/>
      <c r="H157" s="239"/>
      <c r="I157" s="240"/>
      <c r="J157" s="241"/>
      <c r="K157" s="240"/>
      <c r="L157" s="241"/>
      <c r="M157" s="240"/>
      <c r="N157" s="241"/>
      <c r="O157" s="228"/>
      <c r="P157" s="229"/>
      <c r="Q157" s="228"/>
      <c r="R157" s="229"/>
      <c r="S157" s="667"/>
      <c r="T157" s="668"/>
      <c r="U157" s="667"/>
      <c r="V157" s="669"/>
      <c r="W157" s="205"/>
    </row>
    <row r="158" spans="1:28" ht="15.75" customHeight="1" x14ac:dyDescent="0.3">
      <c r="A158" s="20" t="str">
        <f t="shared" si="51"/>
        <v/>
      </c>
      <c r="B158" s="747"/>
      <c r="C158" s="750"/>
      <c r="D158" s="756"/>
      <c r="E158" s="728" t="s">
        <v>166</v>
      </c>
      <c r="F158" s="242"/>
      <c r="G158" s="243"/>
      <c r="H158" s="244"/>
      <c r="I158" s="245"/>
      <c r="J158" s="246"/>
      <c r="K158" s="245"/>
      <c r="L158" s="246"/>
      <c r="M158" s="245"/>
      <c r="N158" s="246"/>
      <c r="O158" s="230"/>
      <c r="P158" s="231"/>
      <c r="Q158" s="230"/>
      <c r="R158" s="231"/>
      <c r="S158" s="670"/>
      <c r="T158" s="671"/>
      <c r="U158" s="670"/>
      <c r="V158" s="672"/>
      <c r="W158" s="205"/>
    </row>
    <row r="159" spans="1:28" ht="16.2" thickBot="1" x14ac:dyDescent="0.35">
      <c r="A159" s="20" t="str">
        <f t="shared" si="51"/>
        <v>S</v>
      </c>
      <c r="B159" s="748"/>
      <c r="C159" s="751"/>
      <c r="D159" s="311" t="s">
        <v>138</v>
      </c>
      <c r="E159" s="388"/>
      <c r="F159" s="198"/>
      <c r="G159" s="199">
        <f>SUM(G135:G158)</f>
        <v>1770</v>
      </c>
      <c r="H159" s="200">
        <f>SUM(H135:H158)</f>
        <v>1770</v>
      </c>
      <c r="I159" s="9">
        <f>J159/G159</f>
        <v>0.38587570621468925</v>
      </c>
      <c r="J159" s="203">
        <f>SUM(J135:J158)</f>
        <v>683</v>
      </c>
      <c r="K159" s="51">
        <f>L159/G159</f>
        <v>0.4101694915254237</v>
      </c>
      <c r="L159" s="203">
        <f>SUM(L135:L158)</f>
        <v>726</v>
      </c>
      <c r="M159" s="9">
        <f>N159/L159</f>
        <v>0.57851239669421484</v>
      </c>
      <c r="N159" s="203">
        <f t="shared" ref="N159:V159" si="55">SUM(N135:N158)</f>
        <v>420</v>
      </c>
      <c r="O159" s="129">
        <f t="shared" si="55"/>
        <v>0</v>
      </c>
      <c r="P159" s="130">
        <f t="shared" si="55"/>
        <v>0</v>
      </c>
      <c r="Q159" s="129">
        <f t="shared" si="55"/>
        <v>0</v>
      </c>
      <c r="R159" s="130">
        <f t="shared" si="55"/>
        <v>0</v>
      </c>
      <c r="S159" s="129">
        <f t="shared" si="55"/>
        <v>40</v>
      </c>
      <c r="T159" s="130">
        <f t="shared" si="55"/>
        <v>40</v>
      </c>
      <c r="U159" s="129">
        <f t="shared" si="55"/>
        <v>4</v>
      </c>
      <c r="V159" s="131">
        <f t="shared" si="55"/>
        <v>4</v>
      </c>
      <c r="W159" s="205"/>
    </row>
    <row r="160" spans="1:28" s="15" customFormat="1" ht="27.75" customHeight="1" thickBot="1" x14ac:dyDescent="0.35">
      <c r="A160" s="20" t="s">
        <v>106</v>
      </c>
      <c r="B160" s="102" t="s">
        <v>77</v>
      </c>
      <c r="C160" s="103"/>
      <c r="D160" s="103">
        <f>SUM(D66:D159)</f>
        <v>67</v>
      </c>
      <c r="E160" s="631" t="s">
        <v>79</v>
      </c>
      <c r="F160" s="372"/>
      <c r="G160" s="56">
        <f>G77+G85+G95+G109+G125+G134+G159</f>
        <v>3986</v>
      </c>
      <c r="H160" s="35">
        <f>H77+H85+H95+H109+H125+H134+H159</f>
        <v>3111</v>
      </c>
      <c r="I160" s="32">
        <f>J160/G160</f>
        <v>0.40466633216256898</v>
      </c>
      <c r="J160" s="33">
        <f>J77+J85+J95+J109+J125+J134+J159</f>
        <v>1613</v>
      </c>
      <c r="K160" s="32">
        <f>L160/G160</f>
        <v>0.37907676869041645</v>
      </c>
      <c r="L160" s="33">
        <f>L77+L85+L95+L109+L125+L134+L159</f>
        <v>1511</v>
      </c>
      <c r="M160" s="32">
        <f>N160/L160</f>
        <v>0.45598941098610191</v>
      </c>
      <c r="N160" s="33">
        <f t="shared" ref="N160:V160" si="56">N77+N85+N95+N109+N125+N134+N159</f>
        <v>689</v>
      </c>
      <c r="O160" s="34">
        <f t="shared" si="56"/>
        <v>46</v>
      </c>
      <c r="P160" s="35">
        <f t="shared" si="56"/>
        <v>22</v>
      </c>
      <c r="Q160" s="34">
        <f t="shared" si="56"/>
        <v>111</v>
      </c>
      <c r="R160" s="35">
        <f t="shared" si="56"/>
        <v>74</v>
      </c>
      <c r="S160" s="34">
        <f t="shared" si="56"/>
        <v>1470</v>
      </c>
      <c r="T160" s="35">
        <f t="shared" si="56"/>
        <v>953</v>
      </c>
      <c r="U160" s="34">
        <f t="shared" si="56"/>
        <v>141</v>
      </c>
      <c r="V160" s="36">
        <f t="shared" si="56"/>
        <v>89</v>
      </c>
      <c r="W160" s="206"/>
      <c r="AB160" s="2"/>
    </row>
    <row r="161" spans="1:28" s="354" customFormat="1" ht="31.5" customHeight="1" thickBot="1" x14ac:dyDescent="0.35">
      <c r="A161" s="20" t="s">
        <v>106</v>
      </c>
      <c r="B161" s="345" t="s">
        <v>66</v>
      </c>
      <c r="C161" s="346"/>
      <c r="D161" s="346">
        <f>D160+D65</f>
        <v>87</v>
      </c>
      <c r="E161" s="632" t="s">
        <v>79</v>
      </c>
      <c r="F161" s="364"/>
      <c r="G161" s="347">
        <f>G65+G160</f>
        <v>4581</v>
      </c>
      <c r="H161" s="348">
        <f>H65+H160</f>
        <v>3526</v>
      </c>
      <c r="I161" s="349">
        <f>J161/G161</f>
        <v>0.38921632831259551</v>
      </c>
      <c r="J161" s="350">
        <f>J65+J160</f>
        <v>1783</v>
      </c>
      <c r="K161" s="349">
        <f>L161/G161</f>
        <v>0.36280288146692863</v>
      </c>
      <c r="L161" s="350">
        <f>L65+L160</f>
        <v>1662</v>
      </c>
      <c r="M161" s="349">
        <f>N161/L161</f>
        <v>0.43321299638989169</v>
      </c>
      <c r="N161" s="350">
        <f t="shared" ref="N161:V161" si="57">N65+N160</f>
        <v>720</v>
      </c>
      <c r="O161" s="351">
        <f t="shared" si="57"/>
        <v>46</v>
      </c>
      <c r="P161" s="348">
        <f t="shared" si="57"/>
        <v>22</v>
      </c>
      <c r="Q161" s="351">
        <f t="shared" si="57"/>
        <v>111</v>
      </c>
      <c r="R161" s="348">
        <f t="shared" si="57"/>
        <v>74</v>
      </c>
      <c r="S161" s="351">
        <f t="shared" si="57"/>
        <v>1470</v>
      </c>
      <c r="T161" s="348">
        <f t="shared" si="57"/>
        <v>953</v>
      </c>
      <c r="U161" s="351">
        <f t="shared" si="57"/>
        <v>141</v>
      </c>
      <c r="V161" s="352">
        <f t="shared" si="57"/>
        <v>89</v>
      </c>
      <c r="W161" s="353"/>
      <c r="AB161" s="2"/>
    </row>
    <row r="162" spans="1:28" x14ac:dyDescent="0.3">
      <c r="A162" s="20" t="s">
        <v>106</v>
      </c>
      <c r="B162" s="5"/>
      <c r="C162" s="14"/>
      <c r="D162" s="14"/>
      <c r="E162" s="5"/>
      <c r="F162" s="14"/>
      <c r="G162" s="57"/>
      <c r="H162" s="57"/>
      <c r="I162" s="58"/>
      <c r="J162" s="58"/>
      <c r="K162" s="58"/>
      <c r="L162" s="58"/>
      <c r="M162" s="758" t="s">
        <v>68</v>
      </c>
      <c r="N162" s="758"/>
      <c r="O162" s="57"/>
      <c r="P162" s="57"/>
      <c r="Q162" s="57"/>
      <c r="R162" s="57"/>
      <c r="S162" s="57"/>
      <c r="T162" s="57"/>
      <c r="U162" s="57"/>
      <c r="V162" s="57"/>
      <c r="AB162" s="2" t="str">
        <f t="shared" si="47"/>
        <v/>
      </c>
    </row>
    <row r="163" spans="1:28" x14ac:dyDescent="0.3">
      <c r="A163" s="20" t="s">
        <v>106</v>
      </c>
      <c r="F163" s="1"/>
    </row>
    <row r="164" spans="1:28" x14ac:dyDescent="0.3">
      <c r="A164" s="20" t="s">
        <v>106</v>
      </c>
      <c r="E164" s="26" t="s">
        <v>205</v>
      </c>
      <c r="F164" s="389" t="s">
        <v>204</v>
      </c>
    </row>
    <row r="165" spans="1:28" x14ac:dyDescent="0.3">
      <c r="A165" s="20" t="s">
        <v>106</v>
      </c>
      <c r="E165" s="223" t="s">
        <v>60</v>
      </c>
      <c r="F165" s="714">
        <f>COUNTIF(AB$5:AB$153,$E164)</f>
        <v>0</v>
      </c>
    </row>
    <row r="166" spans="1:28" x14ac:dyDescent="0.3">
      <c r="A166" s="20" t="s">
        <v>106</v>
      </c>
      <c r="E166" s="1" t="s">
        <v>61</v>
      </c>
      <c r="F166" s="2">
        <f>COUNTIF(AB$5:AB$153,$E165)</f>
        <v>19</v>
      </c>
    </row>
    <row r="167" spans="1:28" ht="15" thickBot="1" x14ac:dyDescent="0.35">
      <c r="A167" s="20" t="s">
        <v>106</v>
      </c>
      <c r="E167" s="509" t="s">
        <v>62</v>
      </c>
      <c r="F167" s="510">
        <f>COUNTIF(AB$5:AB$153,$E166)</f>
        <v>4</v>
      </c>
    </row>
    <row r="168" spans="1:28" x14ac:dyDescent="0.3">
      <c r="A168" s="20" t="s">
        <v>106</v>
      </c>
      <c r="E168" s="511" t="s">
        <v>66</v>
      </c>
      <c r="F168" s="715">
        <f t="shared" ref="F168" si="58">SUM(F165:F167)</f>
        <v>23</v>
      </c>
    </row>
    <row r="169" spans="1:28" x14ac:dyDescent="0.3">
      <c r="E169" s="31"/>
    </row>
    <row r="170" spans="1:28" x14ac:dyDescent="0.3">
      <c r="E170" s="31"/>
    </row>
    <row r="171" spans="1:28" x14ac:dyDescent="0.3">
      <c r="E171" s="31"/>
    </row>
    <row r="172" spans="1:28" x14ac:dyDescent="0.3">
      <c r="E172" s="31"/>
    </row>
    <row r="175" spans="1:28" ht="15" customHeight="1" x14ac:dyDescent="0.3"/>
    <row r="176" spans="1:28" ht="15" customHeight="1" x14ac:dyDescent="0.3"/>
    <row r="177" spans="5:5" s="1" customFormat="1" ht="15" customHeight="1" x14ac:dyDescent="0.3"/>
    <row r="178" spans="5:5" s="1" customFormat="1" ht="15" customHeight="1" x14ac:dyDescent="0.3"/>
    <row r="179" spans="5:5" s="1" customFormat="1" ht="15" customHeight="1" x14ac:dyDescent="0.3"/>
    <row r="180" spans="5:5" s="1" customFormat="1" ht="15" customHeight="1" x14ac:dyDescent="0.3"/>
    <row r="181" spans="5:5" s="1" customFormat="1" ht="15" customHeight="1" x14ac:dyDescent="0.3"/>
    <row r="182" spans="5:5" s="1" customFormat="1" ht="15" customHeight="1" x14ac:dyDescent="0.3"/>
    <row r="183" spans="5:5" s="1" customFormat="1" ht="15" customHeight="1" x14ac:dyDescent="0.3"/>
    <row r="184" spans="5:5" s="1" customFormat="1" ht="15.75" customHeight="1" x14ac:dyDescent="0.3"/>
    <row r="185" spans="5:5" s="1" customFormat="1" ht="15.75" customHeight="1" x14ac:dyDescent="0.3">
      <c r="E185" s="31"/>
    </row>
    <row r="186" spans="5:5" s="1" customFormat="1" ht="15" customHeight="1" x14ac:dyDescent="0.3"/>
    <row r="187" spans="5:5" s="1" customFormat="1" ht="15" customHeight="1" x14ac:dyDescent="0.3">
      <c r="E187" s="31"/>
    </row>
    <row r="188" spans="5:5" s="1" customFormat="1" ht="15" customHeight="1" x14ac:dyDescent="0.3">
      <c r="E188" s="31"/>
    </row>
    <row r="189" spans="5:5" s="1" customFormat="1" ht="15" customHeight="1" x14ac:dyDescent="0.3"/>
    <row r="201" spans="5:5" x14ac:dyDescent="0.3">
      <c r="E201" s="31"/>
    </row>
    <row r="203" spans="5:5" x14ac:dyDescent="0.3">
      <c r="E203" s="31"/>
    </row>
    <row r="204" spans="5:5" x14ac:dyDescent="0.3">
      <c r="E204" s="31"/>
    </row>
    <row r="217" spans="5:5" x14ac:dyDescent="0.3">
      <c r="E217" s="31"/>
    </row>
    <row r="219" spans="5:5" x14ac:dyDescent="0.3">
      <c r="E219" s="31"/>
    </row>
    <row r="220" spans="5:5" x14ac:dyDescent="0.3">
      <c r="E220" s="31"/>
    </row>
    <row r="233" spans="5:5" x14ac:dyDescent="0.3">
      <c r="E233" s="31"/>
    </row>
  </sheetData>
  <sheetProtection password="D0CE" sheet="1" objects="1" scenarios="1"/>
  <autoFilter ref="A1:V167" xr:uid="{00000000-0009-0000-0000-000002000000}"/>
  <mergeCells count="53">
    <mergeCell ref="B5:B8"/>
    <mergeCell ref="C5:C8"/>
    <mergeCell ref="B9:B12"/>
    <mergeCell ref="C9:C12"/>
    <mergeCell ref="B2:B4"/>
    <mergeCell ref="C2:C4"/>
    <mergeCell ref="M162:N162"/>
    <mergeCell ref="B126:B134"/>
    <mergeCell ref="C126:C134"/>
    <mergeCell ref="B110:B125"/>
    <mergeCell ref="C110:C125"/>
    <mergeCell ref="B135:B159"/>
    <mergeCell ref="C135:C159"/>
    <mergeCell ref="D2:D4"/>
    <mergeCell ref="E2:E4"/>
    <mergeCell ref="F2:F4"/>
    <mergeCell ref="G2:H2"/>
    <mergeCell ref="O2:P2"/>
    <mergeCell ref="S2:T2"/>
    <mergeCell ref="U2:V2"/>
    <mergeCell ref="I2:I4"/>
    <mergeCell ref="J2:J4"/>
    <mergeCell ref="K2:K4"/>
    <mergeCell ref="L2:L4"/>
    <mergeCell ref="M2:M4"/>
    <mergeCell ref="N2:N4"/>
    <mergeCell ref="Q2:R2"/>
    <mergeCell ref="B13:B34"/>
    <mergeCell ref="C13:C34"/>
    <mergeCell ref="B66:B77"/>
    <mergeCell ref="C66:C77"/>
    <mergeCell ref="B78:B85"/>
    <mergeCell ref="C78:C85"/>
    <mergeCell ref="B35:B49"/>
    <mergeCell ref="B50:B64"/>
    <mergeCell ref="C35:C49"/>
    <mergeCell ref="C50:C64"/>
    <mergeCell ref="D5:D7"/>
    <mergeCell ref="D9:D11"/>
    <mergeCell ref="D13:D33"/>
    <mergeCell ref="D35:D48"/>
    <mergeCell ref="D50:D63"/>
    <mergeCell ref="C86:C95"/>
    <mergeCell ref="B86:B95"/>
    <mergeCell ref="D135:D158"/>
    <mergeCell ref="D86:D94"/>
    <mergeCell ref="D66:D76"/>
    <mergeCell ref="D96:D108"/>
    <mergeCell ref="D110:D124"/>
    <mergeCell ref="D126:D133"/>
    <mergeCell ref="D78:D84"/>
    <mergeCell ref="B96:B109"/>
    <mergeCell ref="C96:C109"/>
  </mergeCells>
  <pageMargins left="0.23622047244094491" right="0.23622047244094491" top="0.35433070866141736" bottom="0.15748031496062992" header="0.31496062992125984" footer="0.31496062992125984"/>
  <pageSetup paperSize="9" scale="21" orientation="landscape" horizontalDpi="300" verticalDpi="300" r:id="rId1"/>
  <ignoredErrors>
    <ignoredError sqref="I161 I64 M49 M65 I65 I159 K148:K149 M148:M149 I160 K160 I95 H101 H96:I100 K96:K100 M96:M100 I73 K73 M160 I134 I109 I105:M105 M77 I77 I113:M115 M68:M70 K68:K70 I68:I70 I101:M102 J117:J118 I126:M127 L117:L118 K65 M73 I121:M121 I130:M130 K95 M95 K64 M64 K77 I125 K125 M125 K134 M134 K159 M159 K161 M161" formula="1"/>
    <ignoredError sqref="I49 M109 K109 K49" formula="1" formulaRange="1"/>
    <ignoredError sqref="I45:K45 I66:K67 I9:M9 I8 K8 M8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AB233"/>
  <sheetViews>
    <sheetView view="pageBreakPreview" zoomScale="90" zoomScaleNormal="55" zoomScaleSheetLayoutView="90" workbookViewId="0">
      <pane xSplit="6" ySplit="4" topLeftCell="G5" activePane="bottomRight" state="frozen"/>
      <selection activeCell="B2" sqref="B2:B4"/>
      <selection pane="topRight" activeCell="B2" sqref="B2:B4"/>
      <selection pane="bottomLeft" activeCell="B2" sqref="B2:B4"/>
      <selection pane="bottomRight" activeCell="B2" sqref="B2:B4"/>
    </sheetView>
  </sheetViews>
  <sheetFormatPr baseColWidth="10" defaultColWidth="11.44140625" defaultRowHeight="14.4" x14ac:dyDescent="0.3"/>
  <cols>
    <col min="1" max="1" width="3" style="20" customWidth="1"/>
    <col min="2" max="2" width="33.6640625" style="1" customWidth="1"/>
    <col min="3" max="3" width="11.5546875" style="2" customWidth="1"/>
    <col min="4" max="4" width="8.44140625" style="2" customWidth="1"/>
    <col min="5" max="5" width="44.88671875" style="1" customWidth="1"/>
    <col min="6" max="6" width="11.109375" style="2" customWidth="1"/>
    <col min="7" max="7" width="11.44140625" style="2"/>
    <col min="8" max="8" width="11.44140625" style="2" customWidth="1"/>
    <col min="9" max="9" width="11.44140625" style="3" customWidth="1"/>
    <col min="10" max="10" width="11.44140625" style="4" customWidth="1"/>
    <col min="11" max="11" width="11.44140625" style="3" customWidth="1"/>
    <col min="12" max="12" width="11.44140625" style="4" customWidth="1"/>
    <col min="13" max="13" width="11.44140625" style="3" customWidth="1"/>
    <col min="14" max="14" width="11.44140625" style="4" customWidth="1"/>
    <col min="15" max="22" width="7.5546875" style="2" customWidth="1"/>
    <col min="23" max="23" width="5.33203125" style="2" customWidth="1"/>
    <col min="24" max="25" width="11.44140625" style="1"/>
    <col min="26" max="27" width="11.44140625" style="1" customWidth="1"/>
    <col min="28" max="28" width="0" style="2" hidden="1" customWidth="1"/>
    <col min="29" max="16384" width="11.44140625" style="1"/>
  </cols>
  <sheetData>
    <row r="1" spans="1:28" s="20" customFormat="1" ht="17.25" customHeight="1" thickBot="1" x14ac:dyDescent="0.35">
      <c r="C1" s="23"/>
      <c r="D1" s="23"/>
      <c r="E1" s="23">
        <v>7</v>
      </c>
      <c r="F1" s="23"/>
      <c r="G1" s="23"/>
      <c r="H1" s="23"/>
      <c r="I1" s="24"/>
      <c r="J1" s="25"/>
      <c r="K1" s="24"/>
      <c r="L1" s="25"/>
      <c r="M1" s="24"/>
      <c r="N1" s="25"/>
      <c r="O1" s="23"/>
      <c r="P1" s="23"/>
      <c r="Q1" s="23"/>
      <c r="R1" s="23"/>
      <c r="S1" s="23"/>
      <c r="T1" s="23"/>
      <c r="U1" s="23"/>
      <c r="V1" s="23"/>
      <c r="W1" s="23"/>
      <c r="AB1" s="23"/>
    </row>
    <row r="2" spans="1:28" s="6" customFormat="1" ht="30" customHeight="1" thickBot="1" x14ac:dyDescent="0.35">
      <c r="A2" s="21" t="s">
        <v>106</v>
      </c>
      <c r="B2" s="769" t="s">
        <v>53</v>
      </c>
      <c r="C2" s="772" t="s">
        <v>74</v>
      </c>
      <c r="D2" s="772" t="s">
        <v>69</v>
      </c>
      <c r="E2" s="765" t="s">
        <v>79</v>
      </c>
      <c r="F2" s="761" t="s">
        <v>59</v>
      </c>
      <c r="G2" s="786" t="s">
        <v>54</v>
      </c>
      <c r="H2" s="771"/>
      <c r="I2" s="787" t="s">
        <v>55</v>
      </c>
      <c r="J2" s="764" t="s">
        <v>63</v>
      </c>
      <c r="K2" s="787" t="s">
        <v>56</v>
      </c>
      <c r="L2" s="764" t="s">
        <v>65</v>
      </c>
      <c r="M2" s="787" t="s">
        <v>57</v>
      </c>
      <c r="N2" s="764" t="s">
        <v>64</v>
      </c>
      <c r="O2" s="770" t="s">
        <v>39</v>
      </c>
      <c r="P2" s="771"/>
      <c r="Q2" s="770" t="s">
        <v>40</v>
      </c>
      <c r="R2" s="771"/>
      <c r="S2" s="770" t="s">
        <v>41</v>
      </c>
      <c r="T2" s="771"/>
      <c r="U2" s="761" t="s">
        <v>42</v>
      </c>
      <c r="V2" s="785"/>
      <c r="W2" s="204"/>
      <c r="AB2" s="462"/>
    </row>
    <row r="3" spans="1:28" s="6" customFormat="1" ht="30" customHeight="1" thickBot="1" x14ac:dyDescent="0.35">
      <c r="A3" s="21" t="s">
        <v>106</v>
      </c>
      <c r="B3" s="769"/>
      <c r="C3" s="772"/>
      <c r="D3" s="772"/>
      <c r="E3" s="765"/>
      <c r="F3" s="762"/>
      <c r="G3" s="108"/>
      <c r="H3" s="105"/>
      <c r="I3" s="787"/>
      <c r="J3" s="764"/>
      <c r="K3" s="787"/>
      <c r="L3" s="764"/>
      <c r="M3" s="787"/>
      <c r="N3" s="764"/>
      <c r="O3" s="104"/>
      <c r="P3" s="105"/>
      <c r="Q3" s="104"/>
      <c r="R3" s="105"/>
      <c r="S3" s="104"/>
      <c r="T3" s="105"/>
      <c r="U3" s="106"/>
      <c r="V3" s="107"/>
      <c r="W3" s="204"/>
      <c r="AB3" s="462"/>
    </row>
    <row r="4" spans="1:28" s="6" customFormat="1" ht="30" customHeight="1" thickBot="1" x14ac:dyDescent="0.35">
      <c r="A4" s="21" t="s">
        <v>106</v>
      </c>
      <c r="B4" s="769"/>
      <c r="C4" s="772"/>
      <c r="D4" s="772"/>
      <c r="E4" s="765"/>
      <c r="F4" s="763"/>
      <c r="G4" s="10" t="s">
        <v>43</v>
      </c>
      <c r="H4" s="11" t="s">
        <v>44</v>
      </c>
      <c r="I4" s="787"/>
      <c r="J4" s="764"/>
      <c r="K4" s="787"/>
      <c r="L4" s="764"/>
      <c r="M4" s="787"/>
      <c r="N4" s="764"/>
      <c r="O4" s="12" t="s">
        <v>43</v>
      </c>
      <c r="P4" s="11" t="s">
        <v>44</v>
      </c>
      <c r="Q4" s="12" t="s">
        <v>43</v>
      </c>
      <c r="R4" s="11" t="s">
        <v>44</v>
      </c>
      <c r="S4" s="12" t="s">
        <v>43</v>
      </c>
      <c r="T4" s="11" t="s">
        <v>44</v>
      </c>
      <c r="U4" s="12" t="s">
        <v>43</v>
      </c>
      <c r="V4" s="13" t="s">
        <v>44</v>
      </c>
      <c r="W4" s="204"/>
      <c r="AB4" s="462">
        <v>2020</v>
      </c>
    </row>
    <row r="5" spans="1:28" ht="15.75" customHeight="1" x14ac:dyDescent="0.3">
      <c r="A5" s="20" t="str">
        <f t="shared" ref="A5:A49" si="0">IF(D5="Sous-total","S",IF(G5="","","X"))</f>
        <v>X</v>
      </c>
      <c r="B5" s="778" t="s">
        <v>70</v>
      </c>
      <c r="C5" s="781" t="s">
        <v>75</v>
      </c>
      <c r="D5" s="766">
        <v>2</v>
      </c>
      <c r="E5" s="573" t="s">
        <v>71</v>
      </c>
      <c r="F5" s="576" t="s">
        <v>60</v>
      </c>
      <c r="G5" s="691">
        <v>72</v>
      </c>
      <c r="H5" s="692">
        <v>72</v>
      </c>
      <c r="I5" s="467" t="str">
        <f t="shared" ref="I5:I45" si="1">IF(J5="","",J5/G5)</f>
        <v/>
      </c>
      <c r="J5" s="693"/>
      <c r="K5" s="466" t="str">
        <f t="shared" ref="K5:K49" si="2">IF(L5="","",L5/G5)</f>
        <v/>
      </c>
      <c r="L5" s="693"/>
      <c r="M5" s="466" t="str">
        <f t="shared" ref="M5:M49" si="3">IF(N5="","",N5/L5)</f>
        <v/>
      </c>
      <c r="N5" s="693"/>
      <c r="O5" s="694"/>
      <c r="P5" s="695"/>
      <c r="Q5" s="694"/>
      <c r="R5" s="695"/>
      <c r="S5" s="696" t="s">
        <v>21</v>
      </c>
      <c r="T5" s="697" t="s">
        <v>21</v>
      </c>
      <c r="U5" s="696" t="s">
        <v>21</v>
      </c>
      <c r="V5" s="698" t="s">
        <v>21</v>
      </c>
      <c r="W5" s="205"/>
      <c r="AB5" s="2" t="str">
        <f>IF(G5&lt;&gt;"",$F5,"")</f>
        <v>France</v>
      </c>
    </row>
    <row r="6" spans="1:28" ht="15.75" customHeight="1" x14ac:dyDescent="0.3">
      <c r="A6" s="20" t="str">
        <f t="shared" si="0"/>
        <v/>
      </c>
      <c r="B6" s="779"/>
      <c r="C6" s="782"/>
      <c r="D6" s="757"/>
      <c r="E6" s="727" t="s">
        <v>166</v>
      </c>
      <c r="F6" s="237"/>
      <c r="G6" s="238"/>
      <c r="H6" s="239"/>
      <c r="I6" s="686"/>
      <c r="J6" s="241"/>
      <c r="K6" s="240"/>
      <c r="L6" s="241"/>
      <c r="M6" s="240"/>
      <c r="N6" s="241"/>
      <c r="O6" s="228"/>
      <c r="P6" s="229"/>
      <c r="Q6" s="228"/>
      <c r="R6" s="229"/>
      <c r="S6" s="667" t="s">
        <v>21</v>
      </c>
      <c r="T6" s="668" t="s">
        <v>21</v>
      </c>
      <c r="U6" s="667" t="s">
        <v>21</v>
      </c>
      <c r="V6" s="669" t="s">
        <v>21</v>
      </c>
      <c r="W6" s="205"/>
    </row>
    <row r="7" spans="1:28" ht="15.75" customHeight="1" x14ac:dyDescent="0.3">
      <c r="A7" s="20" t="str">
        <f t="shared" si="0"/>
        <v/>
      </c>
      <c r="B7" s="779"/>
      <c r="C7" s="782"/>
      <c r="D7" s="757"/>
      <c r="E7" s="728" t="s">
        <v>166</v>
      </c>
      <c r="F7" s="242"/>
      <c r="G7" s="243"/>
      <c r="H7" s="244"/>
      <c r="I7" s="687"/>
      <c r="J7" s="246"/>
      <c r="K7" s="245"/>
      <c r="L7" s="246"/>
      <c r="M7" s="245"/>
      <c r="N7" s="246"/>
      <c r="O7" s="230"/>
      <c r="P7" s="231"/>
      <c r="Q7" s="230"/>
      <c r="R7" s="231"/>
      <c r="S7" s="670" t="s">
        <v>21</v>
      </c>
      <c r="T7" s="671" t="s">
        <v>21</v>
      </c>
      <c r="U7" s="670" t="s">
        <v>21</v>
      </c>
      <c r="V7" s="672" t="s">
        <v>21</v>
      </c>
      <c r="W7" s="205"/>
    </row>
    <row r="8" spans="1:28" ht="15.6" x14ac:dyDescent="0.3">
      <c r="A8" s="20" t="str">
        <f t="shared" si="0"/>
        <v>S</v>
      </c>
      <c r="B8" s="779"/>
      <c r="C8" s="783"/>
      <c r="D8" s="309" t="s">
        <v>138</v>
      </c>
      <c r="E8" s="717"/>
      <c r="F8" s="16"/>
      <c r="G8" s="251">
        <f>SUM(G5:G7)</f>
        <v>72</v>
      </c>
      <c r="H8" s="119">
        <f>SUM(H5:H7)</f>
        <v>72</v>
      </c>
      <c r="I8" s="9">
        <f t="shared" si="1"/>
        <v>0</v>
      </c>
      <c r="J8" s="202">
        <f>SUM(J5:J7)</f>
        <v>0</v>
      </c>
      <c r="K8" s="9">
        <f t="shared" si="2"/>
        <v>0</v>
      </c>
      <c r="L8" s="202">
        <f>SUM(L5:L7)</f>
        <v>0</v>
      </c>
      <c r="M8" s="9" t="e">
        <f t="shared" si="3"/>
        <v>#DIV/0!</v>
      </c>
      <c r="N8" s="202">
        <f t="shared" ref="N8:V8" si="4">SUM(N5:N7)</f>
        <v>0</v>
      </c>
      <c r="O8" s="118">
        <f t="shared" si="4"/>
        <v>0</v>
      </c>
      <c r="P8" s="119">
        <f t="shared" si="4"/>
        <v>0</v>
      </c>
      <c r="Q8" s="118">
        <f t="shared" si="4"/>
        <v>0</v>
      </c>
      <c r="R8" s="119">
        <f t="shared" si="4"/>
        <v>0</v>
      </c>
      <c r="S8" s="118">
        <f t="shared" si="4"/>
        <v>0</v>
      </c>
      <c r="T8" s="119">
        <f t="shared" si="4"/>
        <v>0</v>
      </c>
      <c r="U8" s="118">
        <f t="shared" si="4"/>
        <v>0</v>
      </c>
      <c r="V8" s="120">
        <f t="shared" si="4"/>
        <v>0</v>
      </c>
      <c r="W8" s="205"/>
    </row>
    <row r="9" spans="1:28" ht="15.75" customHeight="1" x14ac:dyDescent="0.3">
      <c r="A9" s="20" t="str">
        <f t="shared" si="0"/>
        <v>X</v>
      </c>
      <c r="B9" s="779" t="s">
        <v>163</v>
      </c>
      <c r="C9" s="782" t="s">
        <v>75</v>
      </c>
      <c r="D9" s="757"/>
      <c r="E9" s="719" t="s">
        <v>164</v>
      </c>
      <c r="F9" s="232" t="s">
        <v>60</v>
      </c>
      <c r="G9" s="233">
        <v>20</v>
      </c>
      <c r="H9" s="234">
        <v>9</v>
      </c>
      <c r="I9" s="411">
        <f t="shared" si="1"/>
        <v>0.4</v>
      </c>
      <c r="J9" s="236">
        <v>8</v>
      </c>
      <c r="K9" s="235">
        <f t="shared" si="2"/>
        <v>0.2</v>
      </c>
      <c r="L9" s="236">
        <v>4</v>
      </c>
      <c r="M9" s="235">
        <f t="shared" si="3"/>
        <v>0.5</v>
      </c>
      <c r="N9" s="236">
        <v>2</v>
      </c>
      <c r="O9" s="226"/>
      <c r="P9" s="227"/>
      <c r="Q9" s="226"/>
      <c r="R9" s="227"/>
      <c r="S9" s="664" t="s">
        <v>21</v>
      </c>
      <c r="T9" s="665" t="s">
        <v>21</v>
      </c>
      <c r="U9" s="664" t="s">
        <v>21</v>
      </c>
      <c r="V9" s="666" t="s">
        <v>21</v>
      </c>
      <c r="W9" s="205" t="s">
        <v>206</v>
      </c>
      <c r="AB9" s="2" t="str">
        <f t="shared" ref="AB9:AB89" si="5">IF(G9&lt;&gt;"",$F9,"")</f>
        <v>France</v>
      </c>
    </row>
    <row r="10" spans="1:28" ht="15.75" customHeight="1" x14ac:dyDescent="0.3">
      <c r="A10" s="20" t="str">
        <f t="shared" si="0"/>
        <v/>
      </c>
      <c r="B10" s="779"/>
      <c r="C10" s="782"/>
      <c r="D10" s="757"/>
      <c r="E10" s="577"/>
      <c r="F10" s="237"/>
      <c r="G10" s="238"/>
      <c r="H10" s="239"/>
      <c r="I10" s="686"/>
      <c r="J10" s="241"/>
      <c r="K10" s="240"/>
      <c r="L10" s="241"/>
      <c r="M10" s="240"/>
      <c r="N10" s="241"/>
      <c r="O10" s="228"/>
      <c r="P10" s="229"/>
      <c r="Q10" s="228"/>
      <c r="R10" s="229"/>
      <c r="S10" s="667" t="s">
        <v>21</v>
      </c>
      <c r="T10" s="668" t="s">
        <v>21</v>
      </c>
      <c r="U10" s="667" t="s">
        <v>21</v>
      </c>
      <c r="V10" s="669" t="s">
        <v>21</v>
      </c>
      <c r="W10" s="205"/>
    </row>
    <row r="11" spans="1:28" ht="15.75" customHeight="1" x14ac:dyDescent="0.3">
      <c r="A11" s="20" t="str">
        <f t="shared" si="0"/>
        <v/>
      </c>
      <c r="B11" s="779"/>
      <c r="C11" s="782"/>
      <c r="D11" s="757"/>
      <c r="E11" s="723"/>
      <c r="F11" s="242"/>
      <c r="G11" s="243"/>
      <c r="H11" s="244"/>
      <c r="I11" s="687"/>
      <c r="J11" s="246"/>
      <c r="K11" s="245"/>
      <c r="L11" s="246"/>
      <c r="M11" s="245"/>
      <c r="N11" s="246"/>
      <c r="O11" s="230"/>
      <c r="P11" s="231"/>
      <c r="Q11" s="230"/>
      <c r="R11" s="231"/>
      <c r="S11" s="670" t="s">
        <v>21</v>
      </c>
      <c r="T11" s="671" t="s">
        <v>21</v>
      </c>
      <c r="U11" s="670" t="s">
        <v>21</v>
      </c>
      <c r="V11" s="672" t="s">
        <v>21</v>
      </c>
      <c r="W11" s="205"/>
    </row>
    <row r="12" spans="1:28" ht="15.6" x14ac:dyDescent="0.3">
      <c r="A12" s="20" t="str">
        <f t="shared" si="0"/>
        <v>S</v>
      </c>
      <c r="B12" s="780"/>
      <c r="C12" s="783"/>
      <c r="D12" s="309" t="s">
        <v>138</v>
      </c>
      <c r="E12" s="717"/>
      <c r="F12" s="16"/>
      <c r="G12" s="251">
        <f>SUM(G9:G11)</f>
        <v>20</v>
      </c>
      <c r="H12" s="119">
        <f>SUM(H9:H11)</f>
        <v>9</v>
      </c>
      <c r="I12" s="9">
        <f t="shared" ref="I12" si="6">IF(J12="","",J12/G12)</f>
        <v>0.4</v>
      </c>
      <c r="J12" s="202">
        <f>SUM(J9:J11)</f>
        <v>8</v>
      </c>
      <c r="K12" s="9">
        <f t="shared" ref="K12" si="7">IF(L12="","",L12/G12)</f>
        <v>0.2</v>
      </c>
      <c r="L12" s="202">
        <f>SUM(L9:L11)</f>
        <v>4</v>
      </c>
      <c r="M12" s="9">
        <f t="shared" ref="M12" si="8">IF(N12="","",N12/L12)</f>
        <v>0.5</v>
      </c>
      <c r="N12" s="202">
        <f t="shared" ref="N12" si="9">SUM(N9:N11)</f>
        <v>2</v>
      </c>
      <c r="O12" s="118">
        <f t="shared" ref="O12" si="10">SUM(O9:O11)</f>
        <v>0</v>
      </c>
      <c r="P12" s="119">
        <f t="shared" ref="P12" si="11">SUM(P9:P11)</f>
        <v>0</v>
      </c>
      <c r="Q12" s="118">
        <f t="shared" ref="Q12" si="12">SUM(Q9:Q11)</f>
        <v>0</v>
      </c>
      <c r="R12" s="119">
        <f t="shared" ref="R12" si="13">SUM(R9:R11)</f>
        <v>0</v>
      </c>
      <c r="S12" s="118">
        <f t="shared" ref="S12" si="14">SUM(S9:S11)</f>
        <v>0</v>
      </c>
      <c r="T12" s="119">
        <f t="shared" ref="T12" si="15">SUM(T9:T11)</f>
        <v>0</v>
      </c>
      <c r="U12" s="118">
        <f t="shared" ref="U12" si="16">SUM(U9:U11)</f>
        <v>0</v>
      </c>
      <c r="V12" s="120">
        <f t="shared" ref="V12" si="17">SUM(V9:V11)</f>
        <v>0</v>
      </c>
      <c r="W12" s="205" t="s">
        <v>206</v>
      </c>
    </row>
    <row r="13" spans="1:28" ht="15" customHeight="1" x14ac:dyDescent="0.3">
      <c r="A13" s="20" t="str">
        <f t="shared" si="0"/>
        <v>X</v>
      </c>
      <c r="B13" s="773" t="s">
        <v>168</v>
      </c>
      <c r="C13" s="775" t="s">
        <v>75</v>
      </c>
      <c r="D13" s="767">
        <v>18</v>
      </c>
      <c r="E13" s="719" t="s">
        <v>182</v>
      </c>
      <c r="F13" s="232" t="s">
        <v>60</v>
      </c>
      <c r="G13" s="702">
        <v>23</v>
      </c>
      <c r="H13" s="703">
        <f>G13</f>
        <v>23</v>
      </c>
      <c r="I13" s="411">
        <f t="shared" si="1"/>
        <v>0.47826086956521741</v>
      </c>
      <c r="J13" s="704">
        <v>11</v>
      </c>
      <c r="K13" s="235">
        <f t="shared" si="2"/>
        <v>0.47826086956521741</v>
      </c>
      <c r="L13" s="704">
        <v>11</v>
      </c>
      <c r="M13" s="235">
        <f t="shared" si="3"/>
        <v>0.90909090909090906</v>
      </c>
      <c r="N13" s="236">
        <v>10</v>
      </c>
      <c r="O13" s="226">
        <v>0</v>
      </c>
      <c r="P13" s="227"/>
      <c r="Q13" s="226"/>
      <c r="R13" s="227"/>
      <c r="S13" s="664"/>
      <c r="T13" s="665"/>
      <c r="U13" s="664"/>
      <c r="V13" s="666"/>
      <c r="W13" s="205" t="s">
        <v>206</v>
      </c>
      <c r="AB13" s="2" t="str">
        <f t="shared" si="5"/>
        <v>France</v>
      </c>
    </row>
    <row r="14" spans="1:28" ht="15" customHeight="1" x14ac:dyDescent="0.3">
      <c r="A14" s="20" t="str">
        <f t="shared" si="0"/>
        <v>X</v>
      </c>
      <c r="B14" s="773"/>
      <c r="C14" s="775"/>
      <c r="D14" s="767"/>
      <c r="E14" s="577" t="s">
        <v>183</v>
      </c>
      <c r="F14" s="237" t="s">
        <v>60</v>
      </c>
      <c r="G14" s="688">
        <v>25</v>
      </c>
      <c r="H14" s="689">
        <f>G14-12</f>
        <v>13</v>
      </c>
      <c r="I14" s="420">
        <f t="shared" si="1"/>
        <v>0.4</v>
      </c>
      <c r="J14" s="690">
        <v>10</v>
      </c>
      <c r="K14" s="240">
        <f t="shared" si="2"/>
        <v>0.44</v>
      </c>
      <c r="L14" s="690">
        <v>11</v>
      </c>
      <c r="M14" s="240">
        <f t="shared" si="3"/>
        <v>0.63636363636363635</v>
      </c>
      <c r="N14" s="241">
        <v>7</v>
      </c>
      <c r="O14" s="228">
        <v>22</v>
      </c>
      <c r="P14" s="229"/>
      <c r="Q14" s="228"/>
      <c r="R14" s="229"/>
      <c r="S14" s="667"/>
      <c r="T14" s="668"/>
      <c r="U14" s="667"/>
      <c r="V14" s="669"/>
      <c r="W14" s="205" t="s">
        <v>206</v>
      </c>
      <c r="AB14" s="2" t="str">
        <f t="shared" si="5"/>
        <v>France</v>
      </c>
    </row>
    <row r="15" spans="1:28" ht="15" customHeight="1" x14ac:dyDescent="0.3">
      <c r="A15" s="20" t="str">
        <f t="shared" si="0"/>
        <v>X</v>
      </c>
      <c r="B15" s="773"/>
      <c r="C15" s="775"/>
      <c r="D15" s="767"/>
      <c r="E15" s="577" t="s">
        <v>184</v>
      </c>
      <c r="F15" s="237" t="s">
        <v>60</v>
      </c>
      <c r="G15" s="688">
        <v>20</v>
      </c>
      <c r="H15" s="689">
        <f>G15</f>
        <v>20</v>
      </c>
      <c r="I15" s="420">
        <f t="shared" si="1"/>
        <v>0.45</v>
      </c>
      <c r="J15" s="690">
        <v>9</v>
      </c>
      <c r="K15" s="240">
        <f t="shared" si="2"/>
        <v>0.4</v>
      </c>
      <c r="L15" s="690">
        <v>8</v>
      </c>
      <c r="M15" s="240">
        <f t="shared" si="3"/>
        <v>0.375</v>
      </c>
      <c r="N15" s="241">
        <v>3</v>
      </c>
      <c r="O15" s="228">
        <v>6</v>
      </c>
      <c r="P15" s="229"/>
      <c r="Q15" s="228"/>
      <c r="R15" s="229"/>
      <c r="S15" s="667"/>
      <c r="T15" s="668"/>
      <c r="U15" s="667"/>
      <c r="V15" s="669"/>
      <c r="W15" s="205" t="s">
        <v>206</v>
      </c>
      <c r="AB15" s="2" t="str">
        <f t="shared" si="5"/>
        <v>France</v>
      </c>
    </row>
    <row r="16" spans="1:28" ht="15" customHeight="1" x14ac:dyDescent="0.3">
      <c r="A16" s="20" t="str">
        <f t="shared" si="0"/>
        <v>X</v>
      </c>
      <c r="B16" s="773"/>
      <c r="C16" s="775"/>
      <c r="D16" s="767"/>
      <c r="E16" s="577" t="s">
        <v>185</v>
      </c>
      <c r="F16" s="237" t="s">
        <v>60</v>
      </c>
      <c r="G16" s="688">
        <v>13</v>
      </c>
      <c r="H16" s="689">
        <f>G16-1</f>
        <v>12</v>
      </c>
      <c r="I16" s="420">
        <f t="shared" si="1"/>
        <v>0.15384615384615385</v>
      </c>
      <c r="J16" s="690">
        <v>2</v>
      </c>
      <c r="K16" s="240">
        <f t="shared" si="2"/>
        <v>0.30769230769230771</v>
      </c>
      <c r="L16" s="690">
        <v>4</v>
      </c>
      <c r="M16" s="240">
        <f t="shared" si="3"/>
        <v>0.5</v>
      </c>
      <c r="N16" s="241">
        <v>2</v>
      </c>
      <c r="O16" s="228">
        <v>7</v>
      </c>
      <c r="P16" s="229"/>
      <c r="Q16" s="228"/>
      <c r="R16" s="229"/>
      <c r="S16" s="667"/>
      <c r="T16" s="668"/>
      <c r="U16" s="667"/>
      <c r="V16" s="669"/>
      <c r="W16" s="205" t="s">
        <v>206</v>
      </c>
      <c r="AB16" s="2" t="str">
        <f t="shared" si="5"/>
        <v>France</v>
      </c>
    </row>
    <row r="17" spans="1:28" ht="15" customHeight="1" x14ac:dyDescent="0.3">
      <c r="A17" s="20" t="str">
        <f t="shared" si="0"/>
        <v>X</v>
      </c>
      <c r="B17" s="773"/>
      <c r="C17" s="775"/>
      <c r="D17" s="767"/>
      <c r="E17" s="577" t="s">
        <v>186</v>
      </c>
      <c r="F17" s="237" t="s">
        <v>60</v>
      </c>
      <c r="G17" s="688">
        <v>7</v>
      </c>
      <c r="H17" s="689">
        <f>G17-1</f>
        <v>6</v>
      </c>
      <c r="I17" s="420">
        <f t="shared" si="1"/>
        <v>0.2857142857142857</v>
      </c>
      <c r="J17" s="690">
        <v>2</v>
      </c>
      <c r="K17" s="240">
        <f t="shared" si="2"/>
        <v>0</v>
      </c>
      <c r="L17" s="690">
        <v>0</v>
      </c>
      <c r="M17" s="240" t="str">
        <f t="shared" si="3"/>
        <v/>
      </c>
      <c r="N17" s="241"/>
      <c r="O17" s="228">
        <v>6</v>
      </c>
      <c r="P17" s="229"/>
      <c r="Q17" s="228"/>
      <c r="R17" s="229"/>
      <c r="S17" s="667"/>
      <c r="T17" s="668"/>
      <c r="U17" s="667"/>
      <c r="V17" s="669"/>
      <c r="W17" s="205" t="s">
        <v>206</v>
      </c>
      <c r="AB17" s="2" t="str">
        <f t="shared" si="5"/>
        <v>France</v>
      </c>
    </row>
    <row r="18" spans="1:28" ht="15" customHeight="1" x14ac:dyDescent="0.3">
      <c r="A18" s="20" t="str">
        <f t="shared" si="0"/>
        <v>X</v>
      </c>
      <c r="B18" s="773"/>
      <c r="C18" s="775"/>
      <c r="D18" s="767"/>
      <c r="E18" s="577" t="s">
        <v>187</v>
      </c>
      <c r="F18" s="237" t="s">
        <v>62</v>
      </c>
      <c r="G18" s="688">
        <v>74</v>
      </c>
      <c r="H18" s="689">
        <f>G18-44</f>
        <v>30</v>
      </c>
      <c r="I18" s="420">
        <f t="shared" si="1"/>
        <v>0.29729729729729731</v>
      </c>
      <c r="J18" s="690">
        <v>22</v>
      </c>
      <c r="K18" s="240">
        <f t="shared" si="2"/>
        <v>0.36486486486486486</v>
      </c>
      <c r="L18" s="690">
        <v>27</v>
      </c>
      <c r="M18" s="240">
        <f t="shared" si="3"/>
        <v>0.48148148148148145</v>
      </c>
      <c r="N18" s="241">
        <v>13</v>
      </c>
      <c r="O18" s="228">
        <v>101</v>
      </c>
      <c r="P18" s="229"/>
      <c r="Q18" s="228"/>
      <c r="R18" s="229"/>
      <c r="S18" s="287">
        <v>74</v>
      </c>
      <c r="T18" s="288">
        <v>30</v>
      </c>
      <c r="U18" s="287">
        <v>0</v>
      </c>
      <c r="V18" s="289">
        <v>0</v>
      </c>
      <c r="W18" s="205" t="s">
        <v>206</v>
      </c>
      <c r="AB18" s="2" t="str">
        <f t="shared" si="5"/>
        <v>Frontière</v>
      </c>
    </row>
    <row r="19" spans="1:28" ht="15" customHeight="1" x14ac:dyDescent="0.3">
      <c r="A19" s="20" t="str">
        <f t="shared" si="0"/>
        <v>X</v>
      </c>
      <c r="B19" s="773"/>
      <c r="C19" s="775"/>
      <c r="D19" s="767"/>
      <c r="E19" s="577" t="s">
        <v>188</v>
      </c>
      <c r="F19" s="237" t="s">
        <v>60</v>
      </c>
      <c r="G19" s="688">
        <v>34</v>
      </c>
      <c r="H19" s="689">
        <f t="shared" ref="H19:H27" si="18">G19</f>
        <v>34</v>
      </c>
      <c r="I19" s="420">
        <f t="shared" si="1"/>
        <v>0.17647058823529413</v>
      </c>
      <c r="J19" s="690">
        <v>6</v>
      </c>
      <c r="K19" s="240">
        <f t="shared" si="2"/>
        <v>0.38235294117647056</v>
      </c>
      <c r="L19" s="690">
        <v>13</v>
      </c>
      <c r="M19" s="240">
        <f t="shared" si="3"/>
        <v>0.15384615384615385</v>
      </c>
      <c r="N19" s="241">
        <v>2</v>
      </c>
      <c r="O19" s="228">
        <v>12</v>
      </c>
      <c r="P19" s="229"/>
      <c r="Q19" s="228"/>
      <c r="R19" s="229"/>
      <c r="S19" s="667"/>
      <c r="T19" s="668"/>
      <c r="U19" s="667"/>
      <c r="V19" s="669"/>
      <c r="W19" s="205" t="s">
        <v>206</v>
      </c>
      <c r="AB19" s="2" t="str">
        <f t="shared" si="5"/>
        <v>France</v>
      </c>
    </row>
    <row r="20" spans="1:28" ht="15" customHeight="1" x14ac:dyDescent="0.3">
      <c r="A20" s="20" t="str">
        <f t="shared" si="0"/>
        <v>X</v>
      </c>
      <c r="B20" s="773"/>
      <c r="C20" s="775"/>
      <c r="D20" s="767"/>
      <c r="E20" s="577" t="s">
        <v>189</v>
      </c>
      <c r="F20" s="237" t="s">
        <v>60</v>
      </c>
      <c r="G20" s="688">
        <v>47</v>
      </c>
      <c r="H20" s="689">
        <f t="shared" si="18"/>
        <v>47</v>
      </c>
      <c r="I20" s="420">
        <f t="shared" si="1"/>
        <v>6.3829787234042548E-2</v>
      </c>
      <c r="J20" s="690">
        <v>3</v>
      </c>
      <c r="K20" s="240">
        <f t="shared" si="2"/>
        <v>0.31914893617021278</v>
      </c>
      <c r="L20" s="690">
        <v>15</v>
      </c>
      <c r="M20" s="240">
        <f t="shared" si="3"/>
        <v>0.2</v>
      </c>
      <c r="N20" s="241">
        <v>3</v>
      </c>
      <c r="O20" s="228">
        <v>37</v>
      </c>
      <c r="P20" s="229"/>
      <c r="Q20" s="228"/>
      <c r="R20" s="229"/>
      <c r="S20" s="667"/>
      <c r="T20" s="668"/>
      <c r="U20" s="667"/>
      <c r="V20" s="669"/>
      <c r="W20" s="205" t="s">
        <v>206</v>
      </c>
      <c r="AB20" s="2" t="str">
        <f t="shared" si="5"/>
        <v>France</v>
      </c>
    </row>
    <row r="21" spans="1:28" ht="15" customHeight="1" x14ac:dyDescent="0.3">
      <c r="A21" s="20" t="str">
        <f t="shared" si="0"/>
        <v>X</v>
      </c>
      <c r="B21" s="773"/>
      <c r="C21" s="775"/>
      <c r="D21" s="767"/>
      <c r="E21" s="577" t="s">
        <v>190</v>
      </c>
      <c r="F21" s="237" t="s">
        <v>60</v>
      </c>
      <c r="G21" s="688">
        <v>92</v>
      </c>
      <c r="H21" s="689">
        <f t="shared" si="18"/>
        <v>92</v>
      </c>
      <c r="I21" s="420">
        <f t="shared" si="1"/>
        <v>9.7826086956521743E-2</v>
      </c>
      <c r="J21" s="690">
        <v>9</v>
      </c>
      <c r="K21" s="240">
        <f t="shared" si="2"/>
        <v>0.45652173913043476</v>
      </c>
      <c r="L21" s="690">
        <v>42</v>
      </c>
      <c r="M21" s="240">
        <f t="shared" si="3"/>
        <v>0.14285714285714285</v>
      </c>
      <c r="N21" s="241">
        <v>6</v>
      </c>
      <c r="O21" s="228">
        <v>19</v>
      </c>
      <c r="P21" s="229"/>
      <c r="Q21" s="228"/>
      <c r="R21" s="229"/>
      <c r="S21" s="667"/>
      <c r="T21" s="668"/>
      <c r="U21" s="667"/>
      <c r="V21" s="669"/>
      <c r="W21" s="205" t="s">
        <v>206</v>
      </c>
      <c r="AB21" s="2" t="str">
        <f t="shared" si="5"/>
        <v>France</v>
      </c>
    </row>
    <row r="22" spans="1:28" ht="15" customHeight="1" x14ac:dyDescent="0.3">
      <c r="A22" s="20" t="str">
        <f t="shared" si="0"/>
        <v>X</v>
      </c>
      <c r="B22" s="773"/>
      <c r="C22" s="775"/>
      <c r="D22" s="767"/>
      <c r="E22" s="577" t="s">
        <v>191</v>
      </c>
      <c r="F22" s="237" t="s">
        <v>60</v>
      </c>
      <c r="G22" s="688">
        <v>77</v>
      </c>
      <c r="H22" s="689">
        <f t="shared" si="18"/>
        <v>77</v>
      </c>
      <c r="I22" s="420">
        <f t="shared" si="1"/>
        <v>0.14285714285714285</v>
      </c>
      <c r="J22" s="690">
        <v>11</v>
      </c>
      <c r="K22" s="240">
        <f t="shared" si="2"/>
        <v>0.40259740259740262</v>
      </c>
      <c r="L22" s="690">
        <v>31</v>
      </c>
      <c r="M22" s="240">
        <f t="shared" si="3"/>
        <v>0.16129032258064516</v>
      </c>
      <c r="N22" s="241">
        <v>5</v>
      </c>
      <c r="O22" s="228">
        <v>20</v>
      </c>
      <c r="P22" s="229"/>
      <c r="Q22" s="228"/>
      <c r="R22" s="229"/>
      <c r="S22" s="667"/>
      <c r="T22" s="668"/>
      <c r="U22" s="667"/>
      <c r="V22" s="669"/>
      <c r="W22" s="205" t="s">
        <v>206</v>
      </c>
      <c r="AB22" s="2" t="str">
        <f t="shared" si="5"/>
        <v>France</v>
      </c>
    </row>
    <row r="23" spans="1:28" ht="15" customHeight="1" x14ac:dyDescent="0.3">
      <c r="A23" s="20" t="str">
        <f t="shared" si="0"/>
        <v>X</v>
      </c>
      <c r="B23" s="773"/>
      <c r="C23" s="775"/>
      <c r="D23" s="767"/>
      <c r="E23" s="577" t="s">
        <v>192</v>
      </c>
      <c r="F23" s="237" t="s">
        <v>60</v>
      </c>
      <c r="G23" s="688">
        <v>19</v>
      </c>
      <c r="H23" s="689">
        <f t="shared" si="18"/>
        <v>19</v>
      </c>
      <c r="I23" s="420">
        <f t="shared" si="1"/>
        <v>0.21052631578947367</v>
      </c>
      <c r="J23" s="690">
        <v>4</v>
      </c>
      <c r="K23" s="240">
        <f t="shared" si="2"/>
        <v>0.31578947368421051</v>
      </c>
      <c r="L23" s="690">
        <v>6</v>
      </c>
      <c r="M23" s="240">
        <f t="shared" si="3"/>
        <v>0.16666666666666666</v>
      </c>
      <c r="N23" s="241">
        <v>1</v>
      </c>
      <c r="O23" s="228">
        <v>3</v>
      </c>
      <c r="P23" s="229"/>
      <c r="Q23" s="228"/>
      <c r="R23" s="229"/>
      <c r="S23" s="667"/>
      <c r="T23" s="668"/>
      <c r="U23" s="667"/>
      <c r="V23" s="669"/>
      <c r="W23" s="205" t="s">
        <v>206</v>
      </c>
      <c r="AB23" s="2" t="str">
        <f t="shared" si="5"/>
        <v>France</v>
      </c>
    </row>
    <row r="24" spans="1:28" ht="15" customHeight="1" x14ac:dyDescent="0.3">
      <c r="A24" s="20" t="str">
        <f t="shared" si="0"/>
        <v>X</v>
      </c>
      <c r="B24" s="773"/>
      <c r="C24" s="775"/>
      <c r="D24" s="767"/>
      <c r="E24" s="577" t="s">
        <v>193</v>
      </c>
      <c r="F24" s="237" t="s">
        <v>60</v>
      </c>
      <c r="G24" s="688">
        <v>24</v>
      </c>
      <c r="H24" s="689">
        <f t="shared" si="18"/>
        <v>24</v>
      </c>
      <c r="I24" s="420">
        <f t="shared" si="1"/>
        <v>0.29166666666666669</v>
      </c>
      <c r="J24" s="690">
        <v>7</v>
      </c>
      <c r="K24" s="240">
        <f t="shared" si="2"/>
        <v>0.54166666666666663</v>
      </c>
      <c r="L24" s="690">
        <v>13</v>
      </c>
      <c r="M24" s="240">
        <f t="shared" si="3"/>
        <v>0.46153846153846156</v>
      </c>
      <c r="N24" s="241">
        <v>6</v>
      </c>
      <c r="O24" s="228">
        <v>11</v>
      </c>
      <c r="P24" s="229"/>
      <c r="Q24" s="228"/>
      <c r="R24" s="229"/>
      <c r="S24" s="667"/>
      <c r="T24" s="668"/>
      <c r="U24" s="667"/>
      <c r="V24" s="669"/>
      <c r="W24" s="205" t="s">
        <v>206</v>
      </c>
      <c r="AB24" s="2" t="str">
        <f t="shared" si="5"/>
        <v>France</v>
      </c>
    </row>
    <row r="25" spans="1:28" ht="15" customHeight="1" x14ac:dyDescent="0.3">
      <c r="A25" s="20" t="str">
        <f t="shared" si="0"/>
        <v>X</v>
      </c>
      <c r="B25" s="773"/>
      <c r="C25" s="775"/>
      <c r="D25" s="767"/>
      <c r="E25" s="577" t="s">
        <v>194</v>
      </c>
      <c r="F25" s="237" t="s">
        <v>60</v>
      </c>
      <c r="G25" s="688">
        <v>101</v>
      </c>
      <c r="H25" s="689">
        <f t="shared" si="18"/>
        <v>101</v>
      </c>
      <c r="I25" s="420">
        <f t="shared" si="1"/>
        <v>0.14851485148514851</v>
      </c>
      <c r="J25" s="690">
        <v>15</v>
      </c>
      <c r="K25" s="240">
        <f t="shared" si="2"/>
        <v>0.39603960396039606</v>
      </c>
      <c r="L25" s="690">
        <v>40</v>
      </c>
      <c r="M25" s="240">
        <f t="shared" si="3"/>
        <v>0.22500000000000001</v>
      </c>
      <c r="N25" s="241">
        <v>9</v>
      </c>
      <c r="O25" s="228">
        <v>34</v>
      </c>
      <c r="P25" s="229"/>
      <c r="Q25" s="228"/>
      <c r="R25" s="229"/>
      <c r="S25" s="667"/>
      <c r="T25" s="668"/>
      <c r="U25" s="667"/>
      <c r="V25" s="669"/>
      <c r="W25" s="205" t="s">
        <v>206</v>
      </c>
      <c r="AB25" s="2" t="str">
        <f t="shared" si="5"/>
        <v>France</v>
      </c>
    </row>
    <row r="26" spans="1:28" ht="15" customHeight="1" x14ac:dyDescent="0.3">
      <c r="A26" s="20" t="str">
        <f t="shared" si="0"/>
        <v>X</v>
      </c>
      <c r="B26" s="773"/>
      <c r="C26" s="775"/>
      <c r="D26" s="767"/>
      <c r="E26" s="577" t="s">
        <v>195</v>
      </c>
      <c r="F26" s="237" t="s">
        <v>60</v>
      </c>
      <c r="G26" s="688">
        <v>25</v>
      </c>
      <c r="H26" s="689">
        <f t="shared" si="18"/>
        <v>25</v>
      </c>
      <c r="I26" s="420">
        <f t="shared" si="1"/>
        <v>0.28000000000000003</v>
      </c>
      <c r="J26" s="690">
        <v>7</v>
      </c>
      <c r="K26" s="240">
        <f t="shared" si="2"/>
        <v>0.24</v>
      </c>
      <c r="L26" s="690">
        <v>6</v>
      </c>
      <c r="M26" s="240">
        <f t="shared" si="3"/>
        <v>0.66666666666666663</v>
      </c>
      <c r="N26" s="241">
        <v>4</v>
      </c>
      <c r="O26" s="228">
        <v>4</v>
      </c>
      <c r="P26" s="229"/>
      <c r="Q26" s="228"/>
      <c r="R26" s="229"/>
      <c r="S26" s="667"/>
      <c r="T26" s="668"/>
      <c r="U26" s="667"/>
      <c r="V26" s="669"/>
      <c r="W26" s="205" t="s">
        <v>206</v>
      </c>
      <c r="AB26" s="2" t="str">
        <f t="shared" si="5"/>
        <v>France</v>
      </c>
    </row>
    <row r="27" spans="1:28" ht="15" customHeight="1" x14ac:dyDescent="0.3">
      <c r="A27" s="20" t="str">
        <f t="shared" si="0"/>
        <v>X</v>
      </c>
      <c r="B27" s="773"/>
      <c r="C27" s="775"/>
      <c r="D27" s="767"/>
      <c r="E27" s="577" t="s">
        <v>196</v>
      </c>
      <c r="F27" s="237" t="s">
        <v>60</v>
      </c>
      <c r="G27" s="688">
        <v>45</v>
      </c>
      <c r="H27" s="689">
        <f t="shared" si="18"/>
        <v>45</v>
      </c>
      <c r="I27" s="420">
        <f t="shared" si="1"/>
        <v>0.4</v>
      </c>
      <c r="J27" s="690">
        <v>18</v>
      </c>
      <c r="K27" s="240">
        <f t="shared" si="2"/>
        <v>0.22222222222222221</v>
      </c>
      <c r="L27" s="690">
        <v>10</v>
      </c>
      <c r="M27" s="240">
        <f t="shared" si="3"/>
        <v>0.6</v>
      </c>
      <c r="N27" s="241">
        <v>6</v>
      </c>
      <c r="O27" s="228">
        <v>4</v>
      </c>
      <c r="P27" s="229"/>
      <c r="Q27" s="228"/>
      <c r="R27" s="229"/>
      <c r="S27" s="667"/>
      <c r="T27" s="668"/>
      <c r="U27" s="667"/>
      <c r="V27" s="669"/>
      <c r="W27" s="205" t="s">
        <v>206</v>
      </c>
      <c r="AB27" s="2" t="str">
        <f t="shared" si="5"/>
        <v>France</v>
      </c>
    </row>
    <row r="28" spans="1:28" ht="15" customHeight="1" x14ac:dyDescent="0.3">
      <c r="A28" s="20" t="str">
        <f t="shared" si="0"/>
        <v>X</v>
      </c>
      <c r="B28" s="773"/>
      <c r="C28" s="775"/>
      <c r="D28" s="767"/>
      <c r="E28" s="577" t="s">
        <v>197</v>
      </c>
      <c r="F28" s="237" t="s">
        <v>62</v>
      </c>
      <c r="G28" s="238">
        <v>68</v>
      </c>
      <c r="H28" s="239">
        <f>G28-25</f>
        <v>43</v>
      </c>
      <c r="I28" s="420">
        <f t="shared" si="1"/>
        <v>0.51470588235294112</v>
      </c>
      <c r="J28" s="241">
        <v>35</v>
      </c>
      <c r="K28" s="240">
        <f t="shared" si="2"/>
        <v>0.44117647058823528</v>
      </c>
      <c r="L28" s="241">
        <v>30</v>
      </c>
      <c r="M28" s="240">
        <f t="shared" si="3"/>
        <v>0.53333333333333333</v>
      </c>
      <c r="N28" s="241">
        <v>16</v>
      </c>
      <c r="O28" s="228">
        <v>1</v>
      </c>
      <c r="P28" s="229"/>
      <c r="Q28" s="228">
        <v>16</v>
      </c>
      <c r="R28" s="229"/>
      <c r="S28" s="287">
        <v>61</v>
      </c>
      <c r="T28" s="288">
        <v>38</v>
      </c>
      <c r="U28" s="287">
        <v>7</v>
      </c>
      <c r="V28" s="289">
        <v>5</v>
      </c>
      <c r="W28" s="205" t="s">
        <v>206</v>
      </c>
      <c r="AB28" s="2" t="str">
        <f t="shared" si="5"/>
        <v>Frontière</v>
      </c>
    </row>
    <row r="29" spans="1:28" ht="15" customHeight="1" x14ac:dyDescent="0.3">
      <c r="A29" s="20" t="str">
        <f t="shared" si="0"/>
        <v/>
      </c>
      <c r="B29" s="773"/>
      <c r="C29" s="775"/>
      <c r="D29" s="767"/>
      <c r="E29" s="727" t="s">
        <v>166</v>
      </c>
      <c r="F29" s="237"/>
      <c r="G29" s="238"/>
      <c r="H29" s="239"/>
      <c r="I29" s="686"/>
      <c r="J29" s="241"/>
      <c r="K29" s="240"/>
      <c r="L29" s="241"/>
      <c r="M29" s="240"/>
      <c r="N29" s="241"/>
      <c r="O29" s="228"/>
      <c r="P29" s="229"/>
      <c r="Q29" s="228"/>
      <c r="R29" s="229"/>
      <c r="S29" s="667"/>
      <c r="T29" s="668"/>
      <c r="U29" s="667"/>
      <c r="V29" s="669"/>
      <c r="W29" s="205"/>
    </row>
    <row r="30" spans="1:28" ht="15" customHeight="1" x14ac:dyDescent="0.3">
      <c r="A30" s="20" t="str">
        <f t="shared" si="0"/>
        <v/>
      </c>
      <c r="B30" s="773"/>
      <c r="C30" s="775"/>
      <c r="D30" s="767"/>
      <c r="E30" s="727" t="s">
        <v>166</v>
      </c>
      <c r="F30" s="237"/>
      <c r="G30" s="238"/>
      <c r="H30" s="239"/>
      <c r="I30" s="686"/>
      <c r="J30" s="241"/>
      <c r="K30" s="240"/>
      <c r="L30" s="241"/>
      <c r="M30" s="240"/>
      <c r="N30" s="241"/>
      <c r="O30" s="228"/>
      <c r="P30" s="229"/>
      <c r="Q30" s="228"/>
      <c r="R30" s="229"/>
      <c r="S30" s="667"/>
      <c r="T30" s="668"/>
      <c r="U30" s="667"/>
      <c r="V30" s="669"/>
      <c r="W30" s="205"/>
    </row>
    <row r="31" spans="1:28" ht="15" customHeight="1" x14ac:dyDescent="0.3">
      <c r="A31" s="20" t="str">
        <f t="shared" si="0"/>
        <v/>
      </c>
      <c r="B31" s="773"/>
      <c r="C31" s="775"/>
      <c r="D31" s="767"/>
      <c r="E31" s="727" t="s">
        <v>166</v>
      </c>
      <c r="F31" s="237"/>
      <c r="G31" s="238"/>
      <c r="H31" s="239"/>
      <c r="I31" s="686"/>
      <c r="J31" s="241"/>
      <c r="K31" s="240"/>
      <c r="L31" s="241"/>
      <c r="M31" s="240"/>
      <c r="N31" s="241"/>
      <c r="O31" s="228"/>
      <c r="P31" s="229"/>
      <c r="Q31" s="228"/>
      <c r="R31" s="229"/>
      <c r="S31" s="667"/>
      <c r="T31" s="668"/>
      <c r="U31" s="667"/>
      <c r="V31" s="669"/>
      <c r="W31" s="205"/>
    </row>
    <row r="32" spans="1:28" ht="15" customHeight="1" x14ac:dyDescent="0.3">
      <c r="A32" s="20" t="str">
        <f t="shared" si="0"/>
        <v/>
      </c>
      <c r="B32" s="773"/>
      <c r="C32" s="775"/>
      <c r="D32" s="767"/>
      <c r="E32" s="727" t="s">
        <v>166</v>
      </c>
      <c r="F32" s="237"/>
      <c r="G32" s="238"/>
      <c r="H32" s="239"/>
      <c r="I32" s="686"/>
      <c r="J32" s="241"/>
      <c r="K32" s="240"/>
      <c r="L32" s="241"/>
      <c r="M32" s="240"/>
      <c r="N32" s="241"/>
      <c r="O32" s="228"/>
      <c r="P32" s="229"/>
      <c r="Q32" s="228"/>
      <c r="R32" s="229"/>
      <c r="S32" s="667"/>
      <c r="T32" s="668"/>
      <c r="U32" s="667"/>
      <c r="V32" s="669"/>
      <c r="W32" s="205"/>
    </row>
    <row r="33" spans="1:28" ht="15" customHeight="1" x14ac:dyDescent="0.3">
      <c r="A33" s="20" t="str">
        <f t="shared" si="0"/>
        <v/>
      </c>
      <c r="B33" s="773"/>
      <c r="C33" s="775"/>
      <c r="D33" s="767"/>
      <c r="E33" s="728" t="s">
        <v>166</v>
      </c>
      <c r="F33" s="242"/>
      <c r="G33" s="243"/>
      <c r="H33" s="244"/>
      <c r="I33" s="687"/>
      <c r="J33" s="246"/>
      <c r="K33" s="245"/>
      <c r="L33" s="246"/>
      <c r="M33" s="245"/>
      <c r="N33" s="246"/>
      <c r="O33" s="230"/>
      <c r="P33" s="231"/>
      <c r="Q33" s="230"/>
      <c r="R33" s="231"/>
      <c r="S33" s="670"/>
      <c r="T33" s="671"/>
      <c r="U33" s="670"/>
      <c r="V33" s="672"/>
      <c r="W33" s="205"/>
    </row>
    <row r="34" spans="1:28" ht="15.6" x14ac:dyDescent="0.3">
      <c r="A34" s="20" t="str">
        <f t="shared" si="0"/>
        <v>S</v>
      </c>
      <c r="B34" s="773"/>
      <c r="C34" s="776"/>
      <c r="D34" s="309" t="s">
        <v>138</v>
      </c>
      <c r="E34" s="717"/>
      <c r="F34" s="16"/>
      <c r="G34" s="7">
        <f>SUM(G13:G33)</f>
        <v>694</v>
      </c>
      <c r="H34" s="8">
        <f>SUM(H13:H33)</f>
        <v>611</v>
      </c>
      <c r="I34" s="9">
        <f t="shared" si="1"/>
        <v>0.24639769452449567</v>
      </c>
      <c r="J34" s="202">
        <f>SUM(J13:J33)</f>
        <v>171</v>
      </c>
      <c r="K34" s="9">
        <f t="shared" si="2"/>
        <v>0.38472622478386165</v>
      </c>
      <c r="L34" s="202">
        <f>SUM(L13:L33)</f>
        <v>267</v>
      </c>
      <c r="M34" s="9">
        <f t="shared" si="3"/>
        <v>0.34831460674157305</v>
      </c>
      <c r="N34" s="202">
        <f t="shared" ref="N34:V34" si="19">SUM(N13:N33)</f>
        <v>93</v>
      </c>
      <c r="O34" s="118">
        <f t="shared" si="19"/>
        <v>287</v>
      </c>
      <c r="P34" s="119">
        <f t="shared" si="19"/>
        <v>0</v>
      </c>
      <c r="Q34" s="118">
        <f t="shared" si="19"/>
        <v>16</v>
      </c>
      <c r="R34" s="119">
        <f t="shared" si="19"/>
        <v>0</v>
      </c>
      <c r="S34" s="118">
        <f t="shared" si="19"/>
        <v>135</v>
      </c>
      <c r="T34" s="119">
        <f t="shared" si="19"/>
        <v>68</v>
      </c>
      <c r="U34" s="118">
        <f t="shared" si="19"/>
        <v>7</v>
      </c>
      <c r="V34" s="120">
        <f t="shared" si="19"/>
        <v>5</v>
      </c>
      <c r="W34" s="205" t="s">
        <v>206</v>
      </c>
      <c r="AB34" s="2">
        <f t="shared" si="5"/>
        <v>0</v>
      </c>
    </row>
    <row r="35" spans="1:28" ht="15" customHeight="1" x14ac:dyDescent="0.3">
      <c r="A35" s="20" t="str">
        <f t="shared" si="0"/>
        <v>X</v>
      </c>
      <c r="B35" s="773" t="s">
        <v>82</v>
      </c>
      <c r="C35" s="775" t="s">
        <v>75</v>
      </c>
      <c r="D35" s="767">
        <v>11</v>
      </c>
      <c r="E35" s="719" t="s">
        <v>13</v>
      </c>
      <c r="F35" s="232" t="s">
        <v>60</v>
      </c>
      <c r="G35" s="702">
        <v>59</v>
      </c>
      <c r="H35" s="703">
        <v>21</v>
      </c>
      <c r="I35" s="411">
        <f t="shared" si="1"/>
        <v>0.47457627118644069</v>
      </c>
      <c r="J35" s="704">
        <v>28</v>
      </c>
      <c r="K35" s="235">
        <f t="shared" si="2"/>
        <v>0.33898305084745761</v>
      </c>
      <c r="L35" s="704">
        <v>20</v>
      </c>
      <c r="M35" s="235" t="str">
        <f t="shared" si="3"/>
        <v/>
      </c>
      <c r="N35" s="236"/>
      <c r="O35" s="226">
        <v>14</v>
      </c>
      <c r="P35" s="227"/>
      <c r="Q35" s="226"/>
      <c r="R35" s="227"/>
      <c r="S35" s="664" t="s">
        <v>21</v>
      </c>
      <c r="T35" s="665" t="s">
        <v>21</v>
      </c>
      <c r="U35" s="664" t="s">
        <v>21</v>
      </c>
      <c r="V35" s="666" t="s">
        <v>21</v>
      </c>
      <c r="W35" s="205" t="s">
        <v>206</v>
      </c>
      <c r="AB35" s="2" t="str">
        <f t="shared" si="5"/>
        <v>France</v>
      </c>
    </row>
    <row r="36" spans="1:28" ht="15" customHeight="1" x14ac:dyDescent="0.3">
      <c r="A36" s="20" t="str">
        <f t="shared" si="0"/>
        <v>X</v>
      </c>
      <c r="B36" s="773"/>
      <c r="C36" s="775"/>
      <c r="D36" s="767"/>
      <c r="E36" s="577" t="s">
        <v>14</v>
      </c>
      <c r="F36" s="237" t="s">
        <v>60</v>
      </c>
      <c r="G36" s="688">
        <v>32</v>
      </c>
      <c r="H36" s="689">
        <v>16</v>
      </c>
      <c r="I36" s="420">
        <f t="shared" si="1"/>
        <v>0.34375</v>
      </c>
      <c r="J36" s="690">
        <v>11</v>
      </c>
      <c r="K36" s="240">
        <f t="shared" si="2"/>
        <v>0.1875</v>
      </c>
      <c r="L36" s="690">
        <v>6</v>
      </c>
      <c r="M36" s="240" t="str">
        <f t="shared" si="3"/>
        <v/>
      </c>
      <c r="N36" s="241"/>
      <c r="O36" s="228">
        <v>15</v>
      </c>
      <c r="P36" s="229"/>
      <c r="Q36" s="228"/>
      <c r="R36" s="229"/>
      <c r="S36" s="667" t="s">
        <v>21</v>
      </c>
      <c r="T36" s="668" t="s">
        <v>21</v>
      </c>
      <c r="U36" s="667" t="s">
        <v>21</v>
      </c>
      <c r="V36" s="669" t="s">
        <v>21</v>
      </c>
      <c r="W36" s="205" t="s">
        <v>206</v>
      </c>
      <c r="AB36" s="2" t="str">
        <f t="shared" si="5"/>
        <v>France</v>
      </c>
    </row>
    <row r="37" spans="1:28" ht="15" customHeight="1" x14ac:dyDescent="0.3">
      <c r="A37" s="20" t="str">
        <f t="shared" si="0"/>
        <v>X</v>
      </c>
      <c r="B37" s="773"/>
      <c r="C37" s="775"/>
      <c r="D37" s="767"/>
      <c r="E37" s="577" t="s">
        <v>15</v>
      </c>
      <c r="F37" s="237" t="s">
        <v>60</v>
      </c>
      <c r="G37" s="688">
        <v>21</v>
      </c>
      <c r="H37" s="689">
        <v>8</v>
      </c>
      <c r="I37" s="420">
        <f t="shared" si="1"/>
        <v>0.19047619047619047</v>
      </c>
      <c r="J37" s="690">
        <v>4</v>
      </c>
      <c r="K37" s="240">
        <f t="shared" si="2"/>
        <v>0.23809523809523808</v>
      </c>
      <c r="L37" s="690">
        <v>5</v>
      </c>
      <c r="M37" s="240" t="str">
        <f t="shared" si="3"/>
        <v/>
      </c>
      <c r="N37" s="241"/>
      <c r="O37" s="228">
        <v>4</v>
      </c>
      <c r="P37" s="229"/>
      <c r="Q37" s="228"/>
      <c r="R37" s="229"/>
      <c r="S37" s="667" t="s">
        <v>21</v>
      </c>
      <c r="T37" s="668" t="s">
        <v>21</v>
      </c>
      <c r="U37" s="667" t="s">
        <v>21</v>
      </c>
      <c r="V37" s="669" t="s">
        <v>21</v>
      </c>
      <c r="W37" s="205" t="s">
        <v>206</v>
      </c>
      <c r="AB37" s="2" t="str">
        <f t="shared" si="5"/>
        <v>France</v>
      </c>
    </row>
    <row r="38" spans="1:28" ht="15" customHeight="1" x14ac:dyDescent="0.3">
      <c r="A38" s="20" t="str">
        <f t="shared" si="0"/>
        <v>X</v>
      </c>
      <c r="B38" s="773"/>
      <c r="C38" s="775"/>
      <c r="D38" s="767"/>
      <c r="E38" s="577" t="s">
        <v>141</v>
      </c>
      <c r="F38" s="237" t="s">
        <v>60</v>
      </c>
      <c r="G38" s="688">
        <v>55</v>
      </c>
      <c r="H38" s="689">
        <v>21</v>
      </c>
      <c r="I38" s="420">
        <f t="shared" si="1"/>
        <v>0.32727272727272727</v>
      </c>
      <c r="J38" s="690">
        <v>18</v>
      </c>
      <c r="K38" s="240">
        <f t="shared" si="2"/>
        <v>0.32727272727272727</v>
      </c>
      <c r="L38" s="690">
        <v>18</v>
      </c>
      <c r="M38" s="240" t="str">
        <f t="shared" si="3"/>
        <v/>
      </c>
      <c r="N38" s="241"/>
      <c r="O38" s="228">
        <v>20</v>
      </c>
      <c r="P38" s="229"/>
      <c r="Q38" s="228"/>
      <c r="R38" s="229"/>
      <c r="S38" s="667" t="s">
        <v>21</v>
      </c>
      <c r="T38" s="668" t="s">
        <v>21</v>
      </c>
      <c r="U38" s="667" t="s">
        <v>21</v>
      </c>
      <c r="V38" s="669" t="s">
        <v>21</v>
      </c>
      <c r="W38" s="205" t="s">
        <v>206</v>
      </c>
      <c r="AB38" s="2" t="str">
        <f t="shared" si="5"/>
        <v>France</v>
      </c>
    </row>
    <row r="39" spans="1:28" ht="15" customHeight="1" x14ac:dyDescent="0.3">
      <c r="A39" s="20" t="str">
        <f t="shared" si="0"/>
        <v>X</v>
      </c>
      <c r="B39" s="773"/>
      <c r="C39" s="775"/>
      <c r="D39" s="767"/>
      <c r="E39" s="577" t="s">
        <v>16</v>
      </c>
      <c r="F39" s="237" t="s">
        <v>60</v>
      </c>
      <c r="G39" s="688">
        <v>6</v>
      </c>
      <c r="H39" s="689">
        <v>2</v>
      </c>
      <c r="I39" s="420">
        <f t="shared" si="1"/>
        <v>0.33333333333333331</v>
      </c>
      <c r="J39" s="690">
        <v>2</v>
      </c>
      <c r="K39" s="240">
        <f t="shared" si="2"/>
        <v>0.16666666666666666</v>
      </c>
      <c r="L39" s="690">
        <v>1</v>
      </c>
      <c r="M39" s="240" t="str">
        <f t="shared" si="3"/>
        <v/>
      </c>
      <c r="N39" s="241"/>
      <c r="O39" s="228"/>
      <c r="P39" s="229"/>
      <c r="Q39" s="228"/>
      <c r="R39" s="229"/>
      <c r="S39" s="667" t="s">
        <v>21</v>
      </c>
      <c r="T39" s="668" t="s">
        <v>21</v>
      </c>
      <c r="U39" s="667" t="s">
        <v>21</v>
      </c>
      <c r="V39" s="669" t="s">
        <v>21</v>
      </c>
      <c r="W39" s="205" t="s">
        <v>206</v>
      </c>
      <c r="AB39" s="2" t="str">
        <f t="shared" si="5"/>
        <v>France</v>
      </c>
    </row>
    <row r="40" spans="1:28" ht="15" customHeight="1" x14ac:dyDescent="0.3">
      <c r="A40" s="20" t="str">
        <f t="shared" si="0"/>
        <v>X</v>
      </c>
      <c r="B40" s="773"/>
      <c r="C40" s="775"/>
      <c r="D40" s="767"/>
      <c r="E40" s="577" t="s">
        <v>17</v>
      </c>
      <c r="F40" s="237" t="s">
        <v>60</v>
      </c>
      <c r="G40" s="688">
        <v>20</v>
      </c>
      <c r="H40" s="689">
        <v>6</v>
      </c>
      <c r="I40" s="420">
        <f t="shared" si="1"/>
        <v>0.25</v>
      </c>
      <c r="J40" s="690">
        <v>5</v>
      </c>
      <c r="K40" s="240">
        <f t="shared" si="2"/>
        <v>0.2</v>
      </c>
      <c r="L40" s="690">
        <v>4</v>
      </c>
      <c r="M40" s="240" t="str">
        <f t="shared" si="3"/>
        <v/>
      </c>
      <c r="N40" s="241"/>
      <c r="O40" s="228">
        <v>2</v>
      </c>
      <c r="P40" s="229"/>
      <c r="Q40" s="228"/>
      <c r="R40" s="229"/>
      <c r="S40" s="667" t="s">
        <v>21</v>
      </c>
      <c r="T40" s="668" t="s">
        <v>21</v>
      </c>
      <c r="U40" s="667" t="s">
        <v>21</v>
      </c>
      <c r="V40" s="669" t="s">
        <v>21</v>
      </c>
      <c r="W40" s="205" t="s">
        <v>206</v>
      </c>
      <c r="AB40" s="2" t="str">
        <f t="shared" si="5"/>
        <v>France</v>
      </c>
    </row>
    <row r="41" spans="1:28" ht="15" customHeight="1" x14ac:dyDescent="0.3">
      <c r="A41" s="20" t="str">
        <f t="shared" si="0"/>
        <v>X</v>
      </c>
      <c r="B41" s="773"/>
      <c r="C41" s="775"/>
      <c r="D41" s="767"/>
      <c r="E41" s="577" t="s">
        <v>18</v>
      </c>
      <c r="F41" s="237" t="s">
        <v>60</v>
      </c>
      <c r="G41" s="688">
        <v>20</v>
      </c>
      <c r="H41" s="689">
        <v>9</v>
      </c>
      <c r="I41" s="420">
        <f t="shared" si="1"/>
        <v>0.25</v>
      </c>
      <c r="J41" s="690">
        <v>5</v>
      </c>
      <c r="K41" s="240">
        <f t="shared" si="2"/>
        <v>0.25</v>
      </c>
      <c r="L41" s="690">
        <v>5</v>
      </c>
      <c r="M41" s="240" t="str">
        <f t="shared" si="3"/>
        <v/>
      </c>
      <c r="N41" s="241"/>
      <c r="O41" s="228">
        <v>1</v>
      </c>
      <c r="P41" s="229"/>
      <c r="Q41" s="228"/>
      <c r="R41" s="229"/>
      <c r="S41" s="667" t="s">
        <v>21</v>
      </c>
      <c r="T41" s="668" t="s">
        <v>21</v>
      </c>
      <c r="U41" s="667" t="s">
        <v>21</v>
      </c>
      <c r="V41" s="669" t="s">
        <v>21</v>
      </c>
      <c r="W41" s="205" t="s">
        <v>206</v>
      </c>
      <c r="AB41" s="2" t="str">
        <f t="shared" si="5"/>
        <v>France</v>
      </c>
    </row>
    <row r="42" spans="1:28" ht="15" customHeight="1" x14ac:dyDescent="0.3">
      <c r="A42" s="20" t="str">
        <f t="shared" si="0"/>
        <v>X</v>
      </c>
      <c r="B42" s="773"/>
      <c r="C42" s="775"/>
      <c r="D42" s="767"/>
      <c r="E42" s="577" t="s">
        <v>19</v>
      </c>
      <c r="F42" s="237" t="s">
        <v>60</v>
      </c>
      <c r="G42" s="688">
        <v>35</v>
      </c>
      <c r="H42" s="689">
        <v>9</v>
      </c>
      <c r="I42" s="420">
        <f t="shared" si="1"/>
        <v>0.31428571428571428</v>
      </c>
      <c r="J42" s="690">
        <v>11</v>
      </c>
      <c r="K42" s="240">
        <f t="shared" si="2"/>
        <v>0.22857142857142856</v>
      </c>
      <c r="L42" s="690">
        <v>8</v>
      </c>
      <c r="M42" s="240" t="str">
        <f t="shared" si="3"/>
        <v/>
      </c>
      <c r="N42" s="241"/>
      <c r="O42" s="228">
        <v>2</v>
      </c>
      <c r="P42" s="229"/>
      <c r="Q42" s="228"/>
      <c r="R42" s="229"/>
      <c r="S42" s="667" t="s">
        <v>21</v>
      </c>
      <c r="T42" s="668" t="s">
        <v>21</v>
      </c>
      <c r="U42" s="667" t="s">
        <v>21</v>
      </c>
      <c r="V42" s="669" t="s">
        <v>21</v>
      </c>
      <c r="W42" s="205" t="s">
        <v>206</v>
      </c>
      <c r="AB42" s="2" t="str">
        <f t="shared" si="5"/>
        <v>France</v>
      </c>
    </row>
    <row r="43" spans="1:28" ht="15" customHeight="1" x14ac:dyDescent="0.3">
      <c r="A43" s="20" t="str">
        <f t="shared" si="0"/>
        <v>X</v>
      </c>
      <c r="B43" s="773"/>
      <c r="C43" s="775"/>
      <c r="D43" s="767"/>
      <c r="E43" s="577" t="s">
        <v>169</v>
      </c>
      <c r="F43" s="237" t="s">
        <v>60</v>
      </c>
      <c r="G43" s="688">
        <v>15</v>
      </c>
      <c r="H43" s="689">
        <v>7</v>
      </c>
      <c r="I43" s="420">
        <f t="shared" si="1"/>
        <v>0.2</v>
      </c>
      <c r="J43" s="690">
        <v>3</v>
      </c>
      <c r="K43" s="240" t="str">
        <f t="shared" si="2"/>
        <v/>
      </c>
      <c r="L43" s="690"/>
      <c r="M43" s="240" t="str">
        <f t="shared" si="3"/>
        <v/>
      </c>
      <c r="N43" s="241"/>
      <c r="O43" s="228"/>
      <c r="P43" s="229"/>
      <c r="Q43" s="228"/>
      <c r="R43" s="229"/>
      <c r="S43" s="667" t="s">
        <v>21</v>
      </c>
      <c r="T43" s="668" t="s">
        <v>21</v>
      </c>
      <c r="U43" s="667" t="s">
        <v>21</v>
      </c>
      <c r="V43" s="669" t="s">
        <v>21</v>
      </c>
      <c r="W43" s="205" t="s">
        <v>206</v>
      </c>
      <c r="AB43" s="2" t="str">
        <f t="shared" si="5"/>
        <v>France</v>
      </c>
    </row>
    <row r="44" spans="1:28" ht="15" customHeight="1" x14ac:dyDescent="0.3">
      <c r="A44" s="20" t="str">
        <f t="shared" si="0"/>
        <v>X</v>
      </c>
      <c r="B44" s="773"/>
      <c r="C44" s="775"/>
      <c r="D44" s="767"/>
      <c r="E44" s="577" t="s">
        <v>170</v>
      </c>
      <c r="F44" s="237" t="s">
        <v>60</v>
      </c>
      <c r="G44" s="688">
        <v>22</v>
      </c>
      <c r="H44" s="689">
        <v>7</v>
      </c>
      <c r="I44" s="420">
        <f t="shared" si="1"/>
        <v>9.0909090909090912E-2</v>
      </c>
      <c r="J44" s="690">
        <v>2</v>
      </c>
      <c r="K44" s="240">
        <f t="shared" si="2"/>
        <v>0.22727272727272727</v>
      </c>
      <c r="L44" s="690">
        <v>5</v>
      </c>
      <c r="M44" s="240" t="str">
        <f t="shared" si="3"/>
        <v/>
      </c>
      <c r="N44" s="241"/>
      <c r="O44" s="228"/>
      <c r="P44" s="229"/>
      <c r="Q44" s="228"/>
      <c r="R44" s="229"/>
      <c r="S44" s="667" t="s">
        <v>21</v>
      </c>
      <c r="T44" s="668" t="s">
        <v>21</v>
      </c>
      <c r="U44" s="667" t="s">
        <v>21</v>
      </c>
      <c r="V44" s="669" t="s">
        <v>21</v>
      </c>
      <c r="W44" s="205" t="s">
        <v>206</v>
      </c>
      <c r="AB44" s="2" t="str">
        <f t="shared" si="5"/>
        <v>France</v>
      </c>
    </row>
    <row r="45" spans="1:28" ht="15" customHeight="1" x14ac:dyDescent="0.3">
      <c r="A45" s="20" t="str">
        <f t="shared" si="0"/>
        <v/>
      </c>
      <c r="B45" s="773"/>
      <c r="C45" s="775"/>
      <c r="D45" s="767"/>
      <c r="E45" s="577" t="s">
        <v>5</v>
      </c>
      <c r="F45" s="237" t="s">
        <v>60</v>
      </c>
      <c r="G45" s="238"/>
      <c r="H45" s="239"/>
      <c r="I45" s="420" t="str">
        <f t="shared" si="1"/>
        <v/>
      </c>
      <c r="J45" s="241"/>
      <c r="K45" s="240" t="str">
        <f t="shared" si="2"/>
        <v/>
      </c>
      <c r="L45" s="241"/>
      <c r="M45" s="240" t="str">
        <f t="shared" si="3"/>
        <v/>
      </c>
      <c r="N45" s="241"/>
      <c r="O45" s="228"/>
      <c r="P45" s="229"/>
      <c r="Q45" s="228"/>
      <c r="R45" s="229"/>
      <c r="S45" s="667" t="s">
        <v>21</v>
      </c>
      <c r="T45" s="668" t="s">
        <v>21</v>
      </c>
      <c r="U45" s="667" t="s">
        <v>21</v>
      </c>
      <c r="V45" s="669" t="s">
        <v>21</v>
      </c>
      <c r="W45" s="205" t="s">
        <v>206</v>
      </c>
      <c r="AB45" s="2" t="str">
        <f t="shared" si="5"/>
        <v/>
      </c>
    </row>
    <row r="46" spans="1:28" ht="15" customHeight="1" x14ac:dyDescent="0.3">
      <c r="A46" s="20" t="str">
        <f t="shared" si="0"/>
        <v/>
      </c>
      <c r="B46" s="773"/>
      <c r="C46" s="775"/>
      <c r="D46" s="767"/>
      <c r="E46" s="727" t="s">
        <v>166</v>
      </c>
      <c r="F46" s="237"/>
      <c r="G46" s="238"/>
      <c r="H46" s="239"/>
      <c r="I46" s="686"/>
      <c r="J46" s="241"/>
      <c r="K46" s="240"/>
      <c r="L46" s="241"/>
      <c r="M46" s="240"/>
      <c r="N46" s="241"/>
      <c r="O46" s="228"/>
      <c r="P46" s="229"/>
      <c r="Q46" s="228"/>
      <c r="R46" s="229"/>
      <c r="S46" s="667" t="s">
        <v>21</v>
      </c>
      <c r="T46" s="668" t="s">
        <v>21</v>
      </c>
      <c r="U46" s="667" t="s">
        <v>21</v>
      </c>
      <c r="V46" s="669" t="s">
        <v>21</v>
      </c>
      <c r="W46" s="205"/>
    </row>
    <row r="47" spans="1:28" ht="15" customHeight="1" x14ac:dyDescent="0.3">
      <c r="A47" s="20" t="str">
        <f t="shared" si="0"/>
        <v/>
      </c>
      <c r="B47" s="773"/>
      <c r="C47" s="775"/>
      <c r="D47" s="767"/>
      <c r="E47" s="727" t="s">
        <v>166</v>
      </c>
      <c r="F47" s="237"/>
      <c r="G47" s="238"/>
      <c r="H47" s="239"/>
      <c r="I47" s="686"/>
      <c r="J47" s="241"/>
      <c r="K47" s="240"/>
      <c r="L47" s="241"/>
      <c r="M47" s="240"/>
      <c r="N47" s="241"/>
      <c r="O47" s="228"/>
      <c r="P47" s="229"/>
      <c r="Q47" s="228"/>
      <c r="R47" s="229"/>
      <c r="S47" s="667" t="s">
        <v>21</v>
      </c>
      <c r="T47" s="668" t="s">
        <v>21</v>
      </c>
      <c r="U47" s="667" t="s">
        <v>21</v>
      </c>
      <c r="V47" s="669" t="s">
        <v>21</v>
      </c>
      <c r="W47" s="205"/>
    </row>
    <row r="48" spans="1:28" ht="15" customHeight="1" x14ac:dyDescent="0.3">
      <c r="A48" s="20" t="str">
        <f t="shared" si="0"/>
        <v/>
      </c>
      <c r="B48" s="773"/>
      <c r="C48" s="775"/>
      <c r="D48" s="767"/>
      <c r="E48" s="728" t="s">
        <v>166</v>
      </c>
      <c r="F48" s="242"/>
      <c r="G48" s="243"/>
      <c r="H48" s="244"/>
      <c r="I48" s="687"/>
      <c r="J48" s="246"/>
      <c r="K48" s="245"/>
      <c r="L48" s="246"/>
      <c r="M48" s="245"/>
      <c r="N48" s="246"/>
      <c r="O48" s="230"/>
      <c r="P48" s="231"/>
      <c r="Q48" s="230"/>
      <c r="R48" s="231"/>
      <c r="S48" s="670" t="s">
        <v>21</v>
      </c>
      <c r="T48" s="671" t="s">
        <v>21</v>
      </c>
      <c r="U48" s="670" t="s">
        <v>21</v>
      </c>
      <c r="V48" s="672" t="s">
        <v>21</v>
      </c>
      <c r="W48" s="205"/>
    </row>
    <row r="49" spans="1:28" ht="15.6" x14ac:dyDescent="0.3">
      <c r="A49" s="20" t="str">
        <f t="shared" si="0"/>
        <v>S</v>
      </c>
      <c r="B49" s="773"/>
      <c r="C49" s="776"/>
      <c r="D49" s="309" t="s">
        <v>138</v>
      </c>
      <c r="E49" s="717"/>
      <c r="F49" s="16"/>
      <c r="G49" s="7">
        <f>SUM(G35:G48)</f>
        <v>285</v>
      </c>
      <c r="H49" s="8">
        <f>SUM(H35:H48)</f>
        <v>106</v>
      </c>
      <c r="I49" s="9">
        <f>J49/G49</f>
        <v>0.31228070175438599</v>
      </c>
      <c r="J49" s="202">
        <f>SUM(J35:J48)</f>
        <v>89</v>
      </c>
      <c r="K49" s="9">
        <f t="shared" si="2"/>
        <v>0.25263157894736843</v>
      </c>
      <c r="L49" s="202">
        <f>SUM(L35:L48)</f>
        <v>72</v>
      </c>
      <c r="M49" s="9">
        <f t="shared" si="3"/>
        <v>0</v>
      </c>
      <c r="N49" s="202">
        <f t="shared" ref="N49:V49" si="20">SUM(N35:N48)</f>
        <v>0</v>
      </c>
      <c r="O49" s="118">
        <f t="shared" si="20"/>
        <v>58</v>
      </c>
      <c r="P49" s="119">
        <f t="shared" si="20"/>
        <v>0</v>
      </c>
      <c r="Q49" s="118">
        <f t="shared" si="20"/>
        <v>0</v>
      </c>
      <c r="R49" s="119">
        <f t="shared" si="20"/>
        <v>0</v>
      </c>
      <c r="S49" s="118">
        <f t="shared" si="20"/>
        <v>0</v>
      </c>
      <c r="T49" s="119">
        <f t="shared" si="20"/>
        <v>0</v>
      </c>
      <c r="U49" s="118">
        <f t="shared" si="20"/>
        <v>0</v>
      </c>
      <c r="V49" s="120">
        <f t="shared" si="20"/>
        <v>0</v>
      </c>
      <c r="W49" s="205" t="s">
        <v>206</v>
      </c>
      <c r="AB49" s="2">
        <f t="shared" si="5"/>
        <v>0</v>
      </c>
    </row>
    <row r="50" spans="1:28" x14ac:dyDescent="0.3">
      <c r="A50" s="20" t="str">
        <f>IF(D50="Sous-total","S",IF(G50="","","X"))</f>
        <v>X</v>
      </c>
      <c r="B50" s="773" t="s">
        <v>83</v>
      </c>
      <c r="C50" s="775" t="s">
        <v>75</v>
      </c>
      <c r="D50" s="757">
        <v>6</v>
      </c>
      <c r="E50" s="719" t="s">
        <v>10</v>
      </c>
      <c r="F50" s="232" t="s">
        <v>60</v>
      </c>
      <c r="G50" s="233">
        <v>50</v>
      </c>
      <c r="H50" s="234">
        <v>37</v>
      </c>
      <c r="I50" s="411">
        <f>IF(J50="","",J50/G50)</f>
        <v>0.68</v>
      </c>
      <c r="J50" s="234">
        <v>34</v>
      </c>
      <c r="K50" s="235">
        <f>IF(L50="","",L50/G50)</f>
        <v>0.22</v>
      </c>
      <c r="L50" s="236">
        <v>11</v>
      </c>
      <c r="M50" s="235">
        <f>IF(N50="","",N50/L50)</f>
        <v>0.81818181818181823</v>
      </c>
      <c r="N50" s="236">
        <v>9</v>
      </c>
      <c r="O50" s="226">
        <v>3</v>
      </c>
      <c r="P50" s="227">
        <v>3</v>
      </c>
      <c r="Q50" s="226">
        <v>2</v>
      </c>
      <c r="R50" s="227">
        <v>2</v>
      </c>
      <c r="S50" s="664" t="s">
        <v>21</v>
      </c>
      <c r="T50" s="665" t="s">
        <v>21</v>
      </c>
      <c r="U50" s="664" t="s">
        <v>21</v>
      </c>
      <c r="V50" s="666" t="s">
        <v>21</v>
      </c>
      <c r="W50" s="205" t="s">
        <v>206</v>
      </c>
      <c r="AB50" s="2" t="str">
        <f t="shared" si="5"/>
        <v>France</v>
      </c>
    </row>
    <row r="51" spans="1:28" x14ac:dyDescent="0.3">
      <c r="A51" s="20" t="str">
        <f t="shared" ref="A51:A113" si="21">IF(D51="Sous-total","S",IF(G51="","","X"))</f>
        <v>X</v>
      </c>
      <c r="B51" s="773"/>
      <c r="C51" s="775"/>
      <c r="D51" s="757"/>
      <c r="E51" s="577" t="s">
        <v>11</v>
      </c>
      <c r="F51" s="237" t="s">
        <v>60</v>
      </c>
      <c r="G51" s="238">
        <v>26</v>
      </c>
      <c r="H51" s="239">
        <v>17</v>
      </c>
      <c r="I51" s="420">
        <f t="shared" ref="I51:I60" si="22">IF(J51="","",J51/G51)</f>
        <v>0.42307692307692307</v>
      </c>
      <c r="J51" s="239">
        <v>11</v>
      </c>
      <c r="K51" s="240">
        <f t="shared" ref="K51:K128" si="23">IF(L51="","",L51/G51)</f>
        <v>0.23076923076923078</v>
      </c>
      <c r="L51" s="241">
        <v>6</v>
      </c>
      <c r="M51" s="240">
        <f>IF(N51="","",N51/L51)</f>
        <v>0.66666666666666663</v>
      </c>
      <c r="N51" s="241">
        <v>4</v>
      </c>
      <c r="O51" s="228"/>
      <c r="P51" s="229"/>
      <c r="Q51" s="228">
        <v>1</v>
      </c>
      <c r="R51" s="229">
        <v>1</v>
      </c>
      <c r="S51" s="667" t="s">
        <v>21</v>
      </c>
      <c r="T51" s="668" t="s">
        <v>21</v>
      </c>
      <c r="U51" s="667" t="s">
        <v>21</v>
      </c>
      <c r="V51" s="669" t="s">
        <v>21</v>
      </c>
      <c r="W51" s="205" t="s">
        <v>206</v>
      </c>
      <c r="AB51" s="2" t="str">
        <f t="shared" si="5"/>
        <v>France</v>
      </c>
    </row>
    <row r="52" spans="1:28" x14ac:dyDescent="0.3">
      <c r="A52" s="20" t="str">
        <f t="shared" si="21"/>
        <v/>
      </c>
      <c r="B52" s="773"/>
      <c r="C52" s="775"/>
      <c r="D52" s="757"/>
      <c r="E52" s="577" t="s">
        <v>12</v>
      </c>
      <c r="F52" s="237" t="s">
        <v>60</v>
      </c>
      <c r="G52" s="238"/>
      <c r="H52" s="239"/>
      <c r="I52" s="420" t="str">
        <f t="shared" si="22"/>
        <v/>
      </c>
      <c r="J52" s="239"/>
      <c r="K52" s="240" t="str">
        <f t="shared" si="23"/>
        <v/>
      </c>
      <c r="L52" s="241"/>
      <c r="M52" s="240" t="str">
        <f t="shared" ref="M52:M128" si="24">IF(N52="","",N52/L52)</f>
        <v/>
      </c>
      <c r="N52" s="241" t="s">
        <v>203</v>
      </c>
      <c r="O52" s="228"/>
      <c r="P52" s="229"/>
      <c r="Q52" s="228"/>
      <c r="R52" s="229"/>
      <c r="S52" s="667" t="s">
        <v>21</v>
      </c>
      <c r="T52" s="668" t="s">
        <v>21</v>
      </c>
      <c r="U52" s="667" t="s">
        <v>21</v>
      </c>
      <c r="V52" s="669" t="s">
        <v>21</v>
      </c>
      <c r="W52" s="205" t="s">
        <v>206</v>
      </c>
      <c r="AB52" s="2" t="str">
        <f t="shared" si="5"/>
        <v/>
      </c>
    </row>
    <row r="53" spans="1:28" x14ac:dyDescent="0.3">
      <c r="A53" s="20" t="str">
        <f t="shared" si="21"/>
        <v>X</v>
      </c>
      <c r="B53" s="773"/>
      <c r="C53" s="775"/>
      <c r="D53" s="757"/>
      <c r="E53" s="577" t="s">
        <v>7</v>
      </c>
      <c r="F53" s="237" t="s">
        <v>60</v>
      </c>
      <c r="G53" s="238">
        <v>29</v>
      </c>
      <c r="H53" s="239">
        <v>16</v>
      </c>
      <c r="I53" s="420">
        <f t="shared" si="22"/>
        <v>0.37931034482758619</v>
      </c>
      <c r="J53" s="239">
        <v>11</v>
      </c>
      <c r="K53" s="240">
        <f t="shared" si="23"/>
        <v>0.31034482758620691</v>
      </c>
      <c r="L53" s="241">
        <v>9</v>
      </c>
      <c r="M53" s="240">
        <f t="shared" si="24"/>
        <v>0.55555555555555558</v>
      </c>
      <c r="N53" s="241">
        <v>5</v>
      </c>
      <c r="O53" s="228">
        <v>4</v>
      </c>
      <c r="P53" s="229">
        <v>3</v>
      </c>
      <c r="Q53" s="228">
        <v>49</v>
      </c>
      <c r="R53" s="229">
        <v>36</v>
      </c>
      <c r="S53" s="667" t="s">
        <v>21</v>
      </c>
      <c r="T53" s="668" t="s">
        <v>21</v>
      </c>
      <c r="U53" s="667" t="s">
        <v>21</v>
      </c>
      <c r="V53" s="669" t="s">
        <v>21</v>
      </c>
      <c r="W53" s="205" t="s">
        <v>206</v>
      </c>
      <c r="AB53" s="2" t="str">
        <f t="shared" si="5"/>
        <v>France</v>
      </c>
    </row>
    <row r="54" spans="1:28" x14ac:dyDescent="0.3">
      <c r="A54" s="20" t="str">
        <f t="shared" si="21"/>
        <v>X</v>
      </c>
      <c r="B54" s="773"/>
      <c r="C54" s="775"/>
      <c r="D54" s="757"/>
      <c r="E54" s="577" t="s">
        <v>132</v>
      </c>
      <c r="F54" s="237" t="s">
        <v>60</v>
      </c>
      <c r="G54" s="238">
        <v>18</v>
      </c>
      <c r="H54" s="239">
        <v>9</v>
      </c>
      <c r="I54" s="420">
        <f t="shared" si="22"/>
        <v>0.33333333333333331</v>
      </c>
      <c r="J54" s="239">
        <v>6</v>
      </c>
      <c r="K54" s="240">
        <f t="shared" si="23"/>
        <v>0.16666666666666666</v>
      </c>
      <c r="L54" s="241">
        <v>3</v>
      </c>
      <c r="M54" s="240">
        <f t="shared" si="24"/>
        <v>1</v>
      </c>
      <c r="N54" s="241">
        <v>3</v>
      </c>
      <c r="O54" s="228"/>
      <c r="P54" s="229"/>
      <c r="Q54" s="228"/>
      <c r="R54" s="229"/>
      <c r="S54" s="667" t="s">
        <v>21</v>
      </c>
      <c r="T54" s="668" t="s">
        <v>21</v>
      </c>
      <c r="U54" s="667" t="s">
        <v>21</v>
      </c>
      <c r="V54" s="669" t="s">
        <v>21</v>
      </c>
      <c r="W54" s="205" t="s">
        <v>206</v>
      </c>
      <c r="AB54" s="2" t="str">
        <f t="shared" si="5"/>
        <v>France</v>
      </c>
    </row>
    <row r="55" spans="1:28" x14ac:dyDescent="0.3">
      <c r="A55" s="20" t="str">
        <f t="shared" si="21"/>
        <v/>
      </c>
      <c r="B55" s="773"/>
      <c r="C55" s="775"/>
      <c r="D55" s="757"/>
      <c r="E55" s="577" t="s">
        <v>8</v>
      </c>
      <c r="F55" s="237" t="s">
        <v>60</v>
      </c>
      <c r="G55" s="238"/>
      <c r="H55" s="239"/>
      <c r="I55" s="420" t="str">
        <f t="shared" si="22"/>
        <v/>
      </c>
      <c r="J55" s="239"/>
      <c r="K55" s="240" t="str">
        <f t="shared" si="23"/>
        <v/>
      </c>
      <c r="L55" s="241"/>
      <c r="M55" s="240" t="str">
        <f t="shared" si="24"/>
        <v/>
      </c>
      <c r="N55" s="241" t="s">
        <v>203</v>
      </c>
      <c r="O55" s="228"/>
      <c r="P55" s="229"/>
      <c r="Q55" s="228"/>
      <c r="R55" s="229"/>
      <c r="S55" s="667" t="s">
        <v>21</v>
      </c>
      <c r="T55" s="668" t="s">
        <v>21</v>
      </c>
      <c r="U55" s="667" t="s">
        <v>21</v>
      </c>
      <c r="V55" s="669" t="s">
        <v>21</v>
      </c>
      <c r="W55" s="205" t="s">
        <v>206</v>
      </c>
      <c r="AB55" s="2" t="str">
        <f t="shared" si="5"/>
        <v/>
      </c>
    </row>
    <row r="56" spans="1:28" x14ac:dyDescent="0.3">
      <c r="A56" s="20" t="str">
        <f t="shared" si="21"/>
        <v>X</v>
      </c>
      <c r="B56" s="773"/>
      <c r="C56" s="775"/>
      <c r="D56" s="757"/>
      <c r="E56" s="577" t="s">
        <v>6</v>
      </c>
      <c r="F56" s="237" t="s">
        <v>60</v>
      </c>
      <c r="G56" s="238">
        <v>14</v>
      </c>
      <c r="H56" s="239">
        <v>10</v>
      </c>
      <c r="I56" s="420">
        <f t="shared" si="22"/>
        <v>0.2857142857142857</v>
      </c>
      <c r="J56" s="239">
        <v>4</v>
      </c>
      <c r="K56" s="240">
        <f t="shared" si="23"/>
        <v>0.21428571428571427</v>
      </c>
      <c r="L56" s="241">
        <v>3</v>
      </c>
      <c r="M56" s="240">
        <f t="shared" si="24"/>
        <v>0.66666666666666663</v>
      </c>
      <c r="N56" s="241">
        <v>2</v>
      </c>
      <c r="O56" s="228">
        <v>1</v>
      </c>
      <c r="P56" s="229">
        <v>1</v>
      </c>
      <c r="Q56" s="228"/>
      <c r="R56" s="229"/>
      <c r="S56" s="667" t="s">
        <v>21</v>
      </c>
      <c r="T56" s="668" t="s">
        <v>21</v>
      </c>
      <c r="U56" s="667" t="s">
        <v>21</v>
      </c>
      <c r="V56" s="669" t="s">
        <v>21</v>
      </c>
      <c r="W56" s="205" t="s">
        <v>206</v>
      </c>
      <c r="AB56" s="2" t="str">
        <f t="shared" si="5"/>
        <v>France</v>
      </c>
    </row>
    <row r="57" spans="1:28" ht="15" customHeight="1" x14ac:dyDescent="0.3">
      <c r="A57" s="20" t="str">
        <f t="shared" si="21"/>
        <v/>
      </c>
      <c r="B57" s="773"/>
      <c r="C57" s="775"/>
      <c r="D57" s="757"/>
      <c r="E57" s="577" t="s">
        <v>228</v>
      </c>
      <c r="F57" s="237" t="s">
        <v>60</v>
      </c>
      <c r="G57" s="238"/>
      <c r="H57" s="239"/>
      <c r="I57" s="420" t="str">
        <f t="shared" si="22"/>
        <v/>
      </c>
      <c r="J57" s="239"/>
      <c r="K57" s="240" t="str">
        <f t="shared" si="23"/>
        <v/>
      </c>
      <c r="L57" s="241"/>
      <c r="M57" s="240" t="str">
        <f t="shared" si="24"/>
        <v/>
      </c>
      <c r="N57" s="241" t="s">
        <v>203</v>
      </c>
      <c r="O57" s="228"/>
      <c r="P57" s="229"/>
      <c r="Q57" s="228"/>
      <c r="R57" s="229"/>
      <c r="S57" s="667" t="s">
        <v>21</v>
      </c>
      <c r="T57" s="668" t="s">
        <v>21</v>
      </c>
      <c r="U57" s="667" t="s">
        <v>21</v>
      </c>
      <c r="V57" s="669" t="s">
        <v>21</v>
      </c>
      <c r="W57" s="205" t="s">
        <v>206</v>
      </c>
      <c r="AB57" s="2" t="str">
        <f t="shared" si="5"/>
        <v/>
      </c>
    </row>
    <row r="58" spans="1:28" ht="15" customHeight="1" x14ac:dyDescent="0.3">
      <c r="A58" s="20" t="str">
        <f t="shared" si="21"/>
        <v/>
      </c>
      <c r="B58" s="773"/>
      <c r="C58" s="775"/>
      <c r="D58" s="757"/>
      <c r="E58" s="577" t="s">
        <v>229</v>
      </c>
      <c r="F58" s="237" t="s">
        <v>60</v>
      </c>
      <c r="G58" s="238"/>
      <c r="H58" s="239"/>
      <c r="I58" s="420" t="str">
        <f t="shared" si="22"/>
        <v/>
      </c>
      <c r="J58" s="239"/>
      <c r="K58" s="240" t="str">
        <f t="shared" si="23"/>
        <v/>
      </c>
      <c r="L58" s="241"/>
      <c r="M58" s="240" t="str">
        <f t="shared" si="24"/>
        <v/>
      </c>
      <c r="N58" s="241" t="s">
        <v>203</v>
      </c>
      <c r="O58" s="228"/>
      <c r="P58" s="229"/>
      <c r="Q58" s="228"/>
      <c r="R58" s="229"/>
      <c r="S58" s="667" t="s">
        <v>21</v>
      </c>
      <c r="T58" s="668" t="s">
        <v>21</v>
      </c>
      <c r="U58" s="667" t="s">
        <v>21</v>
      </c>
      <c r="V58" s="669" t="s">
        <v>21</v>
      </c>
      <c r="W58" s="205" t="s">
        <v>206</v>
      </c>
      <c r="AB58" s="2" t="str">
        <f t="shared" si="5"/>
        <v/>
      </c>
    </row>
    <row r="59" spans="1:28" x14ac:dyDescent="0.3">
      <c r="A59" s="20" t="str">
        <f t="shared" si="21"/>
        <v>X</v>
      </c>
      <c r="B59" s="773"/>
      <c r="C59" s="775"/>
      <c r="D59" s="757"/>
      <c r="E59" s="577" t="s">
        <v>198</v>
      </c>
      <c r="F59" s="237" t="s">
        <v>60</v>
      </c>
      <c r="G59" s="238">
        <v>11</v>
      </c>
      <c r="H59" s="239">
        <v>7</v>
      </c>
      <c r="I59" s="420">
        <f t="shared" si="22"/>
        <v>0.63636363636363635</v>
      </c>
      <c r="J59" s="239">
        <v>7</v>
      </c>
      <c r="K59" s="240">
        <f t="shared" si="23"/>
        <v>9.0909090909090912E-2</v>
      </c>
      <c r="L59" s="241">
        <v>1</v>
      </c>
      <c r="M59" s="240">
        <f t="shared" si="24"/>
        <v>1</v>
      </c>
      <c r="N59" s="241">
        <v>1</v>
      </c>
      <c r="O59" s="228"/>
      <c r="P59" s="229"/>
      <c r="Q59" s="228"/>
      <c r="R59" s="229"/>
      <c r="S59" s="667" t="s">
        <v>21</v>
      </c>
      <c r="T59" s="668" t="s">
        <v>21</v>
      </c>
      <c r="U59" s="667" t="s">
        <v>21</v>
      </c>
      <c r="V59" s="669" t="s">
        <v>21</v>
      </c>
      <c r="W59" s="205" t="s">
        <v>206</v>
      </c>
      <c r="AB59" s="2" t="str">
        <f t="shared" si="5"/>
        <v>France</v>
      </c>
    </row>
    <row r="60" spans="1:28" x14ac:dyDescent="0.3">
      <c r="A60" s="20" t="str">
        <f t="shared" si="21"/>
        <v/>
      </c>
      <c r="B60" s="773"/>
      <c r="C60" s="775"/>
      <c r="D60" s="757"/>
      <c r="E60" s="577" t="s">
        <v>9</v>
      </c>
      <c r="F60" s="237" t="s">
        <v>60</v>
      </c>
      <c r="G60" s="238" t="s">
        <v>203</v>
      </c>
      <c r="H60" s="239" t="s">
        <v>203</v>
      </c>
      <c r="I60" s="420" t="str">
        <f t="shared" si="22"/>
        <v/>
      </c>
      <c r="J60" s="239" t="s">
        <v>203</v>
      </c>
      <c r="K60" s="240" t="str">
        <f t="shared" si="23"/>
        <v/>
      </c>
      <c r="L60" s="241" t="s">
        <v>203</v>
      </c>
      <c r="M60" s="240" t="str">
        <f t="shared" si="24"/>
        <v/>
      </c>
      <c r="N60" s="241" t="s">
        <v>203</v>
      </c>
      <c r="O60" s="228"/>
      <c r="P60" s="229"/>
      <c r="Q60" s="228"/>
      <c r="R60" s="229"/>
      <c r="S60" s="667" t="s">
        <v>21</v>
      </c>
      <c r="T60" s="668" t="s">
        <v>21</v>
      </c>
      <c r="U60" s="667" t="s">
        <v>21</v>
      </c>
      <c r="V60" s="669" t="s">
        <v>21</v>
      </c>
      <c r="W60" s="205" t="s">
        <v>206</v>
      </c>
      <c r="AB60" s="2" t="str">
        <f t="shared" si="5"/>
        <v/>
      </c>
    </row>
    <row r="61" spans="1:28" ht="15.75" customHeight="1" x14ac:dyDescent="0.3">
      <c r="A61" s="20" t="str">
        <f t="shared" si="21"/>
        <v/>
      </c>
      <c r="B61" s="773"/>
      <c r="C61" s="775"/>
      <c r="D61" s="757"/>
      <c r="E61" s="727" t="s">
        <v>166</v>
      </c>
      <c r="F61" s="237"/>
      <c r="G61" s="238"/>
      <c r="H61" s="239"/>
      <c r="I61" s="686"/>
      <c r="J61" s="239"/>
      <c r="K61" s="240"/>
      <c r="L61" s="241"/>
      <c r="M61" s="240"/>
      <c r="N61" s="241"/>
      <c r="O61" s="228"/>
      <c r="P61" s="229"/>
      <c r="Q61" s="228"/>
      <c r="R61" s="229"/>
      <c r="S61" s="667" t="s">
        <v>21</v>
      </c>
      <c r="T61" s="668" t="s">
        <v>21</v>
      </c>
      <c r="U61" s="667" t="s">
        <v>21</v>
      </c>
      <c r="V61" s="669" t="s">
        <v>21</v>
      </c>
      <c r="W61" s="205"/>
    </row>
    <row r="62" spans="1:28" ht="15.75" customHeight="1" x14ac:dyDescent="0.3">
      <c r="A62" s="20" t="str">
        <f t="shared" si="21"/>
        <v/>
      </c>
      <c r="B62" s="773"/>
      <c r="C62" s="775"/>
      <c r="D62" s="757"/>
      <c r="E62" s="727" t="s">
        <v>166</v>
      </c>
      <c r="F62" s="237"/>
      <c r="G62" s="238"/>
      <c r="H62" s="239"/>
      <c r="I62" s="686"/>
      <c r="J62" s="239"/>
      <c r="K62" s="240"/>
      <c r="L62" s="241"/>
      <c r="M62" s="240"/>
      <c r="N62" s="241"/>
      <c r="O62" s="228"/>
      <c r="P62" s="229"/>
      <c r="Q62" s="228"/>
      <c r="R62" s="229"/>
      <c r="S62" s="667" t="s">
        <v>21</v>
      </c>
      <c r="T62" s="668" t="s">
        <v>21</v>
      </c>
      <c r="U62" s="667" t="s">
        <v>21</v>
      </c>
      <c r="V62" s="669" t="s">
        <v>21</v>
      </c>
      <c r="W62" s="205"/>
    </row>
    <row r="63" spans="1:28" ht="15.75" customHeight="1" x14ac:dyDescent="0.3">
      <c r="A63" s="20" t="str">
        <f t="shared" si="21"/>
        <v/>
      </c>
      <c r="B63" s="773"/>
      <c r="C63" s="775"/>
      <c r="D63" s="757"/>
      <c r="E63" s="728" t="s">
        <v>166</v>
      </c>
      <c r="F63" s="242"/>
      <c r="G63" s="243"/>
      <c r="H63" s="244"/>
      <c r="I63" s="687"/>
      <c r="J63" s="244"/>
      <c r="K63" s="245"/>
      <c r="L63" s="246"/>
      <c r="M63" s="245"/>
      <c r="N63" s="246"/>
      <c r="O63" s="230"/>
      <c r="P63" s="231"/>
      <c r="Q63" s="230"/>
      <c r="R63" s="231"/>
      <c r="S63" s="670" t="s">
        <v>21</v>
      </c>
      <c r="T63" s="671" t="s">
        <v>21</v>
      </c>
      <c r="U63" s="670" t="s">
        <v>21</v>
      </c>
      <c r="V63" s="672" t="s">
        <v>21</v>
      </c>
      <c r="W63" s="205"/>
    </row>
    <row r="64" spans="1:28" ht="16.2" thickBot="1" x14ac:dyDescent="0.35">
      <c r="A64" s="20" t="str">
        <f t="shared" si="21"/>
        <v>S</v>
      </c>
      <c r="B64" s="774"/>
      <c r="C64" s="777"/>
      <c r="D64" s="311" t="s">
        <v>138</v>
      </c>
      <c r="E64" s="724"/>
      <c r="F64" s="219"/>
      <c r="G64" s="7">
        <f>SUM(G50:G63)</f>
        <v>148</v>
      </c>
      <c r="H64" s="8">
        <f>SUM(H50:H63)</f>
        <v>96</v>
      </c>
      <c r="I64" s="9">
        <f>IF(J64="","",J64/G64)</f>
        <v>0.49324324324324326</v>
      </c>
      <c r="J64" s="202">
        <f>SUM(J50:J63)</f>
        <v>73</v>
      </c>
      <c r="K64" s="9">
        <f t="shared" si="23"/>
        <v>0.22297297297297297</v>
      </c>
      <c r="L64" s="202">
        <f>SUM(L50:L63)</f>
        <v>33</v>
      </c>
      <c r="M64" s="9">
        <f t="shared" si="24"/>
        <v>0.72727272727272729</v>
      </c>
      <c r="N64" s="202">
        <f t="shared" ref="N64:V64" si="25">SUM(N50:N63)</f>
        <v>24</v>
      </c>
      <c r="O64" s="500">
        <f t="shared" si="25"/>
        <v>8</v>
      </c>
      <c r="P64" s="501">
        <f t="shared" si="25"/>
        <v>7</v>
      </c>
      <c r="Q64" s="500">
        <f t="shared" si="25"/>
        <v>52</v>
      </c>
      <c r="R64" s="501">
        <f t="shared" si="25"/>
        <v>39</v>
      </c>
      <c r="S64" s="500">
        <f t="shared" si="25"/>
        <v>0</v>
      </c>
      <c r="T64" s="501">
        <f t="shared" si="25"/>
        <v>0</v>
      </c>
      <c r="U64" s="500">
        <f t="shared" si="25"/>
        <v>0</v>
      </c>
      <c r="V64" s="502">
        <f t="shared" si="25"/>
        <v>0</v>
      </c>
      <c r="W64" s="205" t="s">
        <v>206</v>
      </c>
      <c r="AB64" s="2">
        <f t="shared" si="5"/>
        <v>0</v>
      </c>
    </row>
    <row r="65" spans="1:28" s="15" customFormat="1" ht="27.75" customHeight="1" thickBot="1" x14ac:dyDescent="0.35">
      <c r="A65" s="20" t="str">
        <f t="shared" si="21"/>
        <v>X</v>
      </c>
      <c r="B65" s="102" t="s">
        <v>78</v>
      </c>
      <c r="C65" s="103"/>
      <c r="D65" s="103">
        <f>SUM(D5:D60)</f>
        <v>37</v>
      </c>
      <c r="E65" s="716" t="s">
        <v>79</v>
      </c>
      <c r="F65" s="372"/>
      <c r="G65" s="341">
        <f>G8+G12+G34+G49+G64</f>
        <v>1219</v>
      </c>
      <c r="H65" s="342">
        <f>H8+H12+H34+H49+H64</f>
        <v>894</v>
      </c>
      <c r="I65" s="343">
        <f t="shared" ref="I65:I142" si="26">IF(J65="","",J65/G65)</f>
        <v>0.27973748974569318</v>
      </c>
      <c r="J65" s="33">
        <f>J8+J12+J34+J49+J64</f>
        <v>341</v>
      </c>
      <c r="K65" s="32">
        <f t="shared" si="23"/>
        <v>0.30844954881050041</v>
      </c>
      <c r="L65" s="33">
        <f>L8+L12+L34+L49+L64</f>
        <v>376</v>
      </c>
      <c r="M65" s="343">
        <f t="shared" si="24"/>
        <v>0.31648936170212766</v>
      </c>
      <c r="N65" s="33">
        <f t="shared" ref="N65:V65" si="27">N8+N12+N34+N49+N64</f>
        <v>119</v>
      </c>
      <c r="O65" s="34">
        <f t="shared" si="27"/>
        <v>353</v>
      </c>
      <c r="P65" s="35">
        <f t="shared" si="27"/>
        <v>7</v>
      </c>
      <c r="Q65" s="34">
        <f t="shared" si="27"/>
        <v>68</v>
      </c>
      <c r="R65" s="35">
        <f t="shared" si="27"/>
        <v>39</v>
      </c>
      <c r="S65" s="267">
        <f t="shared" si="27"/>
        <v>135</v>
      </c>
      <c r="T65" s="266">
        <f t="shared" si="27"/>
        <v>68</v>
      </c>
      <c r="U65" s="267">
        <f t="shared" si="27"/>
        <v>7</v>
      </c>
      <c r="V65" s="340">
        <f t="shared" si="27"/>
        <v>5</v>
      </c>
      <c r="W65" s="205" t="s">
        <v>206</v>
      </c>
      <c r="X65" s="362"/>
      <c r="Y65" s="1"/>
      <c r="AB65" s="2">
        <f t="shared" si="5"/>
        <v>0</v>
      </c>
    </row>
    <row r="66" spans="1:28" ht="15" customHeight="1" x14ac:dyDescent="0.3">
      <c r="A66" s="20" t="str">
        <f t="shared" si="21"/>
        <v/>
      </c>
      <c r="B66" s="778" t="s">
        <v>84</v>
      </c>
      <c r="C66" s="781" t="s">
        <v>76</v>
      </c>
      <c r="D66" s="768">
        <v>10</v>
      </c>
      <c r="E66" s="726" t="s">
        <v>25</v>
      </c>
      <c r="F66" s="465" t="s">
        <v>60</v>
      </c>
      <c r="G66" s="233"/>
      <c r="H66" s="234"/>
      <c r="I66" s="235" t="str">
        <f t="shared" si="26"/>
        <v/>
      </c>
      <c r="J66" s="236"/>
      <c r="K66" s="235" t="str">
        <f t="shared" si="23"/>
        <v/>
      </c>
      <c r="L66" s="236"/>
      <c r="M66" s="235" t="str">
        <f t="shared" si="24"/>
        <v/>
      </c>
      <c r="N66" s="236"/>
      <c r="O66" s="226"/>
      <c r="P66" s="227"/>
      <c r="Q66" s="226"/>
      <c r="R66" s="227"/>
      <c r="S66" s="664"/>
      <c r="T66" s="665"/>
      <c r="U66" s="664"/>
      <c r="V66" s="666"/>
      <c r="W66" s="205" t="s">
        <v>206</v>
      </c>
      <c r="AB66" s="2" t="str">
        <f t="shared" si="5"/>
        <v/>
      </c>
    </row>
    <row r="67" spans="1:28" ht="15" customHeight="1" x14ac:dyDescent="0.3">
      <c r="A67" s="20" t="str">
        <f t="shared" si="21"/>
        <v>X</v>
      </c>
      <c r="B67" s="779"/>
      <c r="C67" s="782"/>
      <c r="D67" s="760"/>
      <c r="E67" s="721" t="s">
        <v>26</v>
      </c>
      <c r="F67" s="410" t="s">
        <v>60</v>
      </c>
      <c r="G67" s="238">
        <v>620</v>
      </c>
      <c r="H67" s="239">
        <v>331</v>
      </c>
      <c r="I67" s="240">
        <f t="shared" si="26"/>
        <v>0.43870967741935485</v>
      </c>
      <c r="J67" s="241">
        <v>272</v>
      </c>
      <c r="K67" s="240">
        <f t="shared" si="23"/>
        <v>0.36774193548387096</v>
      </c>
      <c r="L67" s="241">
        <v>228</v>
      </c>
      <c r="M67" s="240" t="str">
        <f t="shared" si="24"/>
        <v/>
      </c>
      <c r="N67" s="241"/>
      <c r="O67" s="228"/>
      <c r="P67" s="229"/>
      <c r="Q67" s="228"/>
      <c r="R67" s="229"/>
      <c r="S67" s="667"/>
      <c r="T67" s="668"/>
      <c r="U67" s="667"/>
      <c r="V67" s="669"/>
      <c r="W67" s="205" t="s">
        <v>206</v>
      </c>
      <c r="AB67" s="2" t="str">
        <f t="shared" si="5"/>
        <v>France</v>
      </c>
    </row>
    <row r="68" spans="1:28" ht="15" customHeight="1" x14ac:dyDescent="0.3">
      <c r="A68" s="20" t="str">
        <f t="shared" si="21"/>
        <v>X</v>
      </c>
      <c r="B68" s="779"/>
      <c r="C68" s="782"/>
      <c r="D68" s="760"/>
      <c r="E68" s="721" t="s">
        <v>58</v>
      </c>
      <c r="F68" s="410" t="s">
        <v>60</v>
      </c>
      <c r="G68" s="238">
        <v>325</v>
      </c>
      <c r="H68" s="239">
        <v>227</v>
      </c>
      <c r="I68" s="240">
        <f t="shared" si="26"/>
        <v>0.51692307692307693</v>
      </c>
      <c r="J68" s="241">
        <v>168</v>
      </c>
      <c r="K68" s="240">
        <f t="shared" si="23"/>
        <v>0.4</v>
      </c>
      <c r="L68" s="241">
        <v>130</v>
      </c>
      <c r="M68" s="240" t="str">
        <f t="shared" si="24"/>
        <v/>
      </c>
      <c r="N68" s="241"/>
      <c r="O68" s="228"/>
      <c r="P68" s="229"/>
      <c r="Q68" s="228"/>
      <c r="R68" s="229"/>
      <c r="S68" s="667" t="s">
        <v>21</v>
      </c>
      <c r="T68" s="668" t="s">
        <v>21</v>
      </c>
      <c r="U68" s="667" t="s">
        <v>21</v>
      </c>
      <c r="V68" s="669" t="s">
        <v>21</v>
      </c>
      <c r="W68" s="205" t="s">
        <v>206</v>
      </c>
      <c r="AB68" s="2" t="str">
        <f t="shared" si="5"/>
        <v>France</v>
      </c>
    </row>
    <row r="69" spans="1:28" ht="15" customHeight="1" x14ac:dyDescent="0.3">
      <c r="A69" s="20" t="str">
        <f t="shared" si="21"/>
        <v>X</v>
      </c>
      <c r="B69" s="779"/>
      <c r="C69" s="782"/>
      <c r="D69" s="760"/>
      <c r="E69" s="721" t="s">
        <v>24</v>
      </c>
      <c r="F69" s="410" t="s">
        <v>62</v>
      </c>
      <c r="G69" s="238">
        <v>180</v>
      </c>
      <c r="H69" s="239">
        <v>92</v>
      </c>
      <c r="I69" s="240">
        <f t="shared" si="26"/>
        <v>0.43888888888888888</v>
      </c>
      <c r="J69" s="241">
        <v>79</v>
      </c>
      <c r="K69" s="240">
        <f t="shared" si="23"/>
        <v>0.40555555555555556</v>
      </c>
      <c r="L69" s="241">
        <v>73</v>
      </c>
      <c r="M69" s="240" t="str">
        <f t="shared" si="24"/>
        <v/>
      </c>
      <c r="N69" s="241"/>
      <c r="O69" s="228"/>
      <c r="P69" s="229"/>
      <c r="Q69" s="228"/>
      <c r="R69" s="229"/>
      <c r="S69" s="667"/>
      <c r="T69" s="668"/>
      <c r="U69" s="667"/>
      <c r="V69" s="669"/>
      <c r="W69" s="205" t="s">
        <v>206</v>
      </c>
      <c r="AB69" s="2" t="str">
        <f t="shared" si="5"/>
        <v>Frontière</v>
      </c>
    </row>
    <row r="70" spans="1:28" ht="15" customHeight="1" x14ac:dyDescent="0.3">
      <c r="A70" s="20" t="str">
        <f t="shared" si="21"/>
        <v>X</v>
      </c>
      <c r="B70" s="779"/>
      <c r="C70" s="782"/>
      <c r="D70" s="760"/>
      <c r="E70" s="721" t="s">
        <v>23</v>
      </c>
      <c r="F70" s="410" t="s">
        <v>60</v>
      </c>
      <c r="G70" s="238">
        <v>366</v>
      </c>
      <c r="H70" s="239">
        <v>180</v>
      </c>
      <c r="I70" s="240">
        <f t="shared" si="26"/>
        <v>0.43169398907103823</v>
      </c>
      <c r="J70" s="241">
        <v>158</v>
      </c>
      <c r="K70" s="240">
        <f t="shared" si="23"/>
        <v>0.39071038251366119</v>
      </c>
      <c r="L70" s="241">
        <v>143</v>
      </c>
      <c r="M70" s="240" t="str">
        <f t="shared" si="24"/>
        <v/>
      </c>
      <c r="N70" s="241"/>
      <c r="O70" s="228"/>
      <c r="P70" s="229"/>
      <c r="Q70" s="228"/>
      <c r="R70" s="229"/>
      <c r="S70" s="667" t="s">
        <v>21</v>
      </c>
      <c r="T70" s="668" t="s">
        <v>21</v>
      </c>
      <c r="U70" s="667" t="s">
        <v>21</v>
      </c>
      <c r="V70" s="669" t="s">
        <v>21</v>
      </c>
      <c r="W70" s="205" t="s">
        <v>206</v>
      </c>
      <c r="AB70" s="2" t="str">
        <f t="shared" si="5"/>
        <v>France</v>
      </c>
    </row>
    <row r="71" spans="1:28" ht="15" customHeight="1" x14ac:dyDescent="0.3">
      <c r="A71" s="20" t="str">
        <f t="shared" si="21"/>
        <v/>
      </c>
      <c r="B71" s="779"/>
      <c r="C71" s="782"/>
      <c r="D71" s="760"/>
      <c r="E71" s="727" t="s">
        <v>166</v>
      </c>
      <c r="F71" s="410" t="s">
        <v>203</v>
      </c>
      <c r="G71" s="238"/>
      <c r="H71" s="239"/>
      <c r="I71" s="240" t="str">
        <f t="shared" si="26"/>
        <v/>
      </c>
      <c r="J71" s="241"/>
      <c r="K71" s="240" t="str">
        <f t="shared" si="23"/>
        <v/>
      </c>
      <c r="L71" s="241"/>
      <c r="M71" s="240" t="str">
        <f t="shared" si="24"/>
        <v/>
      </c>
      <c r="N71" s="241"/>
      <c r="O71" s="228"/>
      <c r="P71" s="229"/>
      <c r="Q71" s="228"/>
      <c r="R71" s="229"/>
      <c r="S71" s="667"/>
      <c r="T71" s="668"/>
      <c r="U71" s="667"/>
      <c r="V71" s="669"/>
      <c r="W71" s="205" t="s">
        <v>206</v>
      </c>
      <c r="AB71" s="2" t="str">
        <f t="shared" si="5"/>
        <v/>
      </c>
    </row>
    <row r="72" spans="1:28" ht="15" customHeight="1" x14ac:dyDescent="0.3">
      <c r="A72" s="20" t="str">
        <f t="shared" si="21"/>
        <v/>
      </c>
      <c r="B72" s="779"/>
      <c r="C72" s="782"/>
      <c r="D72" s="760"/>
      <c r="E72" s="727" t="s">
        <v>166</v>
      </c>
      <c r="F72" s="410" t="s">
        <v>203</v>
      </c>
      <c r="G72" s="238"/>
      <c r="H72" s="239"/>
      <c r="I72" s="240" t="str">
        <f t="shared" si="26"/>
        <v/>
      </c>
      <c r="J72" s="241"/>
      <c r="K72" s="240" t="str">
        <f t="shared" si="23"/>
        <v/>
      </c>
      <c r="L72" s="241"/>
      <c r="M72" s="240" t="str">
        <f t="shared" si="24"/>
        <v/>
      </c>
      <c r="N72" s="241"/>
      <c r="O72" s="228"/>
      <c r="P72" s="229"/>
      <c r="Q72" s="228"/>
      <c r="R72" s="229"/>
      <c r="S72" s="667"/>
      <c r="T72" s="668"/>
      <c r="U72" s="667"/>
      <c r="V72" s="669"/>
      <c r="W72" s="205" t="s">
        <v>206</v>
      </c>
      <c r="AB72" s="2" t="str">
        <f t="shared" si="5"/>
        <v/>
      </c>
    </row>
    <row r="73" spans="1:28" ht="15" customHeight="1" x14ac:dyDescent="0.3">
      <c r="A73" s="20" t="str">
        <f t="shared" si="21"/>
        <v>X</v>
      </c>
      <c r="B73" s="779"/>
      <c r="C73" s="782"/>
      <c r="D73" s="760"/>
      <c r="E73" s="721" t="s">
        <v>22</v>
      </c>
      <c r="F73" s="410" t="s">
        <v>62</v>
      </c>
      <c r="G73" s="238">
        <v>123</v>
      </c>
      <c r="H73" s="239">
        <v>90</v>
      </c>
      <c r="I73" s="240">
        <f t="shared" si="26"/>
        <v>0.32520325203252032</v>
      </c>
      <c r="J73" s="241">
        <v>40</v>
      </c>
      <c r="K73" s="240">
        <f t="shared" si="23"/>
        <v>0.34959349593495936</v>
      </c>
      <c r="L73" s="241">
        <v>43</v>
      </c>
      <c r="M73" s="240" t="str">
        <f t="shared" si="24"/>
        <v/>
      </c>
      <c r="N73" s="241"/>
      <c r="O73" s="228"/>
      <c r="P73" s="229"/>
      <c r="Q73" s="228"/>
      <c r="R73" s="229"/>
      <c r="S73" s="667"/>
      <c r="T73" s="668"/>
      <c r="U73" s="667"/>
      <c r="V73" s="669"/>
      <c r="W73" s="205" t="s">
        <v>206</v>
      </c>
      <c r="AB73" s="2" t="str">
        <f t="shared" si="5"/>
        <v>Frontière</v>
      </c>
    </row>
    <row r="74" spans="1:28" ht="15" customHeight="1" x14ac:dyDescent="0.3">
      <c r="A74" s="20" t="str">
        <f t="shared" si="21"/>
        <v/>
      </c>
      <c r="B74" s="779"/>
      <c r="C74" s="782"/>
      <c r="D74" s="760"/>
      <c r="E74" s="727" t="s">
        <v>166</v>
      </c>
      <c r="F74" s="410"/>
      <c r="G74" s="238"/>
      <c r="H74" s="239"/>
      <c r="I74" s="240"/>
      <c r="J74" s="241"/>
      <c r="K74" s="240"/>
      <c r="L74" s="241"/>
      <c r="M74" s="240"/>
      <c r="N74" s="241"/>
      <c r="O74" s="228"/>
      <c r="P74" s="229"/>
      <c r="Q74" s="228"/>
      <c r="R74" s="229"/>
      <c r="S74" s="667"/>
      <c r="T74" s="668"/>
      <c r="U74" s="667"/>
      <c r="V74" s="669"/>
      <c r="W74" s="205"/>
    </row>
    <row r="75" spans="1:28" ht="15" customHeight="1" x14ac:dyDescent="0.3">
      <c r="A75" s="20" t="str">
        <f t="shared" si="21"/>
        <v/>
      </c>
      <c r="B75" s="779"/>
      <c r="C75" s="782"/>
      <c r="D75" s="760"/>
      <c r="E75" s="727" t="s">
        <v>166</v>
      </c>
      <c r="F75" s="410"/>
      <c r="G75" s="238"/>
      <c r="H75" s="239"/>
      <c r="I75" s="240"/>
      <c r="J75" s="241"/>
      <c r="K75" s="240"/>
      <c r="L75" s="241"/>
      <c r="M75" s="240"/>
      <c r="N75" s="241"/>
      <c r="O75" s="228"/>
      <c r="P75" s="229"/>
      <c r="Q75" s="228"/>
      <c r="R75" s="229"/>
      <c r="S75" s="667"/>
      <c r="T75" s="668"/>
      <c r="U75" s="667"/>
      <c r="V75" s="669"/>
      <c r="W75" s="205"/>
    </row>
    <row r="76" spans="1:28" ht="15" customHeight="1" x14ac:dyDescent="0.3">
      <c r="A76" s="20" t="str">
        <f t="shared" si="21"/>
        <v/>
      </c>
      <c r="B76" s="779"/>
      <c r="C76" s="782"/>
      <c r="D76" s="760"/>
      <c r="E76" s="728" t="s">
        <v>166</v>
      </c>
      <c r="F76" s="449"/>
      <c r="G76" s="243"/>
      <c r="H76" s="244"/>
      <c r="I76" s="245"/>
      <c r="J76" s="246"/>
      <c r="K76" s="245"/>
      <c r="L76" s="246"/>
      <c r="M76" s="245"/>
      <c r="N76" s="246"/>
      <c r="O76" s="230"/>
      <c r="P76" s="231"/>
      <c r="Q76" s="230"/>
      <c r="R76" s="231"/>
      <c r="S76" s="670"/>
      <c r="T76" s="671"/>
      <c r="U76" s="670"/>
      <c r="V76" s="672"/>
      <c r="W76" s="205"/>
    </row>
    <row r="77" spans="1:28" ht="15.6" x14ac:dyDescent="0.3">
      <c r="A77" s="20" t="str">
        <f t="shared" si="21"/>
        <v>S</v>
      </c>
      <c r="B77" s="784"/>
      <c r="C77" s="782"/>
      <c r="D77" s="309" t="s">
        <v>138</v>
      </c>
      <c r="E77" s="717"/>
      <c r="F77" s="16"/>
      <c r="G77" s="7">
        <f>SUM(G66:G76)</f>
        <v>1614</v>
      </c>
      <c r="H77" s="8">
        <f>SUM(H66:H76)</f>
        <v>920</v>
      </c>
      <c r="I77" s="9">
        <f t="shared" si="26"/>
        <v>0.44423791821561337</v>
      </c>
      <c r="J77" s="202">
        <f>SUM(J66:J76)</f>
        <v>717</v>
      </c>
      <c r="K77" s="51">
        <f t="shared" si="23"/>
        <v>0.38228004956629491</v>
      </c>
      <c r="L77" s="202">
        <f>SUM(L66:L76)</f>
        <v>617</v>
      </c>
      <c r="M77" s="9">
        <f t="shared" si="24"/>
        <v>0</v>
      </c>
      <c r="N77" s="202">
        <f>SUM(N66:N76)</f>
        <v>0</v>
      </c>
      <c r="O77" s="118">
        <f t="shared" ref="O77:V77" si="28">SUM(O66:O76)</f>
        <v>0</v>
      </c>
      <c r="P77" s="119">
        <f t="shared" si="28"/>
        <v>0</v>
      </c>
      <c r="Q77" s="118">
        <f t="shared" si="28"/>
        <v>0</v>
      </c>
      <c r="R77" s="119">
        <f t="shared" si="28"/>
        <v>0</v>
      </c>
      <c r="S77" s="118">
        <f t="shared" si="28"/>
        <v>0</v>
      </c>
      <c r="T77" s="119">
        <f t="shared" si="28"/>
        <v>0</v>
      </c>
      <c r="U77" s="118">
        <f t="shared" si="28"/>
        <v>0</v>
      </c>
      <c r="V77" s="120">
        <f t="shared" si="28"/>
        <v>0</v>
      </c>
      <c r="W77" s="205" t="s">
        <v>206</v>
      </c>
      <c r="AB77" s="2">
        <f t="shared" si="5"/>
        <v>0</v>
      </c>
    </row>
    <row r="78" spans="1:28" x14ac:dyDescent="0.3">
      <c r="A78" s="20" t="str">
        <f t="shared" si="21"/>
        <v>X</v>
      </c>
      <c r="B78" s="779" t="s">
        <v>167</v>
      </c>
      <c r="C78" s="782" t="s">
        <v>76</v>
      </c>
      <c r="D78" s="757">
        <v>4</v>
      </c>
      <c r="E78" s="719" t="s">
        <v>171</v>
      </c>
      <c r="F78" s="232" t="s">
        <v>62</v>
      </c>
      <c r="G78" s="233">
        <v>20</v>
      </c>
      <c r="H78" s="234">
        <v>8</v>
      </c>
      <c r="I78" s="235">
        <f t="shared" si="26"/>
        <v>0.65</v>
      </c>
      <c r="J78" s="236">
        <v>13</v>
      </c>
      <c r="K78" s="235">
        <f t="shared" si="23"/>
        <v>0.25</v>
      </c>
      <c r="L78" s="236">
        <v>5</v>
      </c>
      <c r="M78" s="235">
        <f t="shared" si="24"/>
        <v>0.8</v>
      </c>
      <c r="N78" s="236">
        <v>4</v>
      </c>
      <c r="O78" s="226">
        <v>0</v>
      </c>
      <c r="P78" s="227">
        <v>0</v>
      </c>
      <c r="Q78" s="226">
        <v>5</v>
      </c>
      <c r="R78" s="227"/>
      <c r="S78" s="284">
        <v>18</v>
      </c>
      <c r="T78" s="285">
        <v>7</v>
      </c>
      <c r="U78" s="284">
        <v>2</v>
      </c>
      <c r="V78" s="286">
        <v>1</v>
      </c>
      <c r="W78" s="205" t="s">
        <v>206</v>
      </c>
      <c r="X78" s="1" t="s">
        <v>172</v>
      </c>
      <c r="AB78" s="2" t="str">
        <f t="shared" si="5"/>
        <v>Frontière</v>
      </c>
    </row>
    <row r="79" spans="1:28" x14ac:dyDescent="0.3">
      <c r="A79" s="20" t="str">
        <f t="shared" si="21"/>
        <v>X</v>
      </c>
      <c r="B79" s="779"/>
      <c r="C79" s="782"/>
      <c r="D79" s="757"/>
      <c r="E79" s="577" t="s">
        <v>173</v>
      </c>
      <c r="F79" s="237" t="s">
        <v>62</v>
      </c>
      <c r="G79" s="238">
        <v>11</v>
      </c>
      <c r="H79" s="239">
        <v>4</v>
      </c>
      <c r="I79" s="240">
        <f t="shared" si="26"/>
        <v>0.54545454545454541</v>
      </c>
      <c r="J79" s="241">
        <v>6</v>
      </c>
      <c r="K79" s="240">
        <f t="shared" si="23"/>
        <v>0.18181818181818182</v>
      </c>
      <c r="L79" s="241">
        <v>2</v>
      </c>
      <c r="M79" s="240">
        <f t="shared" si="24"/>
        <v>0.5</v>
      </c>
      <c r="N79" s="241">
        <v>1</v>
      </c>
      <c r="O79" s="228">
        <v>0</v>
      </c>
      <c r="P79" s="229">
        <v>0</v>
      </c>
      <c r="Q79" s="228">
        <v>0</v>
      </c>
      <c r="R79" s="229">
        <v>0</v>
      </c>
      <c r="S79" s="287">
        <v>3</v>
      </c>
      <c r="T79" s="288">
        <v>1</v>
      </c>
      <c r="U79" s="287">
        <v>0</v>
      </c>
      <c r="V79" s="289">
        <v>0</v>
      </c>
      <c r="W79" s="205" t="s">
        <v>206</v>
      </c>
      <c r="X79" s="1" t="s">
        <v>174</v>
      </c>
      <c r="AB79" s="2" t="str">
        <f t="shared" si="5"/>
        <v>Frontière</v>
      </c>
    </row>
    <row r="80" spans="1:28" ht="15" customHeight="1" x14ac:dyDescent="0.3">
      <c r="A80" s="20" t="str">
        <f t="shared" si="21"/>
        <v/>
      </c>
      <c r="B80" s="779"/>
      <c r="C80" s="782"/>
      <c r="D80" s="757"/>
      <c r="E80" s="727" t="s">
        <v>166</v>
      </c>
      <c r="F80" s="237"/>
      <c r="G80" s="238"/>
      <c r="H80" s="239"/>
      <c r="I80" s="240" t="str">
        <f t="shared" si="26"/>
        <v/>
      </c>
      <c r="J80" s="241"/>
      <c r="K80" s="240" t="str">
        <f t="shared" si="23"/>
        <v/>
      </c>
      <c r="L80" s="241"/>
      <c r="M80" s="240" t="str">
        <f t="shared" si="24"/>
        <v/>
      </c>
      <c r="N80" s="241"/>
      <c r="O80" s="228"/>
      <c r="P80" s="229"/>
      <c r="Q80" s="228"/>
      <c r="R80" s="229"/>
      <c r="S80" s="287"/>
      <c r="T80" s="288"/>
      <c r="U80" s="287"/>
      <c r="V80" s="289"/>
      <c r="W80" s="205" t="s">
        <v>206</v>
      </c>
      <c r="AB80" s="2" t="str">
        <f t="shared" si="5"/>
        <v/>
      </c>
    </row>
    <row r="81" spans="1:28" ht="15" customHeight="1" x14ac:dyDescent="0.3">
      <c r="A81" s="20" t="str">
        <f t="shared" si="21"/>
        <v/>
      </c>
      <c r="B81" s="779"/>
      <c r="C81" s="782"/>
      <c r="D81" s="757"/>
      <c r="E81" s="727" t="s">
        <v>166</v>
      </c>
      <c r="F81" s="237"/>
      <c r="G81" s="238"/>
      <c r="H81" s="239"/>
      <c r="I81" s="240" t="str">
        <f t="shared" si="26"/>
        <v/>
      </c>
      <c r="J81" s="241"/>
      <c r="K81" s="240" t="str">
        <f t="shared" si="23"/>
        <v/>
      </c>
      <c r="L81" s="241"/>
      <c r="M81" s="240" t="str">
        <f t="shared" si="24"/>
        <v/>
      </c>
      <c r="N81" s="241"/>
      <c r="O81" s="228"/>
      <c r="P81" s="229"/>
      <c r="Q81" s="228"/>
      <c r="R81" s="229"/>
      <c r="S81" s="287"/>
      <c r="T81" s="288"/>
      <c r="U81" s="287"/>
      <c r="V81" s="289"/>
      <c r="W81" s="205" t="s">
        <v>206</v>
      </c>
      <c r="AB81" s="2" t="str">
        <f t="shared" si="5"/>
        <v/>
      </c>
    </row>
    <row r="82" spans="1:28" ht="15" customHeight="1" x14ac:dyDescent="0.3">
      <c r="A82" s="20" t="str">
        <f t="shared" si="21"/>
        <v/>
      </c>
      <c r="B82" s="779"/>
      <c r="C82" s="782"/>
      <c r="D82" s="757"/>
      <c r="E82" s="727" t="s">
        <v>166</v>
      </c>
      <c r="F82" s="237" t="s">
        <v>203</v>
      </c>
      <c r="G82" s="238"/>
      <c r="H82" s="239"/>
      <c r="I82" s="240" t="str">
        <f t="shared" si="26"/>
        <v/>
      </c>
      <c r="J82" s="241"/>
      <c r="K82" s="240" t="str">
        <f t="shared" si="23"/>
        <v/>
      </c>
      <c r="L82" s="241"/>
      <c r="M82" s="240" t="str">
        <f t="shared" si="24"/>
        <v/>
      </c>
      <c r="N82" s="241"/>
      <c r="O82" s="228"/>
      <c r="P82" s="229"/>
      <c r="Q82" s="228"/>
      <c r="R82" s="229"/>
      <c r="S82" s="287"/>
      <c r="T82" s="288"/>
      <c r="U82" s="287"/>
      <c r="V82" s="289"/>
      <c r="W82" s="205" t="s">
        <v>206</v>
      </c>
      <c r="AB82" s="2" t="str">
        <f t="shared" si="5"/>
        <v/>
      </c>
    </row>
    <row r="83" spans="1:28" ht="15" customHeight="1" x14ac:dyDescent="0.3">
      <c r="A83" s="20" t="str">
        <f t="shared" si="21"/>
        <v/>
      </c>
      <c r="B83" s="779"/>
      <c r="C83" s="782"/>
      <c r="D83" s="757"/>
      <c r="E83" s="727" t="s">
        <v>166</v>
      </c>
      <c r="F83" s="237" t="s">
        <v>203</v>
      </c>
      <c r="G83" s="238"/>
      <c r="H83" s="239"/>
      <c r="I83" s="240" t="str">
        <f t="shared" si="26"/>
        <v/>
      </c>
      <c r="J83" s="241"/>
      <c r="K83" s="240" t="str">
        <f t="shared" si="23"/>
        <v/>
      </c>
      <c r="L83" s="241"/>
      <c r="M83" s="240" t="str">
        <f t="shared" si="24"/>
        <v/>
      </c>
      <c r="N83" s="241"/>
      <c r="O83" s="228"/>
      <c r="P83" s="229"/>
      <c r="Q83" s="228"/>
      <c r="R83" s="229"/>
      <c r="S83" s="287"/>
      <c r="T83" s="288"/>
      <c r="U83" s="287"/>
      <c r="V83" s="289"/>
      <c r="W83" s="205" t="s">
        <v>206</v>
      </c>
      <c r="AB83" s="2" t="str">
        <f t="shared" si="5"/>
        <v/>
      </c>
    </row>
    <row r="84" spans="1:28" ht="15" customHeight="1" x14ac:dyDescent="0.3">
      <c r="A84" s="20" t="str">
        <f t="shared" si="21"/>
        <v/>
      </c>
      <c r="B84" s="779"/>
      <c r="C84" s="782"/>
      <c r="D84" s="757"/>
      <c r="E84" s="728" t="s">
        <v>166</v>
      </c>
      <c r="F84" s="242"/>
      <c r="G84" s="243"/>
      <c r="H84" s="244"/>
      <c r="I84" s="245" t="str">
        <f t="shared" si="26"/>
        <v/>
      </c>
      <c r="J84" s="246"/>
      <c r="K84" s="245" t="str">
        <f t="shared" si="23"/>
        <v/>
      </c>
      <c r="L84" s="246"/>
      <c r="M84" s="245" t="str">
        <f t="shared" si="24"/>
        <v/>
      </c>
      <c r="N84" s="246"/>
      <c r="O84" s="230"/>
      <c r="P84" s="231"/>
      <c r="Q84" s="230"/>
      <c r="R84" s="231"/>
      <c r="S84" s="290"/>
      <c r="T84" s="291"/>
      <c r="U84" s="290"/>
      <c r="V84" s="292"/>
      <c r="W84" s="205" t="s">
        <v>206</v>
      </c>
      <c r="AB84" s="2" t="str">
        <f t="shared" si="5"/>
        <v/>
      </c>
    </row>
    <row r="85" spans="1:28" ht="15.6" x14ac:dyDescent="0.3">
      <c r="A85" s="20" t="str">
        <f t="shared" si="21"/>
        <v>S</v>
      </c>
      <c r="B85" s="784"/>
      <c r="C85" s="782"/>
      <c r="D85" s="309" t="s">
        <v>138</v>
      </c>
      <c r="E85" s="717"/>
      <c r="F85" s="16"/>
      <c r="G85" s="7">
        <f>SUM(G78:G84)</f>
        <v>31</v>
      </c>
      <c r="H85" s="8">
        <f>SUM(H78:H84)</f>
        <v>12</v>
      </c>
      <c r="I85" s="9">
        <f t="shared" si="26"/>
        <v>0.61290322580645162</v>
      </c>
      <c r="J85" s="202">
        <f>SUM(J78:J84)</f>
        <v>19</v>
      </c>
      <c r="K85" s="51">
        <f t="shared" si="23"/>
        <v>0.22580645161290322</v>
      </c>
      <c r="L85" s="202">
        <f>SUM(L78:L84)</f>
        <v>7</v>
      </c>
      <c r="M85" s="9">
        <f t="shared" si="24"/>
        <v>0.7142857142857143</v>
      </c>
      <c r="N85" s="202">
        <f t="shared" ref="N85:V85" si="29">SUM(N78:N84)</f>
        <v>5</v>
      </c>
      <c r="O85" s="118">
        <f t="shared" si="29"/>
        <v>0</v>
      </c>
      <c r="P85" s="119">
        <f t="shared" si="29"/>
        <v>0</v>
      </c>
      <c r="Q85" s="118">
        <f t="shared" si="29"/>
        <v>5</v>
      </c>
      <c r="R85" s="119">
        <f t="shared" si="29"/>
        <v>0</v>
      </c>
      <c r="S85" s="118">
        <f t="shared" si="29"/>
        <v>21</v>
      </c>
      <c r="T85" s="119">
        <f t="shared" si="29"/>
        <v>8</v>
      </c>
      <c r="U85" s="118">
        <f t="shared" si="29"/>
        <v>2</v>
      </c>
      <c r="V85" s="120">
        <f t="shared" si="29"/>
        <v>1</v>
      </c>
      <c r="W85" s="205" t="s">
        <v>206</v>
      </c>
      <c r="AB85" s="2">
        <f t="shared" si="5"/>
        <v>0</v>
      </c>
    </row>
    <row r="86" spans="1:28" ht="15" customHeight="1" x14ac:dyDescent="0.3">
      <c r="A86" s="20" t="str">
        <f t="shared" si="21"/>
        <v>X</v>
      </c>
      <c r="B86" s="746" t="s">
        <v>1</v>
      </c>
      <c r="C86" s="749" t="s">
        <v>76</v>
      </c>
      <c r="D86" s="754">
        <v>10</v>
      </c>
      <c r="E86" s="719" t="s">
        <v>27</v>
      </c>
      <c r="F86" s="232" t="s">
        <v>62</v>
      </c>
      <c r="G86" s="233">
        <v>35</v>
      </c>
      <c r="H86" s="234">
        <v>35</v>
      </c>
      <c r="I86" s="235">
        <f t="shared" si="26"/>
        <v>0.77142857142857146</v>
      </c>
      <c r="J86" s="236">
        <v>27</v>
      </c>
      <c r="K86" s="235">
        <f t="shared" si="23"/>
        <v>0.4</v>
      </c>
      <c r="L86" s="236">
        <v>14</v>
      </c>
      <c r="M86" s="235">
        <f t="shared" si="24"/>
        <v>0.7142857142857143</v>
      </c>
      <c r="N86" s="236">
        <v>10</v>
      </c>
      <c r="O86" s="226">
        <v>1</v>
      </c>
      <c r="P86" s="227">
        <v>1</v>
      </c>
      <c r="Q86" s="226"/>
      <c r="R86" s="227"/>
      <c r="S86" s="284">
        <v>34</v>
      </c>
      <c r="T86" s="285">
        <v>34</v>
      </c>
      <c r="U86" s="284">
        <v>1</v>
      </c>
      <c r="V86" s="286">
        <v>1</v>
      </c>
      <c r="W86" s="205" t="s">
        <v>206</v>
      </c>
      <c r="AB86" s="2" t="str">
        <f t="shared" si="5"/>
        <v>Frontière</v>
      </c>
    </row>
    <row r="87" spans="1:28" ht="15" customHeight="1" x14ac:dyDescent="0.3">
      <c r="A87" s="20" t="str">
        <f t="shared" si="21"/>
        <v>X</v>
      </c>
      <c r="B87" s="747"/>
      <c r="C87" s="750"/>
      <c r="D87" s="755"/>
      <c r="E87" s="577" t="s">
        <v>28</v>
      </c>
      <c r="F87" s="237" t="s">
        <v>62</v>
      </c>
      <c r="G87" s="238">
        <v>93</v>
      </c>
      <c r="H87" s="239">
        <v>93</v>
      </c>
      <c r="I87" s="240">
        <f t="shared" si="26"/>
        <v>0.78494623655913975</v>
      </c>
      <c r="J87" s="241">
        <v>73</v>
      </c>
      <c r="K87" s="240">
        <f t="shared" si="23"/>
        <v>0.37634408602150538</v>
      </c>
      <c r="L87" s="241">
        <v>35</v>
      </c>
      <c r="M87" s="240">
        <f t="shared" si="24"/>
        <v>0.94285714285714284</v>
      </c>
      <c r="N87" s="241">
        <v>33</v>
      </c>
      <c r="O87" s="228">
        <v>5</v>
      </c>
      <c r="P87" s="229">
        <v>5</v>
      </c>
      <c r="Q87" s="228"/>
      <c r="R87" s="229"/>
      <c r="S87" s="287">
        <v>90</v>
      </c>
      <c r="T87" s="288">
        <v>90</v>
      </c>
      <c r="U87" s="287">
        <v>3</v>
      </c>
      <c r="V87" s="289">
        <v>3</v>
      </c>
      <c r="W87" s="205" t="s">
        <v>206</v>
      </c>
      <c r="AB87" s="2" t="str">
        <f t="shared" si="5"/>
        <v>Frontière</v>
      </c>
    </row>
    <row r="88" spans="1:28" ht="15" customHeight="1" x14ac:dyDescent="0.3">
      <c r="A88" s="20" t="str">
        <f t="shared" si="21"/>
        <v>X</v>
      </c>
      <c r="B88" s="747"/>
      <c r="C88" s="750"/>
      <c r="D88" s="755"/>
      <c r="E88" s="577" t="s">
        <v>29</v>
      </c>
      <c r="F88" s="237" t="s">
        <v>62</v>
      </c>
      <c r="G88" s="238">
        <v>25</v>
      </c>
      <c r="H88" s="239">
        <v>25</v>
      </c>
      <c r="I88" s="240">
        <f t="shared" si="26"/>
        <v>0.76</v>
      </c>
      <c r="J88" s="241">
        <v>19</v>
      </c>
      <c r="K88" s="240">
        <f t="shared" si="23"/>
        <v>0.44</v>
      </c>
      <c r="L88" s="241">
        <v>11</v>
      </c>
      <c r="M88" s="240">
        <f t="shared" si="24"/>
        <v>0.81818181818181823</v>
      </c>
      <c r="N88" s="241">
        <v>9</v>
      </c>
      <c r="O88" s="228">
        <v>0</v>
      </c>
      <c r="P88" s="229">
        <v>0</v>
      </c>
      <c r="Q88" s="228"/>
      <c r="R88" s="229"/>
      <c r="S88" s="287">
        <v>25</v>
      </c>
      <c r="T88" s="288">
        <v>25</v>
      </c>
      <c r="U88" s="287">
        <v>0</v>
      </c>
      <c r="V88" s="289">
        <v>0</v>
      </c>
      <c r="W88" s="205" t="s">
        <v>206</v>
      </c>
      <c r="AB88" s="2" t="str">
        <f t="shared" si="5"/>
        <v>Frontière</v>
      </c>
    </row>
    <row r="89" spans="1:28" ht="15" customHeight="1" x14ac:dyDescent="0.3">
      <c r="A89" s="20" t="str">
        <f t="shared" si="21"/>
        <v>X</v>
      </c>
      <c r="B89" s="747"/>
      <c r="C89" s="750"/>
      <c r="D89" s="755"/>
      <c r="E89" s="577" t="s">
        <v>30</v>
      </c>
      <c r="F89" s="237" t="s">
        <v>62</v>
      </c>
      <c r="G89" s="238">
        <v>37</v>
      </c>
      <c r="H89" s="239">
        <v>37</v>
      </c>
      <c r="I89" s="240">
        <f t="shared" si="26"/>
        <v>0.64864864864864868</v>
      </c>
      <c r="J89" s="241">
        <v>24</v>
      </c>
      <c r="K89" s="240">
        <f t="shared" si="23"/>
        <v>0.40540540540540543</v>
      </c>
      <c r="L89" s="241">
        <v>15</v>
      </c>
      <c r="M89" s="240">
        <f t="shared" si="24"/>
        <v>0.73333333333333328</v>
      </c>
      <c r="N89" s="241">
        <v>11</v>
      </c>
      <c r="O89" s="228">
        <v>4</v>
      </c>
      <c r="P89" s="229">
        <v>4</v>
      </c>
      <c r="Q89" s="228"/>
      <c r="R89" s="229"/>
      <c r="S89" s="287">
        <v>36</v>
      </c>
      <c r="T89" s="288">
        <v>36</v>
      </c>
      <c r="U89" s="287">
        <v>1</v>
      </c>
      <c r="V89" s="289">
        <v>1</v>
      </c>
      <c r="W89" s="205" t="s">
        <v>206</v>
      </c>
      <c r="AB89" s="2" t="str">
        <f t="shared" si="5"/>
        <v>Frontière</v>
      </c>
    </row>
    <row r="90" spans="1:28" ht="15" customHeight="1" x14ac:dyDescent="0.3">
      <c r="A90" s="20" t="str">
        <f t="shared" si="21"/>
        <v>X</v>
      </c>
      <c r="B90" s="747"/>
      <c r="C90" s="750"/>
      <c r="D90" s="755"/>
      <c r="E90" s="577" t="s">
        <v>175</v>
      </c>
      <c r="F90" s="237" t="s">
        <v>62</v>
      </c>
      <c r="G90" s="238">
        <v>11</v>
      </c>
      <c r="H90" s="239">
        <v>11</v>
      </c>
      <c r="I90" s="240">
        <f t="shared" si="26"/>
        <v>0.81818181818181823</v>
      </c>
      <c r="J90" s="241">
        <v>9</v>
      </c>
      <c r="K90" s="240">
        <f t="shared" si="23"/>
        <v>0.36363636363636365</v>
      </c>
      <c r="L90" s="241">
        <v>4</v>
      </c>
      <c r="M90" s="240">
        <f t="shared" si="24"/>
        <v>1</v>
      </c>
      <c r="N90" s="241">
        <v>4</v>
      </c>
      <c r="O90" s="228">
        <v>1</v>
      </c>
      <c r="P90" s="229">
        <v>1</v>
      </c>
      <c r="Q90" s="228"/>
      <c r="R90" s="229"/>
      <c r="S90" s="287">
        <v>11</v>
      </c>
      <c r="T90" s="288">
        <v>11</v>
      </c>
      <c r="U90" s="287">
        <v>0</v>
      </c>
      <c r="V90" s="289">
        <v>0</v>
      </c>
      <c r="W90" s="205" t="s">
        <v>206</v>
      </c>
      <c r="AB90" s="2" t="str">
        <f t="shared" ref="AB90:AB153" si="30">IF(G90&lt;&gt;"",$F90,"")</f>
        <v>Frontière</v>
      </c>
    </row>
    <row r="91" spans="1:28" ht="15" customHeight="1" x14ac:dyDescent="0.3">
      <c r="A91" s="20" t="str">
        <f t="shared" si="21"/>
        <v/>
      </c>
      <c r="B91" s="747"/>
      <c r="C91" s="750"/>
      <c r="D91" s="755"/>
      <c r="E91" s="727" t="s">
        <v>166</v>
      </c>
      <c r="F91" s="237" t="s">
        <v>203</v>
      </c>
      <c r="G91" s="238"/>
      <c r="H91" s="239"/>
      <c r="I91" s="240" t="str">
        <f t="shared" si="26"/>
        <v/>
      </c>
      <c r="J91" s="241"/>
      <c r="K91" s="240" t="str">
        <f t="shared" si="23"/>
        <v/>
      </c>
      <c r="L91" s="241"/>
      <c r="M91" s="240" t="str">
        <f t="shared" si="24"/>
        <v/>
      </c>
      <c r="N91" s="241"/>
      <c r="O91" s="228"/>
      <c r="P91" s="229"/>
      <c r="Q91" s="228"/>
      <c r="R91" s="229"/>
      <c r="S91" s="287"/>
      <c r="T91" s="288"/>
      <c r="U91" s="287"/>
      <c r="V91" s="289"/>
      <c r="W91" s="205" t="s">
        <v>206</v>
      </c>
      <c r="AB91" s="2" t="str">
        <f t="shared" si="30"/>
        <v/>
      </c>
    </row>
    <row r="92" spans="1:28" ht="15.75" customHeight="1" x14ac:dyDescent="0.3">
      <c r="A92" s="20" t="str">
        <f t="shared" si="21"/>
        <v/>
      </c>
      <c r="B92" s="747"/>
      <c r="C92" s="750"/>
      <c r="D92" s="755"/>
      <c r="E92" s="727" t="s">
        <v>166</v>
      </c>
      <c r="F92" s="237"/>
      <c r="G92" s="238"/>
      <c r="H92" s="239"/>
      <c r="I92" s="240"/>
      <c r="J92" s="241"/>
      <c r="K92" s="240"/>
      <c r="L92" s="241"/>
      <c r="M92" s="240"/>
      <c r="N92" s="241"/>
      <c r="O92" s="228"/>
      <c r="P92" s="229"/>
      <c r="Q92" s="228"/>
      <c r="R92" s="229"/>
      <c r="S92" s="287"/>
      <c r="T92" s="288"/>
      <c r="U92" s="287"/>
      <c r="V92" s="289"/>
      <c r="W92" s="205"/>
    </row>
    <row r="93" spans="1:28" ht="15.75" customHeight="1" x14ac:dyDescent="0.3">
      <c r="A93" s="20" t="str">
        <f t="shared" si="21"/>
        <v/>
      </c>
      <c r="B93" s="747"/>
      <c r="C93" s="750"/>
      <c r="D93" s="755"/>
      <c r="E93" s="727" t="s">
        <v>166</v>
      </c>
      <c r="F93" s="237"/>
      <c r="G93" s="238"/>
      <c r="H93" s="239"/>
      <c r="I93" s="240"/>
      <c r="J93" s="241"/>
      <c r="K93" s="240"/>
      <c r="L93" s="241"/>
      <c r="M93" s="240"/>
      <c r="N93" s="241"/>
      <c r="O93" s="228"/>
      <c r="P93" s="229"/>
      <c r="Q93" s="228"/>
      <c r="R93" s="229"/>
      <c r="S93" s="287"/>
      <c r="T93" s="288"/>
      <c r="U93" s="287"/>
      <c r="V93" s="289"/>
      <c r="W93" s="205"/>
    </row>
    <row r="94" spans="1:28" ht="15.75" customHeight="1" x14ac:dyDescent="0.3">
      <c r="A94" s="20" t="str">
        <f t="shared" si="21"/>
        <v/>
      </c>
      <c r="B94" s="747"/>
      <c r="C94" s="750"/>
      <c r="D94" s="756"/>
      <c r="E94" s="728" t="s">
        <v>166</v>
      </c>
      <c r="F94" s="242"/>
      <c r="G94" s="243"/>
      <c r="H94" s="244"/>
      <c r="I94" s="245"/>
      <c r="J94" s="246"/>
      <c r="K94" s="245"/>
      <c r="L94" s="246"/>
      <c r="M94" s="245"/>
      <c r="N94" s="246"/>
      <c r="O94" s="230"/>
      <c r="P94" s="231"/>
      <c r="Q94" s="230"/>
      <c r="R94" s="231"/>
      <c r="S94" s="290"/>
      <c r="T94" s="291"/>
      <c r="U94" s="290"/>
      <c r="V94" s="292"/>
      <c r="W94" s="205"/>
    </row>
    <row r="95" spans="1:28" ht="15.6" x14ac:dyDescent="0.3">
      <c r="A95" s="20" t="str">
        <f t="shared" si="21"/>
        <v>S</v>
      </c>
      <c r="B95" s="753"/>
      <c r="C95" s="752"/>
      <c r="D95" s="309" t="s">
        <v>138</v>
      </c>
      <c r="E95" s="717"/>
      <c r="F95" s="16"/>
      <c r="G95" s="7">
        <f>SUM(G86:G94)</f>
        <v>201</v>
      </c>
      <c r="H95" s="8">
        <f>SUM(H86:H94)</f>
        <v>201</v>
      </c>
      <c r="I95" s="9">
        <f t="shared" si="26"/>
        <v>0.75621890547263682</v>
      </c>
      <c r="J95" s="202">
        <f>SUM(J86:J94)</f>
        <v>152</v>
      </c>
      <c r="K95" s="51">
        <f t="shared" si="23"/>
        <v>0.39303482587064675</v>
      </c>
      <c r="L95" s="202">
        <f>SUM(L86:L94)</f>
        <v>79</v>
      </c>
      <c r="M95" s="9">
        <f t="shared" si="24"/>
        <v>0.84810126582278478</v>
      </c>
      <c r="N95" s="202">
        <f t="shared" ref="N95:V95" si="31">SUM(N86:N94)</f>
        <v>67</v>
      </c>
      <c r="O95" s="118">
        <f t="shared" si="31"/>
        <v>11</v>
      </c>
      <c r="P95" s="119">
        <f t="shared" si="31"/>
        <v>11</v>
      </c>
      <c r="Q95" s="118">
        <f t="shared" si="31"/>
        <v>0</v>
      </c>
      <c r="R95" s="119">
        <f t="shared" si="31"/>
        <v>0</v>
      </c>
      <c r="S95" s="118">
        <f t="shared" si="31"/>
        <v>196</v>
      </c>
      <c r="T95" s="119">
        <f t="shared" si="31"/>
        <v>196</v>
      </c>
      <c r="U95" s="118">
        <f t="shared" si="31"/>
        <v>5</v>
      </c>
      <c r="V95" s="120">
        <f t="shared" si="31"/>
        <v>5</v>
      </c>
      <c r="W95" s="205" t="s">
        <v>206</v>
      </c>
      <c r="AB95" s="2">
        <f t="shared" si="30"/>
        <v>0</v>
      </c>
    </row>
    <row r="96" spans="1:28" ht="15" customHeight="1" x14ac:dyDescent="0.3">
      <c r="A96" s="20" t="str">
        <f t="shared" si="21"/>
        <v>X</v>
      </c>
      <c r="B96" s="779" t="s">
        <v>45</v>
      </c>
      <c r="C96" s="775" t="s">
        <v>76</v>
      </c>
      <c r="D96" s="759">
        <v>12</v>
      </c>
      <c r="E96" s="720" t="s">
        <v>32</v>
      </c>
      <c r="F96" s="232" t="s">
        <v>62</v>
      </c>
      <c r="G96" s="233">
        <v>94</v>
      </c>
      <c r="H96" s="234">
        <v>82</v>
      </c>
      <c r="I96" s="235">
        <f t="shared" si="26"/>
        <v>0.47872340425531917</v>
      </c>
      <c r="J96" s="236">
        <v>45</v>
      </c>
      <c r="K96" s="235">
        <f t="shared" si="23"/>
        <v>0.34042553191489361</v>
      </c>
      <c r="L96" s="236">
        <f>18+13+1</f>
        <v>32</v>
      </c>
      <c r="M96" s="235">
        <f t="shared" si="24"/>
        <v>0.59375</v>
      </c>
      <c r="N96" s="236">
        <v>19</v>
      </c>
      <c r="O96" s="226">
        <v>9</v>
      </c>
      <c r="P96" s="227">
        <v>7</v>
      </c>
      <c r="Q96" s="226"/>
      <c r="R96" s="227"/>
      <c r="S96" s="284">
        <v>92</v>
      </c>
      <c r="T96" s="285">
        <v>80</v>
      </c>
      <c r="U96" s="284">
        <v>2</v>
      </c>
      <c r="V96" s="286">
        <v>2</v>
      </c>
      <c r="W96" s="205" t="s">
        <v>206</v>
      </c>
      <c r="AB96" s="2" t="str">
        <f t="shared" si="30"/>
        <v>Frontière</v>
      </c>
    </row>
    <row r="97" spans="1:28" ht="15" customHeight="1" x14ac:dyDescent="0.3">
      <c r="A97" s="20" t="str">
        <f t="shared" si="21"/>
        <v>X</v>
      </c>
      <c r="B97" s="779"/>
      <c r="C97" s="775"/>
      <c r="D97" s="759"/>
      <c r="E97" s="721" t="s">
        <v>33</v>
      </c>
      <c r="F97" s="237" t="s">
        <v>62</v>
      </c>
      <c r="G97" s="238">
        <v>100</v>
      </c>
      <c r="H97" s="239">
        <v>70</v>
      </c>
      <c r="I97" s="240">
        <f t="shared" si="26"/>
        <v>0.61</v>
      </c>
      <c r="J97" s="241">
        <v>61</v>
      </c>
      <c r="K97" s="240">
        <f t="shared" si="23"/>
        <v>0.32</v>
      </c>
      <c r="L97" s="241">
        <f>20+12</f>
        <v>32</v>
      </c>
      <c r="M97" s="240">
        <f t="shared" si="24"/>
        <v>0.625</v>
      </c>
      <c r="N97" s="241">
        <v>20</v>
      </c>
      <c r="O97" s="228">
        <v>4</v>
      </c>
      <c r="P97" s="229">
        <v>4</v>
      </c>
      <c r="Q97" s="228"/>
      <c r="R97" s="229"/>
      <c r="S97" s="287">
        <v>100</v>
      </c>
      <c r="T97" s="288">
        <v>70</v>
      </c>
      <c r="U97" s="287">
        <v>0</v>
      </c>
      <c r="V97" s="289">
        <v>0</v>
      </c>
      <c r="W97" s="205" t="s">
        <v>206</v>
      </c>
      <c r="AB97" s="2" t="str">
        <f t="shared" si="30"/>
        <v>Frontière</v>
      </c>
    </row>
    <row r="98" spans="1:28" ht="15" customHeight="1" x14ac:dyDescent="0.3">
      <c r="A98" s="20" t="str">
        <f t="shared" si="21"/>
        <v>X</v>
      </c>
      <c r="B98" s="779"/>
      <c r="C98" s="775"/>
      <c r="D98" s="759"/>
      <c r="E98" s="721" t="s">
        <v>47</v>
      </c>
      <c r="F98" s="237" t="s">
        <v>62</v>
      </c>
      <c r="G98" s="238">
        <v>32</v>
      </c>
      <c r="H98" s="239">
        <v>28</v>
      </c>
      <c r="I98" s="240">
        <f t="shared" si="26"/>
        <v>0.59375</v>
      </c>
      <c r="J98" s="241">
        <v>19</v>
      </c>
      <c r="K98" s="240">
        <f t="shared" si="23"/>
        <v>0.28125</v>
      </c>
      <c r="L98" s="241">
        <f>4+2+2+1</f>
        <v>9</v>
      </c>
      <c r="M98" s="240">
        <f t="shared" si="24"/>
        <v>0.66666666666666663</v>
      </c>
      <c r="N98" s="241">
        <v>6</v>
      </c>
      <c r="O98" s="228">
        <v>4</v>
      </c>
      <c r="P98" s="229">
        <v>3</v>
      </c>
      <c r="Q98" s="228"/>
      <c r="R98" s="229"/>
      <c r="S98" s="287">
        <v>27</v>
      </c>
      <c r="T98" s="288">
        <v>24</v>
      </c>
      <c r="U98" s="287">
        <v>5</v>
      </c>
      <c r="V98" s="289">
        <v>5</v>
      </c>
      <c r="W98" s="205" t="s">
        <v>206</v>
      </c>
      <c r="AB98" s="2" t="str">
        <f t="shared" si="30"/>
        <v>Frontière</v>
      </c>
    </row>
    <row r="99" spans="1:28" ht="15" customHeight="1" x14ac:dyDescent="0.3">
      <c r="A99" s="20" t="str">
        <f t="shared" si="21"/>
        <v>X</v>
      </c>
      <c r="B99" s="779"/>
      <c r="C99" s="775"/>
      <c r="D99" s="759"/>
      <c r="E99" s="721" t="s">
        <v>46</v>
      </c>
      <c r="F99" s="237" t="s">
        <v>62</v>
      </c>
      <c r="G99" s="238">
        <v>42</v>
      </c>
      <c r="H99" s="239">
        <v>16</v>
      </c>
      <c r="I99" s="240">
        <f t="shared" si="26"/>
        <v>0.69047619047619047</v>
      </c>
      <c r="J99" s="241">
        <v>29</v>
      </c>
      <c r="K99" s="240">
        <f t="shared" si="23"/>
        <v>0.47619047619047616</v>
      </c>
      <c r="L99" s="241">
        <f>15+4+1</f>
        <v>20</v>
      </c>
      <c r="M99" s="240">
        <f t="shared" si="24"/>
        <v>0.75</v>
      </c>
      <c r="N99" s="241">
        <v>15</v>
      </c>
      <c r="O99" s="228">
        <v>1</v>
      </c>
      <c r="P99" s="229">
        <v>0</v>
      </c>
      <c r="Q99" s="228"/>
      <c r="R99" s="229"/>
      <c r="S99" s="287">
        <v>36</v>
      </c>
      <c r="T99" s="288">
        <v>16</v>
      </c>
      <c r="U99" s="287">
        <v>6</v>
      </c>
      <c r="V99" s="289">
        <v>0</v>
      </c>
      <c r="W99" s="205" t="s">
        <v>206</v>
      </c>
      <c r="AB99" s="2" t="str">
        <f t="shared" si="30"/>
        <v>Frontière</v>
      </c>
    </row>
    <row r="100" spans="1:28" ht="15" customHeight="1" x14ac:dyDescent="0.3">
      <c r="A100" s="20" t="str">
        <f t="shared" si="21"/>
        <v/>
      </c>
      <c r="B100" s="779"/>
      <c r="C100" s="775"/>
      <c r="D100" s="759"/>
      <c r="E100" s="721" t="s">
        <v>35</v>
      </c>
      <c r="F100" s="237" t="s">
        <v>62</v>
      </c>
      <c r="G100" s="677"/>
      <c r="H100" s="678"/>
      <c r="I100" s="679" t="str">
        <f t="shared" si="26"/>
        <v/>
      </c>
      <c r="J100" s="680"/>
      <c r="K100" s="679" t="str">
        <f t="shared" si="23"/>
        <v/>
      </c>
      <c r="L100" s="680"/>
      <c r="M100" s="679" t="str">
        <f t="shared" si="24"/>
        <v/>
      </c>
      <c r="N100" s="680"/>
      <c r="O100" s="681"/>
      <c r="P100" s="682"/>
      <c r="Q100" s="681"/>
      <c r="R100" s="682"/>
      <c r="S100" s="683"/>
      <c r="T100" s="684"/>
      <c r="U100" s="683"/>
      <c r="V100" s="685"/>
      <c r="W100" s="205" t="s">
        <v>206</v>
      </c>
      <c r="AB100" s="2" t="str">
        <f t="shared" si="30"/>
        <v/>
      </c>
    </row>
    <row r="101" spans="1:28" ht="15" customHeight="1" x14ac:dyDescent="0.3">
      <c r="A101" s="20" t="str">
        <f t="shared" si="21"/>
        <v>X</v>
      </c>
      <c r="B101" s="779"/>
      <c r="C101" s="775"/>
      <c r="D101" s="759"/>
      <c r="E101" s="721" t="s">
        <v>34</v>
      </c>
      <c r="F101" s="237" t="s">
        <v>62</v>
      </c>
      <c r="G101" s="238">
        <v>17</v>
      </c>
      <c r="H101" s="239">
        <v>14</v>
      </c>
      <c r="I101" s="240">
        <f t="shared" si="26"/>
        <v>0.29411764705882354</v>
      </c>
      <c r="J101" s="241">
        <v>5</v>
      </c>
      <c r="K101" s="240">
        <f t="shared" si="23"/>
        <v>0.11764705882352941</v>
      </c>
      <c r="L101" s="241">
        <f>1+1</f>
        <v>2</v>
      </c>
      <c r="M101" s="240">
        <f t="shared" si="24"/>
        <v>0.5</v>
      </c>
      <c r="N101" s="241">
        <v>1</v>
      </c>
      <c r="O101" s="228">
        <v>0</v>
      </c>
      <c r="P101" s="229">
        <v>0</v>
      </c>
      <c r="Q101" s="228"/>
      <c r="R101" s="229"/>
      <c r="S101" s="287">
        <v>16</v>
      </c>
      <c r="T101" s="288">
        <v>13</v>
      </c>
      <c r="U101" s="287">
        <v>1</v>
      </c>
      <c r="V101" s="289">
        <v>1</v>
      </c>
      <c r="W101" s="205" t="s">
        <v>206</v>
      </c>
      <c r="AB101" s="2" t="str">
        <f t="shared" si="30"/>
        <v>Frontière</v>
      </c>
    </row>
    <row r="102" spans="1:28" ht="15.75" customHeight="1" x14ac:dyDescent="0.3">
      <c r="A102" s="20" t="str">
        <f t="shared" si="21"/>
        <v>X</v>
      </c>
      <c r="B102" s="779"/>
      <c r="C102" s="775"/>
      <c r="D102" s="759"/>
      <c r="E102" s="721" t="s">
        <v>147</v>
      </c>
      <c r="F102" s="237" t="s">
        <v>62</v>
      </c>
      <c r="G102" s="238">
        <v>12</v>
      </c>
      <c r="H102" s="239">
        <v>12</v>
      </c>
      <c r="I102" s="240">
        <f t="shared" si="26"/>
        <v>0.83333333333333337</v>
      </c>
      <c r="J102" s="241">
        <v>10</v>
      </c>
      <c r="K102" s="240">
        <f t="shared" si="23"/>
        <v>0.58333333333333337</v>
      </c>
      <c r="L102" s="241">
        <v>7</v>
      </c>
      <c r="M102" s="240">
        <f t="shared" si="24"/>
        <v>1</v>
      </c>
      <c r="N102" s="241">
        <v>7</v>
      </c>
      <c r="O102" s="228">
        <v>0</v>
      </c>
      <c r="P102" s="229">
        <v>0</v>
      </c>
      <c r="Q102" s="228"/>
      <c r="R102" s="229"/>
      <c r="S102" s="287">
        <v>12</v>
      </c>
      <c r="T102" s="288">
        <v>12</v>
      </c>
      <c r="U102" s="287">
        <v>0</v>
      </c>
      <c r="V102" s="289">
        <v>0</v>
      </c>
      <c r="W102" s="205" t="s">
        <v>206</v>
      </c>
      <c r="AB102" s="2" t="str">
        <f t="shared" si="30"/>
        <v>Frontière</v>
      </c>
    </row>
    <row r="103" spans="1:28" ht="15.75" customHeight="1" x14ac:dyDescent="0.3">
      <c r="A103" s="20" t="str">
        <f t="shared" si="21"/>
        <v/>
      </c>
      <c r="B103" s="779"/>
      <c r="C103" s="775"/>
      <c r="D103" s="759"/>
      <c r="E103" s="727" t="s">
        <v>166</v>
      </c>
      <c r="F103" s="237" t="s">
        <v>62</v>
      </c>
      <c r="G103" s="238"/>
      <c r="H103" s="239"/>
      <c r="I103" s="240" t="str">
        <f t="shared" si="26"/>
        <v/>
      </c>
      <c r="J103" s="241"/>
      <c r="K103" s="240" t="str">
        <f t="shared" si="23"/>
        <v/>
      </c>
      <c r="L103" s="241"/>
      <c r="M103" s="240" t="str">
        <f t="shared" si="24"/>
        <v/>
      </c>
      <c r="N103" s="241"/>
      <c r="O103" s="228"/>
      <c r="P103" s="229"/>
      <c r="Q103" s="228"/>
      <c r="R103" s="229"/>
      <c r="S103" s="287"/>
      <c r="T103" s="288"/>
      <c r="U103" s="287"/>
      <c r="V103" s="289"/>
      <c r="W103" s="205" t="s">
        <v>206</v>
      </c>
      <c r="AB103" s="2" t="str">
        <f t="shared" si="30"/>
        <v/>
      </c>
    </row>
    <row r="104" spans="1:28" ht="15.75" customHeight="1" x14ac:dyDescent="0.3">
      <c r="A104" s="20" t="str">
        <f t="shared" si="21"/>
        <v/>
      </c>
      <c r="B104" s="779"/>
      <c r="C104" s="775"/>
      <c r="D104" s="759"/>
      <c r="E104" s="727" t="s">
        <v>166</v>
      </c>
      <c r="F104" s="237" t="s">
        <v>62</v>
      </c>
      <c r="G104" s="238"/>
      <c r="H104" s="239"/>
      <c r="I104" s="240" t="str">
        <f t="shared" si="26"/>
        <v/>
      </c>
      <c r="J104" s="241"/>
      <c r="K104" s="240" t="str">
        <f t="shared" si="23"/>
        <v/>
      </c>
      <c r="L104" s="241"/>
      <c r="M104" s="240" t="str">
        <f t="shared" si="24"/>
        <v/>
      </c>
      <c r="N104" s="241"/>
      <c r="O104" s="228"/>
      <c r="P104" s="229"/>
      <c r="Q104" s="228"/>
      <c r="R104" s="229"/>
      <c r="S104" s="287"/>
      <c r="T104" s="288"/>
      <c r="U104" s="287"/>
      <c r="V104" s="289"/>
      <c r="W104" s="205" t="s">
        <v>206</v>
      </c>
      <c r="AB104" s="2" t="str">
        <f t="shared" si="30"/>
        <v/>
      </c>
    </row>
    <row r="105" spans="1:28" ht="15.75" customHeight="1" x14ac:dyDescent="0.3">
      <c r="A105" s="20" t="str">
        <f t="shared" si="21"/>
        <v>X</v>
      </c>
      <c r="B105" s="779"/>
      <c r="C105" s="775"/>
      <c r="D105" s="759"/>
      <c r="E105" s="721" t="s">
        <v>146</v>
      </c>
      <c r="F105" s="237" t="s">
        <v>62</v>
      </c>
      <c r="G105" s="238">
        <v>5</v>
      </c>
      <c r="H105" s="239">
        <v>5</v>
      </c>
      <c r="I105" s="240">
        <f t="shared" si="26"/>
        <v>0.4</v>
      </c>
      <c r="J105" s="241">
        <v>2</v>
      </c>
      <c r="K105" s="240">
        <f t="shared" si="23"/>
        <v>0.2</v>
      </c>
      <c r="L105" s="241">
        <v>1</v>
      </c>
      <c r="M105" s="240">
        <f t="shared" si="24"/>
        <v>1</v>
      </c>
      <c r="N105" s="241">
        <v>1</v>
      </c>
      <c r="O105" s="228">
        <v>1</v>
      </c>
      <c r="P105" s="229">
        <v>1</v>
      </c>
      <c r="Q105" s="228"/>
      <c r="R105" s="229"/>
      <c r="S105" s="287">
        <v>5</v>
      </c>
      <c r="T105" s="288">
        <v>5</v>
      </c>
      <c r="U105" s="287">
        <v>0</v>
      </c>
      <c r="V105" s="289">
        <v>0</v>
      </c>
      <c r="W105" s="205" t="s">
        <v>206</v>
      </c>
      <c r="AB105" s="2" t="str">
        <f t="shared" si="30"/>
        <v>Frontière</v>
      </c>
    </row>
    <row r="106" spans="1:28" ht="15.75" customHeight="1" x14ac:dyDescent="0.3">
      <c r="A106" s="20" t="str">
        <f t="shared" si="21"/>
        <v/>
      </c>
      <c r="B106" s="779"/>
      <c r="C106" s="775"/>
      <c r="D106" s="759"/>
      <c r="E106" s="727" t="s">
        <v>166</v>
      </c>
      <c r="F106" s="237"/>
      <c r="G106" s="238"/>
      <c r="H106" s="239"/>
      <c r="I106" s="240"/>
      <c r="J106" s="241"/>
      <c r="K106" s="240"/>
      <c r="L106" s="241"/>
      <c r="M106" s="240"/>
      <c r="N106" s="241"/>
      <c r="O106" s="228"/>
      <c r="P106" s="229"/>
      <c r="Q106" s="228"/>
      <c r="R106" s="229"/>
      <c r="S106" s="287"/>
      <c r="T106" s="288"/>
      <c r="U106" s="287"/>
      <c r="V106" s="289"/>
      <c r="W106" s="205"/>
    </row>
    <row r="107" spans="1:28" ht="15.75" customHeight="1" x14ac:dyDescent="0.3">
      <c r="A107" s="20" t="str">
        <f t="shared" si="21"/>
        <v/>
      </c>
      <c r="B107" s="779"/>
      <c r="C107" s="775"/>
      <c r="D107" s="759"/>
      <c r="E107" s="727" t="s">
        <v>166</v>
      </c>
      <c r="F107" s="237"/>
      <c r="G107" s="238"/>
      <c r="H107" s="239"/>
      <c r="I107" s="240"/>
      <c r="J107" s="241"/>
      <c r="K107" s="240"/>
      <c r="L107" s="241"/>
      <c r="M107" s="240"/>
      <c r="N107" s="241"/>
      <c r="O107" s="228"/>
      <c r="P107" s="229"/>
      <c r="Q107" s="228"/>
      <c r="R107" s="229"/>
      <c r="S107" s="287"/>
      <c r="T107" s="288"/>
      <c r="U107" s="287"/>
      <c r="V107" s="289"/>
      <c r="W107" s="205"/>
    </row>
    <row r="108" spans="1:28" ht="15.75" customHeight="1" x14ac:dyDescent="0.3">
      <c r="A108" s="20" t="str">
        <f t="shared" si="21"/>
        <v/>
      </c>
      <c r="B108" s="779"/>
      <c r="C108" s="775"/>
      <c r="D108" s="759"/>
      <c r="E108" s="728" t="s">
        <v>166</v>
      </c>
      <c r="F108" s="242"/>
      <c r="G108" s="243"/>
      <c r="H108" s="244"/>
      <c r="I108" s="245"/>
      <c r="J108" s="246"/>
      <c r="K108" s="245"/>
      <c r="L108" s="246"/>
      <c r="M108" s="245"/>
      <c r="N108" s="246"/>
      <c r="O108" s="230"/>
      <c r="P108" s="231"/>
      <c r="Q108" s="230"/>
      <c r="R108" s="231"/>
      <c r="S108" s="290"/>
      <c r="T108" s="291"/>
      <c r="U108" s="290"/>
      <c r="V108" s="292"/>
      <c r="W108" s="205"/>
    </row>
    <row r="109" spans="1:28" ht="15.6" x14ac:dyDescent="0.3">
      <c r="A109" s="20" t="str">
        <f t="shared" si="21"/>
        <v>S</v>
      </c>
      <c r="B109" s="784"/>
      <c r="C109" s="775"/>
      <c r="D109" s="309" t="s">
        <v>138</v>
      </c>
      <c r="E109" s="718"/>
      <c r="F109" s="16"/>
      <c r="G109" s="7">
        <f>SUM(G96:G108)</f>
        <v>302</v>
      </c>
      <c r="H109" s="8">
        <f>SUM(H96:H108)</f>
        <v>227</v>
      </c>
      <c r="I109" s="9">
        <f t="shared" si="26"/>
        <v>0.56622516556291391</v>
      </c>
      <c r="J109" s="202">
        <f>SUM(J96:J108)</f>
        <v>171</v>
      </c>
      <c r="K109" s="51">
        <f t="shared" si="23"/>
        <v>0.34105960264900664</v>
      </c>
      <c r="L109" s="202">
        <f>SUM(L96:L108)</f>
        <v>103</v>
      </c>
      <c r="M109" s="9">
        <f t="shared" si="24"/>
        <v>0.66990291262135926</v>
      </c>
      <c r="N109" s="202">
        <f t="shared" ref="N109:V109" si="32">SUM(N96:N108)</f>
        <v>69</v>
      </c>
      <c r="O109" s="118">
        <f t="shared" si="32"/>
        <v>19</v>
      </c>
      <c r="P109" s="119">
        <f t="shared" si="32"/>
        <v>15</v>
      </c>
      <c r="Q109" s="118">
        <f t="shared" si="32"/>
        <v>0</v>
      </c>
      <c r="R109" s="119">
        <f t="shared" si="32"/>
        <v>0</v>
      </c>
      <c r="S109" s="118">
        <f t="shared" si="32"/>
        <v>288</v>
      </c>
      <c r="T109" s="119">
        <f t="shared" si="32"/>
        <v>220</v>
      </c>
      <c r="U109" s="118">
        <f t="shared" si="32"/>
        <v>14</v>
      </c>
      <c r="V109" s="120">
        <f t="shared" si="32"/>
        <v>8</v>
      </c>
      <c r="W109" s="205"/>
      <c r="AB109" s="2">
        <f t="shared" si="30"/>
        <v>0</v>
      </c>
    </row>
    <row r="110" spans="1:28" x14ac:dyDescent="0.3">
      <c r="A110" s="20" t="str">
        <f t="shared" si="21"/>
        <v>X</v>
      </c>
      <c r="B110" s="773" t="s">
        <v>151</v>
      </c>
      <c r="C110" s="782" t="s">
        <v>76</v>
      </c>
      <c r="D110" s="760">
        <v>23</v>
      </c>
      <c r="E110" s="720" t="s">
        <v>154</v>
      </c>
      <c r="F110" s="232" t="s">
        <v>62</v>
      </c>
      <c r="G110" s="673">
        <v>5</v>
      </c>
      <c r="H110" s="674">
        <v>4</v>
      </c>
      <c r="I110" s="224">
        <f t="shared" si="26"/>
        <v>0</v>
      </c>
      <c r="J110" s="236">
        <v>0</v>
      </c>
      <c r="K110" s="235">
        <f t="shared" si="23"/>
        <v>0.2</v>
      </c>
      <c r="L110" s="236">
        <v>1</v>
      </c>
      <c r="M110" s="224">
        <f t="shared" si="24"/>
        <v>0</v>
      </c>
      <c r="N110" s="236">
        <v>0</v>
      </c>
      <c r="O110" s="226">
        <v>0</v>
      </c>
      <c r="P110" s="227">
        <v>0</v>
      </c>
      <c r="Q110" s="226">
        <v>0</v>
      </c>
      <c r="R110" s="227">
        <v>0</v>
      </c>
      <c r="S110" s="284">
        <v>5</v>
      </c>
      <c r="T110" s="285">
        <v>4</v>
      </c>
      <c r="U110" s="284">
        <v>0</v>
      </c>
      <c r="V110" s="286">
        <v>0</v>
      </c>
      <c r="W110" s="259" t="s">
        <v>206</v>
      </c>
      <c r="AB110" s="2" t="str">
        <f t="shared" si="30"/>
        <v>Frontière</v>
      </c>
    </row>
    <row r="111" spans="1:28" ht="15.75" customHeight="1" x14ac:dyDescent="0.3">
      <c r="A111" s="20" t="str">
        <f t="shared" si="21"/>
        <v>X</v>
      </c>
      <c r="B111" s="773"/>
      <c r="C111" s="782"/>
      <c r="D111" s="760"/>
      <c r="E111" s="721" t="s">
        <v>155</v>
      </c>
      <c r="F111" s="237" t="s">
        <v>62</v>
      </c>
      <c r="G111" s="675">
        <v>14</v>
      </c>
      <c r="H111" s="676">
        <v>6</v>
      </c>
      <c r="I111" s="225">
        <f t="shared" si="26"/>
        <v>0.5</v>
      </c>
      <c r="J111" s="241">
        <v>7</v>
      </c>
      <c r="K111" s="240">
        <f t="shared" si="23"/>
        <v>0.14285714285714285</v>
      </c>
      <c r="L111" s="241">
        <v>2</v>
      </c>
      <c r="M111" s="225">
        <f t="shared" si="24"/>
        <v>0.5</v>
      </c>
      <c r="N111" s="241">
        <v>1</v>
      </c>
      <c r="O111" s="228">
        <v>0</v>
      </c>
      <c r="P111" s="229">
        <v>0</v>
      </c>
      <c r="Q111" s="228">
        <v>3</v>
      </c>
      <c r="R111" s="229">
        <v>3</v>
      </c>
      <c r="S111" s="287">
        <v>14</v>
      </c>
      <c r="T111" s="288">
        <v>6</v>
      </c>
      <c r="U111" s="287">
        <v>3</v>
      </c>
      <c r="V111" s="289">
        <v>3</v>
      </c>
      <c r="W111" s="260" t="s">
        <v>206</v>
      </c>
      <c r="AB111" s="2" t="str">
        <f t="shared" si="30"/>
        <v>Frontière</v>
      </c>
    </row>
    <row r="112" spans="1:28" ht="15.75" customHeight="1" x14ac:dyDescent="0.3">
      <c r="A112" s="20" t="str">
        <f t="shared" si="21"/>
        <v>X</v>
      </c>
      <c r="B112" s="773"/>
      <c r="C112" s="782"/>
      <c r="D112" s="760"/>
      <c r="E112" s="721" t="s">
        <v>156</v>
      </c>
      <c r="F112" s="237" t="s">
        <v>62</v>
      </c>
      <c r="G112" s="675">
        <v>8</v>
      </c>
      <c r="H112" s="676">
        <v>3</v>
      </c>
      <c r="I112" s="225">
        <f t="shared" si="26"/>
        <v>0.5</v>
      </c>
      <c r="J112" s="241">
        <v>4</v>
      </c>
      <c r="K112" s="240">
        <f t="shared" si="23"/>
        <v>0.375</v>
      </c>
      <c r="L112" s="241">
        <v>3</v>
      </c>
      <c r="M112" s="225">
        <f t="shared" si="24"/>
        <v>0.66666666666666663</v>
      </c>
      <c r="N112" s="241">
        <v>2</v>
      </c>
      <c r="O112" s="228">
        <v>0</v>
      </c>
      <c r="P112" s="229">
        <v>0</v>
      </c>
      <c r="Q112" s="228">
        <v>3</v>
      </c>
      <c r="R112" s="229">
        <v>1</v>
      </c>
      <c r="S112" s="287">
        <v>8</v>
      </c>
      <c r="T112" s="288">
        <v>3</v>
      </c>
      <c r="U112" s="287">
        <v>3</v>
      </c>
      <c r="V112" s="289">
        <v>1</v>
      </c>
      <c r="W112" s="260" t="s">
        <v>206</v>
      </c>
      <c r="AB112" s="2" t="str">
        <f t="shared" si="30"/>
        <v>Frontière</v>
      </c>
    </row>
    <row r="113" spans="1:28" ht="15" customHeight="1" x14ac:dyDescent="0.3">
      <c r="A113" s="20" t="str">
        <f t="shared" si="21"/>
        <v>X</v>
      </c>
      <c r="B113" s="773"/>
      <c r="C113" s="782"/>
      <c r="D113" s="760"/>
      <c r="E113" s="721" t="s">
        <v>37</v>
      </c>
      <c r="F113" s="410" t="s">
        <v>62</v>
      </c>
      <c r="G113" s="238">
        <v>458</v>
      </c>
      <c r="H113" s="239">
        <v>230</v>
      </c>
      <c r="I113" s="240">
        <f t="shared" si="26"/>
        <v>0.27292576419213976</v>
      </c>
      <c r="J113" s="241">
        <v>125</v>
      </c>
      <c r="K113" s="240">
        <f t="shared" si="23"/>
        <v>0.29039301310043669</v>
      </c>
      <c r="L113" s="241">
        <v>133</v>
      </c>
      <c r="M113" s="240">
        <f t="shared" si="24"/>
        <v>0.33834586466165412</v>
      </c>
      <c r="N113" s="241">
        <v>45</v>
      </c>
      <c r="O113" s="228">
        <v>32</v>
      </c>
      <c r="P113" s="229">
        <v>15</v>
      </c>
      <c r="Q113" s="228">
        <v>84</v>
      </c>
      <c r="R113" s="229">
        <v>32</v>
      </c>
      <c r="S113" s="287">
        <v>519</v>
      </c>
      <c r="T113" s="288">
        <v>247</v>
      </c>
      <c r="U113" s="287">
        <v>23</v>
      </c>
      <c r="V113" s="289">
        <v>15</v>
      </c>
      <c r="W113" s="260" t="s">
        <v>206</v>
      </c>
      <c r="AB113" s="2" t="str">
        <f t="shared" si="30"/>
        <v>Frontière</v>
      </c>
    </row>
    <row r="114" spans="1:28" ht="15" customHeight="1" x14ac:dyDescent="0.3">
      <c r="A114" s="20" t="str">
        <f t="shared" ref="A114:A159" si="33">IF(D114="Sous-total","S",IF(G114="","","X"))</f>
        <v>X</v>
      </c>
      <c r="B114" s="773"/>
      <c r="C114" s="782"/>
      <c r="D114" s="760"/>
      <c r="E114" s="721" t="s">
        <v>157</v>
      </c>
      <c r="F114" s="410" t="s">
        <v>62</v>
      </c>
      <c r="G114" s="238">
        <v>283</v>
      </c>
      <c r="H114" s="239">
        <v>161</v>
      </c>
      <c r="I114" s="240">
        <f t="shared" si="26"/>
        <v>0.52296819787985871</v>
      </c>
      <c r="J114" s="241">
        <v>148</v>
      </c>
      <c r="K114" s="240">
        <f t="shared" si="23"/>
        <v>0.38162544169611307</v>
      </c>
      <c r="L114" s="241">
        <v>108</v>
      </c>
      <c r="M114" s="240">
        <f t="shared" si="24"/>
        <v>0.67592592592592593</v>
      </c>
      <c r="N114" s="241">
        <v>73</v>
      </c>
      <c r="O114" s="228">
        <v>7</v>
      </c>
      <c r="P114" s="229">
        <v>4</v>
      </c>
      <c r="Q114" s="228">
        <v>8</v>
      </c>
      <c r="R114" s="229">
        <v>5</v>
      </c>
      <c r="S114" s="287">
        <v>283</v>
      </c>
      <c r="T114" s="288">
        <v>160</v>
      </c>
      <c r="U114" s="287">
        <v>8</v>
      </c>
      <c r="V114" s="289">
        <v>6</v>
      </c>
      <c r="W114" s="260" t="s">
        <v>206</v>
      </c>
      <c r="AB114" s="2" t="str">
        <f t="shared" si="30"/>
        <v>Frontière</v>
      </c>
    </row>
    <row r="115" spans="1:28" ht="15" customHeight="1" x14ac:dyDescent="0.3">
      <c r="A115" s="20" t="str">
        <f t="shared" si="33"/>
        <v>X</v>
      </c>
      <c r="B115" s="773"/>
      <c r="C115" s="782"/>
      <c r="D115" s="760"/>
      <c r="E115" s="721" t="s">
        <v>38</v>
      </c>
      <c r="F115" s="410" t="s">
        <v>62</v>
      </c>
      <c r="G115" s="238">
        <v>312</v>
      </c>
      <c r="H115" s="239">
        <v>170</v>
      </c>
      <c r="I115" s="240">
        <f t="shared" si="26"/>
        <v>0.40064102564102566</v>
      </c>
      <c r="J115" s="241">
        <v>125</v>
      </c>
      <c r="K115" s="240">
        <f t="shared" si="23"/>
        <v>0.30448717948717946</v>
      </c>
      <c r="L115" s="241">
        <v>95</v>
      </c>
      <c r="M115" s="240">
        <f t="shared" si="24"/>
        <v>0.48421052631578948</v>
      </c>
      <c r="N115" s="241">
        <v>46</v>
      </c>
      <c r="O115" s="228">
        <v>21</v>
      </c>
      <c r="P115" s="229">
        <v>10</v>
      </c>
      <c r="Q115" s="228">
        <v>45</v>
      </c>
      <c r="R115" s="229">
        <v>22</v>
      </c>
      <c r="S115" s="287">
        <v>306</v>
      </c>
      <c r="T115" s="288">
        <v>167</v>
      </c>
      <c r="U115" s="287">
        <v>51</v>
      </c>
      <c r="V115" s="289">
        <v>25</v>
      </c>
      <c r="W115" s="260" t="s">
        <v>206</v>
      </c>
      <c r="AB115" s="2" t="str">
        <f t="shared" si="30"/>
        <v>Frontière</v>
      </c>
    </row>
    <row r="116" spans="1:28" ht="15" customHeight="1" x14ac:dyDescent="0.3">
      <c r="A116" s="20" t="str">
        <f t="shared" si="33"/>
        <v>X</v>
      </c>
      <c r="B116" s="773"/>
      <c r="C116" s="782"/>
      <c r="D116" s="760"/>
      <c r="E116" s="721" t="s">
        <v>158</v>
      </c>
      <c r="F116" s="237" t="s">
        <v>62</v>
      </c>
      <c r="G116" s="238">
        <v>110</v>
      </c>
      <c r="H116" s="239">
        <v>68</v>
      </c>
      <c r="I116" s="240">
        <f t="shared" si="26"/>
        <v>0.42727272727272725</v>
      </c>
      <c r="J116" s="241">
        <v>47</v>
      </c>
      <c r="K116" s="240">
        <f t="shared" si="23"/>
        <v>0.36363636363636365</v>
      </c>
      <c r="L116" s="241">
        <v>40</v>
      </c>
      <c r="M116" s="240">
        <f t="shared" si="24"/>
        <v>0.5</v>
      </c>
      <c r="N116" s="241">
        <v>20</v>
      </c>
      <c r="O116" s="228">
        <v>6</v>
      </c>
      <c r="P116" s="229">
        <v>6</v>
      </c>
      <c r="Q116" s="228">
        <v>3</v>
      </c>
      <c r="R116" s="229">
        <v>0</v>
      </c>
      <c r="S116" s="287">
        <v>77</v>
      </c>
      <c r="T116" s="288">
        <v>47</v>
      </c>
      <c r="U116" s="287">
        <v>36</v>
      </c>
      <c r="V116" s="289">
        <v>21</v>
      </c>
      <c r="W116" s="260" t="s">
        <v>206</v>
      </c>
      <c r="AB116" s="2" t="str">
        <f t="shared" si="30"/>
        <v>Frontière</v>
      </c>
    </row>
    <row r="117" spans="1:28" ht="15" customHeight="1" x14ac:dyDescent="0.3">
      <c r="A117" s="20" t="str">
        <f t="shared" si="33"/>
        <v>X</v>
      </c>
      <c r="B117" s="773"/>
      <c r="C117" s="782"/>
      <c r="D117" s="760"/>
      <c r="E117" s="721" t="s">
        <v>148</v>
      </c>
      <c r="F117" s="237" t="s">
        <v>62</v>
      </c>
      <c r="G117" s="238">
        <v>52</v>
      </c>
      <c r="H117" s="239">
        <v>30</v>
      </c>
      <c r="I117" s="240">
        <f t="shared" si="26"/>
        <v>0.40384615384615385</v>
      </c>
      <c r="J117" s="241">
        <v>21</v>
      </c>
      <c r="K117" s="240">
        <f t="shared" si="23"/>
        <v>0.32692307692307693</v>
      </c>
      <c r="L117" s="241">
        <v>17</v>
      </c>
      <c r="M117" s="240">
        <f t="shared" si="24"/>
        <v>0.47058823529411764</v>
      </c>
      <c r="N117" s="241">
        <v>8</v>
      </c>
      <c r="O117" s="228">
        <v>0</v>
      </c>
      <c r="P117" s="229">
        <v>0</v>
      </c>
      <c r="Q117" s="228">
        <v>1</v>
      </c>
      <c r="R117" s="229">
        <v>1</v>
      </c>
      <c r="S117" s="287">
        <v>46</v>
      </c>
      <c r="T117" s="288">
        <v>28</v>
      </c>
      <c r="U117" s="287">
        <v>7</v>
      </c>
      <c r="V117" s="289">
        <v>3</v>
      </c>
      <c r="W117" s="260" t="s">
        <v>206</v>
      </c>
      <c r="AB117" s="2" t="str">
        <f t="shared" si="30"/>
        <v>Frontière</v>
      </c>
    </row>
    <row r="118" spans="1:28" ht="15" customHeight="1" x14ac:dyDescent="0.3">
      <c r="A118" s="20" t="str">
        <f t="shared" si="33"/>
        <v/>
      </c>
      <c r="B118" s="773"/>
      <c r="C118" s="782"/>
      <c r="D118" s="760"/>
      <c r="E118" s="721" t="s">
        <v>149</v>
      </c>
      <c r="F118" s="410" t="s">
        <v>62</v>
      </c>
      <c r="G118" s="677"/>
      <c r="H118" s="678"/>
      <c r="I118" s="679" t="str">
        <f t="shared" si="26"/>
        <v/>
      </c>
      <c r="J118" s="680"/>
      <c r="K118" s="679" t="str">
        <f t="shared" si="23"/>
        <v/>
      </c>
      <c r="L118" s="680"/>
      <c r="M118" s="679" t="str">
        <f t="shared" si="24"/>
        <v/>
      </c>
      <c r="N118" s="680"/>
      <c r="O118" s="681"/>
      <c r="P118" s="682"/>
      <c r="Q118" s="681"/>
      <c r="R118" s="682"/>
      <c r="S118" s="683"/>
      <c r="T118" s="684"/>
      <c r="U118" s="683"/>
      <c r="V118" s="685"/>
      <c r="W118" s="260" t="s">
        <v>206</v>
      </c>
      <c r="AB118" s="2" t="str">
        <f t="shared" si="30"/>
        <v/>
      </c>
    </row>
    <row r="119" spans="1:28" ht="15" customHeight="1" x14ac:dyDescent="0.3">
      <c r="A119" s="20" t="str">
        <f t="shared" si="33"/>
        <v/>
      </c>
      <c r="B119" s="773"/>
      <c r="C119" s="782"/>
      <c r="D119" s="760"/>
      <c r="E119" s="727" t="s">
        <v>166</v>
      </c>
      <c r="F119" s="410" t="s">
        <v>62</v>
      </c>
      <c r="G119" s="238"/>
      <c r="H119" s="239"/>
      <c r="I119" s="240" t="str">
        <f t="shared" si="26"/>
        <v/>
      </c>
      <c r="J119" s="241"/>
      <c r="K119" s="240" t="str">
        <f t="shared" si="23"/>
        <v/>
      </c>
      <c r="L119" s="241"/>
      <c r="M119" s="240" t="str">
        <f t="shared" si="24"/>
        <v/>
      </c>
      <c r="N119" s="241"/>
      <c r="O119" s="228"/>
      <c r="P119" s="229"/>
      <c r="Q119" s="228"/>
      <c r="R119" s="229"/>
      <c r="S119" s="287"/>
      <c r="T119" s="288"/>
      <c r="U119" s="287"/>
      <c r="V119" s="289"/>
      <c r="W119" s="260" t="s">
        <v>206</v>
      </c>
      <c r="AB119" s="2" t="str">
        <f t="shared" si="30"/>
        <v/>
      </c>
    </row>
    <row r="120" spans="1:28" ht="15" customHeight="1" x14ac:dyDescent="0.3">
      <c r="A120" s="20" t="str">
        <f t="shared" si="33"/>
        <v/>
      </c>
      <c r="B120" s="773"/>
      <c r="C120" s="782"/>
      <c r="D120" s="760"/>
      <c r="E120" s="727" t="s">
        <v>166</v>
      </c>
      <c r="F120" s="410" t="s">
        <v>62</v>
      </c>
      <c r="G120" s="238"/>
      <c r="H120" s="239"/>
      <c r="I120" s="240" t="str">
        <f t="shared" si="26"/>
        <v/>
      </c>
      <c r="J120" s="241"/>
      <c r="K120" s="240" t="str">
        <f t="shared" si="23"/>
        <v/>
      </c>
      <c r="L120" s="241"/>
      <c r="M120" s="240" t="str">
        <f t="shared" si="24"/>
        <v/>
      </c>
      <c r="N120" s="241"/>
      <c r="O120" s="228"/>
      <c r="P120" s="229"/>
      <c r="Q120" s="228"/>
      <c r="R120" s="229"/>
      <c r="S120" s="287"/>
      <c r="T120" s="288"/>
      <c r="U120" s="287"/>
      <c r="V120" s="289"/>
      <c r="W120" s="260" t="s">
        <v>206</v>
      </c>
      <c r="AB120" s="2" t="str">
        <f t="shared" si="30"/>
        <v/>
      </c>
    </row>
    <row r="121" spans="1:28" ht="15" customHeight="1" x14ac:dyDescent="0.3">
      <c r="A121" s="20" t="str">
        <f t="shared" si="33"/>
        <v/>
      </c>
      <c r="B121" s="773"/>
      <c r="C121" s="782"/>
      <c r="D121" s="760"/>
      <c r="E121" s="721" t="s">
        <v>152</v>
      </c>
      <c r="F121" s="410" t="s">
        <v>62</v>
      </c>
      <c r="G121" s="677"/>
      <c r="H121" s="678"/>
      <c r="I121" s="679" t="str">
        <f t="shared" si="26"/>
        <v/>
      </c>
      <c r="J121" s="680"/>
      <c r="K121" s="679" t="str">
        <f t="shared" si="23"/>
        <v/>
      </c>
      <c r="L121" s="680"/>
      <c r="M121" s="679" t="str">
        <f t="shared" si="24"/>
        <v/>
      </c>
      <c r="N121" s="680"/>
      <c r="O121" s="681"/>
      <c r="P121" s="682"/>
      <c r="Q121" s="681"/>
      <c r="R121" s="682"/>
      <c r="S121" s="683"/>
      <c r="T121" s="684"/>
      <c r="U121" s="683"/>
      <c r="V121" s="685"/>
      <c r="W121" s="260" t="s">
        <v>206</v>
      </c>
      <c r="AB121" s="2" t="str">
        <f t="shared" si="30"/>
        <v/>
      </c>
    </row>
    <row r="122" spans="1:28" ht="15" customHeight="1" x14ac:dyDescent="0.3">
      <c r="A122" s="20" t="str">
        <f t="shared" si="33"/>
        <v/>
      </c>
      <c r="B122" s="773"/>
      <c r="C122" s="782"/>
      <c r="D122" s="760"/>
      <c r="E122" s="727" t="s">
        <v>166</v>
      </c>
      <c r="F122" s="410"/>
      <c r="G122" s="677"/>
      <c r="H122" s="678"/>
      <c r="I122" s="679"/>
      <c r="J122" s="680"/>
      <c r="K122" s="679"/>
      <c r="L122" s="680"/>
      <c r="M122" s="679"/>
      <c r="N122" s="680"/>
      <c r="O122" s="681"/>
      <c r="P122" s="682"/>
      <c r="Q122" s="681"/>
      <c r="R122" s="682"/>
      <c r="S122" s="683"/>
      <c r="T122" s="684"/>
      <c r="U122" s="683"/>
      <c r="V122" s="685"/>
      <c r="W122" s="261"/>
    </row>
    <row r="123" spans="1:28" ht="15" customHeight="1" x14ac:dyDescent="0.3">
      <c r="A123" s="20" t="str">
        <f t="shared" si="33"/>
        <v/>
      </c>
      <c r="B123" s="773"/>
      <c r="C123" s="782"/>
      <c r="D123" s="760"/>
      <c r="E123" s="727" t="s">
        <v>166</v>
      </c>
      <c r="F123" s="410"/>
      <c r="G123" s="677"/>
      <c r="H123" s="678"/>
      <c r="I123" s="679"/>
      <c r="J123" s="680"/>
      <c r="K123" s="679"/>
      <c r="L123" s="680"/>
      <c r="M123" s="679"/>
      <c r="N123" s="680"/>
      <c r="O123" s="681"/>
      <c r="P123" s="682"/>
      <c r="Q123" s="681"/>
      <c r="R123" s="682"/>
      <c r="S123" s="683"/>
      <c r="T123" s="684"/>
      <c r="U123" s="683"/>
      <c r="V123" s="685"/>
      <c r="W123" s="261"/>
    </row>
    <row r="124" spans="1:28" ht="15" customHeight="1" x14ac:dyDescent="0.3">
      <c r="A124" s="20" t="str">
        <f t="shared" si="33"/>
        <v/>
      </c>
      <c r="B124" s="773"/>
      <c r="C124" s="782"/>
      <c r="D124" s="760"/>
      <c r="E124" s="728" t="s">
        <v>166</v>
      </c>
      <c r="F124" s="449"/>
      <c r="G124" s="705"/>
      <c r="H124" s="706"/>
      <c r="I124" s="707"/>
      <c r="J124" s="708"/>
      <c r="K124" s="707"/>
      <c r="L124" s="708"/>
      <c r="M124" s="707"/>
      <c r="N124" s="708"/>
      <c r="O124" s="709"/>
      <c r="P124" s="710"/>
      <c r="Q124" s="709"/>
      <c r="R124" s="710"/>
      <c r="S124" s="711"/>
      <c r="T124" s="712"/>
      <c r="U124" s="711"/>
      <c r="V124" s="713"/>
      <c r="W124" s="261"/>
    </row>
    <row r="125" spans="1:28" ht="15.6" x14ac:dyDescent="0.3">
      <c r="A125" s="20" t="str">
        <f t="shared" si="33"/>
        <v>S</v>
      </c>
      <c r="B125" s="773"/>
      <c r="C125" s="782"/>
      <c r="D125" s="310" t="s">
        <v>138</v>
      </c>
      <c r="E125" s="718"/>
      <c r="F125" s="250"/>
      <c r="G125" s="7">
        <f>SUM(G110:G124)</f>
        <v>1242</v>
      </c>
      <c r="H125" s="8">
        <f>SUM(H110:H124)</f>
        <v>672</v>
      </c>
      <c r="I125" s="9">
        <f t="shared" si="26"/>
        <v>0.38405797101449274</v>
      </c>
      <c r="J125" s="202">
        <f>SUM(J110:J124)</f>
        <v>477</v>
      </c>
      <c r="K125" s="51">
        <f t="shared" si="23"/>
        <v>0.32125603864734298</v>
      </c>
      <c r="L125" s="202">
        <f>SUM(L110:L124)</f>
        <v>399</v>
      </c>
      <c r="M125" s="9">
        <f t="shared" si="24"/>
        <v>0.48872180451127817</v>
      </c>
      <c r="N125" s="202">
        <f t="shared" ref="N125:V125" si="34">SUM(N110:N124)</f>
        <v>195</v>
      </c>
      <c r="O125" s="118">
        <f t="shared" si="34"/>
        <v>66</v>
      </c>
      <c r="P125" s="119">
        <f t="shared" si="34"/>
        <v>35</v>
      </c>
      <c r="Q125" s="118">
        <f t="shared" si="34"/>
        <v>147</v>
      </c>
      <c r="R125" s="119">
        <f t="shared" si="34"/>
        <v>64</v>
      </c>
      <c r="S125" s="118">
        <f t="shared" si="34"/>
        <v>1258</v>
      </c>
      <c r="T125" s="119">
        <f t="shared" si="34"/>
        <v>662</v>
      </c>
      <c r="U125" s="118">
        <f t="shared" si="34"/>
        <v>131</v>
      </c>
      <c r="V125" s="120">
        <f t="shared" si="34"/>
        <v>74</v>
      </c>
      <c r="W125" s="261"/>
      <c r="AB125" s="2">
        <f t="shared" si="30"/>
        <v>0</v>
      </c>
    </row>
    <row r="126" spans="1:28" ht="15.75" customHeight="1" x14ac:dyDescent="0.3">
      <c r="A126" s="20" t="str">
        <f t="shared" si="33"/>
        <v>X</v>
      </c>
      <c r="B126" s="788" t="s">
        <v>72</v>
      </c>
      <c r="C126" s="782" t="s">
        <v>76</v>
      </c>
      <c r="D126" s="760">
        <v>3</v>
      </c>
      <c r="E126" s="720" t="s">
        <v>150</v>
      </c>
      <c r="F126" s="442" t="s">
        <v>62</v>
      </c>
      <c r="G126" s="233">
        <v>45</v>
      </c>
      <c r="H126" s="234">
        <v>24</v>
      </c>
      <c r="I126" s="235">
        <f t="shared" si="26"/>
        <v>0.28888888888888886</v>
      </c>
      <c r="J126" s="236">
        <v>13</v>
      </c>
      <c r="K126" s="235">
        <f t="shared" si="23"/>
        <v>0.24444444444444444</v>
      </c>
      <c r="L126" s="236">
        <v>11</v>
      </c>
      <c r="M126" s="235">
        <f t="shared" si="24"/>
        <v>0.45454545454545453</v>
      </c>
      <c r="N126" s="236">
        <v>5</v>
      </c>
      <c r="O126" s="226">
        <v>2</v>
      </c>
      <c r="P126" s="227">
        <v>1</v>
      </c>
      <c r="Q126" s="226">
        <v>22</v>
      </c>
      <c r="R126" s="227">
        <v>12</v>
      </c>
      <c r="S126" s="284">
        <v>58</v>
      </c>
      <c r="T126" s="285">
        <v>33</v>
      </c>
      <c r="U126" s="284">
        <v>9</v>
      </c>
      <c r="V126" s="286">
        <v>3</v>
      </c>
      <c r="W126" s="205" t="s">
        <v>206</v>
      </c>
      <c r="AB126" s="2" t="str">
        <f t="shared" si="30"/>
        <v>Frontière</v>
      </c>
    </row>
    <row r="127" spans="1:28" ht="15.75" customHeight="1" x14ac:dyDescent="0.3">
      <c r="A127" s="20" t="str">
        <f t="shared" si="33"/>
        <v>X</v>
      </c>
      <c r="B127" s="788"/>
      <c r="C127" s="782"/>
      <c r="D127" s="760"/>
      <c r="E127" s="721" t="s">
        <v>153</v>
      </c>
      <c r="F127" s="410" t="s">
        <v>62</v>
      </c>
      <c r="G127" s="238">
        <v>16</v>
      </c>
      <c r="H127" s="239">
        <v>10</v>
      </c>
      <c r="I127" s="240">
        <f t="shared" si="26"/>
        <v>0.25</v>
      </c>
      <c r="J127" s="241">
        <v>4</v>
      </c>
      <c r="K127" s="240">
        <f t="shared" si="23"/>
        <v>0.3125</v>
      </c>
      <c r="L127" s="241">
        <v>5</v>
      </c>
      <c r="M127" s="240">
        <f t="shared" si="24"/>
        <v>0.2</v>
      </c>
      <c r="N127" s="241">
        <v>1</v>
      </c>
      <c r="O127" s="228">
        <v>0</v>
      </c>
      <c r="P127" s="229">
        <v>0</v>
      </c>
      <c r="Q127" s="228">
        <v>4</v>
      </c>
      <c r="R127" s="229">
        <v>2</v>
      </c>
      <c r="S127" s="287">
        <v>17</v>
      </c>
      <c r="T127" s="288">
        <v>9</v>
      </c>
      <c r="U127" s="287">
        <v>3</v>
      </c>
      <c r="V127" s="289">
        <v>3</v>
      </c>
      <c r="W127" s="205" t="s">
        <v>206</v>
      </c>
      <c r="AB127" s="2" t="str">
        <f t="shared" si="30"/>
        <v>Frontière</v>
      </c>
    </row>
    <row r="128" spans="1:28" ht="15.75" customHeight="1" x14ac:dyDescent="0.3">
      <c r="A128" s="20" t="str">
        <f t="shared" si="33"/>
        <v/>
      </c>
      <c r="B128" s="788"/>
      <c r="C128" s="782"/>
      <c r="D128" s="760"/>
      <c r="E128" s="727" t="s">
        <v>166</v>
      </c>
      <c r="F128" s="410" t="s">
        <v>62</v>
      </c>
      <c r="G128" s="238"/>
      <c r="H128" s="239"/>
      <c r="I128" s="240" t="str">
        <f t="shared" si="26"/>
        <v/>
      </c>
      <c r="J128" s="241"/>
      <c r="K128" s="240" t="str">
        <f t="shared" si="23"/>
        <v/>
      </c>
      <c r="L128" s="241"/>
      <c r="M128" s="240" t="str">
        <f t="shared" si="24"/>
        <v/>
      </c>
      <c r="N128" s="241"/>
      <c r="O128" s="228"/>
      <c r="P128" s="229"/>
      <c r="Q128" s="228"/>
      <c r="R128" s="229"/>
      <c r="S128" s="287"/>
      <c r="T128" s="288"/>
      <c r="U128" s="287"/>
      <c r="V128" s="289"/>
      <c r="W128" s="205" t="s">
        <v>206</v>
      </c>
      <c r="AB128" s="2" t="str">
        <f t="shared" si="30"/>
        <v/>
      </c>
    </row>
    <row r="129" spans="1:28" ht="15.75" customHeight="1" x14ac:dyDescent="0.3">
      <c r="A129" s="20" t="str">
        <f t="shared" si="33"/>
        <v/>
      </c>
      <c r="B129" s="788"/>
      <c r="C129" s="782"/>
      <c r="D129" s="760"/>
      <c r="E129" s="727" t="s">
        <v>166</v>
      </c>
      <c r="F129" s="410" t="s">
        <v>62</v>
      </c>
      <c r="G129" s="238"/>
      <c r="H129" s="239"/>
      <c r="I129" s="240" t="str">
        <f t="shared" si="26"/>
        <v/>
      </c>
      <c r="J129" s="241"/>
      <c r="K129" s="240" t="str">
        <f t="shared" ref="K129:K161" si="35">IF(L129="","",L129/G129)</f>
        <v/>
      </c>
      <c r="L129" s="241"/>
      <c r="M129" s="240" t="str">
        <f t="shared" ref="M129:M161" si="36">IF(N129="","",N129/L129)</f>
        <v/>
      </c>
      <c r="N129" s="241"/>
      <c r="O129" s="228"/>
      <c r="P129" s="229"/>
      <c r="Q129" s="228"/>
      <c r="R129" s="229"/>
      <c r="S129" s="287"/>
      <c r="T129" s="288"/>
      <c r="U129" s="287"/>
      <c r="V129" s="289"/>
      <c r="W129" s="205" t="s">
        <v>206</v>
      </c>
      <c r="AB129" s="2" t="str">
        <f t="shared" si="30"/>
        <v/>
      </c>
    </row>
    <row r="130" spans="1:28" ht="15.75" customHeight="1" x14ac:dyDescent="0.3">
      <c r="A130" s="20" t="str">
        <f t="shared" si="33"/>
        <v>X</v>
      </c>
      <c r="B130" s="788"/>
      <c r="C130" s="782"/>
      <c r="D130" s="760"/>
      <c r="E130" s="721" t="s">
        <v>36</v>
      </c>
      <c r="F130" s="410" t="s">
        <v>62</v>
      </c>
      <c r="G130" s="238">
        <v>9</v>
      </c>
      <c r="H130" s="239">
        <v>8</v>
      </c>
      <c r="I130" s="240">
        <f t="shared" si="26"/>
        <v>0.22222222222222221</v>
      </c>
      <c r="J130" s="241">
        <v>2</v>
      </c>
      <c r="K130" s="240">
        <f t="shared" si="35"/>
        <v>0.44444444444444442</v>
      </c>
      <c r="L130" s="241">
        <v>4</v>
      </c>
      <c r="M130" s="240">
        <f t="shared" si="36"/>
        <v>0.25</v>
      </c>
      <c r="N130" s="241">
        <v>1</v>
      </c>
      <c r="O130" s="228">
        <v>0</v>
      </c>
      <c r="P130" s="229">
        <v>0</v>
      </c>
      <c r="Q130" s="228">
        <v>0</v>
      </c>
      <c r="R130" s="229">
        <v>0</v>
      </c>
      <c r="S130" s="287">
        <v>7</v>
      </c>
      <c r="T130" s="288">
        <v>6</v>
      </c>
      <c r="U130" s="287">
        <v>2</v>
      </c>
      <c r="V130" s="289">
        <v>2</v>
      </c>
      <c r="W130" s="205" t="s">
        <v>206</v>
      </c>
      <c r="AB130" s="2" t="str">
        <f t="shared" si="30"/>
        <v>Frontière</v>
      </c>
    </row>
    <row r="131" spans="1:28" ht="15.75" customHeight="1" x14ac:dyDescent="0.3">
      <c r="A131" s="20" t="str">
        <f t="shared" si="33"/>
        <v/>
      </c>
      <c r="B131" s="788"/>
      <c r="C131" s="782"/>
      <c r="D131" s="760"/>
      <c r="E131" s="727" t="s">
        <v>166</v>
      </c>
      <c r="F131" s="410"/>
      <c r="G131" s="238"/>
      <c r="H131" s="239"/>
      <c r="I131" s="240"/>
      <c r="J131" s="241"/>
      <c r="K131" s="240"/>
      <c r="L131" s="241"/>
      <c r="M131" s="240"/>
      <c r="N131" s="241"/>
      <c r="O131" s="228"/>
      <c r="P131" s="229"/>
      <c r="Q131" s="228"/>
      <c r="R131" s="229"/>
      <c r="S131" s="287"/>
      <c r="T131" s="288"/>
      <c r="U131" s="287"/>
      <c r="V131" s="289"/>
      <c r="W131" s="205"/>
    </row>
    <row r="132" spans="1:28" ht="15.75" customHeight="1" x14ac:dyDescent="0.3">
      <c r="A132" s="20" t="str">
        <f t="shared" si="33"/>
        <v/>
      </c>
      <c r="B132" s="788"/>
      <c r="C132" s="782"/>
      <c r="D132" s="760"/>
      <c r="E132" s="727" t="s">
        <v>166</v>
      </c>
      <c r="F132" s="410"/>
      <c r="G132" s="238"/>
      <c r="H132" s="239"/>
      <c r="I132" s="240"/>
      <c r="J132" s="241"/>
      <c r="K132" s="240"/>
      <c r="L132" s="241"/>
      <c r="M132" s="240"/>
      <c r="N132" s="241"/>
      <c r="O132" s="228"/>
      <c r="P132" s="229"/>
      <c r="Q132" s="228"/>
      <c r="R132" s="229"/>
      <c r="S132" s="287"/>
      <c r="T132" s="288"/>
      <c r="U132" s="287"/>
      <c r="V132" s="289"/>
      <c r="W132" s="205"/>
    </row>
    <row r="133" spans="1:28" ht="15.75" customHeight="1" x14ac:dyDescent="0.3">
      <c r="A133" s="20" t="str">
        <f t="shared" si="33"/>
        <v/>
      </c>
      <c r="B133" s="788"/>
      <c r="C133" s="782"/>
      <c r="D133" s="760"/>
      <c r="E133" s="728" t="s">
        <v>166</v>
      </c>
      <c r="F133" s="449"/>
      <c r="G133" s="243"/>
      <c r="H133" s="244"/>
      <c r="I133" s="245"/>
      <c r="J133" s="246"/>
      <c r="K133" s="245"/>
      <c r="L133" s="246"/>
      <c r="M133" s="245"/>
      <c r="N133" s="246"/>
      <c r="O133" s="230"/>
      <c r="P133" s="231"/>
      <c r="Q133" s="230"/>
      <c r="R133" s="231"/>
      <c r="S133" s="290"/>
      <c r="T133" s="291"/>
      <c r="U133" s="290"/>
      <c r="V133" s="292"/>
      <c r="W133" s="205"/>
    </row>
    <row r="134" spans="1:28" ht="15.75" customHeight="1" x14ac:dyDescent="0.3">
      <c r="A134" s="20" t="str">
        <f t="shared" si="33"/>
        <v>S</v>
      </c>
      <c r="B134" s="788"/>
      <c r="C134" s="782"/>
      <c r="D134" s="310" t="s">
        <v>138</v>
      </c>
      <c r="E134" s="718"/>
      <c r="F134" s="250"/>
      <c r="G134" s="7">
        <f>SUM(G126:G133)</f>
        <v>70</v>
      </c>
      <c r="H134" s="8">
        <f>SUM(H126:H133)</f>
        <v>42</v>
      </c>
      <c r="I134" s="9">
        <f t="shared" si="26"/>
        <v>0.27142857142857141</v>
      </c>
      <c r="J134" s="202">
        <f>SUM(J126:J133)</f>
        <v>19</v>
      </c>
      <c r="K134" s="51">
        <f t="shared" si="35"/>
        <v>0.2857142857142857</v>
      </c>
      <c r="L134" s="202">
        <f>SUM(L126:L133)</f>
        <v>20</v>
      </c>
      <c r="M134" s="9">
        <f t="shared" si="36"/>
        <v>0.35</v>
      </c>
      <c r="N134" s="202">
        <f t="shared" ref="N134:V134" si="37">SUM(N126:N133)</f>
        <v>7</v>
      </c>
      <c r="O134" s="118">
        <f t="shared" si="37"/>
        <v>2</v>
      </c>
      <c r="P134" s="119">
        <f t="shared" si="37"/>
        <v>1</v>
      </c>
      <c r="Q134" s="118">
        <f t="shared" si="37"/>
        <v>26</v>
      </c>
      <c r="R134" s="119">
        <f t="shared" si="37"/>
        <v>14</v>
      </c>
      <c r="S134" s="118">
        <f t="shared" si="37"/>
        <v>82</v>
      </c>
      <c r="T134" s="119">
        <f t="shared" si="37"/>
        <v>48</v>
      </c>
      <c r="U134" s="118">
        <f t="shared" si="37"/>
        <v>14</v>
      </c>
      <c r="V134" s="120">
        <f t="shared" si="37"/>
        <v>8</v>
      </c>
      <c r="W134" s="205"/>
      <c r="AB134" s="2">
        <f t="shared" si="30"/>
        <v>0</v>
      </c>
    </row>
    <row r="135" spans="1:28" ht="15.75" customHeight="1" x14ac:dyDescent="0.3">
      <c r="A135" s="20" t="str">
        <f t="shared" si="33"/>
        <v/>
      </c>
      <c r="B135" s="746" t="s">
        <v>3</v>
      </c>
      <c r="C135" s="749" t="s">
        <v>76</v>
      </c>
      <c r="D135" s="754">
        <v>17</v>
      </c>
      <c r="E135" s="719" t="s">
        <v>48</v>
      </c>
      <c r="F135" s="232" t="s">
        <v>61</v>
      </c>
      <c r="G135" s="233"/>
      <c r="H135" s="234"/>
      <c r="I135" s="235" t="str">
        <f t="shared" si="26"/>
        <v/>
      </c>
      <c r="J135" s="236"/>
      <c r="K135" s="235" t="str">
        <f t="shared" si="35"/>
        <v/>
      </c>
      <c r="L135" s="236"/>
      <c r="M135" s="235" t="str">
        <f t="shared" si="36"/>
        <v/>
      </c>
      <c r="N135" s="236"/>
      <c r="O135" s="226" t="s">
        <v>21</v>
      </c>
      <c r="P135" s="227" t="s">
        <v>21</v>
      </c>
      <c r="Q135" s="226" t="s">
        <v>21</v>
      </c>
      <c r="R135" s="227" t="s">
        <v>21</v>
      </c>
      <c r="S135" s="664"/>
      <c r="T135" s="665"/>
      <c r="U135" s="664"/>
      <c r="V135" s="666"/>
      <c r="W135" s="205" t="s">
        <v>206</v>
      </c>
      <c r="AB135" s="2" t="str">
        <f t="shared" si="30"/>
        <v/>
      </c>
    </row>
    <row r="136" spans="1:28" ht="15.75" customHeight="1" x14ac:dyDescent="0.3">
      <c r="A136" s="20" t="str">
        <f t="shared" si="33"/>
        <v/>
      </c>
      <c r="B136" s="747"/>
      <c r="C136" s="750"/>
      <c r="D136" s="755"/>
      <c r="E136" s="577" t="s">
        <v>49</v>
      </c>
      <c r="F136" s="237" t="s">
        <v>61</v>
      </c>
      <c r="G136" s="238"/>
      <c r="H136" s="239"/>
      <c r="I136" s="240" t="str">
        <f t="shared" si="26"/>
        <v/>
      </c>
      <c r="J136" s="241"/>
      <c r="K136" s="240" t="str">
        <f t="shared" si="35"/>
        <v/>
      </c>
      <c r="L136" s="241"/>
      <c r="M136" s="240" t="str">
        <f t="shared" si="36"/>
        <v/>
      </c>
      <c r="N136" s="241"/>
      <c r="O136" s="228" t="s">
        <v>21</v>
      </c>
      <c r="P136" s="229" t="s">
        <v>21</v>
      </c>
      <c r="Q136" s="228" t="s">
        <v>21</v>
      </c>
      <c r="R136" s="229" t="s">
        <v>21</v>
      </c>
      <c r="S136" s="667"/>
      <c r="T136" s="668"/>
      <c r="U136" s="667"/>
      <c r="V136" s="669"/>
      <c r="W136" s="205" t="s">
        <v>206</v>
      </c>
      <c r="AB136" s="2" t="str">
        <f t="shared" si="30"/>
        <v/>
      </c>
    </row>
    <row r="137" spans="1:28" ht="15.75" customHeight="1" x14ac:dyDescent="0.3">
      <c r="A137" s="20" t="str">
        <f t="shared" si="33"/>
        <v/>
      </c>
      <c r="B137" s="747"/>
      <c r="C137" s="750"/>
      <c r="D137" s="755"/>
      <c r="E137" s="577" t="s">
        <v>81</v>
      </c>
      <c r="F137" s="237" t="s">
        <v>61</v>
      </c>
      <c r="G137" s="238"/>
      <c r="H137" s="239"/>
      <c r="I137" s="240" t="str">
        <f t="shared" si="26"/>
        <v/>
      </c>
      <c r="J137" s="241"/>
      <c r="K137" s="240" t="str">
        <f t="shared" si="35"/>
        <v/>
      </c>
      <c r="L137" s="241"/>
      <c r="M137" s="240" t="str">
        <f t="shared" si="36"/>
        <v/>
      </c>
      <c r="N137" s="241"/>
      <c r="O137" s="228" t="s">
        <v>21</v>
      </c>
      <c r="P137" s="229" t="s">
        <v>21</v>
      </c>
      <c r="Q137" s="228" t="s">
        <v>21</v>
      </c>
      <c r="R137" s="229" t="s">
        <v>21</v>
      </c>
      <c r="S137" s="667"/>
      <c r="T137" s="668"/>
      <c r="U137" s="667"/>
      <c r="V137" s="669"/>
      <c r="W137" s="205" t="s">
        <v>206</v>
      </c>
      <c r="AB137" s="2" t="str">
        <f t="shared" si="30"/>
        <v/>
      </c>
    </row>
    <row r="138" spans="1:28" ht="15.75" customHeight="1" x14ac:dyDescent="0.3">
      <c r="A138" s="20" t="str">
        <f t="shared" si="33"/>
        <v/>
      </c>
      <c r="B138" s="747"/>
      <c r="C138" s="750"/>
      <c r="D138" s="755"/>
      <c r="E138" s="577" t="s">
        <v>73</v>
      </c>
      <c r="F138" s="237" t="s">
        <v>61</v>
      </c>
      <c r="G138" s="238"/>
      <c r="H138" s="239"/>
      <c r="I138" s="240" t="str">
        <f t="shared" si="26"/>
        <v/>
      </c>
      <c r="J138" s="241"/>
      <c r="K138" s="240" t="str">
        <f t="shared" si="35"/>
        <v/>
      </c>
      <c r="L138" s="241"/>
      <c r="M138" s="240" t="str">
        <f t="shared" si="36"/>
        <v/>
      </c>
      <c r="N138" s="241"/>
      <c r="O138" s="228" t="s">
        <v>21</v>
      </c>
      <c r="P138" s="229" t="s">
        <v>21</v>
      </c>
      <c r="Q138" s="228" t="s">
        <v>21</v>
      </c>
      <c r="R138" s="229" t="s">
        <v>21</v>
      </c>
      <c r="S138" s="667"/>
      <c r="T138" s="668"/>
      <c r="U138" s="667"/>
      <c r="V138" s="669"/>
      <c r="W138" s="205" t="s">
        <v>206</v>
      </c>
      <c r="AB138" s="2" t="str">
        <f t="shared" si="30"/>
        <v/>
      </c>
    </row>
    <row r="139" spans="1:28" ht="15.75" customHeight="1" x14ac:dyDescent="0.3">
      <c r="A139" s="20" t="str">
        <f t="shared" si="33"/>
        <v/>
      </c>
      <c r="B139" s="747"/>
      <c r="C139" s="750"/>
      <c r="D139" s="755"/>
      <c r="E139" s="577" t="s">
        <v>50</v>
      </c>
      <c r="F139" s="237" t="s">
        <v>61</v>
      </c>
      <c r="G139" s="238"/>
      <c r="H139" s="239"/>
      <c r="I139" s="240" t="str">
        <f t="shared" si="26"/>
        <v/>
      </c>
      <c r="J139" s="241"/>
      <c r="K139" s="240" t="str">
        <f t="shared" si="35"/>
        <v/>
      </c>
      <c r="L139" s="241"/>
      <c r="M139" s="240" t="str">
        <f t="shared" si="36"/>
        <v/>
      </c>
      <c r="N139" s="241"/>
      <c r="O139" s="228" t="s">
        <v>21</v>
      </c>
      <c r="P139" s="229" t="s">
        <v>21</v>
      </c>
      <c r="Q139" s="228" t="s">
        <v>21</v>
      </c>
      <c r="R139" s="229" t="s">
        <v>21</v>
      </c>
      <c r="S139" s="667"/>
      <c r="T139" s="668"/>
      <c r="U139" s="667"/>
      <c r="V139" s="669"/>
      <c r="W139" s="205" t="s">
        <v>206</v>
      </c>
      <c r="AB139" s="2" t="str">
        <f t="shared" si="30"/>
        <v/>
      </c>
    </row>
    <row r="140" spans="1:28" ht="15.75" customHeight="1" x14ac:dyDescent="0.3">
      <c r="A140" s="20" t="str">
        <f t="shared" si="33"/>
        <v/>
      </c>
      <c r="B140" s="747"/>
      <c r="C140" s="750"/>
      <c r="D140" s="755"/>
      <c r="E140" s="577" t="s">
        <v>144</v>
      </c>
      <c r="F140" s="237" t="s">
        <v>61</v>
      </c>
      <c r="G140" s="238"/>
      <c r="H140" s="239"/>
      <c r="I140" s="240" t="str">
        <f t="shared" si="26"/>
        <v/>
      </c>
      <c r="J140" s="241"/>
      <c r="K140" s="240" t="str">
        <f t="shared" si="35"/>
        <v/>
      </c>
      <c r="L140" s="241"/>
      <c r="M140" s="240" t="str">
        <f t="shared" si="36"/>
        <v/>
      </c>
      <c r="N140" s="241"/>
      <c r="O140" s="228" t="s">
        <v>21</v>
      </c>
      <c r="P140" s="229" t="s">
        <v>21</v>
      </c>
      <c r="Q140" s="228" t="s">
        <v>21</v>
      </c>
      <c r="R140" s="229" t="s">
        <v>21</v>
      </c>
      <c r="S140" s="667"/>
      <c r="T140" s="668"/>
      <c r="U140" s="667"/>
      <c r="V140" s="669"/>
      <c r="W140" s="205" t="s">
        <v>206</v>
      </c>
      <c r="AB140" s="2" t="str">
        <f t="shared" si="30"/>
        <v/>
      </c>
    </row>
    <row r="141" spans="1:28" ht="15.75" customHeight="1" x14ac:dyDescent="0.3">
      <c r="A141" s="20" t="str">
        <f t="shared" si="33"/>
        <v/>
      </c>
      <c r="B141" s="747"/>
      <c r="C141" s="750"/>
      <c r="D141" s="755"/>
      <c r="E141" s="577" t="s">
        <v>143</v>
      </c>
      <c r="F141" s="237" t="s">
        <v>61</v>
      </c>
      <c r="G141" s="238"/>
      <c r="H141" s="239"/>
      <c r="I141" s="240" t="str">
        <f t="shared" si="26"/>
        <v/>
      </c>
      <c r="J141" s="241"/>
      <c r="K141" s="240" t="str">
        <f t="shared" si="35"/>
        <v/>
      </c>
      <c r="L141" s="241"/>
      <c r="M141" s="240" t="str">
        <f t="shared" si="36"/>
        <v/>
      </c>
      <c r="N141" s="241"/>
      <c r="O141" s="228" t="s">
        <v>21</v>
      </c>
      <c r="P141" s="229" t="s">
        <v>21</v>
      </c>
      <c r="Q141" s="228" t="s">
        <v>21</v>
      </c>
      <c r="R141" s="229" t="s">
        <v>21</v>
      </c>
      <c r="S141" s="667"/>
      <c r="T141" s="668"/>
      <c r="U141" s="667"/>
      <c r="V141" s="669"/>
      <c r="W141" s="205" t="s">
        <v>206</v>
      </c>
      <c r="AB141" s="2" t="str">
        <f t="shared" si="30"/>
        <v/>
      </c>
    </row>
    <row r="142" spans="1:28" ht="15.75" customHeight="1" x14ac:dyDescent="0.3">
      <c r="A142" s="20" t="str">
        <f t="shared" si="33"/>
        <v>X</v>
      </c>
      <c r="B142" s="747"/>
      <c r="C142" s="750"/>
      <c r="D142" s="755"/>
      <c r="E142" s="577" t="s">
        <v>176</v>
      </c>
      <c r="F142" s="237" t="s">
        <v>61</v>
      </c>
      <c r="G142" s="238">
        <v>299</v>
      </c>
      <c r="H142" s="239">
        <v>299</v>
      </c>
      <c r="I142" s="240">
        <f t="shared" si="26"/>
        <v>0.51170568561872909</v>
      </c>
      <c r="J142" s="241">
        <v>153</v>
      </c>
      <c r="K142" s="240">
        <f t="shared" si="35"/>
        <v>0.37123745819397991</v>
      </c>
      <c r="L142" s="241">
        <v>111</v>
      </c>
      <c r="M142" s="240">
        <f t="shared" si="36"/>
        <v>0.70270270270270274</v>
      </c>
      <c r="N142" s="241">
        <f>61+17</f>
        <v>78</v>
      </c>
      <c r="O142" s="228">
        <v>9</v>
      </c>
      <c r="P142" s="229">
        <v>9</v>
      </c>
      <c r="Q142" s="228">
        <v>7</v>
      </c>
      <c r="R142" s="229">
        <v>7</v>
      </c>
      <c r="S142" s="667"/>
      <c r="T142" s="668"/>
      <c r="U142" s="667"/>
      <c r="V142" s="669"/>
      <c r="W142" s="205" t="s">
        <v>206</v>
      </c>
      <c r="AB142" s="2" t="str">
        <f t="shared" si="30"/>
        <v>Suisse</v>
      </c>
    </row>
    <row r="143" spans="1:28" ht="15.75" customHeight="1" x14ac:dyDescent="0.3">
      <c r="A143" s="20" t="str">
        <f t="shared" si="33"/>
        <v>X</v>
      </c>
      <c r="B143" s="747"/>
      <c r="C143" s="750"/>
      <c r="D143" s="755"/>
      <c r="E143" s="577" t="s">
        <v>177</v>
      </c>
      <c r="F143" s="237" t="s">
        <v>61</v>
      </c>
      <c r="G143" s="238">
        <v>385</v>
      </c>
      <c r="H143" s="239">
        <v>385</v>
      </c>
      <c r="I143" s="240">
        <f t="shared" ref="I143:I161" si="38">IF(J143="","",J143/G143)</f>
        <v>0.55844155844155841</v>
      </c>
      <c r="J143" s="241">
        <v>215</v>
      </c>
      <c r="K143" s="240">
        <f t="shared" si="35"/>
        <v>0.41558441558441561</v>
      </c>
      <c r="L143" s="241">
        <v>160</v>
      </c>
      <c r="M143" s="240">
        <f t="shared" si="36"/>
        <v>0.71250000000000002</v>
      </c>
      <c r="N143" s="241">
        <f>87+27</f>
        <v>114</v>
      </c>
      <c r="O143" s="228">
        <v>14</v>
      </c>
      <c r="P143" s="229">
        <v>14</v>
      </c>
      <c r="Q143" s="228">
        <v>151</v>
      </c>
      <c r="R143" s="229">
        <v>151</v>
      </c>
      <c r="S143" s="667"/>
      <c r="T143" s="668"/>
      <c r="U143" s="667"/>
      <c r="V143" s="669"/>
      <c r="W143" s="205" t="s">
        <v>206</v>
      </c>
      <c r="AB143" s="2" t="str">
        <f t="shared" si="30"/>
        <v>Suisse</v>
      </c>
    </row>
    <row r="144" spans="1:28" ht="15.75" customHeight="1" x14ac:dyDescent="0.3">
      <c r="A144" s="20" t="str">
        <f t="shared" si="33"/>
        <v/>
      </c>
      <c r="B144" s="747"/>
      <c r="C144" s="750"/>
      <c r="D144" s="755"/>
      <c r="E144" s="577" t="s">
        <v>178</v>
      </c>
      <c r="F144" s="237" t="s">
        <v>61</v>
      </c>
      <c r="G144" s="238"/>
      <c r="H144" s="239"/>
      <c r="I144" s="240" t="str">
        <f t="shared" si="38"/>
        <v/>
      </c>
      <c r="J144" s="241"/>
      <c r="K144" s="240" t="str">
        <f t="shared" si="35"/>
        <v/>
      </c>
      <c r="L144" s="241"/>
      <c r="M144" s="240" t="str">
        <f t="shared" si="36"/>
        <v/>
      </c>
      <c r="N144" s="241"/>
      <c r="O144" s="228"/>
      <c r="P144" s="229"/>
      <c r="Q144" s="228"/>
      <c r="R144" s="229"/>
      <c r="S144" s="667"/>
      <c r="T144" s="668"/>
      <c r="U144" s="667"/>
      <c r="V144" s="669"/>
      <c r="W144" s="205" t="s">
        <v>206</v>
      </c>
      <c r="AB144" s="2" t="str">
        <f t="shared" si="30"/>
        <v/>
      </c>
    </row>
    <row r="145" spans="1:28" ht="15.75" customHeight="1" x14ac:dyDescent="0.3">
      <c r="A145" s="20" t="str">
        <f t="shared" si="33"/>
        <v>X</v>
      </c>
      <c r="B145" s="747"/>
      <c r="C145" s="750"/>
      <c r="D145" s="755"/>
      <c r="E145" s="577" t="s">
        <v>179</v>
      </c>
      <c r="F145" s="237" t="s">
        <v>61</v>
      </c>
      <c r="G145" s="238">
        <v>252</v>
      </c>
      <c r="H145" s="239">
        <v>252</v>
      </c>
      <c r="I145" s="240">
        <f t="shared" si="38"/>
        <v>0.31746031746031744</v>
      </c>
      <c r="J145" s="241">
        <v>80</v>
      </c>
      <c r="K145" s="240">
        <f t="shared" si="35"/>
        <v>0.40079365079365081</v>
      </c>
      <c r="L145" s="241">
        <v>101</v>
      </c>
      <c r="M145" s="240">
        <f t="shared" si="36"/>
        <v>0.37623762376237624</v>
      </c>
      <c r="N145" s="241">
        <f>22+16</f>
        <v>38</v>
      </c>
      <c r="O145" s="228">
        <v>33</v>
      </c>
      <c r="P145" s="229">
        <v>33</v>
      </c>
      <c r="Q145" s="228">
        <v>199</v>
      </c>
      <c r="R145" s="229">
        <v>199</v>
      </c>
      <c r="S145" s="667"/>
      <c r="T145" s="668"/>
      <c r="U145" s="667"/>
      <c r="V145" s="669"/>
      <c r="W145" s="205" t="s">
        <v>206</v>
      </c>
      <c r="AB145" s="2" t="str">
        <f t="shared" si="30"/>
        <v>Suisse</v>
      </c>
    </row>
    <row r="146" spans="1:28" ht="15.75" customHeight="1" x14ac:dyDescent="0.3">
      <c r="A146" s="20" t="str">
        <f t="shared" si="33"/>
        <v>X</v>
      </c>
      <c r="B146" s="747"/>
      <c r="C146" s="750"/>
      <c r="D146" s="755"/>
      <c r="E146" s="577" t="s">
        <v>180</v>
      </c>
      <c r="F146" s="237" t="s">
        <v>61</v>
      </c>
      <c r="G146" s="238">
        <v>17</v>
      </c>
      <c r="H146" s="239">
        <v>17</v>
      </c>
      <c r="I146" s="240">
        <f t="shared" si="38"/>
        <v>0.47058823529411764</v>
      </c>
      <c r="J146" s="241">
        <v>8</v>
      </c>
      <c r="K146" s="240">
        <f t="shared" si="35"/>
        <v>0.35294117647058826</v>
      </c>
      <c r="L146" s="241">
        <v>6</v>
      </c>
      <c r="M146" s="240">
        <f t="shared" si="36"/>
        <v>0.83333333333333337</v>
      </c>
      <c r="N146" s="241">
        <v>5</v>
      </c>
      <c r="O146" s="228">
        <v>3</v>
      </c>
      <c r="P146" s="229">
        <v>3</v>
      </c>
      <c r="Q146" s="228">
        <v>26</v>
      </c>
      <c r="R146" s="229">
        <v>26</v>
      </c>
      <c r="S146" s="667"/>
      <c r="T146" s="668"/>
      <c r="U146" s="667"/>
      <c r="V146" s="669"/>
      <c r="W146" s="205" t="s">
        <v>206</v>
      </c>
      <c r="AB146" s="2" t="str">
        <f t="shared" si="30"/>
        <v>Suisse</v>
      </c>
    </row>
    <row r="147" spans="1:28" ht="15.75" customHeight="1" x14ac:dyDescent="0.3">
      <c r="A147" s="20" t="str">
        <f t="shared" si="33"/>
        <v>X</v>
      </c>
      <c r="B147" s="747"/>
      <c r="C147" s="750"/>
      <c r="D147" s="755"/>
      <c r="E147" s="577" t="s">
        <v>181</v>
      </c>
      <c r="F147" s="237" t="s">
        <v>61</v>
      </c>
      <c r="G147" s="238">
        <v>24</v>
      </c>
      <c r="H147" s="239">
        <v>24</v>
      </c>
      <c r="I147" s="240">
        <f t="shared" si="38"/>
        <v>0.41666666666666669</v>
      </c>
      <c r="J147" s="241">
        <v>10</v>
      </c>
      <c r="K147" s="240">
        <f t="shared" si="35"/>
        <v>0.33333333333333331</v>
      </c>
      <c r="L147" s="241">
        <v>8</v>
      </c>
      <c r="M147" s="240">
        <f t="shared" si="36"/>
        <v>0.75</v>
      </c>
      <c r="N147" s="241">
        <v>6</v>
      </c>
      <c r="O147" s="228">
        <v>2</v>
      </c>
      <c r="P147" s="229">
        <v>2</v>
      </c>
      <c r="Q147" s="228">
        <v>11</v>
      </c>
      <c r="R147" s="229">
        <v>11</v>
      </c>
      <c r="S147" s="667"/>
      <c r="T147" s="668"/>
      <c r="U147" s="667"/>
      <c r="V147" s="669"/>
      <c r="W147" s="205" t="s">
        <v>206</v>
      </c>
      <c r="AB147" s="2" t="str">
        <f t="shared" si="30"/>
        <v>Suisse</v>
      </c>
    </row>
    <row r="148" spans="1:28" ht="15.75" customHeight="1" x14ac:dyDescent="0.3">
      <c r="A148" s="20" t="str">
        <f t="shared" si="33"/>
        <v>X</v>
      </c>
      <c r="B148" s="747"/>
      <c r="C148" s="750"/>
      <c r="D148" s="755"/>
      <c r="E148" s="577" t="s">
        <v>80</v>
      </c>
      <c r="F148" s="237" t="s">
        <v>61</v>
      </c>
      <c r="G148" s="238">
        <v>853</v>
      </c>
      <c r="H148" s="239">
        <v>853</v>
      </c>
      <c r="I148" s="240">
        <f t="shared" si="38"/>
        <v>0.43259085580304807</v>
      </c>
      <c r="J148" s="241">
        <v>369</v>
      </c>
      <c r="K148" s="240">
        <f t="shared" si="35"/>
        <v>0.38452520515826494</v>
      </c>
      <c r="L148" s="241">
        <v>328</v>
      </c>
      <c r="M148" s="240">
        <f t="shared" si="36"/>
        <v>0.61280487804878048</v>
      </c>
      <c r="N148" s="241">
        <f>185+16</f>
        <v>201</v>
      </c>
      <c r="O148" s="228">
        <v>59</v>
      </c>
      <c r="P148" s="229">
        <v>59</v>
      </c>
      <c r="Q148" s="228">
        <v>118</v>
      </c>
      <c r="R148" s="229">
        <v>118</v>
      </c>
      <c r="S148" s="667"/>
      <c r="T148" s="668"/>
      <c r="U148" s="667"/>
      <c r="V148" s="669"/>
      <c r="W148" s="205" t="s">
        <v>206</v>
      </c>
      <c r="AB148" s="2" t="str">
        <f t="shared" si="30"/>
        <v>Suisse</v>
      </c>
    </row>
    <row r="149" spans="1:28" ht="15.75" customHeight="1" x14ac:dyDescent="0.3">
      <c r="A149" s="20" t="str">
        <f t="shared" si="33"/>
        <v>X</v>
      </c>
      <c r="B149" s="747"/>
      <c r="C149" s="750"/>
      <c r="D149" s="755"/>
      <c r="E149" s="577" t="s">
        <v>51</v>
      </c>
      <c r="F149" s="237" t="s">
        <v>61</v>
      </c>
      <c r="G149" s="238">
        <v>822</v>
      </c>
      <c r="H149" s="239">
        <v>822</v>
      </c>
      <c r="I149" s="240">
        <f t="shared" si="38"/>
        <v>0.38442822384428221</v>
      </c>
      <c r="J149" s="241">
        <v>316</v>
      </c>
      <c r="K149" s="240">
        <f t="shared" si="35"/>
        <v>0.4002433090024331</v>
      </c>
      <c r="L149" s="241">
        <v>329</v>
      </c>
      <c r="M149" s="240">
        <f t="shared" si="36"/>
        <v>0.49240121580547114</v>
      </c>
      <c r="N149" s="241">
        <f>131+31</f>
        <v>162</v>
      </c>
      <c r="O149" s="228">
        <v>45</v>
      </c>
      <c r="P149" s="229">
        <v>45</v>
      </c>
      <c r="Q149" s="228">
        <v>63</v>
      </c>
      <c r="R149" s="229">
        <v>63</v>
      </c>
      <c r="S149" s="667"/>
      <c r="T149" s="668"/>
      <c r="U149" s="667"/>
      <c r="V149" s="669"/>
      <c r="W149" s="205" t="s">
        <v>206</v>
      </c>
      <c r="AB149" s="2" t="str">
        <f t="shared" si="30"/>
        <v>Suisse</v>
      </c>
    </row>
    <row r="150" spans="1:28" ht="15" customHeight="1" x14ac:dyDescent="0.3">
      <c r="A150" s="20" t="str">
        <f>IF(D150="Sous-total","S",IF(G150="","","X"))</f>
        <v/>
      </c>
      <c r="B150" s="747"/>
      <c r="C150" s="750"/>
      <c r="D150" s="755"/>
      <c r="E150" s="577" t="s">
        <v>31</v>
      </c>
      <c r="F150" s="237" t="s">
        <v>62</v>
      </c>
      <c r="G150" s="238"/>
      <c r="H150" s="239"/>
      <c r="I150" s="240" t="str">
        <f>IF(J150="","",J150/G150)</f>
        <v/>
      </c>
      <c r="J150" s="241"/>
      <c r="K150" s="240" t="str">
        <f>IF(L150="","",L150/G150)</f>
        <v/>
      </c>
      <c r="L150" s="241"/>
      <c r="M150" s="240" t="str">
        <f>IF(N150="","",N150/L150)</f>
        <v/>
      </c>
      <c r="N150" s="241"/>
      <c r="O150" s="228"/>
      <c r="P150" s="229"/>
      <c r="Q150" s="228"/>
      <c r="R150" s="229"/>
      <c r="S150" s="287"/>
      <c r="T150" s="288"/>
      <c r="U150" s="287"/>
      <c r="V150" s="289"/>
      <c r="W150" s="205" t="s">
        <v>206</v>
      </c>
      <c r="X150" s="1" t="s">
        <v>199</v>
      </c>
      <c r="AB150" s="2" t="str">
        <f>IF(G150&lt;&gt;"",$F150,"")</f>
        <v/>
      </c>
    </row>
    <row r="151" spans="1:28" ht="15.75" customHeight="1" x14ac:dyDescent="0.3">
      <c r="A151" s="20" t="str">
        <f t="shared" si="33"/>
        <v/>
      </c>
      <c r="B151" s="747"/>
      <c r="C151" s="750"/>
      <c r="D151" s="755"/>
      <c r="E151" s="727" t="s">
        <v>166</v>
      </c>
      <c r="F151" s="237" t="s">
        <v>203</v>
      </c>
      <c r="G151" s="238"/>
      <c r="H151" s="239"/>
      <c r="I151" s="240" t="str">
        <f t="shared" si="38"/>
        <v/>
      </c>
      <c r="J151" s="241"/>
      <c r="K151" s="240" t="str">
        <f t="shared" si="35"/>
        <v/>
      </c>
      <c r="L151" s="241"/>
      <c r="M151" s="240" t="str">
        <f t="shared" si="36"/>
        <v/>
      </c>
      <c r="N151" s="241"/>
      <c r="O151" s="228"/>
      <c r="P151" s="229"/>
      <c r="Q151" s="228"/>
      <c r="R151" s="229"/>
      <c r="S151" s="667"/>
      <c r="T151" s="668"/>
      <c r="U151" s="667"/>
      <c r="V151" s="669"/>
      <c r="W151" s="205" t="s">
        <v>206</v>
      </c>
      <c r="AB151" s="2" t="str">
        <f t="shared" si="30"/>
        <v/>
      </c>
    </row>
    <row r="152" spans="1:28" ht="15.75" customHeight="1" x14ac:dyDescent="0.3">
      <c r="A152" s="20" t="str">
        <f t="shared" si="33"/>
        <v/>
      </c>
      <c r="B152" s="747"/>
      <c r="C152" s="750"/>
      <c r="D152" s="755"/>
      <c r="E152" s="727" t="s">
        <v>166</v>
      </c>
      <c r="F152" s="237" t="s">
        <v>203</v>
      </c>
      <c r="G152" s="238"/>
      <c r="H152" s="239"/>
      <c r="I152" s="240" t="str">
        <f t="shared" si="38"/>
        <v/>
      </c>
      <c r="J152" s="241"/>
      <c r="K152" s="240" t="str">
        <f t="shared" si="35"/>
        <v/>
      </c>
      <c r="L152" s="241"/>
      <c r="M152" s="240" t="str">
        <f t="shared" si="36"/>
        <v/>
      </c>
      <c r="N152" s="241"/>
      <c r="O152" s="228"/>
      <c r="P152" s="229"/>
      <c r="Q152" s="228"/>
      <c r="R152" s="229"/>
      <c r="S152" s="667"/>
      <c r="T152" s="668"/>
      <c r="U152" s="667"/>
      <c r="V152" s="669"/>
      <c r="W152" s="205" t="s">
        <v>206</v>
      </c>
      <c r="AB152" s="2" t="str">
        <f t="shared" si="30"/>
        <v/>
      </c>
    </row>
    <row r="153" spans="1:28" ht="15.75" customHeight="1" x14ac:dyDescent="0.3">
      <c r="A153" s="20" t="str">
        <f t="shared" si="33"/>
        <v/>
      </c>
      <c r="B153" s="747"/>
      <c r="C153" s="750"/>
      <c r="D153" s="755"/>
      <c r="E153" s="577" t="s">
        <v>52</v>
      </c>
      <c r="F153" s="237" t="s">
        <v>61</v>
      </c>
      <c r="G153" s="238"/>
      <c r="H153" s="239"/>
      <c r="I153" s="240" t="str">
        <f t="shared" si="38"/>
        <v/>
      </c>
      <c r="J153" s="241"/>
      <c r="K153" s="240" t="str">
        <f t="shared" si="35"/>
        <v/>
      </c>
      <c r="L153" s="241"/>
      <c r="M153" s="240" t="str">
        <f t="shared" si="36"/>
        <v/>
      </c>
      <c r="N153" s="241"/>
      <c r="O153" s="228" t="s">
        <v>21</v>
      </c>
      <c r="P153" s="229" t="s">
        <v>21</v>
      </c>
      <c r="Q153" s="228" t="s">
        <v>21</v>
      </c>
      <c r="R153" s="229" t="s">
        <v>21</v>
      </c>
      <c r="S153" s="667"/>
      <c r="T153" s="668"/>
      <c r="U153" s="667"/>
      <c r="V153" s="669"/>
      <c r="W153" s="205" t="s">
        <v>206</v>
      </c>
      <c r="AB153" s="2" t="str">
        <f t="shared" si="30"/>
        <v/>
      </c>
    </row>
    <row r="154" spans="1:28" ht="15.75" customHeight="1" x14ac:dyDescent="0.3">
      <c r="A154" s="20" t="str">
        <f t="shared" si="33"/>
        <v/>
      </c>
      <c r="B154" s="747"/>
      <c r="C154" s="750"/>
      <c r="D154" s="755"/>
      <c r="E154" s="727" t="s">
        <v>166</v>
      </c>
      <c r="F154" s="237"/>
      <c r="G154" s="238"/>
      <c r="H154" s="239"/>
      <c r="I154" s="240"/>
      <c r="J154" s="241"/>
      <c r="K154" s="240"/>
      <c r="L154" s="241"/>
      <c r="M154" s="240"/>
      <c r="N154" s="241"/>
      <c r="O154" s="228"/>
      <c r="P154" s="229"/>
      <c r="Q154" s="228"/>
      <c r="R154" s="229"/>
      <c r="S154" s="667"/>
      <c r="T154" s="668"/>
      <c r="U154" s="667"/>
      <c r="V154" s="669"/>
      <c r="W154" s="205"/>
    </row>
    <row r="155" spans="1:28" ht="15.75" customHeight="1" x14ac:dyDescent="0.3">
      <c r="A155" s="20" t="str">
        <f t="shared" si="33"/>
        <v/>
      </c>
      <c r="B155" s="747"/>
      <c r="C155" s="750"/>
      <c r="D155" s="755"/>
      <c r="E155" s="727" t="s">
        <v>166</v>
      </c>
      <c r="F155" s="237"/>
      <c r="G155" s="238"/>
      <c r="H155" s="239"/>
      <c r="I155" s="240"/>
      <c r="J155" s="241"/>
      <c r="K155" s="240"/>
      <c r="L155" s="241"/>
      <c r="M155" s="240"/>
      <c r="N155" s="241"/>
      <c r="O155" s="228"/>
      <c r="P155" s="229"/>
      <c r="Q155" s="228"/>
      <c r="R155" s="229"/>
      <c r="S155" s="667"/>
      <c r="T155" s="668"/>
      <c r="U155" s="667"/>
      <c r="V155" s="669"/>
      <c r="W155" s="205"/>
    </row>
    <row r="156" spans="1:28" ht="15.75" customHeight="1" x14ac:dyDescent="0.3">
      <c r="A156" s="20" t="str">
        <f t="shared" si="33"/>
        <v/>
      </c>
      <c r="B156" s="747"/>
      <c r="C156" s="750"/>
      <c r="D156" s="755"/>
      <c r="E156" s="727" t="s">
        <v>166</v>
      </c>
      <c r="F156" s="237"/>
      <c r="G156" s="238"/>
      <c r="H156" s="239"/>
      <c r="I156" s="240"/>
      <c r="J156" s="241"/>
      <c r="K156" s="240"/>
      <c r="L156" s="241"/>
      <c r="M156" s="240"/>
      <c r="N156" s="241"/>
      <c r="O156" s="228"/>
      <c r="P156" s="229"/>
      <c r="Q156" s="228"/>
      <c r="R156" s="229"/>
      <c r="S156" s="667"/>
      <c r="T156" s="668"/>
      <c r="U156" s="667"/>
      <c r="V156" s="669"/>
      <c r="W156" s="205"/>
    </row>
    <row r="157" spans="1:28" ht="15.75" customHeight="1" x14ac:dyDescent="0.3">
      <c r="A157" s="20" t="str">
        <f t="shared" si="33"/>
        <v/>
      </c>
      <c r="B157" s="747"/>
      <c r="C157" s="750"/>
      <c r="D157" s="755"/>
      <c r="E157" s="727" t="s">
        <v>166</v>
      </c>
      <c r="F157" s="237"/>
      <c r="G157" s="238"/>
      <c r="H157" s="239"/>
      <c r="I157" s="240"/>
      <c r="J157" s="241"/>
      <c r="K157" s="240"/>
      <c r="L157" s="241"/>
      <c r="M157" s="240"/>
      <c r="N157" s="241"/>
      <c r="O157" s="228"/>
      <c r="P157" s="229"/>
      <c r="Q157" s="228"/>
      <c r="R157" s="229"/>
      <c r="S157" s="667"/>
      <c r="T157" s="668"/>
      <c r="U157" s="667"/>
      <c r="V157" s="669"/>
      <c r="W157" s="205"/>
    </row>
    <row r="158" spans="1:28" ht="15.75" customHeight="1" x14ac:dyDescent="0.3">
      <c r="A158" s="20" t="str">
        <f t="shared" si="33"/>
        <v/>
      </c>
      <c r="B158" s="747"/>
      <c r="C158" s="750"/>
      <c r="D158" s="756"/>
      <c r="E158" s="728" t="s">
        <v>166</v>
      </c>
      <c r="F158" s="242"/>
      <c r="G158" s="243"/>
      <c r="H158" s="244"/>
      <c r="I158" s="245"/>
      <c r="J158" s="246"/>
      <c r="K158" s="245"/>
      <c r="L158" s="246"/>
      <c r="M158" s="245"/>
      <c r="N158" s="246"/>
      <c r="O158" s="230"/>
      <c r="P158" s="231"/>
      <c r="Q158" s="230"/>
      <c r="R158" s="231"/>
      <c r="S158" s="670"/>
      <c r="T158" s="671"/>
      <c r="U158" s="670"/>
      <c r="V158" s="672"/>
      <c r="W158" s="205"/>
    </row>
    <row r="159" spans="1:28" ht="16.2" thickBot="1" x14ac:dyDescent="0.35">
      <c r="A159" s="20" t="str">
        <f t="shared" si="33"/>
        <v>S</v>
      </c>
      <c r="B159" s="748"/>
      <c r="C159" s="751"/>
      <c r="D159" s="311" t="s">
        <v>138</v>
      </c>
      <c r="E159" s="388"/>
      <c r="F159" s="198"/>
      <c r="G159" s="199">
        <f>SUM(G135:G158)</f>
        <v>2652</v>
      </c>
      <c r="H159" s="200">
        <f>SUM(H135:H158)</f>
        <v>2652</v>
      </c>
      <c r="I159" s="9">
        <f t="shared" si="38"/>
        <v>0.43401206636500755</v>
      </c>
      <c r="J159" s="203">
        <f>SUM(J135:J158)</f>
        <v>1151</v>
      </c>
      <c r="K159" s="51">
        <f t="shared" si="35"/>
        <v>0.39328808446455504</v>
      </c>
      <c r="L159" s="203">
        <f>SUM(L135:L158)</f>
        <v>1043</v>
      </c>
      <c r="M159" s="9">
        <f t="shared" si="36"/>
        <v>0.57909875359539786</v>
      </c>
      <c r="N159" s="203">
        <f t="shared" ref="N159:V159" si="39">SUM(N135:N158)</f>
        <v>604</v>
      </c>
      <c r="O159" s="129">
        <f t="shared" si="39"/>
        <v>165</v>
      </c>
      <c r="P159" s="130">
        <f t="shared" si="39"/>
        <v>165</v>
      </c>
      <c r="Q159" s="129">
        <f t="shared" si="39"/>
        <v>575</v>
      </c>
      <c r="R159" s="130">
        <f t="shared" si="39"/>
        <v>575</v>
      </c>
      <c r="S159" s="129">
        <f t="shared" si="39"/>
        <v>0</v>
      </c>
      <c r="T159" s="130">
        <f t="shared" si="39"/>
        <v>0</v>
      </c>
      <c r="U159" s="129">
        <f t="shared" si="39"/>
        <v>0</v>
      </c>
      <c r="V159" s="131">
        <f t="shared" si="39"/>
        <v>0</v>
      </c>
      <c r="W159" s="205" t="s">
        <v>206</v>
      </c>
    </row>
    <row r="160" spans="1:28" s="15" customFormat="1" ht="27.75" customHeight="1" thickBot="1" x14ac:dyDescent="0.35">
      <c r="A160" s="20" t="s">
        <v>106</v>
      </c>
      <c r="B160" s="102" t="s">
        <v>77</v>
      </c>
      <c r="C160" s="103"/>
      <c r="D160" s="103">
        <f>SUM(D66:D159)</f>
        <v>79</v>
      </c>
      <c r="E160" s="631" t="s">
        <v>79</v>
      </c>
      <c r="F160" s="372"/>
      <c r="G160" s="56">
        <f>G77+G85+G95+G109+G125+G134+G159</f>
        <v>6112</v>
      </c>
      <c r="H160" s="35">
        <f>H77+H85+H95+H109+H125+H134+H159</f>
        <v>4726</v>
      </c>
      <c r="I160" s="32">
        <f t="shared" si="38"/>
        <v>0.44273560209424084</v>
      </c>
      <c r="J160" s="33">
        <f>J77+J85+J95+J109+J125+J134+J159</f>
        <v>2706</v>
      </c>
      <c r="K160" s="32">
        <f t="shared" si="35"/>
        <v>0.37107329842931935</v>
      </c>
      <c r="L160" s="33">
        <f>L77+L85+L95+L109+L125+L134+L159</f>
        <v>2268</v>
      </c>
      <c r="M160" s="32">
        <f t="shared" si="36"/>
        <v>0.41754850088183421</v>
      </c>
      <c r="N160" s="33">
        <f t="shared" ref="N160:V160" si="40">N77+N85+N95+N109+N125+N134+N159</f>
        <v>947</v>
      </c>
      <c r="O160" s="34">
        <f t="shared" si="40"/>
        <v>263</v>
      </c>
      <c r="P160" s="35">
        <f t="shared" si="40"/>
        <v>227</v>
      </c>
      <c r="Q160" s="34">
        <f t="shared" si="40"/>
        <v>753</v>
      </c>
      <c r="R160" s="35">
        <f t="shared" si="40"/>
        <v>653</v>
      </c>
      <c r="S160" s="34">
        <f t="shared" si="40"/>
        <v>1845</v>
      </c>
      <c r="T160" s="35">
        <f t="shared" si="40"/>
        <v>1134</v>
      </c>
      <c r="U160" s="34">
        <f t="shared" si="40"/>
        <v>166</v>
      </c>
      <c r="V160" s="36">
        <f t="shared" si="40"/>
        <v>96</v>
      </c>
      <c r="W160" s="205"/>
      <c r="X160" s="362"/>
      <c r="AB160" s="2"/>
    </row>
    <row r="161" spans="1:28" s="354" customFormat="1" ht="31.5" customHeight="1" thickBot="1" x14ac:dyDescent="0.35">
      <c r="A161" s="20" t="s">
        <v>106</v>
      </c>
      <c r="B161" s="345" t="s">
        <v>66</v>
      </c>
      <c r="C161" s="346"/>
      <c r="D161" s="346">
        <f>D160+D65</f>
        <v>116</v>
      </c>
      <c r="E161" s="632" t="s">
        <v>79</v>
      </c>
      <c r="F161" s="364"/>
      <c r="G161" s="347">
        <f>G65+G160</f>
        <v>7331</v>
      </c>
      <c r="H161" s="348">
        <f>H65+H160</f>
        <v>5620</v>
      </c>
      <c r="I161" s="349">
        <f t="shared" si="38"/>
        <v>0.41563224662392578</v>
      </c>
      <c r="J161" s="350">
        <f>J65+J160</f>
        <v>3047</v>
      </c>
      <c r="K161" s="349">
        <f t="shared" si="35"/>
        <v>0.36066021006683946</v>
      </c>
      <c r="L161" s="350">
        <f>L65+L160</f>
        <v>2644</v>
      </c>
      <c r="M161" s="349">
        <f t="shared" si="36"/>
        <v>0.40317700453857791</v>
      </c>
      <c r="N161" s="350">
        <f t="shared" ref="N161:V161" si="41">N65+N160</f>
        <v>1066</v>
      </c>
      <c r="O161" s="351">
        <f t="shared" si="41"/>
        <v>616</v>
      </c>
      <c r="P161" s="348">
        <f t="shared" si="41"/>
        <v>234</v>
      </c>
      <c r="Q161" s="351">
        <f t="shared" si="41"/>
        <v>821</v>
      </c>
      <c r="R161" s="348">
        <f t="shared" si="41"/>
        <v>692</v>
      </c>
      <c r="S161" s="351">
        <f t="shared" si="41"/>
        <v>1980</v>
      </c>
      <c r="T161" s="348">
        <f t="shared" si="41"/>
        <v>1202</v>
      </c>
      <c r="U161" s="351">
        <f t="shared" si="41"/>
        <v>173</v>
      </c>
      <c r="V161" s="352">
        <f t="shared" si="41"/>
        <v>101</v>
      </c>
      <c r="W161" s="205"/>
      <c r="X161" s="371"/>
      <c r="AB161" s="2"/>
    </row>
    <row r="162" spans="1:28" x14ac:dyDescent="0.3">
      <c r="A162" s="20" t="s">
        <v>106</v>
      </c>
      <c r="B162" s="5"/>
      <c r="C162" s="14"/>
      <c r="D162" s="14"/>
      <c r="E162" s="5"/>
      <c r="F162" s="14"/>
      <c r="G162" s="57"/>
      <c r="H162" s="57"/>
      <c r="I162" s="58"/>
      <c r="J162" s="58"/>
      <c r="K162" s="58"/>
      <c r="L162" s="58"/>
      <c r="M162" s="758" t="s">
        <v>68</v>
      </c>
      <c r="N162" s="758"/>
      <c r="O162" s="57"/>
      <c r="P162" s="57"/>
      <c r="Q162" s="57"/>
      <c r="R162" s="57"/>
      <c r="S162" s="57"/>
      <c r="T162" s="57"/>
      <c r="U162" s="57"/>
      <c r="V162" s="57"/>
      <c r="AB162" s="2" t="str">
        <f t="shared" ref="AB162" si="42">IF(G162&gt;0,$F162,"")</f>
        <v/>
      </c>
    </row>
    <row r="163" spans="1:28" x14ac:dyDescent="0.3">
      <c r="A163" s="20" t="s">
        <v>106</v>
      </c>
    </row>
    <row r="164" spans="1:28" x14ac:dyDescent="0.3">
      <c r="A164" s="20" t="s">
        <v>106</v>
      </c>
      <c r="E164" s="26" t="s">
        <v>205</v>
      </c>
      <c r="F164" s="389" t="s">
        <v>204</v>
      </c>
    </row>
    <row r="165" spans="1:28" x14ac:dyDescent="0.3">
      <c r="A165" s="20" t="s">
        <v>106</v>
      </c>
      <c r="E165" s="223" t="s">
        <v>60</v>
      </c>
      <c r="F165" s="714">
        <f>COUNTIF(AB$5:AB$153,$E164)</f>
        <v>0</v>
      </c>
    </row>
    <row r="166" spans="1:28" x14ac:dyDescent="0.3">
      <c r="A166" s="20" t="s">
        <v>106</v>
      </c>
      <c r="E166" s="1" t="s">
        <v>61</v>
      </c>
      <c r="F166" s="2">
        <f>COUNTIF(AB$5:AB$153,$E165)</f>
        <v>35</v>
      </c>
    </row>
    <row r="167" spans="1:28" ht="15" thickBot="1" x14ac:dyDescent="0.35">
      <c r="A167" s="20" t="s">
        <v>106</v>
      </c>
      <c r="E167" s="509" t="s">
        <v>62</v>
      </c>
      <c r="F167" s="510">
        <f>COUNTIF(AB$5:AB$153,$E166)</f>
        <v>7</v>
      </c>
    </row>
    <row r="168" spans="1:28" x14ac:dyDescent="0.3">
      <c r="A168" s="20" t="s">
        <v>106</v>
      </c>
      <c r="E168" s="511" t="s">
        <v>66</v>
      </c>
      <c r="F168" s="715">
        <f t="shared" ref="F168" si="43">SUM(F165:F167)</f>
        <v>42</v>
      </c>
    </row>
    <row r="169" spans="1:28" x14ac:dyDescent="0.3">
      <c r="E169" s="31"/>
    </row>
    <row r="170" spans="1:28" x14ac:dyDescent="0.3">
      <c r="E170" s="31"/>
    </row>
    <row r="171" spans="1:28" x14ac:dyDescent="0.3">
      <c r="E171" s="31"/>
    </row>
    <row r="172" spans="1:28" x14ac:dyDescent="0.3">
      <c r="E172" s="31"/>
    </row>
    <row r="175" spans="1:28" ht="15" customHeight="1" x14ac:dyDescent="0.3"/>
    <row r="176" spans="1:28" ht="15" customHeight="1" x14ac:dyDescent="0.3"/>
    <row r="177" spans="5:5" ht="15" customHeight="1" x14ac:dyDescent="0.3"/>
    <row r="178" spans="5:5" ht="15" customHeight="1" x14ac:dyDescent="0.3"/>
    <row r="179" spans="5:5" ht="15" customHeight="1" x14ac:dyDescent="0.3"/>
    <row r="180" spans="5:5" ht="15" customHeight="1" x14ac:dyDescent="0.3"/>
    <row r="181" spans="5:5" ht="15" customHeight="1" x14ac:dyDescent="0.3"/>
    <row r="182" spans="5:5" ht="15" customHeight="1" x14ac:dyDescent="0.3"/>
    <row r="183" spans="5:5" ht="15" customHeight="1" x14ac:dyDescent="0.3"/>
    <row r="184" spans="5:5" ht="15.75" customHeight="1" x14ac:dyDescent="0.3"/>
    <row r="185" spans="5:5" ht="15.75" customHeight="1" x14ac:dyDescent="0.3">
      <c r="E185" s="31"/>
    </row>
    <row r="186" spans="5:5" ht="15" customHeight="1" x14ac:dyDescent="0.3"/>
    <row r="187" spans="5:5" ht="15" customHeight="1" x14ac:dyDescent="0.3">
      <c r="E187" s="31"/>
    </row>
    <row r="188" spans="5:5" ht="15" customHeight="1" x14ac:dyDescent="0.3">
      <c r="E188" s="31"/>
    </row>
    <row r="189" spans="5:5" ht="15" customHeight="1" x14ac:dyDescent="0.3"/>
    <row r="201" spans="5:5" x14ac:dyDescent="0.3">
      <c r="E201" s="31"/>
    </row>
    <row r="203" spans="5:5" x14ac:dyDescent="0.3">
      <c r="E203" s="31"/>
    </row>
    <row r="204" spans="5:5" x14ac:dyDescent="0.3">
      <c r="E204" s="31"/>
    </row>
    <row r="217" spans="5:5" x14ac:dyDescent="0.3">
      <c r="E217" s="31"/>
    </row>
    <row r="219" spans="5:5" x14ac:dyDescent="0.3">
      <c r="E219" s="31"/>
    </row>
    <row r="220" spans="5:5" x14ac:dyDescent="0.3">
      <c r="E220" s="31"/>
    </row>
    <row r="233" spans="5:5" x14ac:dyDescent="0.3">
      <c r="E233" s="31"/>
    </row>
  </sheetData>
  <sheetProtection password="D0CE" sheet="1" objects="1" scenarios="1"/>
  <autoFilter ref="A1:V167" xr:uid="{00000000-0009-0000-0000-000003000000}"/>
  <mergeCells count="53">
    <mergeCell ref="B9:B12"/>
    <mergeCell ref="C9:C12"/>
    <mergeCell ref="E2:E4"/>
    <mergeCell ref="D5:D7"/>
    <mergeCell ref="D9:D11"/>
    <mergeCell ref="O2:P2"/>
    <mergeCell ref="Q2:R2"/>
    <mergeCell ref="S2:T2"/>
    <mergeCell ref="B5:B8"/>
    <mergeCell ref="C5:C8"/>
    <mergeCell ref="U2:V2"/>
    <mergeCell ref="B35:B49"/>
    <mergeCell ref="C35:C49"/>
    <mergeCell ref="I2:I4"/>
    <mergeCell ref="J2:J4"/>
    <mergeCell ref="K2:K4"/>
    <mergeCell ref="L2:L4"/>
    <mergeCell ref="M2:M4"/>
    <mergeCell ref="N2:N4"/>
    <mergeCell ref="B2:B4"/>
    <mergeCell ref="C2:C4"/>
    <mergeCell ref="D2:D4"/>
    <mergeCell ref="B13:B34"/>
    <mergeCell ref="C13:C34"/>
    <mergeCell ref="F2:F4"/>
    <mergeCell ref="G2:H2"/>
    <mergeCell ref="B96:B109"/>
    <mergeCell ref="C96:C109"/>
    <mergeCell ref="D96:D108"/>
    <mergeCell ref="C86:C95"/>
    <mergeCell ref="B86:B95"/>
    <mergeCell ref="D86:D94"/>
    <mergeCell ref="B50:B64"/>
    <mergeCell ref="C50:C64"/>
    <mergeCell ref="B66:B77"/>
    <mergeCell ref="C66:C77"/>
    <mergeCell ref="B78:B85"/>
    <mergeCell ref="C78:C85"/>
    <mergeCell ref="M162:N162"/>
    <mergeCell ref="B110:B125"/>
    <mergeCell ref="C110:C125"/>
    <mergeCell ref="B126:B134"/>
    <mergeCell ref="C126:C134"/>
    <mergeCell ref="D110:D124"/>
    <mergeCell ref="D126:D133"/>
    <mergeCell ref="B135:B159"/>
    <mergeCell ref="C135:C159"/>
    <mergeCell ref="D135:D158"/>
    <mergeCell ref="D13:D33"/>
    <mergeCell ref="D35:D48"/>
    <mergeCell ref="D50:D63"/>
    <mergeCell ref="D66:D76"/>
    <mergeCell ref="D78:D84"/>
  </mergeCells>
  <conditionalFormatting sqref="G50:R63">
    <cfRule type="expression" dxfId="31" priority="3" stopIfTrue="1">
      <formula>$G50=""</formula>
    </cfRule>
  </conditionalFormatting>
  <pageMargins left="0.23622047244094491" right="0.23622047244094491" top="0.35433070866141736" bottom="0.15748031496062992" header="0.31496062992125984" footer="0.31496062992125984"/>
  <pageSetup paperSize="8" scale="43" orientation="portrait" horizontalDpi="300" verticalDpi="300" r:id="rId1"/>
  <ignoredErrors>
    <ignoredError sqref="N13:R16 N18:R28 O17:R17 N9 G9 N5 G13:G28" formulaRange="1"/>
    <ignoredError sqref="H9 J9 L9 H13:H28 J13:J28 L13:L28" formula="1" formulaRange="1"/>
    <ignoredError sqref="J5 L5" evalError="1" formula="1" formulaRange="1"/>
    <ignoredError sqref="G43:H44 G66:H73 G45:H45 J43:J44 L43:L44 J66:J73 L66:L73" evalError="1"/>
    <ignoredError sqref="I49 I125 I109 I134 I126:I130 K126:K130 M126:M130 K125 M125 K109 M109 K134 M134" evalError="1" formula="1"/>
    <ignoredError sqref="I34 K34 M34 K49 M49 I64:I65 K64:K65 M64:M65 I95 I161 I159 I118:M121 I160 K160 M160 I103:M104 I96:I102 K96:K102 I105 K105 M96:M102 M105 I110:I117 K110:K117 M110:M117 I8 I9 M9 K9 I78:M91 I151:M153 I135:M149 K95 M95 K8 M8 I77 K77 M77 K159 M159 K161 M16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33CC"/>
    <pageSetUpPr fitToPage="1"/>
  </sheetPr>
  <dimension ref="A1:AB233"/>
  <sheetViews>
    <sheetView tabSelected="1" view="pageBreakPreview" zoomScale="68" zoomScaleNormal="55" zoomScaleSheetLayoutView="68" workbookViewId="0">
      <pane xSplit="6" ySplit="4" topLeftCell="G77" activePane="bottomRight" state="frozen"/>
      <selection activeCell="B2" sqref="B2:B4"/>
      <selection pane="topRight" activeCell="B2" sqref="B2:B4"/>
      <selection pane="bottomLeft" activeCell="B2" sqref="B2:B4"/>
      <selection pane="bottomRight" activeCell="Q82" sqref="Q82"/>
    </sheetView>
  </sheetViews>
  <sheetFormatPr baseColWidth="10" defaultColWidth="11.44140625" defaultRowHeight="14.4" x14ac:dyDescent="0.3"/>
  <cols>
    <col min="1" max="1" width="3" style="20" customWidth="1"/>
    <col min="2" max="2" width="33.6640625" style="1" customWidth="1"/>
    <col min="3" max="3" width="11.5546875" style="2" customWidth="1"/>
    <col min="4" max="4" width="8.44140625" style="2" customWidth="1"/>
    <col min="5" max="5" width="44.88671875" style="1" customWidth="1"/>
    <col min="6" max="6" width="11.109375" style="2" customWidth="1"/>
    <col min="7" max="7" width="11.44140625" style="2"/>
    <col min="8" max="8" width="11.44140625" style="2" customWidth="1"/>
    <col min="9" max="9" width="11.44140625" style="3" customWidth="1"/>
    <col min="10" max="10" width="11.44140625" style="4" customWidth="1"/>
    <col min="11" max="11" width="11.44140625" style="3" customWidth="1"/>
    <col min="12" max="12" width="11.44140625" style="4" customWidth="1"/>
    <col min="13" max="13" width="11.44140625" style="3" customWidth="1"/>
    <col min="14" max="14" width="11.44140625" style="4" customWidth="1"/>
    <col min="15" max="22" width="7.5546875" style="2" customWidth="1"/>
    <col min="23" max="23" width="5.33203125" style="2" customWidth="1"/>
    <col min="24" max="25" width="11.44140625" style="1"/>
    <col min="26" max="27" width="11.44140625" style="1" customWidth="1"/>
    <col min="28" max="28" width="0" style="2" hidden="1" customWidth="1"/>
    <col min="29" max="16384" width="11.44140625" style="1"/>
  </cols>
  <sheetData>
    <row r="1" spans="1:28" s="20" customFormat="1" ht="17.25" customHeight="1" thickBot="1" x14ac:dyDescent="0.35">
      <c r="C1" s="23"/>
      <c r="D1" s="23"/>
      <c r="E1" s="23">
        <v>7</v>
      </c>
      <c r="F1" s="23"/>
      <c r="G1" s="23"/>
      <c r="H1" s="23"/>
      <c r="I1" s="24"/>
      <c r="J1" s="25"/>
      <c r="K1" s="24"/>
      <c r="L1" s="25"/>
      <c r="M1" s="24"/>
      <c r="N1" s="25"/>
      <c r="O1" s="23"/>
      <c r="P1" s="23"/>
      <c r="Q1" s="23"/>
      <c r="R1" s="23"/>
      <c r="S1" s="23"/>
      <c r="T1" s="23"/>
      <c r="U1" s="23"/>
      <c r="V1" s="23"/>
      <c r="W1" s="23"/>
      <c r="AB1" s="23"/>
    </row>
    <row r="2" spans="1:28" s="6" customFormat="1" ht="30" customHeight="1" thickBot="1" x14ac:dyDescent="0.35">
      <c r="A2" s="21" t="s">
        <v>106</v>
      </c>
      <c r="B2" s="769" t="s">
        <v>53</v>
      </c>
      <c r="C2" s="772" t="s">
        <v>74</v>
      </c>
      <c r="D2" s="772" t="s">
        <v>69</v>
      </c>
      <c r="E2" s="765" t="s">
        <v>79</v>
      </c>
      <c r="F2" s="761" t="s">
        <v>59</v>
      </c>
      <c r="G2" s="786" t="s">
        <v>54</v>
      </c>
      <c r="H2" s="771"/>
      <c r="I2" s="787" t="s">
        <v>55</v>
      </c>
      <c r="J2" s="764" t="s">
        <v>63</v>
      </c>
      <c r="K2" s="787" t="s">
        <v>56</v>
      </c>
      <c r="L2" s="764" t="s">
        <v>65</v>
      </c>
      <c r="M2" s="787" t="s">
        <v>57</v>
      </c>
      <c r="N2" s="764" t="s">
        <v>64</v>
      </c>
      <c r="O2" s="770" t="s">
        <v>39</v>
      </c>
      <c r="P2" s="771"/>
      <c r="Q2" s="770" t="s">
        <v>40</v>
      </c>
      <c r="R2" s="771"/>
      <c r="S2" s="770" t="s">
        <v>41</v>
      </c>
      <c r="T2" s="771"/>
      <c r="U2" s="761" t="s">
        <v>42</v>
      </c>
      <c r="V2" s="785"/>
      <c r="W2" s="204"/>
      <c r="AB2" s="462"/>
    </row>
    <row r="3" spans="1:28" s="6" customFormat="1" ht="30" customHeight="1" thickBot="1" x14ac:dyDescent="0.35">
      <c r="A3" s="21" t="s">
        <v>106</v>
      </c>
      <c r="B3" s="769"/>
      <c r="C3" s="772"/>
      <c r="D3" s="772"/>
      <c r="E3" s="765"/>
      <c r="F3" s="762"/>
      <c r="G3" s="108"/>
      <c r="H3" s="105"/>
      <c r="I3" s="787"/>
      <c r="J3" s="764"/>
      <c r="K3" s="787"/>
      <c r="L3" s="764"/>
      <c r="M3" s="787"/>
      <c r="N3" s="764"/>
      <c r="O3" s="104"/>
      <c r="P3" s="105"/>
      <c r="Q3" s="104"/>
      <c r="R3" s="105"/>
      <c r="S3" s="104"/>
      <c r="T3" s="105"/>
      <c r="U3" s="106"/>
      <c r="V3" s="107"/>
      <c r="W3" s="204"/>
      <c r="AB3" s="462"/>
    </row>
    <row r="4" spans="1:28" s="6" customFormat="1" ht="30" customHeight="1" thickBot="1" x14ac:dyDescent="0.35">
      <c r="A4" s="21" t="s">
        <v>106</v>
      </c>
      <c r="B4" s="769"/>
      <c r="C4" s="772"/>
      <c r="D4" s="772"/>
      <c r="E4" s="765"/>
      <c r="F4" s="763"/>
      <c r="G4" s="10" t="s">
        <v>43</v>
      </c>
      <c r="H4" s="11" t="s">
        <v>44</v>
      </c>
      <c r="I4" s="787"/>
      <c r="J4" s="764"/>
      <c r="K4" s="787"/>
      <c r="L4" s="764"/>
      <c r="M4" s="787"/>
      <c r="N4" s="764"/>
      <c r="O4" s="12" t="s">
        <v>43</v>
      </c>
      <c r="P4" s="11" t="s">
        <v>44</v>
      </c>
      <c r="Q4" s="12" t="s">
        <v>43</v>
      </c>
      <c r="R4" s="11" t="s">
        <v>44</v>
      </c>
      <c r="S4" s="12" t="s">
        <v>43</v>
      </c>
      <c r="T4" s="11" t="s">
        <v>44</v>
      </c>
      <c r="U4" s="12" t="s">
        <v>43</v>
      </c>
      <c r="V4" s="13" t="s">
        <v>44</v>
      </c>
      <c r="W4" s="204"/>
      <c r="AB4" s="462">
        <v>2020</v>
      </c>
    </row>
    <row r="5" spans="1:28" ht="15.75" customHeight="1" x14ac:dyDescent="0.3">
      <c r="A5" s="20" t="str">
        <f t="shared" ref="A5:A49" si="0">IF(D5="Sous-total","S",IF(G5="","","X"))</f>
        <v>X</v>
      </c>
      <c r="B5" s="778" t="s">
        <v>70</v>
      </c>
      <c r="C5" s="781" t="s">
        <v>75</v>
      </c>
      <c r="D5" s="766">
        <v>2</v>
      </c>
      <c r="E5" s="573" t="s">
        <v>71</v>
      </c>
      <c r="F5" s="576" t="s">
        <v>60</v>
      </c>
      <c r="G5" s="691">
        <v>176</v>
      </c>
      <c r="H5" s="692"/>
      <c r="I5" s="467">
        <f t="shared" ref="I5:I45" si="1">IF(J5="","",J5/G5)</f>
        <v>0.25568181818181818</v>
      </c>
      <c r="J5" s="693">
        <f>16+29</f>
        <v>45</v>
      </c>
      <c r="K5" s="466">
        <f t="shared" ref="K5:K49" si="2">IF(L5="","",L5/G5)</f>
        <v>0.34090909090909088</v>
      </c>
      <c r="L5" s="693">
        <f>22+16+22</f>
        <v>60</v>
      </c>
      <c r="M5" s="466">
        <f t="shared" ref="M5:M49" si="3">IF(N5="","",N5/L5)</f>
        <v>0.26666666666666666</v>
      </c>
      <c r="N5" s="693">
        <v>16</v>
      </c>
      <c r="O5" s="694"/>
      <c r="P5" s="695"/>
      <c r="Q5" s="694"/>
      <c r="R5" s="695"/>
      <c r="S5" s="696" t="s">
        <v>21</v>
      </c>
      <c r="T5" s="697" t="s">
        <v>21</v>
      </c>
      <c r="U5" s="696" t="s">
        <v>21</v>
      </c>
      <c r="V5" s="698" t="s">
        <v>21</v>
      </c>
      <c r="W5" s="205"/>
      <c r="AB5" s="2" t="str">
        <f>IF(G5&lt;&gt;"",$F5,"")</f>
        <v>France</v>
      </c>
    </row>
    <row r="6" spans="1:28" ht="15.75" customHeight="1" x14ac:dyDescent="0.3">
      <c r="A6" s="20" t="str">
        <f t="shared" si="0"/>
        <v/>
      </c>
      <c r="B6" s="779"/>
      <c r="C6" s="782"/>
      <c r="D6" s="757"/>
      <c r="E6" s="727" t="s">
        <v>166</v>
      </c>
      <c r="F6" s="237"/>
      <c r="G6" s="238"/>
      <c r="H6" s="239"/>
      <c r="I6" s="686"/>
      <c r="J6" s="241"/>
      <c r="K6" s="240"/>
      <c r="L6" s="241"/>
      <c r="M6" s="240"/>
      <c r="N6" s="241"/>
      <c r="O6" s="228"/>
      <c r="P6" s="229"/>
      <c r="Q6" s="228"/>
      <c r="R6" s="229"/>
      <c r="S6" s="667" t="s">
        <v>21</v>
      </c>
      <c r="T6" s="668" t="s">
        <v>21</v>
      </c>
      <c r="U6" s="667" t="s">
        <v>21</v>
      </c>
      <c r="V6" s="669" t="s">
        <v>21</v>
      </c>
      <c r="W6" s="205"/>
    </row>
    <row r="7" spans="1:28" ht="15.75" customHeight="1" x14ac:dyDescent="0.3">
      <c r="A7" s="20" t="str">
        <f t="shared" si="0"/>
        <v/>
      </c>
      <c r="B7" s="779"/>
      <c r="C7" s="782"/>
      <c r="D7" s="757"/>
      <c r="E7" s="728" t="s">
        <v>166</v>
      </c>
      <c r="F7" s="242"/>
      <c r="G7" s="243"/>
      <c r="H7" s="244"/>
      <c r="I7" s="687"/>
      <c r="J7" s="246"/>
      <c r="K7" s="245"/>
      <c r="L7" s="246"/>
      <c r="M7" s="245"/>
      <c r="N7" s="246"/>
      <c r="O7" s="230"/>
      <c r="P7" s="231"/>
      <c r="Q7" s="230"/>
      <c r="R7" s="231"/>
      <c r="S7" s="670" t="s">
        <v>21</v>
      </c>
      <c r="T7" s="671" t="s">
        <v>21</v>
      </c>
      <c r="U7" s="670" t="s">
        <v>21</v>
      </c>
      <c r="V7" s="672" t="s">
        <v>21</v>
      </c>
      <c r="W7" s="205"/>
    </row>
    <row r="8" spans="1:28" ht="15.6" x14ac:dyDescent="0.3">
      <c r="A8" s="20" t="str">
        <f t="shared" si="0"/>
        <v>S</v>
      </c>
      <c r="B8" s="779"/>
      <c r="C8" s="783"/>
      <c r="D8" s="309" t="s">
        <v>138</v>
      </c>
      <c r="E8" s="717"/>
      <c r="F8" s="16"/>
      <c r="G8" s="251">
        <f>SUM(G5:G7)</f>
        <v>176</v>
      </c>
      <c r="H8" s="119">
        <f>SUM(H5:H7)</f>
        <v>0</v>
      </c>
      <c r="I8" s="9">
        <f t="shared" si="1"/>
        <v>0.25568181818181818</v>
      </c>
      <c r="J8" s="202">
        <f>SUM(J5:J7)</f>
        <v>45</v>
      </c>
      <c r="K8" s="9">
        <f t="shared" si="2"/>
        <v>0.34090909090909088</v>
      </c>
      <c r="L8" s="202">
        <f>SUM(L5:L7)</f>
        <v>60</v>
      </c>
      <c r="M8" s="9">
        <f t="shared" si="3"/>
        <v>0.26666666666666666</v>
      </c>
      <c r="N8" s="202">
        <f t="shared" ref="N8:V8" si="4">SUM(N5:N7)</f>
        <v>16</v>
      </c>
      <c r="O8" s="118">
        <f t="shared" si="4"/>
        <v>0</v>
      </c>
      <c r="P8" s="119">
        <f t="shared" si="4"/>
        <v>0</v>
      </c>
      <c r="Q8" s="118">
        <f t="shared" si="4"/>
        <v>0</v>
      </c>
      <c r="R8" s="119">
        <f t="shared" si="4"/>
        <v>0</v>
      </c>
      <c r="S8" s="118">
        <f t="shared" si="4"/>
        <v>0</v>
      </c>
      <c r="T8" s="119">
        <f t="shared" si="4"/>
        <v>0</v>
      </c>
      <c r="U8" s="118">
        <f t="shared" si="4"/>
        <v>0</v>
      </c>
      <c r="V8" s="120">
        <f t="shared" si="4"/>
        <v>0</v>
      </c>
      <c r="W8" s="205"/>
    </row>
    <row r="9" spans="1:28" ht="15.75" customHeight="1" x14ac:dyDescent="0.3">
      <c r="A9" s="20" t="str">
        <f t="shared" si="0"/>
        <v/>
      </c>
      <c r="B9" s="779" t="s">
        <v>163</v>
      </c>
      <c r="C9" s="782" t="s">
        <v>75</v>
      </c>
      <c r="D9" s="757"/>
      <c r="E9" s="719" t="s">
        <v>164</v>
      </c>
      <c r="F9" s="232" t="s">
        <v>60</v>
      </c>
      <c r="G9" s="233"/>
      <c r="H9" s="234"/>
      <c r="I9" s="411" t="str">
        <f t="shared" si="1"/>
        <v/>
      </c>
      <c r="J9" s="236"/>
      <c r="K9" s="235" t="str">
        <f t="shared" si="2"/>
        <v/>
      </c>
      <c r="L9" s="236"/>
      <c r="M9" s="235" t="str">
        <f t="shared" si="3"/>
        <v/>
      </c>
      <c r="N9" s="236"/>
      <c r="O9" s="226"/>
      <c r="P9" s="227"/>
      <c r="Q9" s="226"/>
      <c r="R9" s="227"/>
      <c r="S9" s="664" t="s">
        <v>21</v>
      </c>
      <c r="T9" s="665" t="s">
        <v>21</v>
      </c>
      <c r="U9" s="664" t="s">
        <v>21</v>
      </c>
      <c r="V9" s="666" t="s">
        <v>21</v>
      </c>
      <c r="W9" s="205" t="s">
        <v>206</v>
      </c>
      <c r="AB9" s="2" t="str">
        <f t="shared" ref="AB9:AB89" si="5">IF(G9&lt;&gt;"",$F9,"")</f>
        <v/>
      </c>
    </row>
    <row r="10" spans="1:28" ht="15.75" customHeight="1" x14ac:dyDescent="0.3">
      <c r="A10" s="20" t="str">
        <f t="shared" si="0"/>
        <v/>
      </c>
      <c r="B10" s="779"/>
      <c r="C10" s="782"/>
      <c r="D10" s="757"/>
      <c r="E10" s="577"/>
      <c r="F10" s="237"/>
      <c r="G10" s="238"/>
      <c r="H10" s="239"/>
      <c r="I10" s="686"/>
      <c r="J10" s="241"/>
      <c r="K10" s="240"/>
      <c r="L10" s="241"/>
      <c r="M10" s="240"/>
      <c r="N10" s="241"/>
      <c r="O10" s="228"/>
      <c r="P10" s="229"/>
      <c r="Q10" s="228"/>
      <c r="R10" s="229"/>
      <c r="S10" s="667" t="s">
        <v>21</v>
      </c>
      <c r="T10" s="668" t="s">
        <v>21</v>
      </c>
      <c r="U10" s="667" t="s">
        <v>21</v>
      </c>
      <c r="V10" s="669" t="s">
        <v>21</v>
      </c>
      <c r="W10" s="205"/>
    </row>
    <row r="11" spans="1:28" ht="15.75" customHeight="1" x14ac:dyDescent="0.3">
      <c r="A11" s="20" t="str">
        <f t="shared" si="0"/>
        <v/>
      </c>
      <c r="B11" s="779"/>
      <c r="C11" s="782"/>
      <c r="D11" s="757"/>
      <c r="E11" s="723"/>
      <c r="F11" s="242"/>
      <c r="G11" s="243"/>
      <c r="H11" s="244"/>
      <c r="I11" s="687"/>
      <c r="J11" s="246"/>
      <c r="K11" s="245"/>
      <c r="L11" s="246"/>
      <c r="M11" s="245"/>
      <c r="N11" s="246"/>
      <c r="O11" s="230"/>
      <c r="P11" s="231"/>
      <c r="Q11" s="230"/>
      <c r="R11" s="231"/>
      <c r="S11" s="670" t="s">
        <v>21</v>
      </c>
      <c r="T11" s="671" t="s">
        <v>21</v>
      </c>
      <c r="U11" s="670" t="s">
        <v>21</v>
      </c>
      <c r="V11" s="672" t="s">
        <v>21</v>
      </c>
      <c r="W11" s="205"/>
    </row>
    <row r="12" spans="1:28" ht="15.6" x14ac:dyDescent="0.3">
      <c r="A12" s="20" t="str">
        <f t="shared" si="0"/>
        <v>S</v>
      </c>
      <c r="B12" s="780"/>
      <c r="C12" s="783"/>
      <c r="D12" s="309" t="s">
        <v>138</v>
      </c>
      <c r="E12" s="717"/>
      <c r="F12" s="16"/>
      <c r="G12" s="251">
        <f>SUM(G9:G11)</f>
        <v>0</v>
      </c>
      <c r="H12" s="119">
        <f>SUM(H9:H11)</f>
        <v>0</v>
      </c>
      <c r="I12" s="9" t="e">
        <f t="shared" ref="I12" si="6">IF(J12="","",J12/G12)</f>
        <v>#DIV/0!</v>
      </c>
      <c r="J12" s="202">
        <f>SUM(J9:J11)</f>
        <v>0</v>
      </c>
      <c r="K12" s="9" t="e">
        <f t="shared" ref="K12" si="7">IF(L12="","",L12/G12)</f>
        <v>#DIV/0!</v>
      </c>
      <c r="L12" s="202">
        <f>SUM(L9:L11)</f>
        <v>0</v>
      </c>
      <c r="M12" s="9" t="e">
        <f t="shared" ref="M12" si="8">IF(N12="","",N12/L12)</f>
        <v>#DIV/0!</v>
      </c>
      <c r="N12" s="202">
        <f t="shared" ref="N12" si="9">SUM(N9:N11)</f>
        <v>0</v>
      </c>
      <c r="O12" s="118">
        <f t="shared" ref="O12" si="10">SUM(O9:O11)</f>
        <v>0</v>
      </c>
      <c r="P12" s="119">
        <f t="shared" ref="P12" si="11">SUM(P9:P11)</f>
        <v>0</v>
      </c>
      <c r="Q12" s="118">
        <f t="shared" ref="Q12" si="12">SUM(Q9:Q11)</f>
        <v>0</v>
      </c>
      <c r="R12" s="119">
        <f t="shared" ref="R12" si="13">SUM(R9:R11)</f>
        <v>0</v>
      </c>
      <c r="S12" s="118">
        <f t="shared" ref="S12" si="14">SUM(S9:S11)</f>
        <v>0</v>
      </c>
      <c r="T12" s="119">
        <f t="shared" ref="T12" si="15">SUM(T9:T11)</f>
        <v>0</v>
      </c>
      <c r="U12" s="118">
        <f t="shared" ref="U12" si="16">SUM(U9:U11)</f>
        <v>0</v>
      </c>
      <c r="V12" s="120">
        <f t="shared" ref="V12" si="17">SUM(V9:V11)</f>
        <v>0</v>
      </c>
      <c r="W12" s="205" t="s">
        <v>206</v>
      </c>
    </row>
    <row r="13" spans="1:28" ht="15" customHeight="1" x14ac:dyDescent="0.3">
      <c r="A13" s="20" t="str">
        <f t="shared" si="0"/>
        <v/>
      </c>
      <c r="B13" s="773" t="s">
        <v>168</v>
      </c>
      <c r="C13" s="775" t="s">
        <v>75</v>
      </c>
      <c r="D13" s="767">
        <v>18</v>
      </c>
      <c r="E13" s="719" t="s">
        <v>182</v>
      </c>
      <c r="F13" s="232" t="s">
        <v>60</v>
      </c>
      <c r="G13" s="702"/>
      <c r="H13" s="703"/>
      <c r="I13" s="411" t="str">
        <f t="shared" si="1"/>
        <v/>
      </c>
      <c r="J13" s="704"/>
      <c r="K13" s="235" t="str">
        <f t="shared" si="2"/>
        <v/>
      </c>
      <c r="L13" s="704"/>
      <c r="M13" s="235" t="str">
        <f t="shared" si="3"/>
        <v/>
      </c>
      <c r="N13" s="236"/>
      <c r="O13" s="226"/>
      <c r="P13" s="227"/>
      <c r="Q13" s="226"/>
      <c r="R13" s="227"/>
      <c r="S13" s="664"/>
      <c r="T13" s="665"/>
      <c r="U13" s="664"/>
      <c r="V13" s="666"/>
      <c r="W13" s="205" t="s">
        <v>206</v>
      </c>
      <c r="AB13" s="2" t="str">
        <f t="shared" si="5"/>
        <v/>
      </c>
    </row>
    <row r="14" spans="1:28" ht="15" customHeight="1" x14ac:dyDescent="0.3">
      <c r="A14" s="20" t="str">
        <f t="shared" si="0"/>
        <v/>
      </c>
      <c r="B14" s="773"/>
      <c r="C14" s="775"/>
      <c r="D14" s="767"/>
      <c r="E14" s="577" t="s">
        <v>183</v>
      </c>
      <c r="F14" s="237" t="s">
        <v>60</v>
      </c>
      <c r="G14" s="688"/>
      <c r="H14" s="689"/>
      <c r="I14" s="420" t="str">
        <f t="shared" si="1"/>
        <v/>
      </c>
      <c r="J14" s="690"/>
      <c r="K14" s="240" t="str">
        <f t="shared" si="2"/>
        <v/>
      </c>
      <c r="L14" s="690"/>
      <c r="M14" s="240" t="str">
        <f t="shared" si="3"/>
        <v/>
      </c>
      <c r="N14" s="241"/>
      <c r="O14" s="228"/>
      <c r="P14" s="229"/>
      <c r="Q14" s="228"/>
      <c r="R14" s="229"/>
      <c r="S14" s="667"/>
      <c r="T14" s="668"/>
      <c r="U14" s="667"/>
      <c r="V14" s="669"/>
      <c r="W14" s="205" t="s">
        <v>206</v>
      </c>
      <c r="AB14" s="2" t="str">
        <f t="shared" si="5"/>
        <v/>
      </c>
    </row>
    <row r="15" spans="1:28" ht="15" customHeight="1" x14ac:dyDescent="0.3">
      <c r="A15" s="20" t="str">
        <f t="shared" si="0"/>
        <v/>
      </c>
      <c r="B15" s="773"/>
      <c r="C15" s="775"/>
      <c r="D15" s="767"/>
      <c r="E15" s="577" t="s">
        <v>184</v>
      </c>
      <c r="F15" s="237" t="s">
        <v>60</v>
      </c>
      <c r="G15" s="688"/>
      <c r="H15" s="689"/>
      <c r="I15" s="420" t="str">
        <f t="shared" si="1"/>
        <v/>
      </c>
      <c r="J15" s="690"/>
      <c r="K15" s="240" t="str">
        <f t="shared" si="2"/>
        <v/>
      </c>
      <c r="L15" s="690"/>
      <c r="M15" s="240" t="str">
        <f t="shared" si="3"/>
        <v/>
      </c>
      <c r="N15" s="241"/>
      <c r="O15" s="228"/>
      <c r="P15" s="229"/>
      <c r="Q15" s="228"/>
      <c r="R15" s="229"/>
      <c r="S15" s="667"/>
      <c r="T15" s="668"/>
      <c r="U15" s="667"/>
      <c r="V15" s="669"/>
      <c r="W15" s="205" t="s">
        <v>206</v>
      </c>
      <c r="AB15" s="2" t="str">
        <f t="shared" si="5"/>
        <v/>
      </c>
    </row>
    <row r="16" spans="1:28" ht="15" customHeight="1" x14ac:dyDescent="0.3">
      <c r="A16" s="20" t="str">
        <f t="shared" si="0"/>
        <v/>
      </c>
      <c r="B16" s="773"/>
      <c r="C16" s="775"/>
      <c r="D16" s="767"/>
      <c r="E16" s="577" t="s">
        <v>185</v>
      </c>
      <c r="F16" s="237" t="s">
        <v>60</v>
      </c>
      <c r="G16" s="688"/>
      <c r="H16" s="689"/>
      <c r="I16" s="420" t="str">
        <f t="shared" si="1"/>
        <v/>
      </c>
      <c r="J16" s="690"/>
      <c r="K16" s="240" t="str">
        <f t="shared" si="2"/>
        <v/>
      </c>
      <c r="L16" s="690"/>
      <c r="M16" s="240" t="str">
        <f t="shared" si="3"/>
        <v/>
      </c>
      <c r="N16" s="241"/>
      <c r="O16" s="228"/>
      <c r="P16" s="229"/>
      <c r="Q16" s="228"/>
      <c r="R16" s="229"/>
      <c r="S16" s="667"/>
      <c r="T16" s="668"/>
      <c r="U16" s="667"/>
      <c r="V16" s="669"/>
      <c r="W16" s="205" t="s">
        <v>206</v>
      </c>
      <c r="AB16" s="2" t="str">
        <f t="shared" si="5"/>
        <v/>
      </c>
    </row>
    <row r="17" spans="1:28" ht="15" customHeight="1" x14ac:dyDescent="0.3">
      <c r="A17" s="20" t="str">
        <f t="shared" si="0"/>
        <v/>
      </c>
      <c r="B17" s="773"/>
      <c r="C17" s="775"/>
      <c r="D17" s="767"/>
      <c r="E17" s="577" t="s">
        <v>186</v>
      </c>
      <c r="F17" s="237" t="s">
        <v>60</v>
      </c>
      <c r="G17" s="688"/>
      <c r="H17" s="689"/>
      <c r="I17" s="420" t="str">
        <f t="shared" si="1"/>
        <v/>
      </c>
      <c r="J17" s="690"/>
      <c r="K17" s="240" t="str">
        <f t="shared" si="2"/>
        <v/>
      </c>
      <c r="L17" s="690"/>
      <c r="M17" s="240" t="str">
        <f t="shared" si="3"/>
        <v/>
      </c>
      <c r="N17" s="241"/>
      <c r="O17" s="228"/>
      <c r="P17" s="229"/>
      <c r="Q17" s="228"/>
      <c r="R17" s="229"/>
      <c r="S17" s="667"/>
      <c r="T17" s="668"/>
      <c r="U17" s="667"/>
      <c r="V17" s="669"/>
      <c r="W17" s="205" t="s">
        <v>206</v>
      </c>
      <c r="AB17" s="2" t="str">
        <f t="shared" si="5"/>
        <v/>
      </c>
    </row>
    <row r="18" spans="1:28" ht="15" customHeight="1" x14ac:dyDescent="0.3">
      <c r="A18" s="20" t="str">
        <f t="shared" si="0"/>
        <v/>
      </c>
      <c r="B18" s="773"/>
      <c r="C18" s="775"/>
      <c r="D18" s="767"/>
      <c r="E18" s="577" t="s">
        <v>187</v>
      </c>
      <c r="F18" s="237" t="s">
        <v>62</v>
      </c>
      <c r="G18" s="688"/>
      <c r="H18" s="689"/>
      <c r="I18" s="420" t="str">
        <f t="shared" si="1"/>
        <v/>
      </c>
      <c r="J18" s="690"/>
      <c r="K18" s="240" t="str">
        <f t="shared" si="2"/>
        <v/>
      </c>
      <c r="L18" s="690"/>
      <c r="M18" s="240" t="str">
        <f t="shared" si="3"/>
        <v/>
      </c>
      <c r="N18" s="241"/>
      <c r="O18" s="228"/>
      <c r="P18" s="229"/>
      <c r="Q18" s="228"/>
      <c r="R18" s="229"/>
      <c r="S18" s="287"/>
      <c r="T18" s="288"/>
      <c r="U18" s="287"/>
      <c r="V18" s="289"/>
      <c r="W18" s="205" t="s">
        <v>206</v>
      </c>
      <c r="AB18" s="2" t="str">
        <f t="shared" si="5"/>
        <v/>
      </c>
    </row>
    <row r="19" spans="1:28" ht="15" customHeight="1" x14ac:dyDescent="0.3">
      <c r="A19" s="20" t="str">
        <f t="shared" si="0"/>
        <v/>
      </c>
      <c r="B19" s="773"/>
      <c r="C19" s="775"/>
      <c r="D19" s="767"/>
      <c r="E19" s="577" t="s">
        <v>188</v>
      </c>
      <c r="F19" s="237" t="s">
        <v>60</v>
      </c>
      <c r="G19" s="688"/>
      <c r="H19" s="689"/>
      <c r="I19" s="420" t="str">
        <f t="shared" si="1"/>
        <v/>
      </c>
      <c r="J19" s="690"/>
      <c r="K19" s="240" t="str">
        <f t="shared" si="2"/>
        <v/>
      </c>
      <c r="L19" s="690"/>
      <c r="M19" s="240" t="str">
        <f t="shared" si="3"/>
        <v/>
      </c>
      <c r="N19" s="241"/>
      <c r="O19" s="228"/>
      <c r="P19" s="229"/>
      <c r="Q19" s="228"/>
      <c r="R19" s="229"/>
      <c r="S19" s="667"/>
      <c r="T19" s="668"/>
      <c r="U19" s="667"/>
      <c r="V19" s="669"/>
      <c r="W19" s="205" t="s">
        <v>206</v>
      </c>
      <c r="AB19" s="2" t="str">
        <f t="shared" si="5"/>
        <v/>
      </c>
    </row>
    <row r="20" spans="1:28" ht="15" customHeight="1" x14ac:dyDescent="0.3">
      <c r="A20" s="20" t="str">
        <f t="shared" si="0"/>
        <v/>
      </c>
      <c r="B20" s="773"/>
      <c r="C20" s="775"/>
      <c r="D20" s="767"/>
      <c r="E20" s="577" t="s">
        <v>189</v>
      </c>
      <c r="F20" s="237" t="s">
        <v>60</v>
      </c>
      <c r="G20" s="688"/>
      <c r="H20" s="689"/>
      <c r="I20" s="420" t="str">
        <f t="shared" si="1"/>
        <v/>
      </c>
      <c r="J20" s="690"/>
      <c r="K20" s="240" t="str">
        <f t="shared" si="2"/>
        <v/>
      </c>
      <c r="L20" s="690"/>
      <c r="M20" s="240" t="str">
        <f t="shared" si="3"/>
        <v/>
      </c>
      <c r="N20" s="241"/>
      <c r="O20" s="228"/>
      <c r="P20" s="229"/>
      <c r="Q20" s="228"/>
      <c r="R20" s="229"/>
      <c r="S20" s="667"/>
      <c r="T20" s="668"/>
      <c r="U20" s="667"/>
      <c r="V20" s="669"/>
      <c r="W20" s="205" t="s">
        <v>206</v>
      </c>
      <c r="AB20" s="2" t="str">
        <f t="shared" si="5"/>
        <v/>
      </c>
    </row>
    <row r="21" spans="1:28" ht="15" customHeight="1" x14ac:dyDescent="0.3">
      <c r="A21" s="20" t="str">
        <f t="shared" si="0"/>
        <v/>
      </c>
      <c r="B21" s="773"/>
      <c r="C21" s="775"/>
      <c r="D21" s="767"/>
      <c r="E21" s="577" t="s">
        <v>190</v>
      </c>
      <c r="F21" s="237" t="s">
        <v>60</v>
      </c>
      <c r="G21" s="688"/>
      <c r="H21" s="689"/>
      <c r="I21" s="420" t="str">
        <f t="shared" si="1"/>
        <v/>
      </c>
      <c r="J21" s="690"/>
      <c r="K21" s="240" t="str">
        <f t="shared" si="2"/>
        <v/>
      </c>
      <c r="L21" s="690"/>
      <c r="M21" s="240" t="str">
        <f t="shared" si="3"/>
        <v/>
      </c>
      <c r="N21" s="241"/>
      <c r="O21" s="228"/>
      <c r="P21" s="229"/>
      <c r="Q21" s="228"/>
      <c r="R21" s="229"/>
      <c r="S21" s="667"/>
      <c r="T21" s="668"/>
      <c r="U21" s="667"/>
      <c r="V21" s="669"/>
      <c r="W21" s="205" t="s">
        <v>206</v>
      </c>
      <c r="AB21" s="2" t="str">
        <f t="shared" si="5"/>
        <v/>
      </c>
    </row>
    <row r="22" spans="1:28" ht="15" customHeight="1" x14ac:dyDescent="0.3">
      <c r="A22" s="20" t="str">
        <f t="shared" si="0"/>
        <v/>
      </c>
      <c r="B22" s="773"/>
      <c r="C22" s="775"/>
      <c r="D22" s="767"/>
      <c r="E22" s="577" t="s">
        <v>191</v>
      </c>
      <c r="F22" s="237" t="s">
        <v>60</v>
      </c>
      <c r="G22" s="688"/>
      <c r="H22" s="689"/>
      <c r="I22" s="420" t="str">
        <f t="shared" si="1"/>
        <v/>
      </c>
      <c r="J22" s="690"/>
      <c r="K22" s="240" t="str">
        <f t="shared" si="2"/>
        <v/>
      </c>
      <c r="L22" s="690"/>
      <c r="M22" s="240" t="str">
        <f t="shared" si="3"/>
        <v/>
      </c>
      <c r="N22" s="241"/>
      <c r="O22" s="228"/>
      <c r="P22" s="229"/>
      <c r="Q22" s="228"/>
      <c r="R22" s="229"/>
      <c r="S22" s="667"/>
      <c r="T22" s="668"/>
      <c r="U22" s="667"/>
      <c r="V22" s="669"/>
      <c r="W22" s="205" t="s">
        <v>206</v>
      </c>
      <c r="X22" s="741"/>
      <c r="AB22" s="2" t="str">
        <f t="shared" si="5"/>
        <v/>
      </c>
    </row>
    <row r="23" spans="1:28" ht="15" customHeight="1" x14ac:dyDescent="0.3">
      <c r="A23" s="20" t="str">
        <f t="shared" si="0"/>
        <v/>
      </c>
      <c r="B23" s="773"/>
      <c r="C23" s="775"/>
      <c r="D23" s="767"/>
      <c r="E23" s="577" t="s">
        <v>192</v>
      </c>
      <c r="F23" s="237" t="s">
        <v>60</v>
      </c>
      <c r="G23" s="688"/>
      <c r="H23" s="689"/>
      <c r="I23" s="420" t="str">
        <f t="shared" si="1"/>
        <v/>
      </c>
      <c r="J23" s="690"/>
      <c r="K23" s="240" t="str">
        <f t="shared" si="2"/>
        <v/>
      </c>
      <c r="L23" s="690"/>
      <c r="M23" s="240" t="str">
        <f t="shared" si="3"/>
        <v/>
      </c>
      <c r="N23" s="241"/>
      <c r="O23" s="228"/>
      <c r="P23" s="229"/>
      <c r="Q23" s="228"/>
      <c r="R23" s="229"/>
      <c r="S23" s="667"/>
      <c r="T23" s="668"/>
      <c r="U23" s="667"/>
      <c r="V23" s="669"/>
      <c r="W23" s="205" t="s">
        <v>206</v>
      </c>
      <c r="AB23" s="2" t="str">
        <f t="shared" si="5"/>
        <v/>
      </c>
    </row>
    <row r="24" spans="1:28" ht="15" customHeight="1" x14ac:dyDescent="0.3">
      <c r="A24" s="20" t="str">
        <f t="shared" si="0"/>
        <v/>
      </c>
      <c r="B24" s="773"/>
      <c r="C24" s="775"/>
      <c r="D24" s="767"/>
      <c r="E24" s="577" t="s">
        <v>193</v>
      </c>
      <c r="F24" s="237" t="s">
        <v>60</v>
      </c>
      <c r="G24" s="688"/>
      <c r="H24" s="689"/>
      <c r="I24" s="420" t="str">
        <f t="shared" si="1"/>
        <v/>
      </c>
      <c r="J24" s="690"/>
      <c r="K24" s="240" t="str">
        <f t="shared" si="2"/>
        <v/>
      </c>
      <c r="L24" s="690"/>
      <c r="M24" s="240" t="str">
        <f t="shared" si="3"/>
        <v/>
      </c>
      <c r="N24" s="241"/>
      <c r="O24" s="228"/>
      <c r="P24" s="229"/>
      <c r="Q24" s="228"/>
      <c r="R24" s="229"/>
      <c r="S24" s="667"/>
      <c r="T24" s="668"/>
      <c r="U24" s="667"/>
      <c r="V24" s="669"/>
      <c r="W24" s="205" t="s">
        <v>206</v>
      </c>
      <c r="AB24" s="2" t="str">
        <f t="shared" si="5"/>
        <v/>
      </c>
    </row>
    <row r="25" spans="1:28" ht="15" customHeight="1" x14ac:dyDescent="0.3">
      <c r="A25" s="20" t="str">
        <f t="shared" si="0"/>
        <v/>
      </c>
      <c r="B25" s="773"/>
      <c r="C25" s="775"/>
      <c r="D25" s="767"/>
      <c r="E25" s="577" t="s">
        <v>194</v>
      </c>
      <c r="F25" s="237" t="s">
        <v>60</v>
      </c>
      <c r="G25" s="688"/>
      <c r="H25" s="689"/>
      <c r="I25" s="420" t="str">
        <f t="shared" si="1"/>
        <v/>
      </c>
      <c r="J25" s="690"/>
      <c r="K25" s="240" t="str">
        <f t="shared" si="2"/>
        <v/>
      </c>
      <c r="L25" s="690"/>
      <c r="M25" s="240" t="str">
        <f t="shared" si="3"/>
        <v/>
      </c>
      <c r="N25" s="241"/>
      <c r="O25" s="228"/>
      <c r="P25" s="229"/>
      <c r="Q25" s="228"/>
      <c r="R25" s="229"/>
      <c r="S25" s="667"/>
      <c r="T25" s="668"/>
      <c r="U25" s="667"/>
      <c r="V25" s="669"/>
      <c r="W25" s="205" t="s">
        <v>206</v>
      </c>
      <c r="AB25" s="2" t="str">
        <f t="shared" si="5"/>
        <v/>
      </c>
    </row>
    <row r="26" spans="1:28" ht="15" customHeight="1" x14ac:dyDescent="0.3">
      <c r="A26" s="20" t="str">
        <f t="shared" si="0"/>
        <v/>
      </c>
      <c r="B26" s="773"/>
      <c r="C26" s="775"/>
      <c r="D26" s="767"/>
      <c r="E26" s="577" t="s">
        <v>195</v>
      </c>
      <c r="F26" s="237" t="s">
        <v>60</v>
      </c>
      <c r="G26" s="688"/>
      <c r="H26" s="689"/>
      <c r="I26" s="420" t="str">
        <f t="shared" si="1"/>
        <v/>
      </c>
      <c r="J26" s="690"/>
      <c r="K26" s="240" t="str">
        <f t="shared" si="2"/>
        <v/>
      </c>
      <c r="L26" s="690"/>
      <c r="M26" s="240" t="str">
        <f t="shared" si="3"/>
        <v/>
      </c>
      <c r="N26" s="241"/>
      <c r="O26" s="228"/>
      <c r="P26" s="229"/>
      <c r="Q26" s="228"/>
      <c r="R26" s="229"/>
      <c r="S26" s="667"/>
      <c r="T26" s="668"/>
      <c r="U26" s="667"/>
      <c r="V26" s="669"/>
      <c r="W26" s="205" t="s">
        <v>206</v>
      </c>
      <c r="AB26" s="2" t="str">
        <f t="shared" si="5"/>
        <v/>
      </c>
    </row>
    <row r="27" spans="1:28" ht="15" customHeight="1" x14ac:dyDescent="0.3">
      <c r="A27" s="20" t="str">
        <f t="shared" si="0"/>
        <v/>
      </c>
      <c r="B27" s="773"/>
      <c r="C27" s="775"/>
      <c r="D27" s="767"/>
      <c r="E27" s="577" t="s">
        <v>196</v>
      </c>
      <c r="F27" s="237" t="s">
        <v>60</v>
      </c>
      <c r="G27" s="688"/>
      <c r="H27" s="689"/>
      <c r="I27" s="420" t="str">
        <f t="shared" si="1"/>
        <v/>
      </c>
      <c r="J27" s="690"/>
      <c r="K27" s="240" t="str">
        <f t="shared" si="2"/>
        <v/>
      </c>
      <c r="L27" s="690"/>
      <c r="M27" s="240" t="str">
        <f t="shared" si="3"/>
        <v/>
      </c>
      <c r="N27" s="241"/>
      <c r="O27" s="228"/>
      <c r="P27" s="229"/>
      <c r="Q27" s="228"/>
      <c r="R27" s="229"/>
      <c r="S27" s="667"/>
      <c r="T27" s="668"/>
      <c r="U27" s="667"/>
      <c r="V27" s="669"/>
      <c r="W27" s="205" t="s">
        <v>206</v>
      </c>
      <c r="AB27" s="2" t="str">
        <f t="shared" si="5"/>
        <v/>
      </c>
    </row>
    <row r="28" spans="1:28" ht="15" customHeight="1" x14ac:dyDescent="0.3">
      <c r="A28" s="20" t="str">
        <f t="shared" si="0"/>
        <v/>
      </c>
      <c r="B28" s="773"/>
      <c r="C28" s="775"/>
      <c r="D28" s="767"/>
      <c r="E28" s="577" t="s">
        <v>197</v>
      </c>
      <c r="F28" s="237" t="s">
        <v>62</v>
      </c>
      <c r="G28" s="238"/>
      <c r="H28" s="239"/>
      <c r="I28" s="420" t="str">
        <f t="shared" si="1"/>
        <v/>
      </c>
      <c r="J28" s="241"/>
      <c r="K28" s="240" t="str">
        <f t="shared" si="2"/>
        <v/>
      </c>
      <c r="L28" s="241"/>
      <c r="M28" s="240" t="str">
        <f t="shared" si="3"/>
        <v/>
      </c>
      <c r="N28" s="241"/>
      <c r="O28" s="228"/>
      <c r="P28" s="229"/>
      <c r="Q28" s="228"/>
      <c r="R28" s="229"/>
      <c r="S28" s="287"/>
      <c r="T28" s="288"/>
      <c r="U28" s="287"/>
      <c r="V28" s="289"/>
      <c r="W28" s="205" t="s">
        <v>206</v>
      </c>
      <c r="AB28" s="2" t="str">
        <f t="shared" si="5"/>
        <v/>
      </c>
    </row>
    <row r="29" spans="1:28" ht="15" customHeight="1" x14ac:dyDescent="0.3">
      <c r="A29" s="20" t="str">
        <f t="shared" si="0"/>
        <v/>
      </c>
      <c r="B29" s="773"/>
      <c r="C29" s="775"/>
      <c r="D29" s="767"/>
      <c r="E29" s="727" t="s">
        <v>166</v>
      </c>
      <c r="F29" s="237"/>
      <c r="G29" s="238"/>
      <c r="H29" s="239"/>
      <c r="I29" s="686"/>
      <c r="J29" s="241"/>
      <c r="K29" s="240"/>
      <c r="L29" s="241"/>
      <c r="M29" s="240"/>
      <c r="N29" s="241"/>
      <c r="O29" s="228"/>
      <c r="P29" s="229"/>
      <c r="Q29" s="228"/>
      <c r="R29" s="229"/>
      <c r="S29" s="667"/>
      <c r="T29" s="668"/>
      <c r="U29" s="667"/>
      <c r="V29" s="669"/>
      <c r="W29" s="205"/>
    </row>
    <row r="30" spans="1:28" ht="15" customHeight="1" x14ac:dyDescent="0.3">
      <c r="A30" s="20" t="str">
        <f t="shared" si="0"/>
        <v/>
      </c>
      <c r="B30" s="773"/>
      <c r="C30" s="775"/>
      <c r="D30" s="767"/>
      <c r="E30" s="727" t="s">
        <v>166</v>
      </c>
      <c r="F30" s="237"/>
      <c r="G30" s="238"/>
      <c r="H30" s="239"/>
      <c r="I30" s="686"/>
      <c r="J30" s="241"/>
      <c r="K30" s="240"/>
      <c r="L30" s="241"/>
      <c r="M30" s="240"/>
      <c r="N30" s="241"/>
      <c r="O30" s="228"/>
      <c r="P30" s="229"/>
      <c r="Q30" s="228"/>
      <c r="R30" s="229"/>
      <c r="S30" s="667"/>
      <c r="T30" s="668"/>
      <c r="U30" s="667"/>
      <c r="V30" s="669"/>
      <c r="W30" s="205"/>
    </row>
    <row r="31" spans="1:28" ht="15" customHeight="1" x14ac:dyDescent="0.3">
      <c r="A31" s="20" t="str">
        <f t="shared" si="0"/>
        <v/>
      </c>
      <c r="B31" s="773"/>
      <c r="C31" s="775"/>
      <c r="D31" s="767"/>
      <c r="E31" s="727" t="s">
        <v>166</v>
      </c>
      <c r="F31" s="237"/>
      <c r="G31" s="238"/>
      <c r="H31" s="239"/>
      <c r="I31" s="686"/>
      <c r="J31" s="241"/>
      <c r="K31" s="240"/>
      <c r="L31" s="241"/>
      <c r="M31" s="240"/>
      <c r="N31" s="241"/>
      <c r="O31" s="228"/>
      <c r="P31" s="229"/>
      <c r="Q31" s="228"/>
      <c r="R31" s="229"/>
      <c r="S31" s="667"/>
      <c r="T31" s="668"/>
      <c r="U31" s="667"/>
      <c r="V31" s="669"/>
      <c r="W31" s="205"/>
    </row>
    <row r="32" spans="1:28" ht="15" customHeight="1" x14ac:dyDescent="0.3">
      <c r="A32" s="20" t="str">
        <f t="shared" si="0"/>
        <v/>
      </c>
      <c r="B32" s="773"/>
      <c r="C32" s="775"/>
      <c r="D32" s="767"/>
      <c r="E32" s="727" t="s">
        <v>166</v>
      </c>
      <c r="F32" s="237"/>
      <c r="G32" s="238"/>
      <c r="H32" s="239"/>
      <c r="I32" s="686"/>
      <c r="J32" s="241"/>
      <c r="K32" s="240"/>
      <c r="L32" s="241"/>
      <c r="M32" s="240"/>
      <c r="N32" s="241"/>
      <c r="O32" s="228"/>
      <c r="P32" s="229"/>
      <c r="Q32" s="228"/>
      <c r="R32" s="229"/>
      <c r="S32" s="667"/>
      <c r="T32" s="668"/>
      <c r="U32" s="667"/>
      <c r="V32" s="669"/>
      <c r="W32" s="205"/>
    </row>
    <row r="33" spans="1:28" ht="15" customHeight="1" x14ac:dyDescent="0.3">
      <c r="A33" s="20" t="str">
        <f t="shared" si="0"/>
        <v/>
      </c>
      <c r="B33" s="773"/>
      <c r="C33" s="775"/>
      <c r="D33" s="767"/>
      <c r="E33" s="728" t="s">
        <v>166</v>
      </c>
      <c r="F33" s="242"/>
      <c r="G33" s="243"/>
      <c r="H33" s="244"/>
      <c r="I33" s="687"/>
      <c r="J33" s="246"/>
      <c r="K33" s="245"/>
      <c r="L33" s="246"/>
      <c r="M33" s="245"/>
      <c r="N33" s="246"/>
      <c r="O33" s="230"/>
      <c r="P33" s="231"/>
      <c r="Q33" s="230"/>
      <c r="R33" s="231"/>
      <c r="S33" s="670"/>
      <c r="T33" s="671"/>
      <c r="U33" s="670"/>
      <c r="V33" s="672"/>
      <c r="W33" s="205"/>
    </row>
    <row r="34" spans="1:28" ht="15.6" x14ac:dyDescent="0.3">
      <c r="A34" s="20" t="str">
        <f t="shared" si="0"/>
        <v>S</v>
      </c>
      <c r="B34" s="773"/>
      <c r="C34" s="776"/>
      <c r="D34" s="309" t="s">
        <v>138</v>
      </c>
      <c r="E34" s="717"/>
      <c r="F34" s="16"/>
      <c r="G34" s="7">
        <f>SUM(G13:G33)</f>
        <v>0</v>
      </c>
      <c r="H34" s="8">
        <f>SUM(H13:H33)</f>
        <v>0</v>
      </c>
      <c r="I34" s="9" t="e">
        <f t="shared" si="1"/>
        <v>#DIV/0!</v>
      </c>
      <c r="J34" s="202">
        <f>SUM(J13:J33)</f>
        <v>0</v>
      </c>
      <c r="K34" s="9" t="e">
        <f t="shared" si="2"/>
        <v>#DIV/0!</v>
      </c>
      <c r="L34" s="202">
        <f>SUM(L13:L33)</f>
        <v>0</v>
      </c>
      <c r="M34" s="9" t="e">
        <f t="shared" si="3"/>
        <v>#DIV/0!</v>
      </c>
      <c r="N34" s="202">
        <f t="shared" ref="N34:V34" si="18">SUM(N13:N33)</f>
        <v>0</v>
      </c>
      <c r="O34" s="118">
        <f t="shared" si="18"/>
        <v>0</v>
      </c>
      <c r="P34" s="119">
        <f t="shared" si="18"/>
        <v>0</v>
      </c>
      <c r="Q34" s="118">
        <f t="shared" si="18"/>
        <v>0</v>
      </c>
      <c r="R34" s="119">
        <f t="shared" si="18"/>
        <v>0</v>
      </c>
      <c r="S34" s="118">
        <f t="shared" si="18"/>
        <v>0</v>
      </c>
      <c r="T34" s="119">
        <f t="shared" si="18"/>
        <v>0</v>
      </c>
      <c r="U34" s="118">
        <f t="shared" si="18"/>
        <v>0</v>
      </c>
      <c r="V34" s="120">
        <f t="shared" si="18"/>
        <v>0</v>
      </c>
      <c r="W34" s="205" t="s">
        <v>206</v>
      </c>
      <c r="AB34" s="2">
        <f t="shared" si="5"/>
        <v>0</v>
      </c>
    </row>
    <row r="35" spans="1:28" ht="15" customHeight="1" x14ac:dyDescent="0.3">
      <c r="A35" s="20" t="str">
        <f t="shared" si="0"/>
        <v/>
      </c>
      <c r="B35" s="773" t="s">
        <v>82</v>
      </c>
      <c r="C35" s="775" t="s">
        <v>75</v>
      </c>
      <c r="D35" s="767">
        <v>11</v>
      </c>
      <c r="E35" s="719" t="s">
        <v>13</v>
      </c>
      <c r="F35" s="232" t="s">
        <v>60</v>
      </c>
      <c r="G35" s="702"/>
      <c r="H35" s="703"/>
      <c r="I35" s="411" t="str">
        <f t="shared" si="1"/>
        <v/>
      </c>
      <c r="J35" s="704"/>
      <c r="K35" s="235" t="str">
        <f t="shared" si="2"/>
        <v/>
      </c>
      <c r="L35" s="704"/>
      <c r="M35" s="235" t="str">
        <f t="shared" si="3"/>
        <v/>
      </c>
      <c r="N35" s="236"/>
      <c r="O35" s="226"/>
      <c r="P35" s="227"/>
      <c r="Q35" s="226"/>
      <c r="R35" s="227"/>
      <c r="S35" s="664" t="s">
        <v>21</v>
      </c>
      <c r="T35" s="665" t="s">
        <v>21</v>
      </c>
      <c r="U35" s="664" t="s">
        <v>21</v>
      </c>
      <c r="V35" s="666" t="s">
        <v>21</v>
      </c>
      <c r="W35" s="205" t="s">
        <v>206</v>
      </c>
      <c r="AB35" s="2" t="str">
        <f t="shared" si="5"/>
        <v/>
      </c>
    </row>
    <row r="36" spans="1:28" ht="15" customHeight="1" x14ac:dyDescent="0.3">
      <c r="A36" s="20" t="str">
        <f t="shared" si="0"/>
        <v/>
      </c>
      <c r="B36" s="773"/>
      <c r="C36" s="775"/>
      <c r="D36" s="767"/>
      <c r="E36" s="577" t="s">
        <v>14</v>
      </c>
      <c r="F36" s="237" t="s">
        <v>60</v>
      </c>
      <c r="G36" s="688"/>
      <c r="H36" s="689"/>
      <c r="I36" s="420" t="str">
        <f t="shared" si="1"/>
        <v/>
      </c>
      <c r="J36" s="690"/>
      <c r="K36" s="240" t="str">
        <f t="shared" si="2"/>
        <v/>
      </c>
      <c r="L36" s="690"/>
      <c r="M36" s="240" t="str">
        <f t="shared" si="3"/>
        <v/>
      </c>
      <c r="N36" s="241"/>
      <c r="O36" s="228"/>
      <c r="P36" s="229"/>
      <c r="Q36" s="228"/>
      <c r="R36" s="229"/>
      <c r="S36" s="667" t="s">
        <v>21</v>
      </c>
      <c r="T36" s="668" t="s">
        <v>21</v>
      </c>
      <c r="U36" s="667" t="s">
        <v>21</v>
      </c>
      <c r="V36" s="669" t="s">
        <v>21</v>
      </c>
      <c r="W36" s="205" t="s">
        <v>206</v>
      </c>
      <c r="AB36" s="2" t="str">
        <f t="shared" si="5"/>
        <v/>
      </c>
    </row>
    <row r="37" spans="1:28" ht="15" customHeight="1" x14ac:dyDescent="0.3">
      <c r="A37" s="20" t="str">
        <f t="shared" si="0"/>
        <v/>
      </c>
      <c r="B37" s="773"/>
      <c r="C37" s="775"/>
      <c r="D37" s="767"/>
      <c r="E37" s="577" t="s">
        <v>15</v>
      </c>
      <c r="F37" s="237" t="s">
        <v>60</v>
      </c>
      <c r="G37" s="688"/>
      <c r="H37" s="689"/>
      <c r="I37" s="420" t="str">
        <f t="shared" si="1"/>
        <v/>
      </c>
      <c r="J37" s="690"/>
      <c r="K37" s="240" t="str">
        <f t="shared" si="2"/>
        <v/>
      </c>
      <c r="L37" s="690"/>
      <c r="M37" s="240" t="str">
        <f t="shared" si="3"/>
        <v/>
      </c>
      <c r="N37" s="241"/>
      <c r="O37" s="228"/>
      <c r="P37" s="229"/>
      <c r="Q37" s="228"/>
      <c r="R37" s="229"/>
      <c r="S37" s="667" t="s">
        <v>21</v>
      </c>
      <c r="T37" s="668" t="s">
        <v>21</v>
      </c>
      <c r="U37" s="667" t="s">
        <v>21</v>
      </c>
      <c r="V37" s="669" t="s">
        <v>21</v>
      </c>
      <c r="W37" s="205" t="s">
        <v>206</v>
      </c>
      <c r="AB37" s="2" t="str">
        <f t="shared" si="5"/>
        <v/>
      </c>
    </row>
    <row r="38" spans="1:28" ht="15" customHeight="1" x14ac:dyDescent="0.3">
      <c r="A38" s="20" t="str">
        <f t="shared" si="0"/>
        <v/>
      </c>
      <c r="B38" s="773"/>
      <c r="C38" s="775"/>
      <c r="D38" s="767"/>
      <c r="E38" s="577" t="s">
        <v>141</v>
      </c>
      <c r="F38" s="237" t="s">
        <v>60</v>
      </c>
      <c r="G38" s="688"/>
      <c r="H38" s="689"/>
      <c r="I38" s="420" t="str">
        <f t="shared" si="1"/>
        <v/>
      </c>
      <c r="J38" s="690"/>
      <c r="K38" s="240" t="str">
        <f t="shared" si="2"/>
        <v/>
      </c>
      <c r="L38" s="690"/>
      <c r="M38" s="240" t="str">
        <f t="shared" si="3"/>
        <v/>
      </c>
      <c r="N38" s="241"/>
      <c r="O38" s="228"/>
      <c r="P38" s="229"/>
      <c r="Q38" s="228"/>
      <c r="R38" s="229"/>
      <c r="S38" s="667" t="s">
        <v>21</v>
      </c>
      <c r="T38" s="668" t="s">
        <v>21</v>
      </c>
      <c r="U38" s="667" t="s">
        <v>21</v>
      </c>
      <c r="V38" s="669" t="s">
        <v>21</v>
      </c>
      <c r="W38" s="205" t="s">
        <v>206</v>
      </c>
      <c r="AB38" s="2" t="str">
        <f t="shared" si="5"/>
        <v/>
      </c>
    </row>
    <row r="39" spans="1:28" ht="15" customHeight="1" x14ac:dyDescent="0.3">
      <c r="A39" s="20" t="str">
        <f t="shared" si="0"/>
        <v/>
      </c>
      <c r="B39" s="773"/>
      <c r="C39" s="775"/>
      <c r="D39" s="767"/>
      <c r="E39" s="577" t="s">
        <v>16</v>
      </c>
      <c r="F39" s="237" t="s">
        <v>60</v>
      </c>
      <c r="G39" s="688"/>
      <c r="H39" s="689"/>
      <c r="I39" s="420" t="str">
        <f t="shared" si="1"/>
        <v/>
      </c>
      <c r="J39" s="690"/>
      <c r="K39" s="240" t="str">
        <f t="shared" si="2"/>
        <v/>
      </c>
      <c r="L39" s="690"/>
      <c r="M39" s="240" t="str">
        <f t="shared" si="3"/>
        <v/>
      </c>
      <c r="N39" s="241"/>
      <c r="O39" s="228"/>
      <c r="P39" s="229"/>
      <c r="Q39" s="228"/>
      <c r="R39" s="229"/>
      <c r="S39" s="667" t="s">
        <v>21</v>
      </c>
      <c r="T39" s="668" t="s">
        <v>21</v>
      </c>
      <c r="U39" s="667" t="s">
        <v>21</v>
      </c>
      <c r="V39" s="669" t="s">
        <v>21</v>
      </c>
      <c r="W39" s="205" t="s">
        <v>206</v>
      </c>
      <c r="AB39" s="2" t="str">
        <f t="shared" si="5"/>
        <v/>
      </c>
    </row>
    <row r="40" spans="1:28" ht="15" customHeight="1" x14ac:dyDescent="0.3">
      <c r="A40" s="20" t="str">
        <f t="shared" si="0"/>
        <v/>
      </c>
      <c r="B40" s="773"/>
      <c r="C40" s="775"/>
      <c r="D40" s="767"/>
      <c r="E40" s="577" t="s">
        <v>17</v>
      </c>
      <c r="F40" s="237" t="s">
        <v>60</v>
      </c>
      <c r="G40" s="688"/>
      <c r="H40" s="689"/>
      <c r="I40" s="420" t="str">
        <f t="shared" si="1"/>
        <v/>
      </c>
      <c r="J40" s="690"/>
      <c r="K40" s="240" t="str">
        <f t="shared" si="2"/>
        <v/>
      </c>
      <c r="L40" s="690"/>
      <c r="M40" s="240" t="str">
        <f t="shared" si="3"/>
        <v/>
      </c>
      <c r="N40" s="241"/>
      <c r="O40" s="228"/>
      <c r="P40" s="229"/>
      <c r="Q40" s="228"/>
      <c r="R40" s="229"/>
      <c r="S40" s="667" t="s">
        <v>21</v>
      </c>
      <c r="T40" s="668" t="s">
        <v>21</v>
      </c>
      <c r="U40" s="667" t="s">
        <v>21</v>
      </c>
      <c r="V40" s="669" t="s">
        <v>21</v>
      </c>
      <c r="W40" s="205" t="s">
        <v>206</v>
      </c>
      <c r="AB40" s="2" t="str">
        <f t="shared" si="5"/>
        <v/>
      </c>
    </row>
    <row r="41" spans="1:28" ht="15" customHeight="1" x14ac:dyDescent="0.3">
      <c r="A41" s="20" t="str">
        <f t="shared" si="0"/>
        <v/>
      </c>
      <c r="B41" s="773"/>
      <c r="C41" s="775"/>
      <c r="D41" s="767"/>
      <c r="E41" s="577" t="s">
        <v>18</v>
      </c>
      <c r="F41" s="237" t="s">
        <v>60</v>
      </c>
      <c r="G41" s="688"/>
      <c r="H41" s="689"/>
      <c r="I41" s="420" t="str">
        <f t="shared" si="1"/>
        <v/>
      </c>
      <c r="J41" s="690"/>
      <c r="K41" s="240" t="str">
        <f t="shared" si="2"/>
        <v/>
      </c>
      <c r="L41" s="690"/>
      <c r="M41" s="240" t="str">
        <f t="shared" si="3"/>
        <v/>
      </c>
      <c r="N41" s="241"/>
      <c r="O41" s="228"/>
      <c r="P41" s="229"/>
      <c r="Q41" s="228"/>
      <c r="R41" s="229"/>
      <c r="S41" s="667" t="s">
        <v>21</v>
      </c>
      <c r="T41" s="668" t="s">
        <v>21</v>
      </c>
      <c r="U41" s="667" t="s">
        <v>21</v>
      </c>
      <c r="V41" s="669" t="s">
        <v>21</v>
      </c>
      <c r="W41" s="205" t="s">
        <v>206</v>
      </c>
      <c r="AB41" s="2" t="str">
        <f t="shared" si="5"/>
        <v/>
      </c>
    </row>
    <row r="42" spans="1:28" ht="15" customHeight="1" x14ac:dyDescent="0.3">
      <c r="A42" s="20" t="str">
        <f t="shared" si="0"/>
        <v/>
      </c>
      <c r="B42" s="773"/>
      <c r="C42" s="775"/>
      <c r="D42" s="767"/>
      <c r="E42" s="577" t="s">
        <v>19</v>
      </c>
      <c r="F42" s="237" t="s">
        <v>60</v>
      </c>
      <c r="G42" s="688"/>
      <c r="H42" s="689"/>
      <c r="I42" s="420" t="str">
        <f t="shared" si="1"/>
        <v/>
      </c>
      <c r="J42" s="690"/>
      <c r="K42" s="240" t="str">
        <f t="shared" si="2"/>
        <v/>
      </c>
      <c r="L42" s="690"/>
      <c r="M42" s="240" t="str">
        <f t="shared" si="3"/>
        <v/>
      </c>
      <c r="N42" s="241"/>
      <c r="O42" s="228"/>
      <c r="P42" s="229"/>
      <c r="Q42" s="228"/>
      <c r="R42" s="229"/>
      <c r="S42" s="667" t="s">
        <v>21</v>
      </c>
      <c r="T42" s="668" t="s">
        <v>21</v>
      </c>
      <c r="U42" s="667" t="s">
        <v>21</v>
      </c>
      <c r="V42" s="669" t="s">
        <v>21</v>
      </c>
      <c r="W42" s="205" t="s">
        <v>206</v>
      </c>
      <c r="AB42" s="2" t="str">
        <f t="shared" si="5"/>
        <v/>
      </c>
    </row>
    <row r="43" spans="1:28" ht="15" customHeight="1" x14ac:dyDescent="0.3">
      <c r="A43" s="20" t="str">
        <f t="shared" si="0"/>
        <v/>
      </c>
      <c r="B43" s="773"/>
      <c r="C43" s="775"/>
      <c r="D43" s="767"/>
      <c r="E43" s="577" t="s">
        <v>169</v>
      </c>
      <c r="F43" s="237" t="s">
        <v>60</v>
      </c>
      <c r="G43" s="688"/>
      <c r="H43" s="689"/>
      <c r="I43" s="420" t="str">
        <f t="shared" si="1"/>
        <v/>
      </c>
      <c r="J43" s="690"/>
      <c r="K43" s="240" t="str">
        <f t="shared" si="2"/>
        <v/>
      </c>
      <c r="L43" s="690"/>
      <c r="M43" s="240" t="str">
        <f t="shared" si="3"/>
        <v/>
      </c>
      <c r="N43" s="241"/>
      <c r="O43" s="228"/>
      <c r="P43" s="229"/>
      <c r="Q43" s="228"/>
      <c r="R43" s="229"/>
      <c r="S43" s="667" t="s">
        <v>21</v>
      </c>
      <c r="T43" s="668" t="s">
        <v>21</v>
      </c>
      <c r="U43" s="667" t="s">
        <v>21</v>
      </c>
      <c r="V43" s="669" t="s">
        <v>21</v>
      </c>
      <c r="W43" s="205" t="s">
        <v>206</v>
      </c>
      <c r="AB43" s="2" t="str">
        <f t="shared" si="5"/>
        <v/>
      </c>
    </row>
    <row r="44" spans="1:28" ht="15" customHeight="1" x14ac:dyDescent="0.3">
      <c r="A44" s="20" t="str">
        <f t="shared" si="0"/>
        <v/>
      </c>
      <c r="B44" s="773"/>
      <c r="C44" s="775"/>
      <c r="D44" s="767"/>
      <c r="E44" s="577" t="s">
        <v>170</v>
      </c>
      <c r="F44" s="237" t="s">
        <v>60</v>
      </c>
      <c r="G44" s="688"/>
      <c r="H44" s="689"/>
      <c r="I44" s="420" t="str">
        <f t="shared" si="1"/>
        <v/>
      </c>
      <c r="J44" s="690"/>
      <c r="K44" s="240" t="str">
        <f t="shared" si="2"/>
        <v/>
      </c>
      <c r="L44" s="690"/>
      <c r="M44" s="240" t="str">
        <f t="shared" si="3"/>
        <v/>
      </c>
      <c r="N44" s="241"/>
      <c r="O44" s="228"/>
      <c r="P44" s="229"/>
      <c r="Q44" s="228"/>
      <c r="R44" s="229"/>
      <c r="S44" s="667" t="s">
        <v>21</v>
      </c>
      <c r="T44" s="668" t="s">
        <v>21</v>
      </c>
      <c r="U44" s="667" t="s">
        <v>21</v>
      </c>
      <c r="V44" s="669" t="s">
        <v>21</v>
      </c>
      <c r="W44" s="205" t="s">
        <v>206</v>
      </c>
      <c r="AB44" s="2" t="str">
        <f t="shared" si="5"/>
        <v/>
      </c>
    </row>
    <row r="45" spans="1:28" ht="15" customHeight="1" x14ac:dyDescent="0.3">
      <c r="A45" s="20" t="str">
        <f t="shared" si="0"/>
        <v/>
      </c>
      <c r="B45" s="773"/>
      <c r="C45" s="775"/>
      <c r="D45" s="767"/>
      <c r="E45" s="577" t="s">
        <v>5</v>
      </c>
      <c r="F45" s="237" t="s">
        <v>60</v>
      </c>
      <c r="G45" s="238"/>
      <c r="H45" s="239"/>
      <c r="I45" s="420" t="str">
        <f t="shared" si="1"/>
        <v/>
      </c>
      <c r="J45" s="241"/>
      <c r="K45" s="240" t="str">
        <f t="shared" si="2"/>
        <v/>
      </c>
      <c r="L45" s="241"/>
      <c r="M45" s="240" t="str">
        <f t="shared" si="3"/>
        <v/>
      </c>
      <c r="N45" s="241"/>
      <c r="O45" s="228"/>
      <c r="P45" s="229"/>
      <c r="Q45" s="228"/>
      <c r="R45" s="229"/>
      <c r="S45" s="667" t="s">
        <v>21</v>
      </c>
      <c r="T45" s="668" t="s">
        <v>21</v>
      </c>
      <c r="U45" s="667" t="s">
        <v>21</v>
      </c>
      <c r="V45" s="669" t="s">
        <v>21</v>
      </c>
      <c r="W45" s="205" t="s">
        <v>206</v>
      </c>
      <c r="AB45" s="2" t="str">
        <f t="shared" si="5"/>
        <v/>
      </c>
    </row>
    <row r="46" spans="1:28" ht="15" customHeight="1" x14ac:dyDescent="0.3">
      <c r="A46" s="20" t="str">
        <f t="shared" si="0"/>
        <v/>
      </c>
      <c r="B46" s="773"/>
      <c r="C46" s="775"/>
      <c r="D46" s="767"/>
      <c r="E46" s="727" t="s">
        <v>166</v>
      </c>
      <c r="F46" s="237"/>
      <c r="G46" s="238"/>
      <c r="H46" s="239"/>
      <c r="I46" s="686"/>
      <c r="J46" s="241"/>
      <c r="K46" s="240"/>
      <c r="L46" s="241"/>
      <c r="M46" s="240"/>
      <c r="N46" s="241"/>
      <c r="O46" s="228"/>
      <c r="P46" s="229"/>
      <c r="Q46" s="228"/>
      <c r="R46" s="229"/>
      <c r="S46" s="667" t="s">
        <v>21</v>
      </c>
      <c r="T46" s="668" t="s">
        <v>21</v>
      </c>
      <c r="U46" s="667" t="s">
        <v>21</v>
      </c>
      <c r="V46" s="669" t="s">
        <v>21</v>
      </c>
      <c r="W46" s="205"/>
    </row>
    <row r="47" spans="1:28" ht="15" customHeight="1" x14ac:dyDescent="0.3">
      <c r="A47" s="20" t="str">
        <f t="shared" si="0"/>
        <v/>
      </c>
      <c r="B47" s="773"/>
      <c r="C47" s="775"/>
      <c r="D47" s="767"/>
      <c r="E47" s="727" t="s">
        <v>166</v>
      </c>
      <c r="F47" s="237"/>
      <c r="G47" s="238"/>
      <c r="H47" s="239"/>
      <c r="I47" s="686"/>
      <c r="J47" s="241"/>
      <c r="K47" s="240"/>
      <c r="L47" s="241"/>
      <c r="M47" s="240"/>
      <c r="N47" s="241"/>
      <c r="O47" s="228"/>
      <c r="P47" s="229"/>
      <c r="Q47" s="228"/>
      <c r="R47" s="229"/>
      <c r="S47" s="667" t="s">
        <v>21</v>
      </c>
      <c r="T47" s="668" t="s">
        <v>21</v>
      </c>
      <c r="U47" s="667" t="s">
        <v>21</v>
      </c>
      <c r="V47" s="669" t="s">
        <v>21</v>
      </c>
      <c r="W47" s="205"/>
    </row>
    <row r="48" spans="1:28" ht="15" customHeight="1" x14ac:dyDescent="0.3">
      <c r="A48" s="20" t="str">
        <f t="shared" si="0"/>
        <v/>
      </c>
      <c r="B48" s="773"/>
      <c r="C48" s="775"/>
      <c r="D48" s="767"/>
      <c r="E48" s="728" t="s">
        <v>166</v>
      </c>
      <c r="F48" s="242"/>
      <c r="G48" s="243"/>
      <c r="H48" s="244"/>
      <c r="I48" s="687"/>
      <c r="J48" s="246"/>
      <c r="K48" s="245"/>
      <c r="L48" s="246"/>
      <c r="M48" s="245"/>
      <c r="N48" s="246"/>
      <c r="O48" s="230"/>
      <c r="P48" s="231"/>
      <c r="Q48" s="230"/>
      <c r="R48" s="231"/>
      <c r="S48" s="670" t="s">
        <v>21</v>
      </c>
      <c r="T48" s="671" t="s">
        <v>21</v>
      </c>
      <c r="U48" s="670" t="s">
        <v>21</v>
      </c>
      <c r="V48" s="672" t="s">
        <v>21</v>
      </c>
      <c r="W48" s="205"/>
    </row>
    <row r="49" spans="1:28" ht="15.6" x14ac:dyDescent="0.3">
      <c r="A49" s="20" t="str">
        <f t="shared" si="0"/>
        <v>S</v>
      </c>
      <c r="B49" s="773"/>
      <c r="C49" s="776"/>
      <c r="D49" s="309" t="s">
        <v>138</v>
      </c>
      <c r="E49" s="717"/>
      <c r="F49" s="16"/>
      <c r="G49" s="7">
        <f>SUM(G35:G48)</f>
        <v>0</v>
      </c>
      <c r="H49" s="8">
        <f>SUM(H35:H48)</f>
        <v>0</v>
      </c>
      <c r="I49" s="9" t="e">
        <f>J49/G49</f>
        <v>#DIV/0!</v>
      </c>
      <c r="J49" s="202">
        <f>SUM(J35:J48)</f>
        <v>0</v>
      </c>
      <c r="K49" s="9" t="e">
        <f t="shared" si="2"/>
        <v>#DIV/0!</v>
      </c>
      <c r="L49" s="202">
        <f>SUM(L35:L48)</f>
        <v>0</v>
      </c>
      <c r="M49" s="9" t="e">
        <f t="shared" si="3"/>
        <v>#DIV/0!</v>
      </c>
      <c r="N49" s="202">
        <f t="shared" ref="N49:V49" si="19">SUM(N35:N48)</f>
        <v>0</v>
      </c>
      <c r="O49" s="118">
        <f t="shared" si="19"/>
        <v>0</v>
      </c>
      <c r="P49" s="119">
        <f t="shared" si="19"/>
        <v>0</v>
      </c>
      <c r="Q49" s="118">
        <f t="shared" si="19"/>
        <v>0</v>
      </c>
      <c r="R49" s="119">
        <f t="shared" si="19"/>
        <v>0</v>
      </c>
      <c r="S49" s="118">
        <f t="shared" si="19"/>
        <v>0</v>
      </c>
      <c r="T49" s="119">
        <f t="shared" si="19"/>
        <v>0</v>
      </c>
      <c r="U49" s="118">
        <f t="shared" si="19"/>
        <v>0</v>
      </c>
      <c r="V49" s="120">
        <f t="shared" si="19"/>
        <v>0</v>
      </c>
      <c r="W49" s="205" t="s">
        <v>206</v>
      </c>
      <c r="AB49" s="2">
        <f t="shared" si="5"/>
        <v>0</v>
      </c>
    </row>
    <row r="50" spans="1:28" x14ac:dyDescent="0.3">
      <c r="A50" s="20" t="str">
        <f>IF(D50="Sous-total","S",IF(G50="","","X"))</f>
        <v>X</v>
      </c>
      <c r="B50" s="773" t="s">
        <v>83</v>
      </c>
      <c r="C50" s="775" t="s">
        <v>75</v>
      </c>
      <c r="D50" s="757">
        <v>9</v>
      </c>
      <c r="E50" s="719" t="s">
        <v>10</v>
      </c>
      <c r="F50" s="232" t="s">
        <v>60</v>
      </c>
      <c r="G50" s="233">
        <v>81</v>
      </c>
      <c r="H50" s="234">
        <v>54</v>
      </c>
      <c r="I50" s="411">
        <f>IF(J50="","",J50/G50)</f>
        <v>0.59259259259259256</v>
      </c>
      <c r="J50" s="234">
        <v>48</v>
      </c>
      <c r="K50" s="235">
        <f>IF(L50="","",L50/G50)</f>
        <v>0.30864197530864196</v>
      </c>
      <c r="L50" s="236">
        <v>25</v>
      </c>
      <c r="M50" s="235">
        <f>IF(N50="","",N50/L50)</f>
        <v>0.8</v>
      </c>
      <c r="N50" s="236">
        <v>20</v>
      </c>
      <c r="O50" s="226">
        <v>0</v>
      </c>
      <c r="P50" s="227">
        <v>0</v>
      </c>
      <c r="Q50" s="226">
        <v>3</v>
      </c>
      <c r="R50" s="227">
        <v>2</v>
      </c>
      <c r="S50" s="664" t="s">
        <v>21</v>
      </c>
      <c r="T50" s="665" t="s">
        <v>21</v>
      </c>
      <c r="U50" s="664" t="s">
        <v>21</v>
      </c>
      <c r="V50" s="666" t="s">
        <v>21</v>
      </c>
      <c r="W50" s="205" t="s">
        <v>206</v>
      </c>
      <c r="AB50" s="2" t="str">
        <f t="shared" si="5"/>
        <v>France</v>
      </c>
    </row>
    <row r="51" spans="1:28" x14ac:dyDescent="0.3">
      <c r="A51" s="20" t="str">
        <f t="shared" ref="A51:A113" si="20">IF(D51="Sous-total","S",IF(G51="","","X"))</f>
        <v>X</v>
      </c>
      <c r="B51" s="773"/>
      <c r="C51" s="775"/>
      <c r="D51" s="757"/>
      <c r="E51" s="577" t="s">
        <v>11</v>
      </c>
      <c r="F51" s="237" t="s">
        <v>60</v>
      </c>
      <c r="G51" s="238">
        <v>50</v>
      </c>
      <c r="H51" s="239">
        <v>29</v>
      </c>
      <c r="I51" s="420">
        <f t="shared" ref="I51:I60" si="21">IF(J51="","",J51/G51)</f>
        <v>0.5</v>
      </c>
      <c r="J51" s="239">
        <v>25</v>
      </c>
      <c r="K51" s="240">
        <f t="shared" ref="K51:K128" si="22">IF(L51="","",L51/G51)</f>
        <v>0.28000000000000003</v>
      </c>
      <c r="L51" s="241">
        <v>14.000000000000002</v>
      </c>
      <c r="M51" s="240">
        <f t="shared" ref="M51:M128" si="23">IF(N51="","",N51/L51)</f>
        <v>0.85714285714285698</v>
      </c>
      <c r="N51" s="241">
        <v>12</v>
      </c>
      <c r="O51" s="228">
        <v>0</v>
      </c>
      <c r="P51" s="229">
        <v>0</v>
      </c>
      <c r="Q51" s="228" t="s">
        <v>21</v>
      </c>
      <c r="R51" s="229" t="s">
        <v>21</v>
      </c>
      <c r="S51" s="667" t="s">
        <v>21</v>
      </c>
      <c r="T51" s="668" t="s">
        <v>21</v>
      </c>
      <c r="U51" s="667" t="s">
        <v>21</v>
      </c>
      <c r="V51" s="669" t="s">
        <v>21</v>
      </c>
      <c r="W51" s="205" t="s">
        <v>206</v>
      </c>
      <c r="AB51" s="2" t="str">
        <f t="shared" si="5"/>
        <v>France</v>
      </c>
    </row>
    <row r="52" spans="1:28" x14ac:dyDescent="0.3">
      <c r="A52" s="20" t="str">
        <f t="shared" si="20"/>
        <v/>
      </c>
      <c r="B52" s="773"/>
      <c r="C52" s="775"/>
      <c r="D52" s="757"/>
      <c r="E52" s="577" t="s">
        <v>12</v>
      </c>
      <c r="F52" s="237" t="s">
        <v>60</v>
      </c>
      <c r="G52" s="238"/>
      <c r="H52" s="239"/>
      <c r="I52" s="420" t="str">
        <f t="shared" si="21"/>
        <v/>
      </c>
      <c r="J52" s="239"/>
      <c r="K52" s="240" t="str">
        <f t="shared" si="22"/>
        <v/>
      </c>
      <c r="L52" s="241"/>
      <c r="M52" s="240" t="str">
        <f t="shared" si="23"/>
        <v/>
      </c>
      <c r="N52" s="241" t="s">
        <v>203</v>
      </c>
      <c r="O52" s="228"/>
      <c r="P52" s="229"/>
      <c r="Q52" s="228"/>
      <c r="R52" s="229"/>
      <c r="S52" s="667" t="s">
        <v>21</v>
      </c>
      <c r="T52" s="668" t="s">
        <v>21</v>
      </c>
      <c r="U52" s="667" t="s">
        <v>21</v>
      </c>
      <c r="V52" s="669" t="s">
        <v>21</v>
      </c>
      <c r="W52" s="205" t="s">
        <v>206</v>
      </c>
      <c r="AB52" s="2" t="str">
        <f t="shared" si="5"/>
        <v/>
      </c>
    </row>
    <row r="53" spans="1:28" x14ac:dyDescent="0.3">
      <c r="A53" s="20" t="str">
        <f t="shared" si="20"/>
        <v/>
      </c>
      <c r="B53" s="773"/>
      <c r="C53" s="775"/>
      <c r="D53" s="757"/>
      <c r="E53" s="577" t="s">
        <v>7</v>
      </c>
      <c r="F53" s="237" t="s">
        <v>60</v>
      </c>
      <c r="G53" s="238"/>
      <c r="H53" s="239"/>
      <c r="I53" s="420" t="str">
        <f t="shared" si="21"/>
        <v/>
      </c>
      <c r="J53" s="239"/>
      <c r="K53" s="240" t="str">
        <f t="shared" si="22"/>
        <v/>
      </c>
      <c r="L53" s="241"/>
      <c r="M53" s="240" t="str">
        <f t="shared" si="23"/>
        <v/>
      </c>
      <c r="N53" s="241" t="s">
        <v>203</v>
      </c>
      <c r="O53" s="228"/>
      <c r="P53" s="229"/>
      <c r="Q53" s="228"/>
      <c r="R53" s="229"/>
      <c r="S53" s="667" t="s">
        <v>21</v>
      </c>
      <c r="T53" s="668" t="s">
        <v>21</v>
      </c>
      <c r="U53" s="667" t="s">
        <v>21</v>
      </c>
      <c r="V53" s="669" t="s">
        <v>21</v>
      </c>
      <c r="W53" s="205" t="s">
        <v>206</v>
      </c>
      <c r="AB53" s="2" t="str">
        <f t="shared" si="5"/>
        <v/>
      </c>
    </row>
    <row r="54" spans="1:28" x14ac:dyDescent="0.3">
      <c r="A54" s="20" t="str">
        <f t="shared" si="20"/>
        <v>X</v>
      </c>
      <c r="B54" s="773"/>
      <c r="C54" s="775"/>
      <c r="D54" s="757"/>
      <c r="E54" s="577" t="s">
        <v>132</v>
      </c>
      <c r="F54" s="237" t="s">
        <v>60</v>
      </c>
      <c r="G54" s="238">
        <v>26</v>
      </c>
      <c r="H54" s="239">
        <v>13</v>
      </c>
      <c r="I54" s="420">
        <f t="shared" si="21"/>
        <v>0.61538461538461542</v>
      </c>
      <c r="J54" s="239">
        <v>16</v>
      </c>
      <c r="K54" s="240">
        <f t="shared" si="22"/>
        <v>0.15384615384615385</v>
      </c>
      <c r="L54" s="241">
        <v>4</v>
      </c>
      <c r="M54" s="240">
        <f t="shared" si="23"/>
        <v>1</v>
      </c>
      <c r="N54" s="241">
        <v>4</v>
      </c>
      <c r="O54" s="228"/>
      <c r="P54" s="229"/>
      <c r="Q54" s="228"/>
      <c r="R54" s="229"/>
      <c r="S54" s="667" t="s">
        <v>21</v>
      </c>
      <c r="T54" s="668" t="s">
        <v>21</v>
      </c>
      <c r="U54" s="667" t="s">
        <v>21</v>
      </c>
      <c r="V54" s="669" t="s">
        <v>21</v>
      </c>
      <c r="W54" s="205" t="s">
        <v>206</v>
      </c>
      <c r="AB54" s="2" t="str">
        <f t="shared" si="5"/>
        <v>France</v>
      </c>
    </row>
    <row r="55" spans="1:28" x14ac:dyDescent="0.3">
      <c r="A55" s="20" t="str">
        <f t="shared" si="20"/>
        <v/>
      </c>
      <c r="B55" s="773"/>
      <c r="C55" s="775"/>
      <c r="D55" s="757"/>
      <c r="E55" s="577" t="s">
        <v>8</v>
      </c>
      <c r="F55" s="237" t="s">
        <v>60</v>
      </c>
      <c r="G55" s="238"/>
      <c r="H55" s="239"/>
      <c r="I55" s="420" t="str">
        <f t="shared" si="21"/>
        <v/>
      </c>
      <c r="J55" s="239"/>
      <c r="K55" s="240" t="str">
        <f t="shared" si="22"/>
        <v/>
      </c>
      <c r="L55" s="241"/>
      <c r="M55" s="240" t="str">
        <f t="shared" si="23"/>
        <v/>
      </c>
      <c r="N55" s="241" t="s">
        <v>203</v>
      </c>
      <c r="O55" s="228"/>
      <c r="P55" s="229"/>
      <c r="Q55" s="228"/>
      <c r="R55" s="229"/>
      <c r="S55" s="667" t="s">
        <v>21</v>
      </c>
      <c r="T55" s="668" t="s">
        <v>21</v>
      </c>
      <c r="U55" s="667" t="s">
        <v>21</v>
      </c>
      <c r="V55" s="669" t="s">
        <v>21</v>
      </c>
      <c r="W55" s="205" t="s">
        <v>206</v>
      </c>
      <c r="AB55" s="2" t="str">
        <f t="shared" si="5"/>
        <v/>
      </c>
    </row>
    <row r="56" spans="1:28" x14ac:dyDescent="0.3">
      <c r="A56" s="20" t="str">
        <f t="shared" si="20"/>
        <v>X</v>
      </c>
      <c r="B56" s="773"/>
      <c r="C56" s="775"/>
      <c r="D56" s="757"/>
      <c r="E56" s="577" t="s">
        <v>6</v>
      </c>
      <c r="F56" s="237" t="s">
        <v>60</v>
      </c>
      <c r="G56" s="238">
        <v>27</v>
      </c>
      <c r="H56" s="239">
        <v>17</v>
      </c>
      <c r="I56" s="420">
        <f t="shared" si="21"/>
        <v>0.44444444444444442</v>
      </c>
      <c r="J56" s="239">
        <v>12</v>
      </c>
      <c r="K56" s="240">
        <f t="shared" si="22"/>
        <v>0.48148148148148145</v>
      </c>
      <c r="L56" s="241">
        <v>13</v>
      </c>
      <c r="M56" s="240">
        <f t="shared" si="23"/>
        <v>0.61538461538461542</v>
      </c>
      <c r="N56" s="241">
        <v>8</v>
      </c>
      <c r="O56" s="228">
        <v>0</v>
      </c>
      <c r="P56" s="229">
        <v>0</v>
      </c>
      <c r="Q56" s="228">
        <v>2</v>
      </c>
      <c r="R56" s="229">
        <v>2</v>
      </c>
      <c r="S56" s="667" t="s">
        <v>21</v>
      </c>
      <c r="T56" s="668" t="s">
        <v>21</v>
      </c>
      <c r="U56" s="667" t="s">
        <v>21</v>
      </c>
      <c r="V56" s="669" t="s">
        <v>21</v>
      </c>
      <c r="W56" s="205" t="s">
        <v>206</v>
      </c>
      <c r="AB56" s="2" t="str">
        <f t="shared" si="5"/>
        <v>France</v>
      </c>
    </row>
    <row r="57" spans="1:28" ht="15" customHeight="1" x14ac:dyDescent="0.3">
      <c r="A57" s="20" t="str">
        <f t="shared" si="20"/>
        <v>X</v>
      </c>
      <c r="B57" s="773"/>
      <c r="C57" s="775"/>
      <c r="D57" s="757"/>
      <c r="E57" s="577" t="s">
        <v>228</v>
      </c>
      <c r="F57" s="237" t="s">
        <v>60</v>
      </c>
      <c r="G57" s="238">
        <v>65</v>
      </c>
      <c r="H57" s="239">
        <v>30</v>
      </c>
      <c r="I57" s="420">
        <f t="shared" si="21"/>
        <v>0.53846153846153844</v>
      </c>
      <c r="J57" s="239">
        <v>35</v>
      </c>
      <c r="K57" s="240">
        <f t="shared" si="22"/>
        <v>0.38461538461538464</v>
      </c>
      <c r="L57" s="241">
        <v>25</v>
      </c>
      <c r="M57" s="240">
        <f t="shared" si="23"/>
        <v>0.76</v>
      </c>
      <c r="N57" s="241">
        <v>19</v>
      </c>
      <c r="O57" s="228">
        <v>7</v>
      </c>
      <c r="P57" s="229">
        <v>5</v>
      </c>
      <c r="Q57" s="228" t="s">
        <v>21</v>
      </c>
      <c r="R57" s="229" t="s">
        <v>21</v>
      </c>
      <c r="S57" s="667" t="s">
        <v>21</v>
      </c>
      <c r="T57" s="668" t="s">
        <v>21</v>
      </c>
      <c r="U57" s="667" t="s">
        <v>21</v>
      </c>
      <c r="V57" s="669" t="s">
        <v>21</v>
      </c>
      <c r="W57" s="205" t="s">
        <v>206</v>
      </c>
      <c r="AB57" s="2" t="str">
        <f t="shared" si="5"/>
        <v>France</v>
      </c>
    </row>
    <row r="58" spans="1:28" ht="15" customHeight="1" x14ac:dyDescent="0.3">
      <c r="A58" s="20" t="str">
        <f t="shared" si="20"/>
        <v>X</v>
      </c>
      <c r="B58" s="773"/>
      <c r="C58" s="775"/>
      <c r="D58" s="757"/>
      <c r="E58" s="577" t="s">
        <v>229</v>
      </c>
      <c r="F58" s="237" t="s">
        <v>60</v>
      </c>
      <c r="G58" s="238">
        <v>36</v>
      </c>
      <c r="H58" s="239">
        <v>25</v>
      </c>
      <c r="I58" s="420">
        <f t="shared" si="21"/>
        <v>0.66666666666666663</v>
      </c>
      <c r="J58" s="239">
        <v>24</v>
      </c>
      <c r="K58" s="240">
        <f t="shared" si="22"/>
        <v>0.33333333333333331</v>
      </c>
      <c r="L58" s="241">
        <v>12</v>
      </c>
      <c r="M58" s="240">
        <f t="shared" si="23"/>
        <v>0.75</v>
      </c>
      <c r="N58" s="241">
        <v>9</v>
      </c>
      <c r="O58" s="228">
        <v>5</v>
      </c>
      <c r="P58" s="229">
        <v>5</v>
      </c>
      <c r="Q58" s="228" t="s">
        <v>21</v>
      </c>
      <c r="R58" s="229" t="s">
        <v>21</v>
      </c>
      <c r="S58" s="667" t="s">
        <v>21</v>
      </c>
      <c r="T58" s="668" t="s">
        <v>21</v>
      </c>
      <c r="U58" s="667" t="s">
        <v>21</v>
      </c>
      <c r="V58" s="669" t="s">
        <v>21</v>
      </c>
      <c r="W58" s="205" t="s">
        <v>206</v>
      </c>
      <c r="AB58" s="2" t="str">
        <f t="shared" si="5"/>
        <v>France</v>
      </c>
    </row>
    <row r="59" spans="1:28" x14ac:dyDescent="0.3">
      <c r="A59" s="20" t="str">
        <f t="shared" si="20"/>
        <v>X</v>
      </c>
      <c r="B59" s="773"/>
      <c r="C59" s="775"/>
      <c r="D59" s="757"/>
      <c r="E59" s="577" t="s">
        <v>198</v>
      </c>
      <c r="F59" s="237" t="s">
        <v>60</v>
      </c>
      <c r="G59" s="238">
        <v>28</v>
      </c>
      <c r="H59" s="239">
        <v>20</v>
      </c>
      <c r="I59" s="420">
        <f t="shared" si="21"/>
        <v>0.5357142857142857</v>
      </c>
      <c r="J59" s="239">
        <v>15</v>
      </c>
      <c r="K59" s="240">
        <f t="shared" si="22"/>
        <v>0.21428571428571427</v>
      </c>
      <c r="L59" s="241">
        <v>6</v>
      </c>
      <c r="M59" s="240">
        <f t="shared" si="23"/>
        <v>1</v>
      </c>
      <c r="N59" s="241">
        <v>6</v>
      </c>
      <c r="O59" s="228"/>
      <c r="P59" s="229"/>
      <c r="Q59" s="228"/>
      <c r="R59" s="229"/>
      <c r="S59" s="667" t="s">
        <v>21</v>
      </c>
      <c r="T59" s="668" t="s">
        <v>21</v>
      </c>
      <c r="U59" s="667" t="s">
        <v>21</v>
      </c>
      <c r="V59" s="669" t="s">
        <v>21</v>
      </c>
      <c r="W59" s="205" t="s">
        <v>206</v>
      </c>
      <c r="AB59" s="2" t="str">
        <f t="shared" si="5"/>
        <v>France</v>
      </c>
    </row>
    <row r="60" spans="1:28" x14ac:dyDescent="0.3">
      <c r="A60" s="20" t="str">
        <f t="shared" si="20"/>
        <v>X</v>
      </c>
      <c r="B60" s="773"/>
      <c r="C60" s="775"/>
      <c r="D60" s="757"/>
      <c r="E60" s="577" t="s">
        <v>9</v>
      </c>
      <c r="F60" s="237" t="s">
        <v>60</v>
      </c>
      <c r="G60" s="238">
        <v>43</v>
      </c>
      <c r="H60" s="239">
        <v>28</v>
      </c>
      <c r="I60" s="420">
        <f t="shared" si="21"/>
        <v>0.34883720930232559</v>
      </c>
      <c r="J60" s="239">
        <v>15</v>
      </c>
      <c r="K60" s="240">
        <f t="shared" si="22"/>
        <v>0.39534883720930231</v>
      </c>
      <c r="L60" s="241">
        <v>17</v>
      </c>
      <c r="M60" s="240">
        <f t="shared" si="23"/>
        <v>0.17647058823529413</v>
      </c>
      <c r="N60" s="241">
        <v>3</v>
      </c>
      <c r="O60" s="228">
        <v>5</v>
      </c>
      <c r="P60" s="229">
        <v>5</v>
      </c>
      <c r="Q60" s="228">
        <v>19</v>
      </c>
      <c r="R60" s="229">
        <v>15</v>
      </c>
      <c r="S60" s="667" t="s">
        <v>21</v>
      </c>
      <c r="T60" s="668" t="s">
        <v>21</v>
      </c>
      <c r="U60" s="667" t="s">
        <v>21</v>
      </c>
      <c r="V60" s="669" t="s">
        <v>21</v>
      </c>
      <c r="W60" s="205" t="s">
        <v>206</v>
      </c>
      <c r="AB60" s="2" t="str">
        <f t="shared" si="5"/>
        <v>France</v>
      </c>
    </row>
    <row r="61" spans="1:28" ht="15.75" customHeight="1" x14ac:dyDescent="0.3">
      <c r="A61" s="20" t="str">
        <f t="shared" si="20"/>
        <v/>
      </c>
      <c r="B61" s="773"/>
      <c r="C61" s="775"/>
      <c r="D61" s="757"/>
      <c r="E61" s="721" t="s">
        <v>166</v>
      </c>
      <c r="F61" s="237"/>
      <c r="G61" s="238"/>
      <c r="H61" s="239"/>
      <c r="I61" s="686"/>
      <c r="J61" s="239"/>
      <c r="K61" s="240"/>
      <c r="L61" s="241"/>
      <c r="M61" s="240"/>
      <c r="N61" s="241"/>
      <c r="O61" s="228"/>
      <c r="P61" s="229"/>
      <c r="Q61" s="228"/>
      <c r="R61" s="229"/>
      <c r="S61" s="667" t="s">
        <v>21</v>
      </c>
      <c r="T61" s="668" t="s">
        <v>21</v>
      </c>
      <c r="U61" s="667" t="s">
        <v>21</v>
      </c>
      <c r="V61" s="669" t="s">
        <v>21</v>
      </c>
      <c r="W61" s="205" t="s">
        <v>206</v>
      </c>
    </row>
    <row r="62" spans="1:28" ht="15.75" customHeight="1" x14ac:dyDescent="0.3">
      <c r="A62" s="20" t="str">
        <f t="shared" si="20"/>
        <v/>
      </c>
      <c r="B62" s="773"/>
      <c r="C62" s="775"/>
      <c r="D62" s="757"/>
      <c r="E62" s="721" t="s">
        <v>166</v>
      </c>
      <c r="F62" s="237"/>
      <c r="G62" s="238"/>
      <c r="H62" s="239"/>
      <c r="I62" s="686"/>
      <c r="J62" s="239"/>
      <c r="K62" s="240"/>
      <c r="L62" s="241"/>
      <c r="M62" s="240"/>
      <c r="N62" s="241"/>
      <c r="O62" s="228"/>
      <c r="P62" s="229"/>
      <c r="Q62" s="228"/>
      <c r="R62" s="229"/>
      <c r="S62" s="667" t="s">
        <v>21</v>
      </c>
      <c r="T62" s="668" t="s">
        <v>21</v>
      </c>
      <c r="U62" s="667" t="s">
        <v>21</v>
      </c>
      <c r="V62" s="669" t="s">
        <v>21</v>
      </c>
      <c r="W62" s="205" t="s">
        <v>206</v>
      </c>
    </row>
    <row r="63" spans="1:28" ht="15.75" customHeight="1" x14ac:dyDescent="0.3">
      <c r="A63" s="20" t="str">
        <f t="shared" si="20"/>
        <v/>
      </c>
      <c r="B63" s="773"/>
      <c r="C63" s="775"/>
      <c r="D63" s="757"/>
      <c r="E63" s="722" t="s">
        <v>166</v>
      </c>
      <c r="F63" s="242"/>
      <c r="G63" s="243"/>
      <c r="H63" s="244"/>
      <c r="I63" s="687"/>
      <c r="J63" s="244"/>
      <c r="K63" s="245"/>
      <c r="L63" s="246"/>
      <c r="M63" s="245"/>
      <c r="N63" s="246"/>
      <c r="O63" s="230"/>
      <c r="P63" s="231"/>
      <c r="Q63" s="230"/>
      <c r="R63" s="231"/>
      <c r="S63" s="670" t="s">
        <v>21</v>
      </c>
      <c r="T63" s="671" t="s">
        <v>21</v>
      </c>
      <c r="U63" s="670" t="s">
        <v>21</v>
      </c>
      <c r="V63" s="672" t="s">
        <v>21</v>
      </c>
      <c r="W63" s="205" t="s">
        <v>206</v>
      </c>
    </row>
    <row r="64" spans="1:28" ht="16.2" thickBot="1" x14ac:dyDescent="0.35">
      <c r="A64" s="20" t="str">
        <f t="shared" si="20"/>
        <v>S</v>
      </c>
      <c r="B64" s="774"/>
      <c r="C64" s="777"/>
      <c r="D64" s="311" t="s">
        <v>138</v>
      </c>
      <c r="E64" s="724"/>
      <c r="F64" s="219"/>
      <c r="G64" s="7">
        <f>SUM(G50:G63)</f>
        <v>356</v>
      </c>
      <c r="H64" s="8">
        <f>SUM(H50:H63)</f>
        <v>216</v>
      </c>
      <c r="I64" s="9">
        <f>IF(J64="","",J64/G64)</f>
        <v>0.5337078651685393</v>
      </c>
      <c r="J64" s="202">
        <f>SUM(J50:J63)</f>
        <v>190</v>
      </c>
      <c r="K64" s="9">
        <f t="shared" si="22"/>
        <v>0.3258426966292135</v>
      </c>
      <c r="L64" s="202">
        <f>SUM(L50:L63)</f>
        <v>116</v>
      </c>
      <c r="M64" s="9">
        <f t="shared" si="23"/>
        <v>0.69827586206896552</v>
      </c>
      <c r="N64" s="202">
        <f t="shared" ref="N64:V64" si="24">SUM(N50:N63)</f>
        <v>81</v>
      </c>
      <c r="O64" s="500">
        <f t="shared" si="24"/>
        <v>17</v>
      </c>
      <c r="P64" s="501">
        <f t="shared" si="24"/>
        <v>15</v>
      </c>
      <c r="Q64" s="500">
        <f t="shared" si="24"/>
        <v>24</v>
      </c>
      <c r="R64" s="501">
        <f t="shared" si="24"/>
        <v>19</v>
      </c>
      <c r="S64" s="500">
        <f t="shared" si="24"/>
        <v>0</v>
      </c>
      <c r="T64" s="501">
        <f t="shared" si="24"/>
        <v>0</v>
      </c>
      <c r="U64" s="500">
        <f t="shared" si="24"/>
        <v>0</v>
      </c>
      <c r="V64" s="502">
        <f t="shared" si="24"/>
        <v>0</v>
      </c>
      <c r="W64" s="205" t="s">
        <v>206</v>
      </c>
      <c r="AB64" s="2">
        <f t="shared" si="5"/>
        <v>0</v>
      </c>
    </row>
    <row r="65" spans="1:28" s="15" customFormat="1" ht="27.75" customHeight="1" thickBot="1" x14ac:dyDescent="0.35">
      <c r="A65" s="20" t="str">
        <f t="shared" si="20"/>
        <v>X</v>
      </c>
      <c r="B65" s="102" t="s">
        <v>78</v>
      </c>
      <c r="C65" s="103"/>
      <c r="D65" s="103">
        <f>SUM(D5:D60)</f>
        <v>40</v>
      </c>
      <c r="E65" s="716" t="s">
        <v>79</v>
      </c>
      <c r="F65" s="372"/>
      <c r="G65" s="341">
        <f>G8+G12+G34+G49+G64</f>
        <v>532</v>
      </c>
      <c r="H65" s="342">
        <f>H8+H12+H34+H49+H64</f>
        <v>216</v>
      </c>
      <c r="I65" s="343">
        <f t="shared" ref="I65:I142" si="25">IF(J65="","",J65/G65)</f>
        <v>0.44172932330827069</v>
      </c>
      <c r="J65" s="33">
        <f>J8+J12+J34+J49+J64</f>
        <v>235</v>
      </c>
      <c r="K65" s="32">
        <f t="shared" si="22"/>
        <v>0.33082706766917291</v>
      </c>
      <c r="L65" s="33">
        <f>L8+L12+L34+L49+L64</f>
        <v>176</v>
      </c>
      <c r="M65" s="343">
        <f t="shared" si="23"/>
        <v>0.55113636363636365</v>
      </c>
      <c r="N65" s="33">
        <f t="shared" ref="N65:V65" si="26">N8+N12+N34+N49+N64</f>
        <v>97</v>
      </c>
      <c r="O65" s="34">
        <f t="shared" si="26"/>
        <v>17</v>
      </c>
      <c r="P65" s="35">
        <f t="shared" si="26"/>
        <v>15</v>
      </c>
      <c r="Q65" s="34">
        <f t="shared" si="26"/>
        <v>24</v>
      </c>
      <c r="R65" s="35">
        <f t="shared" si="26"/>
        <v>19</v>
      </c>
      <c r="S65" s="267">
        <f t="shared" si="26"/>
        <v>0</v>
      </c>
      <c r="T65" s="266">
        <f t="shared" si="26"/>
        <v>0</v>
      </c>
      <c r="U65" s="267">
        <f t="shared" si="26"/>
        <v>0</v>
      </c>
      <c r="V65" s="340">
        <f t="shared" si="26"/>
        <v>0</v>
      </c>
      <c r="W65" s="205" t="s">
        <v>206</v>
      </c>
      <c r="X65" s="362"/>
      <c r="Y65" s="1"/>
      <c r="AB65" s="2">
        <f t="shared" si="5"/>
        <v>0</v>
      </c>
    </row>
    <row r="66" spans="1:28" ht="15" customHeight="1" x14ac:dyDescent="0.3">
      <c r="A66" s="20" t="str">
        <f t="shared" si="20"/>
        <v/>
      </c>
      <c r="B66" s="778" t="s">
        <v>84</v>
      </c>
      <c r="C66" s="781" t="s">
        <v>76</v>
      </c>
      <c r="D66" s="768">
        <v>10</v>
      </c>
      <c r="E66" s="726" t="s">
        <v>25</v>
      </c>
      <c r="F66" s="465" t="s">
        <v>60</v>
      </c>
      <c r="G66" s="233"/>
      <c r="H66" s="234"/>
      <c r="I66" s="235" t="str">
        <f t="shared" si="25"/>
        <v/>
      </c>
      <c r="J66" s="236"/>
      <c r="K66" s="235" t="str">
        <f t="shared" si="22"/>
        <v/>
      </c>
      <c r="L66" s="236"/>
      <c r="M66" s="235" t="str">
        <f t="shared" si="23"/>
        <v/>
      </c>
      <c r="N66" s="236"/>
      <c r="O66" s="226"/>
      <c r="P66" s="227"/>
      <c r="Q66" s="226"/>
      <c r="R66" s="227"/>
      <c r="S66" s="664"/>
      <c r="T66" s="665"/>
      <c r="U66" s="664"/>
      <c r="V66" s="666"/>
      <c r="W66" s="205" t="s">
        <v>206</v>
      </c>
      <c r="AB66" s="2" t="str">
        <f t="shared" si="5"/>
        <v/>
      </c>
    </row>
    <row r="67" spans="1:28" ht="15" customHeight="1" x14ac:dyDescent="0.3">
      <c r="A67" s="20" t="str">
        <f t="shared" si="20"/>
        <v/>
      </c>
      <c r="B67" s="779"/>
      <c r="C67" s="782"/>
      <c r="D67" s="760"/>
      <c r="E67" s="721" t="s">
        <v>26</v>
      </c>
      <c r="F67" s="410" t="s">
        <v>60</v>
      </c>
      <c r="G67" s="238"/>
      <c r="H67" s="239"/>
      <c r="I67" s="240" t="str">
        <f t="shared" si="25"/>
        <v/>
      </c>
      <c r="J67" s="241"/>
      <c r="K67" s="240" t="str">
        <f t="shared" si="22"/>
        <v/>
      </c>
      <c r="L67" s="241"/>
      <c r="M67" s="240" t="str">
        <f t="shared" si="23"/>
        <v/>
      </c>
      <c r="N67" s="241"/>
      <c r="O67" s="228"/>
      <c r="P67" s="229"/>
      <c r="Q67" s="228"/>
      <c r="R67" s="229"/>
      <c r="S67" s="667"/>
      <c r="T67" s="668"/>
      <c r="U67" s="667"/>
      <c r="V67" s="669"/>
      <c r="W67" s="205" t="s">
        <v>206</v>
      </c>
      <c r="AB67" s="2" t="str">
        <f t="shared" si="5"/>
        <v/>
      </c>
    </row>
    <row r="68" spans="1:28" ht="15" customHeight="1" x14ac:dyDescent="0.3">
      <c r="A68" s="20" t="str">
        <f t="shared" si="20"/>
        <v/>
      </c>
      <c r="B68" s="779"/>
      <c r="C68" s="782"/>
      <c r="D68" s="760"/>
      <c r="E68" s="721" t="s">
        <v>58</v>
      </c>
      <c r="F68" s="410" t="s">
        <v>60</v>
      </c>
      <c r="G68" s="238"/>
      <c r="H68" s="239"/>
      <c r="I68" s="240" t="str">
        <f t="shared" si="25"/>
        <v/>
      </c>
      <c r="J68" s="241"/>
      <c r="K68" s="240" t="str">
        <f t="shared" si="22"/>
        <v/>
      </c>
      <c r="L68" s="241"/>
      <c r="M68" s="240" t="str">
        <f t="shared" si="23"/>
        <v/>
      </c>
      <c r="N68" s="241"/>
      <c r="O68" s="228"/>
      <c r="P68" s="229"/>
      <c r="Q68" s="228"/>
      <c r="R68" s="229"/>
      <c r="S68" s="667" t="s">
        <v>21</v>
      </c>
      <c r="T68" s="668" t="s">
        <v>21</v>
      </c>
      <c r="U68" s="667" t="s">
        <v>21</v>
      </c>
      <c r="V68" s="669" t="s">
        <v>21</v>
      </c>
      <c r="W68" s="205" t="s">
        <v>206</v>
      </c>
      <c r="AB68" s="2" t="str">
        <f t="shared" si="5"/>
        <v/>
      </c>
    </row>
    <row r="69" spans="1:28" ht="15" customHeight="1" x14ac:dyDescent="0.3">
      <c r="A69" s="20" t="str">
        <f t="shared" si="20"/>
        <v/>
      </c>
      <c r="B69" s="779"/>
      <c r="C69" s="782"/>
      <c r="D69" s="760"/>
      <c r="E69" s="721" t="s">
        <v>24</v>
      </c>
      <c r="F69" s="410" t="s">
        <v>62</v>
      </c>
      <c r="G69" s="238"/>
      <c r="H69" s="239"/>
      <c r="I69" s="240" t="str">
        <f t="shared" si="25"/>
        <v/>
      </c>
      <c r="J69" s="241"/>
      <c r="K69" s="240" t="str">
        <f t="shared" si="22"/>
        <v/>
      </c>
      <c r="L69" s="241"/>
      <c r="M69" s="240" t="str">
        <f t="shared" si="23"/>
        <v/>
      </c>
      <c r="N69" s="241"/>
      <c r="O69" s="228"/>
      <c r="P69" s="229"/>
      <c r="Q69" s="228"/>
      <c r="R69" s="229"/>
      <c r="S69" s="667"/>
      <c r="T69" s="668"/>
      <c r="U69" s="667"/>
      <c r="V69" s="669"/>
      <c r="W69" s="205" t="s">
        <v>206</v>
      </c>
      <c r="AB69" s="2" t="str">
        <f t="shared" si="5"/>
        <v/>
      </c>
    </row>
    <row r="70" spans="1:28" ht="15" customHeight="1" x14ac:dyDescent="0.3">
      <c r="A70" s="20" t="str">
        <f t="shared" si="20"/>
        <v/>
      </c>
      <c r="B70" s="779"/>
      <c r="C70" s="782"/>
      <c r="D70" s="760"/>
      <c r="E70" s="721" t="s">
        <v>23</v>
      </c>
      <c r="F70" s="410" t="s">
        <v>60</v>
      </c>
      <c r="G70" s="238"/>
      <c r="H70" s="239"/>
      <c r="I70" s="240" t="str">
        <f t="shared" si="25"/>
        <v/>
      </c>
      <c r="J70" s="241"/>
      <c r="K70" s="240" t="str">
        <f t="shared" si="22"/>
        <v/>
      </c>
      <c r="L70" s="241"/>
      <c r="M70" s="240" t="str">
        <f t="shared" si="23"/>
        <v/>
      </c>
      <c r="N70" s="241"/>
      <c r="O70" s="228"/>
      <c r="P70" s="229"/>
      <c r="Q70" s="228"/>
      <c r="R70" s="229"/>
      <c r="S70" s="667" t="s">
        <v>21</v>
      </c>
      <c r="T70" s="668" t="s">
        <v>21</v>
      </c>
      <c r="U70" s="667" t="s">
        <v>21</v>
      </c>
      <c r="V70" s="669" t="s">
        <v>21</v>
      </c>
      <c r="W70" s="205" t="s">
        <v>206</v>
      </c>
      <c r="AB70" s="2" t="str">
        <f t="shared" si="5"/>
        <v/>
      </c>
    </row>
    <row r="71" spans="1:28" ht="15" customHeight="1" x14ac:dyDescent="0.3">
      <c r="A71" s="20" t="str">
        <f t="shared" si="20"/>
        <v/>
      </c>
      <c r="B71" s="779"/>
      <c r="C71" s="782"/>
      <c r="D71" s="760"/>
      <c r="E71" s="727" t="s">
        <v>166</v>
      </c>
      <c r="F71" s="410" t="s">
        <v>203</v>
      </c>
      <c r="G71" s="238"/>
      <c r="H71" s="239"/>
      <c r="I71" s="240" t="str">
        <f t="shared" si="25"/>
        <v/>
      </c>
      <c r="J71" s="241"/>
      <c r="K71" s="240" t="str">
        <f t="shared" si="22"/>
        <v/>
      </c>
      <c r="L71" s="241"/>
      <c r="M71" s="240" t="str">
        <f t="shared" si="23"/>
        <v/>
      </c>
      <c r="N71" s="241"/>
      <c r="O71" s="228"/>
      <c r="P71" s="229"/>
      <c r="Q71" s="228"/>
      <c r="R71" s="229"/>
      <c r="S71" s="667"/>
      <c r="T71" s="668"/>
      <c r="U71" s="667"/>
      <c r="V71" s="669"/>
      <c r="W71" s="205" t="s">
        <v>206</v>
      </c>
      <c r="AB71" s="2" t="str">
        <f t="shared" si="5"/>
        <v/>
      </c>
    </row>
    <row r="72" spans="1:28" ht="15" customHeight="1" x14ac:dyDescent="0.3">
      <c r="A72" s="20" t="str">
        <f t="shared" si="20"/>
        <v/>
      </c>
      <c r="B72" s="779"/>
      <c r="C72" s="782"/>
      <c r="D72" s="760"/>
      <c r="E72" s="727" t="s">
        <v>166</v>
      </c>
      <c r="F72" s="410" t="s">
        <v>203</v>
      </c>
      <c r="G72" s="238"/>
      <c r="H72" s="239"/>
      <c r="I72" s="240" t="str">
        <f t="shared" si="25"/>
        <v/>
      </c>
      <c r="J72" s="241"/>
      <c r="K72" s="240" t="str">
        <f t="shared" si="22"/>
        <v/>
      </c>
      <c r="L72" s="241"/>
      <c r="M72" s="240" t="str">
        <f t="shared" si="23"/>
        <v/>
      </c>
      <c r="N72" s="241"/>
      <c r="O72" s="228"/>
      <c r="P72" s="229"/>
      <c r="Q72" s="228"/>
      <c r="R72" s="229"/>
      <c r="S72" s="667"/>
      <c r="T72" s="668"/>
      <c r="U72" s="667"/>
      <c r="V72" s="669"/>
      <c r="W72" s="205" t="s">
        <v>206</v>
      </c>
      <c r="AB72" s="2" t="str">
        <f t="shared" si="5"/>
        <v/>
      </c>
    </row>
    <row r="73" spans="1:28" ht="15" customHeight="1" x14ac:dyDescent="0.3">
      <c r="A73" s="20" t="str">
        <f t="shared" si="20"/>
        <v/>
      </c>
      <c r="B73" s="779"/>
      <c r="C73" s="782"/>
      <c r="D73" s="760"/>
      <c r="E73" s="721" t="s">
        <v>22</v>
      </c>
      <c r="F73" s="410" t="s">
        <v>62</v>
      </c>
      <c r="G73" s="238"/>
      <c r="H73" s="239"/>
      <c r="I73" s="240" t="str">
        <f t="shared" si="25"/>
        <v/>
      </c>
      <c r="J73" s="241"/>
      <c r="K73" s="240" t="str">
        <f t="shared" si="22"/>
        <v/>
      </c>
      <c r="L73" s="241"/>
      <c r="M73" s="240" t="str">
        <f t="shared" si="23"/>
        <v/>
      </c>
      <c r="N73" s="241"/>
      <c r="O73" s="228"/>
      <c r="P73" s="229"/>
      <c r="Q73" s="228"/>
      <c r="R73" s="229"/>
      <c r="S73" s="667"/>
      <c r="T73" s="668"/>
      <c r="U73" s="667"/>
      <c r="V73" s="669"/>
      <c r="W73" s="205" t="s">
        <v>206</v>
      </c>
      <c r="AB73" s="2" t="str">
        <f t="shared" si="5"/>
        <v/>
      </c>
    </row>
    <row r="74" spans="1:28" ht="15" customHeight="1" x14ac:dyDescent="0.3">
      <c r="A74" s="20" t="str">
        <f t="shared" si="20"/>
        <v/>
      </c>
      <c r="B74" s="779"/>
      <c r="C74" s="782"/>
      <c r="D74" s="760"/>
      <c r="E74" s="727" t="s">
        <v>166</v>
      </c>
      <c r="F74" s="410"/>
      <c r="G74" s="238"/>
      <c r="H74" s="239"/>
      <c r="I74" s="240"/>
      <c r="J74" s="241"/>
      <c r="K74" s="240"/>
      <c r="L74" s="241"/>
      <c r="M74" s="240"/>
      <c r="N74" s="241"/>
      <c r="O74" s="228"/>
      <c r="P74" s="229"/>
      <c r="Q74" s="228"/>
      <c r="R74" s="229"/>
      <c r="S74" s="667"/>
      <c r="T74" s="668"/>
      <c r="U74" s="667"/>
      <c r="V74" s="669"/>
      <c r="W74" s="205"/>
    </row>
    <row r="75" spans="1:28" ht="15" customHeight="1" x14ac:dyDescent="0.3">
      <c r="A75" s="20" t="str">
        <f t="shared" si="20"/>
        <v/>
      </c>
      <c r="B75" s="779"/>
      <c r="C75" s="782"/>
      <c r="D75" s="760"/>
      <c r="E75" s="727" t="s">
        <v>166</v>
      </c>
      <c r="F75" s="410"/>
      <c r="G75" s="238"/>
      <c r="H75" s="239"/>
      <c r="I75" s="240"/>
      <c r="J75" s="241"/>
      <c r="K75" s="240"/>
      <c r="L75" s="241"/>
      <c r="M75" s="240"/>
      <c r="N75" s="241"/>
      <c r="O75" s="228"/>
      <c r="P75" s="229"/>
      <c r="Q75" s="228"/>
      <c r="R75" s="229"/>
      <c r="S75" s="667"/>
      <c r="T75" s="668"/>
      <c r="U75" s="667"/>
      <c r="V75" s="669"/>
      <c r="W75" s="205"/>
    </row>
    <row r="76" spans="1:28" ht="15" customHeight="1" x14ac:dyDescent="0.3">
      <c r="A76" s="20" t="str">
        <f t="shared" si="20"/>
        <v/>
      </c>
      <c r="B76" s="779"/>
      <c r="C76" s="782"/>
      <c r="D76" s="760"/>
      <c r="E76" s="728" t="s">
        <v>166</v>
      </c>
      <c r="F76" s="449"/>
      <c r="G76" s="243"/>
      <c r="H76" s="244"/>
      <c r="I76" s="245"/>
      <c r="J76" s="246"/>
      <c r="K76" s="245"/>
      <c r="L76" s="246"/>
      <c r="M76" s="245"/>
      <c r="N76" s="246"/>
      <c r="O76" s="230"/>
      <c r="P76" s="231"/>
      <c r="Q76" s="230"/>
      <c r="R76" s="231"/>
      <c r="S76" s="670"/>
      <c r="T76" s="671"/>
      <c r="U76" s="670"/>
      <c r="V76" s="672"/>
      <c r="W76" s="205"/>
    </row>
    <row r="77" spans="1:28" ht="15.6" x14ac:dyDescent="0.3">
      <c r="A77" s="20" t="str">
        <f t="shared" si="20"/>
        <v>S</v>
      </c>
      <c r="B77" s="784"/>
      <c r="C77" s="782"/>
      <c r="D77" s="309" t="s">
        <v>138</v>
      </c>
      <c r="E77" s="717"/>
      <c r="F77" s="16"/>
      <c r="G77" s="7">
        <f>SUM(G66:G76)</f>
        <v>0</v>
      </c>
      <c r="H77" s="8">
        <f>SUM(H66:H76)</f>
        <v>0</v>
      </c>
      <c r="I77" s="9" t="e">
        <f t="shared" si="25"/>
        <v>#DIV/0!</v>
      </c>
      <c r="J77" s="202">
        <f>SUM(J66:J76)</f>
        <v>0</v>
      </c>
      <c r="K77" s="51" t="e">
        <f t="shared" si="22"/>
        <v>#DIV/0!</v>
      </c>
      <c r="L77" s="202">
        <f>SUM(L66:L76)</f>
        <v>0</v>
      </c>
      <c r="M77" s="9" t="e">
        <f t="shared" si="23"/>
        <v>#DIV/0!</v>
      </c>
      <c r="N77" s="202">
        <f>SUM(N66:N76)</f>
        <v>0</v>
      </c>
      <c r="O77" s="118">
        <f t="shared" ref="O77:V77" si="27">SUM(O66:O76)</f>
        <v>0</v>
      </c>
      <c r="P77" s="119">
        <f t="shared" si="27"/>
        <v>0</v>
      </c>
      <c r="Q77" s="118">
        <f t="shared" si="27"/>
        <v>0</v>
      </c>
      <c r="R77" s="119">
        <f t="shared" si="27"/>
        <v>0</v>
      </c>
      <c r="S77" s="118">
        <f t="shared" si="27"/>
        <v>0</v>
      </c>
      <c r="T77" s="119">
        <f t="shared" si="27"/>
        <v>0</v>
      </c>
      <c r="U77" s="118">
        <f t="shared" si="27"/>
        <v>0</v>
      </c>
      <c r="V77" s="120">
        <f t="shared" si="27"/>
        <v>0</v>
      </c>
      <c r="W77" s="205" t="s">
        <v>206</v>
      </c>
      <c r="AB77" s="2">
        <f t="shared" si="5"/>
        <v>0</v>
      </c>
    </row>
    <row r="78" spans="1:28" x14ac:dyDescent="0.3">
      <c r="A78" s="20" t="str">
        <f t="shared" si="20"/>
        <v>X</v>
      </c>
      <c r="B78" s="779" t="s">
        <v>167</v>
      </c>
      <c r="C78" s="782" t="s">
        <v>76</v>
      </c>
      <c r="D78" s="757">
        <v>4</v>
      </c>
      <c r="E78" s="719" t="s">
        <v>171</v>
      </c>
      <c r="F78" s="232" t="s">
        <v>62</v>
      </c>
      <c r="G78" s="233">
        <v>42</v>
      </c>
      <c r="H78" s="234">
        <v>21</v>
      </c>
      <c r="I78" s="235">
        <f t="shared" si="25"/>
        <v>0.61904761904761907</v>
      </c>
      <c r="J78" s="236">
        <v>26</v>
      </c>
      <c r="K78" s="235">
        <f t="shared" si="22"/>
        <v>0.21428571428571427</v>
      </c>
      <c r="L78" s="236">
        <v>9</v>
      </c>
      <c r="M78" s="235">
        <f t="shared" si="23"/>
        <v>0.77777777777777779</v>
      </c>
      <c r="N78" s="236">
        <v>7</v>
      </c>
      <c r="O78" s="226">
        <v>1</v>
      </c>
      <c r="P78" s="227">
        <v>1</v>
      </c>
      <c r="Q78" s="226">
        <v>12</v>
      </c>
      <c r="R78" s="227">
        <v>4</v>
      </c>
      <c r="S78" s="284">
        <v>40</v>
      </c>
      <c r="T78" s="285">
        <v>19</v>
      </c>
      <c r="U78" s="284">
        <v>2</v>
      </c>
      <c r="V78" s="286">
        <v>2</v>
      </c>
      <c r="W78" s="205" t="s">
        <v>206</v>
      </c>
      <c r="X78" s="1" t="s">
        <v>172</v>
      </c>
      <c r="AB78" s="2" t="str">
        <f t="shared" si="5"/>
        <v>Frontière</v>
      </c>
    </row>
    <row r="79" spans="1:28" x14ac:dyDescent="0.3">
      <c r="A79" s="20" t="str">
        <f t="shared" si="20"/>
        <v>X</v>
      </c>
      <c r="B79" s="779"/>
      <c r="C79" s="782"/>
      <c r="D79" s="757"/>
      <c r="E79" s="577" t="s">
        <v>173</v>
      </c>
      <c r="F79" s="237" t="s">
        <v>62</v>
      </c>
      <c r="G79" s="238">
        <v>7</v>
      </c>
      <c r="H79" s="239">
        <v>4</v>
      </c>
      <c r="I79" s="240">
        <f t="shared" si="25"/>
        <v>0.8571428571428571</v>
      </c>
      <c r="J79" s="241">
        <v>6</v>
      </c>
      <c r="K79" s="240">
        <f t="shared" si="22"/>
        <v>0.2857142857142857</v>
      </c>
      <c r="L79" s="241">
        <v>2</v>
      </c>
      <c r="M79" s="240">
        <f t="shared" si="23"/>
        <v>0.5</v>
      </c>
      <c r="N79" s="241">
        <v>1</v>
      </c>
      <c r="O79" s="228">
        <v>1</v>
      </c>
      <c r="P79" s="229">
        <v>1</v>
      </c>
      <c r="Q79" s="228">
        <v>0</v>
      </c>
      <c r="R79" s="229">
        <v>0</v>
      </c>
      <c r="S79" s="287">
        <v>4</v>
      </c>
      <c r="T79" s="288">
        <v>2</v>
      </c>
      <c r="U79" s="287">
        <v>0</v>
      </c>
      <c r="V79" s="289">
        <v>0</v>
      </c>
      <c r="W79" s="205" t="s">
        <v>206</v>
      </c>
      <c r="X79" s="1" t="s">
        <v>174</v>
      </c>
      <c r="AB79" s="2" t="str">
        <f t="shared" si="5"/>
        <v>Frontière</v>
      </c>
    </row>
    <row r="80" spans="1:28" ht="15" customHeight="1" x14ac:dyDescent="0.3">
      <c r="A80" s="20" t="str">
        <f t="shared" si="20"/>
        <v/>
      </c>
      <c r="B80" s="779"/>
      <c r="C80" s="782"/>
      <c r="D80" s="757"/>
      <c r="E80" s="727" t="s">
        <v>166</v>
      </c>
      <c r="F80" s="237"/>
      <c r="G80" s="238"/>
      <c r="H80" s="239"/>
      <c r="I80" s="240" t="str">
        <f t="shared" si="25"/>
        <v/>
      </c>
      <c r="J80" s="241"/>
      <c r="K80" s="240" t="str">
        <f t="shared" si="22"/>
        <v/>
      </c>
      <c r="L80" s="241"/>
      <c r="M80" s="240" t="str">
        <f t="shared" si="23"/>
        <v/>
      </c>
      <c r="N80" s="241"/>
      <c r="O80" s="228"/>
      <c r="P80" s="229"/>
      <c r="Q80" s="228"/>
      <c r="R80" s="229"/>
      <c r="S80" s="287"/>
      <c r="T80" s="288"/>
      <c r="U80" s="287"/>
      <c r="V80" s="289"/>
      <c r="W80" s="205" t="s">
        <v>206</v>
      </c>
      <c r="AB80" s="2" t="str">
        <f t="shared" si="5"/>
        <v/>
      </c>
    </row>
    <row r="81" spans="1:28" ht="15" customHeight="1" x14ac:dyDescent="0.3">
      <c r="A81" s="20" t="str">
        <f t="shared" si="20"/>
        <v/>
      </c>
      <c r="B81" s="779"/>
      <c r="C81" s="782"/>
      <c r="D81" s="757"/>
      <c r="E81" s="727" t="s">
        <v>166</v>
      </c>
      <c r="F81" s="237"/>
      <c r="G81" s="238"/>
      <c r="H81" s="239"/>
      <c r="I81" s="240" t="str">
        <f t="shared" si="25"/>
        <v/>
      </c>
      <c r="J81" s="241"/>
      <c r="K81" s="240" t="str">
        <f t="shared" si="22"/>
        <v/>
      </c>
      <c r="L81" s="241"/>
      <c r="M81" s="240" t="str">
        <f t="shared" si="23"/>
        <v/>
      </c>
      <c r="N81" s="241"/>
      <c r="O81" s="228"/>
      <c r="P81" s="229"/>
      <c r="Q81" s="228"/>
      <c r="R81" s="229"/>
      <c r="S81" s="287"/>
      <c r="T81" s="288"/>
      <c r="U81" s="287"/>
      <c r="V81" s="289"/>
      <c r="W81" s="205" t="s">
        <v>206</v>
      </c>
      <c r="AB81" s="2" t="str">
        <f t="shared" si="5"/>
        <v/>
      </c>
    </row>
    <row r="82" spans="1:28" ht="15" customHeight="1" x14ac:dyDescent="0.3">
      <c r="A82" s="20" t="str">
        <f t="shared" si="20"/>
        <v/>
      </c>
      <c r="B82" s="779"/>
      <c r="C82" s="782"/>
      <c r="D82" s="757"/>
      <c r="E82" s="727" t="s">
        <v>166</v>
      </c>
      <c r="F82" s="237" t="s">
        <v>203</v>
      </c>
      <c r="G82" s="238"/>
      <c r="H82" s="239"/>
      <c r="I82" s="240" t="str">
        <f t="shared" si="25"/>
        <v/>
      </c>
      <c r="J82" s="241"/>
      <c r="K82" s="240" t="str">
        <f t="shared" si="22"/>
        <v/>
      </c>
      <c r="L82" s="241"/>
      <c r="M82" s="240" t="str">
        <f t="shared" si="23"/>
        <v/>
      </c>
      <c r="N82" s="241"/>
      <c r="O82" s="228"/>
      <c r="P82" s="229"/>
      <c r="Q82" s="228"/>
      <c r="R82" s="229"/>
      <c r="S82" s="287"/>
      <c r="T82" s="288"/>
      <c r="U82" s="287"/>
      <c r="V82" s="289"/>
      <c r="W82" s="205" t="s">
        <v>206</v>
      </c>
      <c r="AB82" s="2" t="str">
        <f t="shared" si="5"/>
        <v/>
      </c>
    </row>
    <row r="83" spans="1:28" ht="15" customHeight="1" x14ac:dyDescent="0.3">
      <c r="A83" s="20" t="str">
        <f t="shared" si="20"/>
        <v/>
      </c>
      <c r="B83" s="779"/>
      <c r="C83" s="782"/>
      <c r="D83" s="757"/>
      <c r="E83" s="727" t="s">
        <v>166</v>
      </c>
      <c r="F83" s="237" t="s">
        <v>203</v>
      </c>
      <c r="G83" s="238"/>
      <c r="H83" s="239"/>
      <c r="I83" s="240" t="str">
        <f t="shared" si="25"/>
        <v/>
      </c>
      <c r="J83" s="241"/>
      <c r="K83" s="240" t="str">
        <f t="shared" si="22"/>
        <v/>
      </c>
      <c r="L83" s="241"/>
      <c r="M83" s="240" t="str">
        <f t="shared" si="23"/>
        <v/>
      </c>
      <c r="N83" s="241"/>
      <c r="O83" s="228"/>
      <c r="P83" s="229"/>
      <c r="Q83" s="228"/>
      <c r="R83" s="229"/>
      <c r="S83" s="287"/>
      <c r="T83" s="288"/>
      <c r="U83" s="287"/>
      <c r="V83" s="289"/>
      <c r="W83" s="205" t="s">
        <v>206</v>
      </c>
      <c r="AB83" s="2" t="str">
        <f t="shared" si="5"/>
        <v/>
      </c>
    </row>
    <row r="84" spans="1:28" ht="15" customHeight="1" x14ac:dyDescent="0.3">
      <c r="A84" s="20" t="str">
        <f t="shared" si="20"/>
        <v/>
      </c>
      <c r="B84" s="779"/>
      <c r="C84" s="782"/>
      <c r="D84" s="757"/>
      <c r="E84" s="728" t="s">
        <v>166</v>
      </c>
      <c r="F84" s="242"/>
      <c r="G84" s="243"/>
      <c r="H84" s="244"/>
      <c r="I84" s="245" t="str">
        <f t="shared" si="25"/>
        <v/>
      </c>
      <c r="J84" s="246"/>
      <c r="K84" s="245" t="str">
        <f t="shared" si="22"/>
        <v/>
      </c>
      <c r="L84" s="246"/>
      <c r="M84" s="245" t="str">
        <f t="shared" si="23"/>
        <v/>
      </c>
      <c r="N84" s="246"/>
      <c r="O84" s="230"/>
      <c r="P84" s="231"/>
      <c r="Q84" s="230"/>
      <c r="R84" s="231"/>
      <c r="S84" s="290"/>
      <c r="T84" s="291"/>
      <c r="U84" s="290"/>
      <c r="V84" s="292"/>
      <c r="W84" s="205" t="s">
        <v>206</v>
      </c>
      <c r="AB84" s="2" t="str">
        <f t="shared" si="5"/>
        <v/>
      </c>
    </row>
    <row r="85" spans="1:28" ht="15.6" x14ac:dyDescent="0.3">
      <c r="A85" s="20" t="str">
        <f t="shared" si="20"/>
        <v>S</v>
      </c>
      <c r="B85" s="784"/>
      <c r="C85" s="782"/>
      <c r="D85" s="309" t="s">
        <v>138</v>
      </c>
      <c r="E85" s="717"/>
      <c r="F85" s="16"/>
      <c r="G85" s="7">
        <f>SUM(G78:G84)</f>
        <v>49</v>
      </c>
      <c r="H85" s="8">
        <f>SUM(H78:H84)</f>
        <v>25</v>
      </c>
      <c r="I85" s="9">
        <f t="shared" si="25"/>
        <v>0.65306122448979587</v>
      </c>
      <c r="J85" s="202">
        <f>SUM(J78:J84)</f>
        <v>32</v>
      </c>
      <c r="K85" s="51">
        <f t="shared" si="22"/>
        <v>0.22448979591836735</v>
      </c>
      <c r="L85" s="202">
        <f>SUM(L78:L84)</f>
        <v>11</v>
      </c>
      <c r="M85" s="9">
        <f t="shared" si="23"/>
        <v>0.72727272727272729</v>
      </c>
      <c r="N85" s="202">
        <f t="shared" ref="N85:V85" si="28">SUM(N78:N84)</f>
        <v>8</v>
      </c>
      <c r="O85" s="118">
        <f t="shared" si="28"/>
        <v>2</v>
      </c>
      <c r="P85" s="119">
        <f t="shared" si="28"/>
        <v>2</v>
      </c>
      <c r="Q85" s="118">
        <f t="shared" si="28"/>
        <v>12</v>
      </c>
      <c r="R85" s="119">
        <f t="shared" si="28"/>
        <v>4</v>
      </c>
      <c r="S85" s="118">
        <f t="shared" si="28"/>
        <v>44</v>
      </c>
      <c r="T85" s="119">
        <f t="shared" si="28"/>
        <v>21</v>
      </c>
      <c r="U85" s="118">
        <f t="shared" si="28"/>
        <v>2</v>
      </c>
      <c r="V85" s="120">
        <f t="shared" si="28"/>
        <v>2</v>
      </c>
      <c r="W85" s="205" t="s">
        <v>206</v>
      </c>
      <c r="AB85" s="2">
        <f t="shared" si="5"/>
        <v>0</v>
      </c>
    </row>
    <row r="86" spans="1:28" ht="15" customHeight="1" x14ac:dyDescent="0.3">
      <c r="A86" s="20" t="str">
        <f t="shared" si="20"/>
        <v/>
      </c>
      <c r="B86" s="746" t="s">
        <v>1</v>
      </c>
      <c r="C86" s="749" t="s">
        <v>76</v>
      </c>
      <c r="D86" s="754">
        <v>10</v>
      </c>
      <c r="E86" s="719" t="s">
        <v>27</v>
      </c>
      <c r="F86" s="232" t="s">
        <v>62</v>
      </c>
      <c r="G86" s="233"/>
      <c r="H86" s="234"/>
      <c r="I86" s="235" t="str">
        <f t="shared" si="25"/>
        <v/>
      </c>
      <c r="J86" s="236"/>
      <c r="K86" s="235" t="str">
        <f t="shared" si="22"/>
        <v/>
      </c>
      <c r="L86" s="236"/>
      <c r="M86" s="235" t="str">
        <f t="shared" si="23"/>
        <v/>
      </c>
      <c r="N86" s="236"/>
      <c r="O86" s="226"/>
      <c r="P86" s="227"/>
      <c r="Q86" s="226"/>
      <c r="R86" s="227"/>
      <c r="S86" s="284"/>
      <c r="T86" s="285"/>
      <c r="U86" s="284"/>
      <c r="V86" s="286"/>
      <c r="W86" s="205" t="s">
        <v>206</v>
      </c>
      <c r="AB86" s="2" t="str">
        <f t="shared" si="5"/>
        <v/>
      </c>
    </row>
    <row r="87" spans="1:28" ht="15" customHeight="1" x14ac:dyDescent="0.3">
      <c r="A87" s="20" t="str">
        <f t="shared" si="20"/>
        <v/>
      </c>
      <c r="B87" s="747"/>
      <c r="C87" s="750"/>
      <c r="D87" s="755"/>
      <c r="E87" s="577" t="s">
        <v>28</v>
      </c>
      <c r="F87" s="237" t="s">
        <v>62</v>
      </c>
      <c r="G87" s="238"/>
      <c r="H87" s="239"/>
      <c r="I87" s="240" t="str">
        <f t="shared" si="25"/>
        <v/>
      </c>
      <c r="J87" s="241"/>
      <c r="K87" s="240" t="str">
        <f t="shared" si="22"/>
        <v/>
      </c>
      <c r="L87" s="241"/>
      <c r="M87" s="240" t="str">
        <f t="shared" si="23"/>
        <v/>
      </c>
      <c r="N87" s="241"/>
      <c r="O87" s="228"/>
      <c r="P87" s="229"/>
      <c r="Q87" s="228"/>
      <c r="R87" s="229"/>
      <c r="S87" s="287"/>
      <c r="T87" s="288"/>
      <c r="U87" s="287"/>
      <c r="V87" s="289"/>
      <c r="W87" s="205" t="s">
        <v>206</v>
      </c>
      <c r="AB87" s="2" t="str">
        <f t="shared" si="5"/>
        <v/>
      </c>
    </row>
    <row r="88" spans="1:28" ht="15" customHeight="1" x14ac:dyDescent="0.3">
      <c r="A88" s="20" t="str">
        <f t="shared" si="20"/>
        <v/>
      </c>
      <c r="B88" s="747"/>
      <c r="C88" s="750"/>
      <c r="D88" s="755"/>
      <c r="E88" s="577" t="s">
        <v>29</v>
      </c>
      <c r="F88" s="237" t="s">
        <v>62</v>
      </c>
      <c r="G88" s="238"/>
      <c r="H88" s="239"/>
      <c r="I88" s="240" t="str">
        <f t="shared" si="25"/>
        <v/>
      </c>
      <c r="J88" s="241"/>
      <c r="K88" s="240" t="str">
        <f t="shared" si="22"/>
        <v/>
      </c>
      <c r="L88" s="241"/>
      <c r="M88" s="240" t="str">
        <f t="shared" si="23"/>
        <v/>
      </c>
      <c r="N88" s="241"/>
      <c r="O88" s="228"/>
      <c r="P88" s="229"/>
      <c r="Q88" s="228"/>
      <c r="R88" s="229"/>
      <c r="S88" s="287"/>
      <c r="T88" s="288"/>
      <c r="U88" s="287"/>
      <c r="V88" s="289"/>
      <c r="W88" s="205" t="s">
        <v>206</v>
      </c>
      <c r="AB88" s="2" t="str">
        <f t="shared" si="5"/>
        <v/>
      </c>
    </row>
    <row r="89" spans="1:28" ht="15" customHeight="1" x14ac:dyDescent="0.3">
      <c r="A89" s="20" t="str">
        <f t="shared" si="20"/>
        <v/>
      </c>
      <c r="B89" s="747"/>
      <c r="C89" s="750"/>
      <c r="D89" s="755"/>
      <c r="E89" s="577" t="s">
        <v>30</v>
      </c>
      <c r="F89" s="237" t="s">
        <v>62</v>
      </c>
      <c r="G89" s="238"/>
      <c r="H89" s="239"/>
      <c r="I89" s="240" t="str">
        <f t="shared" si="25"/>
        <v/>
      </c>
      <c r="J89" s="241"/>
      <c r="K89" s="240" t="str">
        <f t="shared" si="22"/>
        <v/>
      </c>
      <c r="L89" s="241"/>
      <c r="M89" s="240" t="str">
        <f t="shared" si="23"/>
        <v/>
      </c>
      <c r="N89" s="241"/>
      <c r="O89" s="228"/>
      <c r="P89" s="229"/>
      <c r="Q89" s="228"/>
      <c r="R89" s="229"/>
      <c r="S89" s="287"/>
      <c r="T89" s="288"/>
      <c r="U89" s="287"/>
      <c r="V89" s="289"/>
      <c r="W89" s="205" t="s">
        <v>206</v>
      </c>
      <c r="AB89" s="2" t="str">
        <f t="shared" si="5"/>
        <v/>
      </c>
    </row>
    <row r="90" spans="1:28" ht="15" customHeight="1" x14ac:dyDescent="0.3">
      <c r="A90" s="20" t="str">
        <f t="shared" si="20"/>
        <v/>
      </c>
      <c r="B90" s="747"/>
      <c r="C90" s="750"/>
      <c r="D90" s="755"/>
      <c r="E90" s="577" t="s">
        <v>175</v>
      </c>
      <c r="F90" s="237" t="s">
        <v>62</v>
      </c>
      <c r="G90" s="238"/>
      <c r="H90" s="239"/>
      <c r="I90" s="240" t="str">
        <f t="shared" si="25"/>
        <v/>
      </c>
      <c r="J90" s="241"/>
      <c r="K90" s="240" t="str">
        <f t="shared" si="22"/>
        <v/>
      </c>
      <c r="L90" s="241"/>
      <c r="M90" s="240" t="str">
        <f t="shared" si="23"/>
        <v/>
      </c>
      <c r="N90" s="241"/>
      <c r="O90" s="228"/>
      <c r="P90" s="229"/>
      <c r="Q90" s="228"/>
      <c r="R90" s="229"/>
      <c r="S90" s="287"/>
      <c r="T90" s="288"/>
      <c r="U90" s="287"/>
      <c r="V90" s="289"/>
      <c r="W90" s="205" t="s">
        <v>206</v>
      </c>
      <c r="AB90" s="2" t="str">
        <f t="shared" ref="AB90:AB153" si="29">IF(G90&lt;&gt;"",$F90,"")</f>
        <v/>
      </c>
    </row>
    <row r="91" spans="1:28" ht="15" customHeight="1" x14ac:dyDescent="0.3">
      <c r="A91" s="20" t="str">
        <f t="shared" si="20"/>
        <v/>
      </c>
      <c r="B91" s="747"/>
      <c r="C91" s="750"/>
      <c r="D91" s="755"/>
      <c r="E91" s="727" t="s">
        <v>166</v>
      </c>
      <c r="F91" s="237" t="s">
        <v>203</v>
      </c>
      <c r="G91" s="238"/>
      <c r="H91" s="239"/>
      <c r="I91" s="240" t="str">
        <f t="shared" si="25"/>
        <v/>
      </c>
      <c r="J91" s="241"/>
      <c r="K91" s="240" t="str">
        <f t="shared" si="22"/>
        <v/>
      </c>
      <c r="L91" s="241"/>
      <c r="M91" s="240" t="str">
        <f t="shared" si="23"/>
        <v/>
      </c>
      <c r="N91" s="241"/>
      <c r="O91" s="228"/>
      <c r="P91" s="229"/>
      <c r="Q91" s="228"/>
      <c r="R91" s="229"/>
      <c r="S91" s="287"/>
      <c r="T91" s="288"/>
      <c r="U91" s="287"/>
      <c r="V91" s="289"/>
      <c r="W91" s="205" t="s">
        <v>206</v>
      </c>
      <c r="AB91" s="2" t="str">
        <f t="shared" si="29"/>
        <v/>
      </c>
    </row>
    <row r="92" spans="1:28" ht="15.75" customHeight="1" x14ac:dyDescent="0.3">
      <c r="A92" s="20" t="str">
        <f t="shared" si="20"/>
        <v/>
      </c>
      <c r="B92" s="747"/>
      <c r="C92" s="750"/>
      <c r="D92" s="755"/>
      <c r="E92" s="727" t="s">
        <v>166</v>
      </c>
      <c r="F92" s="237"/>
      <c r="G92" s="238"/>
      <c r="H92" s="239"/>
      <c r="I92" s="240"/>
      <c r="J92" s="241"/>
      <c r="K92" s="240"/>
      <c r="L92" s="241"/>
      <c r="M92" s="240"/>
      <c r="N92" s="241"/>
      <c r="O92" s="228"/>
      <c r="P92" s="229"/>
      <c r="Q92" s="228"/>
      <c r="R92" s="229"/>
      <c r="S92" s="287"/>
      <c r="T92" s="288"/>
      <c r="U92" s="287"/>
      <c r="V92" s="289"/>
      <c r="W92" s="205"/>
    </row>
    <row r="93" spans="1:28" ht="15.75" customHeight="1" x14ac:dyDescent="0.3">
      <c r="A93" s="20" t="str">
        <f t="shared" si="20"/>
        <v/>
      </c>
      <c r="B93" s="747"/>
      <c r="C93" s="750"/>
      <c r="D93" s="755"/>
      <c r="E93" s="727" t="s">
        <v>166</v>
      </c>
      <c r="F93" s="237"/>
      <c r="G93" s="238"/>
      <c r="H93" s="239"/>
      <c r="I93" s="240"/>
      <c r="J93" s="241"/>
      <c r="K93" s="240"/>
      <c r="L93" s="241"/>
      <c r="M93" s="240"/>
      <c r="N93" s="241"/>
      <c r="O93" s="228"/>
      <c r="P93" s="229"/>
      <c r="Q93" s="228"/>
      <c r="R93" s="229"/>
      <c r="S93" s="287"/>
      <c r="T93" s="288"/>
      <c r="U93" s="287"/>
      <c r="V93" s="289"/>
      <c r="W93" s="205"/>
    </row>
    <row r="94" spans="1:28" ht="15.75" customHeight="1" x14ac:dyDescent="0.3">
      <c r="A94" s="20" t="str">
        <f t="shared" si="20"/>
        <v/>
      </c>
      <c r="B94" s="747"/>
      <c r="C94" s="750"/>
      <c r="D94" s="756"/>
      <c r="E94" s="728" t="s">
        <v>166</v>
      </c>
      <c r="F94" s="242"/>
      <c r="G94" s="243"/>
      <c r="H94" s="244"/>
      <c r="I94" s="245"/>
      <c r="J94" s="246"/>
      <c r="K94" s="245"/>
      <c r="L94" s="246"/>
      <c r="M94" s="245"/>
      <c r="N94" s="246"/>
      <c r="O94" s="230"/>
      <c r="P94" s="231"/>
      <c r="Q94" s="230"/>
      <c r="R94" s="231"/>
      <c r="S94" s="290"/>
      <c r="T94" s="291"/>
      <c r="U94" s="290"/>
      <c r="V94" s="292"/>
      <c r="W94" s="205"/>
    </row>
    <row r="95" spans="1:28" ht="15.6" x14ac:dyDescent="0.3">
      <c r="A95" s="20" t="str">
        <f t="shared" si="20"/>
        <v>S</v>
      </c>
      <c r="B95" s="753"/>
      <c r="C95" s="752"/>
      <c r="D95" s="309" t="s">
        <v>138</v>
      </c>
      <c r="E95" s="717"/>
      <c r="F95" s="16"/>
      <c r="G95" s="7">
        <f>SUM(G86:G94)</f>
        <v>0</v>
      </c>
      <c r="H95" s="8">
        <f>SUM(H86:H94)</f>
        <v>0</v>
      </c>
      <c r="I95" s="9" t="e">
        <f t="shared" si="25"/>
        <v>#DIV/0!</v>
      </c>
      <c r="J95" s="202">
        <f>SUM(J86:J94)</f>
        <v>0</v>
      </c>
      <c r="K95" s="51" t="e">
        <f t="shared" si="22"/>
        <v>#DIV/0!</v>
      </c>
      <c r="L95" s="202">
        <f>SUM(L86:L94)</f>
        <v>0</v>
      </c>
      <c r="M95" s="9" t="e">
        <f t="shared" si="23"/>
        <v>#DIV/0!</v>
      </c>
      <c r="N95" s="202">
        <f t="shared" ref="N95:V95" si="30">SUM(N86:N94)</f>
        <v>0</v>
      </c>
      <c r="O95" s="118">
        <f t="shared" si="30"/>
        <v>0</v>
      </c>
      <c r="P95" s="119">
        <f t="shared" si="30"/>
        <v>0</v>
      </c>
      <c r="Q95" s="118">
        <f t="shared" si="30"/>
        <v>0</v>
      </c>
      <c r="R95" s="119">
        <f t="shared" si="30"/>
        <v>0</v>
      </c>
      <c r="S95" s="118">
        <f t="shared" si="30"/>
        <v>0</v>
      </c>
      <c r="T95" s="119">
        <f t="shared" si="30"/>
        <v>0</v>
      </c>
      <c r="U95" s="118">
        <f t="shared" si="30"/>
        <v>0</v>
      </c>
      <c r="V95" s="120">
        <f t="shared" si="30"/>
        <v>0</v>
      </c>
      <c r="W95" s="205" t="s">
        <v>206</v>
      </c>
      <c r="AB95" s="2">
        <f t="shared" si="29"/>
        <v>0</v>
      </c>
    </row>
    <row r="96" spans="1:28" ht="15" customHeight="1" x14ac:dyDescent="0.3">
      <c r="A96" s="20" t="str">
        <f t="shared" si="20"/>
        <v/>
      </c>
      <c r="B96" s="779" t="s">
        <v>45</v>
      </c>
      <c r="C96" s="775" t="s">
        <v>76</v>
      </c>
      <c r="D96" s="759">
        <v>12</v>
      </c>
      <c r="E96" s="720" t="s">
        <v>32</v>
      </c>
      <c r="F96" s="232" t="s">
        <v>62</v>
      </c>
      <c r="G96" s="233"/>
      <c r="H96" s="234"/>
      <c r="I96" s="235" t="str">
        <f t="shared" si="25"/>
        <v/>
      </c>
      <c r="J96" s="236"/>
      <c r="K96" s="235" t="str">
        <f t="shared" si="22"/>
        <v/>
      </c>
      <c r="L96" s="236"/>
      <c r="M96" s="235" t="str">
        <f t="shared" si="23"/>
        <v/>
      </c>
      <c r="N96" s="236"/>
      <c r="O96" s="226"/>
      <c r="P96" s="227"/>
      <c r="Q96" s="226"/>
      <c r="R96" s="227"/>
      <c r="S96" s="284"/>
      <c r="T96" s="285"/>
      <c r="U96" s="284"/>
      <c r="V96" s="286"/>
      <c r="W96" s="205" t="s">
        <v>206</v>
      </c>
      <c r="AB96" s="2" t="str">
        <f t="shared" si="29"/>
        <v/>
      </c>
    </row>
    <row r="97" spans="1:28" ht="15" customHeight="1" x14ac:dyDescent="0.3">
      <c r="A97" s="20" t="str">
        <f t="shared" si="20"/>
        <v/>
      </c>
      <c r="B97" s="779"/>
      <c r="C97" s="775"/>
      <c r="D97" s="759"/>
      <c r="E97" s="721" t="s">
        <v>33</v>
      </c>
      <c r="F97" s="237" t="s">
        <v>62</v>
      </c>
      <c r="G97" s="238"/>
      <c r="H97" s="239"/>
      <c r="I97" s="240" t="str">
        <f t="shared" si="25"/>
        <v/>
      </c>
      <c r="J97" s="241"/>
      <c r="K97" s="240" t="str">
        <f t="shared" si="22"/>
        <v/>
      </c>
      <c r="L97" s="241"/>
      <c r="M97" s="240" t="str">
        <f t="shared" si="23"/>
        <v/>
      </c>
      <c r="N97" s="241"/>
      <c r="O97" s="228"/>
      <c r="P97" s="229"/>
      <c r="Q97" s="228"/>
      <c r="R97" s="229"/>
      <c r="S97" s="287"/>
      <c r="T97" s="288"/>
      <c r="U97" s="287"/>
      <c r="V97" s="289"/>
      <c r="W97" s="205" t="s">
        <v>206</v>
      </c>
      <c r="AB97" s="2" t="str">
        <f t="shared" si="29"/>
        <v/>
      </c>
    </row>
    <row r="98" spans="1:28" ht="15" customHeight="1" x14ac:dyDescent="0.3">
      <c r="A98" s="20" t="str">
        <f t="shared" si="20"/>
        <v/>
      </c>
      <c r="B98" s="779"/>
      <c r="C98" s="775"/>
      <c r="D98" s="759"/>
      <c r="E98" s="721" t="s">
        <v>47</v>
      </c>
      <c r="F98" s="237" t="s">
        <v>62</v>
      </c>
      <c r="G98" s="238"/>
      <c r="H98" s="239"/>
      <c r="I98" s="240" t="str">
        <f t="shared" si="25"/>
        <v/>
      </c>
      <c r="J98" s="241"/>
      <c r="K98" s="240" t="str">
        <f t="shared" si="22"/>
        <v/>
      </c>
      <c r="L98" s="241"/>
      <c r="M98" s="240" t="str">
        <f t="shared" si="23"/>
        <v/>
      </c>
      <c r="N98" s="241"/>
      <c r="O98" s="228"/>
      <c r="P98" s="229"/>
      <c r="Q98" s="228"/>
      <c r="R98" s="229"/>
      <c r="S98" s="287"/>
      <c r="T98" s="288"/>
      <c r="U98" s="287"/>
      <c r="V98" s="289"/>
      <c r="W98" s="205" t="s">
        <v>206</v>
      </c>
      <c r="AB98" s="2" t="str">
        <f t="shared" si="29"/>
        <v/>
      </c>
    </row>
    <row r="99" spans="1:28" ht="15" customHeight="1" x14ac:dyDescent="0.3">
      <c r="A99" s="20" t="str">
        <f t="shared" si="20"/>
        <v/>
      </c>
      <c r="B99" s="779"/>
      <c r="C99" s="775"/>
      <c r="D99" s="759"/>
      <c r="E99" s="721" t="s">
        <v>46</v>
      </c>
      <c r="F99" s="237" t="s">
        <v>62</v>
      </c>
      <c r="G99" s="238"/>
      <c r="H99" s="239"/>
      <c r="I99" s="240" t="str">
        <f t="shared" si="25"/>
        <v/>
      </c>
      <c r="J99" s="241"/>
      <c r="K99" s="240" t="str">
        <f t="shared" si="22"/>
        <v/>
      </c>
      <c r="L99" s="241"/>
      <c r="M99" s="240" t="str">
        <f t="shared" si="23"/>
        <v/>
      </c>
      <c r="N99" s="241"/>
      <c r="O99" s="228"/>
      <c r="P99" s="229"/>
      <c r="Q99" s="228"/>
      <c r="R99" s="229"/>
      <c r="S99" s="287"/>
      <c r="T99" s="288"/>
      <c r="U99" s="287"/>
      <c r="V99" s="289"/>
      <c r="W99" s="205" t="s">
        <v>206</v>
      </c>
      <c r="AB99" s="2" t="str">
        <f t="shared" si="29"/>
        <v/>
      </c>
    </row>
    <row r="100" spans="1:28" ht="15" customHeight="1" x14ac:dyDescent="0.3">
      <c r="A100" s="20" t="str">
        <f t="shared" si="20"/>
        <v/>
      </c>
      <c r="B100" s="779"/>
      <c r="C100" s="775"/>
      <c r="D100" s="759"/>
      <c r="E100" s="721" t="s">
        <v>35</v>
      </c>
      <c r="F100" s="237" t="s">
        <v>62</v>
      </c>
      <c r="G100" s="677"/>
      <c r="H100" s="678"/>
      <c r="I100" s="679" t="str">
        <f t="shared" si="25"/>
        <v/>
      </c>
      <c r="J100" s="680"/>
      <c r="K100" s="679" t="str">
        <f t="shared" si="22"/>
        <v/>
      </c>
      <c r="L100" s="680"/>
      <c r="M100" s="679" t="str">
        <f t="shared" si="23"/>
        <v/>
      </c>
      <c r="N100" s="680"/>
      <c r="O100" s="681"/>
      <c r="P100" s="682"/>
      <c r="Q100" s="681"/>
      <c r="R100" s="682"/>
      <c r="S100" s="683"/>
      <c r="T100" s="684"/>
      <c r="U100" s="683"/>
      <c r="V100" s="685"/>
      <c r="W100" s="205" t="s">
        <v>206</v>
      </c>
      <c r="AB100" s="2" t="str">
        <f t="shared" si="29"/>
        <v/>
      </c>
    </row>
    <row r="101" spans="1:28" ht="15" customHeight="1" x14ac:dyDescent="0.3">
      <c r="A101" s="20" t="str">
        <f t="shared" si="20"/>
        <v/>
      </c>
      <c r="B101" s="779"/>
      <c r="C101" s="775"/>
      <c r="D101" s="759"/>
      <c r="E101" s="721" t="s">
        <v>34</v>
      </c>
      <c r="F101" s="237" t="s">
        <v>62</v>
      </c>
      <c r="G101" s="238"/>
      <c r="H101" s="239"/>
      <c r="I101" s="240" t="str">
        <f t="shared" si="25"/>
        <v/>
      </c>
      <c r="J101" s="241"/>
      <c r="K101" s="240" t="str">
        <f t="shared" si="22"/>
        <v/>
      </c>
      <c r="L101" s="241"/>
      <c r="M101" s="240" t="str">
        <f t="shared" si="23"/>
        <v/>
      </c>
      <c r="N101" s="241"/>
      <c r="O101" s="228"/>
      <c r="P101" s="229"/>
      <c r="Q101" s="228"/>
      <c r="R101" s="229"/>
      <c r="S101" s="287"/>
      <c r="T101" s="288"/>
      <c r="U101" s="287"/>
      <c r="V101" s="289"/>
      <c r="W101" s="205" t="s">
        <v>206</v>
      </c>
      <c r="AB101" s="2" t="str">
        <f t="shared" si="29"/>
        <v/>
      </c>
    </row>
    <row r="102" spans="1:28" ht="15.75" customHeight="1" x14ac:dyDescent="0.3">
      <c r="A102" s="20" t="str">
        <f t="shared" si="20"/>
        <v/>
      </c>
      <c r="B102" s="779"/>
      <c r="C102" s="775"/>
      <c r="D102" s="759"/>
      <c r="E102" s="721" t="s">
        <v>147</v>
      </c>
      <c r="F102" s="237" t="s">
        <v>62</v>
      </c>
      <c r="G102" s="238"/>
      <c r="H102" s="239"/>
      <c r="I102" s="240" t="str">
        <f t="shared" si="25"/>
        <v/>
      </c>
      <c r="J102" s="241"/>
      <c r="K102" s="240" t="str">
        <f t="shared" si="22"/>
        <v/>
      </c>
      <c r="L102" s="241"/>
      <c r="M102" s="240" t="str">
        <f t="shared" si="23"/>
        <v/>
      </c>
      <c r="N102" s="241"/>
      <c r="O102" s="228"/>
      <c r="P102" s="229"/>
      <c r="Q102" s="228"/>
      <c r="R102" s="229"/>
      <c r="S102" s="287"/>
      <c r="T102" s="288"/>
      <c r="U102" s="287"/>
      <c r="V102" s="289"/>
      <c r="W102" s="205" t="s">
        <v>206</v>
      </c>
      <c r="AB102" s="2" t="str">
        <f t="shared" si="29"/>
        <v/>
      </c>
    </row>
    <row r="103" spans="1:28" ht="15.75" customHeight="1" x14ac:dyDescent="0.3">
      <c r="A103" s="20" t="str">
        <f t="shared" si="20"/>
        <v/>
      </c>
      <c r="B103" s="779"/>
      <c r="C103" s="775"/>
      <c r="D103" s="759"/>
      <c r="E103" s="727" t="s">
        <v>166</v>
      </c>
      <c r="F103" s="237" t="s">
        <v>62</v>
      </c>
      <c r="G103" s="238"/>
      <c r="H103" s="239"/>
      <c r="I103" s="240" t="str">
        <f t="shared" si="25"/>
        <v/>
      </c>
      <c r="J103" s="241"/>
      <c r="K103" s="240" t="str">
        <f t="shared" si="22"/>
        <v/>
      </c>
      <c r="L103" s="241"/>
      <c r="M103" s="240" t="str">
        <f t="shared" si="23"/>
        <v/>
      </c>
      <c r="N103" s="241"/>
      <c r="O103" s="228"/>
      <c r="P103" s="229"/>
      <c r="Q103" s="228"/>
      <c r="R103" s="229"/>
      <c r="S103" s="287"/>
      <c r="T103" s="288"/>
      <c r="U103" s="287"/>
      <c r="V103" s="289"/>
      <c r="W103" s="205" t="s">
        <v>206</v>
      </c>
      <c r="AB103" s="2" t="str">
        <f t="shared" si="29"/>
        <v/>
      </c>
    </row>
    <row r="104" spans="1:28" ht="15.75" customHeight="1" x14ac:dyDescent="0.3">
      <c r="A104" s="20" t="str">
        <f t="shared" si="20"/>
        <v/>
      </c>
      <c r="B104" s="779"/>
      <c r="C104" s="775"/>
      <c r="D104" s="759"/>
      <c r="E104" s="727" t="s">
        <v>166</v>
      </c>
      <c r="F104" s="237" t="s">
        <v>62</v>
      </c>
      <c r="G104" s="238"/>
      <c r="H104" s="239"/>
      <c r="I104" s="240" t="str">
        <f t="shared" si="25"/>
        <v/>
      </c>
      <c r="J104" s="241"/>
      <c r="K104" s="240" t="str">
        <f t="shared" si="22"/>
        <v/>
      </c>
      <c r="L104" s="241"/>
      <c r="M104" s="240" t="str">
        <f t="shared" si="23"/>
        <v/>
      </c>
      <c r="N104" s="241"/>
      <c r="O104" s="228"/>
      <c r="P104" s="229"/>
      <c r="Q104" s="228"/>
      <c r="R104" s="229"/>
      <c r="S104" s="287"/>
      <c r="T104" s="288"/>
      <c r="U104" s="287"/>
      <c r="V104" s="289"/>
      <c r="W104" s="205" t="s">
        <v>206</v>
      </c>
      <c r="AB104" s="2" t="str">
        <f t="shared" si="29"/>
        <v/>
      </c>
    </row>
    <row r="105" spans="1:28" ht="15.75" customHeight="1" x14ac:dyDescent="0.3">
      <c r="A105" s="20" t="str">
        <f t="shared" si="20"/>
        <v/>
      </c>
      <c r="B105" s="779"/>
      <c r="C105" s="775"/>
      <c r="D105" s="759"/>
      <c r="E105" s="721" t="s">
        <v>146</v>
      </c>
      <c r="F105" s="237" t="s">
        <v>62</v>
      </c>
      <c r="G105" s="238"/>
      <c r="H105" s="239"/>
      <c r="I105" s="240" t="str">
        <f t="shared" si="25"/>
        <v/>
      </c>
      <c r="J105" s="241"/>
      <c r="K105" s="240" t="str">
        <f t="shared" si="22"/>
        <v/>
      </c>
      <c r="L105" s="241"/>
      <c r="M105" s="240" t="str">
        <f t="shared" si="23"/>
        <v/>
      </c>
      <c r="N105" s="241"/>
      <c r="O105" s="228"/>
      <c r="P105" s="229"/>
      <c r="Q105" s="228"/>
      <c r="R105" s="229"/>
      <c r="S105" s="287"/>
      <c r="T105" s="288"/>
      <c r="U105" s="287"/>
      <c r="V105" s="289"/>
      <c r="W105" s="205" t="s">
        <v>206</v>
      </c>
      <c r="AB105" s="2" t="str">
        <f t="shared" si="29"/>
        <v/>
      </c>
    </row>
    <row r="106" spans="1:28" ht="15.75" customHeight="1" x14ac:dyDescent="0.3">
      <c r="A106" s="20" t="str">
        <f t="shared" si="20"/>
        <v/>
      </c>
      <c r="B106" s="779"/>
      <c r="C106" s="775"/>
      <c r="D106" s="759"/>
      <c r="E106" s="727" t="s">
        <v>166</v>
      </c>
      <c r="F106" s="237"/>
      <c r="G106" s="238"/>
      <c r="H106" s="239"/>
      <c r="I106" s="240"/>
      <c r="J106" s="241"/>
      <c r="K106" s="240"/>
      <c r="L106" s="241"/>
      <c r="M106" s="240"/>
      <c r="N106" s="241"/>
      <c r="O106" s="228"/>
      <c r="P106" s="229"/>
      <c r="Q106" s="228"/>
      <c r="R106" s="229"/>
      <c r="S106" s="287"/>
      <c r="T106" s="288"/>
      <c r="U106" s="287"/>
      <c r="V106" s="289"/>
      <c r="W106" s="205"/>
    </row>
    <row r="107" spans="1:28" ht="15.75" customHeight="1" x14ac:dyDescent="0.3">
      <c r="A107" s="20" t="str">
        <f t="shared" si="20"/>
        <v/>
      </c>
      <c r="B107" s="779"/>
      <c r="C107" s="775"/>
      <c r="D107" s="759"/>
      <c r="E107" s="727" t="s">
        <v>166</v>
      </c>
      <c r="F107" s="237"/>
      <c r="G107" s="238"/>
      <c r="H107" s="239"/>
      <c r="I107" s="240"/>
      <c r="J107" s="241"/>
      <c r="K107" s="240"/>
      <c r="L107" s="241"/>
      <c r="M107" s="240"/>
      <c r="N107" s="241"/>
      <c r="O107" s="228"/>
      <c r="P107" s="229"/>
      <c r="Q107" s="228"/>
      <c r="R107" s="229"/>
      <c r="S107" s="287"/>
      <c r="T107" s="288"/>
      <c r="U107" s="287"/>
      <c r="V107" s="289"/>
      <c r="W107" s="205"/>
    </row>
    <row r="108" spans="1:28" ht="15.75" customHeight="1" x14ac:dyDescent="0.3">
      <c r="A108" s="20" t="str">
        <f t="shared" si="20"/>
        <v/>
      </c>
      <c r="B108" s="779"/>
      <c r="C108" s="775"/>
      <c r="D108" s="759"/>
      <c r="E108" s="728" t="s">
        <v>166</v>
      </c>
      <c r="F108" s="242"/>
      <c r="G108" s="243"/>
      <c r="H108" s="244"/>
      <c r="I108" s="245"/>
      <c r="J108" s="246"/>
      <c r="K108" s="245"/>
      <c r="L108" s="246"/>
      <c r="M108" s="245"/>
      <c r="N108" s="246"/>
      <c r="O108" s="230"/>
      <c r="P108" s="231"/>
      <c r="Q108" s="230"/>
      <c r="R108" s="231"/>
      <c r="S108" s="290"/>
      <c r="T108" s="291"/>
      <c r="U108" s="290"/>
      <c r="V108" s="292"/>
      <c r="W108" s="205"/>
    </row>
    <row r="109" spans="1:28" ht="15.6" x14ac:dyDescent="0.3">
      <c r="A109" s="20" t="str">
        <f t="shared" si="20"/>
        <v>S</v>
      </c>
      <c r="B109" s="784"/>
      <c r="C109" s="775"/>
      <c r="D109" s="309" t="s">
        <v>138</v>
      </c>
      <c r="E109" s="718"/>
      <c r="F109" s="16"/>
      <c r="G109" s="7">
        <f>SUM(G96:G108)</f>
        <v>0</v>
      </c>
      <c r="H109" s="8">
        <f>SUM(H96:H108)</f>
        <v>0</v>
      </c>
      <c r="I109" s="9" t="e">
        <f t="shared" si="25"/>
        <v>#DIV/0!</v>
      </c>
      <c r="J109" s="202">
        <f>SUM(J96:J108)</f>
        <v>0</v>
      </c>
      <c r="K109" s="51" t="e">
        <f t="shared" si="22"/>
        <v>#DIV/0!</v>
      </c>
      <c r="L109" s="202">
        <f>SUM(L96:L108)</f>
        <v>0</v>
      </c>
      <c r="M109" s="9" t="e">
        <f t="shared" si="23"/>
        <v>#DIV/0!</v>
      </c>
      <c r="N109" s="202">
        <f t="shared" ref="N109:V109" si="31">SUM(N96:N108)</f>
        <v>0</v>
      </c>
      <c r="O109" s="118">
        <f t="shared" si="31"/>
        <v>0</v>
      </c>
      <c r="P109" s="119">
        <f t="shared" si="31"/>
        <v>0</v>
      </c>
      <c r="Q109" s="118">
        <f t="shared" si="31"/>
        <v>0</v>
      </c>
      <c r="R109" s="119">
        <f t="shared" si="31"/>
        <v>0</v>
      </c>
      <c r="S109" s="118">
        <f t="shared" si="31"/>
        <v>0</v>
      </c>
      <c r="T109" s="119">
        <f t="shared" si="31"/>
        <v>0</v>
      </c>
      <c r="U109" s="118">
        <f t="shared" si="31"/>
        <v>0</v>
      </c>
      <c r="V109" s="120">
        <f t="shared" si="31"/>
        <v>0</v>
      </c>
      <c r="W109" s="205"/>
      <c r="AB109" s="2">
        <f t="shared" si="29"/>
        <v>0</v>
      </c>
    </row>
    <row r="110" spans="1:28" x14ac:dyDescent="0.3">
      <c r="A110" s="20" t="str">
        <f t="shared" si="20"/>
        <v/>
      </c>
      <c r="B110" s="773" t="s">
        <v>151</v>
      </c>
      <c r="C110" s="782" t="s">
        <v>76</v>
      </c>
      <c r="D110" s="760">
        <v>23</v>
      </c>
      <c r="E110" s="720" t="s">
        <v>154</v>
      </c>
      <c r="F110" s="232" t="s">
        <v>62</v>
      </c>
      <c r="G110" s="673"/>
      <c r="H110" s="674"/>
      <c r="I110" s="224" t="str">
        <f t="shared" si="25"/>
        <v/>
      </c>
      <c r="J110" s="236"/>
      <c r="K110" s="235" t="str">
        <f t="shared" si="22"/>
        <v/>
      </c>
      <c r="L110" s="236"/>
      <c r="M110" s="224" t="str">
        <f t="shared" si="23"/>
        <v/>
      </c>
      <c r="N110" s="236"/>
      <c r="O110" s="226"/>
      <c r="P110" s="227"/>
      <c r="Q110" s="226"/>
      <c r="R110" s="227"/>
      <c r="S110" s="284"/>
      <c r="T110" s="285"/>
      <c r="U110" s="284"/>
      <c r="V110" s="286"/>
      <c r="W110" s="259" t="s">
        <v>206</v>
      </c>
      <c r="AB110" s="2" t="str">
        <f t="shared" si="29"/>
        <v/>
      </c>
    </row>
    <row r="111" spans="1:28" ht="15.75" customHeight="1" x14ac:dyDescent="0.3">
      <c r="A111" s="20" t="str">
        <f t="shared" si="20"/>
        <v/>
      </c>
      <c r="B111" s="773"/>
      <c r="C111" s="782"/>
      <c r="D111" s="760"/>
      <c r="E111" s="721" t="s">
        <v>155</v>
      </c>
      <c r="F111" s="237" t="s">
        <v>62</v>
      </c>
      <c r="G111" s="675"/>
      <c r="H111" s="676"/>
      <c r="I111" s="225" t="str">
        <f t="shared" si="25"/>
        <v/>
      </c>
      <c r="J111" s="241"/>
      <c r="K111" s="240" t="str">
        <f t="shared" si="22"/>
        <v/>
      </c>
      <c r="L111" s="241"/>
      <c r="M111" s="225" t="str">
        <f t="shared" si="23"/>
        <v/>
      </c>
      <c r="N111" s="241"/>
      <c r="O111" s="228"/>
      <c r="P111" s="229"/>
      <c r="Q111" s="228"/>
      <c r="R111" s="229"/>
      <c r="S111" s="287"/>
      <c r="T111" s="288"/>
      <c r="U111" s="287"/>
      <c r="V111" s="289"/>
      <c r="W111" s="260" t="s">
        <v>206</v>
      </c>
      <c r="AB111" s="2" t="str">
        <f t="shared" si="29"/>
        <v/>
      </c>
    </row>
    <row r="112" spans="1:28" ht="15.75" customHeight="1" x14ac:dyDescent="0.3">
      <c r="A112" s="20" t="str">
        <f t="shared" si="20"/>
        <v/>
      </c>
      <c r="B112" s="773"/>
      <c r="C112" s="782"/>
      <c r="D112" s="760"/>
      <c r="E112" s="721" t="s">
        <v>156</v>
      </c>
      <c r="F112" s="237" t="s">
        <v>62</v>
      </c>
      <c r="G112" s="675"/>
      <c r="H112" s="676"/>
      <c r="I112" s="225" t="str">
        <f t="shared" si="25"/>
        <v/>
      </c>
      <c r="J112" s="241"/>
      <c r="K112" s="240" t="str">
        <f t="shared" si="22"/>
        <v/>
      </c>
      <c r="L112" s="241"/>
      <c r="M112" s="225" t="str">
        <f t="shared" si="23"/>
        <v/>
      </c>
      <c r="N112" s="241"/>
      <c r="O112" s="228"/>
      <c r="P112" s="229"/>
      <c r="Q112" s="228"/>
      <c r="R112" s="229"/>
      <c r="S112" s="287"/>
      <c r="T112" s="288"/>
      <c r="U112" s="287"/>
      <c r="V112" s="289"/>
      <c r="W112" s="260" t="s">
        <v>206</v>
      </c>
      <c r="AB112" s="2" t="str">
        <f t="shared" si="29"/>
        <v/>
      </c>
    </row>
    <row r="113" spans="1:28" ht="15" customHeight="1" x14ac:dyDescent="0.3">
      <c r="A113" s="20" t="str">
        <f t="shared" si="20"/>
        <v/>
      </c>
      <c r="B113" s="773"/>
      <c r="C113" s="782"/>
      <c r="D113" s="760"/>
      <c r="E113" s="721" t="s">
        <v>37</v>
      </c>
      <c r="F113" s="410" t="s">
        <v>62</v>
      </c>
      <c r="G113" s="238"/>
      <c r="H113" s="239"/>
      <c r="I113" s="240" t="str">
        <f t="shared" si="25"/>
        <v/>
      </c>
      <c r="J113" s="241"/>
      <c r="K113" s="240" t="str">
        <f t="shared" si="22"/>
        <v/>
      </c>
      <c r="L113" s="241"/>
      <c r="M113" s="240" t="str">
        <f t="shared" si="23"/>
        <v/>
      </c>
      <c r="N113" s="241"/>
      <c r="O113" s="228"/>
      <c r="P113" s="229"/>
      <c r="Q113" s="228"/>
      <c r="R113" s="229"/>
      <c r="S113" s="287"/>
      <c r="T113" s="288"/>
      <c r="U113" s="287"/>
      <c r="V113" s="289"/>
      <c r="W113" s="260" t="s">
        <v>206</v>
      </c>
      <c r="AB113" s="2" t="str">
        <f t="shared" si="29"/>
        <v/>
      </c>
    </row>
    <row r="114" spans="1:28" ht="15" customHeight="1" x14ac:dyDescent="0.3">
      <c r="A114" s="20" t="str">
        <f t="shared" ref="A114:A159" si="32">IF(D114="Sous-total","S",IF(G114="","","X"))</f>
        <v/>
      </c>
      <c r="B114" s="773"/>
      <c r="C114" s="782"/>
      <c r="D114" s="760"/>
      <c r="E114" s="721" t="s">
        <v>157</v>
      </c>
      <c r="F114" s="410" t="s">
        <v>62</v>
      </c>
      <c r="G114" s="238"/>
      <c r="H114" s="239"/>
      <c r="I114" s="240" t="str">
        <f t="shared" si="25"/>
        <v/>
      </c>
      <c r="J114" s="241"/>
      <c r="K114" s="240" t="str">
        <f t="shared" si="22"/>
        <v/>
      </c>
      <c r="L114" s="241"/>
      <c r="M114" s="240" t="str">
        <f t="shared" si="23"/>
        <v/>
      </c>
      <c r="N114" s="241"/>
      <c r="O114" s="228"/>
      <c r="P114" s="229"/>
      <c r="Q114" s="228"/>
      <c r="R114" s="229"/>
      <c r="S114" s="287"/>
      <c r="T114" s="288"/>
      <c r="U114" s="287"/>
      <c r="V114" s="289"/>
      <c r="W114" s="260" t="s">
        <v>206</v>
      </c>
      <c r="AB114" s="2" t="str">
        <f t="shared" si="29"/>
        <v/>
      </c>
    </row>
    <row r="115" spans="1:28" ht="15" customHeight="1" x14ac:dyDescent="0.3">
      <c r="A115" s="20" t="str">
        <f t="shared" si="32"/>
        <v/>
      </c>
      <c r="B115" s="773"/>
      <c r="C115" s="782"/>
      <c r="D115" s="760"/>
      <c r="E115" s="721" t="s">
        <v>38</v>
      </c>
      <c r="F115" s="410" t="s">
        <v>62</v>
      </c>
      <c r="G115" s="238"/>
      <c r="H115" s="239"/>
      <c r="I115" s="240" t="str">
        <f t="shared" si="25"/>
        <v/>
      </c>
      <c r="J115" s="241"/>
      <c r="K115" s="240" t="str">
        <f t="shared" si="22"/>
        <v/>
      </c>
      <c r="L115" s="241"/>
      <c r="M115" s="240" t="str">
        <f t="shared" si="23"/>
        <v/>
      </c>
      <c r="N115" s="241"/>
      <c r="O115" s="228"/>
      <c r="P115" s="229"/>
      <c r="Q115" s="228"/>
      <c r="R115" s="229"/>
      <c r="S115" s="287"/>
      <c r="T115" s="288"/>
      <c r="U115" s="287"/>
      <c r="V115" s="289"/>
      <c r="W115" s="260" t="s">
        <v>206</v>
      </c>
      <c r="AB115" s="2" t="str">
        <f t="shared" si="29"/>
        <v/>
      </c>
    </row>
    <row r="116" spans="1:28" ht="15" customHeight="1" x14ac:dyDescent="0.3">
      <c r="A116" s="20" t="str">
        <f t="shared" si="32"/>
        <v/>
      </c>
      <c r="B116" s="773"/>
      <c r="C116" s="782"/>
      <c r="D116" s="760"/>
      <c r="E116" s="721" t="s">
        <v>158</v>
      </c>
      <c r="F116" s="237" t="s">
        <v>62</v>
      </c>
      <c r="G116" s="238"/>
      <c r="H116" s="239"/>
      <c r="I116" s="240" t="str">
        <f t="shared" si="25"/>
        <v/>
      </c>
      <c r="J116" s="241"/>
      <c r="K116" s="240" t="str">
        <f t="shared" si="22"/>
        <v/>
      </c>
      <c r="L116" s="241"/>
      <c r="M116" s="240" t="str">
        <f t="shared" si="23"/>
        <v/>
      </c>
      <c r="N116" s="241"/>
      <c r="O116" s="228"/>
      <c r="P116" s="229"/>
      <c r="Q116" s="228"/>
      <c r="R116" s="229"/>
      <c r="S116" s="287"/>
      <c r="T116" s="288"/>
      <c r="U116" s="287"/>
      <c r="V116" s="289"/>
      <c r="W116" s="260" t="s">
        <v>206</v>
      </c>
      <c r="AB116" s="2" t="str">
        <f t="shared" si="29"/>
        <v/>
      </c>
    </row>
    <row r="117" spans="1:28" ht="15" customHeight="1" x14ac:dyDescent="0.3">
      <c r="A117" s="20" t="str">
        <f t="shared" si="32"/>
        <v/>
      </c>
      <c r="B117" s="773"/>
      <c r="C117" s="782"/>
      <c r="D117" s="760"/>
      <c r="E117" s="721" t="s">
        <v>148</v>
      </c>
      <c r="F117" s="237" t="s">
        <v>62</v>
      </c>
      <c r="G117" s="238"/>
      <c r="H117" s="239"/>
      <c r="I117" s="240" t="str">
        <f t="shared" si="25"/>
        <v/>
      </c>
      <c r="J117" s="241"/>
      <c r="K117" s="240" t="str">
        <f t="shared" si="22"/>
        <v/>
      </c>
      <c r="L117" s="241"/>
      <c r="M117" s="240" t="str">
        <f t="shared" si="23"/>
        <v/>
      </c>
      <c r="N117" s="241"/>
      <c r="O117" s="228"/>
      <c r="P117" s="229"/>
      <c r="Q117" s="228"/>
      <c r="R117" s="229"/>
      <c r="S117" s="287"/>
      <c r="T117" s="288"/>
      <c r="U117" s="287"/>
      <c r="V117" s="289"/>
      <c r="W117" s="260" t="s">
        <v>206</v>
      </c>
      <c r="AB117" s="2" t="str">
        <f t="shared" si="29"/>
        <v/>
      </c>
    </row>
    <row r="118" spans="1:28" ht="15" customHeight="1" x14ac:dyDescent="0.3">
      <c r="A118" s="20" t="str">
        <f t="shared" si="32"/>
        <v/>
      </c>
      <c r="B118" s="773"/>
      <c r="C118" s="782"/>
      <c r="D118" s="760"/>
      <c r="E118" s="721" t="s">
        <v>149</v>
      </c>
      <c r="F118" s="410" t="s">
        <v>62</v>
      </c>
      <c r="G118" s="677"/>
      <c r="H118" s="678"/>
      <c r="I118" s="679" t="str">
        <f t="shared" si="25"/>
        <v/>
      </c>
      <c r="J118" s="680"/>
      <c r="K118" s="679" t="str">
        <f t="shared" si="22"/>
        <v/>
      </c>
      <c r="L118" s="680"/>
      <c r="M118" s="679" t="str">
        <f t="shared" si="23"/>
        <v/>
      </c>
      <c r="N118" s="680"/>
      <c r="O118" s="681"/>
      <c r="P118" s="682"/>
      <c r="Q118" s="681"/>
      <c r="R118" s="682"/>
      <c r="S118" s="683"/>
      <c r="T118" s="684"/>
      <c r="U118" s="683"/>
      <c r="V118" s="685"/>
      <c r="W118" s="260" t="s">
        <v>206</v>
      </c>
      <c r="AB118" s="2" t="str">
        <f t="shared" si="29"/>
        <v/>
      </c>
    </row>
    <row r="119" spans="1:28" ht="15" customHeight="1" x14ac:dyDescent="0.3">
      <c r="A119" s="20" t="str">
        <f t="shared" si="32"/>
        <v/>
      </c>
      <c r="B119" s="773"/>
      <c r="C119" s="782"/>
      <c r="D119" s="760"/>
      <c r="E119" s="727" t="s">
        <v>166</v>
      </c>
      <c r="F119" s="410" t="s">
        <v>62</v>
      </c>
      <c r="G119" s="238"/>
      <c r="H119" s="239"/>
      <c r="I119" s="240" t="str">
        <f t="shared" si="25"/>
        <v/>
      </c>
      <c r="J119" s="241"/>
      <c r="K119" s="240" t="str">
        <f t="shared" si="22"/>
        <v/>
      </c>
      <c r="L119" s="241"/>
      <c r="M119" s="240" t="str">
        <f t="shared" si="23"/>
        <v/>
      </c>
      <c r="N119" s="241"/>
      <c r="O119" s="228"/>
      <c r="P119" s="229"/>
      <c r="Q119" s="228"/>
      <c r="R119" s="229"/>
      <c r="S119" s="287"/>
      <c r="T119" s="288"/>
      <c r="U119" s="287"/>
      <c r="V119" s="289"/>
      <c r="W119" s="260" t="s">
        <v>206</v>
      </c>
      <c r="AB119" s="2" t="str">
        <f t="shared" si="29"/>
        <v/>
      </c>
    </row>
    <row r="120" spans="1:28" ht="15" customHeight="1" x14ac:dyDescent="0.3">
      <c r="A120" s="20" t="str">
        <f t="shared" si="32"/>
        <v/>
      </c>
      <c r="B120" s="773"/>
      <c r="C120" s="782"/>
      <c r="D120" s="760"/>
      <c r="E120" s="727" t="s">
        <v>166</v>
      </c>
      <c r="F120" s="410" t="s">
        <v>62</v>
      </c>
      <c r="G120" s="238"/>
      <c r="H120" s="239"/>
      <c r="I120" s="240" t="str">
        <f t="shared" si="25"/>
        <v/>
      </c>
      <c r="J120" s="241"/>
      <c r="K120" s="240" t="str">
        <f t="shared" si="22"/>
        <v/>
      </c>
      <c r="L120" s="241"/>
      <c r="M120" s="240" t="str">
        <f t="shared" si="23"/>
        <v/>
      </c>
      <c r="N120" s="241"/>
      <c r="O120" s="228"/>
      <c r="P120" s="229"/>
      <c r="Q120" s="228"/>
      <c r="R120" s="229"/>
      <c r="S120" s="287"/>
      <c r="T120" s="288"/>
      <c r="U120" s="287"/>
      <c r="V120" s="289"/>
      <c r="W120" s="260" t="s">
        <v>206</v>
      </c>
      <c r="AB120" s="2" t="str">
        <f t="shared" si="29"/>
        <v/>
      </c>
    </row>
    <row r="121" spans="1:28" ht="15" customHeight="1" x14ac:dyDescent="0.3">
      <c r="A121" s="20" t="str">
        <f t="shared" si="32"/>
        <v/>
      </c>
      <c r="B121" s="773"/>
      <c r="C121" s="782"/>
      <c r="D121" s="760"/>
      <c r="E121" s="721" t="s">
        <v>152</v>
      </c>
      <c r="F121" s="410" t="s">
        <v>62</v>
      </c>
      <c r="G121" s="677"/>
      <c r="H121" s="678"/>
      <c r="I121" s="679" t="str">
        <f t="shared" si="25"/>
        <v/>
      </c>
      <c r="J121" s="680"/>
      <c r="K121" s="679" t="str">
        <f t="shared" si="22"/>
        <v/>
      </c>
      <c r="L121" s="680"/>
      <c r="M121" s="679" t="str">
        <f t="shared" si="23"/>
        <v/>
      </c>
      <c r="N121" s="680"/>
      <c r="O121" s="681"/>
      <c r="P121" s="682"/>
      <c r="Q121" s="681"/>
      <c r="R121" s="682"/>
      <c r="S121" s="683"/>
      <c r="T121" s="684"/>
      <c r="U121" s="683"/>
      <c r="V121" s="685"/>
      <c r="W121" s="260" t="s">
        <v>206</v>
      </c>
      <c r="AB121" s="2" t="str">
        <f t="shared" si="29"/>
        <v/>
      </c>
    </row>
    <row r="122" spans="1:28" ht="15" customHeight="1" x14ac:dyDescent="0.3">
      <c r="A122" s="20" t="str">
        <f t="shared" si="32"/>
        <v/>
      </c>
      <c r="B122" s="773"/>
      <c r="C122" s="782"/>
      <c r="D122" s="760"/>
      <c r="E122" s="727" t="s">
        <v>166</v>
      </c>
      <c r="F122" s="410"/>
      <c r="G122" s="677"/>
      <c r="H122" s="678"/>
      <c r="I122" s="679"/>
      <c r="J122" s="680"/>
      <c r="K122" s="679"/>
      <c r="L122" s="680"/>
      <c r="M122" s="679"/>
      <c r="N122" s="680"/>
      <c r="O122" s="681"/>
      <c r="P122" s="682"/>
      <c r="Q122" s="681"/>
      <c r="R122" s="682"/>
      <c r="S122" s="683"/>
      <c r="T122" s="684"/>
      <c r="U122" s="683"/>
      <c r="V122" s="685"/>
      <c r="W122" s="261"/>
    </row>
    <row r="123" spans="1:28" ht="15" customHeight="1" x14ac:dyDescent="0.3">
      <c r="A123" s="20" t="str">
        <f t="shared" si="32"/>
        <v/>
      </c>
      <c r="B123" s="773"/>
      <c r="C123" s="782"/>
      <c r="D123" s="760"/>
      <c r="E123" s="727" t="s">
        <v>166</v>
      </c>
      <c r="F123" s="410"/>
      <c r="G123" s="677"/>
      <c r="H123" s="678"/>
      <c r="I123" s="679"/>
      <c r="J123" s="680"/>
      <c r="K123" s="679"/>
      <c r="L123" s="680"/>
      <c r="M123" s="679"/>
      <c r="N123" s="680"/>
      <c r="O123" s="681"/>
      <c r="P123" s="682"/>
      <c r="Q123" s="681"/>
      <c r="R123" s="682"/>
      <c r="S123" s="683"/>
      <c r="T123" s="684"/>
      <c r="U123" s="683"/>
      <c r="V123" s="685"/>
      <c r="W123" s="261"/>
    </row>
    <row r="124" spans="1:28" ht="15" customHeight="1" x14ac:dyDescent="0.3">
      <c r="A124" s="20" t="str">
        <f t="shared" si="32"/>
        <v/>
      </c>
      <c r="B124" s="773"/>
      <c r="C124" s="782"/>
      <c r="D124" s="760"/>
      <c r="E124" s="728" t="s">
        <v>166</v>
      </c>
      <c r="F124" s="449"/>
      <c r="G124" s="705"/>
      <c r="H124" s="706"/>
      <c r="I124" s="707"/>
      <c r="J124" s="708"/>
      <c r="K124" s="707"/>
      <c r="L124" s="708"/>
      <c r="M124" s="707"/>
      <c r="N124" s="708"/>
      <c r="O124" s="709"/>
      <c r="P124" s="710"/>
      <c r="Q124" s="709"/>
      <c r="R124" s="710"/>
      <c r="S124" s="711"/>
      <c r="T124" s="712"/>
      <c r="U124" s="711"/>
      <c r="V124" s="713"/>
      <c r="W124" s="261"/>
    </row>
    <row r="125" spans="1:28" ht="15.6" x14ac:dyDescent="0.3">
      <c r="A125" s="20" t="str">
        <f t="shared" si="32"/>
        <v>S</v>
      </c>
      <c r="B125" s="773"/>
      <c r="C125" s="782"/>
      <c r="D125" s="310" t="s">
        <v>138</v>
      </c>
      <c r="E125" s="718"/>
      <c r="F125" s="250"/>
      <c r="G125" s="7">
        <f>SUM(G110:G124)</f>
        <v>0</v>
      </c>
      <c r="H125" s="8">
        <f>SUM(H110:H124)</f>
        <v>0</v>
      </c>
      <c r="I125" s="9" t="e">
        <f t="shared" si="25"/>
        <v>#DIV/0!</v>
      </c>
      <c r="J125" s="202">
        <f>SUM(J110:J124)</f>
        <v>0</v>
      </c>
      <c r="K125" s="51" t="e">
        <f t="shared" si="22"/>
        <v>#DIV/0!</v>
      </c>
      <c r="L125" s="202">
        <f>SUM(L110:L124)</f>
        <v>0</v>
      </c>
      <c r="M125" s="9" t="e">
        <f t="shared" si="23"/>
        <v>#DIV/0!</v>
      </c>
      <c r="N125" s="202">
        <f t="shared" ref="N125:V125" si="33">SUM(N110:N124)</f>
        <v>0</v>
      </c>
      <c r="O125" s="118">
        <f t="shared" si="33"/>
        <v>0</v>
      </c>
      <c r="P125" s="119">
        <f t="shared" si="33"/>
        <v>0</v>
      </c>
      <c r="Q125" s="118">
        <f t="shared" si="33"/>
        <v>0</v>
      </c>
      <c r="R125" s="119">
        <f t="shared" si="33"/>
        <v>0</v>
      </c>
      <c r="S125" s="118">
        <f t="shared" si="33"/>
        <v>0</v>
      </c>
      <c r="T125" s="119">
        <f t="shared" si="33"/>
        <v>0</v>
      </c>
      <c r="U125" s="118">
        <f t="shared" si="33"/>
        <v>0</v>
      </c>
      <c r="V125" s="120">
        <f t="shared" si="33"/>
        <v>0</v>
      </c>
      <c r="W125" s="261"/>
      <c r="AB125" s="2">
        <f t="shared" si="29"/>
        <v>0</v>
      </c>
    </row>
    <row r="126" spans="1:28" ht="15.75" customHeight="1" x14ac:dyDescent="0.3">
      <c r="A126" s="20" t="str">
        <f t="shared" si="32"/>
        <v/>
      </c>
      <c r="B126" s="788" t="s">
        <v>72</v>
      </c>
      <c r="C126" s="782" t="s">
        <v>76</v>
      </c>
      <c r="D126" s="760">
        <v>3</v>
      </c>
      <c r="E126" s="720" t="s">
        <v>150</v>
      </c>
      <c r="F126" s="442" t="s">
        <v>62</v>
      </c>
      <c r="G126" s="233"/>
      <c r="H126" s="234"/>
      <c r="I126" s="235" t="str">
        <f t="shared" si="25"/>
        <v/>
      </c>
      <c r="J126" s="236"/>
      <c r="K126" s="235" t="str">
        <f t="shared" si="22"/>
        <v/>
      </c>
      <c r="L126" s="236"/>
      <c r="M126" s="235" t="str">
        <f t="shared" si="23"/>
        <v/>
      </c>
      <c r="N126" s="236"/>
      <c r="O126" s="226"/>
      <c r="P126" s="227"/>
      <c r="Q126" s="226"/>
      <c r="R126" s="227"/>
      <c r="S126" s="284"/>
      <c r="T126" s="285"/>
      <c r="U126" s="284"/>
      <c r="V126" s="286"/>
      <c r="W126" s="205" t="s">
        <v>206</v>
      </c>
      <c r="AB126" s="2" t="str">
        <f t="shared" si="29"/>
        <v/>
      </c>
    </row>
    <row r="127" spans="1:28" ht="15.75" customHeight="1" x14ac:dyDescent="0.3">
      <c r="A127" s="20" t="str">
        <f t="shared" si="32"/>
        <v/>
      </c>
      <c r="B127" s="788"/>
      <c r="C127" s="782"/>
      <c r="D127" s="760"/>
      <c r="E127" s="721" t="s">
        <v>153</v>
      </c>
      <c r="F127" s="410" t="s">
        <v>62</v>
      </c>
      <c r="G127" s="238"/>
      <c r="H127" s="239"/>
      <c r="I127" s="240" t="str">
        <f t="shared" si="25"/>
        <v/>
      </c>
      <c r="J127" s="241"/>
      <c r="K127" s="240" t="str">
        <f t="shared" si="22"/>
        <v/>
      </c>
      <c r="L127" s="241"/>
      <c r="M127" s="240" t="str">
        <f t="shared" si="23"/>
        <v/>
      </c>
      <c r="N127" s="241"/>
      <c r="O127" s="228"/>
      <c r="P127" s="229"/>
      <c r="Q127" s="228"/>
      <c r="R127" s="229"/>
      <c r="S127" s="287"/>
      <c r="T127" s="288"/>
      <c r="U127" s="287"/>
      <c r="V127" s="289"/>
      <c r="W127" s="205" t="s">
        <v>206</v>
      </c>
      <c r="AB127" s="2" t="str">
        <f t="shared" si="29"/>
        <v/>
      </c>
    </row>
    <row r="128" spans="1:28" ht="15.75" customHeight="1" x14ac:dyDescent="0.3">
      <c r="A128" s="20" t="str">
        <f t="shared" si="32"/>
        <v/>
      </c>
      <c r="B128" s="788"/>
      <c r="C128" s="782"/>
      <c r="D128" s="760"/>
      <c r="E128" s="727" t="s">
        <v>166</v>
      </c>
      <c r="F128" s="410" t="s">
        <v>62</v>
      </c>
      <c r="G128" s="238"/>
      <c r="H128" s="239"/>
      <c r="I128" s="240" t="str">
        <f t="shared" si="25"/>
        <v/>
      </c>
      <c r="J128" s="241"/>
      <c r="K128" s="240" t="str">
        <f t="shared" si="22"/>
        <v/>
      </c>
      <c r="L128" s="241"/>
      <c r="M128" s="240" t="str">
        <f t="shared" si="23"/>
        <v/>
      </c>
      <c r="N128" s="241"/>
      <c r="O128" s="228"/>
      <c r="P128" s="229"/>
      <c r="Q128" s="228"/>
      <c r="R128" s="229"/>
      <c r="S128" s="287"/>
      <c r="T128" s="288"/>
      <c r="U128" s="287"/>
      <c r="V128" s="289"/>
      <c r="W128" s="205" t="s">
        <v>206</v>
      </c>
      <c r="AB128" s="2" t="str">
        <f t="shared" si="29"/>
        <v/>
      </c>
    </row>
    <row r="129" spans="1:28" ht="15.75" customHeight="1" x14ac:dyDescent="0.3">
      <c r="A129" s="20" t="str">
        <f t="shared" si="32"/>
        <v/>
      </c>
      <c r="B129" s="788"/>
      <c r="C129" s="782"/>
      <c r="D129" s="760"/>
      <c r="E129" s="727" t="s">
        <v>166</v>
      </c>
      <c r="F129" s="410" t="s">
        <v>62</v>
      </c>
      <c r="G129" s="238"/>
      <c r="H129" s="239"/>
      <c r="I129" s="240" t="str">
        <f t="shared" si="25"/>
        <v/>
      </c>
      <c r="J129" s="241"/>
      <c r="K129" s="240" t="str">
        <f t="shared" ref="K129:K161" si="34">IF(L129="","",L129/G129)</f>
        <v/>
      </c>
      <c r="L129" s="241"/>
      <c r="M129" s="240" t="str">
        <f t="shared" ref="M129:M161" si="35">IF(N129="","",N129/L129)</f>
        <v/>
      </c>
      <c r="N129" s="241"/>
      <c r="O129" s="228"/>
      <c r="P129" s="229"/>
      <c r="Q129" s="228"/>
      <c r="R129" s="229"/>
      <c r="S129" s="287"/>
      <c r="T129" s="288"/>
      <c r="U129" s="287"/>
      <c r="V129" s="289"/>
      <c r="W129" s="205" t="s">
        <v>206</v>
      </c>
      <c r="AB129" s="2" t="str">
        <f t="shared" si="29"/>
        <v/>
      </c>
    </row>
    <row r="130" spans="1:28" ht="15.75" customHeight="1" x14ac:dyDescent="0.3">
      <c r="A130" s="20" t="str">
        <f t="shared" si="32"/>
        <v/>
      </c>
      <c r="B130" s="788"/>
      <c r="C130" s="782"/>
      <c r="D130" s="760"/>
      <c r="E130" s="721" t="s">
        <v>36</v>
      </c>
      <c r="F130" s="410" t="s">
        <v>62</v>
      </c>
      <c r="G130" s="238"/>
      <c r="H130" s="239"/>
      <c r="I130" s="240" t="str">
        <f t="shared" si="25"/>
        <v/>
      </c>
      <c r="J130" s="241"/>
      <c r="K130" s="240" t="str">
        <f t="shared" si="34"/>
        <v/>
      </c>
      <c r="L130" s="241"/>
      <c r="M130" s="240" t="str">
        <f t="shared" si="35"/>
        <v/>
      </c>
      <c r="N130" s="241"/>
      <c r="O130" s="228"/>
      <c r="P130" s="229"/>
      <c r="Q130" s="228"/>
      <c r="R130" s="229"/>
      <c r="S130" s="287"/>
      <c r="T130" s="288"/>
      <c r="U130" s="287"/>
      <c r="V130" s="289"/>
      <c r="W130" s="205" t="s">
        <v>206</v>
      </c>
      <c r="AB130" s="2" t="str">
        <f t="shared" si="29"/>
        <v/>
      </c>
    </row>
    <row r="131" spans="1:28" ht="15.75" customHeight="1" x14ac:dyDescent="0.3">
      <c r="A131" s="20" t="str">
        <f t="shared" si="32"/>
        <v/>
      </c>
      <c r="B131" s="788"/>
      <c r="C131" s="782"/>
      <c r="D131" s="760"/>
      <c r="E131" s="727" t="s">
        <v>166</v>
      </c>
      <c r="F131" s="410"/>
      <c r="G131" s="238"/>
      <c r="H131" s="239"/>
      <c r="I131" s="240"/>
      <c r="J131" s="241"/>
      <c r="K131" s="240"/>
      <c r="L131" s="241"/>
      <c r="M131" s="240"/>
      <c r="N131" s="241"/>
      <c r="O131" s="228"/>
      <c r="P131" s="229"/>
      <c r="Q131" s="228"/>
      <c r="R131" s="229"/>
      <c r="S131" s="287"/>
      <c r="T131" s="288"/>
      <c r="U131" s="287"/>
      <c r="V131" s="289"/>
      <c r="W131" s="205"/>
    </row>
    <row r="132" spans="1:28" ht="15.75" customHeight="1" x14ac:dyDescent="0.3">
      <c r="A132" s="20" t="str">
        <f t="shared" si="32"/>
        <v/>
      </c>
      <c r="B132" s="788"/>
      <c r="C132" s="782"/>
      <c r="D132" s="760"/>
      <c r="E132" s="727" t="s">
        <v>166</v>
      </c>
      <c r="F132" s="410"/>
      <c r="G132" s="238"/>
      <c r="H132" s="239"/>
      <c r="I132" s="240"/>
      <c r="J132" s="241"/>
      <c r="K132" s="240"/>
      <c r="L132" s="241"/>
      <c r="M132" s="240"/>
      <c r="N132" s="241"/>
      <c r="O132" s="228"/>
      <c r="P132" s="229"/>
      <c r="Q132" s="228"/>
      <c r="R132" s="229"/>
      <c r="S132" s="287"/>
      <c r="T132" s="288"/>
      <c r="U132" s="287"/>
      <c r="V132" s="289"/>
      <c r="W132" s="205"/>
    </row>
    <row r="133" spans="1:28" ht="15.75" customHeight="1" x14ac:dyDescent="0.3">
      <c r="A133" s="20" t="str">
        <f t="shared" si="32"/>
        <v/>
      </c>
      <c r="B133" s="788"/>
      <c r="C133" s="782"/>
      <c r="D133" s="760"/>
      <c r="E133" s="728" t="s">
        <v>166</v>
      </c>
      <c r="F133" s="449"/>
      <c r="G133" s="243"/>
      <c r="H133" s="244"/>
      <c r="I133" s="245"/>
      <c r="J133" s="246"/>
      <c r="K133" s="245"/>
      <c r="L133" s="246"/>
      <c r="M133" s="245"/>
      <c r="N133" s="246"/>
      <c r="O133" s="230"/>
      <c r="P133" s="231"/>
      <c r="Q133" s="230"/>
      <c r="R133" s="231"/>
      <c r="S133" s="290"/>
      <c r="T133" s="291"/>
      <c r="U133" s="290"/>
      <c r="V133" s="292"/>
      <c r="W133" s="205"/>
    </row>
    <row r="134" spans="1:28" ht="15.75" customHeight="1" x14ac:dyDescent="0.3">
      <c r="A134" s="20" t="str">
        <f t="shared" si="32"/>
        <v>S</v>
      </c>
      <c r="B134" s="788"/>
      <c r="C134" s="782"/>
      <c r="D134" s="310" t="s">
        <v>138</v>
      </c>
      <c r="E134" s="718"/>
      <c r="F134" s="250"/>
      <c r="G134" s="7">
        <f>SUM(G126:G133)</f>
        <v>0</v>
      </c>
      <c r="H134" s="8">
        <f>SUM(H126:H133)</f>
        <v>0</v>
      </c>
      <c r="I134" s="9" t="e">
        <f t="shared" si="25"/>
        <v>#DIV/0!</v>
      </c>
      <c r="J134" s="202">
        <f>SUM(J126:J133)</f>
        <v>0</v>
      </c>
      <c r="K134" s="51" t="e">
        <f t="shared" si="34"/>
        <v>#DIV/0!</v>
      </c>
      <c r="L134" s="202">
        <f>SUM(L126:L133)</f>
        <v>0</v>
      </c>
      <c r="M134" s="9" t="e">
        <f t="shared" si="35"/>
        <v>#DIV/0!</v>
      </c>
      <c r="N134" s="202">
        <f t="shared" ref="N134:V134" si="36">SUM(N126:N133)</f>
        <v>0</v>
      </c>
      <c r="O134" s="118">
        <f t="shared" si="36"/>
        <v>0</v>
      </c>
      <c r="P134" s="119">
        <f t="shared" si="36"/>
        <v>0</v>
      </c>
      <c r="Q134" s="118">
        <f t="shared" si="36"/>
        <v>0</v>
      </c>
      <c r="R134" s="119">
        <f t="shared" si="36"/>
        <v>0</v>
      </c>
      <c r="S134" s="118">
        <f t="shared" si="36"/>
        <v>0</v>
      </c>
      <c r="T134" s="119">
        <f t="shared" si="36"/>
        <v>0</v>
      </c>
      <c r="U134" s="118">
        <f t="shared" si="36"/>
        <v>0</v>
      </c>
      <c r="V134" s="120">
        <f t="shared" si="36"/>
        <v>0</v>
      </c>
      <c r="W134" s="205"/>
      <c r="AB134" s="2">
        <f t="shared" si="29"/>
        <v>0</v>
      </c>
    </row>
    <row r="135" spans="1:28" ht="15.75" customHeight="1" x14ac:dyDescent="0.3">
      <c r="A135" s="20" t="str">
        <f t="shared" si="32"/>
        <v/>
      </c>
      <c r="B135" s="746" t="s">
        <v>3</v>
      </c>
      <c r="C135" s="749" t="s">
        <v>76</v>
      </c>
      <c r="D135" s="754">
        <v>17</v>
      </c>
      <c r="E135" s="719" t="s">
        <v>48</v>
      </c>
      <c r="F135" s="232" t="s">
        <v>61</v>
      </c>
      <c r="G135" s="233"/>
      <c r="H135" s="234"/>
      <c r="I135" s="235" t="str">
        <f t="shared" si="25"/>
        <v/>
      </c>
      <c r="J135" s="236"/>
      <c r="K135" s="235" t="str">
        <f t="shared" si="34"/>
        <v/>
      </c>
      <c r="L135" s="236"/>
      <c r="M135" s="235" t="str">
        <f t="shared" si="35"/>
        <v/>
      </c>
      <c r="N135" s="236"/>
      <c r="O135" s="226"/>
      <c r="P135" s="227"/>
      <c r="Q135" s="226"/>
      <c r="R135" s="227"/>
      <c r="S135" s="664"/>
      <c r="T135" s="665"/>
      <c r="U135" s="664"/>
      <c r="V135" s="666"/>
      <c r="W135" s="205" t="s">
        <v>206</v>
      </c>
      <c r="AB135" s="2" t="str">
        <f t="shared" si="29"/>
        <v/>
      </c>
    </row>
    <row r="136" spans="1:28" ht="15.75" customHeight="1" x14ac:dyDescent="0.3">
      <c r="A136" s="20" t="str">
        <f t="shared" si="32"/>
        <v/>
      </c>
      <c r="B136" s="747"/>
      <c r="C136" s="750"/>
      <c r="D136" s="755"/>
      <c r="E136" s="577" t="s">
        <v>49</v>
      </c>
      <c r="F136" s="237" t="s">
        <v>61</v>
      </c>
      <c r="G136" s="238"/>
      <c r="H136" s="239"/>
      <c r="I136" s="240" t="str">
        <f t="shared" si="25"/>
        <v/>
      </c>
      <c r="J136" s="241"/>
      <c r="K136" s="240" t="str">
        <f t="shared" si="34"/>
        <v/>
      </c>
      <c r="L136" s="241"/>
      <c r="M136" s="240" t="str">
        <f t="shared" si="35"/>
        <v/>
      </c>
      <c r="N136" s="241"/>
      <c r="O136" s="228"/>
      <c r="P136" s="229"/>
      <c r="Q136" s="228"/>
      <c r="R136" s="229"/>
      <c r="S136" s="667"/>
      <c r="T136" s="668"/>
      <c r="U136" s="667"/>
      <c r="V136" s="669"/>
      <c r="W136" s="205" t="s">
        <v>206</v>
      </c>
      <c r="AB136" s="2" t="str">
        <f t="shared" si="29"/>
        <v/>
      </c>
    </row>
    <row r="137" spans="1:28" ht="15.75" customHeight="1" x14ac:dyDescent="0.3">
      <c r="A137" s="20" t="str">
        <f t="shared" si="32"/>
        <v/>
      </c>
      <c r="B137" s="747"/>
      <c r="C137" s="750"/>
      <c r="D137" s="755"/>
      <c r="E137" s="577" t="s">
        <v>81</v>
      </c>
      <c r="F137" s="237" t="s">
        <v>61</v>
      </c>
      <c r="G137" s="238"/>
      <c r="H137" s="239"/>
      <c r="I137" s="240" t="str">
        <f t="shared" si="25"/>
        <v/>
      </c>
      <c r="J137" s="241"/>
      <c r="K137" s="240" t="str">
        <f t="shared" si="34"/>
        <v/>
      </c>
      <c r="L137" s="241"/>
      <c r="M137" s="240" t="str">
        <f t="shared" si="35"/>
        <v/>
      </c>
      <c r="N137" s="241"/>
      <c r="O137" s="228"/>
      <c r="P137" s="229"/>
      <c r="Q137" s="228"/>
      <c r="R137" s="229"/>
      <c r="S137" s="667"/>
      <c r="T137" s="668"/>
      <c r="U137" s="667"/>
      <c r="V137" s="669"/>
      <c r="W137" s="205" t="s">
        <v>206</v>
      </c>
      <c r="AB137" s="2" t="str">
        <f t="shared" si="29"/>
        <v/>
      </c>
    </row>
    <row r="138" spans="1:28" ht="15.75" customHeight="1" x14ac:dyDescent="0.3">
      <c r="A138" s="20" t="str">
        <f t="shared" si="32"/>
        <v/>
      </c>
      <c r="B138" s="747"/>
      <c r="C138" s="750"/>
      <c r="D138" s="755"/>
      <c r="E138" s="577" t="s">
        <v>73</v>
      </c>
      <c r="F138" s="237" t="s">
        <v>61</v>
      </c>
      <c r="G138" s="238"/>
      <c r="H138" s="239"/>
      <c r="I138" s="240" t="str">
        <f t="shared" si="25"/>
        <v/>
      </c>
      <c r="J138" s="241"/>
      <c r="K138" s="240" t="str">
        <f t="shared" si="34"/>
        <v/>
      </c>
      <c r="L138" s="241"/>
      <c r="M138" s="240" t="str">
        <f t="shared" si="35"/>
        <v/>
      </c>
      <c r="N138" s="241"/>
      <c r="O138" s="228"/>
      <c r="P138" s="229"/>
      <c r="Q138" s="228"/>
      <c r="R138" s="229"/>
      <c r="S138" s="667"/>
      <c r="T138" s="668"/>
      <c r="U138" s="667"/>
      <c r="V138" s="669"/>
      <c r="W138" s="205" t="s">
        <v>206</v>
      </c>
      <c r="AB138" s="2" t="str">
        <f t="shared" si="29"/>
        <v/>
      </c>
    </row>
    <row r="139" spans="1:28" ht="15.75" customHeight="1" x14ac:dyDescent="0.3">
      <c r="A139" s="20" t="str">
        <f t="shared" si="32"/>
        <v/>
      </c>
      <c r="B139" s="747"/>
      <c r="C139" s="750"/>
      <c r="D139" s="755"/>
      <c r="E139" s="577" t="s">
        <v>50</v>
      </c>
      <c r="F139" s="237" t="s">
        <v>61</v>
      </c>
      <c r="G139" s="238"/>
      <c r="H139" s="239"/>
      <c r="I139" s="240" t="str">
        <f t="shared" si="25"/>
        <v/>
      </c>
      <c r="J139" s="241"/>
      <c r="K139" s="240" t="str">
        <f t="shared" si="34"/>
        <v/>
      </c>
      <c r="L139" s="241"/>
      <c r="M139" s="240" t="str">
        <f t="shared" si="35"/>
        <v/>
      </c>
      <c r="N139" s="241"/>
      <c r="O139" s="228"/>
      <c r="P139" s="229"/>
      <c r="Q139" s="228"/>
      <c r="R139" s="229"/>
      <c r="S139" s="667"/>
      <c r="T139" s="668"/>
      <c r="U139" s="667"/>
      <c r="V139" s="669"/>
      <c r="W139" s="205" t="s">
        <v>206</v>
      </c>
      <c r="AB139" s="2" t="str">
        <f t="shared" si="29"/>
        <v/>
      </c>
    </row>
    <row r="140" spans="1:28" ht="15.75" customHeight="1" x14ac:dyDescent="0.3">
      <c r="A140" s="20" t="str">
        <f t="shared" si="32"/>
        <v/>
      </c>
      <c r="B140" s="747"/>
      <c r="C140" s="750"/>
      <c r="D140" s="755"/>
      <c r="E140" s="577" t="s">
        <v>144</v>
      </c>
      <c r="F140" s="237" t="s">
        <v>61</v>
      </c>
      <c r="G140" s="238"/>
      <c r="H140" s="239"/>
      <c r="I140" s="240" t="str">
        <f t="shared" si="25"/>
        <v/>
      </c>
      <c r="J140" s="241"/>
      <c r="K140" s="240" t="str">
        <f t="shared" si="34"/>
        <v/>
      </c>
      <c r="L140" s="241"/>
      <c r="M140" s="240" t="str">
        <f t="shared" si="35"/>
        <v/>
      </c>
      <c r="N140" s="241"/>
      <c r="O140" s="228"/>
      <c r="P140" s="229"/>
      <c r="Q140" s="228"/>
      <c r="R140" s="229"/>
      <c r="S140" s="667"/>
      <c r="T140" s="668"/>
      <c r="U140" s="667"/>
      <c r="V140" s="669"/>
      <c r="W140" s="205" t="s">
        <v>206</v>
      </c>
      <c r="AB140" s="2" t="str">
        <f t="shared" si="29"/>
        <v/>
      </c>
    </row>
    <row r="141" spans="1:28" ht="15.75" customHeight="1" x14ac:dyDescent="0.3">
      <c r="A141" s="20" t="str">
        <f t="shared" si="32"/>
        <v/>
      </c>
      <c r="B141" s="747"/>
      <c r="C141" s="750"/>
      <c r="D141" s="755"/>
      <c r="E141" s="577" t="s">
        <v>143</v>
      </c>
      <c r="F141" s="237" t="s">
        <v>61</v>
      </c>
      <c r="G141" s="238"/>
      <c r="H141" s="239"/>
      <c r="I141" s="240" t="str">
        <f t="shared" si="25"/>
        <v/>
      </c>
      <c r="J141" s="241"/>
      <c r="K141" s="240" t="str">
        <f t="shared" si="34"/>
        <v/>
      </c>
      <c r="L141" s="241"/>
      <c r="M141" s="240" t="str">
        <f t="shared" si="35"/>
        <v/>
      </c>
      <c r="N141" s="241"/>
      <c r="O141" s="228"/>
      <c r="P141" s="229"/>
      <c r="Q141" s="228"/>
      <c r="R141" s="229"/>
      <c r="S141" s="667"/>
      <c r="T141" s="668"/>
      <c r="U141" s="667"/>
      <c r="V141" s="669"/>
      <c r="W141" s="205" t="s">
        <v>206</v>
      </c>
      <c r="AB141" s="2" t="str">
        <f t="shared" si="29"/>
        <v/>
      </c>
    </row>
    <row r="142" spans="1:28" ht="15.75" customHeight="1" x14ac:dyDescent="0.3">
      <c r="A142" s="20" t="str">
        <f t="shared" si="32"/>
        <v/>
      </c>
      <c r="B142" s="747"/>
      <c r="C142" s="750"/>
      <c r="D142" s="755"/>
      <c r="E142" s="577" t="s">
        <v>176</v>
      </c>
      <c r="F142" s="237" t="s">
        <v>61</v>
      </c>
      <c r="G142" s="238"/>
      <c r="H142" s="239"/>
      <c r="I142" s="240" t="str">
        <f t="shared" si="25"/>
        <v/>
      </c>
      <c r="J142" s="241"/>
      <c r="K142" s="240" t="str">
        <f t="shared" si="34"/>
        <v/>
      </c>
      <c r="L142" s="241"/>
      <c r="M142" s="240" t="str">
        <f t="shared" si="35"/>
        <v/>
      </c>
      <c r="N142" s="241"/>
      <c r="O142" s="228"/>
      <c r="P142" s="229"/>
      <c r="Q142" s="228"/>
      <c r="R142" s="229"/>
      <c r="S142" s="667"/>
      <c r="T142" s="668"/>
      <c r="U142" s="667"/>
      <c r="V142" s="669"/>
      <c r="W142" s="205" t="s">
        <v>206</v>
      </c>
      <c r="AB142" s="2" t="str">
        <f t="shared" si="29"/>
        <v/>
      </c>
    </row>
    <row r="143" spans="1:28" ht="15.75" customHeight="1" x14ac:dyDescent="0.3">
      <c r="A143" s="20" t="str">
        <f t="shared" si="32"/>
        <v/>
      </c>
      <c r="B143" s="747"/>
      <c r="C143" s="750"/>
      <c r="D143" s="755"/>
      <c r="E143" s="577" t="s">
        <v>177</v>
      </c>
      <c r="F143" s="237" t="s">
        <v>61</v>
      </c>
      <c r="G143" s="238"/>
      <c r="H143" s="239"/>
      <c r="I143" s="240" t="str">
        <f t="shared" ref="I143:I161" si="37">IF(J143="","",J143/G143)</f>
        <v/>
      </c>
      <c r="J143" s="241"/>
      <c r="K143" s="240" t="str">
        <f t="shared" si="34"/>
        <v/>
      </c>
      <c r="L143" s="241"/>
      <c r="M143" s="240" t="str">
        <f t="shared" si="35"/>
        <v/>
      </c>
      <c r="N143" s="241"/>
      <c r="O143" s="228"/>
      <c r="P143" s="229"/>
      <c r="Q143" s="228"/>
      <c r="R143" s="229"/>
      <c r="S143" s="667"/>
      <c r="T143" s="668"/>
      <c r="U143" s="667"/>
      <c r="V143" s="669"/>
      <c r="W143" s="205" t="s">
        <v>206</v>
      </c>
      <c r="AB143" s="2" t="str">
        <f t="shared" si="29"/>
        <v/>
      </c>
    </row>
    <row r="144" spans="1:28" ht="15.75" customHeight="1" x14ac:dyDescent="0.3">
      <c r="A144" s="20" t="str">
        <f t="shared" si="32"/>
        <v/>
      </c>
      <c r="B144" s="747"/>
      <c r="C144" s="750"/>
      <c r="D144" s="755"/>
      <c r="E144" s="577" t="s">
        <v>178</v>
      </c>
      <c r="F144" s="237" t="s">
        <v>61</v>
      </c>
      <c r="G144" s="238"/>
      <c r="H144" s="239"/>
      <c r="I144" s="240" t="str">
        <f t="shared" si="37"/>
        <v/>
      </c>
      <c r="J144" s="241"/>
      <c r="K144" s="240" t="str">
        <f t="shared" si="34"/>
        <v/>
      </c>
      <c r="L144" s="241"/>
      <c r="M144" s="240" t="str">
        <f t="shared" si="35"/>
        <v/>
      </c>
      <c r="N144" s="241"/>
      <c r="O144" s="228"/>
      <c r="P144" s="229"/>
      <c r="Q144" s="228"/>
      <c r="R144" s="229"/>
      <c r="S144" s="667"/>
      <c r="T144" s="668"/>
      <c r="U144" s="667"/>
      <c r="V144" s="669"/>
      <c r="W144" s="205" t="s">
        <v>206</v>
      </c>
      <c r="AB144" s="2" t="str">
        <f t="shared" si="29"/>
        <v/>
      </c>
    </row>
    <row r="145" spans="1:28" ht="15.75" customHeight="1" x14ac:dyDescent="0.3">
      <c r="A145" s="20" t="str">
        <f t="shared" si="32"/>
        <v/>
      </c>
      <c r="B145" s="747"/>
      <c r="C145" s="750"/>
      <c r="D145" s="755"/>
      <c r="E145" s="577" t="s">
        <v>179</v>
      </c>
      <c r="F145" s="237" t="s">
        <v>61</v>
      </c>
      <c r="G145" s="238"/>
      <c r="H145" s="239"/>
      <c r="I145" s="240" t="str">
        <f t="shared" si="37"/>
        <v/>
      </c>
      <c r="J145" s="241"/>
      <c r="K145" s="240" t="str">
        <f t="shared" si="34"/>
        <v/>
      </c>
      <c r="L145" s="241"/>
      <c r="M145" s="240" t="str">
        <f t="shared" si="35"/>
        <v/>
      </c>
      <c r="N145" s="241"/>
      <c r="O145" s="228"/>
      <c r="P145" s="229"/>
      <c r="Q145" s="228"/>
      <c r="R145" s="229"/>
      <c r="S145" s="667"/>
      <c r="T145" s="668"/>
      <c r="U145" s="667"/>
      <c r="V145" s="669"/>
      <c r="W145" s="205" t="s">
        <v>206</v>
      </c>
      <c r="AB145" s="2" t="str">
        <f t="shared" si="29"/>
        <v/>
      </c>
    </row>
    <row r="146" spans="1:28" ht="15.75" customHeight="1" x14ac:dyDescent="0.3">
      <c r="A146" s="20" t="str">
        <f t="shared" si="32"/>
        <v/>
      </c>
      <c r="B146" s="747"/>
      <c r="C146" s="750"/>
      <c r="D146" s="755"/>
      <c r="E146" s="577" t="s">
        <v>180</v>
      </c>
      <c r="F146" s="237" t="s">
        <v>61</v>
      </c>
      <c r="G146" s="238"/>
      <c r="H146" s="239"/>
      <c r="I146" s="240" t="str">
        <f t="shared" si="37"/>
        <v/>
      </c>
      <c r="J146" s="241"/>
      <c r="K146" s="240" t="str">
        <f t="shared" si="34"/>
        <v/>
      </c>
      <c r="L146" s="241"/>
      <c r="M146" s="240" t="str">
        <f t="shared" si="35"/>
        <v/>
      </c>
      <c r="N146" s="241"/>
      <c r="O146" s="228"/>
      <c r="P146" s="229"/>
      <c r="Q146" s="228"/>
      <c r="R146" s="229"/>
      <c r="S146" s="667"/>
      <c r="T146" s="668"/>
      <c r="U146" s="667"/>
      <c r="V146" s="669"/>
      <c r="W146" s="205" t="s">
        <v>206</v>
      </c>
      <c r="AB146" s="2" t="str">
        <f t="shared" si="29"/>
        <v/>
      </c>
    </row>
    <row r="147" spans="1:28" ht="15.75" customHeight="1" x14ac:dyDescent="0.3">
      <c r="A147" s="20" t="str">
        <f t="shared" si="32"/>
        <v/>
      </c>
      <c r="B147" s="747"/>
      <c r="C147" s="750"/>
      <c r="D147" s="755"/>
      <c r="E147" s="577" t="s">
        <v>181</v>
      </c>
      <c r="F147" s="237" t="s">
        <v>61</v>
      </c>
      <c r="G147" s="238"/>
      <c r="H147" s="239"/>
      <c r="I147" s="240" t="str">
        <f t="shared" si="37"/>
        <v/>
      </c>
      <c r="J147" s="241"/>
      <c r="K147" s="240" t="str">
        <f t="shared" si="34"/>
        <v/>
      </c>
      <c r="L147" s="241"/>
      <c r="M147" s="240" t="str">
        <f t="shared" si="35"/>
        <v/>
      </c>
      <c r="N147" s="241"/>
      <c r="O147" s="228"/>
      <c r="P147" s="229"/>
      <c r="Q147" s="228"/>
      <c r="R147" s="229"/>
      <c r="S147" s="667"/>
      <c r="T147" s="668"/>
      <c r="U147" s="667"/>
      <c r="V147" s="669"/>
      <c r="W147" s="205" t="s">
        <v>206</v>
      </c>
      <c r="AB147" s="2" t="str">
        <f t="shared" si="29"/>
        <v/>
      </c>
    </row>
    <row r="148" spans="1:28" ht="15.75" customHeight="1" x14ac:dyDescent="0.3">
      <c r="A148" s="20" t="str">
        <f t="shared" si="32"/>
        <v/>
      </c>
      <c r="B148" s="747"/>
      <c r="C148" s="750"/>
      <c r="D148" s="755"/>
      <c r="E148" s="577" t="s">
        <v>80</v>
      </c>
      <c r="F148" s="237" t="s">
        <v>61</v>
      </c>
      <c r="G148" s="238"/>
      <c r="H148" s="239"/>
      <c r="I148" s="240" t="str">
        <f t="shared" si="37"/>
        <v/>
      </c>
      <c r="J148" s="241"/>
      <c r="K148" s="240" t="str">
        <f t="shared" si="34"/>
        <v/>
      </c>
      <c r="L148" s="241"/>
      <c r="M148" s="240" t="str">
        <f t="shared" si="35"/>
        <v/>
      </c>
      <c r="N148" s="241"/>
      <c r="O148" s="228"/>
      <c r="P148" s="229"/>
      <c r="Q148" s="228"/>
      <c r="R148" s="229"/>
      <c r="S148" s="667"/>
      <c r="T148" s="668"/>
      <c r="U148" s="667"/>
      <c r="V148" s="669"/>
      <c r="W148" s="205" t="s">
        <v>206</v>
      </c>
      <c r="AB148" s="2" t="str">
        <f t="shared" si="29"/>
        <v/>
      </c>
    </row>
    <row r="149" spans="1:28" ht="15.75" customHeight="1" x14ac:dyDescent="0.3">
      <c r="A149" s="20" t="str">
        <f t="shared" si="32"/>
        <v/>
      </c>
      <c r="B149" s="747"/>
      <c r="C149" s="750"/>
      <c r="D149" s="755"/>
      <c r="E149" s="577" t="s">
        <v>51</v>
      </c>
      <c r="F149" s="237" t="s">
        <v>61</v>
      </c>
      <c r="G149" s="238"/>
      <c r="H149" s="239"/>
      <c r="I149" s="240" t="str">
        <f t="shared" si="37"/>
        <v/>
      </c>
      <c r="J149" s="241"/>
      <c r="K149" s="240" t="str">
        <f t="shared" si="34"/>
        <v/>
      </c>
      <c r="L149" s="241"/>
      <c r="M149" s="240" t="str">
        <f t="shared" si="35"/>
        <v/>
      </c>
      <c r="N149" s="241"/>
      <c r="O149" s="228"/>
      <c r="P149" s="229"/>
      <c r="Q149" s="228"/>
      <c r="R149" s="229"/>
      <c r="S149" s="667"/>
      <c r="T149" s="668"/>
      <c r="U149" s="667"/>
      <c r="V149" s="669"/>
      <c r="W149" s="205" t="s">
        <v>206</v>
      </c>
      <c r="AB149" s="2" t="str">
        <f t="shared" si="29"/>
        <v/>
      </c>
    </row>
    <row r="150" spans="1:28" ht="15" customHeight="1" x14ac:dyDescent="0.3">
      <c r="A150" s="20" t="str">
        <f>IF(D150="Sous-total","S",IF(G150="","","X"))</f>
        <v/>
      </c>
      <c r="B150" s="747"/>
      <c r="C150" s="750"/>
      <c r="D150" s="755"/>
      <c r="E150" s="577" t="s">
        <v>31</v>
      </c>
      <c r="F150" s="237" t="s">
        <v>62</v>
      </c>
      <c r="G150" s="238"/>
      <c r="H150" s="239"/>
      <c r="I150" s="240" t="str">
        <f>IF(J150="","",J150/G150)</f>
        <v/>
      </c>
      <c r="J150" s="241"/>
      <c r="K150" s="240" t="str">
        <f>IF(L150="","",L150/G150)</f>
        <v/>
      </c>
      <c r="L150" s="241"/>
      <c r="M150" s="240" t="str">
        <f>IF(N150="","",N150/L150)</f>
        <v/>
      </c>
      <c r="N150" s="241"/>
      <c r="O150" s="228"/>
      <c r="P150" s="229"/>
      <c r="Q150" s="228"/>
      <c r="R150" s="229"/>
      <c r="S150" s="287"/>
      <c r="T150" s="288"/>
      <c r="U150" s="287"/>
      <c r="V150" s="289"/>
      <c r="W150" s="205" t="s">
        <v>206</v>
      </c>
      <c r="X150" s="1" t="s">
        <v>199</v>
      </c>
      <c r="AB150" s="2" t="str">
        <f>IF(G150&lt;&gt;"",$F150,"")</f>
        <v/>
      </c>
    </row>
    <row r="151" spans="1:28" ht="15.75" customHeight="1" x14ac:dyDescent="0.3">
      <c r="A151" s="20" t="str">
        <f t="shared" si="32"/>
        <v/>
      </c>
      <c r="B151" s="747"/>
      <c r="C151" s="750"/>
      <c r="D151" s="755"/>
      <c r="E151" s="727" t="s">
        <v>166</v>
      </c>
      <c r="F151" s="237" t="s">
        <v>203</v>
      </c>
      <c r="G151" s="238"/>
      <c r="H151" s="239"/>
      <c r="I151" s="240" t="str">
        <f t="shared" si="37"/>
        <v/>
      </c>
      <c r="J151" s="241"/>
      <c r="K151" s="240" t="str">
        <f t="shared" si="34"/>
        <v/>
      </c>
      <c r="L151" s="241"/>
      <c r="M151" s="240" t="str">
        <f t="shared" si="35"/>
        <v/>
      </c>
      <c r="N151" s="241"/>
      <c r="O151" s="228"/>
      <c r="P151" s="229"/>
      <c r="Q151" s="228"/>
      <c r="R151" s="229"/>
      <c r="S151" s="667"/>
      <c r="T151" s="668"/>
      <c r="U151" s="667"/>
      <c r="V151" s="669"/>
      <c r="W151" s="205" t="s">
        <v>206</v>
      </c>
      <c r="AB151" s="2" t="str">
        <f t="shared" si="29"/>
        <v/>
      </c>
    </row>
    <row r="152" spans="1:28" ht="15.75" customHeight="1" x14ac:dyDescent="0.3">
      <c r="A152" s="20" t="str">
        <f t="shared" si="32"/>
        <v/>
      </c>
      <c r="B152" s="747"/>
      <c r="C152" s="750"/>
      <c r="D152" s="755"/>
      <c r="E152" s="727" t="s">
        <v>166</v>
      </c>
      <c r="F152" s="237" t="s">
        <v>203</v>
      </c>
      <c r="G152" s="238"/>
      <c r="H152" s="239"/>
      <c r="I152" s="240" t="str">
        <f t="shared" si="37"/>
        <v/>
      </c>
      <c r="J152" s="241"/>
      <c r="K152" s="240" t="str">
        <f t="shared" si="34"/>
        <v/>
      </c>
      <c r="L152" s="241"/>
      <c r="M152" s="240" t="str">
        <f t="shared" si="35"/>
        <v/>
      </c>
      <c r="N152" s="241"/>
      <c r="O152" s="228"/>
      <c r="P152" s="229"/>
      <c r="Q152" s="228"/>
      <c r="R152" s="229"/>
      <c r="S152" s="667"/>
      <c r="T152" s="668"/>
      <c r="U152" s="667"/>
      <c r="V152" s="669"/>
      <c r="W152" s="205" t="s">
        <v>206</v>
      </c>
      <c r="AB152" s="2" t="str">
        <f t="shared" si="29"/>
        <v/>
      </c>
    </row>
    <row r="153" spans="1:28" ht="15.75" customHeight="1" x14ac:dyDescent="0.3">
      <c r="A153" s="20" t="str">
        <f t="shared" si="32"/>
        <v/>
      </c>
      <c r="B153" s="747"/>
      <c r="C153" s="750"/>
      <c r="D153" s="755"/>
      <c r="E153" s="577" t="s">
        <v>52</v>
      </c>
      <c r="F153" s="237" t="s">
        <v>61</v>
      </c>
      <c r="G153" s="238"/>
      <c r="H153" s="239"/>
      <c r="I153" s="240" t="str">
        <f t="shared" si="37"/>
        <v/>
      </c>
      <c r="J153" s="241"/>
      <c r="K153" s="240" t="str">
        <f t="shared" si="34"/>
        <v/>
      </c>
      <c r="L153" s="241"/>
      <c r="M153" s="240" t="str">
        <f t="shared" si="35"/>
        <v/>
      </c>
      <c r="N153" s="241"/>
      <c r="O153" s="228"/>
      <c r="P153" s="229"/>
      <c r="Q153" s="228"/>
      <c r="R153" s="229"/>
      <c r="S153" s="667"/>
      <c r="T153" s="668"/>
      <c r="U153" s="667"/>
      <c r="V153" s="669"/>
      <c r="W153" s="205" t="s">
        <v>206</v>
      </c>
      <c r="AB153" s="2" t="str">
        <f t="shared" si="29"/>
        <v/>
      </c>
    </row>
    <row r="154" spans="1:28" ht="15.75" customHeight="1" x14ac:dyDescent="0.3">
      <c r="A154" s="20" t="str">
        <f t="shared" si="32"/>
        <v/>
      </c>
      <c r="B154" s="747"/>
      <c r="C154" s="750"/>
      <c r="D154" s="755"/>
      <c r="E154" s="727" t="s">
        <v>166</v>
      </c>
      <c r="F154" s="237"/>
      <c r="G154" s="238"/>
      <c r="H154" s="239"/>
      <c r="I154" s="240"/>
      <c r="J154" s="241"/>
      <c r="K154" s="240"/>
      <c r="L154" s="241"/>
      <c r="M154" s="240"/>
      <c r="N154" s="241"/>
      <c r="O154" s="228"/>
      <c r="P154" s="229"/>
      <c r="Q154" s="228"/>
      <c r="R154" s="229"/>
      <c r="S154" s="667"/>
      <c r="T154" s="668"/>
      <c r="U154" s="667"/>
      <c r="V154" s="669"/>
      <c r="W154" s="205"/>
    </row>
    <row r="155" spans="1:28" ht="15.75" customHeight="1" x14ac:dyDescent="0.3">
      <c r="A155" s="20" t="str">
        <f t="shared" si="32"/>
        <v/>
      </c>
      <c r="B155" s="747"/>
      <c r="C155" s="750"/>
      <c r="D155" s="755"/>
      <c r="E155" s="727" t="s">
        <v>166</v>
      </c>
      <c r="F155" s="237"/>
      <c r="G155" s="238"/>
      <c r="H155" s="239"/>
      <c r="I155" s="240"/>
      <c r="J155" s="241"/>
      <c r="K155" s="240"/>
      <c r="L155" s="241"/>
      <c r="M155" s="240"/>
      <c r="N155" s="241"/>
      <c r="O155" s="228"/>
      <c r="P155" s="229"/>
      <c r="Q155" s="228"/>
      <c r="R155" s="229"/>
      <c r="S155" s="667"/>
      <c r="T155" s="668"/>
      <c r="U155" s="667"/>
      <c r="V155" s="669"/>
      <c r="W155" s="205"/>
    </row>
    <row r="156" spans="1:28" ht="15.75" customHeight="1" x14ac:dyDescent="0.3">
      <c r="A156" s="20" t="str">
        <f t="shared" si="32"/>
        <v/>
      </c>
      <c r="B156" s="747"/>
      <c r="C156" s="750"/>
      <c r="D156" s="755"/>
      <c r="E156" s="727" t="s">
        <v>166</v>
      </c>
      <c r="F156" s="237"/>
      <c r="G156" s="238"/>
      <c r="H156" s="239"/>
      <c r="I156" s="240"/>
      <c r="J156" s="241"/>
      <c r="K156" s="240"/>
      <c r="L156" s="241"/>
      <c r="M156" s="240"/>
      <c r="N156" s="241"/>
      <c r="O156" s="228"/>
      <c r="P156" s="229"/>
      <c r="Q156" s="228"/>
      <c r="R156" s="229"/>
      <c r="S156" s="667"/>
      <c r="T156" s="668"/>
      <c r="U156" s="667"/>
      <c r="V156" s="669"/>
      <c r="W156" s="205"/>
    </row>
    <row r="157" spans="1:28" ht="15.75" customHeight="1" x14ac:dyDescent="0.3">
      <c r="A157" s="20" t="str">
        <f t="shared" si="32"/>
        <v/>
      </c>
      <c r="B157" s="747"/>
      <c r="C157" s="750"/>
      <c r="D157" s="755"/>
      <c r="E157" s="727" t="s">
        <v>166</v>
      </c>
      <c r="F157" s="237"/>
      <c r="G157" s="238"/>
      <c r="H157" s="239"/>
      <c r="I157" s="240"/>
      <c r="J157" s="241"/>
      <c r="K157" s="240"/>
      <c r="L157" s="241"/>
      <c r="M157" s="240"/>
      <c r="N157" s="241"/>
      <c r="O157" s="228"/>
      <c r="P157" s="229"/>
      <c r="Q157" s="228"/>
      <c r="R157" s="229"/>
      <c r="S157" s="667"/>
      <c r="T157" s="668"/>
      <c r="U157" s="667"/>
      <c r="V157" s="669"/>
      <c r="W157" s="205"/>
    </row>
    <row r="158" spans="1:28" ht="15.75" customHeight="1" x14ac:dyDescent="0.3">
      <c r="A158" s="20" t="str">
        <f t="shared" si="32"/>
        <v/>
      </c>
      <c r="B158" s="747"/>
      <c r="C158" s="750"/>
      <c r="D158" s="756"/>
      <c r="E158" s="728" t="s">
        <v>166</v>
      </c>
      <c r="F158" s="242"/>
      <c r="G158" s="243"/>
      <c r="H158" s="244"/>
      <c r="I158" s="245"/>
      <c r="J158" s="246"/>
      <c r="K158" s="245"/>
      <c r="L158" s="246"/>
      <c r="M158" s="245"/>
      <c r="N158" s="246"/>
      <c r="O158" s="230"/>
      <c r="P158" s="231"/>
      <c r="Q158" s="230"/>
      <c r="R158" s="231"/>
      <c r="S158" s="670"/>
      <c r="T158" s="671"/>
      <c r="U158" s="670"/>
      <c r="V158" s="672"/>
      <c r="W158" s="205"/>
    </row>
    <row r="159" spans="1:28" ht="16.2" thickBot="1" x14ac:dyDescent="0.35">
      <c r="A159" s="20" t="str">
        <f t="shared" si="32"/>
        <v>S</v>
      </c>
      <c r="B159" s="748"/>
      <c r="C159" s="751"/>
      <c r="D159" s="311" t="s">
        <v>138</v>
      </c>
      <c r="E159" s="388"/>
      <c r="F159" s="198"/>
      <c r="G159" s="199">
        <f>SUM(G135:G158)</f>
        <v>0</v>
      </c>
      <c r="H159" s="200">
        <f>SUM(H135:H158)</f>
        <v>0</v>
      </c>
      <c r="I159" s="9" t="e">
        <f t="shared" si="37"/>
        <v>#DIV/0!</v>
      </c>
      <c r="J159" s="203">
        <f>SUM(J135:J158)</f>
        <v>0</v>
      </c>
      <c r="K159" s="51" t="e">
        <f t="shared" si="34"/>
        <v>#DIV/0!</v>
      </c>
      <c r="L159" s="203">
        <f>SUM(L135:L158)</f>
        <v>0</v>
      </c>
      <c r="M159" s="9" t="e">
        <f t="shared" si="35"/>
        <v>#DIV/0!</v>
      </c>
      <c r="N159" s="203">
        <f t="shared" ref="N159:V159" si="38">SUM(N135:N158)</f>
        <v>0</v>
      </c>
      <c r="O159" s="129">
        <f t="shared" si="38"/>
        <v>0</v>
      </c>
      <c r="P159" s="130">
        <f t="shared" si="38"/>
        <v>0</v>
      </c>
      <c r="Q159" s="129">
        <f t="shared" si="38"/>
        <v>0</v>
      </c>
      <c r="R159" s="130">
        <f t="shared" si="38"/>
        <v>0</v>
      </c>
      <c r="S159" s="129">
        <f t="shared" si="38"/>
        <v>0</v>
      </c>
      <c r="T159" s="130">
        <f t="shared" si="38"/>
        <v>0</v>
      </c>
      <c r="U159" s="129">
        <f t="shared" si="38"/>
        <v>0</v>
      </c>
      <c r="V159" s="131">
        <f t="shared" si="38"/>
        <v>0</v>
      </c>
      <c r="W159" s="205" t="s">
        <v>206</v>
      </c>
    </row>
    <row r="160" spans="1:28" s="15" customFormat="1" ht="27.75" customHeight="1" thickBot="1" x14ac:dyDescent="0.35">
      <c r="A160" s="20" t="s">
        <v>106</v>
      </c>
      <c r="B160" s="102" t="s">
        <v>77</v>
      </c>
      <c r="C160" s="103"/>
      <c r="D160" s="103">
        <f>SUM(D66:D159)</f>
        <v>79</v>
      </c>
      <c r="E160" s="631" t="s">
        <v>79</v>
      </c>
      <c r="F160" s="372"/>
      <c r="G160" s="56">
        <f>G77+G85+G95+G109+G125+G134+G159</f>
        <v>49</v>
      </c>
      <c r="H160" s="35">
        <f>H77+H85+H95+H109+H125+H134+H159</f>
        <v>25</v>
      </c>
      <c r="I160" s="32">
        <f t="shared" si="37"/>
        <v>0.65306122448979587</v>
      </c>
      <c r="J160" s="33">
        <f>J77+J85+J95+J109+J125+J134+J159</f>
        <v>32</v>
      </c>
      <c r="K160" s="32">
        <f t="shared" si="34"/>
        <v>0.22448979591836735</v>
      </c>
      <c r="L160" s="33">
        <f>L77+L85+L95+L109+L125+L134+L159</f>
        <v>11</v>
      </c>
      <c r="M160" s="32">
        <f t="shared" si="35"/>
        <v>0.72727272727272729</v>
      </c>
      <c r="N160" s="33">
        <f t="shared" ref="N160:V160" si="39">N77+N85+N95+N109+N125+N134+N159</f>
        <v>8</v>
      </c>
      <c r="O160" s="34">
        <f t="shared" si="39"/>
        <v>2</v>
      </c>
      <c r="P160" s="35">
        <f t="shared" si="39"/>
        <v>2</v>
      </c>
      <c r="Q160" s="34">
        <f t="shared" si="39"/>
        <v>12</v>
      </c>
      <c r="R160" s="35">
        <f t="shared" si="39"/>
        <v>4</v>
      </c>
      <c r="S160" s="34">
        <f t="shared" si="39"/>
        <v>44</v>
      </c>
      <c r="T160" s="35">
        <f t="shared" si="39"/>
        <v>21</v>
      </c>
      <c r="U160" s="34">
        <f t="shared" si="39"/>
        <v>2</v>
      </c>
      <c r="V160" s="36">
        <f t="shared" si="39"/>
        <v>2</v>
      </c>
      <c r="W160" s="205"/>
      <c r="X160" s="362"/>
      <c r="AB160" s="2"/>
    </row>
    <row r="161" spans="1:28" s="354" customFormat="1" ht="31.5" customHeight="1" thickBot="1" x14ac:dyDescent="0.35">
      <c r="A161" s="20" t="s">
        <v>106</v>
      </c>
      <c r="B161" s="345" t="s">
        <v>66</v>
      </c>
      <c r="C161" s="346"/>
      <c r="D161" s="346">
        <f>D160+D65</f>
        <v>119</v>
      </c>
      <c r="E161" s="632" t="s">
        <v>79</v>
      </c>
      <c r="F161" s="364"/>
      <c r="G161" s="347">
        <f>G65+G160</f>
        <v>581</v>
      </c>
      <c r="H161" s="348">
        <f>H65+H160</f>
        <v>241</v>
      </c>
      <c r="I161" s="349">
        <f t="shared" si="37"/>
        <v>0.45955249569707401</v>
      </c>
      <c r="J161" s="350">
        <f>J65+J160</f>
        <v>267</v>
      </c>
      <c r="K161" s="349">
        <f t="shared" si="34"/>
        <v>0.32185886402753872</v>
      </c>
      <c r="L161" s="350">
        <f>L65+L160</f>
        <v>187</v>
      </c>
      <c r="M161" s="349">
        <f t="shared" si="35"/>
        <v>0.56149732620320858</v>
      </c>
      <c r="N161" s="350">
        <f t="shared" ref="N161:V161" si="40">N65+N160</f>
        <v>105</v>
      </c>
      <c r="O161" s="351">
        <f t="shared" si="40"/>
        <v>19</v>
      </c>
      <c r="P161" s="348">
        <f t="shared" si="40"/>
        <v>17</v>
      </c>
      <c r="Q161" s="351">
        <f t="shared" si="40"/>
        <v>36</v>
      </c>
      <c r="R161" s="348">
        <f t="shared" si="40"/>
        <v>23</v>
      </c>
      <c r="S161" s="351">
        <f t="shared" si="40"/>
        <v>44</v>
      </c>
      <c r="T161" s="348">
        <f t="shared" si="40"/>
        <v>21</v>
      </c>
      <c r="U161" s="351">
        <f t="shared" si="40"/>
        <v>2</v>
      </c>
      <c r="V161" s="352">
        <f t="shared" si="40"/>
        <v>2</v>
      </c>
      <c r="W161" s="205"/>
      <c r="X161" s="371"/>
      <c r="AB161" s="2"/>
    </row>
    <row r="162" spans="1:28" x14ac:dyDescent="0.3">
      <c r="A162" s="20" t="s">
        <v>106</v>
      </c>
      <c r="B162" s="5"/>
      <c r="C162" s="14"/>
      <c r="D162" s="14"/>
      <c r="E162" s="5"/>
      <c r="F162" s="14"/>
      <c r="G162" s="57"/>
      <c r="H162" s="57"/>
      <c r="I162" s="58"/>
      <c r="J162" s="58"/>
      <c r="K162" s="58"/>
      <c r="L162" s="58"/>
      <c r="M162" s="758" t="s">
        <v>68</v>
      </c>
      <c r="N162" s="758"/>
      <c r="O162" s="57"/>
      <c r="P162" s="57"/>
      <c r="Q162" s="57"/>
      <c r="R162" s="57"/>
      <c r="S162" s="57"/>
      <c r="T162" s="57"/>
      <c r="U162" s="57"/>
      <c r="V162" s="57"/>
      <c r="AB162" s="2" t="str">
        <f t="shared" ref="AB162" si="41">IF(G162&gt;0,$F162,"")</f>
        <v/>
      </c>
    </row>
    <row r="163" spans="1:28" x14ac:dyDescent="0.3">
      <c r="A163" s="20" t="s">
        <v>106</v>
      </c>
    </row>
    <row r="164" spans="1:28" x14ac:dyDescent="0.3">
      <c r="A164" s="20" t="s">
        <v>106</v>
      </c>
      <c r="E164" s="26" t="s">
        <v>205</v>
      </c>
      <c r="F164" s="389" t="s">
        <v>204</v>
      </c>
    </row>
    <row r="165" spans="1:28" x14ac:dyDescent="0.3">
      <c r="A165" s="20" t="s">
        <v>106</v>
      </c>
      <c r="E165" s="223" t="s">
        <v>60</v>
      </c>
      <c r="F165" s="714">
        <f>COUNTIF(AB$5:AB$153,$E164)</f>
        <v>0</v>
      </c>
    </row>
    <row r="166" spans="1:28" x14ac:dyDescent="0.3">
      <c r="A166" s="20" t="s">
        <v>106</v>
      </c>
      <c r="E166" s="1" t="s">
        <v>61</v>
      </c>
      <c r="F166" s="2">
        <f>COUNTIF(AB$5:AB$153,$E165)</f>
        <v>9</v>
      </c>
    </row>
    <row r="167" spans="1:28" ht="15" thickBot="1" x14ac:dyDescent="0.35">
      <c r="A167" s="20" t="s">
        <v>106</v>
      </c>
      <c r="E167" s="509" t="s">
        <v>62</v>
      </c>
      <c r="F167" s="510">
        <f>COUNTIF(AB$5:AB$153,$E166)</f>
        <v>0</v>
      </c>
    </row>
    <row r="168" spans="1:28" x14ac:dyDescent="0.3">
      <c r="A168" s="20" t="s">
        <v>106</v>
      </c>
      <c r="E168" s="511" t="s">
        <v>66</v>
      </c>
      <c r="F168" s="715">
        <f t="shared" ref="F168" si="42">SUM(F165:F167)</f>
        <v>9</v>
      </c>
    </row>
    <row r="169" spans="1:28" x14ac:dyDescent="0.3">
      <c r="E169" s="31"/>
    </row>
    <row r="170" spans="1:28" x14ac:dyDescent="0.3">
      <c r="E170" s="31"/>
    </row>
    <row r="171" spans="1:28" x14ac:dyDescent="0.3">
      <c r="E171" s="31"/>
    </row>
    <row r="172" spans="1:28" x14ac:dyDescent="0.3">
      <c r="E172" s="31"/>
    </row>
    <row r="175" spans="1:28" ht="15" customHeight="1" x14ac:dyDescent="0.3"/>
    <row r="176" spans="1:28" ht="15" customHeight="1" x14ac:dyDescent="0.3"/>
    <row r="177" spans="5:5" s="1" customFormat="1" ht="15" customHeight="1" x14ac:dyDescent="0.3"/>
    <row r="178" spans="5:5" s="1" customFormat="1" ht="15" customHeight="1" x14ac:dyDescent="0.3"/>
    <row r="179" spans="5:5" s="1" customFormat="1" ht="15" customHeight="1" x14ac:dyDescent="0.3"/>
    <row r="180" spans="5:5" s="1" customFormat="1" ht="15" customHeight="1" x14ac:dyDescent="0.3"/>
    <row r="181" spans="5:5" s="1" customFormat="1" ht="15" customHeight="1" x14ac:dyDescent="0.3"/>
    <row r="182" spans="5:5" s="1" customFormat="1" ht="15" customHeight="1" x14ac:dyDescent="0.3"/>
    <row r="183" spans="5:5" s="1" customFormat="1" ht="15" customHeight="1" x14ac:dyDescent="0.3"/>
    <row r="184" spans="5:5" s="1" customFormat="1" ht="15.75" customHeight="1" x14ac:dyDescent="0.3"/>
    <row r="185" spans="5:5" s="1" customFormat="1" ht="15.75" customHeight="1" x14ac:dyDescent="0.3">
      <c r="E185" s="31"/>
    </row>
    <row r="186" spans="5:5" s="1" customFormat="1" ht="15" customHeight="1" x14ac:dyDescent="0.3"/>
    <row r="187" spans="5:5" s="1" customFormat="1" ht="15" customHeight="1" x14ac:dyDescent="0.3">
      <c r="E187" s="31"/>
    </row>
    <row r="188" spans="5:5" s="1" customFormat="1" ht="15" customHeight="1" x14ac:dyDescent="0.3">
      <c r="E188" s="31"/>
    </row>
    <row r="189" spans="5:5" s="1" customFormat="1" ht="15" customHeight="1" x14ac:dyDescent="0.3"/>
    <row r="201" spans="5:5" s="1" customFormat="1" x14ac:dyDescent="0.3">
      <c r="E201" s="31"/>
    </row>
    <row r="203" spans="5:5" s="1" customFormat="1" x14ac:dyDescent="0.3">
      <c r="E203" s="31"/>
    </row>
    <row r="204" spans="5:5" s="1" customFormat="1" x14ac:dyDescent="0.3">
      <c r="E204" s="31"/>
    </row>
    <row r="217" spans="5:5" s="1" customFormat="1" x14ac:dyDescent="0.3">
      <c r="E217" s="31"/>
    </row>
    <row r="219" spans="5:5" s="1" customFormat="1" x14ac:dyDescent="0.3">
      <c r="E219" s="31"/>
    </row>
    <row r="220" spans="5:5" s="1" customFormat="1" x14ac:dyDescent="0.3">
      <c r="E220" s="31"/>
    </row>
    <row r="233" spans="5:5" s="1" customFormat="1" x14ac:dyDescent="0.3">
      <c r="E233" s="31"/>
    </row>
  </sheetData>
  <autoFilter ref="A1:V167" xr:uid="{00000000-0009-0000-0000-000004000000}"/>
  <mergeCells count="53">
    <mergeCell ref="B110:B125"/>
    <mergeCell ref="C110:C125"/>
    <mergeCell ref="D96:D108"/>
    <mergeCell ref="D110:D124"/>
    <mergeCell ref="M162:N162"/>
    <mergeCell ref="B126:B134"/>
    <mergeCell ref="C126:C134"/>
    <mergeCell ref="D126:D133"/>
    <mergeCell ref="B135:B159"/>
    <mergeCell ref="C135:C159"/>
    <mergeCell ref="B78:B85"/>
    <mergeCell ref="C78:C85"/>
    <mergeCell ref="D78:D84"/>
    <mergeCell ref="B96:B109"/>
    <mergeCell ref="C96:C109"/>
    <mergeCell ref="B50:B64"/>
    <mergeCell ref="C50:C64"/>
    <mergeCell ref="B66:B77"/>
    <mergeCell ref="C66:C77"/>
    <mergeCell ref="D50:D63"/>
    <mergeCell ref="D66:D76"/>
    <mergeCell ref="U2:V2"/>
    <mergeCell ref="B5:B8"/>
    <mergeCell ref="C5:C8"/>
    <mergeCell ref="I2:I4"/>
    <mergeCell ref="J2:J4"/>
    <mergeCell ref="K2:K4"/>
    <mergeCell ref="L2:L4"/>
    <mergeCell ref="M2:M4"/>
    <mergeCell ref="N2:N4"/>
    <mergeCell ref="B2:B4"/>
    <mergeCell ref="C2:C4"/>
    <mergeCell ref="D2:D4"/>
    <mergeCell ref="E2:E4"/>
    <mergeCell ref="F2:F4"/>
    <mergeCell ref="G2:H2"/>
    <mergeCell ref="O2:P2"/>
    <mergeCell ref="C86:C95"/>
    <mergeCell ref="B86:B95"/>
    <mergeCell ref="D135:D158"/>
    <mergeCell ref="D86:D94"/>
    <mergeCell ref="S2:T2"/>
    <mergeCell ref="B35:B49"/>
    <mergeCell ref="C35:C49"/>
    <mergeCell ref="Q2:R2"/>
    <mergeCell ref="D5:D7"/>
    <mergeCell ref="D9:D11"/>
    <mergeCell ref="D13:D33"/>
    <mergeCell ref="D35:D48"/>
    <mergeCell ref="B9:B12"/>
    <mergeCell ref="C9:C12"/>
    <mergeCell ref="B13:B34"/>
    <mergeCell ref="C13:C34"/>
  </mergeCells>
  <conditionalFormatting sqref="E5:F159">
    <cfRule type="expression" dxfId="30" priority="1">
      <formula>$G5=""</formula>
    </cfRule>
  </conditionalFormatting>
  <conditionalFormatting sqref="G50:R63">
    <cfRule type="expression" dxfId="29" priority="3" stopIfTrue="1">
      <formula>$G50=""</formula>
    </cfRule>
  </conditionalFormatting>
  <pageMargins left="0.23622047244094491" right="0.23622047244094491" top="0.35433070866141736" bottom="0.15748031496062992" header="0.31496062992125984" footer="0.31496062992125984"/>
  <pageSetup paperSize="8" scale="43" orientation="portrait" horizontalDpi="300" verticalDpi="300" r:id="rId1"/>
  <ignoredErrors>
    <ignoredError sqref="I64:M6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B233"/>
  <sheetViews>
    <sheetView view="pageBreakPreview" zoomScale="90" zoomScaleNormal="55" zoomScaleSheetLayoutView="90" workbookViewId="0">
      <pane xSplit="6" ySplit="4" topLeftCell="G5" activePane="bottomRight" state="frozen"/>
      <selection activeCell="B2" sqref="B2:B4"/>
      <selection pane="topRight" activeCell="B2" sqref="B2:B4"/>
      <selection pane="bottomLeft" activeCell="B2" sqref="B2:B4"/>
      <selection pane="bottomRight" activeCell="C86" sqref="C86:C95"/>
    </sheetView>
  </sheetViews>
  <sheetFormatPr baseColWidth="10" defaultColWidth="11.44140625" defaultRowHeight="14.4" x14ac:dyDescent="0.3"/>
  <cols>
    <col min="1" max="1" width="3" style="20" customWidth="1"/>
    <col min="2" max="2" width="33.6640625" style="1" customWidth="1"/>
    <col min="3" max="3" width="11.5546875" style="2" customWidth="1"/>
    <col min="4" max="4" width="8.44140625" style="2" customWidth="1"/>
    <col min="5" max="5" width="44.88671875" style="1" customWidth="1"/>
    <col min="6" max="6" width="11.109375" style="2" customWidth="1"/>
    <col min="7" max="7" width="11.44140625" style="2"/>
    <col min="8" max="8" width="11.44140625" style="2" customWidth="1"/>
    <col min="9" max="9" width="11.44140625" style="3" customWidth="1"/>
    <col min="10" max="10" width="11.44140625" style="4" customWidth="1"/>
    <col min="11" max="11" width="11.44140625" style="3" customWidth="1"/>
    <col min="12" max="12" width="11.44140625" style="4" customWidth="1"/>
    <col min="13" max="13" width="11.44140625" style="3" customWidth="1"/>
    <col min="14" max="14" width="11.44140625" style="4" customWidth="1"/>
    <col min="15" max="22" width="7.5546875" style="2" customWidth="1"/>
    <col min="23" max="23" width="5.33203125" style="2" customWidth="1"/>
    <col min="24" max="25" width="11.44140625" style="1"/>
    <col min="26" max="27" width="11.44140625" style="1" customWidth="1"/>
    <col min="28" max="28" width="0" style="2" hidden="1" customWidth="1"/>
    <col min="29" max="16384" width="11.44140625" style="1"/>
  </cols>
  <sheetData>
    <row r="1" spans="1:28" s="20" customFormat="1" ht="17.25" customHeight="1" thickBot="1" x14ac:dyDescent="0.35">
      <c r="C1" s="23"/>
      <c r="D1" s="23"/>
      <c r="E1" s="23">
        <v>7</v>
      </c>
      <c r="F1" s="23"/>
      <c r="G1" s="23"/>
      <c r="H1" s="23"/>
      <c r="I1" s="24"/>
      <c r="J1" s="25"/>
      <c r="K1" s="24"/>
      <c r="L1" s="25"/>
      <c r="M1" s="24"/>
      <c r="N1" s="25"/>
      <c r="O1" s="23"/>
      <c r="P1" s="23"/>
      <c r="Q1" s="23"/>
      <c r="R1" s="23"/>
      <c r="S1" s="23"/>
      <c r="T1" s="23"/>
      <c r="U1" s="23"/>
      <c r="V1" s="23"/>
      <c r="W1" s="23"/>
      <c r="AB1" s="23"/>
    </row>
    <row r="2" spans="1:28" s="6" customFormat="1" ht="30" customHeight="1" thickBot="1" x14ac:dyDescent="0.35">
      <c r="A2" s="21" t="s">
        <v>106</v>
      </c>
      <c r="B2" s="769" t="s">
        <v>53</v>
      </c>
      <c r="C2" s="772" t="s">
        <v>74</v>
      </c>
      <c r="D2" s="772" t="s">
        <v>69</v>
      </c>
      <c r="E2" s="765" t="s">
        <v>79</v>
      </c>
      <c r="F2" s="761" t="s">
        <v>59</v>
      </c>
      <c r="G2" s="786" t="s">
        <v>54</v>
      </c>
      <c r="H2" s="771"/>
      <c r="I2" s="787" t="s">
        <v>55</v>
      </c>
      <c r="J2" s="764" t="s">
        <v>63</v>
      </c>
      <c r="K2" s="787" t="s">
        <v>56</v>
      </c>
      <c r="L2" s="764" t="s">
        <v>65</v>
      </c>
      <c r="M2" s="787" t="s">
        <v>57</v>
      </c>
      <c r="N2" s="764" t="s">
        <v>64</v>
      </c>
      <c r="O2" s="770" t="s">
        <v>39</v>
      </c>
      <c r="P2" s="771"/>
      <c r="Q2" s="770" t="s">
        <v>40</v>
      </c>
      <c r="R2" s="771"/>
      <c r="S2" s="770" t="s">
        <v>41</v>
      </c>
      <c r="T2" s="771"/>
      <c r="U2" s="761" t="s">
        <v>42</v>
      </c>
      <c r="V2" s="785"/>
      <c r="W2" s="204"/>
      <c r="AB2" s="462"/>
    </row>
    <row r="3" spans="1:28" s="6" customFormat="1" ht="30" customHeight="1" thickBot="1" x14ac:dyDescent="0.35">
      <c r="A3" s="21" t="s">
        <v>106</v>
      </c>
      <c r="B3" s="769"/>
      <c r="C3" s="772"/>
      <c r="D3" s="772"/>
      <c r="E3" s="765"/>
      <c r="F3" s="762"/>
      <c r="G3" s="108"/>
      <c r="H3" s="105"/>
      <c r="I3" s="787"/>
      <c r="J3" s="764"/>
      <c r="K3" s="787"/>
      <c r="L3" s="764"/>
      <c r="M3" s="787"/>
      <c r="N3" s="764"/>
      <c r="O3" s="104"/>
      <c r="P3" s="105"/>
      <c r="Q3" s="104"/>
      <c r="R3" s="105"/>
      <c r="S3" s="104"/>
      <c r="T3" s="105"/>
      <c r="U3" s="106"/>
      <c r="V3" s="107"/>
      <c r="W3" s="204"/>
      <c r="AB3" s="462"/>
    </row>
    <row r="4" spans="1:28" s="6" customFormat="1" ht="30" customHeight="1" thickBot="1" x14ac:dyDescent="0.35">
      <c r="A4" s="21" t="s">
        <v>106</v>
      </c>
      <c r="B4" s="769"/>
      <c r="C4" s="772"/>
      <c r="D4" s="772"/>
      <c r="E4" s="765"/>
      <c r="F4" s="763"/>
      <c r="G4" s="10" t="s">
        <v>43</v>
      </c>
      <c r="H4" s="11" t="s">
        <v>44</v>
      </c>
      <c r="I4" s="787"/>
      <c r="J4" s="764"/>
      <c r="K4" s="787"/>
      <c r="L4" s="764"/>
      <c r="M4" s="787"/>
      <c r="N4" s="764"/>
      <c r="O4" s="12" t="s">
        <v>43</v>
      </c>
      <c r="P4" s="11" t="s">
        <v>44</v>
      </c>
      <c r="Q4" s="12" t="s">
        <v>43</v>
      </c>
      <c r="R4" s="11" t="s">
        <v>44</v>
      </c>
      <c r="S4" s="12" t="s">
        <v>43</v>
      </c>
      <c r="T4" s="11" t="s">
        <v>44</v>
      </c>
      <c r="U4" s="12" t="s">
        <v>43</v>
      </c>
      <c r="V4" s="13" t="s">
        <v>44</v>
      </c>
      <c r="W4" s="204"/>
      <c r="AB4" s="462">
        <v>2020</v>
      </c>
    </row>
    <row r="5" spans="1:28" ht="15.75" customHeight="1" x14ac:dyDescent="0.3">
      <c r="A5" s="20" t="str">
        <f t="shared" ref="A5:A49" si="0">IF(D5="Sous-total","S",IF(G5="","","X"))</f>
        <v/>
      </c>
      <c r="B5" s="778" t="s">
        <v>70</v>
      </c>
      <c r="C5" s="781" t="s">
        <v>75</v>
      </c>
      <c r="D5" s="766">
        <v>2</v>
      </c>
      <c r="E5" s="573" t="s">
        <v>71</v>
      </c>
      <c r="F5" s="576" t="s">
        <v>60</v>
      </c>
      <c r="G5" s="691"/>
      <c r="H5" s="692"/>
      <c r="I5" s="467" t="str">
        <f t="shared" ref="I5:I45" si="1">IF(J5="","",J5/G5)</f>
        <v/>
      </c>
      <c r="J5" s="693"/>
      <c r="K5" s="466" t="str">
        <f t="shared" ref="K5:K49" si="2">IF(L5="","",L5/G5)</f>
        <v/>
      </c>
      <c r="L5" s="693"/>
      <c r="M5" s="466" t="str">
        <f t="shared" ref="M5:M49" si="3">IF(N5="","",N5/L5)</f>
        <v/>
      </c>
      <c r="N5" s="693"/>
      <c r="O5" s="694"/>
      <c r="P5" s="695"/>
      <c r="Q5" s="694"/>
      <c r="R5" s="695"/>
      <c r="S5" s="696" t="s">
        <v>21</v>
      </c>
      <c r="T5" s="697" t="s">
        <v>21</v>
      </c>
      <c r="U5" s="696" t="s">
        <v>21</v>
      </c>
      <c r="V5" s="698" t="s">
        <v>21</v>
      </c>
      <c r="W5" s="205"/>
      <c r="AB5" s="2" t="str">
        <f>IF(G5&lt;&gt;"",$F5,"")</f>
        <v/>
      </c>
    </row>
    <row r="6" spans="1:28" ht="15.75" customHeight="1" x14ac:dyDescent="0.3">
      <c r="A6" s="20" t="str">
        <f t="shared" si="0"/>
        <v/>
      </c>
      <c r="B6" s="779"/>
      <c r="C6" s="782"/>
      <c r="D6" s="757"/>
      <c r="E6" s="727" t="s">
        <v>166</v>
      </c>
      <c r="F6" s="237"/>
      <c r="G6" s="238"/>
      <c r="H6" s="239"/>
      <c r="I6" s="686"/>
      <c r="J6" s="241"/>
      <c r="K6" s="240"/>
      <c r="L6" s="241"/>
      <c r="M6" s="240"/>
      <c r="N6" s="241"/>
      <c r="O6" s="228"/>
      <c r="P6" s="229"/>
      <c r="Q6" s="228"/>
      <c r="R6" s="229"/>
      <c r="S6" s="667" t="s">
        <v>21</v>
      </c>
      <c r="T6" s="668" t="s">
        <v>21</v>
      </c>
      <c r="U6" s="667" t="s">
        <v>21</v>
      </c>
      <c r="V6" s="669" t="s">
        <v>21</v>
      </c>
      <c r="W6" s="205"/>
    </row>
    <row r="7" spans="1:28" ht="15.75" customHeight="1" x14ac:dyDescent="0.3">
      <c r="A7" s="20" t="str">
        <f t="shared" si="0"/>
        <v/>
      </c>
      <c r="B7" s="779"/>
      <c r="C7" s="782"/>
      <c r="D7" s="757"/>
      <c r="E7" s="728" t="s">
        <v>166</v>
      </c>
      <c r="F7" s="242"/>
      <c r="G7" s="243"/>
      <c r="H7" s="244"/>
      <c r="I7" s="687"/>
      <c r="J7" s="246"/>
      <c r="K7" s="245"/>
      <c r="L7" s="246"/>
      <c r="M7" s="245"/>
      <c r="N7" s="246"/>
      <c r="O7" s="230"/>
      <c r="P7" s="231"/>
      <c r="Q7" s="230"/>
      <c r="R7" s="231"/>
      <c r="S7" s="670" t="s">
        <v>21</v>
      </c>
      <c r="T7" s="671" t="s">
        <v>21</v>
      </c>
      <c r="U7" s="670" t="s">
        <v>21</v>
      </c>
      <c r="V7" s="672" t="s">
        <v>21</v>
      </c>
      <c r="W7" s="205"/>
    </row>
    <row r="8" spans="1:28" ht="15.6" x14ac:dyDescent="0.3">
      <c r="A8" s="20" t="str">
        <f t="shared" si="0"/>
        <v>S</v>
      </c>
      <c r="B8" s="779"/>
      <c r="C8" s="783"/>
      <c r="D8" s="309" t="s">
        <v>138</v>
      </c>
      <c r="E8" s="717"/>
      <c r="F8" s="16"/>
      <c r="G8" s="251">
        <f>SUM(G5:G7)</f>
        <v>0</v>
      </c>
      <c r="H8" s="119">
        <f>SUM(H5:H7)</f>
        <v>0</v>
      </c>
      <c r="I8" s="9" t="e">
        <f t="shared" si="1"/>
        <v>#DIV/0!</v>
      </c>
      <c r="J8" s="202">
        <f>SUM(J5:J7)</f>
        <v>0</v>
      </c>
      <c r="K8" s="9" t="e">
        <f t="shared" si="2"/>
        <v>#DIV/0!</v>
      </c>
      <c r="L8" s="202">
        <f>SUM(L5:L7)</f>
        <v>0</v>
      </c>
      <c r="M8" s="9" t="e">
        <f t="shared" si="3"/>
        <v>#DIV/0!</v>
      </c>
      <c r="N8" s="202">
        <f t="shared" ref="N8:V8" si="4">SUM(N5:N7)</f>
        <v>0</v>
      </c>
      <c r="O8" s="118">
        <f t="shared" si="4"/>
        <v>0</v>
      </c>
      <c r="P8" s="119">
        <f t="shared" si="4"/>
        <v>0</v>
      </c>
      <c r="Q8" s="118">
        <f t="shared" si="4"/>
        <v>0</v>
      </c>
      <c r="R8" s="119">
        <f t="shared" si="4"/>
        <v>0</v>
      </c>
      <c r="S8" s="118">
        <f t="shared" si="4"/>
        <v>0</v>
      </c>
      <c r="T8" s="119">
        <f t="shared" si="4"/>
        <v>0</v>
      </c>
      <c r="U8" s="118">
        <f t="shared" si="4"/>
        <v>0</v>
      </c>
      <c r="V8" s="120">
        <f t="shared" si="4"/>
        <v>0</v>
      </c>
      <c r="W8" s="205"/>
    </row>
    <row r="9" spans="1:28" ht="15.75" customHeight="1" x14ac:dyDescent="0.3">
      <c r="A9" s="20" t="str">
        <f t="shared" si="0"/>
        <v/>
      </c>
      <c r="B9" s="779" t="s">
        <v>163</v>
      </c>
      <c r="C9" s="782" t="s">
        <v>75</v>
      </c>
      <c r="D9" s="757"/>
      <c r="E9" s="719" t="s">
        <v>164</v>
      </c>
      <c r="F9" s="232" t="s">
        <v>60</v>
      </c>
      <c r="G9" s="233"/>
      <c r="H9" s="234"/>
      <c r="I9" s="411" t="str">
        <f t="shared" si="1"/>
        <v/>
      </c>
      <c r="J9" s="236"/>
      <c r="K9" s="235" t="str">
        <f t="shared" si="2"/>
        <v/>
      </c>
      <c r="L9" s="236"/>
      <c r="M9" s="235" t="str">
        <f t="shared" si="3"/>
        <v/>
      </c>
      <c r="N9" s="236"/>
      <c r="O9" s="226"/>
      <c r="P9" s="227"/>
      <c r="Q9" s="226"/>
      <c r="R9" s="227"/>
      <c r="S9" s="664" t="s">
        <v>21</v>
      </c>
      <c r="T9" s="665" t="s">
        <v>21</v>
      </c>
      <c r="U9" s="664" t="s">
        <v>21</v>
      </c>
      <c r="V9" s="666" t="s">
        <v>21</v>
      </c>
      <c r="W9" s="205" t="s">
        <v>206</v>
      </c>
      <c r="AB9" s="2" t="str">
        <f t="shared" ref="AB9:AB89" si="5">IF(G9&lt;&gt;"",$F9,"")</f>
        <v/>
      </c>
    </row>
    <row r="10" spans="1:28" ht="15.75" customHeight="1" x14ac:dyDescent="0.3">
      <c r="A10" s="20" t="str">
        <f t="shared" si="0"/>
        <v/>
      </c>
      <c r="B10" s="779"/>
      <c r="C10" s="782"/>
      <c r="D10" s="757"/>
      <c r="E10" s="577"/>
      <c r="F10" s="237"/>
      <c r="G10" s="238"/>
      <c r="H10" s="239"/>
      <c r="I10" s="686"/>
      <c r="J10" s="241"/>
      <c r="K10" s="240"/>
      <c r="L10" s="241"/>
      <c r="M10" s="240"/>
      <c r="N10" s="241"/>
      <c r="O10" s="228"/>
      <c r="P10" s="229"/>
      <c r="Q10" s="228"/>
      <c r="R10" s="229"/>
      <c r="S10" s="667" t="s">
        <v>21</v>
      </c>
      <c r="T10" s="668" t="s">
        <v>21</v>
      </c>
      <c r="U10" s="667" t="s">
        <v>21</v>
      </c>
      <c r="V10" s="669" t="s">
        <v>21</v>
      </c>
      <c r="W10" s="205"/>
    </row>
    <row r="11" spans="1:28" ht="15.75" customHeight="1" x14ac:dyDescent="0.3">
      <c r="A11" s="20" t="str">
        <f t="shared" si="0"/>
        <v/>
      </c>
      <c r="B11" s="779"/>
      <c r="C11" s="782"/>
      <c r="D11" s="757"/>
      <c r="E11" s="723"/>
      <c r="F11" s="242"/>
      <c r="G11" s="243"/>
      <c r="H11" s="244"/>
      <c r="I11" s="687"/>
      <c r="J11" s="246"/>
      <c r="K11" s="245"/>
      <c r="L11" s="246"/>
      <c r="M11" s="245"/>
      <c r="N11" s="246"/>
      <c r="O11" s="230"/>
      <c r="P11" s="231"/>
      <c r="Q11" s="230"/>
      <c r="R11" s="231"/>
      <c r="S11" s="670" t="s">
        <v>21</v>
      </c>
      <c r="T11" s="671" t="s">
        <v>21</v>
      </c>
      <c r="U11" s="670" t="s">
        <v>21</v>
      </c>
      <c r="V11" s="672" t="s">
        <v>21</v>
      </c>
      <c r="W11" s="205"/>
    </row>
    <row r="12" spans="1:28" ht="15.6" x14ac:dyDescent="0.3">
      <c r="A12" s="20" t="str">
        <f t="shared" si="0"/>
        <v>S</v>
      </c>
      <c r="B12" s="780"/>
      <c r="C12" s="783"/>
      <c r="D12" s="309" t="s">
        <v>138</v>
      </c>
      <c r="E12" s="717"/>
      <c r="F12" s="16"/>
      <c r="G12" s="251">
        <f>SUM(G9:G11)</f>
        <v>0</v>
      </c>
      <c r="H12" s="119">
        <f>SUM(H9:H11)</f>
        <v>0</v>
      </c>
      <c r="I12" s="9" t="e">
        <f t="shared" ref="I12" si="6">IF(J12="","",J12/G12)</f>
        <v>#DIV/0!</v>
      </c>
      <c r="J12" s="202">
        <f>SUM(J9:J11)</f>
        <v>0</v>
      </c>
      <c r="K12" s="9" t="e">
        <f t="shared" ref="K12" si="7">IF(L12="","",L12/G12)</f>
        <v>#DIV/0!</v>
      </c>
      <c r="L12" s="202">
        <f>SUM(L9:L11)</f>
        <v>0</v>
      </c>
      <c r="M12" s="9" t="e">
        <f t="shared" ref="M12" si="8">IF(N12="","",N12/L12)</f>
        <v>#DIV/0!</v>
      </c>
      <c r="N12" s="202">
        <f t="shared" ref="N12" si="9">SUM(N9:N11)</f>
        <v>0</v>
      </c>
      <c r="O12" s="118">
        <f t="shared" ref="O12" si="10">SUM(O9:O11)</f>
        <v>0</v>
      </c>
      <c r="P12" s="119">
        <f t="shared" ref="P12" si="11">SUM(P9:P11)</f>
        <v>0</v>
      </c>
      <c r="Q12" s="118">
        <f t="shared" ref="Q12" si="12">SUM(Q9:Q11)</f>
        <v>0</v>
      </c>
      <c r="R12" s="119">
        <f t="shared" ref="R12" si="13">SUM(R9:R11)</f>
        <v>0</v>
      </c>
      <c r="S12" s="118">
        <f t="shared" ref="S12" si="14">SUM(S9:S11)</f>
        <v>0</v>
      </c>
      <c r="T12" s="119">
        <f t="shared" ref="T12" si="15">SUM(T9:T11)</f>
        <v>0</v>
      </c>
      <c r="U12" s="118">
        <f t="shared" ref="U12" si="16">SUM(U9:U11)</f>
        <v>0</v>
      </c>
      <c r="V12" s="120">
        <f t="shared" ref="V12" si="17">SUM(V9:V11)</f>
        <v>0</v>
      </c>
      <c r="W12" s="205" t="s">
        <v>206</v>
      </c>
    </row>
    <row r="13" spans="1:28" ht="15" customHeight="1" x14ac:dyDescent="0.3">
      <c r="A13" s="20" t="str">
        <f t="shared" si="0"/>
        <v/>
      </c>
      <c r="B13" s="773" t="s">
        <v>168</v>
      </c>
      <c r="C13" s="775" t="s">
        <v>75</v>
      </c>
      <c r="D13" s="767">
        <v>18</v>
      </c>
      <c r="E13" s="719" t="s">
        <v>182</v>
      </c>
      <c r="F13" s="232" t="s">
        <v>60</v>
      </c>
      <c r="G13" s="702"/>
      <c r="H13" s="703"/>
      <c r="I13" s="411" t="str">
        <f t="shared" si="1"/>
        <v/>
      </c>
      <c r="J13" s="704"/>
      <c r="K13" s="235" t="str">
        <f t="shared" si="2"/>
        <v/>
      </c>
      <c r="L13" s="704"/>
      <c r="M13" s="235" t="str">
        <f t="shared" si="3"/>
        <v/>
      </c>
      <c r="N13" s="236"/>
      <c r="O13" s="226"/>
      <c r="P13" s="227"/>
      <c r="Q13" s="226"/>
      <c r="R13" s="227"/>
      <c r="S13" s="664"/>
      <c r="T13" s="665"/>
      <c r="U13" s="664"/>
      <c r="V13" s="666"/>
      <c r="W13" s="205" t="s">
        <v>206</v>
      </c>
      <c r="AB13" s="2" t="str">
        <f t="shared" si="5"/>
        <v/>
      </c>
    </row>
    <row r="14" spans="1:28" ht="15" customHeight="1" x14ac:dyDescent="0.3">
      <c r="A14" s="20" t="str">
        <f t="shared" si="0"/>
        <v/>
      </c>
      <c r="B14" s="773"/>
      <c r="C14" s="775"/>
      <c r="D14" s="767"/>
      <c r="E14" s="577" t="s">
        <v>183</v>
      </c>
      <c r="F14" s="237" t="s">
        <v>60</v>
      </c>
      <c r="G14" s="688"/>
      <c r="H14" s="689"/>
      <c r="I14" s="420" t="str">
        <f t="shared" si="1"/>
        <v/>
      </c>
      <c r="J14" s="690"/>
      <c r="K14" s="240" t="str">
        <f t="shared" si="2"/>
        <v/>
      </c>
      <c r="L14" s="690"/>
      <c r="M14" s="240" t="str">
        <f t="shared" si="3"/>
        <v/>
      </c>
      <c r="N14" s="241"/>
      <c r="O14" s="228"/>
      <c r="P14" s="229"/>
      <c r="Q14" s="228"/>
      <c r="R14" s="229"/>
      <c r="S14" s="667"/>
      <c r="T14" s="668"/>
      <c r="U14" s="667"/>
      <c r="V14" s="669"/>
      <c r="W14" s="205" t="s">
        <v>206</v>
      </c>
      <c r="AB14" s="2" t="str">
        <f t="shared" si="5"/>
        <v/>
      </c>
    </row>
    <row r="15" spans="1:28" ht="15" customHeight="1" x14ac:dyDescent="0.3">
      <c r="A15" s="20" t="str">
        <f t="shared" si="0"/>
        <v/>
      </c>
      <c r="B15" s="773"/>
      <c r="C15" s="775"/>
      <c r="D15" s="767"/>
      <c r="E15" s="577" t="s">
        <v>184</v>
      </c>
      <c r="F15" s="237" t="s">
        <v>60</v>
      </c>
      <c r="G15" s="688"/>
      <c r="H15" s="689"/>
      <c r="I15" s="420" t="str">
        <f t="shared" si="1"/>
        <v/>
      </c>
      <c r="J15" s="690"/>
      <c r="K15" s="240" t="str">
        <f t="shared" si="2"/>
        <v/>
      </c>
      <c r="L15" s="690"/>
      <c r="M15" s="240" t="str">
        <f t="shared" si="3"/>
        <v/>
      </c>
      <c r="N15" s="241"/>
      <c r="O15" s="228"/>
      <c r="P15" s="229"/>
      <c r="Q15" s="228"/>
      <c r="R15" s="229"/>
      <c r="S15" s="667"/>
      <c r="T15" s="668"/>
      <c r="U15" s="667"/>
      <c r="V15" s="669"/>
      <c r="W15" s="205" t="s">
        <v>206</v>
      </c>
      <c r="AB15" s="2" t="str">
        <f t="shared" si="5"/>
        <v/>
      </c>
    </row>
    <row r="16" spans="1:28" ht="15" customHeight="1" x14ac:dyDescent="0.3">
      <c r="A16" s="20" t="str">
        <f t="shared" si="0"/>
        <v/>
      </c>
      <c r="B16" s="773"/>
      <c r="C16" s="775"/>
      <c r="D16" s="767"/>
      <c r="E16" s="577" t="s">
        <v>185</v>
      </c>
      <c r="F16" s="237" t="s">
        <v>60</v>
      </c>
      <c r="G16" s="688"/>
      <c r="H16" s="689"/>
      <c r="I16" s="420" t="str">
        <f t="shared" si="1"/>
        <v/>
      </c>
      <c r="J16" s="690"/>
      <c r="K16" s="240" t="str">
        <f t="shared" si="2"/>
        <v/>
      </c>
      <c r="L16" s="690"/>
      <c r="M16" s="240" t="str">
        <f t="shared" si="3"/>
        <v/>
      </c>
      <c r="N16" s="241"/>
      <c r="O16" s="228"/>
      <c r="P16" s="229"/>
      <c r="Q16" s="228"/>
      <c r="R16" s="229"/>
      <c r="S16" s="667"/>
      <c r="T16" s="668"/>
      <c r="U16" s="667"/>
      <c r="V16" s="669"/>
      <c r="W16" s="205" t="s">
        <v>206</v>
      </c>
      <c r="AB16" s="2" t="str">
        <f t="shared" si="5"/>
        <v/>
      </c>
    </row>
    <row r="17" spans="1:28" ht="15" customHeight="1" x14ac:dyDescent="0.3">
      <c r="A17" s="20" t="str">
        <f t="shared" si="0"/>
        <v/>
      </c>
      <c r="B17" s="773"/>
      <c r="C17" s="775"/>
      <c r="D17" s="767"/>
      <c r="E17" s="577" t="s">
        <v>186</v>
      </c>
      <c r="F17" s="237" t="s">
        <v>60</v>
      </c>
      <c r="G17" s="688"/>
      <c r="H17" s="689"/>
      <c r="I17" s="420" t="str">
        <f t="shared" si="1"/>
        <v/>
      </c>
      <c r="J17" s="690"/>
      <c r="K17" s="240" t="str">
        <f t="shared" si="2"/>
        <v/>
      </c>
      <c r="L17" s="690"/>
      <c r="M17" s="240" t="str">
        <f t="shared" si="3"/>
        <v/>
      </c>
      <c r="N17" s="241"/>
      <c r="O17" s="228"/>
      <c r="P17" s="229"/>
      <c r="Q17" s="228"/>
      <c r="R17" s="229"/>
      <c r="S17" s="667"/>
      <c r="T17" s="668"/>
      <c r="U17" s="667"/>
      <c r="V17" s="669"/>
      <c r="W17" s="205" t="s">
        <v>206</v>
      </c>
      <c r="AB17" s="2" t="str">
        <f t="shared" si="5"/>
        <v/>
      </c>
    </row>
    <row r="18" spans="1:28" ht="15" customHeight="1" x14ac:dyDescent="0.3">
      <c r="A18" s="20" t="str">
        <f t="shared" si="0"/>
        <v/>
      </c>
      <c r="B18" s="773"/>
      <c r="C18" s="775"/>
      <c r="D18" s="767"/>
      <c r="E18" s="577" t="s">
        <v>187</v>
      </c>
      <c r="F18" s="237" t="s">
        <v>62</v>
      </c>
      <c r="G18" s="688"/>
      <c r="H18" s="689"/>
      <c r="I18" s="420" t="str">
        <f t="shared" si="1"/>
        <v/>
      </c>
      <c r="J18" s="690"/>
      <c r="K18" s="240" t="str">
        <f t="shared" si="2"/>
        <v/>
      </c>
      <c r="L18" s="690"/>
      <c r="M18" s="240" t="str">
        <f t="shared" si="3"/>
        <v/>
      </c>
      <c r="N18" s="241"/>
      <c r="O18" s="228"/>
      <c r="P18" s="229"/>
      <c r="Q18" s="228"/>
      <c r="R18" s="229"/>
      <c r="S18" s="287"/>
      <c r="T18" s="288"/>
      <c r="U18" s="287"/>
      <c r="V18" s="289"/>
      <c r="W18" s="205" t="s">
        <v>206</v>
      </c>
      <c r="AB18" s="2" t="str">
        <f t="shared" si="5"/>
        <v/>
      </c>
    </row>
    <row r="19" spans="1:28" ht="15" customHeight="1" x14ac:dyDescent="0.3">
      <c r="A19" s="20" t="str">
        <f t="shared" si="0"/>
        <v/>
      </c>
      <c r="B19" s="773"/>
      <c r="C19" s="775"/>
      <c r="D19" s="767"/>
      <c r="E19" s="577" t="s">
        <v>188</v>
      </c>
      <c r="F19" s="237" t="s">
        <v>60</v>
      </c>
      <c r="G19" s="688"/>
      <c r="H19" s="689"/>
      <c r="I19" s="420" t="str">
        <f t="shared" si="1"/>
        <v/>
      </c>
      <c r="J19" s="690"/>
      <c r="K19" s="240" t="str">
        <f t="shared" si="2"/>
        <v/>
      </c>
      <c r="L19" s="690"/>
      <c r="M19" s="240" t="str">
        <f t="shared" si="3"/>
        <v/>
      </c>
      <c r="N19" s="241"/>
      <c r="O19" s="228"/>
      <c r="P19" s="229"/>
      <c r="Q19" s="228"/>
      <c r="R19" s="229"/>
      <c r="S19" s="667"/>
      <c r="T19" s="668"/>
      <c r="U19" s="667"/>
      <c r="V19" s="669"/>
      <c r="W19" s="205" t="s">
        <v>206</v>
      </c>
      <c r="AB19" s="2" t="str">
        <f t="shared" si="5"/>
        <v/>
      </c>
    </row>
    <row r="20" spans="1:28" ht="15" customHeight="1" x14ac:dyDescent="0.3">
      <c r="A20" s="20" t="str">
        <f t="shared" si="0"/>
        <v/>
      </c>
      <c r="B20" s="773"/>
      <c r="C20" s="775"/>
      <c r="D20" s="767"/>
      <c r="E20" s="577" t="s">
        <v>189</v>
      </c>
      <c r="F20" s="237" t="s">
        <v>60</v>
      </c>
      <c r="G20" s="688"/>
      <c r="H20" s="689"/>
      <c r="I20" s="420" t="str">
        <f t="shared" si="1"/>
        <v/>
      </c>
      <c r="J20" s="690"/>
      <c r="K20" s="240" t="str">
        <f t="shared" si="2"/>
        <v/>
      </c>
      <c r="L20" s="690"/>
      <c r="M20" s="240" t="str">
        <f t="shared" si="3"/>
        <v/>
      </c>
      <c r="N20" s="241"/>
      <c r="O20" s="228"/>
      <c r="P20" s="229"/>
      <c r="Q20" s="228"/>
      <c r="R20" s="229"/>
      <c r="S20" s="667"/>
      <c r="T20" s="668"/>
      <c r="U20" s="667"/>
      <c r="V20" s="669"/>
      <c r="W20" s="205" t="s">
        <v>206</v>
      </c>
      <c r="AB20" s="2" t="str">
        <f t="shared" si="5"/>
        <v/>
      </c>
    </row>
    <row r="21" spans="1:28" ht="15" customHeight="1" x14ac:dyDescent="0.3">
      <c r="A21" s="20" t="str">
        <f t="shared" si="0"/>
        <v/>
      </c>
      <c r="B21" s="773"/>
      <c r="C21" s="775"/>
      <c r="D21" s="767"/>
      <c r="E21" s="577" t="s">
        <v>190</v>
      </c>
      <c r="F21" s="237" t="s">
        <v>60</v>
      </c>
      <c r="G21" s="688"/>
      <c r="H21" s="689"/>
      <c r="I21" s="420" t="str">
        <f t="shared" si="1"/>
        <v/>
      </c>
      <c r="J21" s="690"/>
      <c r="K21" s="240" t="str">
        <f t="shared" si="2"/>
        <v/>
      </c>
      <c r="L21" s="690"/>
      <c r="M21" s="240" t="str">
        <f t="shared" si="3"/>
        <v/>
      </c>
      <c r="N21" s="241"/>
      <c r="O21" s="228"/>
      <c r="P21" s="229"/>
      <c r="Q21" s="228"/>
      <c r="R21" s="229"/>
      <c r="S21" s="667"/>
      <c r="T21" s="668"/>
      <c r="U21" s="667"/>
      <c r="V21" s="669"/>
      <c r="W21" s="205" t="s">
        <v>206</v>
      </c>
      <c r="AB21" s="2" t="str">
        <f t="shared" si="5"/>
        <v/>
      </c>
    </row>
    <row r="22" spans="1:28" ht="15" customHeight="1" x14ac:dyDescent="0.3">
      <c r="A22" s="20" t="str">
        <f t="shared" si="0"/>
        <v/>
      </c>
      <c r="B22" s="773"/>
      <c r="C22" s="775"/>
      <c r="D22" s="767"/>
      <c r="E22" s="577" t="s">
        <v>191</v>
      </c>
      <c r="F22" s="237" t="s">
        <v>60</v>
      </c>
      <c r="G22" s="688"/>
      <c r="H22" s="689"/>
      <c r="I22" s="420" t="str">
        <f t="shared" si="1"/>
        <v/>
      </c>
      <c r="J22" s="690"/>
      <c r="K22" s="240" t="str">
        <f t="shared" si="2"/>
        <v/>
      </c>
      <c r="L22" s="690"/>
      <c r="M22" s="240" t="str">
        <f t="shared" si="3"/>
        <v/>
      </c>
      <c r="N22" s="241"/>
      <c r="O22" s="228"/>
      <c r="P22" s="229"/>
      <c r="Q22" s="228"/>
      <c r="R22" s="229"/>
      <c r="S22" s="667"/>
      <c r="T22" s="668"/>
      <c r="U22" s="667"/>
      <c r="V22" s="669"/>
      <c r="W22" s="205" t="s">
        <v>206</v>
      </c>
      <c r="X22" s="741"/>
      <c r="AB22" s="2" t="str">
        <f t="shared" si="5"/>
        <v/>
      </c>
    </row>
    <row r="23" spans="1:28" ht="15" customHeight="1" x14ac:dyDescent="0.3">
      <c r="A23" s="20" t="str">
        <f t="shared" si="0"/>
        <v/>
      </c>
      <c r="B23" s="773"/>
      <c r="C23" s="775"/>
      <c r="D23" s="767"/>
      <c r="E23" s="577" t="s">
        <v>192</v>
      </c>
      <c r="F23" s="237" t="s">
        <v>60</v>
      </c>
      <c r="G23" s="688"/>
      <c r="H23" s="689"/>
      <c r="I23" s="420" t="str">
        <f t="shared" si="1"/>
        <v/>
      </c>
      <c r="J23" s="690"/>
      <c r="K23" s="240" t="str">
        <f t="shared" si="2"/>
        <v/>
      </c>
      <c r="L23" s="690"/>
      <c r="M23" s="240" t="str">
        <f t="shared" si="3"/>
        <v/>
      </c>
      <c r="N23" s="241"/>
      <c r="O23" s="228"/>
      <c r="P23" s="229"/>
      <c r="Q23" s="228"/>
      <c r="R23" s="229"/>
      <c r="S23" s="667"/>
      <c r="T23" s="668"/>
      <c r="U23" s="667"/>
      <c r="V23" s="669"/>
      <c r="W23" s="205" t="s">
        <v>206</v>
      </c>
      <c r="AB23" s="2" t="str">
        <f t="shared" si="5"/>
        <v/>
      </c>
    </row>
    <row r="24" spans="1:28" ht="15" customHeight="1" x14ac:dyDescent="0.3">
      <c r="A24" s="20" t="str">
        <f t="shared" si="0"/>
        <v/>
      </c>
      <c r="B24" s="773"/>
      <c r="C24" s="775"/>
      <c r="D24" s="767"/>
      <c r="E24" s="577" t="s">
        <v>193</v>
      </c>
      <c r="F24" s="237" t="s">
        <v>60</v>
      </c>
      <c r="G24" s="688"/>
      <c r="H24" s="689"/>
      <c r="I24" s="420" t="str">
        <f t="shared" si="1"/>
        <v/>
      </c>
      <c r="J24" s="690"/>
      <c r="K24" s="240" t="str">
        <f t="shared" si="2"/>
        <v/>
      </c>
      <c r="L24" s="690"/>
      <c r="M24" s="240" t="str">
        <f t="shared" si="3"/>
        <v/>
      </c>
      <c r="N24" s="241"/>
      <c r="O24" s="228"/>
      <c r="P24" s="229"/>
      <c r="Q24" s="228"/>
      <c r="R24" s="229"/>
      <c r="S24" s="667"/>
      <c r="T24" s="668"/>
      <c r="U24" s="667"/>
      <c r="V24" s="669"/>
      <c r="W24" s="205" t="s">
        <v>206</v>
      </c>
      <c r="AB24" s="2" t="str">
        <f t="shared" si="5"/>
        <v/>
      </c>
    </row>
    <row r="25" spans="1:28" ht="15" customHeight="1" x14ac:dyDescent="0.3">
      <c r="A25" s="20" t="str">
        <f t="shared" si="0"/>
        <v/>
      </c>
      <c r="B25" s="773"/>
      <c r="C25" s="775"/>
      <c r="D25" s="767"/>
      <c r="E25" s="577" t="s">
        <v>194</v>
      </c>
      <c r="F25" s="237" t="s">
        <v>60</v>
      </c>
      <c r="G25" s="688"/>
      <c r="H25" s="689"/>
      <c r="I25" s="420" t="str">
        <f t="shared" si="1"/>
        <v/>
      </c>
      <c r="J25" s="690"/>
      <c r="K25" s="240" t="str">
        <f t="shared" si="2"/>
        <v/>
      </c>
      <c r="L25" s="690"/>
      <c r="M25" s="240" t="str">
        <f t="shared" si="3"/>
        <v/>
      </c>
      <c r="N25" s="241"/>
      <c r="O25" s="228"/>
      <c r="P25" s="229"/>
      <c r="Q25" s="228"/>
      <c r="R25" s="229"/>
      <c r="S25" s="667"/>
      <c r="T25" s="668"/>
      <c r="U25" s="667"/>
      <c r="V25" s="669"/>
      <c r="W25" s="205" t="s">
        <v>206</v>
      </c>
      <c r="AB25" s="2" t="str">
        <f t="shared" si="5"/>
        <v/>
      </c>
    </row>
    <row r="26" spans="1:28" ht="15" customHeight="1" x14ac:dyDescent="0.3">
      <c r="A26" s="20" t="str">
        <f t="shared" si="0"/>
        <v/>
      </c>
      <c r="B26" s="773"/>
      <c r="C26" s="775"/>
      <c r="D26" s="767"/>
      <c r="E26" s="577" t="s">
        <v>195</v>
      </c>
      <c r="F26" s="237" t="s">
        <v>60</v>
      </c>
      <c r="G26" s="688"/>
      <c r="H26" s="689"/>
      <c r="I26" s="420" t="str">
        <f t="shared" si="1"/>
        <v/>
      </c>
      <c r="J26" s="690"/>
      <c r="K26" s="240" t="str">
        <f t="shared" si="2"/>
        <v/>
      </c>
      <c r="L26" s="690"/>
      <c r="M26" s="240" t="str">
        <f t="shared" si="3"/>
        <v/>
      </c>
      <c r="N26" s="241"/>
      <c r="O26" s="228"/>
      <c r="P26" s="229"/>
      <c r="Q26" s="228"/>
      <c r="R26" s="229"/>
      <c r="S26" s="667"/>
      <c r="T26" s="668"/>
      <c r="U26" s="667"/>
      <c r="V26" s="669"/>
      <c r="W26" s="205" t="s">
        <v>206</v>
      </c>
      <c r="AB26" s="2" t="str">
        <f t="shared" si="5"/>
        <v/>
      </c>
    </row>
    <row r="27" spans="1:28" ht="15" customHeight="1" x14ac:dyDescent="0.3">
      <c r="A27" s="20" t="str">
        <f t="shared" si="0"/>
        <v/>
      </c>
      <c r="B27" s="773"/>
      <c r="C27" s="775"/>
      <c r="D27" s="767"/>
      <c r="E27" s="577" t="s">
        <v>196</v>
      </c>
      <c r="F27" s="237" t="s">
        <v>60</v>
      </c>
      <c r="G27" s="688"/>
      <c r="H27" s="689"/>
      <c r="I27" s="420" t="str">
        <f t="shared" si="1"/>
        <v/>
      </c>
      <c r="J27" s="690"/>
      <c r="K27" s="240" t="str">
        <f t="shared" si="2"/>
        <v/>
      </c>
      <c r="L27" s="690"/>
      <c r="M27" s="240" t="str">
        <f t="shared" si="3"/>
        <v/>
      </c>
      <c r="N27" s="241"/>
      <c r="O27" s="228"/>
      <c r="P27" s="229"/>
      <c r="Q27" s="228"/>
      <c r="R27" s="229"/>
      <c r="S27" s="667"/>
      <c r="T27" s="668"/>
      <c r="U27" s="667"/>
      <c r="V27" s="669"/>
      <c r="W27" s="205" t="s">
        <v>206</v>
      </c>
      <c r="AB27" s="2" t="str">
        <f t="shared" si="5"/>
        <v/>
      </c>
    </row>
    <row r="28" spans="1:28" ht="15" customHeight="1" x14ac:dyDescent="0.3">
      <c r="A28" s="20" t="str">
        <f t="shared" si="0"/>
        <v/>
      </c>
      <c r="B28" s="773"/>
      <c r="C28" s="775"/>
      <c r="D28" s="767"/>
      <c r="E28" s="577" t="s">
        <v>197</v>
      </c>
      <c r="F28" s="237" t="s">
        <v>62</v>
      </c>
      <c r="G28" s="238"/>
      <c r="H28" s="239"/>
      <c r="I28" s="420" t="str">
        <f t="shared" si="1"/>
        <v/>
      </c>
      <c r="J28" s="241"/>
      <c r="K28" s="240" t="str">
        <f t="shared" si="2"/>
        <v/>
      </c>
      <c r="L28" s="241"/>
      <c r="M28" s="240" t="str">
        <f t="shared" si="3"/>
        <v/>
      </c>
      <c r="N28" s="241"/>
      <c r="O28" s="228"/>
      <c r="P28" s="229"/>
      <c r="Q28" s="228"/>
      <c r="R28" s="229"/>
      <c r="S28" s="287"/>
      <c r="T28" s="288"/>
      <c r="U28" s="287"/>
      <c r="V28" s="289"/>
      <c r="W28" s="205" t="s">
        <v>206</v>
      </c>
      <c r="AB28" s="2" t="str">
        <f t="shared" si="5"/>
        <v/>
      </c>
    </row>
    <row r="29" spans="1:28" ht="15" customHeight="1" x14ac:dyDescent="0.3">
      <c r="A29" s="20" t="str">
        <f t="shared" si="0"/>
        <v/>
      </c>
      <c r="B29" s="773"/>
      <c r="C29" s="775"/>
      <c r="D29" s="767"/>
      <c r="E29" s="727" t="s">
        <v>166</v>
      </c>
      <c r="F29" s="237"/>
      <c r="G29" s="238"/>
      <c r="H29" s="239"/>
      <c r="I29" s="686"/>
      <c r="J29" s="241"/>
      <c r="K29" s="240"/>
      <c r="L29" s="241"/>
      <c r="M29" s="240"/>
      <c r="N29" s="241"/>
      <c r="O29" s="228"/>
      <c r="P29" s="229"/>
      <c r="Q29" s="228"/>
      <c r="R29" s="229"/>
      <c r="S29" s="667"/>
      <c r="T29" s="668"/>
      <c r="U29" s="667"/>
      <c r="V29" s="669"/>
      <c r="W29" s="205"/>
    </row>
    <row r="30" spans="1:28" ht="15" customHeight="1" x14ac:dyDescent="0.3">
      <c r="A30" s="20" t="str">
        <f t="shared" si="0"/>
        <v/>
      </c>
      <c r="B30" s="773"/>
      <c r="C30" s="775"/>
      <c r="D30" s="767"/>
      <c r="E30" s="727" t="s">
        <v>166</v>
      </c>
      <c r="F30" s="237"/>
      <c r="G30" s="238"/>
      <c r="H30" s="239"/>
      <c r="I30" s="686"/>
      <c r="J30" s="241"/>
      <c r="K30" s="240"/>
      <c r="L30" s="241"/>
      <c r="M30" s="240"/>
      <c r="N30" s="241"/>
      <c r="O30" s="228"/>
      <c r="P30" s="229"/>
      <c r="Q30" s="228"/>
      <c r="R30" s="229"/>
      <c r="S30" s="667"/>
      <c r="T30" s="668"/>
      <c r="U30" s="667"/>
      <c r="V30" s="669"/>
      <c r="W30" s="205"/>
    </row>
    <row r="31" spans="1:28" ht="15" customHeight="1" x14ac:dyDescent="0.3">
      <c r="A31" s="20" t="str">
        <f t="shared" si="0"/>
        <v/>
      </c>
      <c r="B31" s="773"/>
      <c r="C31" s="775"/>
      <c r="D31" s="767"/>
      <c r="E31" s="727" t="s">
        <v>166</v>
      </c>
      <c r="F31" s="237"/>
      <c r="G31" s="238"/>
      <c r="H31" s="239"/>
      <c r="I31" s="686"/>
      <c r="J31" s="241"/>
      <c r="K31" s="240"/>
      <c r="L31" s="241"/>
      <c r="M31" s="240"/>
      <c r="N31" s="241"/>
      <c r="O31" s="228"/>
      <c r="P31" s="229"/>
      <c r="Q31" s="228"/>
      <c r="R31" s="229"/>
      <c r="S31" s="667"/>
      <c r="T31" s="668"/>
      <c r="U31" s="667"/>
      <c r="V31" s="669"/>
      <c r="W31" s="205"/>
    </row>
    <row r="32" spans="1:28" ht="15" customHeight="1" x14ac:dyDescent="0.3">
      <c r="A32" s="20" t="str">
        <f t="shared" si="0"/>
        <v/>
      </c>
      <c r="B32" s="773"/>
      <c r="C32" s="775"/>
      <c r="D32" s="767"/>
      <c r="E32" s="727" t="s">
        <v>166</v>
      </c>
      <c r="F32" s="237"/>
      <c r="G32" s="238"/>
      <c r="H32" s="239"/>
      <c r="I32" s="686"/>
      <c r="J32" s="241"/>
      <c r="K32" s="240"/>
      <c r="L32" s="241"/>
      <c r="M32" s="240"/>
      <c r="N32" s="241"/>
      <c r="O32" s="228"/>
      <c r="P32" s="229"/>
      <c r="Q32" s="228"/>
      <c r="R32" s="229"/>
      <c r="S32" s="667"/>
      <c r="T32" s="668"/>
      <c r="U32" s="667"/>
      <c r="V32" s="669"/>
      <c r="W32" s="205"/>
    </row>
    <row r="33" spans="1:28" ht="15" customHeight="1" x14ac:dyDescent="0.3">
      <c r="A33" s="20" t="str">
        <f t="shared" si="0"/>
        <v/>
      </c>
      <c r="B33" s="773"/>
      <c r="C33" s="775"/>
      <c r="D33" s="767"/>
      <c r="E33" s="728" t="s">
        <v>166</v>
      </c>
      <c r="F33" s="242"/>
      <c r="G33" s="243"/>
      <c r="H33" s="244"/>
      <c r="I33" s="687"/>
      <c r="J33" s="246"/>
      <c r="K33" s="245"/>
      <c r="L33" s="246"/>
      <c r="M33" s="245"/>
      <c r="N33" s="246"/>
      <c r="O33" s="230"/>
      <c r="P33" s="231"/>
      <c r="Q33" s="230"/>
      <c r="R33" s="231"/>
      <c r="S33" s="670"/>
      <c r="T33" s="671"/>
      <c r="U33" s="670"/>
      <c r="V33" s="672"/>
      <c r="W33" s="205"/>
    </row>
    <row r="34" spans="1:28" ht="15.6" x14ac:dyDescent="0.3">
      <c r="A34" s="20" t="str">
        <f t="shared" si="0"/>
        <v>S</v>
      </c>
      <c r="B34" s="773"/>
      <c r="C34" s="776"/>
      <c r="D34" s="309" t="s">
        <v>138</v>
      </c>
      <c r="E34" s="717"/>
      <c r="F34" s="16"/>
      <c r="G34" s="7">
        <f>SUM(G13:G33)</f>
        <v>0</v>
      </c>
      <c r="H34" s="8">
        <f>SUM(H13:H33)</f>
        <v>0</v>
      </c>
      <c r="I34" s="9" t="e">
        <f t="shared" si="1"/>
        <v>#DIV/0!</v>
      </c>
      <c r="J34" s="202">
        <f>SUM(J13:J33)</f>
        <v>0</v>
      </c>
      <c r="K34" s="9" t="e">
        <f t="shared" si="2"/>
        <v>#DIV/0!</v>
      </c>
      <c r="L34" s="202">
        <f>SUM(L13:L33)</f>
        <v>0</v>
      </c>
      <c r="M34" s="9" t="e">
        <f t="shared" si="3"/>
        <v>#DIV/0!</v>
      </c>
      <c r="N34" s="202">
        <f t="shared" ref="N34:V34" si="18">SUM(N13:N33)</f>
        <v>0</v>
      </c>
      <c r="O34" s="118">
        <f t="shared" si="18"/>
        <v>0</v>
      </c>
      <c r="P34" s="119">
        <f t="shared" si="18"/>
        <v>0</v>
      </c>
      <c r="Q34" s="118">
        <f t="shared" si="18"/>
        <v>0</v>
      </c>
      <c r="R34" s="119">
        <f t="shared" si="18"/>
        <v>0</v>
      </c>
      <c r="S34" s="118">
        <f t="shared" si="18"/>
        <v>0</v>
      </c>
      <c r="T34" s="119">
        <f t="shared" si="18"/>
        <v>0</v>
      </c>
      <c r="U34" s="118">
        <f t="shared" si="18"/>
        <v>0</v>
      </c>
      <c r="V34" s="120">
        <f t="shared" si="18"/>
        <v>0</v>
      </c>
      <c r="W34" s="205" t="s">
        <v>206</v>
      </c>
      <c r="AB34" s="2">
        <f t="shared" si="5"/>
        <v>0</v>
      </c>
    </row>
    <row r="35" spans="1:28" ht="15" customHeight="1" x14ac:dyDescent="0.3">
      <c r="A35" s="20" t="str">
        <f t="shared" si="0"/>
        <v/>
      </c>
      <c r="B35" s="773" t="s">
        <v>82</v>
      </c>
      <c r="C35" s="775" t="s">
        <v>75</v>
      </c>
      <c r="D35" s="767">
        <v>11</v>
      </c>
      <c r="E35" s="719" t="s">
        <v>13</v>
      </c>
      <c r="F35" s="232" t="s">
        <v>60</v>
      </c>
      <c r="G35" s="702"/>
      <c r="H35" s="703"/>
      <c r="I35" s="411" t="str">
        <f t="shared" si="1"/>
        <v/>
      </c>
      <c r="J35" s="704"/>
      <c r="K35" s="235" t="str">
        <f t="shared" si="2"/>
        <v/>
      </c>
      <c r="L35" s="704"/>
      <c r="M35" s="235" t="str">
        <f t="shared" si="3"/>
        <v/>
      </c>
      <c r="N35" s="236"/>
      <c r="O35" s="226"/>
      <c r="P35" s="227"/>
      <c r="Q35" s="226"/>
      <c r="R35" s="227"/>
      <c r="S35" s="664" t="s">
        <v>21</v>
      </c>
      <c r="T35" s="665" t="s">
        <v>21</v>
      </c>
      <c r="U35" s="664" t="s">
        <v>21</v>
      </c>
      <c r="V35" s="666" t="s">
        <v>21</v>
      </c>
      <c r="W35" s="205" t="s">
        <v>206</v>
      </c>
      <c r="AB35" s="2" t="str">
        <f t="shared" si="5"/>
        <v/>
      </c>
    </row>
    <row r="36" spans="1:28" ht="15" customHeight="1" x14ac:dyDescent="0.3">
      <c r="A36" s="20" t="str">
        <f t="shared" si="0"/>
        <v/>
      </c>
      <c r="B36" s="773"/>
      <c r="C36" s="775"/>
      <c r="D36" s="767"/>
      <c r="E36" s="577" t="s">
        <v>14</v>
      </c>
      <c r="F36" s="237" t="s">
        <v>60</v>
      </c>
      <c r="G36" s="688"/>
      <c r="H36" s="689"/>
      <c r="I36" s="420" t="str">
        <f t="shared" si="1"/>
        <v/>
      </c>
      <c r="J36" s="690"/>
      <c r="K36" s="240" t="str">
        <f t="shared" si="2"/>
        <v/>
      </c>
      <c r="L36" s="690"/>
      <c r="M36" s="240" t="str">
        <f t="shared" si="3"/>
        <v/>
      </c>
      <c r="N36" s="241"/>
      <c r="O36" s="228"/>
      <c r="P36" s="229"/>
      <c r="Q36" s="228"/>
      <c r="R36" s="229"/>
      <c r="S36" s="667" t="s">
        <v>21</v>
      </c>
      <c r="T36" s="668" t="s">
        <v>21</v>
      </c>
      <c r="U36" s="667" t="s">
        <v>21</v>
      </c>
      <c r="V36" s="669" t="s">
        <v>21</v>
      </c>
      <c r="W36" s="205" t="s">
        <v>206</v>
      </c>
      <c r="AB36" s="2" t="str">
        <f t="shared" si="5"/>
        <v/>
      </c>
    </row>
    <row r="37" spans="1:28" ht="15" customHeight="1" x14ac:dyDescent="0.3">
      <c r="A37" s="20" t="str">
        <f t="shared" si="0"/>
        <v/>
      </c>
      <c r="B37" s="773"/>
      <c r="C37" s="775"/>
      <c r="D37" s="767"/>
      <c r="E37" s="577" t="s">
        <v>15</v>
      </c>
      <c r="F37" s="237" t="s">
        <v>60</v>
      </c>
      <c r="G37" s="688"/>
      <c r="H37" s="689"/>
      <c r="I37" s="420" t="str">
        <f t="shared" si="1"/>
        <v/>
      </c>
      <c r="J37" s="690"/>
      <c r="K37" s="240" t="str">
        <f t="shared" si="2"/>
        <v/>
      </c>
      <c r="L37" s="690"/>
      <c r="M37" s="240" t="str">
        <f t="shared" si="3"/>
        <v/>
      </c>
      <c r="N37" s="241"/>
      <c r="O37" s="228"/>
      <c r="P37" s="229"/>
      <c r="Q37" s="228"/>
      <c r="R37" s="229"/>
      <c r="S37" s="667" t="s">
        <v>21</v>
      </c>
      <c r="T37" s="668" t="s">
        <v>21</v>
      </c>
      <c r="U37" s="667" t="s">
        <v>21</v>
      </c>
      <c r="V37" s="669" t="s">
        <v>21</v>
      </c>
      <c r="W37" s="205" t="s">
        <v>206</v>
      </c>
      <c r="AB37" s="2" t="str">
        <f t="shared" si="5"/>
        <v/>
      </c>
    </row>
    <row r="38" spans="1:28" ht="15" customHeight="1" x14ac:dyDescent="0.3">
      <c r="A38" s="20" t="str">
        <f t="shared" si="0"/>
        <v/>
      </c>
      <c r="B38" s="773"/>
      <c r="C38" s="775"/>
      <c r="D38" s="767"/>
      <c r="E38" s="577" t="s">
        <v>141</v>
      </c>
      <c r="F38" s="237" t="s">
        <v>60</v>
      </c>
      <c r="G38" s="688"/>
      <c r="H38" s="689"/>
      <c r="I38" s="420" t="str">
        <f t="shared" si="1"/>
        <v/>
      </c>
      <c r="J38" s="690"/>
      <c r="K38" s="240" t="str">
        <f t="shared" si="2"/>
        <v/>
      </c>
      <c r="L38" s="690"/>
      <c r="M38" s="240" t="str">
        <f t="shared" si="3"/>
        <v/>
      </c>
      <c r="N38" s="241"/>
      <c r="O38" s="228"/>
      <c r="P38" s="229"/>
      <c r="Q38" s="228"/>
      <c r="R38" s="229"/>
      <c r="S38" s="667" t="s">
        <v>21</v>
      </c>
      <c r="T38" s="668" t="s">
        <v>21</v>
      </c>
      <c r="U38" s="667" t="s">
        <v>21</v>
      </c>
      <c r="V38" s="669" t="s">
        <v>21</v>
      </c>
      <c r="W38" s="205" t="s">
        <v>206</v>
      </c>
      <c r="AB38" s="2" t="str">
        <f t="shared" si="5"/>
        <v/>
      </c>
    </row>
    <row r="39" spans="1:28" ht="15" customHeight="1" x14ac:dyDescent="0.3">
      <c r="A39" s="20" t="str">
        <f t="shared" si="0"/>
        <v/>
      </c>
      <c r="B39" s="773"/>
      <c r="C39" s="775"/>
      <c r="D39" s="767"/>
      <c r="E39" s="577" t="s">
        <v>16</v>
      </c>
      <c r="F39" s="237" t="s">
        <v>60</v>
      </c>
      <c r="G39" s="688"/>
      <c r="H39" s="689"/>
      <c r="I39" s="420" t="str">
        <f t="shared" si="1"/>
        <v/>
      </c>
      <c r="J39" s="690"/>
      <c r="K39" s="240" t="str">
        <f t="shared" si="2"/>
        <v/>
      </c>
      <c r="L39" s="690"/>
      <c r="M39" s="240" t="str">
        <f t="shared" si="3"/>
        <v/>
      </c>
      <c r="N39" s="241"/>
      <c r="O39" s="228"/>
      <c r="P39" s="229"/>
      <c r="Q39" s="228"/>
      <c r="R39" s="229"/>
      <c r="S39" s="667" t="s">
        <v>21</v>
      </c>
      <c r="T39" s="668" t="s">
        <v>21</v>
      </c>
      <c r="U39" s="667" t="s">
        <v>21</v>
      </c>
      <c r="V39" s="669" t="s">
        <v>21</v>
      </c>
      <c r="W39" s="205" t="s">
        <v>206</v>
      </c>
      <c r="AB39" s="2" t="str">
        <f t="shared" si="5"/>
        <v/>
      </c>
    </row>
    <row r="40" spans="1:28" ht="15" customHeight="1" x14ac:dyDescent="0.3">
      <c r="A40" s="20" t="str">
        <f t="shared" si="0"/>
        <v/>
      </c>
      <c r="B40" s="773"/>
      <c r="C40" s="775"/>
      <c r="D40" s="767"/>
      <c r="E40" s="577" t="s">
        <v>17</v>
      </c>
      <c r="F40" s="237" t="s">
        <v>60</v>
      </c>
      <c r="G40" s="688"/>
      <c r="H40" s="689"/>
      <c r="I40" s="420" t="str">
        <f t="shared" si="1"/>
        <v/>
      </c>
      <c r="J40" s="690"/>
      <c r="K40" s="240" t="str">
        <f t="shared" si="2"/>
        <v/>
      </c>
      <c r="L40" s="690"/>
      <c r="M40" s="240" t="str">
        <f t="shared" si="3"/>
        <v/>
      </c>
      <c r="N40" s="241"/>
      <c r="O40" s="228"/>
      <c r="P40" s="229"/>
      <c r="Q40" s="228"/>
      <c r="R40" s="229"/>
      <c r="S40" s="667" t="s">
        <v>21</v>
      </c>
      <c r="T40" s="668" t="s">
        <v>21</v>
      </c>
      <c r="U40" s="667" t="s">
        <v>21</v>
      </c>
      <c r="V40" s="669" t="s">
        <v>21</v>
      </c>
      <c r="W40" s="205" t="s">
        <v>206</v>
      </c>
      <c r="AB40" s="2" t="str">
        <f t="shared" si="5"/>
        <v/>
      </c>
    </row>
    <row r="41" spans="1:28" ht="15" customHeight="1" x14ac:dyDescent="0.3">
      <c r="A41" s="20" t="str">
        <f t="shared" si="0"/>
        <v/>
      </c>
      <c r="B41" s="773"/>
      <c r="C41" s="775"/>
      <c r="D41" s="767"/>
      <c r="E41" s="577" t="s">
        <v>18</v>
      </c>
      <c r="F41" s="237" t="s">
        <v>60</v>
      </c>
      <c r="G41" s="688"/>
      <c r="H41" s="689"/>
      <c r="I41" s="420" t="str">
        <f t="shared" si="1"/>
        <v/>
      </c>
      <c r="J41" s="690"/>
      <c r="K41" s="240" t="str">
        <f t="shared" si="2"/>
        <v/>
      </c>
      <c r="L41" s="690"/>
      <c r="M41" s="240" t="str">
        <f t="shared" si="3"/>
        <v/>
      </c>
      <c r="N41" s="241"/>
      <c r="O41" s="228"/>
      <c r="P41" s="229"/>
      <c r="Q41" s="228"/>
      <c r="R41" s="229"/>
      <c r="S41" s="667" t="s">
        <v>21</v>
      </c>
      <c r="T41" s="668" t="s">
        <v>21</v>
      </c>
      <c r="U41" s="667" t="s">
        <v>21</v>
      </c>
      <c r="V41" s="669" t="s">
        <v>21</v>
      </c>
      <c r="W41" s="205" t="s">
        <v>206</v>
      </c>
      <c r="AB41" s="2" t="str">
        <f t="shared" si="5"/>
        <v/>
      </c>
    </row>
    <row r="42" spans="1:28" ht="15" customHeight="1" x14ac:dyDescent="0.3">
      <c r="A42" s="20" t="str">
        <f t="shared" si="0"/>
        <v/>
      </c>
      <c r="B42" s="773"/>
      <c r="C42" s="775"/>
      <c r="D42" s="767"/>
      <c r="E42" s="577" t="s">
        <v>19</v>
      </c>
      <c r="F42" s="237" t="s">
        <v>60</v>
      </c>
      <c r="G42" s="688"/>
      <c r="H42" s="689"/>
      <c r="I42" s="420" t="str">
        <f t="shared" si="1"/>
        <v/>
      </c>
      <c r="J42" s="690"/>
      <c r="K42" s="240" t="str">
        <f t="shared" si="2"/>
        <v/>
      </c>
      <c r="L42" s="690"/>
      <c r="M42" s="240" t="str">
        <f t="shared" si="3"/>
        <v/>
      </c>
      <c r="N42" s="241"/>
      <c r="O42" s="228"/>
      <c r="P42" s="229"/>
      <c r="Q42" s="228"/>
      <c r="R42" s="229"/>
      <c r="S42" s="667" t="s">
        <v>21</v>
      </c>
      <c r="T42" s="668" t="s">
        <v>21</v>
      </c>
      <c r="U42" s="667" t="s">
        <v>21</v>
      </c>
      <c r="V42" s="669" t="s">
        <v>21</v>
      </c>
      <c r="W42" s="205" t="s">
        <v>206</v>
      </c>
      <c r="AB42" s="2" t="str">
        <f t="shared" si="5"/>
        <v/>
      </c>
    </row>
    <row r="43" spans="1:28" ht="15" customHeight="1" x14ac:dyDescent="0.3">
      <c r="A43" s="20" t="str">
        <f t="shared" si="0"/>
        <v/>
      </c>
      <c r="B43" s="773"/>
      <c r="C43" s="775"/>
      <c r="D43" s="767"/>
      <c r="E43" s="577" t="s">
        <v>169</v>
      </c>
      <c r="F43" s="237" t="s">
        <v>60</v>
      </c>
      <c r="G43" s="688"/>
      <c r="H43" s="689"/>
      <c r="I43" s="420" t="str">
        <f t="shared" si="1"/>
        <v/>
      </c>
      <c r="J43" s="690"/>
      <c r="K43" s="240" t="str">
        <f t="shared" si="2"/>
        <v/>
      </c>
      <c r="L43" s="690"/>
      <c r="M43" s="240" t="str">
        <f t="shared" si="3"/>
        <v/>
      </c>
      <c r="N43" s="241"/>
      <c r="O43" s="228"/>
      <c r="P43" s="229"/>
      <c r="Q43" s="228"/>
      <c r="R43" s="229"/>
      <c r="S43" s="667" t="s">
        <v>21</v>
      </c>
      <c r="T43" s="668" t="s">
        <v>21</v>
      </c>
      <c r="U43" s="667" t="s">
        <v>21</v>
      </c>
      <c r="V43" s="669" t="s">
        <v>21</v>
      </c>
      <c r="W43" s="205" t="s">
        <v>206</v>
      </c>
      <c r="AB43" s="2" t="str">
        <f t="shared" si="5"/>
        <v/>
      </c>
    </row>
    <row r="44" spans="1:28" ht="15" customHeight="1" x14ac:dyDescent="0.3">
      <c r="A44" s="20" t="str">
        <f t="shared" si="0"/>
        <v/>
      </c>
      <c r="B44" s="773"/>
      <c r="C44" s="775"/>
      <c r="D44" s="767"/>
      <c r="E44" s="577" t="s">
        <v>170</v>
      </c>
      <c r="F44" s="237" t="s">
        <v>60</v>
      </c>
      <c r="G44" s="688"/>
      <c r="H44" s="689"/>
      <c r="I44" s="420" t="str">
        <f t="shared" si="1"/>
        <v/>
      </c>
      <c r="J44" s="690"/>
      <c r="K44" s="240" t="str">
        <f t="shared" si="2"/>
        <v/>
      </c>
      <c r="L44" s="690"/>
      <c r="M44" s="240" t="str">
        <f t="shared" si="3"/>
        <v/>
      </c>
      <c r="N44" s="241"/>
      <c r="O44" s="228"/>
      <c r="P44" s="229"/>
      <c r="Q44" s="228"/>
      <c r="R44" s="229"/>
      <c r="S44" s="667" t="s">
        <v>21</v>
      </c>
      <c r="T44" s="668" t="s">
        <v>21</v>
      </c>
      <c r="U44" s="667" t="s">
        <v>21</v>
      </c>
      <c r="V44" s="669" t="s">
        <v>21</v>
      </c>
      <c r="W44" s="205" t="s">
        <v>206</v>
      </c>
      <c r="AB44" s="2" t="str">
        <f t="shared" si="5"/>
        <v/>
      </c>
    </row>
    <row r="45" spans="1:28" ht="15" customHeight="1" x14ac:dyDescent="0.3">
      <c r="A45" s="20" t="str">
        <f t="shared" si="0"/>
        <v/>
      </c>
      <c r="B45" s="773"/>
      <c r="C45" s="775"/>
      <c r="D45" s="767"/>
      <c r="E45" s="577" t="s">
        <v>5</v>
      </c>
      <c r="F45" s="237" t="s">
        <v>60</v>
      </c>
      <c r="G45" s="238"/>
      <c r="H45" s="239"/>
      <c r="I45" s="420" t="str">
        <f t="shared" si="1"/>
        <v/>
      </c>
      <c r="J45" s="241"/>
      <c r="K45" s="240" t="str">
        <f t="shared" si="2"/>
        <v/>
      </c>
      <c r="L45" s="241"/>
      <c r="M45" s="240" t="str">
        <f t="shared" si="3"/>
        <v/>
      </c>
      <c r="N45" s="241"/>
      <c r="O45" s="228"/>
      <c r="P45" s="229"/>
      <c r="Q45" s="228"/>
      <c r="R45" s="229"/>
      <c r="S45" s="667" t="s">
        <v>21</v>
      </c>
      <c r="T45" s="668" t="s">
        <v>21</v>
      </c>
      <c r="U45" s="667" t="s">
        <v>21</v>
      </c>
      <c r="V45" s="669" t="s">
        <v>21</v>
      </c>
      <c r="W45" s="205" t="s">
        <v>206</v>
      </c>
      <c r="AB45" s="2" t="str">
        <f t="shared" si="5"/>
        <v/>
      </c>
    </row>
    <row r="46" spans="1:28" ht="15" customHeight="1" x14ac:dyDescent="0.3">
      <c r="A46" s="20" t="str">
        <f t="shared" si="0"/>
        <v/>
      </c>
      <c r="B46" s="773"/>
      <c r="C46" s="775"/>
      <c r="D46" s="767"/>
      <c r="E46" s="727" t="s">
        <v>166</v>
      </c>
      <c r="F46" s="237"/>
      <c r="G46" s="238"/>
      <c r="H46" s="239"/>
      <c r="I46" s="686"/>
      <c r="J46" s="241"/>
      <c r="K46" s="240"/>
      <c r="L46" s="241"/>
      <c r="M46" s="240"/>
      <c r="N46" s="241"/>
      <c r="O46" s="228"/>
      <c r="P46" s="229"/>
      <c r="Q46" s="228"/>
      <c r="R46" s="229"/>
      <c r="S46" s="667" t="s">
        <v>21</v>
      </c>
      <c r="T46" s="668" t="s">
        <v>21</v>
      </c>
      <c r="U46" s="667" t="s">
        <v>21</v>
      </c>
      <c r="V46" s="669" t="s">
        <v>21</v>
      </c>
      <c r="W46" s="205"/>
    </row>
    <row r="47" spans="1:28" ht="15" customHeight="1" x14ac:dyDescent="0.3">
      <c r="A47" s="20" t="str">
        <f t="shared" si="0"/>
        <v/>
      </c>
      <c r="B47" s="773"/>
      <c r="C47" s="775"/>
      <c r="D47" s="767"/>
      <c r="E47" s="727" t="s">
        <v>166</v>
      </c>
      <c r="F47" s="237"/>
      <c r="G47" s="238"/>
      <c r="H47" s="239"/>
      <c r="I47" s="686"/>
      <c r="J47" s="241"/>
      <c r="K47" s="240"/>
      <c r="L47" s="241"/>
      <c r="M47" s="240"/>
      <c r="N47" s="241"/>
      <c r="O47" s="228"/>
      <c r="P47" s="229"/>
      <c r="Q47" s="228"/>
      <c r="R47" s="229"/>
      <c r="S47" s="667" t="s">
        <v>21</v>
      </c>
      <c r="T47" s="668" t="s">
        <v>21</v>
      </c>
      <c r="U47" s="667" t="s">
        <v>21</v>
      </c>
      <c r="V47" s="669" t="s">
        <v>21</v>
      </c>
      <c r="W47" s="205"/>
    </row>
    <row r="48" spans="1:28" ht="15" customHeight="1" x14ac:dyDescent="0.3">
      <c r="A48" s="20" t="str">
        <f t="shared" si="0"/>
        <v/>
      </c>
      <c r="B48" s="773"/>
      <c r="C48" s="775"/>
      <c r="D48" s="767"/>
      <c r="E48" s="728" t="s">
        <v>166</v>
      </c>
      <c r="F48" s="242"/>
      <c r="G48" s="243"/>
      <c r="H48" s="244"/>
      <c r="I48" s="687"/>
      <c r="J48" s="246"/>
      <c r="K48" s="245"/>
      <c r="L48" s="246"/>
      <c r="M48" s="245"/>
      <c r="N48" s="246"/>
      <c r="O48" s="230"/>
      <c r="P48" s="231"/>
      <c r="Q48" s="230"/>
      <c r="R48" s="231"/>
      <c r="S48" s="670" t="s">
        <v>21</v>
      </c>
      <c r="T48" s="671" t="s">
        <v>21</v>
      </c>
      <c r="U48" s="670" t="s">
        <v>21</v>
      </c>
      <c r="V48" s="672" t="s">
        <v>21</v>
      </c>
      <c r="W48" s="205"/>
    </row>
    <row r="49" spans="1:28" ht="15.6" x14ac:dyDescent="0.3">
      <c r="A49" s="20" t="str">
        <f t="shared" si="0"/>
        <v>S</v>
      </c>
      <c r="B49" s="773"/>
      <c r="C49" s="776"/>
      <c r="D49" s="309" t="s">
        <v>138</v>
      </c>
      <c r="E49" s="717"/>
      <c r="F49" s="16"/>
      <c r="G49" s="7">
        <f>SUM(G35:G48)</f>
        <v>0</v>
      </c>
      <c r="H49" s="8">
        <f>SUM(H35:H48)</f>
        <v>0</v>
      </c>
      <c r="I49" s="9" t="e">
        <f>J49/G49</f>
        <v>#DIV/0!</v>
      </c>
      <c r="J49" s="202">
        <f>SUM(J35:J48)</f>
        <v>0</v>
      </c>
      <c r="K49" s="9" t="e">
        <f t="shared" si="2"/>
        <v>#DIV/0!</v>
      </c>
      <c r="L49" s="202">
        <f>SUM(L35:L48)</f>
        <v>0</v>
      </c>
      <c r="M49" s="9" t="e">
        <f t="shared" si="3"/>
        <v>#DIV/0!</v>
      </c>
      <c r="N49" s="202">
        <f t="shared" ref="N49:V49" si="19">SUM(N35:N48)</f>
        <v>0</v>
      </c>
      <c r="O49" s="118">
        <f t="shared" si="19"/>
        <v>0</v>
      </c>
      <c r="P49" s="119">
        <f t="shared" si="19"/>
        <v>0</v>
      </c>
      <c r="Q49" s="118">
        <f t="shared" si="19"/>
        <v>0</v>
      </c>
      <c r="R49" s="119">
        <f t="shared" si="19"/>
        <v>0</v>
      </c>
      <c r="S49" s="118">
        <f t="shared" si="19"/>
        <v>0</v>
      </c>
      <c r="T49" s="119">
        <f t="shared" si="19"/>
        <v>0</v>
      </c>
      <c r="U49" s="118">
        <f t="shared" si="19"/>
        <v>0</v>
      </c>
      <c r="V49" s="120">
        <f t="shared" si="19"/>
        <v>0</v>
      </c>
      <c r="W49" s="205" t="s">
        <v>206</v>
      </c>
      <c r="AB49" s="2">
        <f t="shared" si="5"/>
        <v>0</v>
      </c>
    </row>
    <row r="50" spans="1:28" x14ac:dyDescent="0.3">
      <c r="A50" s="20" t="str">
        <f>IF(D50="Sous-total","S",IF(G50="","","X"))</f>
        <v/>
      </c>
      <c r="B50" s="773" t="s">
        <v>83</v>
      </c>
      <c r="C50" s="775" t="s">
        <v>75</v>
      </c>
      <c r="D50" s="757">
        <v>9</v>
      </c>
      <c r="E50" s="719" t="s">
        <v>10</v>
      </c>
      <c r="F50" s="232" t="s">
        <v>60</v>
      </c>
      <c r="G50" s="233"/>
      <c r="H50" s="234"/>
      <c r="I50" s="411" t="str">
        <f>IF(J50="","",J50/G50)</f>
        <v/>
      </c>
      <c r="J50" s="234"/>
      <c r="K50" s="235" t="str">
        <f>IF(L50="","",L50/G50)</f>
        <v/>
      </c>
      <c r="L50" s="236"/>
      <c r="M50" s="235" t="str">
        <f>IF(N50="","",N50/L50)</f>
        <v/>
      </c>
      <c r="N50" s="236"/>
      <c r="O50" s="226"/>
      <c r="P50" s="227"/>
      <c r="Q50" s="226"/>
      <c r="R50" s="227"/>
      <c r="S50" s="664" t="s">
        <v>21</v>
      </c>
      <c r="T50" s="665" t="s">
        <v>21</v>
      </c>
      <c r="U50" s="664" t="s">
        <v>21</v>
      </c>
      <c r="V50" s="666" t="s">
        <v>21</v>
      </c>
      <c r="W50" s="205" t="s">
        <v>206</v>
      </c>
      <c r="AB50" s="2" t="str">
        <f t="shared" si="5"/>
        <v/>
      </c>
    </row>
    <row r="51" spans="1:28" x14ac:dyDescent="0.3">
      <c r="A51" s="20" t="str">
        <f t="shared" ref="A51:A113" si="20">IF(D51="Sous-total","S",IF(G51="","","X"))</f>
        <v/>
      </c>
      <c r="B51" s="773"/>
      <c r="C51" s="775"/>
      <c r="D51" s="757"/>
      <c r="E51" s="577" t="s">
        <v>11</v>
      </c>
      <c r="F51" s="237" t="s">
        <v>60</v>
      </c>
      <c r="G51" s="238"/>
      <c r="H51" s="239"/>
      <c r="I51" s="420" t="str">
        <f t="shared" ref="I51:I60" si="21">IF(J51="","",J51/G51)</f>
        <v/>
      </c>
      <c r="J51" s="239"/>
      <c r="K51" s="240" t="str">
        <f t="shared" ref="K51:K128" si="22">IF(L51="","",L51/G51)</f>
        <v/>
      </c>
      <c r="L51" s="241"/>
      <c r="M51" s="240" t="str">
        <f t="shared" ref="M51:M128" si="23">IF(N51="","",N51/L51)</f>
        <v/>
      </c>
      <c r="N51" s="241"/>
      <c r="O51" s="228"/>
      <c r="P51" s="229"/>
      <c r="Q51" s="228"/>
      <c r="R51" s="229"/>
      <c r="S51" s="667" t="s">
        <v>21</v>
      </c>
      <c r="T51" s="668" t="s">
        <v>21</v>
      </c>
      <c r="U51" s="667" t="s">
        <v>21</v>
      </c>
      <c r="V51" s="669" t="s">
        <v>21</v>
      </c>
      <c r="W51" s="205" t="s">
        <v>206</v>
      </c>
      <c r="AB51" s="2" t="str">
        <f t="shared" si="5"/>
        <v/>
      </c>
    </row>
    <row r="52" spans="1:28" x14ac:dyDescent="0.3">
      <c r="A52" s="20" t="str">
        <f t="shared" si="20"/>
        <v/>
      </c>
      <c r="B52" s="773"/>
      <c r="C52" s="775"/>
      <c r="D52" s="757"/>
      <c r="E52" s="577" t="s">
        <v>12</v>
      </c>
      <c r="F52" s="237" t="s">
        <v>60</v>
      </c>
      <c r="G52" s="238"/>
      <c r="H52" s="239"/>
      <c r="I52" s="420" t="str">
        <f t="shared" si="21"/>
        <v/>
      </c>
      <c r="J52" s="239"/>
      <c r="K52" s="240" t="str">
        <f t="shared" si="22"/>
        <v/>
      </c>
      <c r="L52" s="241"/>
      <c r="M52" s="240" t="str">
        <f t="shared" si="23"/>
        <v/>
      </c>
      <c r="N52" s="241"/>
      <c r="O52" s="228"/>
      <c r="P52" s="229"/>
      <c r="Q52" s="228"/>
      <c r="R52" s="229"/>
      <c r="S52" s="667" t="s">
        <v>21</v>
      </c>
      <c r="T52" s="668" t="s">
        <v>21</v>
      </c>
      <c r="U52" s="667" t="s">
        <v>21</v>
      </c>
      <c r="V52" s="669" t="s">
        <v>21</v>
      </c>
      <c r="W52" s="205" t="s">
        <v>206</v>
      </c>
      <c r="AB52" s="2" t="str">
        <f t="shared" si="5"/>
        <v/>
      </c>
    </row>
    <row r="53" spans="1:28" x14ac:dyDescent="0.3">
      <c r="A53" s="20" t="str">
        <f t="shared" si="20"/>
        <v/>
      </c>
      <c r="B53" s="773"/>
      <c r="C53" s="775"/>
      <c r="D53" s="757"/>
      <c r="E53" s="577" t="s">
        <v>7</v>
      </c>
      <c r="F53" s="237" t="s">
        <v>60</v>
      </c>
      <c r="G53" s="238"/>
      <c r="H53" s="239"/>
      <c r="I53" s="420" t="str">
        <f t="shared" si="21"/>
        <v/>
      </c>
      <c r="J53" s="239"/>
      <c r="K53" s="240" t="str">
        <f t="shared" si="22"/>
        <v/>
      </c>
      <c r="L53" s="241"/>
      <c r="M53" s="240" t="str">
        <f t="shared" si="23"/>
        <v/>
      </c>
      <c r="N53" s="241"/>
      <c r="O53" s="228"/>
      <c r="P53" s="229"/>
      <c r="Q53" s="228"/>
      <c r="R53" s="229"/>
      <c r="S53" s="667" t="s">
        <v>21</v>
      </c>
      <c r="T53" s="668" t="s">
        <v>21</v>
      </c>
      <c r="U53" s="667" t="s">
        <v>21</v>
      </c>
      <c r="V53" s="669" t="s">
        <v>21</v>
      </c>
      <c r="W53" s="205" t="s">
        <v>206</v>
      </c>
      <c r="AB53" s="2" t="str">
        <f t="shared" si="5"/>
        <v/>
      </c>
    </row>
    <row r="54" spans="1:28" x14ac:dyDescent="0.3">
      <c r="A54" s="20" t="str">
        <f t="shared" si="20"/>
        <v/>
      </c>
      <c r="B54" s="773"/>
      <c r="C54" s="775"/>
      <c r="D54" s="757"/>
      <c r="E54" s="577" t="s">
        <v>132</v>
      </c>
      <c r="F54" s="237" t="s">
        <v>60</v>
      </c>
      <c r="G54" s="238"/>
      <c r="H54" s="239"/>
      <c r="I54" s="420" t="str">
        <f t="shared" si="21"/>
        <v/>
      </c>
      <c r="J54" s="239"/>
      <c r="K54" s="240" t="str">
        <f t="shared" si="22"/>
        <v/>
      </c>
      <c r="L54" s="241"/>
      <c r="M54" s="240" t="str">
        <f t="shared" si="23"/>
        <v/>
      </c>
      <c r="N54" s="241"/>
      <c r="O54" s="228"/>
      <c r="P54" s="229"/>
      <c r="Q54" s="228"/>
      <c r="R54" s="229"/>
      <c r="S54" s="667" t="s">
        <v>21</v>
      </c>
      <c r="T54" s="668" t="s">
        <v>21</v>
      </c>
      <c r="U54" s="667" t="s">
        <v>21</v>
      </c>
      <c r="V54" s="669" t="s">
        <v>21</v>
      </c>
      <c r="W54" s="205" t="s">
        <v>206</v>
      </c>
      <c r="AB54" s="2" t="str">
        <f t="shared" si="5"/>
        <v/>
      </c>
    </row>
    <row r="55" spans="1:28" x14ac:dyDescent="0.3">
      <c r="A55" s="20" t="str">
        <f t="shared" si="20"/>
        <v/>
      </c>
      <c r="B55" s="773"/>
      <c r="C55" s="775"/>
      <c r="D55" s="757"/>
      <c r="E55" s="577" t="s">
        <v>8</v>
      </c>
      <c r="F55" s="237" t="s">
        <v>60</v>
      </c>
      <c r="G55" s="238"/>
      <c r="H55" s="239"/>
      <c r="I55" s="420" t="str">
        <f t="shared" si="21"/>
        <v/>
      </c>
      <c r="J55" s="239"/>
      <c r="K55" s="240" t="str">
        <f t="shared" si="22"/>
        <v/>
      </c>
      <c r="L55" s="241"/>
      <c r="M55" s="240" t="str">
        <f t="shared" si="23"/>
        <v/>
      </c>
      <c r="N55" s="241"/>
      <c r="O55" s="228"/>
      <c r="P55" s="229"/>
      <c r="Q55" s="228"/>
      <c r="R55" s="229"/>
      <c r="S55" s="667" t="s">
        <v>21</v>
      </c>
      <c r="T55" s="668" t="s">
        <v>21</v>
      </c>
      <c r="U55" s="667" t="s">
        <v>21</v>
      </c>
      <c r="V55" s="669" t="s">
        <v>21</v>
      </c>
      <c r="W55" s="205" t="s">
        <v>206</v>
      </c>
      <c r="AB55" s="2" t="str">
        <f t="shared" si="5"/>
        <v/>
      </c>
    </row>
    <row r="56" spans="1:28" x14ac:dyDescent="0.3">
      <c r="A56" s="20" t="str">
        <f t="shared" si="20"/>
        <v/>
      </c>
      <c r="B56" s="773"/>
      <c r="C56" s="775"/>
      <c r="D56" s="757"/>
      <c r="E56" s="577" t="s">
        <v>6</v>
      </c>
      <c r="F56" s="237" t="s">
        <v>60</v>
      </c>
      <c r="G56" s="238"/>
      <c r="H56" s="239"/>
      <c r="I56" s="420" t="str">
        <f t="shared" si="21"/>
        <v/>
      </c>
      <c r="J56" s="239"/>
      <c r="K56" s="240" t="str">
        <f t="shared" si="22"/>
        <v/>
      </c>
      <c r="L56" s="241"/>
      <c r="M56" s="240" t="str">
        <f t="shared" si="23"/>
        <v/>
      </c>
      <c r="N56" s="241"/>
      <c r="O56" s="228"/>
      <c r="P56" s="229"/>
      <c r="Q56" s="228"/>
      <c r="R56" s="229"/>
      <c r="S56" s="667" t="s">
        <v>21</v>
      </c>
      <c r="T56" s="668" t="s">
        <v>21</v>
      </c>
      <c r="U56" s="667" t="s">
        <v>21</v>
      </c>
      <c r="V56" s="669" t="s">
        <v>21</v>
      </c>
      <c r="W56" s="205" t="s">
        <v>206</v>
      </c>
      <c r="AB56" s="2" t="str">
        <f t="shared" si="5"/>
        <v/>
      </c>
    </row>
    <row r="57" spans="1:28" ht="15" customHeight="1" x14ac:dyDescent="0.3">
      <c r="A57" s="20" t="str">
        <f t="shared" si="20"/>
        <v/>
      </c>
      <c r="B57" s="773"/>
      <c r="C57" s="775"/>
      <c r="D57" s="757"/>
      <c r="E57" s="577" t="s">
        <v>228</v>
      </c>
      <c r="F57" s="237" t="s">
        <v>60</v>
      </c>
      <c r="G57" s="238"/>
      <c r="H57" s="239"/>
      <c r="I57" s="420" t="str">
        <f t="shared" si="21"/>
        <v/>
      </c>
      <c r="J57" s="239"/>
      <c r="K57" s="240" t="str">
        <f t="shared" si="22"/>
        <v/>
      </c>
      <c r="L57" s="241"/>
      <c r="M57" s="240" t="str">
        <f t="shared" si="23"/>
        <v/>
      </c>
      <c r="N57" s="241"/>
      <c r="O57" s="228"/>
      <c r="P57" s="229"/>
      <c r="Q57" s="228"/>
      <c r="R57" s="229"/>
      <c r="S57" s="667" t="s">
        <v>21</v>
      </c>
      <c r="T57" s="668" t="s">
        <v>21</v>
      </c>
      <c r="U57" s="667" t="s">
        <v>21</v>
      </c>
      <c r="V57" s="669" t="s">
        <v>21</v>
      </c>
      <c r="W57" s="205" t="s">
        <v>206</v>
      </c>
      <c r="AB57" s="2" t="str">
        <f t="shared" si="5"/>
        <v/>
      </c>
    </row>
    <row r="58" spans="1:28" ht="15" customHeight="1" x14ac:dyDescent="0.3">
      <c r="A58" s="20" t="str">
        <f t="shared" si="20"/>
        <v/>
      </c>
      <c r="B58" s="773"/>
      <c r="C58" s="775"/>
      <c r="D58" s="757"/>
      <c r="E58" s="577" t="s">
        <v>229</v>
      </c>
      <c r="F58" s="237" t="s">
        <v>60</v>
      </c>
      <c r="G58" s="238"/>
      <c r="H58" s="239"/>
      <c r="I58" s="420" t="str">
        <f t="shared" si="21"/>
        <v/>
      </c>
      <c r="J58" s="239"/>
      <c r="K58" s="240" t="str">
        <f t="shared" si="22"/>
        <v/>
      </c>
      <c r="L58" s="241"/>
      <c r="M58" s="240" t="str">
        <f t="shared" si="23"/>
        <v/>
      </c>
      <c r="N58" s="241"/>
      <c r="O58" s="228"/>
      <c r="P58" s="229"/>
      <c r="Q58" s="228"/>
      <c r="R58" s="229"/>
      <c r="S58" s="667" t="s">
        <v>21</v>
      </c>
      <c r="T58" s="668" t="s">
        <v>21</v>
      </c>
      <c r="U58" s="667" t="s">
        <v>21</v>
      </c>
      <c r="V58" s="669" t="s">
        <v>21</v>
      </c>
      <c r="W58" s="205" t="s">
        <v>206</v>
      </c>
      <c r="AB58" s="2" t="str">
        <f t="shared" si="5"/>
        <v/>
      </c>
    </row>
    <row r="59" spans="1:28" x14ac:dyDescent="0.3">
      <c r="A59" s="20" t="str">
        <f t="shared" si="20"/>
        <v/>
      </c>
      <c r="B59" s="773"/>
      <c r="C59" s="775"/>
      <c r="D59" s="757"/>
      <c r="E59" s="577" t="s">
        <v>198</v>
      </c>
      <c r="F59" s="237" t="s">
        <v>60</v>
      </c>
      <c r="G59" s="238"/>
      <c r="H59" s="239"/>
      <c r="I59" s="420" t="str">
        <f t="shared" si="21"/>
        <v/>
      </c>
      <c r="J59" s="239"/>
      <c r="K59" s="240" t="str">
        <f t="shared" si="22"/>
        <v/>
      </c>
      <c r="L59" s="241"/>
      <c r="M59" s="240" t="str">
        <f t="shared" si="23"/>
        <v/>
      </c>
      <c r="N59" s="241"/>
      <c r="O59" s="228"/>
      <c r="P59" s="229"/>
      <c r="Q59" s="228"/>
      <c r="R59" s="229"/>
      <c r="S59" s="667" t="s">
        <v>21</v>
      </c>
      <c r="T59" s="668" t="s">
        <v>21</v>
      </c>
      <c r="U59" s="667" t="s">
        <v>21</v>
      </c>
      <c r="V59" s="669" t="s">
        <v>21</v>
      </c>
      <c r="W59" s="205" t="s">
        <v>206</v>
      </c>
      <c r="AB59" s="2" t="str">
        <f t="shared" si="5"/>
        <v/>
      </c>
    </row>
    <row r="60" spans="1:28" x14ac:dyDescent="0.3">
      <c r="A60" s="20" t="str">
        <f t="shared" si="20"/>
        <v/>
      </c>
      <c r="B60" s="773"/>
      <c r="C60" s="775"/>
      <c r="D60" s="757"/>
      <c r="E60" s="577" t="s">
        <v>9</v>
      </c>
      <c r="F60" s="237" t="s">
        <v>60</v>
      </c>
      <c r="G60" s="238"/>
      <c r="H60" s="239"/>
      <c r="I60" s="420" t="str">
        <f t="shared" si="21"/>
        <v/>
      </c>
      <c r="J60" s="239"/>
      <c r="K60" s="240" t="str">
        <f t="shared" si="22"/>
        <v/>
      </c>
      <c r="L60" s="241"/>
      <c r="M60" s="240" t="str">
        <f t="shared" si="23"/>
        <v/>
      </c>
      <c r="N60" s="241"/>
      <c r="O60" s="228"/>
      <c r="P60" s="229"/>
      <c r="Q60" s="228"/>
      <c r="R60" s="229"/>
      <c r="S60" s="667" t="s">
        <v>21</v>
      </c>
      <c r="T60" s="668" t="s">
        <v>21</v>
      </c>
      <c r="U60" s="667" t="s">
        <v>21</v>
      </c>
      <c r="V60" s="669" t="s">
        <v>21</v>
      </c>
      <c r="W60" s="205" t="s">
        <v>206</v>
      </c>
      <c r="AB60" s="2" t="str">
        <f t="shared" si="5"/>
        <v/>
      </c>
    </row>
    <row r="61" spans="1:28" ht="15.75" customHeight="1" x14ac:dyDescent="0.3">
      <c r="A61" s="20" t="str">
        <f t="shared" si="20"/>
        <v/>
      </c>
      <c r="B61" s="773"/>
      <c r="C61" s="775"/>
      <c r="D61" s="757"/>
      <c r="E61" s="721" t="s">
        <v>166</v>
      </c>
      <c r="F61" s="237"/>
      <c r="G61" s="238"/>
      <c r="H61" s="239"/>
      <c r="I61" s="686"/>
      <c r="J61" s="239"/>
      <c r="K61" s="240"/>
      <c r="L61" s="241"/>
      <c r="M61" s="240"/>
      <c r="N61" s="241"/>
      <c r="O61" s="228"/>
      <c r="P61" s="229"/>
      <c r="Q61" s="228"/>
      <c r="R61" s="229"/>
      <c r="S61" s="667" t="s">
        <v>21</v>
      </c>
      <c r="T61" s="668" t="s">
        <v>21</v>
      </c>
      <c r="U61" s="667" t="s">
        <v>21</v>
      </c>
      <c r="V61" s="669" t="s">
        <v>21</v>
      </c>
      <c r="W61" s="205"/>
    </row>
    <row r="62" spans="1:28" ht="15.75" customHeight="1" x14ac:dyDescent="0.3">
      <c r="A62" s="20" t="str">
        <f t="shared" si="20"/>
        <v/>
      </c>
      <c r="B62" s="773"/>
      <c r="C62" s="775"/>
      <c r="D62" s="757"/>
      <c r="E62" s="721" t="s">
        <v>166</v>
      </c>
      <c r="F62" s="237"/>
      <c r="G62" s="238"/>
      <c r="H62" s="239"/>
      <c r="I62" s="686"/>
      <c r="J62" s="239"/>
      <c r="K62" s="240"/>
      <c r="L62" s="241"/>
      <c r="M62" s="240"/>
      <c r="N62" s="241"/>
      <c r="O62" s="228"/>
      <c r="P62" s="229"/>
      <c r="Q62" s="228"/>
      <c r="R62" s="229"/>
      <c r="S62" s="667" t="s">
        <v>21</v>
      </c>
      <c r="T62" s="668" t="s">
        <v>21</v>
      </c>
      <c r="U62" s="667" t="s">
        <v>21</v>
      </c>
      <c r="V62" s="669" t="s">
        <v>21</v>
      </c>
      <c r="W62" s="205"/>
    </row>
    <row r="63" spans="1:28" ht="15.75" customHeight="1" x14ac:dyDescent="0.3">
      <c r="A63" s="20" t="str">
        <f t="shared" si="20"/>
        <v/>
      </c>
      <c r="B63" s="773"/>
      <c r="C63" s="775"/>
      <c r="D63" s="757"/>
      <c r="E63" s="722" t="s">
        <v>166</v>
      </c>
      <c r="F63" s="242"/>
      <c r="G63" s="243"/>
      <c r="H63" s="244"/>
      <c r="I63" s="687"/>
      <c r="J63" s="244"/>
      <c r="K63" s="245"/>
      <c r="L63" s="246"/>
      <c r="M63" s="245"/>
      <c r="N63" s="246"/>
      <c r="O63" s="230"/>
      <c r="P63" s="231"/>
      <c r="Q63" s="230"/>
      <c r="R63" s="231"/>
      <c r="S63" s="670" t="s">
        <v>21</v>
      </c>
      <c r="T63" s="671" t="s">
        <v>21</v>
      </c>
      <c r="U63" s="670" t="s">
        <v>21</v>
      </c>
      <c r="V63" s="672" t="s">
        <v>21</v>
      </c>
      <c r="W63" s="205"/>
    </row>
    <row r="64" spans="1:28" ht="16.2" thickBot="1" x14ac:dyDescent="0.35">
      <c r="A64" s="20" t="str">
        <f t="shared" si="20"/>
        <v>S</v>
      </c>
      <c r="B64" s="774"/>
      <c r="C64" s="777"/>
      <c r="D64" s="311" t="s">
        <v>138</v>
      </c>
      <c r="E64" s="724"/>
      <c r="F64" s="219"/>
      <c r="G64" s="7">
        <f>SUM(G50:G63)</f>
        <v>0</v>
      </c>
      <c r="H64" s="8">
        <f>SUM(H50:H63)</f>
        <v>0</v>
      </c>
      <c r="I64" s="9" t="e">
        <f>IF(J64="","",J64/G64)</f>
        <v>#DIV/0!</v>
      </c>
      <c r="J64" s="202">
        <f>SUM(J50:J63)</f>
        <v>0</v>
      </c>
      <c r="K64" s="9" t="e">
        <f t="shared" si="22"/>
        <v>#DIV/0!</v>
      </c>
      <c r="L64" s="202">
        <f>SUM(L50:L63)</f>
        <v>0</v>
      </c>
      <c r="M64" s="9" t="e">
        <f t="shared" si="23"/>
        <v>#DIV/0!</v>
      </c>
      <c r="N64" s="202">
        <f t="shared" ref="N64:V64" si="24">SUM(N50:N63)</f>
        <v>0</v>
      </c>
      <c r="O64" s="500">
        <f t="shared" si="24"/>
        <v>0</v>
      </c>
      <c r="P64" s="501">
        <f t="shared" si="24"/>
        <v>0</v>
      </c>
      <c r="Q64" s="500">
        <f t="shared" si="24"/>
        <v>0</v>
      </c>
      <c r="R64" s="501">
        <f t="shared" si="24"/>
        <v>0</v>
      </c>
      <c r="S64" s="500">
        <f t="shared" si="24"/>
        <v>0</v>
      </c>
      <c r="T64" s="501">
        <f t="shared" si="24"/>
        <v>0</v>
      </c>
      <c r="U64" s="500">
        <f t="shared" si="24"/>
        <v>0</v>
      </c>
      <c r="V64" s="502">
        <f t="shared" si="24"/>
        <v>0</v>
      </c>
      <c r="W64" s="205" t="s">
        <v>206</v>
      </c>
      <c r="AB64" s="2">
        <f t="shared" si="5"/>
        <v>0</v>
      </c>
    </row>
    <row r="65" spans="1:28" s="15" customFormat="1" ht="27.75" customHeight="1" thickBot="1" x14ac:dyDescent="0.35">
      <c r="A65" s="20" t="str">
        <f t="shared" si="20"/>
        <v>X</v>
      </c>
      <c r="B65" s="102" t="s">
        <v>78</v>
      </c>
      <c r="C65" s="103"/>
      <c r="D65" s="103">
        <f>SUM(D5:D60)</f>
        <v>40</v>
      </c>
      <c r="E65" s="716" t="s">
        <v>79</v>
      </c>
      <c r="F65" s="372"/>
      <c r="G65" s="341">
        <f>G8+G12+G34+G49+G64</f>
        <v>0</v>
      </c>
      <c r="H65" s="342">
        <f>H8+H12+H34+H49+H64</f>
        <v>0</v>
      </c>
      <c r="I65" s="343" t="e">
        <f t="shared" ref="I65:I142" si="25">IF(J65="","",J65/G65)</f>
        <v>#DIV/0!</v>
      </c>
      <c r="J65" s="33">
        <f>J8+J12+J34+J49+J64</f>
        <v>0</v>
      </c>
      <c r="K65" s="32" t="e">
        <f t="shared" si="22"/>
        <v>#DIV/0!</v>
      </c>
      <c r="L65" s="33">
        <f>L8+L12+L34+L49+L64</f>
        <v>0</v>
      </c>
      <c r="M65" s="343" t="e">
        <f t="shared" si="23"/>
        <v>#DIV/0!</v>
      </c>
      <c r="N65" s="33">
        <f t="shared" ref="N65:V65" si="26">N8+N12+N34+N49+N64</f>
        <v>0</v>
      </c>
      <c r="O65" s="34">
        <f t="shared" si="26"/>
        <v>0</v>
      </c>
      <c r="P65" s="35">
        <f t="shared" si="26"/>
        <v>0</v>
      </c>
      <c r="Q65" s="34">
        <f t="shared" si="26"/>
        <v>0</v>
      </c>
      <c r="R65" s="35">
        <f t="shared" si="26"/>
        <v>0</v>
      </c>
      <c r="S65" s="267">
        <f t="shared" si="26"/>
        <v>0</v>
      </c>
      <c r="T65" s="266">
        <f t="shared" si="26"/>
        <v>0</v>
      </c>
      <c r="U65" s="267">
        <f t="shared" si="26"/>
        <v>0</v>
      </c>
      <c r="V65" s="340">
        <f t="shared" si="26"/>
        <v>0</v>
      </c>
      <c r="W65" s="205" t="s">
        <v>206</v>
      </c>
      <c r="X65" s="362"/>
      <c r="Y65" s="1"/>
      <c r="AB65" s="2">
        <f t="shared" si="5"/>
        <v>0</v>
      </c>
    </row>
    <row r="66" spans="1:28" ht="15" customHeight="1" x14ac:dyDescent="0.3">
      <c r="A66" s="20" t="str">
        <f t="shared" si="20"/>
        <v/>
      </c>
      <c r="B66" s="778" t="s">
        <v>84</v>
      </c>
      <c r="C66" s="781" t="s">
        <v>76</v>
      </c>
      <c r="D66" s="768">
        <v>10</v>
      </c>
      <c r="E66" s="726" t="s">
        <v>25</v>
      </c>
      <c r="F66" s="465" t="s">
        <v>60</v>
      </c>
      <c r="G66" s="233"/>
      <c r="H66" s="234"/>
      <c r="I66" s="235" t="str">
        <f t="shared" si="25"/>
        <v/>
      </c>
      <c r="J66" s="236"/>
      <c r="K66" s="235" t="str">
        <f t="shared" si="22"/>
        <v/>
      </c>
      <c r="L66" s="236"/>
      <c r="M66" s="235" t="str">
        <f t="shared" si="23"/>
        <v/>
      </c>
      <c r="N66" s="236"/>
      <c r="O66" s="226"/>
      <c r="P66" s="227"/>
      <c r="Q66" s="226"/>
      <c r="R66" s="227"/>
      <c r="S66" s="664"/>
      <c r="T66" s="665"/>
      <c r="U66" s="664"/>
      <c r="V66" s="666"/>
      <c r="W66" s="205" t="s">
        <v>206</v>
      </c>
      <c r="AB66" s="2" t="str">
        <f t="shared" si="5"/>
        <v/>
      </c>
    </row>
    <row r="67" spans="1:28" ht="15" customHeight="1" x14ac:dyDescent="0.3">
      <c r="A67" s="20" t="str">
        <f t="shared" si="20"/>
        <v/>
      </c>
      <c r="B67" s="779"/>
      <c r="C67" s="782"/>
      <c r="D67" s="760"/>
      <c r="E67" s="721" t="s">
        <v>26</v>
      </c>
      <c r="F67" s="410" t="s">
        <v>60</v>
      </c>
      <c r="G67" s="238"/>
      <c r="H67" s="239"/>
      <c r="I67" s="240" t="str">
        <f t="shared" si="25"/>
        <v/>
      </c>
      <c r="J67" s="241"/>
      <c r="K67" s="240" t="str">
        <f t="shared" si="22"/>
        <v/>
      </c>
      <c r="L67" s="241"/>
      <c r="M67" s="240" t="str">
        <f t="shared" si="23"/>
        <v/>
      </c>
      <c r="N67" s="241"/>
      <c r="O67" s="228"/>
      <c r="P67" s="229"/>
      <c r="Q67" s="228"/>
      <c r="R67" s="229"/>
      <c r="S67" s="667"/>
      <c r="T67" s="668"/>
      <c r="U67" s="667"/>
      <c r="V67" s="669"/>
      <c r="W67" s="205" t="s">
        <v>206</v>
      </c>
      <c r="AB67" s="2" t="str">
        <f t="shared" si="5"/>
        <v/>
      </c>
    </row>
    <row r="68" spans="1:28" ht="15" customHeight="1" x14ac:dyDescent="0.3">
      <c r="A68" s="20" t="str">
        <f t="shared" si="20"/>
        <v/>
      </c>
      <c r="B68" s="779"/>
      <c r="C68" s="782"/>
      <c r="D68" s="760"/>
      <c r="E68" s="721" t="s">
        <v>58</v>
      </c>
      <c r="F68" s="410" t="s">
        <v>60</v>
      </c>
      <c r="G68" s="238"/>
      <c r="H68" s="239"/>
      <c r="I68" s="240" t="str">
        <f t="shared" si="25"/>
        <v/>
      </c>
      <c r="J68" s="241"/>
      <c r="K68" s="240" t="str">
        <f t="shared" si="22"/>
        <v/>
      </c>
      <c r="L68" s="241"/>
      <c r="M68" s="240" t="str">
        <f t="shared" si="23"/>
        <v/>
      </c>
      <c r="N68" s="241"/>
      <c r="O68" s="228"/>
      <c r="P68" s="229"/>
      <c r="Q68" s="228"/>
      <c r="R68" s="229"/>
      <c r="S68" s="667" t="s">
        <v>21</v>
      </c>
      <c r="T68" s="668" t="s">
        <v>21</v>
      </c>
      <c r="U68" s="667" t="s">
        <v>21</v>
      </c>
      <c r="V68" s="669" t="s">
        <v>21</v>
      </c>
      <c r="W68" s="205" t="s">
        <v>206</v>
      </c>
      <c r="AB68" s="2" t="str">
        <f t="shared" si="5"/>
        <v/>
      </c>
    </row>
    <row r="69" spans="1:28" ht="15" customHeight="1" x14ac:dyDescent="0.3">
      <c r="A69" s="20" t="str">
        <f t="shared" si="20"/>
        <v/>
      </c>
      <c r="B69" s="779"/>
      <c r="C69" s="782"/>
      <c r="D69" s="760"/>
      <c r="E69" s="721" t="s">
        <v>24</v>
      </c>
      <c r="F69" s="410" t="s">
        <v>62</v>
      </c>
      <c r="G69" s="238"/>
      <c r="H69" s="239"/>
      <c r="I69" s="240" t="str">
        <f t="shared" si="25"/>
        <v/>
      </c>
      <c r="J69" s="241"/>
      <c r="K69" s="240" t="str">
        <f t="shared" si="22"/>
        <v/>
      </c>
      <c r="L69" s="241"/>
      <c r="M69" s="240" t="str">
        <f t="shared" si="23"/>
        <v/>
      </c>
      <c r="N69" s="241"/>
      <c r="O69" s="228"/>
      <c r="P69" s="229"/>
      <c r="Q69" s="228"/>
      <c r="R69" s="229"/>
      <c r="S69" s="667"/>
      <c r="T69" s="668"/>
      <c r="U69" s="667"/>
      <c r="V69" s="669"/>
      <c r="W69" s="205" t="s">
        <v>206</v>
      </c>
      <c r="AB69" s="2" t="str">
        <f t="shared" si="5"/>
        <v/>
      </c>
    </row>
    <row r="70" spans="1:28" ht="15" customHeight="1" x14ac:dyDescent="0.3">
      <c r="A70" s="20" t="str">
        <f t="shared" si="20"/>
        <v/>
      </c>
      <c r="B70" s="779"/>
      <c r="C70" s="782"/>
      <c r="D70" s="760"/>
      <c r="E70" s="721" t="s">
        <v>23</v>
      </c>
      <c r="F70" s="410" t="s">
        <v>60</v>
      </c>
      <c r="G70" s="238"/>
      <c r="H70" s="239"/>
      <c r="I70" s="240" t="str">
        <f t="shared" si="25"/>
        <v/>
      </c>
      <c r="J70" s="241"/>
      <c r="K70" s="240" t="str">
        <f t="shared" si="22"/>
        <v/>
      </c>
      <c r="L70" s="241"/>
      <c r="M70" s="240" t="str">
        <f t="shared" si="23"/>
        <v/>
      </c>
      <c r="N70" s="241"/>
      <c r="O70" s="228"/>
      <c r="P70" s="229"/>
      <c r="Q70" s="228"/>
      <c r="R70" s="229"/>
      <c r="S70" s="667" t="s">
        <v>21</v>
      </c>
      <c r="T70" s="668" t="s">
        <v>21</v>
      </c>
      <c r="U70" s="667" t="s">
        <v>21</v>
      </c>
      <c r="V70" s="669" t="s">
        <v>21</v>
      </c>
      <c r="W70" s="205" t="s">
        <v>206</v>
      </c>
      <c r="AB70" s="2" t="str">
        <f t="shared" si="5"/>
        <v/>
      </c>
    </row>
    <row r="71" spans="1:28" ht="15" customHeight="1" x14ac:dyDescent="0.3">
      <c r="A71" s="20" t="str">
        <f t="shared" si="20"/>
        <v/>
      </c>
      <c r="B71" s="779"/>
      <c r="C71" s="782"/>
      <c r="D71" s="760"/>
      <c r="E71" s="727" t="s">
        <v>166</v>
      </c>
      <c r="F71" s="410" t="s">
        <v>203</v>
      </c>
      <c r="G71" s="238"/>
      <c r="H71" s="239"/>
      <c r="I71" s="240" t="str">
        <f t="shared" si="25"/>
        <v/>
      </c>
      <c r="J71" s="241"/>
      <c r="K71" s="240" t="str">
        <f t="shared" si="22"/>
        <v/>
      </c>
      <c r="L71" s="241"/>
      <c r="M71" s="240" t="str">
        <f t="shared" si="23"/>
        <v/>
      </c>
      <c r="N71" s="241"/>
      <c r="O71" s="228"/>
      <c r="P71" s="229"/>
      <c r="Q71" s="228"/>
      <c r="R71" s="229"/>
      <c r="S71" s="667"/>
      <c r="T71" s="668"/>
      <c r="U71" s="667"/>
      <c r="V71" s="669"/>
      <c r="W71" s="205" t="s">
        <v>206</v>
      </c>
      <c r="AB71" s="2" t="str">
        <f t="shared" si="5"/>
        <v/>
      </c>
    </row>
    <row r="72" spans="1:28" ht="15" customHeight="1" x14ac:dyDescent="0.3">
      <c r="A72" s="20" t="str">
        <f t="shared" si="20"/>
        <v/>
      </c>
      <c r="B72" s="779"/>
      <c r="C72" s="782"/>
      <c r="D72" s="760"/>
      <c r="E72" s="727" t="s">
        <v>166</v>
      </c>
      <c r="F72" s="410" t="s">
        <v>203</v>
      </c>
      <c r="G72" s="238"/>
      <c r="H72" s="239"/>
      <c r="I72" s="240" t="str">
        <f t="shared" si="25"/>
        <v/>
      </c>
      <c r="J72" s="241"/>
      <c r="K72" s="240" t="str">
        <f t="shared" si="22"/>
        <v/>
      </c>
      <c r="L72" s="241"/>
      <c r="M72" s="240" t="str">
        <f t="shared" si="23"/>
        <v/>
      </c>
      <c r="N72" s="241"/>
      <c r="O72" s="228"/>
      <c r="P72" s="229"/>
      <c r="Q72" s="228"/>
      <c r="R72" s="229"/>
      <c r="S72" s="667"/>
      <c r="T72" s="668"/>
      <c r="U72" s="667"/>
      <c r="V72" s="669"/>
      <c r="W72" s="205" t="s">
        <v>206</v>
      </c>
      <c r="AB72" s="2" t="str">
        <f t="shared" si="5"/>
        <v/>
      </c>
    </row>
    <row r="73" spans="1:28" ht="15" customHeight="1" x14ac:dyDescent="0.3">
      <c r="A73" s="20" t="str">
        <f t="shared" si="20"/>
        <v/>
      </c>
      <c r="B73" s="779"/>
      <c r="C73" s="782"/>
      <c r="D73" s="760"/>
      <c r="E73" s="721" t="s">
        <v>22</v>
      </c>
      <c r="F73" s="410" t="s">
        <v>62</v>
      </c>
      <c r="G73" s="238"/>
      <c r="H73" s="239"/>
      <c r="I73" s="240" t="str">
        <f t="shared" si="25"/>
        <v/>
      </c>
      <c r="J73" s="241"/>
      <c r="K73" s="240" t="str">
        <f t="shared" si="22"/>
        <v/>
      </c>
      <c r="L73" s="241"/>
      <c r="M73" s="240" t="str">
        <f t="shared" si="23"/>
        <v/>
      </c>
      <c r="N73" s="241"/>
      <c r="O73" s="228"/>
      <c r="P73" s="229"/>
      <c r="Q73" s="228"/>
      <c r="R73" s="229"/>
      <c r="S73" s="667"/>
      <c r="T73" s="668"/>
      <c r="U73" s="667"/>
      <c r="V73" s="669"/>
      <c r="W73" s="205" t="s">
        <v>206</v>
      </c>
      <c r="AB73" s="2" t="str">
        <f t="shared" si="5"/>
        <v/>
      </c>
    </row>
    <row r="74" spans="1:28" ht="15" customHeight="1" x14ac:dyDescent="0.3">
      <c r="A74" s="20" t="str">
        <f t="shared" si="20"/>
        <v/>
      </c>
      <c r="B74" s="779"/>
      <c r="C74" s="782"/>
      <c r="D74" s="760"/>
      <c r="E74" s="727" t="s">
        <v>166</v>
      </c>
      <c r="F74" s="410"/>
      <c r="G74" s="238"/>
      <c r="H74" s="239"/>
      <c r="I74" s="240"/>
      <c r="J74" s="241"/>
      <c r="K74" s="240"/>
      <c r="L74" s="241"/>
      <c r="M74" s="240"/>
      <c r="N74" s="241"/>
      <c r="O74" s="228"/>
      <c r="P74" s="229"/>
      <c r="Q74" s="228"/>
      <c r="R74" s="229"/>
      <c r="S74" s="667"/>
      <c r="T74" s="668"/>
      <c r="U74" s="667"/>
      <c r="V74" s="669"/>
      <c r="W74" s="205"/>
    </row>
    <row r="75" spans="1:28" ht="15" customHeight="1" x14ac:dyDescent="0.3">
      <c r="A75" s="20" t="str">
        <f t="shared" si="20"/>
        <v/>
      </c>
      <c r="B75" s="779"/>
      <c r="C75" s="782"/>
      <c r="D75" s="760"/>
      <c r="E75" s="727" t="s">
        <v>166</v>
      </c>
      <c r="F75" s="410"/>
      <c r="G75" s="238"/>
      <c r="H75" s="239"/>
      <c r="I75" s="240"/>
      <c r="J75" s="241"/>
      <c r="K75" s="240"/>
      <c r="L75" s="241"/>
      <c r="M75" s="240"/>
      <c r="N75" s="241"/>
      <c r="O75" s="228"/>
      <c r="P75" s="229"/>
      <c r="Q75" s="228"/>
      <c r="R75" s="229"/>
      <c r="S75" s="667"/>
      <c r="T75" s="668"/>
      <c r="U75" s="667"/>
      <c r="V75" s="669"/>
      <c r="W75" s="205"/>
    </row>
    <row r="76" spans="1:28" ht="15" customHeight="1" x14ac:dyDescent="0.3">
      <c r="A76" s="20" t="str">
        <f t="shared" si="20"/>
        <v/>
      </c>
      <c r="B76" s="779"/>
      <c r="C76" s="782"/>
      <c r="D76" s="760"/>
      <c r="E76" s="728" t="s">
        <v>166</v>
      </c>
      <c r="F76" s="449"/>
      <c r="G76" s="243"/>
      <c r="H76" s="244"/>
      <c r="I76" s="245"/>
      <c r="J76" s="246"/>
      <c r="K76" s="245"/>
      <c r="L76" s="246"/>
      <c r="M76" s="245"/>
      <c r="N76" s="246"/>
      <c r="O76" s="230"/>
      <c r="P76" s="231"/>
      <c r="Q76" s="230"/>
      <c r="R76" s="231"/>
      <c r="S76" s="670"/>
      <c r="T76" s="671"/>
      <c r="U76" s="670"/>
      <c r="V76" s="672"/>
      <c r="W76" s="205"/>
    </row>
    <row r="77" spans="1:28" ht="15.6" x14ac:dyDescent="0.3">
      <c r="A77" s="20" t="str">
        <f t="shared" si="20"/>
        <v>S</v>
      </c>
      <c r="B77" s="784"/>
      <c r="C77" s="782"/>
      <c r="D77" s="309" t="s">
        <v>138</v>
      </c>
      <c r="E77" s="717"/>
      <c r="F77" s="16"/>
      <c r="G77" s="7">
        <f>SUM(G66:G76)</f>
        <v>0</v>
      </c>
      <c r="H77" s="8">
        <f>SUM(H66:H76)</f>
        <v>0</v>
      </c>
      <c r="I77" s="9" t="e">
        <f t="shared" si="25"/>
        <v>#DIV/0!</v>
      </c>
      <c r="J77" s="202">
        <f>SUM(J66:J76)</f>
        <v>0</v>
      </c>
      <c r="K77" s="51" t="e">
        <f t="shared" si="22"/>
        <v>#DIV/0!</v>
      </c>
      <c r="L77" s="202">
        <f>SUM(L66:L76)</f>
        <v>0</v>
      </c>
      <c r="M77" s="9" t="e">
        <f t="shared" si="23"/>
        <v>#DIV/0!</v>
      </c>
      <c r="N77" s="202">
        <f>SUM(N66:N76)</f>
        <v>0</v>
      </c>
      <c r="O77" s="118">
        <f t="shared" ref="O77:V77" si="27">SUM(O66:O76)</f>
        <v>0</v>
      </c>
      <c r="P77" s="119">
        <f t="shared" si="27"/>
        <v>0</v>
      </c>
      <c r="Q77" s="118">
        <f t="shared" si="27"/>
        <v>0</v>
      </c>
      <c r="R77" s="119">
        <f t="shared" si="27"/>
        <v>0</v>
      </c>
      <c r="S77" s="118">
        <f t="shared" si="27"/>
        <v>0</v>
      </c>
      <c r="T77" s="119">
        <f t="shared" si="27"/>
        <v>0</v>
      </c>
      <c r="U77" s="118">
        <f t="shared" si="27"/>
        <v>0</v>
      </c>
      <c r="V77" s="120">
        <f t="shared" si="27"/>
        <v>0</v>
      </c>
      <c r="W77" s="205" t="s">
        <v>206</v>
      </c>
      <c r="AB77" s="2">
        <f t="shared" si="5"/>
        <v>0</v>
      </c>
    </row>
    <row r="78" spans="1:28" x14ac:dyDescent="0.3">
      <c r="A78" s="20" t="str">
        <f t="shared" si="20"/>
        <v/>
      </c>
      <c r="B78" s="779" t="s">
        <v>167</v>
      </c>
      <c r="C78" s="782" t="s">
        <v>76</v>
      </c>
      <c r="D78" s="757">
        <v>4</v>
      </c>
      <c r="E78" s="719" t="s">
        <v>171</v>
      </c>
      <c r="F78" s="232" t="s">
        <v>62</v>
      </c>
      <c r="G78" s="233"/>
      <c r="H78" s="234"/>
      <c r="I78" s="235" t="str">
        <f t="shared" si="25"/>
        <v/>
      </c>
      <c r="J78" s="236"/>
      <c r="K78" s="235" t="str">
        <f t="shared" si="22"/>
        <v/>
      </c>
      <c r="L78" s="236"/>
      <c r="M78" s="235" t="str">
        <f t="shared" si="23"/>
        <v/>
      </c>
      <c r="N78" s="236"/>
      <c r="O78" s="226"/>
      <c r="P78" s="227"/>
      <c r="Q78" s="226"/>
      <c r="R78" s="227"/>
      <c r="S78" s="284"/>
      <c r="T78" s="285"/>
      <c r="U78" s="284"/>
      <c r="V78" s="286"/>
      <c r="W78" s="205" t="s">
        <v>206</v>
      </c>
      <c r="X78" s="1" t="s">
        <v>172</v>
      </c>
      <c r="AB78" s="2" t="str">
        <f t="shared" si="5"/>
        <v/>
      </c>
    </row>
    <row r="79" spans="1:28" x14ac:dyDescent="0.3">
      <c r="A79" s="20" t="str">
        <f t="shared" si="20"/>
        <v/>
      </c>
      <c r="B79" s="779"/>
      <c r="C79" s="782"/>
      <c r="D79" s="757"/>
      <c r="E79" s="577" t="s">
        <v>173</v>
      </c>
      <c r="F79" s="237" t="s">
        <v>62</v>
      </c>
      <c r="G79" s="238"/>
      <c r="H79" s="239"/>
      <c r="I79" s="240" t="str">
        <f t="shared" si="25"/>
        <v/>
      </c>
      <c r="J79" s="241"/>
      <c r="K79" s="240" t="str">
        <f t="shared" si="22"/>
        <v/>
      </c>
      <c r="L79" s="241"/>
      <c r="M79" s="240" t="str">
        <f t="shared" si="23"/>
        <v/>
      </c>
      <c r="N79" s="241"/>
      <c r="O79" s="228"/>
      <c r="P79" s="229"/>
      <c r="Q79" s="228"/>
      <c r="R79" s="229"/>
      <c r="S79" s="287"/>
      <c r="T79" s="288"/>
      <c r="U79" s="287"/>
      <c r="V79" s="289"/>
      <c r="W79" s="205" t="s">
        <v>206</v>
      </c>
      <c r="X79" s="1" t="s">
        <v>174</v>
      </c>
      <c r="AB79" s="2" t="str">
        <f t="shared" si="5"/>
        <v/>
      </c>
    </row>
    <row r="80" spans="1:28" ht="15" customHeight="1" x14ac:dyDescent="0.3">
      <c r="A80" s="20" t="str">
        <f t="shared" si="20"/>
        <v/>
      </c>
      <c r="B80" s="779"/>
      <c r="C80" s="782"/>
      <c r="D80" s="757"/>
      <c r="E80" s="727" t="s">
        <v>166</v>
      </c>
      <c r="F80" s="237"/>
      <c r="G80" s="238"/>
      <c r="H80" s="239"/>
      <c r="I80" s="240" t="str">
        <f t="shared" si="25"/>
        <v/>
      </c>
      <c r="J80" s="241"/>
      <c r="K80" s="240" t="str">
        <f t="shared" si="22"/>
        <v/>
      </c>
      <c r="L80" s="241"/>
      <c r="M80" s="240" t="str">
        <f t="shared" si="23"/>
        <v/>
      </c>
      <c r="N80" s="241"/>
      <c r="O80" s="228"/>
      <c r="P80" s="229"/>
      <c r="Q80" s="228"/>
      <c r="R80" s="229"/>
      <c r="S80" s="287"/>
      <c r="T80" s="288"/>
      <c r="U80" s="287"/>
      <c r="V80" s="289"/>
      <c r="W80" s="205" t="s">
        <v>206</v>
      </c>
      <c r="AB80" s="2" t="str">
        <f t="shared" si="5"/>
        <v/>
      </c>
    </row>
    <row r="81" spans="1:28" ht="15" customHeight="1" x14ac:dyDescent="0.3">
      <c r="A81" s="20" t="str">
        <f t="shared" si="20"/>
        <v/>
      </c>
      <c r="B81" s="779"/>
      <c r="C81" s="782"/>
      <c r="D81" s="757"/>
      <c r="E81" s="727" t="s">
        <v>166</v>
      </c>
      <c r="F81" s="237"/>
      <c r="G81" s="238"/>
      <c r="H81" s="239"/>
      <c r="I81" s="240" t="str">
        <f t="shared" si="25"/>
        <v/>
      </c>
      <c r="J81" s="241"/>
      <c r="K81" s="240" t="str">
        <f t="shared" si="22"/>
        <v/>
      </c>
      <c r="L81" s="241"/>
      <c r="M81" s="240" t="str">
        <f t="shared" si="23"/>
        <v/>
      </c>
      <c r="N81" s="241"/>
      <c r="O81" s="228"/>
      <c r="P81" s="229"/>
      <c r="Q81" s="228"/>
      <c r="R81" s="229"/>
      <c r="S81" s="287"/>
      <c r="T81" s="288"/>
      <c r="U81" s="287"/>
      <c r="V81" s="289"/>
      <c r="W81" s="205" t="s">
        <v>206</v>
      </c>
      <c r="AB81" s="2" t="str">
        <f t="shared" si="5"/>
        <v/>
      </c>
    </row>
    <row r="82" spans="1:28" ht="15" customHeight="1" x14ac:dyDescent="0.3">
      <c r="A82" s="20" t="str">
        <f t="shared" si="20"/>
        <v/>
      </c>
      <c r="B82" s="779"/>
      <c r="C82" s="782"/>
      <c r="D82" s="757"/>
      <c r="E82" s="727" t="s">
        <v>166</v>
      </c>
      <c r="F82" s="237" t="s">
        <v>203</v>
      </c>
      <c r="G82" s="238"/>
      <c r="H82" s="239"/>
      <c r="I82" s="240" t="str">
        <f t="shared" si="25"/>
        <v/>
      </c>
      <c r="J82" s="241"/>
      <c r="K82" s="240" t="str">
        <f t="shared" si="22"/>
        <v/>
      </c>
      <c r="L82" s="241"/>
      <c r="M82" s="240" t="str">
        <f t="shared" si="23"/>
        <v/>
      </c>
      <c r="N82" s="241"/>
      <c r="O82" s="228"/>
      <c r="P82" s="229"/>
      <c r="Q82" s="228"/>
      <c r="R82" s="229"/>
      <c r="S82" s="287"/>
      <c r="T82" s="288"/>
      <c r="U82" s="287"/>
      <c r="V82" s="289"/>
      <c r="W82" s="205" t="s">
        <v>206</v>
      </c>
      <c r="AB82" s="2" t="str">
        <f t="shared" si="5"/>
        <v/>
      </c>
    </row>
    <row r="83" spans="1:28" ht="15" customHeight="1" x14ac:dyDescent="0.3">
      <c r="A83" s="20" t="str">
        <f t="shared" si="20"/>
        <v/>
      </c>
      <c r="B83" s="779"/>
      <c r="C83" s="782"/>
      <c r="D83" s="757"/>
      <c r="E83" s="727" t="s">
        <v>166</v>
      </c>
      <c r="F83" s="237" t="s">
        <v>203</v>
      </c>
      <c r="G83" s="238"/>
      <c r="H83" s="239"/>
      <c r="I83" s="240" t="str">
        <f t="shared" si="25"/>
        <v/>
      </c>
      <c r="J83" s="241"/>
      <c r="K83" s="240" t="str">
        <f t="shared" si="22"/>
        <v/>
      </c>
      <c r="L83" s="241"/>
      <c r="M83" s="240" t="str">
        <f t="shared" si="23"/>
        <v/>
      </c>
      <c r="N83" s="241"/>
      <c r="O83" s="228"/>
      <c r="P83" s="229"/>
      <c r="Q83" s="228"/>
      <c r="R83" s="229"/>
      <c r="S83" s="287"/>
      <c r="T83" s="288"/>
      <c r="U83" s="287"/>
      <c r="V83" s="289"/>
      <c r="W83" s="205" t="s">
        <v>206</v>
      </c>
      <c r="AB83" s="2" t="str">
        <f t="shared" si="5"/>
        <v/>
      </c>
    </row>
    <row r="84" spans="1:28" ht="15" customHeight="1" x14ac:dyDescent="0.3">
      <c r="A84" s="20" t="str">
        <f t="shared" si="20"/>
        <v/>
      </c>
      <c r="B84" s="779"/>
      <c r="C84" s="782"/>
      <c r="D84" s="757"/>
      <c r="E84" s="728" t="s">
        <v>166</v>
      </c>
      <c r="F84" s="242"/>
      <c r="G84" s="243"/>
      <c r="H84" s="244"/>
      <c r="I84" s="245" t="str">
        <f t="shared" si="25"/>
        <v/>
      </c>
      <c r="J84" s="246"/>
      <c r="K84" s="245" t="str">
        <f t="shared" si="22"/>
        <v/>
      </c>
      <c r="L84" s="246"/>
      <c r="M84" s="245" t="str">
        <f t="shared" si="23"/>
        <v/>
      </c>
      <c r="N84" s="246"/>
      <c r="O84" s="230"/>
      <c r="P84" s="231"/>
      <c r="Q84" s="230"/>
      <c r="R84" s="231"/>
      <c r="S84" s="290"/>
      <c r="T84" s="291"/>
      <c r="U84" s="290"/>
      <c r="V84" s="292"/>
      <c r="W84" s="205" t="s">
        <v>206</v>
      </c>
      <c r="AB84" s="2" t="str">
        <f t="shared" si="5"/>
        <v/>
      </c>
    </row>
    <row r="85" spans="1:28" ht="15.6" x14ac:dyDescent="0.3">
      <c r="A85" s="20" t="str">
        <f t="shared" si="20"/>
        <v>S</v>
      </c>
      <c r="B85" s="784"/>
      <c r="C85" s="782"/>
      <c r="D85" s="309" t="s">
        <v>138</v>
      </c>
      <c r="E85" s="717"/>
      <c r="F85" s="16"/>
      <c r="G85" s="7">
        <f>SUM(G78:G84)</f>
        <v>0</v>
      </c>
      <c r="H85" s="8">
        <f>SUM(H78:H84)</f>
        <v>0</v>
      </c>
      <c r="I85" s="9" t="e">
        <f t="shared" si="25"/>
        <v>#DIV/0!</v>
      </c>
      <c r="J85" s="202">
        <f>SUM(J78:J84)</f>
        <v>0</v>
      </c>
      <c r="K85" s="51" t="e">
        <f t="shared" si="22"/>
        <v>#DIV/0!</v>
      </c>
      <c r="L85" s="202">
        <f>SUM(L78:L84)</f>
        <v>0</v>
      </c>
      <c r="M85" s="9" t="e">
        <f t="shared" si="23"/>
        <v>#DIV/0!</v>
      </c>
      <c r="N85" s="202">
        <f t="shared" ref="N85:V85" si="28">SUM(N78:N84)</f>
        <v>0</v>
      </c>
      <c r="O85" s="118">
        <f t="shared" si="28"/>
        <v>0</v>
      </c>
      <c r="P85" s="119">
        <f t="shared" si="28"/>
        <v>0</v>
      </c>
      <c r="Q85" s="118">
        <f t="shared" si="28"/>
        <v>0</v>
      </c>
      <c r="R85" s="119">
        <f t="shared" si="28"/>
        <v>0</v>
      </c>
      <c r="S85" s="118">
        <f t="shared" si="28"/>
        <v>0</v>
      </c>
      <c r="T85" s="119">
        <f t="shared" si="28"/>
        <v>0</v>
      </c>
      <c r="U85" s="118">
        <f t="shared" si="28"/>
        <v>0</v>
      </c>
      <c r="V85" s="120">
        <f t="shared" si="28"/>
        <v>0</v>
      </c>
      <c r="W85" s="205" t="s">
        <v>206</v>
      </c>
      <c r="AB85" s="2">
        <f t="shared" si="5"/>
        <v>0</v>
      </c>
    </row>
    <row r="86" spans="1:28" ht="15" customHeight="1" x14ac:dyDescent="0.3">
      <c r="A86" s="20" t="str">
        <f t="shared" si="20"/>
        <v/>
      </c>
      <c r="B86" s="746" t="s">
        <v>1</v>
      </c>
      <c r="C86" s="749" t="s">
        <v>76</v>
      </c>
      <c r="D86" s="754">
        <v>10</v>
      </c>
      <c r="E86" s="719" t="s">
        <v>27</v>
      </c>
      <c r="F86" s="232" t="s">
        <v>62</v>
      </c>
      <c r="G86" s="233"/>
      <c r="H86" s="234"/>
      <c r="I86" s="235" t="str">
        <f t="shared" si="25"/>
        <v/>
      </c>
      <c r="J86" s="236"/>
      <c r="K86" s="235" t="str">
        <f t="shared" si="22"/>
        <v/>
      </c>
      <c r="L86" s="236"/>
      <c r="M86" s="235" t="str">
        <f t="shared" si="23"/>
        <v/>
      </c>
      <c r="N86" s="236"/>
      <c r="O86" s="226"/>
      <c r="P86" s="227"/>
      <c r="Q86" s="226"/>
      <c r="R86" s="227"/>
      <c r="S86" s="284"/>
      <c r="T86" s="285"/>
      <c r="U86" s="284"/>
      <c r="V86" s="286"/>
      <c r="W86" s="205" t="s">
        <v>206</v>
      </c>
      <c r="AB86" s="2" t="str">
        <f t="shared" si="5"/>
        <v/>
      </c>
    </row>
    <row r="87" spans="1:28" ht="15" customHeight="1" x14ac:dyDescent="0.3">
      <c r="A87" s="20" t="str">
        <f t="shared" si="20"/>
        <v/>
      </c>
      <c r="B87" s="747"/>
      <c r="C87" s="750"/>
      <c r="D87" s="755"/>
      <c r="E87" s="577" t="s">
        <v>28</v>
      </c>
      <c r="F87" s="237" t="s">
        <v>62</v>
      </c>
      <c r="G87" s="238"/>
      <c r="H87" s="239"/>
      <c r="I87" s="240" t="str">
        <f t="shared" si="25"/>
        <v/>
      </c>
      <c r="J87" s="241"/>
      <c r="K87" s="240" t="str">
        <f t="shared" si="22"/>
        <v/>
      </c>
      <c r="L87" s="241"/>
      <c r="M87" s="240" t="str">
        <f t="shared" si="23"/>
        <v/>
      </c>
      <c r="N87" s="241"/>
      <c r="O87" s="228"/>
      <c r="P87" s="229"/>
      <c r="Q87" s="228"/>
      <c r="R87" s="229"/>
      <c r="S87" s="287"/>
      <c r="T87" s="288"/>
      <c r="U87" s="287"/>
      <c r="V87" s="289"/>
      <c r="W87" s="205" t="s">
        <v>206</v>
      </c>
      <c r="AB87" s="2" t="str">
        <f t="shared" si="5"/>
        <v/>
      </c>
    </row>
    <row r="88" spans="1:28" ht="15" customHeight="1" x14ac:dyDescent="0.3">
      <c r="A88" s="20" t="str">
        <f t="shared" si="20"/>
        <v/>
      </c>
      <c r="B88" s="747"/>
      <c r="C88" s="750"/>
      <c r="D88" s="755"/>
      <c r="E88" s="577" t="s">
        <v>29</v>
      </c>
      <c r="F88" s="237" t="s">
        <v>62</v>
      </c>
      <c r="G88" s="238"/>
      <c r="H88" s="239"/>
      <c r="I88" s="240" t="str">
        <f t="shared" si="25"/>
        <v/>
      </c>
      <c r="J88" s="241"/>
      <c r="K88" s="240" t="str">
        <f t="shared" si="22"/>
        <v/>
      </c>
      <c r="L88" s="241"/>
      <c r="M88" s="240" t="str">
        <f t="shared" si="23"/>
        <v/>
      </c>
      <c r="N88" s="241"/>
      <c r="O88" s="228"/>
      <c r="P88" s="229"/>
      <c r="Q88" s="228"/>
      <c r="R88" s="229"/>
      <c r="S88" s="287"/>
      <c r="T88" s="288"/>
      <c r="U88" s="287"/>
      <c r="V88" s="289"/>
      <c r="W88" s="205" t="s">
        <v>206</v>
      </c>
      <c r="AB88" s="2" t="str">
        <f t="shared" si="5"/>
        <v/>
      </c>
    </row>
    <row r="89" spans="1:28" ht="15" customHeight="1" x14ac:dyDescent="0.3">
      <c r="A89" s="20" t="str">
        <f t="shared" si="20"/>
        <v/>
      </c>
      <c r="B89" s="747"/>
      <c r="C89" s="750"/>
      <c r="D89" s="755"/>
      <c r="E89" s="577" t="s">
        <v>30</v>
      </c>
      <c r="F89" s="237" t="s">
        <v>62</v>
      </c>
      <c r="G89" s="238"/>
      <c r="H89" s="239"/>
      <c r="I89" s="240" t="str">
        <f t="shared" si="25"/>
        <v/>
      </c>
      <c r="J89" s="241"/>
      <c r="K89" s="240" t="str">
        <f t="shared" si="22"/>
        <v/>
      </c>
      <c r="L89" s="241"/>
      <c r="M89" s="240" t="str">
        <f t="shared" si="23"/>
        <v/>
      </c>
      <c r="N89" s="241"/>
      <c r="O89" s="228"/>
      <c r="P89" s="229"/>
      <c r="Q89" s="228"/>
      <c r="R89" s="229"/>
      <c r="S89" s="287"/>
      <c r="T89" s="288"/>
      <c r="U89" s="287"/>
      <c r="V89" s="289"/>
      <c r="W89" s="205" t="s">
        <v>206</v>
      </c>
      <c r="AB89" s="2" t="str">
        <f t="shared" si="5"/>
        <v/>
      </c>
    </row>
    <row r="90" spans="1:28" ht="15" customHeight="1" x14ac:dyDescent="0.3">
      <c r="A90" s="20" t="str">
        <f t="shared" si="20"/>
        <v/>
      </c>
      <c r="B90" s="747"/>
      <c r="C90" s="750"/>
      <c r="D90" s="755"/>
      <c r="E90" s="577" t="s">
        <v>175</v>
      </c>
      <c r="F90" s="237" t="s">
        <v>62</v>
      </c>
      <c r="G90" s="238"/>
      <c r="H90" s="239"/>
      <c r="I90" s="240" t="str">
        <f t="shared" si="25"/>
        <v/>
      </c>
      <c r="J90" s="241"/>
      <c r="K90" s="240" t="str">
        <f t="shared" si="22"/>
        <v/>
      </c>
      <c r="L90" s="241"/>
      <c r="M90" s="240" t="str">
        <f t="shared" si="23"/>
        <v/>
      </c>
      <c r="N90" s="241"/>
      <c r="O90" s="228"/>
      <c r="P90" s="229"/>
      <c r="Q90" s="228"/>
      <c r="R90" s="229"/>
      <c r="S90" s="287"/>
      <c r="T90" s="288"/>
      <c r="U90" s="287"/>
      <c r="V90" s="289"/>
      <c r="W90" s="205" t="s">
        <v>206</v>
      </c>
      <c r="AB90" s="2" t="str">
        <f t="shared" ref="AB90:AB153" si="29">IF(G90&lt;&gt;"",$F90,"")</f>
        <v/>
      </c>
    </row>
    <row r="91" spans="1:28" ht="15" customHeight="1" x14ac:dyDescent="0.3">
      <c r="A91" s="20" t="str">
        <f t="shared" si="20"/>
        <v/>
      </c>
      <c r="B91" s="747"/>
      <c r="C91" s="750"/>
      <c r="D91" s="755"/>
      <c r="E91" s="727" t="s">
        <v>166</v>
      </c>
      <c r="F91" s="237" t="s">
        <v>203</v>
      </c>
      <c r="G91" s="238"/>
      <c r="H91" s="239"/>
      <c r="I91" s="240" t="str">
        <f t="shared" si="25"/>
        <v/>
      </c>
      <c r="J91" s="241"/>
      <c r="K91" s="240" t="str">
        <f t="shared" si="22"/>
        <v/>
      </c>
      <c r="L91" s="241"/>
      <c r="M91" s="240" t="str">
        <f t="shared" si="23"/>
        <v/>
      </c>
      <c r="N91" s="241"/>
      <c r="O91" s="228"/>
      <c r="P91" s="229"/>
      <c r="Q91" s="228"/>
      <c r="R91" s="229"/>
      <c r="S91" s="287"/>
      <c r="T91" s="288"/>
      <c r="U91" s="287"/>
      <c r="V91" s="289"/>
      <c r="W91" s="205" t="s">
        <v>206</v>
      </c>
      <c r="AB91" s="2" t="str">
        <f t="shared" si="29"/>
        <v/>
      </c>
    </row>
    <row r="92" spans="1:28" ht="15.75" customHeight="1" x14ac:dyDescent="0.3">
      <c r="A92" s="20" t="str">
        <f t="shared" si="20"/>
        <v/>
      </c>
      <c r="B92" s="747"/>
      <c r="C92" s="750"/>
      <c r="D92" s="755"/>
      <c r="E92" s="727" t="s">
        <v>166</v>
      </c>
      <c r="F92" s="237"/>
      <c r="G92" s="238"/>
      <c r="H92" s="239"/>
      <c r="I92" s="240"/>
      <c r="J92" s="241"/>
      <c r="K92" s="240"/>
      <c r="L92" s="241"/>
      <c r="M92" s="240"/>
      <c r="N92" s="241"/>
      <c r="O92" s="228"/>
      <c r="P92" s="229"/>
      <c r="Q92" s="228"/>
      <c r="R92" s="229"/>
      <c r="S92" s="287"/>
      <c r="T92" s="288"/>
      <c r="U92" s="287"/>
      <c r="V92" s="289"/>
      <c r="W92" s="205"/>
    </row>
    <row r="93" spans="1:28" ht="15.75" customHeight="1" x14ac:dyDescent="0.3">
      <c r="A93" s="20" t="str">
        <f t="shared" si="20"/>
        <v/>
      </c>
      <c r="B93" s="747"/>
      <c r="C93" s="750"/>
      <c r="D93" s="755"/>
      <c r="E93" s="727" t="s">
        <v>166</v>
      </c>
      <c r="F93" s="237"/>
      <c r="G93" s="238"/>
      <c r="H93" s="239"/>
      <c r="I93" s="240"/>
      <c r="J93" s="241"/>
      <c r="K93" s="240"/>
      <c r="L93" s="241"/>
      <c r="M93" s="240"/>
      <c r="N93" s="241"/>
      <c r="O93" s="228"/>
      <c r="P93" s="229"/>
      <c r="Q93" s="228"/>
      <c r="R93" s="229"/>
      <c r="S93" s="287"/>
      <c r="T93" s="288"/>
      <c r="U93" s="287"/>
      <c r="V93" s="289"/>
      <c r="W93" s="205"/>
    </row>
    <row r="94" spans="1:28" ht="15.75" customHeight="1" x14ac:dyDescent="0.3">
      <c r="A94" s="20" t="str">
        <f t="shared" si="20"/>
        <v/>
      </c>
      <c r="B94" s="747"/>
      <c r="C94" s="750"/>
      <c r="D94" s="756"/>
      <c r="E94" s="728" t="s">
        <v>166</v>
      </c>
      <c r="F94" s="242"/>
      <c r="G94" s="243"/>
      <c r="H94" s="244"/>
      <c r="I94" s="245"/>
      <c r="J94" s="246"/>
      <c r="K94" s="245"/>
      <c r="L94" s="246"/>
      <c r="M94" s="245"/>
      <c r="N94" s="246"/>
      <c r="O94" s="230"/>
      <c r="P94" s="231"/>
      <c r="Q94" s="230"/>
      <c r="R94" s="231"/>
      <c r="S94" s="290"/>
      <c r="T94" s="291"/>
      <c r="U94" s="290"/>
      <c r="V94" s="292"/>
      <c r="W94" s="205"/>
    </row>
    <row r="95" spans="1:28" ht="15.6" x14ac:dyDescent="0.3">
      <c r="A95" s="20" t="str">
        <f t="shared" si="20"/>
        <v>S</v>
      </c>
      <c r="B95" s="753"/>
      <c r="C95" s="752"/>
      <c r="D95" s="309" t="s">
        <v>138</v>
      </c>
      <c r="E95" s="717"/>
      <c r="F95" s="16"/>
      <c r="G95" s="7">
        <f>SUM(G86:G94)</f>
        <v>0</v>
      </c>
      <c r="H95" s="8">
        <f>SUM(H86:H94)</f>
        <v>0</v>
      </c>
      <c r="I95" s="9" t="e">
        <f t="shared" si="25"/>
        <v>#DIV/0!</v>
      </c>
      <c r="J95" s="202">
        <f>SUM(J86:J94)</f>
        <v>0</v>
      </c>
      <c r="K95" s="51" t="e">
        <f t="shared" si="22"/>
        <v>#DIV/0!</v>
      </c>
      <c r="L95" s="202">
        <f>SUM(L86:L94)</f>
        <v>0</v>
      </c>
      <c r="M95" s="9" t="e">
        <f t="shared" si="23"/>
        <v>#DIV/0!</v>
      </c>
      <c r="N95" s="202">
        <f t="shared" ref="N95:V95" si="30">SUM(N86:N94)</f>
        <v>0</v>
      </c>
      <c r="O95" s="118">
        <f t="shared" si="30"/>
        <v>0</v>
      </c>
      <c r="P95" s="119">
        <f t="shared" si="30"/>
        <v>0</v>
      </c>
      <c r="Q95" s="118">
        <f t="shared" si="30"/>
        <v>0</v>
      </c>
      <c r="R95" s="119">
        <f t="shared" si="30"/>
        <v>0</v>
      </c>
      <c r="S95" s="118">
        <f t="shared" si="30"/>
        <v>0</v>
      </c>
      <c r="T95" s="119">
        <f t="shared" si="30"/>
        <v>0</v>
      </c>
      <c r="U95" s="118">
        <f t="shared" si="30"/>
        <v>0</v>
      </c>
      <c r="V95" s="120">
        <f t="shared" si="30"/>
        <v>0</v>
      </c>
      <c r="W95" s="205" t="s">
        <v>206</v>
      </c>
      <c r="AB95" s="2">
        <f t="shared" si="29"/>
        <v>0</v>
      </c>
    </row>
    <row r="96" spans="1:28" ht="15" customHeight="1" x14ac:dyDescent="0.3">
      <c r="A96" s="20" t="str">
        <f t="shared" si="20"/>
        <v/>
      </c>
      <c r="B96" s="779" t="s">
        <v>45</v>
      </c>
      <c r="C96" s="775" t="s">
        <v>76</v>
      </c>
      <c r="D96" s="759">
        <v>12</v>
      </c>
      <c r="E96" s="720" t="s">
        <v>32</v>
      </c>
      <c r="F96" s="232" t="s">
        <v>62</v>
      </c>
      <c r="G96" s="233"/>
      <c r="H96" s="234"/>
      <c r="I96" s="235" t="str">
        <f t="shared" si="25"/>
        <v/>
      </c>
      <c r="J96" s="236"/>
      <c r="K96" s="235" t="str">
        <f t="shared" si="22"/>
        <v/>
      </c>
      <c r="L96" s="236"/>
      <c r="M96" s="235" t="str">
        <f t="shared" si="23"/>
        <v/>
      </c>
      <c r="N96" s="236"/>
      <c r="O96" s="226"/>
      <c r="P96" s="227"/>
      <c r="Q96" s="226"/>
      <c r="R96" s="227"/>
      <c r="S96" s="284"/>
      <c r="T96" s="285"/>
      <c r="U96" s="284"/>
      <c r="V96" s="286"/>
      <c r="W96" s="205" t="s">
        <v>206</v>
      </c>
      <c r="AB96" s="2" t="str">
        <f t="shared" si="29"/>
        <v/>
      </c>
    </row>
    <row r="97" spans="1:28" ht="15" customHeight="1" x14ac:dyDescent="0.3">
      <c r="A97" s="20" t="str">
        <f t="shared" si="20"/>
        <v/>
      </c>
      <c r="B97" s="779"/>
      <c r="C97" s="775"/>
      <c r="D97" s="759"/>
      <c r="E97" s="721" t="s">
        <v>33</v>
      </c>
      <c r="F97" s="237" t="s">
        <v>62</v>
      </c>
      <c r="G97" s="238"/>
      <c r="H97" s="239"/>
      <c r="I97" s="240" t="str">
        <f t="shared" si="25"/>
        <v/>
      </c>
      <c r="J97" s="241"/>
      <c r="K97" s="240" t="str">
        <f t="shared" si="22"/>
        <v/>
      </c>
      <c r="L97" s="241"/>
      <c r="M97" s="240" t="str">
        <f t="shared" si="23"/>
        <v/>
      </c>
      <c r="N97" s="241"/>
      <c r="O97" s="228"/>
      <c r="P97" s="229"/>
      <c r="Q97" s="228"/>
      <c r="R97" s="229"/>
      <c r="S97" s="287"/>
      <c r="T97" s="288"/>
      <c r="U97" s="287"/>
      <c r="V97" s="289"/>
      <c r="W97" s="205" t="s">
        <v>206</v>
      </c>
      <c r="AB97" s="2" t="str">
        <f t="shared" si="29"/>
        <v/>
      </c>
    </row>
    <row r="98" spans="1:28" ht="15" customHeight="1" x14ac:dyDescent="0.3">
      <c r="A98" s="20" t="str">
        <f t="shared" si="20"/>
        <v/>
      </c>
      <c r="B98" s="779"/>
      <c r="C98" s="775"/>
      <c r="D98" s="759"/>
      <c r="E98" s="721" t="s">
        <v>47</v>
      </c>
      <c r="F98" s="237" t="s">
        <v>62</v>
      </c>
      <c r="G98" s="238"/>
      <c r="H98" s="239"/>
      <c r="I98" s="240" t="str">
        <f t="shared" si="25"/>
        <v/>
      </c>
      <c r="J98" s="241"/>
      <c r="K98" s="240" t="str">
        <f t="shared" si="22"/>
        <v/>
      </c>
      <c r="L98" s="241"/>
      <c r="M98" s="240" t="str">
        <f t="shared" si="23"/>
        <v/>
      </c>
      <c r="N98" s="241"/>
      <c r="O98" s="228"/>
      <c r="P98" s="229"/>
      <c r="Q98" s="228"/>
      <c r="R98" s="229"/>
      <c r="S98" s="287"/>
      <c r="T98" s="288"/>
      <c r="U98" s="287"/>
      <c r="V98" s="289"/>
      <c r="W98" s="205" t="s">
        <v>206</v>
      </c>
      <c r="AB98" s="2" t="str">
        <f t="shared" si="29"/>
        <v/>
      </c>
    </row>
    <row r="99" spans="1:28" ht="15" customHeight="1" x14ac:dyDescent="0.3">
      <c r="A99" s="20" t="str">
        <f t="shared" si="20"/>
        <v/>
      </c>
      <c r="B99" s="779"/>
      <c r="C99" s="775"/>
      <c r="D99" s="759"/>
      <c r="E99" s="721" t="s">
        <v>46</v>
      </c>
      <c r="F99" s="237" t="s">
        <v>62</v>
      </c>
      <c r="G99" s="238"/>
      <c r="H99" s="239"/>
      <c r="I99" s="240" t="str">
        <f t="shared" si="25"/>
        <v/>
      </c>
      <c r="J99" s="241"/>
      <c r="K99" s="240" t="str">
        <f t="shared" si="22"/>
        <v/>
      </c>
      <c r="L99" s="241"/>
      <c r="M99" s="240" t="str">
        <f t="shared" si="23"/>
        <v/>
      </c>
      <c r="N99" s="241"/>
      <c r="O99" s="228"/>
      <c r="P99" s="229"/>
      <c r="Q99" s="228"/>
      <c r="R99" s="229"/>
      <c r="S99" s="287"/>
      <c r="T99" s="288"/>
      <c r="U99" s="287"/>
      <c r="V99" s="289"/>
      <c r="W99" s="205" t="s">
        <v>206</v>
      </c>
      <c r="AB99" s="2" t="str">
        <f t="shared" si="29"/>
        <v/>
      </c>
    </row>
    <row r="100" spans="1:28" ht="15" customHeight="1" x14ac:dyDescent="0.3">
      <c r="A100" s="20" t="str">
        <f t="shared" si="20"/>
        <v/>
      </c>
      <c r="B100" s="779"/>
      <c r="C100" s="775"/>
      <c r="D100" s="759"/>
      <c r="E100" s="721" t="s">
        <v>35</v>
      </c>
      <c r="F100" s="237" t="s">
        <v>62</v>
      </c>
      <c r="G100" s="677"/>
      <c r="H100" s="678"/>
      <c r="I100" s="679" t="str">
        <f t="shared" si="25"/>
        <v/>
      </c>
      <c r="J100" s="680"/>
      <c r="K100" s="679" t="str">
        <f t="shared" si="22"/>
        <v/>
      </c>
      <c r="L100" s="680"/>
      <c r="M100" s="679" t="str">
        <f t="shared" si="23"/>
        <v/>
      </c>
      <c r="N100" s="680"/>
      <c r="O100" s="681"/>
      <c r="P100" s="682"/>
      <c r="Q100" s="681"/>
      <c r="R100" s="682"/>
      <c r="S100" s="683"/>
      <c r="T100" s="684"/>
      <c r="U100" s="683"/>
      <c r="V100" s="685"/>
      <c r="W100" s="205" t="s">
        <v>206</v>
      </c>
      <c r="AB100" s="2" t="str">
        <f t="shared" si="29"/>
        <v/>
      </c>
    </row>
    <row r="101" spans="1:28" ht="15" customHeight="1" x14ac:dyDescent="0.3">
      <c r="A101" s="20" t="str">
        <f t="shared" si="20"/>
        <v/>
      </c>
      <c r="B101" s="779"/>
      <c r="C101" s="775"/>
      <c r="D101" s="759"/>
      <c r="E101" s="721" t="s">
        <v>34</v>
      </c>
      <c r="F101" s="237" t="s">
        <v>62</v>
      </c>
      <c r="G101" s="238"/>
      <c r="H101" s="239"/>
      <c r="I101" s="240" t="str">
        <f t="shared" si="25"/>
        <v/>
      </c>
      <c r="J101" s="241"/>
      <c r="K101" s="240" t="str">
        <f t="shared" si="22"/>
        <v/>
      </c>
      <c r="L101" s="241"/>
      <c r="M101" s="240" t="str">
        <f t="shared" si="23"/>
        <v/>
      </c>
      <c r="N101" s="241"/>
      <c r="O101" s="228"/>
      <c r="P101" s="229"/>
      <c r="Q101" s="228"/>
      <c r="R101" s="229"/>
      <c r="S101" s="287"/>
      <c r="T101" s="288"/>
      <c r="U101" s="287"/>
      <c r="V101" s="289"/>
      <c r="W101" s="205" t="s">
        <v>206</v>
      </c>
      <c r="AB101" s="2" t="str">
        <f t="shared" si="29"/>
        <v/>
      </c>
    </row>
    <row r="102" spans="1:28" ht="15.75" customHeight="1" x14ac:dyDescent="0.3">
      <c r="A102" s="20" t="str">
        <f t="shared" si="20"/>
        <v/>
      </c>
      <c r="B102" s="779"/>
      <c r="C102" s="775"/>
      <c r="D102" s="759"/>
      <c r="E102" s="721" t="s">
        <v>147</v>
      </c>
      <c r="F102" s="237" t="s">
        <v>62</v>
      </c>
      <c r="G102" s="238"/>
      <c r="H102" s="239"/>
      <c r="I102" s="240" t="str">
        <f t="shared" si="25"/>
        <v/>
      </c>
      <c r="J102" s="241"/>
      <c r="K102" s="240" t="str">
        <f t="shared" si="22"/>
        <v/>
      </c>
      <c r="L102" s="241"/>
      <c r="M102" s="240" t="str">
        <f t="shared" si="23"/>
        <v/>
      </c>
      <c r="N102" s="241"/>
      <c r="O102" s="228"/>
      <c r="P102" s="229"/>
      <c r="Q102" s="228"/>
      <c r="R102" s="229"/>
      <c r="S102" s="287"/>
      <c r="T102" s="288"/>
      <c r="U102" s="287"/>
      <c r="V102" s="289"/>
      <c r="W102" s="205" t="s">
        <v>206</v>
      </c>
      <c r="AB102" s="2" t="str">
        <f t="shared" si="29"/>
        <v/>
      </c>
    </row>
    <row r="103" spans="1:28" ht="15.75" customHeight="1" x14ac:dyDescent="0.3">
      <c r="A103" s="20" t="str">
        <f t="shared" si="20"/>
        <v/>
      </c>
      <c r="B103" s="779"/>
      <c r="C103" s="775"/>
      <c r="D103" s="759"/>
      <c r="E103" s="727" t="s">
        <v>166</v>
      </c>
      <c r="F103" s="237" t="s">
        <v>62</v>
      </c>
      <c r="G103" s="238"/>
      <c r="H103" s="239"/>
      <c r="I103" s="240" t="str">
        <f t="shared" si="25"/>
        <v/>
      </c>
      <c r="J103" s="241"/>
      <c r="K103" s="240" t="str">
        <f t="shared" si="22"/>
        <v/>
      </c>
      <c r="L103" s="241"/>
      <c r="M103" s="240" t="str">
        <f t="shared" si="23"/>
        <v/>
      </c>
      <c r="N103" s="241"/>
      <c r="O103" s="228"/>
      <c r="P103" s="229"/>
      <c r="Q103" s="228"/>
      <c r="R103" s="229"/>
      <c r="S103" s="287"/>
      <c r="T103" s="288"/>
      <c r="U103" s="287"/>
      <c r="V103" s="289"/>
      <c r="W103" s="205" t="s">
        <v>206</v>
      </c>
      <c r="AB103" s="2" t="str">
        <f t="shared" si="29"/>
        <v/>
      </c>
    </row>
    <row r="104" spans="1:28" ht="15.75" customHeight="1" x14ac:dyDescent="0.3">
      <c r="A104" s="20" t="str">
        <f t="shared" si="20"/>
        <v/>
      </c>
      <c r="B104" s="779"/>
      <c r="C104" s="775"/>
      <c r="D104" s="759"/>
      <c r="E104" s="727" t="s">
        <v>166</v>
      </c>
      <c r="F104" s="237" t="s">
        <v>62</v>
      </c>
      <c r="G104" s="238"/>
      <c r="H104" s="239"/>
      <c r="I104" s="240" t="str">
        <f t="shared" si="25"/>
        <v/>
      </c>
      <c r="J104" s="241"/>
      <c r="K104" s="240" t="str">
        <f t="shared" si="22"/>
        <v/>
      </c>
      <c r="L104" s="241"/>
      <c r="M104" s="240" t="str">
        <f t="shared" si="23"/>
        <v/>
      </c>
      <c r="N104" s="241"/>
      <c r="O104" s="228"/>
      <c r="P104" s="229"/>
      <c r="Q104" s="228"/>
      <c r="R104" s="229"/>
      <c r="S104" s="287"/>
      <c r="T104" s="288"/>
      <c r="U104" s="287"/>
      <c r="V104" s="289"/>
      <c r="W104" s="205" t="s">
        <v>206</v>
      </c>
      <c r="AB104" s="2" t="str">
        <f t="shared" si="29"/>
        <v/>
      </c>
    </row>
    <row r="105" spans="1:28" ht="15.75" customHeight="1" x14ac:dyDescent="0.3">
      <c r="A105" s="20" t="str">
        <f t="shared" si="20"/>
        <v/>
      </c>
      <c r="B105" s="779"/>
      <c r="C105" s="775"/>
      <c r="D105" s="759"/>
      <c r="E105" s="721" t="s">
        <v>146</v>
      </c>
      <c r="F105" s="237" t="s">
        <v>62</v>
      </c>
      <c r="G105" s="238"/>
      <c r="H105" s="239"/>
      <c r="I105" s="240" t="str">
        <f t="shared" si="25"/>
        <v/>
      </c>
      <c r="J105" s="241"/>
      <c r="K105" s="240" t="str">
        <f t="shared" si="22"/>
        <v/>
      </c>
      <c r="L105" s="241"/>
      <c r="M105" s="240" t="str">
        <f t="shared" si="23"/>
        <v/>
      </c>
      <c r="N105" s="241"/>
      <c r="O105" s="228"/>
      <c r="P105" s="229"/>
      <c r="Q105" s="228"/>
      <c r="R105" s="229"/>
      <c r="S105" s="287"/>
      <c r="T105" s="288"/>
      <c r="U105" s="287"/>
      <c r="V105" s="289"/>
      <c r="W105" s="205" t="s">
        <v>206</v>
      </c>
      <c r="AB105" s="2" t="str">
        <f t="shared" si="29"/>
        <v/>
      </c>
    </row>
    <row r="106" spans="1:28" ht="15.75" customHeight="1" x14ac:dyDescent="0.3">
      <c r="A106" s="20" t="str">
        <f t="shared" si="20"/>
        <v/>
      </c>
      <c r="B106" s="779"/>
      <c r="C106" s="775"/>
      <c r="D106" s="759"/>
      <c r="E106" s="727" t="s">
        <v>166</v>
      </c>
      <c r="F106" s="237"/>
      <c r="G106" s="238"/>
      <c r="H106" s="239"/>
      <c r="I106" s="240"/>
      <c r="J106" s="241"/>
      <c r="K106" s="240"/>
      <c r="L106" s="241"/>
      <c r="M106" s="240"/>
      <c r="N106" s="241"/>
      <c r="O106" s="228"/>
      <c r="P106" s="229"/>
      <c r="Q106" s="228"/>
      <c r="R106" s="229"/>
      <c r="S106" s="287"/>
      <c r="T106" s="288"/>
      <c r="U106" s="287"/>
      <c r="V106" s="289"/>
      <c r="W106" s="205"/>
    </row>
    <row r="107" spans="1:28" ht="15.75" customHeight="1" x14ac:dyDescent="0.3">
      <c r="A107" s="20" t="str">
        <f t="shared" si="20"/>
        <v/>
      </c>
      <c r="B107" s="779"/>
      <c r="C107" s="775"/>
      <c r="D107" s="759"/>
      <c r="E107" s="727" t="s">
        <v>166</v>
      </c>
      <c r="F107" s="237"/>
      <c r="G107" s="238"/>
      <c r="H107" s="239"/>
      <c r="I107" s="240"/>
      <c r="J107" s="241"/>
      <c r="K107" s="240"/>
      <c r="L107" s="241"/>
      <c r="M107" s="240"/>
      <c r="N107" s="241"/>
      <c r="O107" s="228"/>
      <c r="P107" s="229"/>
      <c r="Q107" s="228"/>
      <c r="R107" s="229"/>
      <c r="S107" s="287"/>
      <c r="T107" s="288"/>
      <c r="U107" s="287"/>
      <c r="V107" s="289"/>
      <c r="W107" s="205"/>
    </row>
    <row r="108" spans="1:28" ht="15.75" customHeight="1" x14ac:dyDescent="0.3">
      <c r="A108" s="20" t="str">
        <f t="shared" si="20"/>
        <v/>
      </c>
      <c r="B108" s="779"/>
      <c r="C108" s="775"/>
      <c r="D108" s="759"/>
      <c r="E108" s="728" t="s">
        <v>166</v>
      </c>
      <c r="F108" s="242"/>
      <c r="G108" s="243"/>
      <c r="H108" s="244"/>
      <c r="I108" s="245"/>
      <c r="J108" s="246"/>
      <c r="K108" s="245"/>
      <c r="L108" s="246"/>
      <c r="M108" s="245"/>
      <c r="N108" s="246"/>
      <c r="O108" s="230"/>
      <c r="P108" s="231"/>
      <c r="Q108" s="230"/>
      <c r="R108" s="231"/>
      <c r="S108" s="290"/>
      <c r="T108" s="291"/>
      <c r="U108" s="290"/>
      <c r="V108" s="292"/>
      <c r="W108" s="205"/>
    </row>
    <row r="109" spans="1:28" ht="15.6" x14ac:dyDescent="0.3">
      <c r="A109" s="20" t="str">
        <f t="shared" si="20"/>
        <v>S</v>
      </c>
      <c r="B109" s="784"/>
      <c r="C109" s="775"/>
      <c r="D109" s="309" t="s">
        <v>138</v>
      </c>
      <c r="E109" s="718"/>
      <c r="F109" s="16"/>
      <c r="G109" s="7">
        <f>SUM(G96:G108)</f>
        <v>0</v>
      </c>
      <c r="H109" s="8">
        <f>SUM(H96:H108)</f>
        <v>0</v>
      </c>
      <c r="I109" s="9" t="e">
        <f t="shared" si="25"/>
        <v>#DIV/0!</v>
      </c>
      <c r="J109" s="202">
        <f>SUM(J96:J108)</f>
        <v>0</v>
      </c>
      <c r="K109" s="51" t="e">
        <f t="shared" si="22"/>
        <v>#DIV/0!</v>
      </c>
      <c r="L109" s="202">
        <f>SUM(L96:L108)</f>
        <v>0</v>
      </c>
      <c r="M109" s="9" t="e">
        <f t="shared" si="23"/>
        <v>#DIV/0!</v>
      </c>
      <c r="N109" s="202">
        <f t="shared" ref="N109:V109" si="31">SUM(N96:N108)</f>
        <v>0</v>
      </c>
      <c r="O109" s="118">
        <f t="shared" si="31"/>
        <v>0</v>
      </c>
      <c r="P109" s="119">
        <f t="shared" si="31"/>
        <v>0</v>
      </c>
      <c r="Q109" s="118">
        <f t="shared" si="31"/>
        <v>0</v>
      </c>
      <c r="R109" s="119">
        <f t="shared" si="31"/>
        <v>0</v>
      </c>
      <c r="S109" s="118">
        <f t="shared" si="31"/>
        <v>0</v>
      </c>
      <c r="T109" s="119">
        <f t="shared" si="31"/>
        <v>0</v>
      </c>
      <c r="U109" s="118">
        <f t="shared" si="31"/>
        <v>0</v>
      </c>
      <c r="V109" s="120">
        <f t="shared" si="31"/>
        <v>0</v>
      </c>
      <c r="W109" s="205"/>
      <c r="AB109" s="2">
        <f t="shared" si="29"/>
        <v>0</v>
      </c>
    </row>
    <row r="110" spans="1:28" x14ac:dyDescent="0.3">
      <c r="A110" s="20" t="str">
        <f t="shared" si="20"/>
        <v/>
      </c>
      <c r="B110" s="773" t="s">
        <v>151</v>
      </c>
      <c r="C110" s="782" t="s">
        <v>76</v>
      </c>
      <c r="D110" s="760">
        <v>23</v>
      </c>
      <c r="E110" s="720" t="s">
        <v>154</v>
      </c>
      <c r="F110" s="232" t="s">
        <v>62</v>
      </c>
      <c r="G110" s="673"/>
      <c r="H110" s="674"/>
      <c r="I110" s="224" t="str">
        <f t="shared" si="25"/>
        <v/>
      </c>
      <c r="J110" s="236"/>
      <c r="K110" s="235" t="str">
        <f t="shared" si="22"/>
        <v/>
      </c>
      <c r="L110" s="236"/>
      <c r="M110" s="224" t="str">
        <f t="shared" si="23"/>
        <v/>
      </c>
      <c r="N110" s="236"/>
      <c r="O110" s="226"/>
      <c r="P110" s="227"/>
      <c r="Q110" s="226"/>
      <c r="R110" s="227"/>
      <c r="S110" s="284"/>
      <c r="T110" s="285"/>
      <c r="U110" s="284"/>
      <c r="V110" s="286"/>
      <c r="W110" s="259" t="s">
        <v>206</v>
      </c>
      <c r="AB110" s="2" t="str">
        <f t="shared" si="29"/>
        <v/>
      </c>
    </row>
    <row r="111" spans="1:28" ht="15.75" customHeight="1" x14ac:dyDescent="0.3">
      <c r="A111" s="20" t="str">
        <f t="shared" si="20"/>
        <v/>
      </c>
      <c r="B111" s="773"/>
      <c r="C111" s="782"/>
      <c r="D111" s="760"/>
      <c r="E111" s="721" t="s">
        <v>155</v>
      </c>
      <c r="F111" s="237" t="s">
        <v>62</v>
      </c>
      <c r="G111" s="675"/>
      <c r="H111" s="676"/>
      <c r="I111" s="225" t="str">
        <f t="shared" si="25"/>
        <v/>
      </c>
      <c r="J111" s="241"/>
      <c r="K111" s="240" t="str">
        <f t="shared" si="22"/>
        <v/>
      </c>
      <c r="L111" s="241"/>
      <c r="M111" s="225" t="str">
        <f t="shared" si="23"/>
        <v/>
      </c>
      <c r="N111" s="241"/>
      <c r="O111" s="228"/>
      <c r="P111" s="229"/>
      <c r="Q111" s="228"/>
      <c r="R111" s="229"/>
      <c r="S111" s="287"/>
      <c r="T111" s="288"/>
      <c r="U111" s="287"/>
      <c r="V111" s="289"/>
      <c r="W111" s="260" t="s">
        <v>206</v>
      </c>
      <c r="AB111" s="2" t="str">
        <f t="shared" si="29"/>
        <v/>
      </c>
    </row>
    <row r="112" spans="1:28" ht="15.75" customHeight="1" x14ac:dyDescent="0.3">
      <c r="A112" s="20" t="str">
        <f t="shared" si="20"/>
        <v/>
      </c>
      <c r="B112" s="773"/>
      <c r="C112" s="782"/>
      <c r="D112" s="760"/>
      <c r="E112" s="721" t="s">
        <v>156</v>
      </c>
      <c r="F112" s="237" t="s">
        <v>62</v>
      </c>
      <c r="G112" s="675"/>
      <c r="H112" s="676"/>
      <c r="I112" s="225" t="str">
        <f t="shared" si="25"/>
        <v/>
      </c>
      <c r="J112" s="241"/>
      <c r="K112" s="240" t="str">
        <f t="shared" si="22"/>
        <v/>
      </c>
      <c r="L112" s="241"/>
      <c r="M112" s="225" t="str">
        <f t="shared" si="23"/>
        <v/>
      </c>
      <c r="N112" s="241"/>
      <c r="O112" s="228"/>
      <c r="P112" s="229"/>
      <c r="Q112" s="228"/>
      <c r="R112" s="229"/>
      <c r="S112" s="287"/>
      <c r="T112" s="288"/>
      <c r="U112" s="287"/>
      <c r="V112" s="289"/>
      <c r="W112" s="260" t="s">
        <v>206</v>
      </c>
      <c r="AB112" s="2" t="str">
        <f t="shared" si="29"/>
        <v/>
      </c>
    </row>
    <row r="113" spans="1:28" ht="15" customHeight="1" x14ac:dyDescent="0.3">
      <c r="A113" s="20" t="str">
        <f t="shared" si="20"/>
        <v/>
      </c>
      <c r="B113" s="773"/>
      <c r="C113" s="782"/>
      <c r="D113" s="760"/>
      <c r="E113" s="721" t="s">
        <v>37</v>
      </c>
      <c r="F113" s="410" t="s">
        <v>62</v>
      </c>
      <c r="G113" s="238"/>
      <c r="H113" s="239"/>
      <c r="I113" s="240" t="str">
        <f t="shared" si="25"/>
        <v/>
      </c>
      <c r="J113" s="241"/>
      <c r="K113" s="240" t="str">
        <f t="shared" si="22"/>
        <v/>
      </c>
      <c r="L113" s="241"/>
      <c r="M113" s="240" t="str">
        <f t="shared" si="23"/>
        <v/>
      </c>
      <c r="N113" s="241"/>
      <c r="O113" s="228"/>
      <c r="P113" s="229"/>
      <c r="Q113" s="228"/>
      <c r="R113" s="229"/>
      <c r="S113" s="287"/>
      <c r="T113" s="288"/>
      <c r="U113" s="287"/>
      <c r="V113" s="289"/>
      <c r="W113" s="260" t="s">
        <v>206</v>
      </c>
      <c r="AB113" s="2" t="str">
        <f t="shared" si="29"/>
        <v/>
      </c>
    </row>
    <row r="114" spans="1:28" ht="15" customHeight="1" x14ac:dyDescent="0.3">
      <c r="A114" s="20" t="str">
        <f t="shared" ref="A114:A159" si="32">IF(D114="Sous-total","S",IF(G114="","","X"))</f>
        <v/>
      </c>
      <c r="B114" s="773"/>
      <c r="C114" s="782"/>
      <c r="D114" s="760"/>
      <c r="E114" s="721" t="s">
        <v>157</v>
      </c>
      <c r="F114" s="410" t="s">
        <v>62</v>
      </c>
      <c r="G114" s="238"/>
      <c r="H114" s="239"/>
      <c r="I114" s="240" t="str">
        <f t="shared" si="25"/>
        <v/>
      </c>
      <c r="J114" s="241"/>
      <c r="K114" s="240" t="str">
        <f t="shared" si="22"/>
        <v/>
      </c>
      <c r="L114" s="241"/>
      <c r="M114" s="240" t="str">
        <f t="shared" si="23"/>
        <v/>
      </c>
      <c r="N114" s="241"/>
      <c r="O114" s="228"/>
      <c r="P114" s="229"/>
      <c r="Q114" s="228"/>
      <c r="R114" s="229"/>
      <c r="S114" s="287"/>
      <c r="T114" s="288"/>
      <c r="U114" s="287"/>
      <c r="V114" s="289"/>
      <c r="W114" s="260" t="s">
        <v>206</v>
      </c>
      <c r="AB114" s="2" t="str">
        <f t="shared" si="29"/>
        <v/>
      </c>
    </row>
    <row r="115" spans="1:28" ht="15" customHeight="1" x14ac:dyDescent="0.3">
      <c r="A115" s="20" t="str">
        <f t="shared" si="32"/>
        <v/>
      </c>
      <c r="B115" s="773"/>
      <c r="C115" s="782"/>
      <c r="D115" s="760"/>
      <c r="E115" s="721" t="s">
        <v>38</v>
      </c>
      <c r="F115" s="410" t="s">
        <v>62</v>
      </c>
      <c r="G115" s="238"/>
      <c r="H115" s="239"/>
      <c r="I115" s="240" t="str">
        <f t="shared" si="25"/>
        <v/>
      </c>
      <c r="J115" s="241"/>
      <c r="K115" s="240" t="str">
        <f t="shared" si="22"/>
        <v/>
      </c>
      <c r="L115" s="241"/>
      <c r="M115" s="240" t="str">
        <f t="shared" si="23"/>
        <v/>
      </c>
      <c r="N115" s="241"/>
      <c r="O115" s="228"/>
      <c r="P115" s="229"/>
      <c r="Q115" s="228"/>
      <c r="R115" s="229"/>
      <c r="S115" s="287"/>
      <c r="T115" s="288"/>
      <c r="U115" s="287"/>
      <c r="V115" s="289"/>
      <c r="W115" s="260" t="s">
        <v>206</v>
      </c>
      <c r="AB115" s="2" t="str">
        <f t="shared" si="29"/>
        <v/>
      </c>
    </row>
    <row r="116" spans="1:28" ht="15" customHeight="1" x14ac:dyDescent="0.3">
      <c r="A116" s="20" t="str">
        <f t="shared" si="32"/>
        <v/>
      </c>
      <c r="B116" s="773"/>
      <c r="C116" s="782"/>
      <c r="D116" s="760"/>
      <c r="E116" s="721" t="s">
        <v>158</v>
      </c>
      <c r="F116" s="237" t="s">
        <v>62</v>
      </c>
      <c r="G116" s="238"/>
      <c r="H116" s="239"/>
      <c r="I116" s="240" t="str">
        <f t="shared" si="25"/>
        <v/>
      </c>
      <c r="J116" s="241"/>
      <c r="K116" s="240" t="str">
        <f t="shared" si="22"/>
        <v/>
      </c>
      <c r="L116" s="241"/>
      <c r="M116" s="240" t="str">
        <f t="shared" si="23"/>
        <v/>
      </c>
      <c r="N116" s="241"/>
      <c r="O116" s="228"/>
      <c r="P116" s="229"/>
      <c r="Q116" s="228"/>
      <c r="R116" s="229"/>
      <c r="S116" s="287"/>
      <c r="T116" s="288"/>
      <c r="U116" s="287"/>
      <c r="V116" s="289"/>
      <c r="W116" s="260" t="s">
        <v>206</v>
      </c>
      <c r="AB116" s="2" t="str">
        <f t="shared" si="29"/>
        <v/>
      </c>
    </row>
    <row r="117" spans="1:28" ht="15" customHeight="1" x14ac:dyDescent="0.3">
      <c r="A117" s="20" t="str">
        <f t="shared" si="32"/>
        <v/>
      </c>
      <c r="B117" s="773"/>
      <c r="C117" s="782"/>
      <c r="D117" s="760"/>
      <c r="E117" s="721" t="s">
        <v>148</v>
      </c>
      <c r="F117" s="237" t="s">
        <v>62</v>
      </c>
      <c r="G117" s="238"/>
      <c r="H117" s="239"/>
      <c r="I117" s="240" t="str">
        <f t="shared" si="25"/>
        <v/>
      </c>
      <c r="J117" s="241"/>
      <c r="K117" s="240" t="str">
        <f t="shared" si="22"/>
        <v/>
      </c>
      <c r="L117" s="241"/>
      <c r="M117" s="240" t="str">
        <f t="shared" si="23"/>
        <v/>
      </c>
      <c r="N117" s="241"/>
      <c r="O117" s="228"/>
      <c r="P117" s="229"/>
      <c r="Q117" s="228"/>
      <c r="R117" s="229"/>
      <c r="S117" s="287"/>
      <c r="T117" s="288"/>
      <c r="U117" s="287"/>
      <c r="V117" s="289"/>
      <c r="W117" s="260" t="s">
        <v>206</v>
      </c>
      <c r="AB117" s="2" t="str">
        <f t="shared" si="29"/>
        <v/>
      </c>
    </row>
    <row r="118" spans="1:28" ht="15" customHeight="1" x14ac:dyDescent="0.3">
      <c r="A118" s="20" t="str">
        <f t="shared" si="32"/>
        <v/>
      </c>
      <c r="B118" s="773"/>
      <c r="C118" s="782"/>
      <c r="D118" s="760"/>
      <c r="E118" s="721" t="s">
        <v>149</v>
      </c>
      <c r="F118" s="410" t="s">
        <v>62</v>
      </c>
      <c r="G118" s="677"/>
      <c r="H118" s="678"/>
      <c r="I118" s="679" t="str">
        <f t="shared" si="25"/>
        <v/>
      </c>
      <c r="J118" s="680"/>
      <c r="K118" s="679" t="str">
        <f t="shared" si="22"/>
        <v/>
      </c>
      <c r="L118" s="680"/>
      <c r="M118" s="679" t="str">
        <f t="shared" si="23"/>
        <v/>
      </c>
      <c r="N118" s="680"/>
      <c r="O118" s="681"/>
      <c r="P118" s="682"/>
      <c r="Q118" s="681"/>
      <c r="R118" s="682"/>
      <c r="S118" s="683"/>
      <c r="T118" s="684"/>
      <c r="U118" s="683"/>
      <c r="V118" s="685"/>
      <c r="W118" s="260" t="s">
        <v>206</v>
      </c>
      <c r="AB118" s="2" t="str">
        <f t="shared" si="29"/>
        <v/>
      </c>
    </row>
    <row r="119" spans="1:28" ht="15" customHeight="1" x14ac:dyDescent="0.3">
      <c r="A119" s="20" t="str">
        <f t="shared" si="32"/>
        <v/>
      </c>
      <c r="B119" s="773"/>
      <c r="C119" s="782"/>
      <c r="D119" s="760"/>
      <c r="E119" s="727" t="s">
        <v>166</v>
      </c>
      <c r="F119" s="410" t="s">
        <v>62</v>
      </c>
      <c r="G119" s="238"/>
      <c r="H119" s="239"/>
      <c r="I119" s="240" t="str">
        <f t="shared" si="25"/>
        <v/>
      </c>
      <c r="J119" s="241"/>
      <c r="K119" s="240" t="str">
        <f t="shared" si="22"/>
        <v/>
      </c>
      <c r="L119" s="241"/>
      <c r="M119" s="240" t="str">
        <f t="shared" si="23"/>
        <v/>
      </c>
      <c r="N119" s="241"/>
      <c r="O119" s="228"/>
      <c r="P119" s="229"/>
      <c r="Q119" s="228"/>
      <c r="R119" s="229"/>
      <c r="S119" s="287"/>
      <c r="T119" s="288"/>
      <c r="U119" s="287"/>
      <c r="V119" s="289"/>
      <c r="W119" s="260" t="s">
        <v>206</v>
      </c>
      <c r="AB119" s="2" t="str">
        <f t="shared" si="29"/>
        <v/>
      </c>
    </row>
    <row r="120" spans="1:28" ht="15" customHeight="1" x14ac:dyDescent="0.3">
      <c r="A120" s="20" t="str">
        <f t="shared" si="32"/>
        <v/>
      </c>
      <c r="B120" s="773"/>
      <c r="C120" s="782"/>
      <c r="D120" s="760"/>
      <c r="E120" s="727" t="s">
        <v>166</v>
      </c>
      <c r="F120" s="410" t="s">
        <v>62</v>
      </c>
      <c r="G120" s="238"/>
      <c r="H120" s="239"/>
      <c r="I120" s="240" t="str">
        <f t="shared" si="25"/>
        <v/>
      </c>
      <c r="J120" s="241"/>
      <c r="K120" s="240" t="str">
        <f t="shared" si="22"/>
        <v/>
      </c>
      <c r="L120" s="241"/>
      <c r="M120" s="240" t="str">
        <f t="shared" si="23"/>
        <v/>
      </c>
      <c r="N120" s="241"/>
      <c r="O120" s="228"/>
      <c r="P120" s="229"/>
      <c r="Q120" s="228"/>
      <c r="R120" s="229"/>
      <c r="S120" s="287"/>
      <c r="T120" s="288"/>
      <c r="U120" s="287"/>
      <c r="V120" s="289"/>
      <c r="W120" s="260" t="s">
        <v>206</v>
      </c>
      <c r="AB120" s="2" t="str">
        <f t="shared" si="29"/>
        <v/>
      </c>
    </row>
    <row r="121" spans="1:28" ht="15" customHeight="1" x14ac:dyDescent="0.3">
      <c r="A121" s="20" t="str">
        <f t="shared" si="32"/>
        <v/>
      </c>
      <c r="B121" s="773"/>
      <c r="C121" s="782"/>
      <c r="D121" s="760"/>
      <c r="E121" s="721" t="s">
        <v>152</v>
      </c>
      <c r="F121" s="410" t="s">
        <v>62</v>
      </c>
      <c r="G121" s="677"/>
      <c r="H121" s="678"/>
      <c r="I121" s="679" t="str">
        <f t="shared" si="25"/>
        <v/>
      </c>
      <c r="J121" s="680"/>
      <c r="K121" s="679" t="str">
        <f t="shared" si="22"/>
        <v/>
      </c>
      <c r="L121" s="680"/>
      <c r="M121" s="679" t="str">
        <f t="shared" si="23"/>
        <v/>
      </c>
      <c r="N121" s="680"/>
      <c r="O121" s="681"/>
      <c r="P121" s="682"/>
      <c r="Q121" s="681"/>
      <c r="R121" s="682"/>
      <c r="S121" s="683"/>
      <c r="T121" s="684"/>
      <c r="U121" s="683"/>
      <c r="V121" s="685"/>
      <c r="W121" s="260" t="s">
        <v>206</v>
      </c>
      <c r="AB121" s="2" t="str">
        <f t="shared" si="29"/>
        <v/>
      </c>
    </row>
    <row r="122" spans="1:28" ht="15" customHeight="1" x14ac:dyDescent="0.3">
      <c r="A122" s="20" t="str">
        <f t="shared" si="32"/>
        <v/>
      </c>
      <c r="B122" s="773"/>
      <c r="C122" s="782"/>
      <c r="D122" s="760"/>
      <c r="E122" s="727" t="s">
        <v>166</v>
      </c>
      <c r="F122" s="410"/>
      <c r="G122" s="677"/>
      <c r="H122" s="678"/>
      <c r="I122" s="679"/>
      <c r="J122" s="680"/>
      <c r="K122" s="679"/>
      <c r="L122" s="680"/>
      <c r="M122" s="679"/>
      <c r="N122" s="680"/>
      <c r="O122" s="681"/>
      <c r="P122" s="682"/>
      <c r="Q122" s="681"/>
      <c r="R122" s="682"/>
      <c r="S122" s="683"/>
      <c r="T122" s="684"/>
      <c r="U122" s="683"/>
      <c r="V122" s="685"/>
      <c r="W122" s="261"/>
    </row>
    <row r="123" spans="1:28" ht="15" customHeight="1" x14ac:dyDescent="0.3">
      <c r="A123" s="20" t="str">
        <f t="shared" si="32"/>
        <v/>
      </c>
      <c r="B123" s="773"/>
      <c r="C123" s="782"/>
      <c r="D123" s="760"/>
      <c r="E123" s="727" t="s">
        <v>166</v>
      </c>
      <c r="F123" s="410"/>
      <c r="G123" s="677"/>
      <c r="H123" s="678"/>
      <c r="I123" s="679"/>
      <c r="J123" s="680"/>
      <c r="K123" s="679"/>
      <c r="L123" s="680"/>
      <c r="M123" s="679"/>
      <c r="N123" s="680"/>
      <c r="O123" s="681"/>
      <c r="P123" s="682"/>
      <c r="Q123" s="681"/>
      <c r="R123" s="682"/>
      <c r="S123" s="683"/>
      <c r="T123" s="684"/>
      <c r="U123" s="683"/>
      <c r="V123" s="685"/>
      <c r="W123" s="261"/>
    </row>
    <row r="124" spans="1:28" ht="15" customHeight="1" x14ac:dyDescent="0.3">
      <c r="A124" s="20" t="str">
        <f t="shared" si="32"/>
        <v/>
      </c>
      <c r="B124" s="773"/>
      <c r="C124" s="782"/>
      <c r="D124" s="760"/>
      <c r="E124" s="728" t="s">
        <v>166</v>
      </c>
      <c r="F124" s="449"/>
      <c r="G124" s="705"/>
      <c r="H124" s="706"/>
      <c r="I124" s="707"/>
      <c r="J124" s="708"/>
      <c r="K124" s="707"/>
      <c r="L124" s="708"/>
      <c r="M124" s="707"/>
      <c r="N124" s="708"/>
      <c r="O124" s="709"/>
      <c r="P124" s="710"/>
      <c r="Q124" s="709"/>
      <c r="R124" s="710"/>
      <c r="S124" s="711"/>
      <c r="T124" s="712"/>
      <c r="U124" s="711"/>
      <c r="V124" s="713"/>
      <c r="W124" s="261"/>
    </row>
    <row r="125" spans="1:28" ht="15.6" x14ac:dyDescent="0.3">
      <c r="A125" s="20" t="str">
        <f t="shared" si="32"/>
        <v>S</v>
      </c>
      <c r="B125" s="773"/>
      <c r="C125" s="782"/>
      <c r="D125" s="310" t="s">
        <v>138</v>
      </c>
      <c r="E125" s="718"/>
      <c r="F125" s="250"/>
      <c r="G125" s="7">
        <f>SUM(G110:G124)</f>
        <v>0</v>
      </c>
      <c r="H125" s="8">
        <f>SUM(H110:H124)</f>
        <v>0</v>
      </c>
      <c r="I125" s="9" t="e">
        <f t="shared" si="25"/>
        <v>#DIV/0!</v>
      </c>
      <c r="J125" s="202">
        <f>SUM(J110:J124)</f>
        <v>0</v>
      </c>
      <c r="K125" s="51" t="e">
        <f t="shared" si="22"/>
        <v>#DIV/0!</v>
      </c>
      <c r="L125" s="202">
        <f>SUM(L110:L124)</f>
        <v>0</v>
      </c>
      <c r="M125" s="9" t="e">
        <f t="shared" si="23"/>
        <v>#DIV/0!</v>
      </c>
      <c r="N125" s="202">
        <f t="shared" ref="N125:V125" si="33">SUM(N110:N124)</f>
        <v>0</v>
      </c>
      <c r="O125" s="118">
        <f t="shared" si="33"/>
        <v>0</v>
      </c>
      <c r="P125" s="119">
        <f t="shared" si="33"/>
        <v>0</v>
      </c>
      <c r="Q125" s="118">
        <f t="shared" si="33"/>
        <v>0</v>
      </c>
      <c r="R125" s="119">
        <f t="shared" si="33"/>
        <v>0</v>
      </c>
      <c r="S125" s="118">
        <f t="shared" si="33"/>
        <v>0</v>
      </c>
      <c r="T125" s="119">
        <f t="shared" si="33"/>
        <v>0</v>
      </c>
      <c r="U125" s="118">
        <f t="shared" si="33"/>
        <v>0</v>
      </c>
      <c r="V125" s="120">
        <f t="shared" si="33"/>
        <v>0</v>
      </c>
      <c r="W125" s="261"/>
      <c r="AB125" s="2">
        <f t="shared" si="29"/>
        <v>0</v>
      </c>
    </row>
    <row r="126" spans="1:28" ht="15.75" customHeight="1" x14ac:dyDescent="0.3">
      <c r="A126" s="20" t="str">
        <f t="shared" si="32"/>
        <v/>
      </c>
      <c r="B126" s="788" t="s">
        <v>72</v>
      </c>
      <c r="C126" s="782" t="s">
        <v>76</v>
      </c>
      <c r="D126" s="760">
        <v>3</v>
      </c>
      <c r="E126" s="720" t="s">
        <v>150</v>
      </c>
      <c r="F126" s="442" t="s">
        <v>62</v>
      </c>
      <c r="G126" s="233"/>
      <c r="H126" s="234"/>
      <c r="I126" s="235" t="str">
        <f t="shared" si="25"/>
        <v/>
      </c>
      <c r="J126" s="236"/>
      <c r="K126" s="235" t="str">
        <f t="shared" si="22"/>
        <v/>
      </c>
      <c r="L126" s="236"/>
      <c r="M126" s="235" t="str">
        <f t="shared" si="23"/>
        <v/>
      </c>
      <c r="N126" s="236"/>
      <c r="O126" s="226"/>
      <c r="P126" s="227"/>
      <c r="Q126" s="226"/>
      <c r="R126" s="227"/>
      <c r="S126" s="284"/>
      <c r="T126" s="285"/>
      <c r="U126" s="284"/>
      <c r="V126" s="286"/>
      <c r="W126" s="205" t="s">
        <v>206</v>
      </c>
      <c r="AB126" s="2" t="str">
        <f t="shared" si="29"/>
        <v/>
      </c>
    </row>
    <row r="127" spans="1:28" ht="15.75" customHeight="1" x14ac:dyDescent="0.3">
      <c r="A127" s="20" t="str">
        <f t="shared" si="32"/>
        <v/>
      </c>
      <c r="B127" s="788"/>
      <c r="C127" s="782"/>
      <c r="D127" s="760"/>
      <c r="E127" s="721" t="s">
        <v>153</v>
      </c>
      <c r="F127" s="410" t="s">
        <v>62</v>
      </c>
      <c r="G127" s="238"/>
      <c r="H127" s="239"/>
      <c r="I127" s="240" t="str">
        <f t="shared" si="25"/>
        <v/>
      </c>
      <c r="J127" s="241"/>
      <c r="K127" s="240" t="str">
        <f t="shared" si="22"/>
        <v/>
      </c>
      <c r="L127" s="241"/>
      <c r="M127" s="240" t="str">
        <f t="shared" si="23"/>
        <v/>
      </c>
      <c r="N127" s="241"/>
      <c r="O127" s="228"/>
      <c r="P127" s="229"/>
      <c r="Q127" s="228"/>
      <c r="R127" s="229"/>
      <c r="S127" s="287"/>
      <c r="T127" s="288"/>
      <c r="U127" s="287"/>
      <c r="V127" s="289"/>
      <c r="W127" s="205" t="s">
        <v>206</v>
      </c>
      <c r="AB127" s="2" t="str">
        <f t="shared" si="29"/>
        <v/>
      </c>
    </row>
    <row r="128" spans="1:28" ht="15.75" customHeight="1" x14ac:dyDescent="0.3">
      <c r="A128" s="20" t="str">
        <f t="shared" si="32"/>
        <v/>
      </c>
      <c r="B128" s="788"/>
      <c r="C128" s="782"/>
      <c r="D128" s="760"/>
      <c r="E128" s="727" t="s">
        <v>166</v>
      </c>
      <c r="F128" s="410" t="s">
        <v>62</v>
      </c>
      <c r="G128" s="238"/>
      <c r="H128" s="239"/>
      <c r="I128" s="240" t="str">
        <f t="shared" si="25"/>
        <v/>
      </c>
      <c r="J128" s="241"/>
      <c r="K128" s="240" t="str">
        <f t="shared" si="22"/>
        <v/>
      </c>
      <c r="L128" s="241"/>
      <c r="M128" s="240" t="str">
        <f t="shared" si="23"/>
        <v/>
      </c>
      <c r="N128" s="241"/>
      <c r="O128" s="228"/>
      <c r="P128" s="229"/>
      <c r="Q128" s="228"/>
      <c r="R128" s="229"/>
      <c r="S128" s="287"/>
      <c r="T128" s="288"/>
      <c r="U128" s="287"/>
      <c r="V128" s="289"/>
      <c r="W128" s="205" t="s">
        <v>206</v>
      </c>
      <c r="AB128" s="2" t="str">
        <f t="shared" si="29"/>
        <v/>
      </c>
    </row>
    <row r="129" spans="1:28" ht="15.75" customHeight="1" x14ac:dyDescent="0.3">
      <c r="A129" s="20" t="str">
        <f t="shared" si="32"/>
        <v/>
      </c>
      <c r="B129" s="788"/>
      <c r="C129" s="782"/>
      <c r="D129" s="760"/>
      <c r="E129" s="727" t="s">
        <v>166</v>
      </c>
      <c r="F129" s="410" t="s">
        <v>62</v>
      </c>
      <c r="G129" s="238"/>
      <c r="H129" s="239"/>
      <c r="I129" s="240" t="str">
        <f t="shared" si="25"/>
        <v/>
      </c>
      <c r="J129" s="241"/>
      <c r="K129" s="240" t="str">
        <f t="shared" ref="K129:K161" si="34">IF(L129="","",L129/G129)</f>
        <v/>
      </c>
      <c r="L129" s="241"/>
      <c r="M129" s="240" t="str">
        <f t="shared" ref="M129:M161" si="35">IF(N129="","",N129/L129)</f>
        <v/>
      </c>
      <c r="N129" s="241"/>
      <c r="O129" s="228"/>
      <c r="P129" s="229"/>
      <c r="Q129" s="228"/>
      <c r="R129" s="229"/>
      <c r="S129" s="287"/>
      <c r="T129" s="288"/>
      <c r="U129" s="287"/>
      <c r="V129" s="289"/>
      <c r="W129" s="205" t="s">
        <v>206</v>
      </c>
      <c r="AB129" s="2" t="str">
        <f t="shared" si="29"/>
        <v/>
      </c>
    </row>
    <row r="130" spans="1:28" ht="15.75" customHeight="1" x14ac:dyDescent="0.3">
      <c r="A130" s="20" t="str">
        <f t="shared" si="32"/>
        <v/>
      </c>
      <c r="B130" s="788"/>
      <c r="C130" s="782"/>
      <c r="D130" s="760"/>
      <c r="E130" s="721" t="s">
        <v>36</v>
      </c>
      <c r="F130" s="410" t="s">
        <v>62</v>
      </c>
      <c r="G130" s="238"/>
      <c r="H130" s="239"/>
      <c r="I130" s="240" t="str">
        <f t="shared" si="25"/>
        <v/>
      </c>
      <c r="J130" s="241"/>
      <c r="K130" s="240" t="str">
        <f t="shared" si="34"/>
        <v/>
      </c>
      <c r="L130" s="241"/>
      <c r="M130" s="240" t="str">
        <f t="shared" si="35"/>
        <v/>
      </c>
      <c r="N130" s="241"/>
      <c r="O130" s="228"/>
      <c r="P130" s="229"/>
      <c r="Q130" s="228"/>
      <c r="R130" s="229"/>
      <c r="S130" s="287"/>
      <c r="T130" s="288"/>
      <c r="U130" s="287"/>
      <c r="V130" s="289"/>
      <c r="W130" s="205" t="s">
        <v>206</v>
      </c>
      <c r="AB130" s="2" t="str">
        <f t="shared" si="29"/>
        <v/>
      </c>
    </row>
    <row r="131" spans="1:28" ht="15.75" customHeight="1" x14ac:dyDescent="0.3">
      <c r="A131" s="20" t="str">
        <f t="shared" si="32"/>
        <v/>
      </c>
      <c r="B131" s="788"/>
      <c r="C131" s="782"/>
      <c r="D131" s="760"/>
      <c r="E131" s="727" t="s">
        <v>166</v>
      </c>
      <c r="F131" s="410"/>
      <c r="G131" s="238"/>
      <c r="H131" s="239"/>
      <c r="I131" s="240"/>
      <c r="J131" s="241"/>
      <c r="K131" s="240"/>
      <c r="L131" s="241"/>
      <c r="M131" s="240"/>
      <c r="N131" s="241"/>
      <c r="O131" s="228"/>
      <c r="P131" s="229"/>
      <c r="Q131" s="228"/>
      <c r="R131" s="229"/>
      <c r="S131" s="287"/>
      <c r="T131" s="288"/>
      <c r="U131" s="287"/>
      <c r="V131" s="289"/>
      <c r="W131" s="205"/>
    </row>
    <row r="132" spans="1:28" ht="15.75" customHeight="1" x14ac:dyDescent="0.3">
      <c r="A132" s="20" t="str">
        <f t="shared" si="32"/>
        <v/>
      </c>
      <c r="B132" s="788"/>
      <c r="C132" s="782"/>
      <c r="D132" s="760"/>
      <c r="E132" s="727" t="s">
        <v>166</v>
      </c>
      <c r="F132" s="410"/>
      <c r="G132" s="238"/>
      <c r="H132" s="239"/>
      <c r="I132" s="240"/>
      <c r="J132" s="241"/>
      <c r="K132" s="240"/>
      <c r="L132" s="241"/>
      <c r="M132" s="240"/>
      <c r="N132" s="241"/>
      <c r="O132" s="228"/>
      <c r="P132" s="229"/>
      <c r="Q132" s="228"/>
      <c r="R132" s="229"/>
      <c r="S132" s="287"/>
      <c r="T132" s="288"/>
      <c r="U132" s="287"/>
      <c r="V132" s="289"/>
      <c r="W132" s="205"/>
    </row>
    <row r="133" spans="1:28" ht="15.75" customHeight="1" x14ac:dyDescent="0.3">
      <c r="A133" s="20" t="str">
        <f t="shared" si="32"/>
        <v/>
      </c>
      <c r="B133" s="788"/>
      <c r="C133" s="782"/>
      <c r="D133" s="760"/>
      <c r="E133" s="728" t="s">
        <v>166</v>
      </c>
      <c r="F133" s="449"/>
      <c r="G133" s="243"/>
      <c r="H133" s="244"/>
      <c r="I133" s="245"/>
      <c r="J133" s="246"/>
      <c r="K133" s="245"/>
      <c r="L133" s="246"/>
      <c r="M133" s="245"/>
      <c r="N133" s="246"/>
      <c r="O133" s="230"/>
      <c r="P133" s="231"/>
      <c r="Q133" s="230"/>
      <c r="R133" s="231"/>
      <c r="S133" s="290"/>
      <c r="T133" s="291"/>
      <c r="U133" s="290"/>
      <c r="V133" s="292"/>
      <c r="W133" s="205"/>
    </row>
    <row r="134" spans="1:28" ht="15.75" customHeight="1" x14ac:dyDescent="0.3">
      <c r="A134" s="20" t="str">
        <f t="shared" si="32"/>
        <v>S</v>
      </c>
      <c r="B134" s="788"/>
      <c r="C134" s="782"/>
      <c r="D134" s="310" t="s">
        <v>138</v>
      </c>
      <c r="E134" s="718"/>
      <c r="F134" s="250"/>
      <c r="G134" s="7">
        <f>SUM(G126:G133)</f>
        <v>0</v>
      </c>
      <c r="H134" s="8">
        <f>SUM(H126:H133)</f>
        <v>0</v>
      </c>
      <c r="I134" s="9" t="e">
        <f t="shared" si="25"/>
        <v>#DIV/0!</v>
      </c>
      <c r="J134" s="202">
        <f>SUM(J126:J133)</f>
        <v>0</v>
      </c>
      <c r="K134" s="51" t="e">
        <f t="shared" si="34"/>
        <v>#DIV/0!</v>
      </c>
      <c r="L134" s="202">
        <f>SUM(L126:L133)</f>
        <v>0</v>
      </c>
      <c r="M134" s="9" t="e">
        <f t="shared" si="35"/>
        <v>#DIV/0!</v>
      </c>
      <c r="N134" s="202">
        <f t="shared" ref="N134:V134" si="36">SUM(N126:N133)</f>
        <v>0</v>
      </c>
      <c r="O134" s="118">
        <f t="shared" si="36"/>
        <v>0</v>
      </c>
      <c r="P134" s="119">
        <f t="shared" si="36"/>
        <v>0</v>
      </c>
      <c r="Q134" s="118">
        <f t="shared" si="36"/>
        <v>0</v>
      </c>
      <c r="R134" s="119">
        <f t="shared" si="36"/>
        <v>0</v>
      </c>
      <c r="S134" s="118">
        <f t="shared" si="36"/>
        <v>0</v>
      </c>
      <c r="T134" s="119">
        <f t="shared" si="36"/>
        <v>0</v>
      </c>
      <c r="U134" s="118">
        <f t="shared" si="36"/>
        <v>0</v>
      </c>
      <c r="V134" s="120">
        <f t="shared" si="36"/>
        <v>0</v>
      </c>
      <c r="W134" s="205"/>
      <c r="AB134" s="2">
        <f t="shared" si="29"/>
        <v>0</v>
      </c>
    </row>
    <row r="135" spans="1:28" ht="15.75" customHeight="1" x14ac:dyDescent="0.3">
      <c r="A135" s="20" t="str">
        <f t="shared" si="32"/>
        <v/>
      </c>
      <c r="B135" s="746" t="s">
        <v>3</v>
      </c>
      <c r="C135" s="749" t="s">
        <v>76</v>
      </c>
      <c r="D135" s="754">
        <v>17</v>
      </c>
      <c r="E135" s="719" t="s">
        <v>48</v>
      </c>
      <c r="F135" s="232" t="s">
        <v>61</v>
      </c>
      <c r="G135" s="233"/>
      <c r="H135" s="234"/>
      <c r="I135" s="235" t="str">
        <f t="shared" si="25"/>
        <v/>
      </c>
      <c r="J135" s="236"/>
      <c r="K135" s="235" t="str">
        <f t="shared" si="34"/>
        <v/>
      </c>
      <c r="L135" s="236"/>
      <c r="M135" s="235" t="str">
        <f t="shared" si="35"/>
        <v/>
      </c>
      <c r="N135" s="236"/>
      <c r="O135" s="226"/>
      <c r="P135" s="227"/>
      <c r="Q135" s="226"/>
      <c r="R135" s="227"/>
      <c r="S135" s="664"/>
      <c r="T135" s="665"/>
      <c r="U135" s="664"/>
      <c r="V135" s="666"/>
      <c r="W135" s="205" t="s">
        <v>206</v>
      </c>
      <c r="AB135" s="2" t="str">
        <f t="shared" si="29"/>
        <v/>
      </c>
    </row>
    <row r="136" spans="1:28" ht="15.75" customHeight="1" x14ac:dyDescent="0.3">
      <c r="A136" s="20" t="str">
        <f t="shared" si="32"/>
        <v/>
      </c>
      <c r="B136" s="747"/>
      <c r="C136" s="750"/>
      <c r="D136" s="755"/>
      <c r="E136" s="577" t="s">
        <v>49</v>
      </c>
      <c r="F136" s="237" t="s">
        <v>61</v>
      </c>
      <c r="G136" s="238"/>
      <c r="H136" s="239"/>
      <c r="I136" s="240" t="str">
        <f t="shared" si="25"/>
        <v/>
      </c>
      <c r="J136" s="241"/>
      <c r="K136" s="240" t="str">
        <f t="shared" si="34"/>
        <v/>
      </c>
      <c r="L136" s="241"/>
      <c r="M136" s="240" t="str">
        <f t="shared" si="35"/>
        <v/>
      </c>
      <c r="N136" s="241"/>
      <c r="O136" s="228"/>
      <c r="P136" s="229"/>
      <c r="Q136" s="228"/>
      <c r="R136" s="229"/>
      <c r="S136" s="667"/>
      <c r="T136" s="668"/>
      <c r="U136" s="667"/>
      <c r="V136" s="669"/>
      <c r="W136" s="205" t="s">
        <v>206</v>
      </c>
      <c r="AB136" s="2" t="str">
        <f t="shared" si="29"/>
        <v/>
      </c>
    </row>
    <row r="137" spans="1:28" ht="15.75" customHeight="1" x14ac:dyDescent="0.3">
      <c r="A137" s="20" t="str">
        <f t="shared" si="32"/>
        <v/>
      </c>
      <c r="B137" s="747"/>
      <c r="C137" s="750"/>
      <c r="D137" s="755"/>
      <c r="E137" s="577" t="s">
        <v>81</v>
      </c>
      <c r="F137" s="237" t="s">
        <v>61</v>
      </c>
      <c r="G137" s="238"/>
      <c r="H137" s="239"/>
      <c r="I137" s="240" t="str">
        <f t="shared" si="25"/>
        <v/>
      </c>
      <c r="J137" s="241"/>
      <c r="K137" s="240" t="str">
        <f t="shared" si="34"/>
        <v/>
      </c>
      <c r="L137" s="241"/>
      <c r="M137" s="240" t="str">
        <f t="shared" si="35"/>
        <v/>
      </c>
      <c r="N137" s="241"/>
      <c r="O137" s="228"/>
      <c r="P137" s="229"/>
      <c r="Q137" s="228"/>
      <c r="R137" s="229"/>
      <c r="S137" s="667"/>
      <c r="T137" s="668"/>
      <c r="U137" s="667"/>
      <c r="V137" s="669"/>
      <c r="W137" s="205" t="s">
        <v>206</v>
      </c>
      <c r="AB137" s="2" t="str">
        <f t="shared" si="29"/>
        <v/>
      </c>
    </row>
    <row r="138" spans="1:28" ht="15.75" customHeight="1" x14ac:dyDescent="0.3">
      <c r="A138" s="20" t="str">
        <f t="shared" si="32"/>
        <v/>
      </c>
      <c r="B138" s="747"/>
      <c r="C138" s="750"/>
      <c r="D138" s="755"/>
      <c r="E138" s="577" t="s">
        <v>73</v>
      </c>
      <c r="F138" s="237" t="s">
        <v>61</v>
      </c>
      <c r="G138" s="238"/>
      <c r="H138" s="239"/>
      <c r="I138" s="240" t="str">
        <f t="shared" si="25"/>
        <v/>
      </c>
      <c r="J138" s="241"/>
      <c r="K138" s="240" t="str">
        <f t="shared" si="34"/>
        <v/>
      </c>
      <c r="L138" s="241"/>
      <c r="M138" s="240" t="str">
        <f t="shared" si="35"/>
        <v/>
      </c>
      <c r="N138" s="241"/>
      <c r="O138" s="228"/>
      <c r="P138" s="229"/>
      <c r="Q138" s="228"/>
      <c r="R138" s="229"/>
      <c r="S138" s="667"/>
      <c r="T138" s="668"/>
      <c r="U138" s="667"/>
      <c r="V138" s="669"/>
      <c r="W138" s="205" t="s">
        <v>206</v>
      </c>
      <c r="AB138" s="2" t="str">
        <f t="shared" si="29"/>
        <v/>
      </c>
    </row>
    <row r="139" spans="1:28" ht="15.75" customHeight="1" x14ac:dyDescent="0.3">
      <c r="A139" s="20" t="str">
        <f t="shared" si="32"/>
        <v/>
      </c>
      <c r="B139" s="747"/>
      <c r="C139" s="750"/>
      <c r="D139" s="755"/>
      <c r="E139" s="577" t="s">
        <v>50</v>
      </c>
      <c r="F139" s="237" t="s">
        <v>61</v>
      </c>
      <c r="G139" s="238"/>
      <c r="H139" s="239"/>
      <c r="I139" s="240" t="str">
        <f t="shared" si="25"/>
        <v/>
      </c>
      <c r="J139" s="241"/>
      <c r="K139" s="240" t="str">
        <f t="shared" si="34"/>
        <v/>
      </c>
      <c r="L139" s="241"/>
      <c r="M139" s="240" t="str">
        <f t="shared" si="35"/>
        <v/>
      </c>
      <c r="N139" s="241"/>
      <c r="O139" s="228"/>
      <c r="P139" s="229"/>
      <c r="Q139" s="228"/>
      <c r="R139" s="229"/>
      <c r="S139" s="667"/>
      <c r="T139" s="668"/>
      <c r="U139" s="667"/>
      <c r="V139" s="669"/>
      <c r="W139" s="205" t="s">
        <v>206</v>
      </c>
      <c r="AB139" s="2" t="str">
        <f t="shared" si="29"/>
        <v/>
      </c>
    </row>
    <row r="140" spans="1:28" ht="15.75" customHeight="1" x14ac:dyDescent="0.3">
      <c r="A140" s="20" t="str">
        <f t="shared" si="32"/>
        <v/>
      </c>
      <c r="B140" s="747"/>
      <c r="C140" s="750"/>
      <c r="D140" s="755"/>
      <c r="E140" s="577" t="s">
        <v>144</v>
      </c>
      <c r="F140" s="237" t="s">
        <v>61</v>
      </c>
      <c r="G140" s="238"/>
      <c r="H140" s="239"/>
      <c r="I140" s="240" t="str">
        <f t="shared" si="25"/>
        <v/>
      </c>
      <c r="J140" s="241"/>
      <c r="K140" s="240" t="str">
        <f t="shared" si="34"/>
        <v/>
      </c>
      <c r="L140" s="241"/>
      <c r="M140" s="240" t="str">
        <f t="shared" si="35"/>
        <v/>
      </c>
      <c r="N140" s="241"/>
      <c r="O140" s="228"/>
      <c r="P140" s="229"/>
      <c r="Q140" s="228"/>
      <c r="R140" s="229"/>
      <c r="S140" s="667"/>
      <c r="T140" s="668"/>
      <c r="U140" s="667"/>
      <c r="V140" s="669"/>
      <c r="W140" s="205" t="s">
        <v>206</v>
      </c>
      <c r="AB140" s="2" t="str">
        <f t="shared" si="29"/>
        <v/>
      </c>
    </row>
    <row r="141" spans="1:28" ht="15.75" customHeight="1" x14ac:dyDescent="0.3">
      <c r="A141" s="20" t="str">
        <f t="shared" si="32"/>
        <v/>
      </c>
      <c r="B141" s="747"/>
      <c r="C141" s="750"/>
      <c r="D141" s="755"/>
      <c r="E141" s="577" t="s">
        <v>143</v>
      </c>
      <c r="F141" s="237" t="s">
        <v>61</v>
      </c>
      <c r="G141" s="238"/>
      <c r="H141" s="239"/>
      <c r="I141" s="240" t="str">
        <f t="shared" si="25"/>
        <v/>
      </c>
      <c r="J141" s="241"/>
      <c r="K141" s="240" t="str">
        <f t="shared" si="34"/>
        <v/>
      </c>
      <c r="L141" s="241"/>
      <c r="M141" s="240" t="str">
        <f t="shared" si="35"/>
        <v/>
      </c>
      <c r="N141" s="241"/>
      <c r="O141" s="228"/>
      <c r="P141" s="229"/>
      <c r="Q141" s="228"/>
      <c r="R141" s="229"/>
      <c r="S141" s="667"/>
      <c r="T141" s="668"/>
      <c r="U141" s="667"/>
      <c r="V141" s="669"/>
      <c r="W141" s="205" t="s">
        <v>206</v>
      </c>
      <c r="AB141" s="2" t="str">
        <f t="shared" si="29"/>
        <v/>
      </c>
    </row>
    <row r="142" spans="1:28" ht="15.75" customHeight="1" x14ac:dyDescent="0.3">
      <c r="A142" s="20" t="str">
        <f t="shared" si="32"/>
        <v/>
      </c>
      <c r="B142" s="747"/>
      <c r="C142" s="750"/>
      <c r="D142" s="755"/>
      <c r="E142" s="577" t="s">
        <v>176</v>
      </c>
      <c r="F142" s="237" t="s">
        <v>61</v>
      </c>
      <c r="G142" s="238"/>
      <c r="H142" s="239"/>
      <c r="I142" s="240" t="str">
        <f t="shared" si="25"/>
        <v/>
      </c>
      <c r="J142" s="241"/>
      <c r="K142" s="240" t="str">
        <f t="shared" si="34"/>
        <v/>
      </c>
      <c r="L142" s="241"/>
      <c r="M142" s="240" t="str">
        <f t="shared" si="35"/>
        <v/>
      </c>
      <c r="N142" s="241"/>
      <c r="O142" s="228"/>
      <c r="P142" s="229"/>
      <c r="Q142" s="228"/>
      <c r="R142" s="229"/>
      <c r="S142" s="667"/>
      <c r="T142" s="668"/>
      <c r="U142" s="667"/>
      <c r="V142" s="669"/>
      <c r="W142" s="205" t="s">
        <v>206</v>
      </c>
      <c r="AB142" s="2" t="str">
        <f t="shared" si="29"/>
        <v/>
      </c>
    </row>
    <row r="143" spans="1:28" ht="15.75" customHeight="1" x14ac:dyDescent="0.3">
      <c r="A143" s="20" t="str">
        <f t="shared" si="32"/>
        <v/>
      </c>
      <c r="B143" s="747"/>
      <c r="C143" s="750"/>
      <c r="D143" s="755"/>
      <c r="E143" s="577" t="s">
        <v>177</v>
      </c>
      <c r="F143" s="237" t="s">
        <v>61</v>
      </c>
      <c r="G143" s="238"/>
      <c r="H143" s="239"/>
      <c r="I143" s="240" t="str">
        <f t="shared" ref="I143:I161" si="37">IF(J143="","",J143/G143)</f>
        <v/>
      </c>
      <c r="J143" s="241"/>
      <c r="K143" s="240" t="str">
        <f t="shared" si="34"/>
        <v/>
      </c>
      <c r="L143" s="241"/>
      <c r="M143" s="240" t="str">
        <f t="shared" si="35"/>
        <v/>
      </c>
      <c r="N143" s="241"/>
      <c r="O143" s="228"/>
      <c r="P143" s="229"/>
      <c r="Q143" s="228"/>
      <c r="R143" s="229"/>
      <c r="S143" s="667"/>
      <c r="T143" s="668"/>
      <c r="U143" s="667"/>
      <c r="V143" s="669"/>
      <c r="W143" s="205" t="s">
        <v>206</v>
      </c>
      <c r="AB143" s="2" t="str">
        <f t="shared" si="29"/>
        <v/>
      </c>
    </row>
    <row r="144" spans="1:28" ht="15.75" customHeight="1" x14ac:dyDescent="0.3">
      <c r="A144" s="20" t="str">
        <f t="shared" si="32"/>
        <v/>
      </c>
      <c r="B144" s="747"/>
      <c r="C144" s="750"/>
      <c r="D144" s="755"/>
      <c r="E144" s="577" t="s">
        <v>178</v>
      </c>
      <c r="F144" s="237" t="s">
        <v>61</v>
      </c>
      <c r="G144" s="238"/>
      <c r="H144" s="239"/>
      <c r="I144" s="240" t="str">
        <f t="shared" si="37"/>
        <v/>
      </c>
      <c r="J144" s="241"/>
      <c r="K144" s="240" t="str">
        <f t="shared" si="34"/>
        <v/>
      </c>
      <c r="L144" s="241"/>
      <c r="M144" s="240" t="str">
        <f t="shared" si="35"/>
        <v/>
      </c>
      <c r="N144" s="241"/>
      <c r="O144" s="228"/>
      <c r="P144" s="229"/>
      <c r="Q144" s="228"/>
      <c r="R144" s="229"/>
      <c r="S144" s="667"/>
      <c r="T144" s="668"/>
      <c r="U144" s="667"/>
      <c r="V144" s="669"/>
      <c r="W144" s="205" t="s">
        <v>206</v>
      </c>
      <c r="AB144" s="2" t="str">
        <f t="shared" si="29"/>
        <v/>
      </c>
    </row>
    <row r="145" spans="1:28" ht="15.75" customHeight="1" x14ac:dyDescent="0.3">
      <c r="A145" s="20" t="str">
        <f t="shared" si="32"/>
        <v/>
      </c>
      <c r="B145" s="747"/>
      <c r="C145" s="750"/>
      <c r="D145" s="755"/>
      <c r="E145" s="577" t="s">
        <v>179</v>
      </c>
      <c r="F145" s="237" t="s">
        <v>61</v>
      </c>
      <c r="G145" s="238"/>
      <c r="H145" s="239"/>
      <c r="I145" s="240" t="str">
        <f t="shared" si="37"/>
        <v/>
      </c>
      <c r="J145" s="241"/>
      <c r="K145" s="240" t="str">
        <f t="shared" si="34"/>
        <v/>
      </c>
      <c r="L145" s="241"/>
      <c r="M145" s="240" t="str">
        <f t="shared" si="35"/>
        <v/>
      </c>
      <c r="N145" s="241"/>
      <c r="O145" s="228"/>
      <c r="P145" s="229"/>
      <c r="Q145" s="228"/>
      <c r="R145" s="229"/>
      <c r="S145" s="667"/>
      <c r="T145" s="668"/>
      <c r="U145" s="667"/>
      <c r="V145" s="669"/>
      <c r="W145" s="205" t="s">
        <v>206</v>
      </c>
      <c r="AB145" s="2" t="str">
        <f t="shared" si="29"/>
        <v/>
      </c>
    </row>
    <row r="146" spans="1:28" ht="15.75" customHeight="1" x14ac:dyDescent="0.3">
      <c r="A146" s="20" t="str">
        <f t="shared" si="32"/>
        <v/>
      </c>
      <c r="B146" s="747"/>
      <c r="C146" s="750"/>
      <c r="D146" s="755"/>
      <c r="E146" s="577" t="s">
        <v>180</v>
      </c>
      <c r="F146" s="237" t="s">
        <v>61</v>
      </c>
      <c r="G146" s="238"/>
      <c r="H146" s="239"/>
      <c r="I146" s="240" t="str">
        <f t="shared" si="37"/>
        <v/>
      </c>
      <c r="J146" s="241"/>
      <c r="K146" s="240" t="str">
        <f t="shared" si="34"/>
        <v/>
      </c>
      <c r="L146" s="241"/>
      <c r="M146" s="240" t="str">
        <f t="shared" si="35"/>
        <v/>
      </c>
      <c r="N146" s="241"/>
      <c r="O146" s="228"/>
      <c r="P146" s="229"/>
      <c r="Q146" s="228"/>
      <c r="R146" s="229"/>
      <c r="S146" s="667"/>
      <c r="T146" s="668"/>
      <c r="U146" s="667"/>
      <c r="V146" s="669"/>
      <c r="W146" s="205" t="s">
        <v>206</v>
      </c>
      <c r="AB146" s="2" t="str">
        <f t="shared" si="29"/>
        <v/>
      </c>
    </row>
    <row r="147" spans="1:28" ht="15.75" customHeight="1" x14ac:dyDescent="0.3">
      <c r="A147" s="20" t="str">
        <f t="shared" si="32"/>
        <v/>
      </c>
      <c r="B147" s="747"/>
      <c r="C147" s="750"/>
      <c r="D147" s="755"/>
      <c r="E147" s="577" t="s">
        <v>181</v>
      </c>
      <c r="F147" s="237" t="s">
        <v>61</v>
      </c>
      <c r="G147" s="238"/>
      <c r="H147" s="239"/>
      <c r="I147" s="240" t="str">
        <f t="shared" si="37"/>
        <v/>
      </c>
      <c r="J147" s="241"/>
      <c r="K147" s="240" t="str">
        <f t="shared" si="34"/>
        <v/>
      </c>
      <c r="L147" s="241"/>
      <c r="M147" s="240" t="str">
        <f t="shared" si="35"/>
        <v/>
      </c>
      <c r="N147" s="241"/>
      <c r="O147" s="228"/>
      <c r="P147" s="229"/>
      <c r="Q147" s="228"/>
      <c r="R147" s="229"/>
      <c r="S147" s="667"/>
      <c r="T147" s="668"/>
      <c r="U147" s="667"/>
      <c r="V147" s="669"/>
      <c r="W147" s="205" t="s">
        <v>206</v>
      </c>
      <c r="AB147" s="2" t="str">
        <f t="shared" si="29"/>
        <v/>
      </c>
    </row>
    <row r="148" spans="1:28" ht="15.75" customHeight="1" x14ac:dyDescent="0.3">
      <c r="A148" s="20" t="str">
        <f t="shared" si="32"/>
        <v/>
      </c>
      <c r="B148" s="747"/>
      <c r="C148" s="750"/>
      <c r="D148" s="755"/>
      <c r="E148" s="577" t="s">
        <v>80</v>
      </c>
      <c r="F148" s="237" t="s">
        <v>61</v>
      </c>
      <c r="G148" s="238"/>
      <c r="H148" s="239"/>
      <c r="I148" s="240" t="str">
        <f t="shared" si="37"/>
        <v/>
      </c>
      <c r="J148" s="241"/>
      <c r="K148" s="240" t="str">
        <f t="shared" si="34"/>
        <v/>
      </c>
      <c r="L148" s="241"/>
      <c r="M148" s="240" t="str">
        <f t="shared" si="35"/>
        <v/>
      </c>
      <c r="N148" s="241"/>
      <c r="O148" s="228"/>
      <c r="P148" s="229"/>
      <c r="Q148" s="228"/>
      <c r="R148" s="229"/>
      <c r="S148" s="667"/>
      <c r="T148" s="668"/>
      <c r="U148" s="667"/>
      <c r="V148" s="669"/>
      <c r="W148" s="205" t="s">
        <v>206</v>
      </c>
      <c r="AB148" s="2" t="str">
        <f t="shared" si="29"/>
        <v/>
      </c>
    </row>
    <row r="149" spans="1:28" ht="15.75" customHeight="1" x14ac:dyDescent="0.3">
      <c r="A149" s="20" t="str">
        <f t="shared" si="32"/>
        <v/>
      </c>
      <c r="B149" s="747"/>
      <c r="C149" s="750"/>
      <c r="D149" s="755"/>
      <c r="E149" s="577" t="s">
        <v>51</v>
      </c>
      <c r="F149" s="237" t="s">
        <v>61</v>
      </c>
      <c r="G149" s="238"/>
      <c r="H149" s="239"/>
      <c r="I149" s="240" t="str">
        <f t="shared" si="37"/>
        <v/>
      </c>
      <c r="J149" s="241"/>
      <c r="K149" s="240" t="str">
        <f t="shared" si="34"/>
        <v/>
      </c>
      <c r="L149" s="241"/>
      <c r="M149" s="240" t="str">
        <f t="shared" si="35"/>
        <v/>
      </c>
      <c r="N149" s="241"/>
      <c r="O149" s="228"/>
      <c r="P149" s="229"/>
      <c r="Q149" s="228"/>
      <c r="R149" s="229"/>
      <c r="S149" s="667"/>
      <c r="T149" s="668"/>
      <c r="U149" s="667"/>
      <c r="V149" s="669"/>
      <c r="W149" s="205" t="s">
        <v>206</v>
      </c>
      <c r="AB149" s="2" t="str">
        <f t="shared" si="29"/>
        <v/>
      </c>
    </row>
    <row r="150" spans="1:28" ht="15" customHeight="1" x14ac:dyDescent="0.3">
      <c r="A150" s="20" t="str">
        <f>IF(D150="Sous-total","S",IF(G150="","","X"))</f>
        <v/>
      </c>
      <c r="B150" s="747"/>
      <c r="C150" s="750"/>
      <c r="D150" s="755"/>
      <c r="E150" s="577" t="s">
        <v>31</v>
      </c>
      <c r="F150" s="237" t="s">
        <v>62</v>
      </c>
      <c r="G150" s="238"/>
      <c r="H150" s="239"/>
      <c r="I150" s="240" t="str">
        <f>IF(J150="","",J150/G150)</f>
        <v/>
      </c>
      <c r="J150" s="241"/>
      <c r="K150" s="240" t="str">
        <f>IF(L150="","",L150/G150)</f>
        <v/>
      </c>
      <c r="L150" s="241"/>
      <c r="M150" s="240" t="str">
        <f>IF(N150="","",N150/L150)</f>
        <v/>
      </c>
      <c r="N150" s="241"/>
      <c r="O150" s="228"/>
      <c r="P150" s="229"/>
      <c r="Q150" s="228"/>
      <c r="R150" s="229"/>
      <c r="S150" s="287"/>
      <c r="T150" s="288"/>
      <c r="U150" s="287"/>
      <c r="V150" s="289"/>
      <c r="W150" s="205" t="s">
        <v>206</v>
      </c>
      <c r="X150" s="1" t="s">
        <v>199</v>
      </c>
      <c r="AB150" s="2" t="str">
        <f>IF(G150&lt;&gt;"",$F150,"")</f>
        <v/>
      </c>
    </row>
    <row r="151" spans="1:28" ht="15.75" customHeight="1" x14ac:dyDescent="0.3">
      <c r="A151" s="20" t="str">
        <f t="shared" si="32"/>
        <v/>
      </c>
      <c r="B151" s="747"/>
      <c r="C151" s="750"/>
      <c r="D151" s="755"/>
      <c r="E151" s="727" t="s">
        <v>166</v>
      </c>
      <c r="F151" s="237" t="s">
        <v>203</v>
      </c>
      <c r="G151" s="238"/>
      <c r="H151" s="239"/>
      <c r="I151" s="240" t="str">
        <f t="shared" si="37"/>
        <v/>
      </c>
      <c r="J151" s="241"/>
      <c r="K151" s="240" t="str">
        <f t="shared" si="34"/>
        <v/>
      </c>
      <c r="L151" s="241"/>
      <c r="M151" s="240" t="str">
        <f t="shared" si="35"/>
        <v/>
      </c>
      <c r="N151" s="241"/>
      <c r="O151" s="228"/>
      <c r="P151" s="229"/>
      <c r="Q151" s="228"/>
      <c r="R151" s="229"/>
      <c r="S151" s="667"/>
      <c r="T151" s="668"/>
      <c r="U151" s="667"/>
      <c r="V151" s="669"/>
      <c r="W151" s="205" t="s">
        <v>206</v>
      </c>
      <c r="AB151" s="2" t="str">
        <f t="shared" si="29"/>
        <v/>
      </c>
    </row>
    <row r="152" spans="1:28" ht="15.75" customHeight="1" x14ac:dyDescent="0.3">
      <c r="A152" s="20" t="str">
        <f t="shared" si="32"/>
        <v/>
      </c>
      <c r="B152" s="747"/>
      <c r="C152" s="750"/>
      <c r="D152" s="755"/>
      <c r="E152" s="727" t="s">
        <v>166</v>
      </c>
      <c r="F152" s="237" t="s">
        <v>203</v>
      </c>
      <c r="G152" s="238"/>
      <c r="H152" s="239"/>
      <c r="I152" s="240" t="str">
        <f t="shared" si="37"/>
        <v/>
      </c>
      <c r="J152" s="241"/>
      <c r="K152" s="240" t="str">
        <f t="shared" si="34"/>
        <v/>
      </c>
      <c r="L152" s="241"/>
      <c r="M152" s="240" t="str">
        <f t="shared" si="35"/>
        <v/>
      </c>
      <c r="N152" s="241"/>
      <c r="O152" s="228"/>
      <c r="P152" s="229"/>
      <c r="Q152" s="228"/>
      <c r="R152" s="229"/>
      <c r="S152" s="667"/>
      <c r="T152" s="668"/>
      <c r="U152" s="667"/>
      <c r="V152" s="669"/>
      <c r="W152" s="205" t="s">
        <v>206</v>
      </c>
      <c r="AB152" s="2" t="str">
        <f t="shared" si="29"/>
        <v/>
      </c>
    </row>
    <row r="153" spans="1:28" ht="15.75" customHeight="1" x14ac:dyDescent="0.3">
      <c r="A153" s="20" t="str">
        <f t="shared" si="32"/>
        <v/>
      </c>
      <c r="B153" s="747"/>
      <c r="C153" s="750"/>
      <c r="D153" s="755"/>
      <c r="E153" s="577" t="s">
        <v>52</v>
      </c>
      <c r="F153" s="237" t="s">
        <v>61</v>
      </c>
      <c r="G153" s="238"/>
      <c r="H153" s="239"/>
      <c r="I153" s="240" t="str">
        <f t="shared" si="37"/>
        <v/>
      </c>
      <c r="J153" s="241"/>
      <c r="K153" s="240" t="str">
        <f t="shared" si="34"/>
        <v/>
      </c>
      <c r="L153" s="241"/>
      <c r="M153" s="240" t="str">
        <f t="shared" si="35"/>
        <v/>
      </c>
      <c r="N153" s="241"/>
      <c r="O153" s="228"/>
      <c r="P153" s="229"/>
      <c r="Q153" s="228"/>
      <c r="R153" s="229"/>
      <c r="S153" s="667"/>
      <c r="T153" s="668"/>
      <c r="U153" s="667"/>
      <c r="V153" s="669"/>
      <c r="W153" s="205" t="s">
        <v>206</v>
      </c>
      <c r="AB153" s="2" t="str">
        <f t="shared" si="29"/>
        <v/>
      </c>
    </row>
    <row r="154" spans="1:28" ht="15.75" customHeight="1" x14ac:dyDescent="0.3">
      <c r="A154" s="20" t="str">
        <f t="shared" si="32"/>
        <v/>
      </c>
      <c r="B154" s="747"/>
      <c r="C154" s="750"/>
      <c r="D154" s="755"/>
      <c r="E154" s="727" t="s">
        <v>166</v>
      </c>
      <c r="F154" s="237"/>
      <c r="G154" s="238"/>
      <c r="H154" s="239"/>
      <c r="I154" s="240"/>
      <c r="J154" s="241"/>
      <c r="K154" s="240"/>
      <c r="L154" s="241"/>
      <c r="M154" s="240"/>
      <c r="N154" s="241"/>
      <c r="O154" s="228"/>
      <c r="P154" s="229"/>
      <c r="Q154" s="228"/>
      <c r="R154" s="229"/>
      <c r="S154" s="667"/>
      <c r="T154" s="668"/>
      <c r="U154" s="667"/>
      <c r="V154" s="669"/>
      <c r="W154" s="205"/>
    </row>
    <row r="155" spans="1:28" ht="15.75" customHeight="1" x14ac:dyDescent="0.3">
      <c r="A155" s="20" t="str">
        <f t="shared" si="32"/>
        <v/>
      </c>
      <c r="B155" s="747"/>
      <c r="C155" s="750"/>
      <c r="D155" s="755"/>
      <c r="E155" s="727" t="s">
        <v>166</v>
      </c>
      <c r="F155" s="237"/>
      <c r="G155" s="238"/>
      <c r="H155" s="239"/>
      <c r="I155" s="240"/>
      <c r="J155" s="241"/>
      <c r="K155" s="240"/>
      <c r="L155" s="241"/>
      <c r="M155" s="240"/>
      <c r="N155" s="241"/>
      <c r="O155" s="228"/>
      <c r="P155" s="229"/>
      <c r="Q155" s="228"/>
      <c r="R155" s="229"/>
      <c r="S155" s="667"/>
      <c r="T155" s="668"/>
      <c r="U155" s="667"/>
      <c r="V155" s="669"/>
      <c r="W155" s="205"/>
    </row>
    <row r="156" spans="1:28" ht="15.75" customHeight="1" x14ac:dyDescent="0.3">
      <c r="A156" s="20" t="str">
        <f t="shared" si="32"/>
        <v/>
      </c>
      <c r="B156" s="747"/>
      <c r="C156" s="750"/>
      <c r="D156" s="755"/>
      <c r="E156" s="727" t="s">
        <v>166</v>
      </c>
      <c r="F156" s="237"/>
      <c r="G156" s="238"/>
      <c r="H156" s="239"/>
      <c r="I156" s="240"/>
      <c r="J156" s="241"/>
      <c r="K156" s="240"/>
      <c r="L156" s="241"/>
      <c r="M156" s="240"/>
      <c r="N156" s="241"/>
      <c r="O156" s="228"/>
      <c r="P156" s="229"/>
      <c r="Q156" s="228"/>
      <c r="R156" s="229"/>
      <c r="S156" s="667"/>
      <c r="T156" s="668"/>
      <c r="U156" s="667"/>
      <c r="V156" s="669"/>
      <c r="W156" s="205"/>
    </row>
    <row r="157" spans="1:28" ht="15.75" customHeight="1" x14ac:dyDescent="0.3">
      <c r="A157" s="20" t="str">
        <f t="shared" si="32"/>
        <v/>
      </c>
      <c r="B157" s="747"/>
      <c r="C157" s="750"/>
      <c r="D157" s="755"/>
      <c r="E157" s="727" t="s">
        <v>166</v>
      </c>
      <c r="F157" s="237"/>
      <c r="G157" s="238"/>
      <c r="H157" s="239"/>
      <c r="I157" s="240"/>
      <c r="J157" s="241"/>
      <c r="K157" s="240"/>
      <c r="L157" s="241"/>
      <c r="M157" s="240"/>
      <c r="N157" s="241"/>
      <c r="O157" s="228"/>
      <c r="P157" s="229"/>
      <c r="Q157" s="228"/>
      <c r="R157" s="229"/>
      <c r="S157" s="667"/>
      <c r="T157" s="668"/>
      <c r="U157" s="667"/>
      <c r="V157" s="669"/>
      <c r="W157" s="205"/>
    </row>
    <row r="158" spans="1:28" ht="15.75" customHeight="1" x14ac:dyDescent="0.3">
      <c r="A158" s="20" t="str">
        <f t="shared" si="32"/>
        <v/>
      </c>
      <c r="B158" s="747"/>
      <c r="C158" s="750"/>
      <c r="D158" s="756"/>
      <c r="E158" s="728" t="s">
        <v>166</v>
      </c>
      <c r="F158" s="242"/>
      <c r="G158" s="243"/>
      <c r="H158" s="244"/>
      <c r="I158" s="245"/>
      <c r="J158" s="246"/>
      <c r="K158" s="245"/>
      <c r="L158" s="246"/>
      <c r="M158" s="245"/>
      <c r="N158" s="246"/>
      <c r="O158" s="230"/>
      <c r="P158" s="231"/>
      <c r="Q158" s="230"/>
      <c r="R158" s="231"/>
      <c r="S158" s="670"/>
      <c r="T158" s="671"/>
      <c r="U158" s="670"/>
      <c r="V158" s="672"/>
      <c r="W158" s="205"/>
    </row>
    <row r="159" spans="1:28" ht="16.2" thickBot="1" x14ac:dyDescent="0.35">
      <c r="A159" s="20" t="str">
        <f t="shared" si="32"/>
        <v>S</v>
      </c>
      <c r="B159" s="748"/>
      <c r="C159" s="751"/>
      <c r="D159" s="311" t="s">
        <v>138</v>
      </c>
      <c r="E159" s="388"/>
      <c r="F159" s="198"/>
      <c r="G159" s="199">
        <f>SUM(G135:G158)</f>
        <v>0</v>
      </c>
      <c r="H159" s="200">
        <f>SUM(H135:H158)</f>
        <v>0</v>
      </c>
      <c r="I159" s="9" t="e">
        <f t="shared" si="37"/>
        <v>#DIV/0!</v>
      </c>
      <c r="J159" s="203">
        <f>SUM(J135:J158)</f>
        <v>0</v>
      </c>
      <c r="K159" s="51" t="e">
        <f t="shared" si="34"/>
        <v>#DIV/0!</v>
      </c>
      <c r="L159" s="203">
        <f>SUM(L135:L158)</f>
        <v>0</v>
      </c>
      <c r="M159" s="9" t="e">
        <f t="shared" si="35"/>
        <v>#DIV/0!</v>
      </c>
      <c r="N159" s="203">
        <f t="shared" ref="N159:V159" si="38">SUM(N135:N158)</f>
        <v>0</v>
      </c>
      <c r="O159" s="129">
        <f t="shared" si="38"/>
        <v>0</v>
      </c>
      <c r="P159" s="130">
        <f t="shared" si="38"/>
        <v>0</v>
      </c>
      <c r="Q159" s="129">
        <f t="shared" si="38"/>
        <v>0</v>
      </c>
      <c r="R159" s="130">
        <f t="shared" si="38"/>
        <v>0</v>
      </c>
      <c r="S159" s="129">
        <f t="shared" si="38"/>
        <v>0</v>
      </c>
      <c r="T159" s="130">
        <f t="shared" si="38"/>
        <v>0</v>
      </c>
      <c r="U159" s="129">
        <f t="shared" si="38"/>
        <v>0</v>
      </c>
      <c r="V159" s="131">
        <f t="shared" si="38"/>
        <v>0</v>
      </c>
      <c r="W159" s="205" t="s">
        <v>206</v>
      </c>
    </row>
    <row r="160" spans="1:28" s="15" customFormat="1" ht="27.75" customHeight="1" thickBot="1" x14ac:dyDescent="0.35">
      <c r="A160" s="20" t="s">
        <v>106</v>
      </c>
      <c r="B160" s="102" t="s">
        <v>77</v>
      </c>
      <c r="C160" s="103"/>
      <c r="D160" s="103">
        <f>SUM(D66:D159)</f>
        <v>79</v>
      </c>
      <c r="E160" s="631" t="s">
        <v>79</v>
      </c>
      <c r="F160" s="372"/>
      <c r="G160" s="56">
        <f>G77+G85+G95+G109+G125+G134+G159</f>
        <v>0</v>
      </c>
      <c r="H160" s="35">
        <f>H77+H85+H95+H109+H125+H134+H159</f>
        <v>0</v>
      </c>
      <c r="I160" s="32" t="e">
        <f t="shared" si="37"/>
        <v>#DIV/0!</v>
      </c>
      <c r="J160" s="33">
        <f>J77+J85+J95+J109+J125+J134+J159</f>
        <v>0</v>
      </c>
      <c r="K160" s="32" t="e">
        <f t="shared" si="34"/>
        <v>#DIV/0!</v>
      </c>
      <c r="L160" s="33">
        <f>L77+L85+L95+L109+L125+L134+L159</f>
        <v>0</v>
      </c>
      <c r="M160" s="32" t="e">
        <f t="shared" si="35"/>
        <v>#DIV/0!</v>
      </c>
      <c r="N160" s="33">
        <f t="shared" ref="N160:V160" si="39">N77+N85+N95+N109+N125+N134+N159</f>
        <v>0</v>
      </c>
      <c r="O160" s="34">
        <f t="shared" si="39"/>
        <v>0</v>
      </c>
      <c r="P160" s="35">
        <f t="shared" si="39"/>
        <v>0</v>
      </c>
      <c r="Q160" s="34">
        <f t="shared" si="39"/>
        <v>0</v>
      </c>
      <c r="R160" s="35">
        <f t="shared" si="39"/>
        <v>0</v>
      </c>
      <c r="S160" s="34">
        <f t="shared" si="39"/>
        <v>0</v>
      </c>
      <c r="T160" s="35">
        <f t="shared" si="39"/>
        <v>0</v>
      </c>
      <c r="U160" s="34">
        <f t="shared" si="39"/>
        <v>0</v>
      </c>
      <c r="V160" s="36">
        <f t="shared" si="39"/>
        <v>0</v>
      </c>
      <c r="W160" s="205"/>
      <c r="X160" s="362"/>
      <c r="AB160" s="2"/>
    </row>
    <row r="161" spans="1:28" s="354" customFormat="1" ht="31.5" customHeight="1" thickBot="1" x14ac:dyDescent="0.35">
      <c r="A161" s="20" t="s">
        <v>106</v>
      </c>
      <c r="B161" s="345" t="s">
        <v>66</v>
      </c>
      <c r="C161" s="346"/>
      <c r="D161" s="346">
        <f>D160+D65</f>
        <v>119</v>
      </c>
      <c r="E161" s="632" t="s">
        <v>79</v>
      </c>
      <c r="F161" s="364"/>
      <c r="G161" s="347">
        <f>G65+G160</f>
        <v>0</v>
      </c>
      <c r="H161" s="348">
        <f>H65+H160</f>
        <v>0</v>
      </c>
      <c r="I161" s="349" t="e">
        <f t="shared" si="37"/>
        <v>#DIV/0!</v>
      </c>
      <c r="J161" s="350">
        <f>J65+J160</f>
        <v>0</v>
      </c>
      <c r="K161" s="349" t="e">
        <f t="shared" si="34"/>
        <v>#DIV/0!</v>
      </c>
      <c r="L161" s="350">
        <f>L65+L160</f>
        <v>0</v>
      </c>
      <c r="M161" s="349" t="e">
        <f t="shared" si="35"/>
        <v>#DIV/0!</v>
      </c>
      <c r="N161" s="350">
        <f t="shared" ref="N161:V161" si="40">N65+N160</f>
        <v>0</v>
      </c>
      <c r="O161" s="351">
        <f t="shared" si="40"/>
        <v>0</v>
      </c>
      <c r="P161" s="348">
        <f t="shared" si="40"/>
        <v>0</v>
      </c>
      <c r="Q161" s="351">
        <f t="shared" si="40"/>
        <v>0</v>
      </c>
      <c r="R161" s="348">
        <f t="shared" si="40"/>
        <v>0</v>
      </c>
      <c r="S161" s="351">
        <f t="shared" si="40"/>
        <v>0</v>
      </c>
      <c r="T161" s="348">
        <f t="shared" si="40"/>
        <v>0</v>
      </c>
      <c r="U161" s="351">
        <f t="shared" si="40"/>
        <v>0</v>
      </c>
      <c r="V161" s="352">
        <f t="shared" si="40"/>
        <v>0</v>
      </c>
      <c r="W161" s="205"/>
      <c r="X161" s="371"/>
      <c r="AB161" s="2"/>
    </row>
    <row r="162" spans="1:28" x14ac:dyDescent="0.3">
      <c r="A162" s="20" t="s">
        <v>106</v>
      </c>
      <c r="B162" s="5"/>
      <c r="C162" s="14"/>
      <c r="D162" s="14"/>
      <c r="E162" s="5"/>
      <c r="F162" s="14"/>
      <c r="G162" s="57"/>
      <c r="H162" s="57"/>
      <c r="I162" s="58"/>
      <c r="J162" s="58"/>
      <c r="K162" s="58"/>
      <c r="L162" s="58"/>
      <c r="M162" s="758" t="s">
        <v>68</v>
      </c>
      <c r="N162" s="758"/>
      <c r="O162" s="57"/>
      <c r="P162" s="57"/>
      <c r="Q162" s="57"/>
      <c r="R162" s="57"/>
      <c r="S162" s="57"/>
      <c r="T162" s="57"/>
      <c r="U162" s="57"/>
      <c r="V162" s="57"/>
      <c r="AB162" s="2" t="str">
        <f t="shared" ref="AB162" si="41">IF(G162&gt;0,$F162,"")</f>
        <v/>
      </c>
    </row>
    <row r="163" spans="1:28" x14ac:dyDescent="0.3">
      <c r="A163" s="20" t="s">
        <v>106</v>
      </c>
    </row>
    <row r="164" spans="1:28" x14ac:dyDescent="0.3">
      <c r="A164" s="20" t="s">
        <v>106</v>
      </c>
      <c r="E164" s="26" t="s">
        <v>205</v>
      </c>
      <c r="F164" s="389" t="s">
        <v>204</v>
      </c>
    </row>
    <row r="165" spans="1:28" x14ac:dyDescent="0.3">
      <c r="A165" s="20" t="s">
        <v>106</v>
      </c>
      <c r="E165" s="223" t="s">
        <v>60</v>
      </c>
      <c r="F165" s="714">
        <f>COUNTIF(AB$5:AB$153,$E164)</f>
        <v>0</v>
      </c>
    </row>
    <row r="166" spans="1:28" x14ac:dyDescent="0.3">
      <c r="A166" s="20" t="s">
        <v>106</v>
      </c>
      <c r="E166" s="1" t="s">
        <v>61</v>
      </c>
      <c r="F166" s="2">
        <f>COUNTIF(AB$5:AB$153,$E165)</f>
        <v>0</v>
      </c>
    </row>
    <row r="167" spans="1:28" ht="15" thickBot="1" x14ac:dyDescent="0.35">
      <c r="A167" s="20" t="s">
        <v>106</v>
      </c>
      <c r="E167" s="509" t="s">
        <v>62</v>
      </c>
      <c r="F167" s="510">
        <f>COUNTIF(AB$5:AB$153,$E166)</f>
        <v>0</v>
      </c>
    </row>
    <row r="168" spans="1:28" x14ac:dyDescent="0.3">
      <c r="A168" s="20" t="s">
        <v>106</v>
      </c>
      <c r="E168" s="511" t="s">
        <v>66</v>
      </c>
      <c r="F168" s="715">
        <f t="shared" ref="F168" si="42">SUM(F165:F167)</f>
        <v>0</v>
      </c>
    </row>
    <row r="169" spans="1:28" x14ac:dyDescent="0.3">
      <c r="E169" s="31"/>
    </row>
    <row r="170" spans="1:28" x14ac:dyDescent="0.3">
      <c r="E170" s="31"/>
    </row>
    <row r="171" spans="1:28" x14ac:dyDescent="0.3">
      <c r="E171" s="31"/>
    </row>
    <row r="172" spans="1:28" x14ac:dyDescent="0.3">
      <c r="E172" s="31"/>
    </row>
    <row r="175" spans="1:28" ht="15" customHeight="1" x14ac:dyDescent="0.3"/>
    <row r="176" spans="1:28" ht="15" customHeight="1" x14ac:dyDescent="0.3"/>
    <row r="177" spans="5:5" s="1" customFormat="1" ht="15" customHeight="1" x14ac:dyDescent="0.3"/>
    <row r="178" spans="5:5" s="1" customFormat="1" ht="15" customHeight="1" x14ac:dyDescent="0.3"/>
    <row r="179" spans="5:5" s="1" customFormat="1" ht="15" customHeight="1" x14ac:dyDescent="0.3"/>
    <row r="180" spans="5:5" s="1" customFormat="1" ht="15" customHeight="1" x14ac:dyDescent="0.3"/>
    <row r="181" spans="5:5" s="1" customFormat="1" ht="15" customHeight="1" x14ac:dyDescent="0.3"/>
    <row r="182" spans="5:5" s="1" customFormat="1" ht="15" customHeight="1" x14ac:dyDescent="0.3"/>
    <row r="183" spans="5:5" s="1" customFormat="1" ht="15" customHeight="1" x14ac:dyDescent="0.3"/>
    <row r="184" spans="5:5" s="1" customFormat="1" ht="15.75" customHeight="1" x14ac:dyDescent="0.3"/>
    <row r="185" spans="5:5" s="1" customFormat="1" ht="15.75" customHeight="1" x14ac:dyDescent="0.3">
      <c r="E185" s="31"/>
    </row>
    <row r="186" spans="5:5" s="1" customFormat="1" ht="15" customHeight="1" x14ac:dyDescent="0.3"/>
    <row r="187" spans="5:5" s="1" customFormat="1" ht="15" customHeight="1" x14ac:dyDescent="0.3">
      <c r="E187" s="31"/>
    </row>
    <row r="188" spans="5:5" s="1" customFormat="1" ht="15" customHeight="1" x14ac:dyDescent="0.3">
      <c r="E188" s="31"/>
    </row>
    <row r="189" spans="5:5" s="1" customFormat="1" ht="15" customHeight="1" x14ac:dyDescent="0.3"/>
    <row r="201" spans="5:5" s="1" customFormat="1" x14ac:dyDescent="0.3">
      <c r="E201" s="31"/>
    </row>
    <row r="203" spans="5:5" s="1" customFormat="1" x14ac:dyDescent="0.3">
      <c r="E203" s="31"/>
    </row>
    <row r="204" spans="5:5" s="1" customFormat="1" x14ac:dyDescent="0.3">
      <c r="E204" s="31"/>
    </row>
    <row r="217" spans="5:5" s="1" customFormat="1" x14ac:dyDescent="0.3">
      <c r="E217" s="31"/>
    </row>
    <row r="219" spans="5:5" s="1" customFormat="1" x14ac:dyDescent="0.3">
      <c r="E219" s="31"/>
    </row>
    <row r="220" spans="5:5" s="1" customFormat="1" x14ac:dyDescent="0.3">
      <c r="E220" s="31"/>
    </row>
    <row r="233" spans="5:5" s="1" customFormat="1" x14ac:dyDescent="0.3">
      <c r="E233" s="31"/>
    </row>
  </sheetData>
  <sheetProtection password="D0CE" sheet="1" objects="1" scenarios="1"/>
  <autoFilter ref="A1:V167" xr:uid="{00000000-0009-0000-0000-000005000000}"/>
  <mergeCells count="53">
    <mergeCell ref="Q2:R2"/>
    <mergeCell ref="S2:T2"/>
    <mergeCell ref="U2:V2"/>
    <mergeCell ref="B5:B8"/>
    <mergeCell ref="C5:C8"/>
    <mergeCell ref="I2:I4"/>
    <mergeCell ref="J2:J4"/>
    <mergeCell ref="K2:K4"/>
    <mergeCell ref="L2:L4"/>
    <mergeCell ref="M2:M4"/>
    <mergeCell ref="N2:N4"/>
    <mergeCell ref="B2:B4"/>
    <mergeCell ref="C2:C4"/>
    <mergeCell ref="D2:D4"/>
    <mergeCell ref="E2:E4"/>
    <mergeCell ref="F2:F4"/>
    <mergeCell ref="G2:H2"/>
    <mergeCell ref="O2:P2"/>
    <mergeCell ref="B9:B12"/>
    <mergeCell ref="C9:C12"/>
    <mergeCell ref="B13:B34"/>
    <mergeCell ref="C13:C34"/>
    <mergeCell ref="B35:B49"/>
    <mergeCell ref="C35:C49"/>
    <mergeCell ref="B78:B85"/>
    <mergeCell ref="C78:C85"/>
    <mergeCell ref="D78:D84"/>
    <mergeCell ref="B50:B64"/>
    <mergeCell ref="C50:C64"/>
    <mergeCell ref="B66:B77"/>
    <mergeCell ref="C66:C77"/>
    <mergeCell ref="M162:N162"/>
    <mergeCell ref="D5:D7"/>
    <mergeCell ref="D9:D11"/>
    <mergeCell ref="D13:D33"/>
    <mergeCell ref="D35:D48"/>
    <mergeCell ref="D50:D63"/>
    <mergeCell ref="D66:D76"/>
    <mergeCell ref="D126:D133"/>
    <mergeCell ref="D96:D108"/>
    <mergeCell ref="D110:D124"/>
    <mergeCell ref="B135:B159"/>
    <mergeCell ref="C135:C159"/>
    <mergeCell ref="C86:C95"/>
    <mergeCell ref="B86:B95"/>
    <mergeCell ref="D135:D158"/>
    <mergeCell ref="D86:D94"/>
    <mergeCell ref="B126:B134"/>
    <mergeCell ref="C126:C134"/>
    <mergeCell ref="B96:B109"/>
    <mergeCell ref="C96:C109"/>
    <mergeCell ref="B110:B125"/>
    <mergeCell ref="C110:C125"/>
  </mergeCells>
  <conditionalFormatting sqref="E5:F159">
    <cfRule type="expression" dxfId="28" priority="1">
      <formula>$G5=""</formula>
    </cfRule>
  </conditionalFormatting>
  <conditionalFormatting sqref="G50:R63">
    <cfRule type="expression" dxfId="27" priority="2" stopIfTrue="1">
      <formula>$G50=""</formula>
    </cfRule>
  </conditionalFormatting>
  <pageMargins left="0.23622047244094491" right="0.23622047244094491" top="0.35433070866141736" bottom="0.15748031496062992" header="0.31496062992125984" footer="0.31496062992125984"/>
  <pageSetup paperSize="8" scale="43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AB233"/>
  <sheetViews>
    <sheetView view="pageBreakPreview" zoomScale="90" zoomScaleNormal="55" zoomScaleSheetLayoutView="90" workbookViewId="0">
      <pane xSplit="6" ySplit="4" topLeftCell="G5" activePane="bottomRight" state="frozen"/>
      <selection activeCell="B2" sqref="B2:B4"/>
      <selection pane="topRight" activeCell="B2" sqref="B2:B4"/>
      <selection pane="bottomLeft" activeCell="B2" sqref="B2:B4"/>
      <selection pane="bottomRight" activeCell="B2" sqref="B2:B4"/>
    </sheetView>
  </sheetViews>
  <sheetFormatPr baseColWidth="10" defaultColWidth="11.44140625" defaultRowHeight="14.4" x14ac:dyDescent="0.3"/>
  <cols>
    <col min="1" max="1" width="3" style="20" customWidth="1"/>
    <col min="2" max="2" width="33.6640625" style="1" customWidth="1"/>
    <col min="3" max="3" width="11.5546875" style="2" customWidth="1"/>
    <col min="4" max="4" width="8.44140625" style="2" customWidth="1"/>
    <col min="5" max="5" width="44.88671875" style="1" customWidth="1"/>
    <col min="6" max="6" width="11.109375" style="2" customWidth="1"/>
    <col min="7" max="7" width="11.44140625" style="2"/>
    <col min="8" max="8" width="11.44140625" style="2" customWidth="1"/>
    <col min="9" max="9" width="11.44140625" style="3" customWidth="1"/>
    <col min="10" max="10" width="11.44140625" style="4" customWidth="1"/>
    <col min="11" max="11" width="11.44140625" style="3" customWidth="1"/>
    <col min="12" max="12" width="11.44140625" style="4" customWidth="1"/>
    <col min="13" max="13" width="11.44140625" style="3" customWidth="1"/>
    <col min="14" max="14" width="11.44140625" style="4" customWidth="1"/>
    <col min="15" max="22" width="7.5546875" style="2" customWidth="1"/>
    <col min="23" max="23" width="5.33203125" style="2" customWidth="1"/>
    <col min="24" max="25" width="11.44140625" style="1"/>
    <col min="26" max="27" width="11.44140625" style="1" customWidth="1"/>
    <col min="28" max="28" width="0" style="2" hidden="1" customWidth="1"/>
    <col min="29" max="16384" width="11.44140625" style="1"/>
  </cols>
  <sheetData>
    <row r="1" spans="1:28" s="20" customFormat="1" ht="17.25" customHeight="1" thickBot="1" x14ac:dyDescent="0.35">
      <c r="C1" s="23"/>
      <c r="D1" s="23"/>
      <c r="E1" s="23">
        <v>7</v>
      </c>
      <c r="F1" s="23"/>
      <c r="G1" s="23"/>
      <c r="H1" s="23"/>
      <c r="I1" s="24"/>
      <c r="J1" s="25"/>
      <c r="K1" s="24"/>
      <c r="L1" s="25"/>
      <c r="M1" s="24"/>
      <c r="N1" s="25"/>
      <c r="O1" s="23"/>
      <c r="P1" s="23"/>
      <c r="Q1" s="23"/>
      <c r="R1" s="23"/>
      <c r="S1" s="23"/>
      <c r="T1" s="23"/>
      <c r="U1" s="23"/>
      <c r="V1" s="23"/>
      <c r="W1" s="23"/>
      <c r="AB1" s="23"/>
    </row>
    <row r="2" spans="1:28" s="6" customFormat="1" ht="30" customHeight="1" thickBot="1" x14ac:dyDescent="0.35">
      <c r="A2" s="21" t="s">
        <v>106</v>
      </c>
      <c r="B2" s="769" t="s">
        <v>53</v>
      </c>
      <c r="C2" s="772" t="s">
        <v>74</v>
      </c>
      <c r="D2" s="772" t="s">
        <v>69</v>
      </c>
      <c r="E2" s="765" t="s">
        <v>79</v>
      </c>
      <c r="F2" s="761" t="s">
        <v>59</v>
      </c>
      <c r="G2" s="786" t="s">
        <v>54</v>
      </c>
      <c r="H2" s="771"/>
      <c r="I2" s="787" t="s">
        <v>55</v>
      </c>
      <c r="J2" s="764" t="s">
        <v>63</v>
      </c>
      <c r="K2" s="787" t="s">
        <v>56</v>
      </c>
      <c r="L2" s="764" t="s">
        <v>65</v>
      </c>
      <c r="M2" s="787" t="s">
        <v>57</v>
      </c>
      <c r="N2" s="764" t="s">
        <v>64</v>
      </c>
      <c r="O2" s="770" t="s">
        <v>39</v>
      </c>
      <c r="P2" s="771"/>
      <c r="Q2" s="770" t="s">
        <v>40</v>
      </c>
      <c r="R2" s="771"/>
      <c r="S2" s="770" t="s">
        <v>41</v>
      </c>
      <c r="T2" s="771"/>
      <c r="U2" s="761" t="s">
        <v>42</v>
      </c>
      <c r="V2" s="785"/>
      <c r="W2" s="204"/>
      <c r="AB2" s="462"/>
    </row>
    <row r="3" spans="1:28" s="6" customFormat="1" ht="30" customHeight="1" thickBot="1" x14ac:dyDescent="0.35">
      <c r="A3" s="21" t="s">
        <v>106</v>
      </c>
      <c r="B3" s="769"/>
      <c r="C3" s="772"/>
      <c r="D3" s="772"/>
      <c r="E3" s="765"/>
      <c r="F3" s="762"/>
      <c r="G3" s="108"/>
      <c r="H3" s="105"/>
      <c r="I3" s="787"/>
      <c r="J3" s="764"/>
      <c r="K3" s="787"/>
      <c r="L3" s="764"/>
      <c r="M3" s="787"/>
      <c r="N3" s="764"/>
      <c r="O3" s="104"/>
      <c r="P3" s="105"/>
      <c r="Q3" s="104"/>
      <c r="R3" s="105"/>
      <c r="S3" s="104"/>
      <c r="T3" s="105"/>
      <c r="U3" s="106"/>
      <c r="V3" s="107"/>
      <c r="W3" s="204"/>
      <c r="AB3" s="462"/>
    </row>
    <row r="4" spans="1:28" s="6" customFormat="1" ht="30" customHeight="1" thickBot="1" x14ac:dyDescent="0.35">
      <c r="A4" s="21" t="s">
        <v>106</v>
      </c>
      <c r="B4" s="769"/>
      <c r="C4" s="772"/>
      <c r="D4" s="772"/>
      <c r="E4" s="765"/>
      <c r="F4" s="763"/>
      <c r="G4" s="10" t="s">
        <v>43</v>
      </c>
      <c r="H4" s="11" t="s">
        <v>44</v>
      </c>
      <c r="I4" s="787"/>
      <c r="J4" s="764"/>
      <c r="K4" s="787"/>
      <c r="L4" s="764"/>
      <c r="M4" s="787"/>
      <c r="N4" s="764"/>
      <c r="O4" s="12" t="s">
        <v>43</v>
      </c>
      <c r="P4" s="11" t="s">
        <v>44</v>
      </c>
      <c r="Q4" s="12" t="s">
        <v>43</v>
      </c>
      <c r="R4" s="11" t="s">
        <v>44</v>
      </c>
      <c r="S4" s="12" t="s">
        <v>43</v>
      </c>
      <c r="T4" s="11" t="s">
        <v>44</v>
      </c>
      <c r="U4" s="12" t="s">
        <v>43</v>
      </c>
      <c r="V4" s="13" t="s">
        <v>44</v>
      </c>
      <c r="W4" s="204"/>
      <c r="AB4" s="462">
        <v>2020</v>
      </c>
    </row>
    <row r="5" spans="1:28" ht="15.75" customHeight="1" x14ac:dyDescent="0.3">
      <c r="A5" s="20" t="str">
        <f t="shared" ref="A5:A49" si="0">IF(D5="Sous-total","S",IF(G5="","","X"))</f>
        <v/>
      </c>
      <c r="B5" s="778" t="s">
        <v>70</v>
      </c>
      <c r="C5" s="781" t="s">
        <v>75</v>
      </c>
      <c r="D5" s="766">
        <v>2</v>
      </c>
      <c r="E5" s="573" t="s">
        <v>71</v>
      </c>
      <c r="F5" s="576" t="s">
        <v>60</v>
      </c>
      <c r="G5" s="691"/>
      <c r="H5" s="692"/>
      <c r="I5" s="467" t="str">
        <f t="shared" ref="I5:I45" si="1">IF(J5="","",J5/G5)</f>
        <v/>
      </c>
      <c r="J5" s="693"/>
      <c r="K5" s="466" t="str">
        <f t="shared" ref="K5:K49" si="2">IF(L5="","",L5/G5)</f>
        <v/>
      </c>
      <c r="L5" s="693"/>
      <c r="M5" s="466" t="str">
        <f t="shared" ref="M5:M49" si="3">IF(N5="","",N5/L5)</f>
        <v/>
      </c>
      <c r="N5" s="693"/>
      <c r="O5" s="694"/>
      <c r="P5" s="695"/>
      <c r="Q5" s="694"/>
      <c r="R5" s="695"/>
      <c r="S5" s="696" t="s">
        <v>21</v>
      </c>
      <c r="T5" s="697" t="s">
        <v>21</v>
      </c>
      <c r="U5" s="696" t="s">
        <v>21</v>
      </c>
      <c r="V5" s="698" t="s">
        <v>21</v>
      </c>
      <c r="W5" s="205"/>
      <c r="AB5" s="2" t="str">
        <f>IF(G5&lt;&gt;"",$F5,"")</f>
        <v/>
      </c>
    </row>
    <row r="6" spans="1:28" ht="15.75" customHeight="1" x14ac:dyDescent="0.3">
      <c r="A6" s="20" t="str">
        <f t="shared" si="0"/>
        <v/>
      </c>
      <c r="B6" s="779"/>
      <c r="C6" s="782"/>
      <c r="D6" s="757"/>
      <c r="E6" s="727" t="s">
        <v>166</v>
      </c>
      <c r="F6" s="237"/>
      <c r="G6" s="238"/>
      <c r="H6" s="239"/>
      <c r="I6" s="686"/>
      <c r="J6" s="241"/>
      <c r="K6" s="240"/>
      <c r="L6" s="241"/>
      <c r="M6" s="240"/>
      <c r="N6" s="241"/>
      <c r="O6" s="228"/>
      <c r="P6" s="229"/>
      <c r="Q6" s="228"/>
      <c r="R6" s="229"/>
      <c r="S6" s="667" t="s">
        <v>21</v>
      </c>
      <c r="T6" s="668" t="s">
        <v>21</v>
      </c>
      <c r="U6" s="667" t="s">
        <v>21</v>
      </c>
      <c r="V6" s="669" t="s">
        <v>21</v>
      </c>
      <c r="W6" s="205"/>
    </row>
    <row r="7" spans="1:28" ht="15.75" customHeight="1" x14ac:dyDescent="0.3">
      <c r="A7" s="20" t="str">
        <f t="shared" si="0"/>
        <v/>
      </c>
      <c r="B7" s="779"/>
      <c r="C7" s="782"/>
      <c r="D7" s="757"/>
      <c r="E7" s="728" t="s">
        <v>166</v>
      </c>
      <c r="F7" s="242"/>
      <c r="G7" s="243"/>
      <c r="H7" s="244"/>
      <c r="I7" s="687"/>
      <c r="J7" s="246"/>
      <c r="K7" s="245"/>
      <c r="L7" s="246"/>
      <c r="M7" s="245"/>
      <c r="N7" s="246"/>
      <c r="O7" s="230"/>
      <c r="P7" s="231"/>
      <c r="Q7" s="230"/>
      <c r="R7" s="231"/>
      <c r="S7" s="670" t="s">
        <v>21</v>
      </c>
      <c r="T7" s="671" t="s">
        <v>21</v>
      </c>
      <c r="U7" s="670" t="s">
        <v>21</v>
      </c>
      <c r="V7" s="672" t="s">
        <v>21</v>
      </c>
      <c r="W7" s="205"/>
    </row>
    <row r="8" spans="1:28" ht="15.6" x14ac:dyDescent="0.3">
      <c r="A8" s="20" t="str">
        <f t="shared" si="0"/>
        <v>S</v>
      </c>
      <c r="B8" s="779"/>
      <c r="C8" s="783"/>
      <c r="D8" s="309" t="s">
        <v>138</v>
      </c>
      <c r="E8" s="717"/>
      <c r="F8" s="16"/>
      <c r="G8" s="251">
        <f>SUM(G5:G7)</f>
        <v>0</v>
      </c>
      <c r="H8" s="119">
        <f>SUM(H5:H7)</f>
        <v>0</v>
      </c>
      <c r="I8" s="9" t="e">
        <f t="shared" si="1"/>
        <v>#DIV/0!</v>
      </c>
      <c r="J8" s="202">
        <f>SUM(J5:J7)</f>
        <v>0</v>
      </c>
      <c r="K8" s="9" t="e">
        <f t="shared" si="2"/>
        <v>#DIV/0!</v>
      </c>
      <c r="L8" s="202">
        <f>SUM(L5:L7)</f>
        <v>0</v>
      </c>
      <c r="M8" s="9" t="e">
        <f t="shared" si="3"/>
        <v>#DIV/0!</v>
      </c>
      <c r="N8" s="202">
        <f t="shared" ref="N8:V8" si="4">SUM(N5:N7)</f>
        <v>0</v>
      </c>
      <c r="O8" s="118">
        <f t="shared" si="4"/>
        <v>0</v>
      </c>
      <c r="P8" s="119">
        <f t="shared" si="4"/>
        <v>0</v>
      </c>
      <c r="Q8" s="118">
        <f t="shared" si="4"/>
        <v>0</v>
      </c>
      <c r="R8" s="119">
        <f t="shared" si="4"/>
        <v>0</v>
      </c>
      <c r="S8" s="118">
        <f t="shared" si="4"/>
        <v>0</v>
      </c>
      <c r="T8" s="119">
        <f t="shared" si="4"/>
        <v>0</v>
      </c>
      <c r="U8" s="118">
        <f t="shared" si="4"/>
        <v>0</v>
      </c>
      <c r="V8" s="120">
        <f t="shared" si="4"/>
        <v>0</v>
      </c>
      <c r="W8" s="205"/>
    </row>
    <row r="9" spans="1:28" ht="15.75" customHeight="1" x14ac:dyDescent="0.3">
      <c r="A9" s="20" t="str">
        <f t="shared" si="0"/>
        <v/>
      </c>
      <c r="B9" s="779" t="s">
        <v>163</v>
      </c>
      <c r="C9" s="782" t="s">
        <v>75</v>
      </c>
      <c r="D9" s="757"/>
      <c r="E9" s="719" t="s">
        <v>164</v>
      </c>
      <c r="F9" s="232" t="s">
        <v>60</v>
      </c>
      <c r="G9" s="233"/>
      <c r="H9" s="234"/>
      <c r="I9" s="411" t="str">
        <f t="shared" si="1"/>
        <v/>
      </c>
      <c r="J9" s="236"/>
      <c r="K9" s="235" t="str">
        <f t="shared" si="2"/>
        <v/>
      </c>
      <c r="L9" s="236"/>
      <c r="M9" s="235" t="str">
        <f t="shared" si="3"/>
        <v/>
      </c>
      <c r="N9" s="236"/>
      <c r="O9" s="226"/>
      <c r="P9" s="227"/>
      <c r="Q9" s="226"/>
      <c r="R9" s="227"/>
      <c r="S9" s="664" t="s">
        <v>21</v>
      </c>
      <c r="T9" s="665" t="s">
        <v>21</v>
      </c>
      <c r="U9" s="664" t="s">
        <v>21</v>
      </c>
      <c r="V9" s="666" t="s">
        <v>21</v>
      </c>
      <c r="W9" s="205" t="s">
        <v>206</v>
      </c>
      <c r="AB9" s="2" t="str">
        <f t="shared" ref="AB9:AB89" si="5">IF(G9&lt;&gt;"",$F9,"")</f>
        <v/>
      </c>
    </row>
    <row r="10" spans="1:28" ht="15.75" customHeight="1" x14ac:dyDescent="0.3">
      <c r="A10" s="20" t="str">
        <f t="shared" si="0"/>
        <v/>
      </c>
      <c r="B10" s="779"/>
      <c r="C10" s="782"/>
      <c r="D10" s="757"/>
      <c r="E10" s="577"/>
      <c r="F10" s="237"/>
      <c r="G10" s="238"/>
      <c r="H10" s="239"/>
      <c r="I10" s="686"/>
      <c r="J10" s="241"/>
      <c r="K10" s="240"/>
      <c r="L10" s="241"/>
      <c r="M10" s="240"/>
      <c r="N10" s="241"/>
      <c r="O10" s="228"/>
      <c r="P10" s="229"/>
      <c r="Q10" s="228"/>
      <c r="R10" s="229"/>
      <c r="S10" s="667" t="s">
        <v>21</v>
      </c>
      <c r="T10" s="668" t="s">
        <v>21</v>
      </c>
      <c r="U10" s="667" t="s">
        <v>21</v>
      </c>
      <c r="V10" s="669" t="s">
        <v>21</v>
      </c>
      <c r="W10" s="205"/>
    </row>
    <row r="11" spans="1:28" ht="15.75" customHeight="1" x14ac:dyDescent="0.3">
      <c r="A11" s="20" t="str">
        <f t="shared" si="0"/>
        <v/>
      </c>
      <c r="B11" s="779"/>
      <c r="C11" s="782"/>
      <c r="D11" s="757"/>
      <c r="E11" s="723"/>
      <c r="F11" s="242"/>
      <c r="G11" s="243"/>
      <c r="H11" s="244"/>
      <c r="I11" s="687"/>
      <c r="J11" s="246"/>
      <c r="K11" s="245"/>
      <c r="L11" s="246"/>
      <c r="M11" s="245"/>
      <c r="N11" s="246"/>
      <c r="O11" s="230"/>
      <c r="P11" s="231"/>
      <c r="Q11" s="230"/>
      <c r="R11" s="231"/>
      <c r="S11" s="670" t="s">
        <v>21</v>
      </c>
      <c r="T11" s="671" t="s">
        <v>21</v>
      </c>
      <c r="U11" s="670" t="s">
        <v>21</v>
      </c>
      <c r="V11" s="672" t="s">
        <v>21</v>
      </c>
      <c r="W11" s="205"/>
    </row>
    <row r="12" spans="1:28" ht="15.6" x14ac:dyDescent="0.3">
      <c r="A12" s="20" t="str">
        <f t="shared" si="0"/>
        <v>S</v>
      </c>
      <c r="B12" s="780"/>
      <c r="C12" s="783"/>
      <c r="D12" s="309" t="s">
        <v>138</v>
      </c>
      <c r="E12" s="717"/>
      <c r="F12" s="16"/>
      <c r="G12" s="251">
        <f>SUM(G9:G11)</f>
        <v>0</v>
      </c>
      <c r="H12" s="119">
        <f>SUM(H9:H11)</f>
        <v>0</v>
      </c>
      <c r="I12" s="9" t="e">
        <f t="shared" ref="I12" si="6">IF(J12="","",J12/G12)</f>
        <v>#DIV/0!</v>
      </c>
      <c r="J12" s="202">
        <f>SUM(J9:J11)</f>
        <v>0</v>
      </c>
      <c r="K12" s="9" t="e">
        <f t="shared" ref="K12" si="7">IF(L12="","",L12/G12)</f>
        <v>#DIV/0!</v>
      </c>
      <c r="L12" s="202">
        <f>SUM(L9:L11)</f>
        <v>0</v>
      </c>
      <c r="M12" s="9" t="e">
        <f t="shared" ref="M12" si="8">IF(N12="","",N12/L12)</f>
        <v>#DIV/0!</v>
      </c>
      <c r="N12" s="202">
        <f t="shared" ref="N12" si="9">SUM(N9:N11)</f>
        <v>0</v>
      </c>
      <c r="O12" s="118">
        <f t="shared" ref="O12" si="10">SUM(O9:O11)</f>
        <v>0</v>
      </c>
      <c r="P12" s="119">
        <f t="shared" ref="P12" si="11">SUM(P9:P11)</f>
        <v>0</v>
      </c>
      <c r="Q12" s="118">
        <f t="shared" ref="Q12" si="12">SUM(Q9:Q11)</f>
        <v>0</v>
      </c>
      <c r="R12" s="119">
        <f t="shared" ref="R12" si="13">SUM(R9:R11)</f>
        <v>0</v>
      </c>
      <c r="S12" s="118">
        <f t="shared" ref="S12" si="14">SUM(S9:S11)</f>
        <v>0</v>
      </c>
      <c r="T12" s="119">
        <f t="shared" ref="T12" si="15">SUM(T9:T11)</f>
        <v>0</v>
      </c>
      <c r="U12" s="118">
        <f t="shared" ref="U12" si="16">SUM(U9:U11)</f>
        <v>0</v>
      </c>
      <c r="V12" s="120">
        <f t="shared" ref="V12" si="17">SUM(V9:V11)</f>
        <v>0</v>
      </c>
      <c r="W12" s="205" t="s">
        <v>206</v>
      </c>
    </row>
    <row r="13" spans="1:28" ht="15" customHeight="1" x14ac:dyDescent="0.3">
      <c r="A13" s="20" t="str">
        <f t="shared" si="0"/>
        <v/>
      </c>
      <c r="B13" s="773" t="s">
        <v>168</v>
      </c>
      <c r="C13" s="775" t="s">
        <v>75</v>
      </c>
      <c r="D13" s="767">
        <v>18</v>
      </c>
      <c r="E13" s="719" t="s">
        <v>182</v>
      </c>
      <c r="F13" s="232" t="s">
        <v>60</v>
      </c>
      <c r="G13" s="702"/>
      <c r="H13" s="703"/>
      <c r="I13" s="411" t="str">
        <f t="shared" si="1"/>
        <v/>
      </c>
      <c r="J13" s="704"/>
      <c r="K13" s="235" t="str">
        <f t="shared" si="2"/>
        <v/>
      </c>
      <c r="L13" s="704"/>
      <c r="M13" s="235" t="str">
        <f t="shared" si="3"/>
        <v/>
      </c>
      <c r="N13" s="236"/>
      <c r="O13" s="226"/>
      <c r="P13" s="227"/>
      <c r="Q13" s="226"/>
      <c r="R13" s="227"/>
      <c r="S13" s="664"/>
      <c r="T13" s="665"/>
      <c r="U13" s="664"/>
      <c r="V13" s="666"/>
      <c r="W13" s="205" t="s">
        <v>206</v>
      </c>
      <c r="AB13" s="2" t="str">
        <f t="shared" si="5"/>
        <v/>
      </c>
    </row>
    <row r="14" spans="1:28" ht="15" customHeight="1" x14ac:dyDescent="0.3">
      <c r="A14" s="20" t="str">
        <f t="shared" si="0"/>
        <v/>
      </c>
      <c r="B14" s="773"/>
      <c r="C14" s="775"/>
      <c r="D14" s="767"/>
      <c r="E14" s="577" t="s">
        <v>183</v>
      </c>
      <c r="F14" s="237" t="s">
        <v>60</v>
      </c>
      <c r="G14" s="688"/>
      <c r="H14" s="689"/>
      <c r="I14" s="420" t="str">
        <f t="shared" si="1"/>
        <v/>
      </c>
      <c r="J14" s="690"/>
      <c r="K14" s="240" t="str">
        <f t="shared" si="2"/>
        <v/>
      </c>
      <c r="L14" s="690"/>
      <c r="M14" s="240" t="str">
        <f t="shared" si="3"/>
        <v/>
      </c>
      <c r="N14" s="241"/>
      <c r="O14" s="228"/>
      <c r="P14" s="229"/>
      <c r="Q14" s="228"/>
      <c r="R14" s="229"/>
      <c r="S14" s="667"/>
      <c r="T14" s="668"/>
      <c r="U14" s="667"/>
      <c r="V14" s="669"/>
      <c r="W14" s="205" t="s">
        <v>206</v>
      </c>
      <c r="AB14" s="2" t="str">
        <f t="shared" si="5"/>
        <v/>
      </c>
    </row>
    <row r="15" spans="1:28" ht="15" customHeight="1" x14ac:dyDescent="0.3">
      <c r="A15" s="20" t="str">
        <f t="shared" si="0"/>
        <v/>
      </c>
      <c r="B15" s="773"/>
      <c r="C15" s="775"/>
      <c r="D15" s="767"/>
      <c r="E15" s="577" t="s">
        <v>184</v>
      </c>
      <c r="F15" s="237" t="s">
        <v>60</v>
      </c>
      <c r="G15" s="688"/>
      <c r="H15" s="689"/>
      <c r="I15" s="420" t="str">
        <f t="shared" si="1"/>
        <v/>
      </c>
      <c r="J15" s="690"/>
      <c r="K15" s="240" t="str">
        <f t="shared" si="2"/>
        <v/>
      </c>
      <c r="L15" s="690"/>
      <c r="M15" s="240" t="str">
        <f t="shared" si="3"/>
        <v/>
      </c>
      <c r="N15" s="241"/>
      <c r="O15" s="228"/>
      <c r="P15" s="229"/>
      <c r="Q15" s="228"/>
      <c r="R15" s="229"/>
      <c r="S15" s="667"/>
      <c r="T15" s="668"/>
      <c r="U15" s="667"/>
      <c r="V15" s="669"/>
      <c r="W15" s="205" t="s">
        <v>206</v>
      </c>
      <c r="AB15" s="2" t="str">
        <f t="shared" si="5"/>
        <v/>
      </c>
    </row>
    <row r="16" spans="1:28" ht="15" customHeight="1" x14ac:dyDescent="0.3">
      <c r="A16" s="20" t="str">
        <f t="shared" si="0"/>
        <v/>
      </c>
      <c r="B16" s="773"/>
      <c r="C16" s="775"/>
      <c r="D16" s="767"/>
      <c r="E16" s="577" t="s">
        <v>185</v>
      </c>
      <c r="F16" s="237" t="s">
        <v>60</v>
      </c>
      <c r="G16" s="688"/>
      <c r="H16" s="689"/>
      <c r="I16" s="420" t="str">
        <f t="shared" si="1"/>
        <v/>
      </c>
      <c r="J16" s="690"/>
      <c r="K16" s="240" t="str">
        <f t="shared" si="2"/>
        <v/>
      </c>
      <c r="L16" s="690"/>
      <c r="M16" s="240" t="str">
        <f t="shared" si="3"/>
        <v/>
      </c>
      <c r="N16" s="241"/>
      <c r="O16" s="228"/>
      <c r="P16" s="229"/>
      <c r="Q16" s="228"/>
      <c r="R16" s="229"/>
      <c r="S16" s="667"/>
      <c r="T16" s="668"/>
      <c r="U16" s="667"/>
      <c r="V16" s="669"/>
      <c r="W16" s="205" t="s">
        <v>206</v>
      </c>
      <c r="AB16" s="2" t="str">
        <f t="shared" si="5"/>
        <v/>
      </c>
    </row>
    <row r="17" spans="1:28" ht="15" customHeight="1" x14ac:dyDescent="0.3">
      <c r="A17" s="20" t="str">
        <f t="shared" si="0"/>
        <v/>
      </c>
      <c r="B17" s="773"/>
      <c r="C17" s="775"/>
      <c r="D17" s="767"/>
      <c r="E17" s="577" t="s">
        <v>186</v>
      </c>
      <c r="F17" s="237" t="s">
        <v>60</v>
      </c>
      <c r="G17" s="688"/>
      <c r="H17" s="689"/>
      <c r="I17" s="420" t="str">
        <f t="shared" si="1"/>
        <v/>
      </c>
      <c r="J17" s="690"/>
      <c r="K17" s="240" t="str">
        <f t="shared" si="2"/>
        <v/>
      </c>
      <c r="L17" s="690"/>
      <c r="M17" s="240" t="str">
        <f t="shared" si="3"/>
        <v/>
      </c>
      <c r="N17" s="241"/>
      <c r="O17" s="228"/>
      <c r="P17" s="229"/>
      <c r="Q17" s="228"/>
      <c r="R17" s="229"/>
      <c r="S17" s="667"/>
      <c r="T17" s="668"/>
      <c r="U17" s="667"/>
      <c r="V17" s="669"/>
      <c r="W17" s="205" t="s">
        <v>206</v>
      </c>
      <c r="AB17" s="2" t="str">
        <f t="shared" si="5"/>
        <v/>
      </c>
    </row>
    <row r="18" spans="1:28" ht="15" customHeight="1" x14ac:dyDescent="0.3">
      <c r="A18" s="20" t="str">
        <f t="shared" si="0"/>
        <v/>
      </c>
      <c r="B18" s="773"/>
      <c r="C18" s="775"/>
      <c r="D18" s="767"/>
      <c r="E18" s="577" t="s">
        <v>187</v>
      </c>
      <c r="F18" s="237" t="s">
        <v>62</v>
      </c>
      <c r="G18" s="688"/>
      <c r="H18" s="689"/>
      <c r="I18" s="420" t="str">
        <f t="shared" si="1"/>
        <v/>
      </c>
      <c r="J18" s="690"/>
      <c r="K18" s="240" t="str">
        <f t="shared" si="2"/>
        <v/>
      </c>
      <c r="L18" s="690"/>
      <c r="M18" s="240" t="str">
        <f t="shared" si="3"/>
        <v/>
      </c>
      <c r="N18" s="241"/>
      <c r="O18" s="228"/>
      <c r="P18" s="229"/>
      <c r="Q18" s="228"/>
      <c r="R18" s="229"/>
      <c r="S18" s="287"/>
      <c r="T18" s="288"/>
      <c r="U18" s="287"/>
      <c r="V18" s="289"/>
      <c r="W18" s="205" t="s">
        <v>206</v>
      </c>
      <c r="AB18" s="2" t="str">
        <f t="shared" si="5"/>
        <v/>
      </c>
    </row>
    <row r="19" spans="1:28" ht="15" customHeight="1" x14ac:dyDescent="0.3">
      <c r="A19" s="20" t="str">
        <f t="shared" si="0"/>
        <v/>
      </c>
      <c r="B19" s="773"/>
      <c r="C19" s="775"/>
      <c r="D19" s="767"/>
      <c r="E19" s="577" t="s">
        <v>188</v>
      </c>
      <c r="F19" s="237" t="s">
        <v>60</v>
      </c>
      <c r="G19" s="688"/>
      <c r="H19" s="689"/>
      <c r="I19" s="420" t="str">
        <f t="shared" si="1"/>
        <v/>
      </c>
      <c r="J19" s="690"/>
      <c r="K19" s="240" t="str">
        <f t="shared" si="2"/>
        <v/>
      </c>
      <c r="L19" s="690"/>
      <c r="M19" s="240" t="str">
        <f t="shared" si="3"/>
        <v/>
      </c>
      <c r="N19" s="241"/>
      <c r="O19" s="228"/>
      <c r="P19" s="229"/>
      <c r="Q19" s="228"/>
      <c r="R19" s="229"/>
      <c r="S19" s="667"/>
      <c r="T19" s="668"/>
      <c r="U19" s="667"/>
      <c r="V19" s="669"/>
      <c r="W19" s="205" t="s">
        <v>206</v>
      </c>
      <c r="AB19" s="2" t="str">
        <f t="shared" si="5"/>
        <v/>
      </c>
    </row>
    <row r="20" spans="1:28" ht="15" customHeight="1" x14ac:dyDescent="0.3">
      <c r="A20" s="20" t="str">
        <f t="shared" si="0"/>
        <v/>
      </c>
      <c r="B20" s="773"/>
      <c r="C20" s="775"/>
      <c r="D20" s="767"/>
      <c r="E20" s="577" t="s">
        <v>189</v>
      </c>
      <c r="F20" s="237" t="s">
        <v>60</v>
      </c>
      <c r="G20" s="688"/>
      <c r="H20" s="689"/>
      <c r="I20" s="420" t="str">
        <f t="shared" si="1"/>
        <v/>
      </c>
      <c r="J20" s="690"/>
      <c r="K20" s="240" t="str">
        <f t="shared" si="2"/>
        <v/>
      </c>
      <c r="L20" s="690"/>
      <c r="M20" s="240" t="str">
        <f t="shared" si="3"/>
        <v/>
      </c>
      <c r="N20" s="241"/>
      <c r="O20" s="228"/>
      <c r="P20" s="229"/>
      <c r="Q20" s="228"/>
      <c r="R20" s="229"/>
      <c r="S20" s="667"/>
      <c r="T20" s="668"/>
      <c r="U20" s="667"/>
      <c r="V20" s="669"/>
      <c r="W20" s="205" t="s">
        <v>206</v>
      </c>
      <c r="AB20" s="2" t="str">
        <f t="shared" si="5"/>
        <v/>
      </c>
    </row>
    <row r="21" spans="1:28" ht="15" customHeight="1" x14ac:dyDescent="0.3">
      <c r="A21" s="20" t="str">
        <f t="shared" si="0"/>
        <v/>
      </c>
      <c r="B21" s="773"/>
      <c r="C21" s="775"/>
      <c r="D21" s="767"/>
      <c r="E21" s="577" t="s">
        <v>190</v>
      </c>
      <c r="F21" s="237" t="s">
        <v>60</v>
      </c>
      <c r="G21" s="688"/>
      <c r="H21" s="689"/>
      <c r="I21" s="420" t="str">
        <f t="shared" si="1"/>
        <v/>
      </c>
      <c r="J21" s="690"/>
      <c r="K21" s="240" t="str">
        <f t="shared" si="2"/>
        <v/>
      </c>
      <c r="L21" s="690"/>
      <c r="M21" s="240" t="str">
        <f t="shared" si="3"/>
        <v/>
      </c>
      <c r="N21" s="241"/>
      <c r="O21" s="228"/>
      <c r="P21" s="229"/>
      <c r="Q21" s="228"/>
      <c r="R21" s="229"/>
      <c r="S21" s="667"/>
      <c r="T21" s="668"/>
      <c r="U21" s="667"/>
      <c r="V21" s="669"/>
      <c r="W21" s="205" t="s">
        <v>206</v>
      </c>
      <c r="AB21" s="2" t="str">
        <f t="shared" si="5"/>
        <v/>
      </c>
    </row>
    <row r="22" spans="1:28" ht="15" customHeight="1" x14ac:dyDescent="0.3">
      <c r="A22" s="20" t="str">
        <f t="shared" si="0"/>
        <v/>
      </c>
      <c r="B22" s="773"/>
      <c r="C22" s="775"/>
      <c r="D22" s="767"/>
      <c r="E22" s="577" t="s">
        <v>191</v>
      </c>
      <c r="F22" s="237" t="s">
        <v>60</v>
      </c>
      <c r="G22" s="688"/>
      <c r="H22" s="689"/>
      <c r="I22" s="420" t="str">
        <f t="shared" si="1"/>
        <v/>
      </c>
      <c r="J22" s="690"/>
      <c r="K22" s="240" t="str">
        <f t="shared" si="2"/>
        <v/>
      </c>
      <c r="L22" s="690"/>
      <c r="M22" s="240" t="str">
        <f t="shared" si="3"/>
        <v/>
      </c>
      <c r="N22" s="241"/>
      <c r="O22" s="228"/>
      <c r="P22" s="229"/>
      <c r="Q22" s="228"/>
      <c r="R22" s="229"/>
      <c r="S22" s="667"/>
      <c r="T22" s="668"/>
      <c r="U22" s="667"/>
      <c r="V22" s="669"/>
      <c r="W22" s="205" t="s">
        <v>206</v>
      </c>
      <c r="X22" s="741"/>
      <c r="AB22" s="2" t="str">
        <f t="shared" si="5"/>
        <v/>
      </c>
    </row>
    <row r="23" spans="1:28" ht="15" customHeight="1" x14ac:dyDescent="0.3">
      <c r="A23" s="20" t="str">
        <f t="shared" si="0"/>
        <v/>
      </c>
      <c r="B23" s="773"/>
      <c r="C23" s="775"/>
      <c r="D23" s="767"/>
      <c r="E23" s="577" t="s">
        <v>192</v>
      </c>
      <c r="F23" s="237" t="s">
        <v>60</v>
      </c>
      <c r="G23" s="688"/>
      <c r="H23" s="689"/>
      <c r="I23" s="420" t="str">
        <f t="shared" si="1"/>
        <v/>
      </c>
      <c r="J23" s="690"/>
      <c r="K23" s="240" t="str">
        <f t="shared" si="2"/>
        <v/>
      </c>
      <c r="L23" s="690"/>
      <c r="M23" s="240" t="str">
        <f t="shared" si="3"/>
        <v/>
      </c>
      <c r="N23" s="241"/>
      <c r="O23" s="228"/>
      <c r="P23" s="229"/>
      <c r="Q23" s="228"/>
      <c r="R23" s="229"/>
      <c r="S23" s="667"/>
      <c r="T23" s="668"/>
      <c r="U23" s="667"/>
      <c r="V23" s="669"/>
      <c r="W23" s="205" t="s">
        <v>206</v>
      </c>
      <c r="AB23" s="2" t="str">
        <f t="shared" si="5"/>
        <v/>
      </c>
    </row>
    <row r="24" spans="1:28" ht="15" customHeight="1" x14ac:dyDescent="0.3">
      <c r="A24" s="20" t="str">
        <f t="shared" si="0"/>
        <v/>
      </c>
      <c r="B24" s="773"/>
      <c r="C24" s="775"/>
      <c r="D24" s="767"/>
      <c r="E24" s="577" t="s">
        <v>193</v>
      </c>
      <c r="F24" s="237" t="s">
        <v>60</v>
      </c>
      <c r="G24" s="688"/>
      <c r="H24" s="689"/>
      <c r="I24" s="420" t="str">
        <f t="shared" si="1"/>
        <v/>
      </c>
      <c r="J24" s="690"/>
      <c r="K24" s="240" t="str">
        <f t="shared" si="2"/>
        <v/>
      </c>
      <c r="L24" s="690"/>
      <c r="M24" s="240" t="str">
        <f t="shared" si="3"/>
        <v/>
      </c>
      <c r="N24" s="241"/>
      <c r="O24" s="228"/>
      <c r="P24" s="229"/>
      <c r="Q24" s="228"/>
      <c r="R24" s="229"/>
      <c r="S24" s="667"/>
      <c r="T24" s="668"/>
      <c r="U24" s="667"/>
      <c r="V24" s="669"/>
      <c r="W24" s="205" t="s">
        <v>206</v>
      </c>
      <c r="AB24" s="2" t="str">
        <f t="shared" si="5"/>
        <v/>
      </c>
    </row>
    <row r="25" spans="1:28" ht="15" customHeight="1" x14ac:dyDescent="0.3">
      <c r="A25" s="20" t="str">
        <f t="shared" si="0"/>
        <v/>
      </c>
      <c r="B25" s="773"/>
      <c r="C25" s="775"/>
      <c r="D25" s="767"/>
      <c r="E25" s="577" t="s">
        <v>194</v>
      </c>
      <c r="F25" s="237" t="s">
        <v>60</v>
      </c>
      <c r="G25" s="688"/>
      <c r="H25" s="689"/>
      <c r="I25" s="420" t="str">
        <f t="shared" si="1"/>
        <v/>
      </c>
      <c r="J25" s="690"/>
      <c r="K25" s="240" t="str">
        <f t="shared" si="2"/>
        <v/>
      </c>
      <c r="L25" s="690"/>
      <c r="M25" s="240" t="str">
        <f t="shared" si="3"/>
        <v/>
      </c>
      <c r="N25" s="241"/>
      <c r="O25" s="228"/>
      <c r="P25" s="229"/>
      <c r="Q25" s="228"/>
      <c r="R25" s="229"/>
      <c r="S25" s="667"/>
      <c r="T25" s="668"/>
      <c r="U25" s="667"/>
      <c r="V25" s="669"/>
      <c r="W25" s="205" t="s">
        <v>206</v>
      </c>
      <c r="AB25" s="2" t="str">
        <f t="shared" si="5"/>
        <v/>
      </c>
    </row>
    <row r="26" spans="1:28" ht="15" customHeight="1" x14ac:dyDescent="0.3">
      <c r="A26" s="20" t="str">
        <f t="shared" si="0"/>
        <v/>
      </c>
      <c r="B26" s="773"/>
      <c r="C26" s="775"/>
      <c r="D26" s="767"/>
      <c r="E26" s="577" t="s">
        <v>195</v>
      </c>
      <c r="F26" s="237" t="s">
        <v>60</v>
      </c>
      <c r="G26" s="688"/>
      <c r="H26" s="689"/>
      <c r="I26" s="420" t="str">
        <f t="shared" si="1"/>
        <v/>
      </c>
      <c r="J26" s="690"/>
      <c r="K26" s="240" t="str">
        <f t="shared" si="2"/>
        <v/>
      </c>
      <c r="L26" s="690"/>
      <c r="M26" s="240" t="str">
        <f t="shared" si="3"/>
        <v/>
      </c>
      <c r="N26" s="241"/>
      <c r="O26" s="228"/>
      <c r="P26" s="229"/>
      <c r="Q26" s="228"/>
      <c r="R26" s="229"/>
      <c r="S26" s="667"/>
      <c r="T26" s="668"/>
      <c r="U26" s="667"/>
      <c r="V26" s="669"/>
      <c r="W26" s="205" t="s">
        <v>206</v>
      </c>
      <c r="AB26" s="2" t="str">
        <f t="shared" si="5"/>
        <v/>
      </c>
    </row>
    <row r="27" spans="1:28" ht="15" customHeight="1" x14ac:dyDescent="0.3">
      <c r="A27" s="20" t="str">
        <f t="shared" si="0"/>
        <v/>
      </c>
      <c r="B27" s="773"/>
      <c r="C27" s="775"/>
      <c r="D27" s="767"/>
      <c r="E27" s="577" t="s">
        <v>196</v>
      </c>
      <c r="F27" s="237" t="s">
        <v>60</v>
      </c>
      <c r="G27" s="688"/>
      <c r="H27" s="689"/>
      <c r="I27" s="420" t="str">
        <f t="shared" si="1"/>
        <v/>
      </c>
      <c r="J27" s="690"/>
      <c r="K27" s="240" t="str">
        <f t="shared" si="2"/>
        <v/>
      </c>
      <c r="L27" s="690"/>
      <c r="M27" s="240" t="str">
        <f t="shared" si="3"/>
        <v/>
      </c>
      <c r="N27" s="241"/>
      <c r="O27" s="228"/>
      <c r="P27" s="229"/>
      <c r="Q27" s="228"/>
      <c r="R27" s="229"/>
      <c r="S27" s="667"/>
      <c r="T27" s="668"/>
      <c r="U27" s="667"/>
      <c r="V27" s="669"/>
      <c r="W27" s="205" t="s">
        <v>206</v>
      </c>
      <c r="AB27" s="2" t="str">
        <f t="shared" si="5"/>
        <v/>
      </c>
    </row>
    <row r="28" spans="1:28" ht="15" customHeight="1" x14ac:dyDescent="0.3">
      <c r="A28" s="20" t="str">
        <f t="shared" si="0"/>
        <v/>
      </c>
      <c r="B28" s="773"/>
      <c r="C28" s="775"/>
      <c r="D28" s="767"/>
      <c r="E28" s="577" t="s">
        <v>197</v>
      </c>
      <c r="F28" s="237" t="s">
        <v>62</v>
      </c>
      <c r="G28" s="238"/>
      <c r="H28" s="239"/>
      <c r="I28" s="420" t="str">
        <f t="shared" si="1"/>
        <v/>
      </c>
      <c r="J28" s="241"/>
      <c r="K28" s="240" t="str">
        <f t="shared" si="2"/>
        <v/>
      </c>
      <c r="L28" s="241"/>
      <c r="M28" s="240" t="str">
        <f t="shared" si="3"/>
        <v/>
      </c>
      <c r="N28" s="241"/>
      <c r="O28" s="228"/>
      <c r="P28" s="229"/>
      <c r="Q28" s="228"/>
      <c r="R28" s="229"/>
      <c r="S28" s="287"/>
      <c r="T28" s="288"/>
      <c r="U28" s="287"/>
      <c r="V28" s="289"/>
      <c r="W28" s="205" t="s">
        <v>206</v>
      </c>
      <c r="AB28" s="2" t="str">
        <f t="shared" si="5"/>
        <v/>
      </c>
    </row>
    <row r="29" spans="1:28" ht="15" customHeight="1" x14ac:dyDescent="0.3">
      <c r="A29" s="20" t="str">
        <f t="shared" si="0"/>
        <v/>
      </c>
      <c r="B29" s="773"/>
      <c r="C29" s="775"/>
      <c r="D29" s="767"/>
      <c r="E29" s="727" t="s">
        <v>166</v>
      </c>
      <c r="F29" s="237"/>
      <c r="G29" s="238"/>
      <c r="H29" s="239"/>
      <c r="I29" s="686"/>
      <c r="J29" s="241"/>
      <c r="K29" s="240"/>
      <c r="L29" s="241"/>
      <c r="M29" s="240"/>
      <c r="N29" s="241"/>
      <c r="O29" s="228"/>
      <c r="P29" s="229"/>
      <c r="Q29" s="228"/>
      <c r="R29" s="229"/>
      <c r="S29" s="667"/>
      <c r="T29" s="668"/>
      <c r="U29" s="667"/>
      <c r="V29" s="669"/>
      <c r="W29" s="205"/>
    </row>
    <row r="30" spans="1:28" ht="15" customHeight="1" x14ac:dyDescent="0.3">
      <c r="A30" s="20" t="str">
        <f t="shared" si="0"/>
        <v/>
      </c>
      <c r="B30" s="773"/>
      <c r="C30" s="775"/>
      <c r="D30" s="767"/>
      <c r="E30" s="727" t="s">
        <v>166</v>
      </c>
      <c r="F30" s="237"/>
      <c r="G30" s="238"/>
      <c r="H30" s="239"/>
      <c r="I30" s="686"/>
      <c r="J30" s="241"/>
      <c r="K30" s="240"/>
      <c r="L30" s="241"/>
      <c r="M30" s="240"/>
      <c r="N30" s="241"/>
      <c r="O30" s="228"/>
      <c r="P30" s="229"/>
      <c r="Q30" s="228"/>
      <c r="R30" s="229"/>
      <c r="S30" s="667"/>
      <c r="T30" s="668"/>
      <c r="U30" s="667"/>
      <c r="V30" s="669"/>
      <c r="W30" s="205"/>
    </row>
    <row r="31" spans="1:28" ht="15" customHeight="1" x14ac:dyDescent="0.3">
      <c r="A31" s="20" t="str">
        <f t="shared" si="0"/>
        <v/>
      </c>
      <c r="B31" s="773"/>
      <c r="C31" s="775"/>
      <c r="D31" s="767"/>
      <c r="E31" s="727" t="s">
        <v>166</v>
      </c>
      <c r="F31" s="237"/>
      <c r="G31" s="238"/>
      <c r="H31" s="239"/>
      <c r="I31" s="686"/>
      <c r="J31" s="241"/>
      <c r="K31" s="240"/>
      <c r="L31" s="241"/>
      <c r="M31" s="240"/>
      <c r="N31" s="241"/>
      <c r="O31" s="228"/>
      <c r="P31" s="229"/>
      <c r="Q31" s="228"/>
      <c r="R31" s="229"/>
      <c r="S31" s="667"/>
      <c r="T31" s="668"/>
      <c r="U31" s="667"/>
      <c r="V31" s="669"/>
      <c r="W31" s="205"/>
    </row>
    <row r="32" spans="1:28" ht="15" customHeight="1" x14ac:dyDescent="0.3">
      <c r="A32" s="20" t="str">
        <f t="shared" si="0"/>
        <v/>
      </c>
      <c r="B32" s="773"/>
      <c r="C32" s="775"/>
      <c r="D32" s="767"/>
      <c r="E32" s="727" t="s">
        <v>166</v>
      </c>
      <c r="F32" s="237"/>
      <c r="G32" s="238"/>
      <c r="H32" s="239"/>
      <c r="I32" s="686"/>
      <c r="J32" s="241"/>
      <c r="K32" s="240"/>
      <c r="L32" s="241"/>
      <c r="M32" s="240"/>
      <c r="N32" s="241"/>
      <c r="O32" s="228"/>
      <c r="P32" s="229"/>
      <c r="Q32" s="228"/>
      <c r="R32" s="229"/>
      <c r="S32" s="667"/>
      <c r="T32" s="668"/>
      <c r="U32" s="667"/>
      <c r="V32" s="669"/>
      <c r="W32" s="205"/>
    </row>
    <row r="33" spans="1:28" ht="15" customHeight="1" x14ac:dyDescent="0.3">
      <c r="A33" s="20" t="str">
        <f t="shared" si="0"/>
        <v/>
      </c>
      <c r="B33" s="773"/>
      <c r="C33" s="775"/>
      <c r="D33" s="767"/>
      <c r="E33" s="728" t="s">
        <v>166</v>
      </c>
      <c r="F33" s="242"/>
      <c r="G33" s="243"/>
      <c r="H33" s="244"/>
      <c r="I33" s="687"/>
      <c r="J33" s="246"/>
      <c r="K33" s="245"/>
      <c r="L33" s="246"/>
      <c r="M33" s="245"/>
      <c r="N33" s="246"/>
      <c r="O33" s="230"/>
      <c r="P33" s="231"/>
      <c r="Q33" s="230"/>
      <c r="R33" s="231"/>
      <c r="S33" s="670"/>
      <c r="T33" s="671"/>
      <c r="U33" s="670"/>
      <c r="V33" s="672"/>
      <c r="W33" s="205"/>
    </row>
    <row r="34" spans="1:28" ht="15.6" x14ac:dyDescent="0.3">
      <c r="A34" s="20" t="str">
        <f t="shared" si="0"/>
        <v>S</v>
      </c>
      <c r="B34" s="773"/>
      <c r="C34" s="776"/>
      <c r="D34" s="309" t="s">
        <v>138</v>
      </c>
      <c r="E34" s="717"/>
      <c r="F34" s="16"/>
      <c r="G34" s="7">
        <f>SUM(G13:G33)</f>
        <v>0</v>
      </c>
      <c r="H34" s="8">
        <f>SUM(H13:H33)</f>
        <v>0</v>
      </c>
      <c r="I34" s="9" t="e">
        <f t="shared" si="1"/>
        <v>#DIV/0!</v>
      </c>
      <c r="J34" s="202">
        <f>SUM(J13:J33)</f>
        <v>0</v>
      </c>
      <c r="K34" s="9" t="e">
        <f t="shared" si="2"/>
        <v>#DIV/0!</v>
      </c>
      <c r="L34" s="202">
        <f>SUM(L13:L33)</f>
        <v>0</v>
      </c>
      <c r="M34" s="9" t="e">
        <f t="shared" si="3"/>
        <v>#DIV/0!</v>
      </c>
      <c r="N34" s="202">
        <f t="shared" ref="N34:V34" si="18">SUM(N13:N33)</f>
        <v>0</v>
      </c>
      <c r="O34" s="118">
        <f t="shared" si="18"/>
        <v>0</v>
      </c>
      <c r="P34" s="119">
        <f t="shared" si="18"/>
        <v>0</v>
      </c>
      <c r="Q34" s="118">
        <f t="shared" si="18"/>
        <v>0</v>
      </c>
      <c r="R34" s="119">
        <f t="shared" si="18"/>
        <v>0</v>
      </c>
      <c r="S34" s="118">
        <f t="shared" si="18"/>
        <v>0</v>
      </c>
      <c r="T34" s="119">
        <f t="shared" si="18"/>
        <v>0</v>
      </c>
      <c r="U34" s="118">
        <f t="shared" si="18"/>
        <v>0</v>
      </c>
      <c r="V34" s="120">
        <f t="shared" si="18"/>
        <v>0</v>
      </c>
      <c r="W34" s="205" t="s">
        <v>206</v>
      </c>
      <c r="AB34" s="2">
        <f t="shared" si="5"/>
        <v>0</v>
      </c>
    </row>
    <row r="35" spans="1:28" ht="15" customHeight="1" x14ac:dyDescent="0.3">
      <c r="A35" s="20" t="str">
        <f t="shared" si="0"/>
        <v/>
      </c>
      <c r="B35" s="773" t="s">
        <v>82</v>
      </c>
      <c r="C35" s="775" t="s">
        <v>75</v>
      </c>
      <c r="D35" s="767">
        <v>11</v>
      </c>
      <c r="E35" s="719" t="s">
        <v>13</v>
      </c>
      <c r="F35" s="232" t="s">
        <v>60</v>
      </c>
      <c r="G35" s="702"/>
      <c r="H35" s="703"/>
      <c r="I35" s="411" t="str">
        <f t="shared" si="1"/>
        <v/>
      </c>
      <c r="J35" s="704"/>
      <c r="K35" s="235" t="str">
        <f t="shared" si="2"/>
        <v/>
      </c>
      <c r="L35" s="704"/>
      <c r="M35" s="235" t="str">
        <f t="shared" si="3"/>
        <v/>
      </c>
      <c r="N35" s="236"/>
      <c r="O35" s="226"/>
      <c r="P35" s="227"/>
      <c r="Q35" s="226"/>
      <c r="R35" s="227"/>
      <c r="S35" s="664" t="s">
        <v>21</v>
      </c>
      <c r="T35" s="665" t="s">
        <v>21</v>
      </c>
      <c r="U35" s="664" t="s">
        <v>21</v>
      </c>
      <c r="V35" s="666" t="s">
        <v>21</v>
      </c>
      <c r="W35" s="205" t="s">
        <v>206</v>
      </c>
      <c r="AB35" s="2" t="str">
        <f t="shared" si="5"/>
        <v/>
      </c>
    </row>
    <row r="36" spans="1:28" ht="15" customHeight="1" x14ac:dyDescent="0.3">
      <c r="A36" s="20" t="str">
        <f t="shared" si="0"/>
        <v/>
      </c>
      <c r="B36" s="773"/>
      <c r="C36" s="775"/>
      <c r="D36" s="767"/>
      <c r="E36" s="577" t="s">
        <v>14</v>
      </c>
      <c r="F36" s="237" t="s">
        <v>60</v>
      </c>
      <c r="G36" s="688"/>
      <c r="H36" s="689"/>
      <c r="I36" s="420" t="str">
        <f t="shared" si="1"/>
        <v/>
      </c>
      <c r="J36" s="690"/>
      <c r="K36" s="240" t="str">
        <f t="shared" si="2"/>
        <v/>
      </c>
      <c r="L36" s="690"/>
      <c r="M36" s="240" t="str">
        <f t="shared" si="3"/>
        <v/>
      </c>
      <c r="N36" s="241"/>
      <c r="O36" s="228"/>
      <c r="P36" s="229"/>
      <c r="Q36" s="228"/>
      <c r="R36" s="229"/>
      <c r="S36" s="667" t="s">
        <v>21</v>
      </c>
      <c r="T36" s="668" t="s">
        <v>21</v>
      </c>
      <c r="U36" s="667" t="s">
        <v>21</v>
      </c>
      <c r="V36" s="669" t="s">
        <v>21</v>
      </c>
      <c r="W36" s="205" t="s">
        <v>206</v>
      </c>
      <c r="AB36" s="2" t="str">
        <f t="shared" si="5"/>
        <v/>
      </c>
    </row>
    <row r="37" spans="1:28" ht="15" customHeight="1" x14ac:dyDescent="0.3">
      <c r="A37" s="20" t="str">
        <f t="shared" si="0"/>
        <v/>
      </c>
      <c r="B37" s="773"/>
      <c r="C37" s="775"/>
      <c r="D37" s="767"/>
      <c r="E37" s="577" t="s">
        <v>15</v>
      </c>
      <c r="F37" s="237" t="s">
        <v>60</v>
      </c>
      <c r="G37" s="688"/>
      <c r="H37" s="689"/>
      <c r="I37" s="420" t="str">
        <f t="shared" si="1"/>
        <v/>
      </c>
      <c r="J37" s="690"/>
      <c r="K37" s="240" t="str">
        <f t="shared" si="2"/>
        <v/>
      </c>
      <c r="L37" s="690"/>
      <c r="M37" s="240" t="str">
        <f t="shared" si="3"/>
        <v/>
      </c>
      <c r="N37" s="241"/>
      <c r="O37" s="228"/>
      <c r="P37" s="229"/>
      <c r="Q37" s="228"/>
      <c r="R37" s="229"/>
      <c r="S37" s="667" t="s">
        <v>21</v>
      </c>
      <c r="T37" s="668" t="s">
        <v>21</v>
      </c>
      <c r="U37" s="667" t="s">
        <v>21</v>
      </c>
      <c r="V37" s="669" t="s">
        <v>21</v>
      </c>
      <c r="W37" s="205" t="s">
        <v>206</v>
      </c>
      <c r="AB37" s="2" t="str">
        <f t="shared" si="5"/>
        <v/>
      </c>
    </row>
    <row r="38" spans="1:28" ht="15" customHeight="1" x14ac:dyDescent="0.3">
      <c r="A38" s="20" t="str">
        <f t="shared" si="0"/>
        <v/>
      </c>
      <c r="B38" s="773"/>
      <c r="C38" s="775"/>
      <c r="D38" s="767"/>
      <c r="E38" s="577" t="s">
        <v>141</v>
      </c>
      <c r="F38" s="237" t="s">
        <v>60</v>
      </c>
      <c r="G38" s="688"/>
      <c r="H38" s="689"/>
      <c r="I38" s="420" t="str">
        <f t="shared" si="1"/>
        <v/>
      </c>
      <c r="J38" s="690"/>
      <c r="K38" s="240" t="str">
        <f t="shared" si="2"/>
        <v/>
      </c>
      <c r="L38" s="690"/>
      <c r="M38" s="240" t="str">
        <f t="shared" si="3"/>
        <v/>
      </c>
      <c r="N38" s="241"/>
      <c r="O38" s="228"/>
      <c r="P38" s="229"/>
      <c r="Q38" s="228"/>
      <c r="R38" s="229"/>
      <c r="S38" s="667" t="s">
        <v>21</v>
      </c>
      <c r="T38" s="668" t="s">
        <v>21</v>
      </c>
      <c r="U38" s="667" t="s">
        <v>21</v>
      </c>
      <c r="V38" s="669" t="s">
        <v>21</v>
      </c>
      <c r="W38" s="205" t="s">
        <v>206</v>
      </c>
      <c r="AB38" s="2" t="str">
        <f t="shared" si="5"/>
        <v/>
      </c>
    </row>
    <row r="39" spans="1:28" ht="15" customHeight="1" x14ac:dyDescent="0.3">
      <c r="A39" s="20" t="str">
        <f t="shared" si="0"/>
        <v/>
      </c>
      <c r="B39" s="773"/>
      <c r="C39" s="775"/>
      <c r="D39" s="767"/>
      <c r="E39" s="577" t="s">
        <v>16</v>
      </c>
      <c r="F39" s="237" t="s">
        <v>60</v>
      </c>
      <c r="G39" s="688"/>
      <c r="H39" s="689"/>
      <c r="I39" s="420" t="str">
        <f t="shared" si="1"/>
        <v/>
      </c>
      <c r="J39" s="690"/>
      <c r="K39" s="240" t="str">
        <f t="shared" si="2"/>
        <v/>
      </c>
      <c r="L39" s="690"/>
      <c r="M39" s="240" t="str">
        <f t="shared" si="3"/>
        <v/>
      </c>
      <c r="N39" s="241"/>
      <c r="O39" s="228"/>
      <c r="P39" s="229"/>
      <c r="Q39" s="228"/>
      <c r="R39" s="229"/>
      <c r="S39" s="667" t="s">
        <v>21</v>
      </c>
      <c r="T39" s="668" t="s">
        <v>21</v>
      </c>
      <c r="U39" s="667" t="s">
        <v>21</v>
      </c>
      <c r="V39" s="669" t="s">
        <v>21</v>
      </c>
      <c r="W39" s="205" t="s">
        <v>206</v>
      </c>
      <c r="AB39" s="2" t="str">
        <f t="shared" si="5"/>
        <v/>
      </c>
    </row>
    <row r="40" spans="1:28" ht="15" customHeight="1" x14ac:dyDescent="0.3">
      <c r="A40" s="20" t="str">
        <f t="shared" si="0"/>
        <v/>
      </c>
      <c r="B40" s="773"/>
      <c r="C40" s="775"/>
      <c r="D40" s="767"/>
      <c r="E40" s="577" t="s">
        <v>17</v>
      </c>
      <c r="F40" s="237" t="s">
        <v>60</v>
      </c>
      <c r="G40" s="688"/>
      <c r="H40" s="689"/>
      <c r="I40" s="420" t="str">
        <f t="shared" si="1"/>
        <v/>
      </c>
      <c r="J40" s="690"/>
      <c r="K40" s="240" t="str">
        <f t="shared" si="2"/>
        <v/>
      </c>
      <c r="L40" s="690"/>
      <c r="M40" s="240" t="str">
        <f t="shared" si="3"/>
        <v/>
      </c>
      <c r="N40" s="241"/>
      <c r="O40" s="228"/>
      <c r="P40" s="229"/>
      <c r="Q40" s="228"/>
      <c r="R40" s="229"/>
      <c r="S40" s="667" t="s">
        <v>21</v>
      </c>
      <c r="T40" s="668" t="s">
        <v>21</v>
      </c>
      <c r="U40" s="667" t="s">
        <v>21</v>
      </c>
      <c r="V40" s="669" t="s">
        <v>21</v>
      </c>
      <c r="W40" s="205" t="s">
        <v>206</v>
      </c>
      <c r="AB40" s="2" t="str">
        <f t="shared" si="5"/>
        <v/>
      </c>
    </row>
    <row r="41" spans="1:28" ht="15" customHeight="1" x14ac:dyDescent="0.3">
      <c r="A41" s="20" t="str">
        <f t="shared" si="0"/>
        <v/>
      </c>
      <c r="B41" s="773"/>
      <c r="C41" s="775"/>
      <c r="D41" s="767"/>
      <c r="E41" s="577" t="s">
        <v>18</v>
      </c>
      <c r="F41" s="237" t="s">
        <v>60</v>
      </c>
      <c r="G41" s="688"/>
      <c r="H41" s="689"/>
      <c r="I41" s="420" t="str">
        <f t="shared" si="1"/>
        <v/>
      </c>
      <c r="J41" s="690"/>
      <c r="K41" s="240" t="str">
        <f t="shared" si="2"/>
        <v/>
      </c>
      <c r="L41" s="690"/>
      <c r="M41" s="240" t="str">
        <f t="shared" si="3"/>
        <v/>
      </c>
      <c r="N41" s="241"/>
      <c r="O41" s="228"/>
      <c r="P41" s="229"/>
      <c r="Q41" s="228"/>
      <c r="R41" s="229"/>
      <c r="S41" s="667" t="s">
        <v>21</v>
      </c>
      <c r="T41" s="668" t="s">
        <v>21</v>
      </c>
      <c r="U41" s="667" t="s">
        <v>21</v>
      </c>
      <c r="V41" s="669" t="s">
        <v>21</v>
      </c>
      <c r="W41" s="205" t="s">
        <v>206</v>
      </c>
      <c r="AB41" s="2" t="str">
        <f t="shared" si="5"/>
        <v/>
      </c>
    </row>
    <row r="42" spans="1:28" ht="15" customHeight="1" x14ac:dyDescent="0.3">
      <c r="A42" s="20" t="str">
        <f t="shared" si="0"/>
        <v/>
      </c>
      <c r="B42" s="773"/>
      <c r="C42" s="775"/>
      <c r="D42" s="767"/>
      <c r="E42" s="577" t="s">
        <v>19</v>
      </c>
      <c r="F42" s="237" t="s">
        <v>60</v>
      </c>
      <c r="G42" s="688"/>
      <c r="H42" s="689"/>
      <c r="I42" s="420" t="str">
        <f t="shared" si="1"/>
        <v/>
      </c>
      <c r="J42" s="690"/>
      <c r="K42" s="240" t="str">
        <f t="shared" si="2"/>
        <v/>
      </c>
      <c r="L42" s="690"/>
      <c r="M42" s="240" t="str">
        <f t="shared" si="3"/>
        <v/>
      </c>
      <c r="N42" s="241"/>
      <c r="O42" s="228"/>
      <c r="P42" s="229"/>
      <c r="Q42" s="228"/>
      <c r="R42" s="229"/>
      <c r="S42" s="667" t="s">
        <v>21</v>
      </c>
      <c r="T42" s="668" t="s">
        <v>21</v>
      </c>
      <c r="U42" s="667" t="s">
        <v>21</v>
      </c>
      <c r="V42" s="669" t="s">
        <v>21</v>
      </c>
      <c r="W42" s="205" t="s">
        <v>206</v>
      </c>
      <c r="AB42" s="2" t="str">
        <f t="shared" si="5"/>
        <v/>
      </c>
    </row>
    <row r="43" spans="1:28" ht="15" customHeight="1" x14ac:dyDescent="0.3">
      <c r="A43" s="20" t="str">
        <f t="shared" si="0"/>
        <v/>
      </c>
      <c r="B43" s="773"/>
      <c r="C43" s="775"/>
      <c r="D43" s="767"/>
      <c r="E43" s="577" t="s">
        <v>169</v>
      </c>
      <c r="F43" s="237" t="s">
        <v>60</v>
      </c>
      <c r="G43" s="688"/>
      <c r="H43" s="689"/>
      <c r="I43" s="420" t="str">
        <f t="shared" si="1"/>
        <v/>
      </c>
      <c r="J43" s="690"/>
      <c r="K43" s="240" t="str">
        <f t="shared" si="2"/>
        <v/>
      </c>
      <c r="L43" s="690"/>
      <c r="M43" s="240" t="str">
        <f t="shared" si="3"/>
        <v/>
      </c>
      <c r="N43" s="241"/>
      <c r="O43" s="228"/>
      <c r="P43" s="229"/>
      <c r="Q43" s="228"/>
      <c r="R43" s="229"/>
      <c r="S43" s="667" t="s">
        <v>21</v>
      </c>
      <c r="T43" s="668" t="s">
        <v>21</v>
      </c>
      <c r="U43" s="667" t="s">
        <v>21</v>
      </c>
      <c r="V43" s="669" t="s">
        <v>21</v>
      </c>
      <c r="W43" s="205" t="s">
        <v>206</v>
      </c>
      <c r="AB43" s="2" t="str">
        <f t="shared" si="5"/>
        <v/>
      </c>
    </row>
    <row r="44" spans="1:28" ht="15" customHeight="1" x14ac:dyDescent="0.3">
      <c r="A44" s="20" t="str">
        <f t="shared" si="0"/>
        <v/>
      </c>
      <c r="B44" s="773"/>
      <c r="C44" s="775"/>
      <c r="D44" s="767"/>
      <c r="E44" s="577" t="s">
        <v>170</v>
      </c>
      <c r="F44" s="237" t="s">
        <v>60</v>
      </c>
      <c r="G44" s="688"/>
      <c r="H44" s="689"/>
      <c r="I44" s="420" t="str">
        <f t="shared" si="1"/>
        <v/>
      </c>
      <c r="J44" s="690"/>
      <c r="K44" s="240" t="str">
        <f t="shared" si="2"/>
        <v/>
      </c>
      <c r="L44" s="690"/>
      <c r="M44" s="240" t="str">
        <f t="shared" si="3"/>
        <v/>
      </c>
      <c r="N44" s="241"/>
      <c r="O44" s="228"/>
      <c r="P44" s="229"/>
      <c r="Q44" s="228"/>
      <c r="R44" s="229"/>
      <c r="S44" s="667" t="s">
        <v>21</v>
      </c>
      <c r="T44" s="668" t="s">
        <v>21</v>
      </c>
      <c r="U44" s="667" t="s">
        <v>21</v>
      </c>
      <c r="V44" s="669" t="s">
        <v>21</v>
      </c>
      <c r="W44" s="205" t="s">
        <v>206</v>
      </c>
      <c r="AB44" s="2" t="str">
        <f t="shared" si="5"/>
        <v/>
      </c>
    </row>
    <row r="45" spans="1:28" ht="15" customHeight="1" x14ac:dyDescent="0.3">
      <c r="A45" s="20" t="str">
        <f t="shared" si="0"/>
        <v/>
      </c>
      <c r="B45" s="773"/>
      <c r="C45" s="775"/>
      <c r="D45" s="767"/>
      <c r="E45" s="577" t="s">
        <v>5</v>
      </c>
      <c r="F45" s="237" t="s">
        <v>60</v>
      </c>
      <c r="G45" s="238"/>
      <c r="H45" s="239"/>
      <c r="I45" s="420" t="str">
        <f t="shared" si="1"/>
        <v/>
      </c>
      <c r="J45" s="241"/>
      <c r="K45" s="240" t="str">
        <f t="shared" si="2"/>
        <v/>
      </c>
      <c r="L45" s="241"/>
      <c r="M45" s="240" t="str">
        <f t="shared" si="3"/>
        <v/>
      </c>
      <c r="N45" s="241"/>
      <c r="O45" s="228"/>
      <c r="P45" s="229"/>
      <c r="Q45" s="228"/>
      <c r="R45" s="229"/>
      <c r="S45" s="667" t="s">
        <v>21</v>
      </c>
      <c r="T45" s="668" t="s">
        <v>21</v>
      </c>
      <c r="U45" s="667" t="s">
        <v>21</v>
      </c>
      <c r="V45" s="669" t="s">
        <v>21</v>
      </c>
      <c r="W45" s="205" t="s">
        <v>206</v>
      </c>
      <c r="AB45" s="2" t="str">
        <f t="shared" si="5"/>
        <v/>
      </c>
    </row>
    <row r="46" spans="1:28" ht="15" customHeight="1" x14ac:dyDescent="0.3">
      <c r="A46" s="20" t="str">
        <f t="shared" si="0"/>
        <v/>
      </c>
      <c r="B46" s="773"/>
      <c r="C46" s="775"/>
      <c r="D46" s="767"/>
      <c r="E46" s="727" t="s">
        <v>166</v>
      </c>
      <c r="F46" s="237"/>
      <c r="G46" s="238"/>
      <c r="H46" s="239"/>
      <c r="I46" s="686"/>
      <c r="J46" s="241"/>
      <c r="K46" s="240"/>
      <c r="L46" s="241"/>
      <c r="M46" s="240"/>
      <c r="N46" s="241"/>
      <c r="O46" s="228"/>
      <c r="P46" s="229"/>
      <c r="Q46" s="228"/>
      <c r="R46" s="229"/>
      <c r="S46" s="667" t="s">
        <v>21</v>
      </c>
      <c r="T46" s="668" t="s">
        <v>21</v>
      </c>
      <c r="U46" s="667" t="s">
        <v>21</v>
      </c>
      <c r="V46" s="669" t="s">
        <v>21</v>
      </c>
      <c r="W46" s="205"/>
    </row>
    <row r="47" spans="1:28" ht="15" customHeight="1" x14ac:dyDescent="0.3">
      <c r="A47" s="20" t="str">
        <f t="shared" si="0"/>
        <v/>
      </c>
      <c r="B47" s="773"/>
      <c r="C47" s="775"/>
      <c r="D47" s="767"/>
      <c r="E47" s="727" t="s">
        <v>166</v>
      </c>
      <c r="F47" s="237"/>
      <c r="G47" s="238"/>
      <c r="H47" s="239"/>
      <c r="I47" s="686"/>
      <c r="J47" s="241"/>
      <c r="K47" s="240"/>
      <c r="L47" s="241"/>
      <c r="M47" s="240"/>
      <c r="N47" s="241"/>
      <c r="O47" s="228"/>
      <c r="P47" s="229"/>
      <c r="Q47" s="228"/>
      <c r="R47" s="229"/>
      <c r="S47" s="667" t="s">
        <v>21</v>
      </c>
      <c r="T47" s="668" t="s">
        <v>21</v>
      </c>
      <c r="U47" s="667" t="s">
        <v>21</v>
      </c>
      <c r="V47" s="669" t="s">
        <v>21</v>
      </c>
      <c r="W47" s="205"/>
    </row>
    <row r="48" spans="1:28" ht="15" customHeight="1" x14ac:dyDescent="0.3">
      <c r="A48" s="20" t="str">
        <f t="shared" si="0"/>
        <v/>
      </c>
      <c r="B48" s="773"/>
      <c r="C48" s="775"/>
      <c r="D48" s="767"/>
      <c r="E48" s="728" t="s">
        <v>166</v>
      </c>
      <c r="F48" s="242"/>
      <c r="G48" s="243"/>
      <c r="H48" s="244"/>
      <c r="I48" s="687"/>
      <c r="J48" s="246"/>
      <c r="K48" s="245"/>
      <c r="L48" s="246"/>
      <c r="M48" s="245"/>
      <c r="N48" s="246"/>
      <c r="O48" s="230"/>
      <c r="P48" s="231"/>
      <c r="Q48" s="230"/>
      <c r="R48" s="231"/>
      <c r="S48" s="670" t="s">
        <v>21</v>
      </c>
      <c r="T48" s="671" t="s">
        <v>21</v>
      </c>
      <c r="U48" s="670" t="s">
        <v>21</v>
      </c>
      <c r="V48" s="672" t="s">
        <v>21</v>
      </c>
      <c r="W48" s="205"/>
    </row>
    <row r="49" spans="1:28" ht="15.6" x14ac:dyDescent="0.3">
      <c r="A49" s="20" t="str">
        <f t="shared" si="0"/>
        <v>S</v>
      </c>
      <c r="B49" s="773"/>
      <c r="C49" s="776"/>
      <c r="D49" s="309" t="s">
        <v>138</v>
      </c>
      <c r="E49" s="717"/>
      <c r="F49" s="16"/>
      <c r="G49" s="7">
        <f>SUM(G35:G48)</f>
        <v>0</v>
      </c>
      <c r="H49" s="8">
        <f>SUM(H35:H48)</f>
        <v>0</v>
      </c>
      <c r="I49" s="9" t="e">
        <f>J49/G49</f>
        <v>#DIV/0!</v>
      </c>
      <c r="J49" s="202">
        <f>SUM(J35:J48)</f>
        <v>0</v>
      </c>
      <c r="K49" s="9" t="e">
        <f t="shared" si="2"/>
        <v>#DIV/0!</v>
      </c>
      <c r="L49" s="202">
        <f>SUM(L35:L48)</f>
        <v>0</v>
      </c>
      <c r="M49" s="9" t="e">
        <f t="shared" si="3"/>
        <v>#DIV/0!</v>
      </c>
      <c r="N49" s="202">
        <f t="shared" ref="N49:V49" si="19">SUM(N35:N48)</f>
        <v>0</v>
      </c>
      <c r="O49" s="118">
        <f t="shared" si="19"/>
        <v>0</v>
      </c>
      <c r="P49" s="119">
        <f t="shared" si="19"/>
        <v>0</v>
      </c>
      <c r="Q49" s="118">
        <f t="shared" si="19"/>
        <v>0</v>
      </c>
      <c r="R49" s="119">
        <f t="shared" si="19"/>
        <v>0</v>
      </c>
      <c r="S49" s="118">
        <f t="shared" si="19"/>
        <v>0</v>
      </c>
      <c r="T49" s="119">
        <f t="shared" si="19"/>
        <v>0</v>
      </c>
      <c r="U49" s="118">
        <f t="shared" si="19"/>
        <v>0</v>
      </c>
      <c r="V49" s="120">
        <f t="shared" si="19"/>
        <v>0</v>
      </c>
      <c r="W49" s="205" t="s">
        <v>206</v>
      </c>
      <c r="AB49" s="2">
        <f t="shared" si="5"/>
        <v>0</v>
      </c>
    </row>
    <row r="50" spans="1:28" x14ac:dyDescent="0.3">
      <c r="A50" s="20" t="str">
        <f>IF(D50="Sous-total","S",IF(G50="","","X"))</f>
        <v/>
      </c>
      <c r="B50" s="773" t="s">
        <v>83</v>
      </c>
      <c r="C50" s="775" t="s">
        <v>75</v>
      </c>
      <c r="D50" s="757">
        <v>9</v>
      </c>
      <c r="E50" s="719" t="s">
        <v>10</v>
      </c>
      <c r="F50" s="232" t="s">
        <v>60</v>
      </c>
      <c r="G50" s="233"/>
      <c r="H50" s="234"/>
      <c r="I50" s="411" t="str">
        <f>IF(J50="","",J50/G50)</f>
        <v/>
      </c>
      <c r="J50" s="234"/>
      <c r="K50" s="235" t="str">
        <f>IF(L50="","",L50/G50)</f>
        <v/>
      </c>
      <c r="L50" s="236"/>
      <c r="M50" s="235" t="str">
        <f>IF(N50="","",N50/L50)</f>
        <v/>
      </c>
      <c r="N50" s="236"/>
      <c r="O50" s="226"/>
      <c r="P50" s="227"/>
      <c r="Q50" s="226"/>
      <c r="R50" s="227"/>
      <c r="S50" s="664" t="s">
        <v>21</v>
      </c>
      <c r="T50" s="665" t="s">
        <v>21</v>
      </c>
      <c r="U50" s="664" t="s">
        <v>21</v>
      </c>
      <c r="V50" s="666" t="s">
        <v>21</v>
      </c>
      <c r="W50" s="205" t="s">
        <v>206</v>
      </c>
      <c r="AB50" s="2" t="str">
        <f t="shared" si="5"/>
        <v/>
      </c>
    </row>
    <row r="51" spans="1:28" x14ac:dyDescent="0.3">
      <c r="A51" s="20" t="str">
        <f t="shared" ref="A51:A113" si="20">IF(D51="Sous-total","S",IF(G51="","","X"))</f>
        <v/>
      </c>
      <c r="B51" s="773"/>
      <c r="C51" s="775"/>
      <c r="D51" s="757"/>
      <c r="E51" s="577" t="s">
        <v>11</v>
      </c>
      <c r="F51" s="237" t="s">
        <v>60</v>
      </c>
      <c r="G51" s="238"/>
      <c r="H51" s="239"/>
      <c r="I51" s="420" t="str">
        <f t="shared" ref="I51:I60" si="21">IF(J51="","",J51/G51)</f>
        <v/>
      </c>
      <c r="J51" s="239"/>
      <c r="K51" s="240" t="str">
        <f t="shared" ref="K51:K128" si="22">IF(L51="","",L51/G51)</f>
        <v/>
      </c>
      <c r="L51" s="241"/>
      <c r="M51" s="240" t="str">
        <f t="shared" ref="M51:M128" si="23">IF(N51="","",N51/L51)</f>
        <v/>
      </c>
      <c r="N51" s="241"/>
      <c r="O51" s="228"/>
      <c r="P51" s="229"/>
      <c r="Q51" s="228"/>
      <c r="R51" s="229"/>
      <c r="S51" s="667" t="s">
        <v>21</v>
      </c>
      <c r="T51" s="668" t="s">
        <v>21</v>
      </c>
      <c r="U51" s="667" t="s">
        <v>21</v>
      </c>
      <c r="V51" s="669" t="s">
        <v>21</v>
      </c>
      <c r="W51" s="205" t="s">
        <v>206</v>
      </c>
      <c r="AB51" s="2" t="str">
        <f t="shared" si="5"/>
        <v/>
      </c>
    </row>
    <row r="52" spans="1:28" x14ac:dyDescent="0.3">
      <c r="A52" s="20" t="str">
        <f t="shared" si="20"/>
        <v/>
      </c>
      <c r="B52" s="773"/>
      <c r="C52" s="775"/>
      <c r="D52" s="757"/>
      <c r="E52" s="577" t="s">
        <v>12</v>
      </c>
      <c r="F52" s="237" t="s">
        <v>60</v>
      </c>
      <c r="G52" s="238"/>
      <c r="H52" s="239"/>
      <c r="I52" s="420" t="str">
        <f t="shared" si="21"/>
        <v/>
      </c>
      <c r="J52" s="239"/>
      <c r="K52" s="240" t="str">
        <f t="shared" si="22"/>
        <v/>
      </c>
      <c r="L52" s="241"/>
      <c r="M52" s="240" t="str">
        <f t="shared" si="23"/>
        <v/>
      </c>
      <c r="N52" s="241"/>
      <c r="O52" s="228"/>
      <c r="P52" s="229"/>
      <c r="Q52" s="228"/>
      <c r="R52" s="229"/>
      <c r="S52" s="667" t="s">
        <v>21</v>
      </c>
      <c r="T52" s="668" t="s">
        <v>21</v>
      </c>
      <c r="U52" s="667" t="s">
        <v>21</v>
      </c>
      <c r="V52" s="669" t="s">
        <v>21</v>
      </c>
      <c r="W52" s="205" t="s">
        <v>206</v>
      </c>
      <c r="AB52" s="2" t="str">
        <f t="shared" si="5"/>
        <v/>
      </c>
    </row>
    <row r="53" spans="1:28" x14ac:dyDescent="0.3">
      <c r="A53" s="20" t="str">
        <f t="shared" si="20"/>
        <v/>
      </c>
      <c r="B53" s="773"/>
      <c r="C53" s="775"/>
      <c r="D53" s="757"/>
      <c r="E53" s="577" t="s">
        <v>7</v>
      </c>
      <c r="F53" s="237" t="s">
        <v>60</v>
      </c>
      <c r="G53" s="238"/>
      <c r="H53" s="239"/>
      <c r="I53" s="420" t="str">
        <f t="shared" si="21"/>
        <v/>
      </c>
      <c r="J53" s="239"/>
      <c r="K53" s="240" t="str">
        <f t="shared" si="22"/>
        <v/>
      </c>
      <c r="L53" s="241"/>
      <c r="M53" s="240" t="str">
        <f t="shared" si="23"/>
        <v/>
      </c>
      <c r="N53" s="241"/>
      <c r="O53" s="228"/>
      <c r="P53" s="229"/>
      <c r="Q53" s="228"/>
      <c r="R53" s="229"/>
      <c r="S53" s="667" t="s">
        <v>21</v>
      </c>
      <c r="T53" s="668" t="s">
        <v>21</v>
      </c>
      <c r="U53" s="667" t="s">
        <v>21</v>
      </c>
      <c r="V53" s="669" t="s">
        <v>21</v>
      </c>
      <c r="W53" s="205" t="s">
        <v>206</v>
      </c>
      <c r="AB53" s="2" t="str">
        <f t="shared" si="5"/>
        <v/>
      </c>
    </row>
    <row r="54" spans="1:28" x14ac:dyDescent="0.3">
      <c r="A54" s="20" t="str">
        <f t="shared" si="20"/>
        <v/>
      </c>
      <c r="B54" s="773"/>
      <c r="C54" s="775"/>
      <c r="D54" s="757"/>
      <c r="E54" s="577" t="s">
        <v>132</v>
      </c>
      <c r="F54" s="237" t="s">
        <v>60</v>
      </c>
      <c r="G54" s="238"/>
      <c r="H54" s="239"/>
      <c r="I54" s="420" t="str">
        <f t="shared" si="21"/>
        <v/>
      </c>
      <c r="J54" s="239"/>
      <c r="K54" s="240" t="str">
        <f t="shared" si="22"/>
        <v/>
      </c>
      <c r="L54" s="241"/>
      <c r="M54" s="240" t="str">
        <f t="shared" si="23"/>
        <v/>
      </c>
      <c r="N54" s="241"/>
      <c r="O54" s="228"/>
      <c r="P54" s="229"/>
      <c r="Q54" s="228"/>
      <c r="R54" s="229"/>
      <c r="S54" s="667" t="s">
        <v>21</v>
      </c>
      <c r="T54" s="668" t="s">
        <v>21</v>
      </c>
      <c r="U54" s="667" t="s">
        <v>21</v>
      </c>
      <c r="V54" s="669" t="s">
        <v>21</v>
      </c>
      <c r="W54" s="205" t="s">
        <v>206</v>
      </c>
      <c r="AB54" s="2" t="str">
        <f t="shared" si="5"/>
        <v/>
      </c>
    </row>
    <row r="55" spans="1:28" x14ac:dyDescent="0.3">
      <c r="A55" s="20" t="str">
        <f t="shared" si="20"/>
        <v/>
      </c>
      <c r="B55" s="773"/>
      <c r="C55" s="775"/>
      <c r="D55" s="757"/>
      <c r="E55" s="577" t="s">
        <v>8</v>
      </c>
      <c r="F55" s="237" t="s">
        <v>60</v>
      </c>
      <c r="G55" s="238"/>
      <c r="H55" s="239"/>
      <c r="I55" s="420" t="str">
        <f t="shared" si="21"/>
        <v/>
      </c>
      <c r="J55" s="239"/>
      <c r="K55" s="240" t="str">
        <f t="shared" si="22"/>
        <v/>
      </c>
      <c r="L55" s="241"/>
      <c r="M55" s="240" t="str">
        <f t="shared" si="23"/>
        <v/>
      </c>
      <c r="N55" s="241"/>
      <c r="O55" s="228"/>
      <c r="P55" s="229"/>
      <c r="Q55" s="228"/>
      <c r="R55" s="229"/>
      <c r="S55" s="667" t="s">
        <v>21</v>
      </c>
      <c r="T55" s="668" t="s">
        <v>21</v>
      </c>
      <c r="U55" s="667" t="s">
        <v>21</v>
      </c>
      <c r="V55" s="669" t="s">
        <v>21</v>
      </c>
      <c r="W55" s="205" t="s">
        <v>206</v>
      </c>
      <c r="AB55" s="2" t="str">
        <f t="shared" si="5"/>
        <v/>
      </c>
    </row>
    <row r="56" spans="1:28" x14ac:dyDescent="0.3">
      <c r="A56" s="20" t="str">
        <f t="shared" si="20"/>
        <v/>
      </c>
      <c r="B56" s="773"/>
      <c r="C56" s="775"/>
      <c r="D56" s="757"/>
      <c r="E56" s="577" t="s">
        <v>6</v>
      </c>
      <c r="F56" s="237" t="s">
        <v>60</v>
      </c>
      <c r="G56" s="238"/>
      <c r="H56" s="239"/>
      <c r="I56" s="420" t="str">
        <f t="shared" si="21"/>
        <v/>
      </c>
      <c r="J56" s="239"/>
      <c r="K56" s="240" t="str">
        <f t="shared" si="22"/>
        <v/>
      </c>
      <c r="L56" s="241"/>
      <c r="M56" s="240" t="str">
        <f t="shared" si="23"/>
        <v/>
      </c>
      <c r="N56" s="241"/>
      <c r="O56" s="228"/>
      <c r="P56" s="229"/>
      <c r="Q56" s="228"/>
      <c r="R56" s="229"/>
      <c r="S56" s="667" t="s">
        <v>21</v>
      </c>
      <c r="T56" s="668" t="s">
        <v>21</v>
      </c>
      <c r="U56" s="667" t="s">
        <v>21</v>
      </c>
      <c r="V56" s="669" t="s">
        <v>21</v>
      </c>
      <c r="W56" s="205" t="s">
        <v>206</v>
      </c>
      <c r="AB56" s="2" t="str">
        <f t="shared" si="5"/>
        <v/>
      </c>
    </row>
    <row r="57" spans="1:28" ht="15" customHeight="1" x14ac:dyDescent="0.3">
      <c r="A57" s="20" t="str">
        <f t="shared" si="20"/>
        <v/>
      </c>
      <c r="B57" s="773"/>
      <c r="C57" s="775"/>
      <c r="D57" s="757"/>
      <c r="E57" s="577" t="s">
        <v>228</v>
      </c>
      <c r="F57" s="237" t="s">
        <v>60</v>
      </c>
      <c r="G57" s="238"/>
      <c r="H57" s="239"/>
      <c r="I57" s="420" t="str">
        <f t="shared" si="21"/>
        <v/>
      </c>
      <c r="J57" s="239"/>
      <c r="K57" s="240" t="str">
        <f t="shared" si="22"/>
        <v/>
      </c>
      <c r="L57" s="241"/>
      <c r="M57" s="240" t="str">
        <f t="shared" si="23"/>
        <v/>
      </c>
      <c r="N57" s="241"/>
      <c r="O57" s="228"/>
      <c r="P57" s="229"/>
      <c r="Q57" s="228"/>
      <c r="R57" s="229"/>
      <c r="S57" s="667" t="s">
        <v>21</v>
      </c>
      <c r="T57" s="668" t="s">
        <v>21</v>
      </c>
      <c r="U57" s="667" t="s">
        <v>21</v>
      </c>
      <c r="V57" s="669" t="s">
        <v>21</v>
      </c>
      <c r="W57" s="205" t="s">
        <v>206</v>
      </c>
      <c r="AB57" s="2" t="str">
        <f t="shared" si="5"/>
        <v/>
      </c>
    </row>
    <row r="58" spans="1:28" ht="15" customHeight="1" x14ac:dyDescent="0.3">
      <c r="A58" s="20" t="str">
        <f t="shared" si="20"/>
        <v/>
      </c>
      <c r="B58" s="773"/>
      <c r="C58" s="775"/>
      <c r="D58" s="757"/>
      <c r="E58" s="577" t="s">
        <v>229</v>
      </c>
      <c r="F58" s="237" t="s">
        <v>60</v>
      </c>
      <c r="G58" s="238"/>
      <c r="H58" s="239"/>
      <c r="I58" s="420" t="str">
        <f t="shared" si="21"/>
        <v/>
      </c>
      <c r="J58" s="239"/>
      <c r="K58" s="240" t="str">
        <f t="shared" si="22"/>
        <v/>
      </c>
      <c r="L58" s="241"/>
      <c r="M58" s="240" t="str">
        <f t="shared" si="23"/>
        <v/>
      </c>
      <c r="N58" s="241"/>
      <c r="O58" s="228"/>
      <c r="P58" s="229"/>
      <c r="Q58" s="228"/>
      <c r="R58" s="229"/>
      <c r="S58" s="667" t="s">
        <v>21</v>
      </c>
      <c r="T58" s="668" t="s">
        <v>21</v>
      </c>
      <c r="U58" s="667" t="s">
        <v>21</v>
      </c>
      <c r="V58" s="669" t="s">
        <v>21</v>
      </c>
      <c r="W58" s="205" t="s">
        <v>206</v>
      </c>
      <c r="AB58" s="2" t="str">
        <f t="shared" si="5"/>
        <v/>
      </c>
    </row>
    <row r="59" spans="1:28" x14ac:dyDescent="0.3">
      <c r="A59" s="20" t="str">
        <f t="shared" si="20"/>
        <v/>
      </c>
      <c r="B59" s="773"/>
      <c r="C59" s="775"/>
      <c r="D59" s="757"/>
      <c r="E59" s="577" t="s">
        <v>198</v>
      </c>
      <c r="F59" s="237" t="s">
        <v>60</v>
      </c>
      <c r="G59" s="238"/>
      <c r="H59" s="239"/>
      <c r="I59" s="420" t="str">
        <f t="shared" si="21"/>
        <v/>
      </c>
      <c r="J59" s="239"/>
      <c r="K59" s="240" t="str">
        <f t="shared" si="22"/>
        <v/>
      </c>
      <c r="L59" s="241"/>
      <c r="M59" s="240" t="str">
        <f t="shared" si="23"/>
        <v/>
      </c>
      <c r="N59" s="241"/>
      <c r="O59" s="228"/>
      <c r="P59" s="229"/>
      <c r="Q59" s="228"/>
      <c r="R59" s="229"/>
      <c r="S59" s="667" t="s">
        <v>21</v>
      </c>
      <c r="T59" s="668" t="s">
        <v>21</v>
      </c>
      <c r="U59" s="667" t="s">
        <v>21</v>
      </c>
      <c r="V59" s="669" t="s">
        <v>21</v>
      </c>
      <c r="W59" s="205" t="s">
        <v>206</v>
      </c>
      <c r="AB59" s="2" t="str">
        <f t="shared" si="5"/>
        <v/>
      </c>
    </row>
    <row r="60" spans="1:28" x14ac:dyDescent="0.3">
      <c r="A60" s="20" t="str">
        <f t="shared" si="20"/>
        <v/>
      </c>
      <c r="B60" s="773"/>
      <c r="C60" s="775"/>
      <c r="D60" s="757"/>
      <c r="E60" s="577" t="s">
        <v>9</v>
      </c>
      <c r="F60" s="237" t="s">
        <v>60</v>
      </c>
      <c r="G60" s="238"/>
      <c r="H60" s="239"/>
      <c r="I60" s="420" t="str">
        <f t="shared" si="21"/>
        <v/>
      </c>
      <c r="J60" s="239"/>
      <c r="K60" s="240" t="str">
        <f t="shared" si="22"/>
        <v/>
      </c>
      <c r="L60" s="241"/>
      <c r="M60" s="240" t="str">
        <f t="shared" si="23"/>
        <v/>
      </c>
      <c r="N60" s="241"/>
      <c r="O60" s="228"/>
      <c r="P60" s="229"/>
      <c r="Q60" s="228"/>
      <c r="R60" s="229"/>
      <c r="S60" s="667" t="s">
        <v>21</v>
      </c>
      <c r="T60" s="668" t="s">
        <v>21</v>
      </c>
      <c r="U60" s="667" t="s">
        <v>21</v>
      </c>
      <c r="V60" s="669" t="s">
        <v>21</v>
      </c>
      <c r="W60" s="205" t="s">
        <v>206</v>
      </c>
      <c r="AB60" s="2" t="str">
        <f t="shared" si="5"/>
        <v/>
      </c>
    </row>
    <row r="61" spans="1:28" ht="15.75" customHeight="1" x14ac:dyDescent="0.3">
      <c r="A61" s="20" t="str">
        <f t="shared" si="20"/>
        <v/>
      </c>
      <c r="B61" s="773"/>
      <c r="C61" s="775"/>
      <c r="D61" s="757"/>
      <c r="E61" s="721" t="s">
        <v>166</v>
      </c>
      <c r="F61" s="237"/>
      <c r="G61" s="238"/>
      <c r="H61" s="239"/>
      <c r="I61" s="686"/>
      <c r="J61" s="239"/>
      <c r="K61" s="240"/>
      <c r="L61" s="241"/>
      <c r="M61" s="240"/>
      <c r="N61" s="241"/>
      <c r="O61" s="228"/>
      <c r="P61" s="229"/>
      <c r="Q61" s="228"/>
      <c r="R61" s="229"/>
      <c r="S61" s="667" t="s">
        <v>21</v>
      </c>
      <c r="T61" s="668" t="s">
        <v>21</v>
      </c>
      <c r="U61" s="667" t="s">
        <v>21</v>
      </c>
      <c r="V61" s="669" t="s">
        <v>21</v>
      </c>
      <c r="W61" s="205"/>
    </row>
    <row r="62" spans="1:28" ht="15.75" customHeight="1" x14ac:dyDescent="0.3">
      <c r="A62" s="20" t="str">
        <f t="shared" si="20"/>
        <v/>
      </c>
      <c r="B62" s="773"/>
      <c r="C62" s="775"/>
      <c r="D62" s="757"/>
      <c r="E62" s="721" t="s">
        <v>166</v>
      </c>
      <c r="F62" s="237"/>
      <c r="G62" s="238"/>
      <c r="H62" s="239"/>
      <c r="I62" s="686"/>
      <c r="J62" s="239"/>
      <c r="K62" s="240"/>
      <c r="L62" s="241"/>
      <c r="M62" s="240"/>
      <c r="N62" s="241"/>
      <c r="O62" s="228"/>
      <c r="P62" s="229"/>
      <c r="Q62" s="228"/>
      <c r="R62" s="229"/>
      <c r="S62" s="667" t="s">
        <v>21</v>
      </c>
      <c r="T62" s="668" t="s">
        <v>21</v>
      </c>
      <c r="U62" s="667" t="s">
        <v>21</v>
      </c>
      <c r="V62" s="669" t="s">
        <v>21</v>
      </c>
      <c r="W62" s="205"/>
    </row>
    <row r="63" spans="1:28" ht="15.75" customHeight="1" x14ac:dyDescent="0.3">
      <c r="A63" s="20" t="str">
        <f t="shared" si="20"/>
        <v/>
      </c>
      <c r="B63" s="773"/>
      <c r="C63" s="775"/>
      <c r="D63" s="757"/>
      <c r="E63" s="722" t="s">
        <v>166</v>
      </c>
      <c r="F63" s="242"/>
      <c r="G63" s="243"/>
      <c r="H63" s="244"/>
      <c r="I63" s="687"/>
      <c r="J63" s="244"/>
      <c r="K63" s="245"/>
      <c r="L63" s="246"/>
      <c r="M63" s="245"/>
      <c r="N63" s="246"/>
      <c r="O63" s="230"/>
      <c r="P63" s="231"/>
      <c r="Q63" s="230"/>
      <c r="R63" s="231"/>
      <c r="S63" s="670" t="s">
        <v>21</v>
      </c>
      <c r="T63" s="671" t="s">
        <v>21</v>
      </c>
      <c r="U63" s="670" t="s">
        <v>21</v>
      </c>
      <c r="V63" s="672" t="s">
        <v>21</v>
      </c>
      <c r="W63" s="205"/>
    </row>
    <row r="64" spans="1:28" ht="16.2" thickBot="1" x14ac:dyDescent="0.35">
      <c r="A64" s="20" t="str">
        <f t="shared" si="20"/>
        <v>S</v>
      </c>
      <c r="B64" s="774"/>
      <c r="C64" s="777"/>
      <c r="D64" s="311" t="s">
        <v>138</v>
      </c>
      <c r="E64" s="724"/>
      <c r="F64" s="219"/>
      <c r="G64" s="7">
        <f>SUM(G50:G63)</f>
        <v>0</v>
      </c>
      <c r="H64" s="8">
        <f>SUM(H50:H63)</f>
        <v>0</v>
      </c>
      <c r="I64" s="9" t="e">
        <f>IF(J64="","",J64/G64)</f>
        <v>#DIV/0!</v>
      </c>
      <c r="J64" s="202">
        <f>SUM(J50:J63)</f>
        <v>0</v>
      </c>
      <c r="K64" s="9" t="e">
        <f t="shared" si="22"/>
        <v>#DIV/0!</v>
      </c>
      <c r="L64" s="202">
        <f>SUM(L50:L63)</f>
        <v>0</v>
      </c>
      <c r="M64" s="9" t="e">
        <f t="shared" si="23"/>
        <v>#DIV/0!</v>
      </c>
      <c r="N64" s="202">
        <f t="shared" ref="N64:V64" si="24">SUM(N50:N63)</f>
        <v>0</v>
      </c>
      <c r="O64" s="500">
        <f t="shared" si="24"/>
        <v>0</v>
      </c>
      <c r="P64" s="501">
        <f t="shared" si="24"/>
        <v>0</v>
      </c>
      <c r="Q64" s="500">
        <f t="shared" si="24"/>
        <v>0</v>
      </c>
      <c r="R64" s="501">
        <f t="shared" si="24"/>
        <v>0</v>
      </c>
      <c r="S64" s="500">
        <f t="shared" si="24"/>
        <v>0</v>
      </c>
      <c r="T64" s="501">
        <f t="shared" si="24"/>
        <v>0</v>
      </c>
      <c r="U64" s="500">
        <f t="shared" si="24"/>
        <v>0</v>
      </c>
      <c r="V64" s="502">
        <f t="shared" si="24"/>
        <v>0</v>
      </c>
      <c r="W64" s="205" t="s">
        <v>206</v>
      </c>
      <c r="AB64" s="2">
        <f t="shared" si="5"/>
        <v>0</v>
      </c>
    </row>
    <row r="65" spans="1:28" s="15" customFormat="1" ht="27.75" customHeight="1" thickBot="1" x14ac:dyDescent="0.35">
      <c r="A65" s="20" t="str">
        <f t="shared" si="20"/>
        <v>X</v>
      </c>
      <c r="B65" s="102" t="s">
        <v>78</v>
      </c>
      <c r="C65" s="103"/>
      <c r="D65" s="103">
        <f>SUM(D5:D60)</f>
        <v>40</v>
      </c>
      <c r="E65" s="716" t="s">
        <v>79</v>
      </c>
      <c r="F65" s="372"/>
      <c r="G65" s="341">
        <f>G8+G12+G34+G49+G64</f>
        <v>0</v>
      </c>
      <c r="H65" s="342">
        <f>H8+H12+H34+H49+H64</f>
        <v>0</v>
      </c>
      <c r="I65" s="343" t="e">
        <f t="shared" ref="I65:I142" si="25">IF(J65="","",J65/G65)</f>
        <v>#DIV/0!</v>
      </c>
      <c r="J65" s="33">
        <f>J8+J12+J34+J49+J64</f>
        <v>0</v>
      </c>
      <c r="K65" s="32" t="e">
        <f t="shared" si="22"/>
        <v>#DIV/0!</v>
      </c>
      <c r="L65" s="33">
        <f>L8+L12+L34+L49+L64</f>
        <v>0</v>
      </c>
      <c r="M65" s="343" t="e">
        <f t="shared" si="23"/>
        <v>#DIV/0!</v>
      </c>
      <c r="N65" s="33">
        <f t="shared" ref="N65:V65" si="26">N8+N12+N34+N49+N64</f>
        <v>0</v>
      </c>
      <c r="O65" s="34">
        <f t="shared" si="26"/>
        <v>0</v>
      </c>
      <c r="P65" s="35">
        <f t="shared" si="26"/>
        <v>0</v>
      </c>
      <c r="Q65" s="34">
        <f t="shared" si="26"/>
        <v>0</v>
      </c>
      <c r="R65" s="35">
        <f t="shared" si="26"/>
        <v>0</v>
      </c>
      <c r="S65" s="267">
        <f t="shared" si="26"/>
        <v>0</v>
      </c>
      <c r="T65" s="266">
        <f t="shared" si="26"/>
        <v>0</v>
      </c>
      <c r="U65" s="267">
        <f t="shared" si="26"/>
        <v>0</v>
      </c>
      <c r="V65" s="340">
        <f t="shared" si="26"/>
        <v>0</v>
      </c>
      <c r="W65" s="205" t="s">
        <v>206</v>
      </c>
      <c r="X65" s="362"/>
      <c r="Y65" s="1"/>
      <c r="AB65" s="2">
        <f t="shared" si="5"/>
        <v>0</v>
      </c>
    </row>
    <row r="66" spans="1:28" ht="15" customHeight="1" x14ac:dyDescent="0.3">
      <c r="A66" s="20" t="str">
        <f t="shared" si="20"/>
        <v/>
      </c>
      <c r="B66" s="778" t="s">
        <v>84</v>
      </c>
      <c r="C66" s="781" t="s">
        <v>76</v>
      </c>
      <c r="D66" s="768">
        <v>10</v>
      </c>
      <c r="E66" s="726" t="s">
        <v>25</v>
      </c>
      <c r="F66" s="465" t="s">
        <v>60</v>
      </c>
      <c r="G66" s="233"/>
      <c r="H66" s="234"/>
      <c r="I66" s="235" t="str">
        <f t="shared" si="25"/>
        <v/>
      </c>
      <c r="J66" s="236"/>
      <c r="K66" s="235" t="str">
        <f t="shared" si="22"/>
        <v/>
      </c>
      <c r="L66" s="236"/>
      <c r="M66" s="235" t="str">
        <f t="shared" si="23"/>
        <v/>
      </c>
      <c r="N66" s="236"/>
      <c r="O66" s="226"/>
      <c r="P66" s="227"/>
      <c r="Q66" s="226"/>
      <c r="R66" s="227"/>
      <c r="S66" s="664"/>
      <c r="T66" s="665"/>
      <c r="U66" s="664"/>
      <c r="V66" s="666"/>
      <c r="W66" s="205" t="s">
        <v>206</v>
      </c>
      <c r="AB66" s="2" t="str">
        <f t="shared" si="5"/>
        <v/>
      </c>
    </row>
    <row r="67" spans="1:28" ht="15" customHeight="1" x14ac:dyDescent="0.3">
      <c r="A67" s="20" t="str">
        <f t="shared" si="20"/>
        <v/>
      </c>
      <c r="B67" s="779"/>
      <c r="C67" s="782"/>
      <c r="D67" s="760"/>
      <c r="E67" s="721" t="s">
        <v>26</v>
      </c>
      <c r="F67" s="410" t="s">
        <v>60</v>
      </c>
      <c r="G67" s="238"/>
      <c r="H67" s="239"/>
      <c r="I67" s="240" t="str">
        <f t="shared" si="25"/>
        <v/>
      </c>
      <c r="J67" s="241"/>
      <c r="K67" s="240" t="str">
        <f t="shared" si="22"/>
        <v/>
      </c>
      <c r="L67" s="241"/>
      <c r="M67" s="240" t="str">
        <f t="shared" si="23"/>
        <v/>
      </c>
      <c r="N67" s="241"/>
      <c r="O67" s="228"/>
      <c r="P67" s="229"/>
      <c r="Q67" s="228"/>
      <c r="R67" s="229"/>
      <c r="S67" s="667"/>
      <c r="T67" s="668"/>
      <c r="U67" s="667"/>
      <c r="V67" s="669"/>
      <c r="W67" s="205" t="s">
        <v>206</v>
      </c>
      <c r="AB67" s="2" t="str">
        <f t="shared" si="5"/>
        <v/>
      </c>
    </row>
    <row r="68" spans="1:28" ht="15" customHeight="1" x14ac:dyDescent="0.3">
      <c r="A68" s="20" t="str">
        <f t="shared" si="20"/>
        <v/>
      </c>
      <c r="B68" s="779"/>
      <c r="C68" s="782"/>
      <c r="D68" s="760"/>
      <c r="E68" s="721" t="s">
        <v>58</v>
      </c>
      <c r="F68" s="410" t="s">
        <v>60</v>
      </c>
      <c r="G68" s="238"/>
      <c r="H68" s="239"/>
      <c r="I68" s="240" t="str">
        <f t="shared" si="25"/>
        <v/>
      </c>
      <c r="J68" s="241"/>
      <c r="K68" s="240" t="str">
        <f t="shared" si="22"/>
        <v/>
      </c>
      <c r="L68" s="241"/>
      <c r="M68" s="240" t="str">
        <f t="shared" si="23"/>
        <v/>
      </c>
      <c r="N68" s="241"/>
      <c r="O68" s="228"/>
      <c r="P68" s="229"/>
      <c r="Q68" s="228"/>
      <c r="R68" s="229"/>
      <c r="S68" s="667" t="s">
        <v>21</v>
      </c>
      <c r="T68" s="668" t="s">
        <v>21</v>
      </c>
      <c r="U68" s="667" t="s">
        <v>21</v>
      </c>
      <c r="V68" s="669" t="s">
        <v>21</v>
      </c>
      <c r="W68" s="205" t="s">
        <v>206</v>
      </c>
      <c r="AB68" s="2" t="str">
        <f t="shared" si="5"/>
        <v/>
      </c>
    </row>
    <row r="69" spans="1:28" ht="15" customHeight="1" x14ac:dyDescent="0.3">
      <c r="A69" s="20" t="str">
        <f t="shared" si="20"/>
        <v/>
      </c>
      <c r="B69" s="779"/>
      <c r="C69" s="782"/>
      <c r="D69" s="760"/>
      <c r="E69" s="721" t="s">
        <v>24</v>
      </c>
      <c r="F69" s="410" t="s">
        <v>62</v>
      </c>
      <c r="G69" s="238"/>
      <c r="H69" s="239"/>
      <c r="I69" s="240" t="str">
        <f t="shared" si="25"/>
        <v/>
      </c>
      <c r="J69" s="241"/>
      <c r="K69" s="240" t="str">
        <f t="shared" si="22"/>
        <v/>
      </c>
      <c r="L69" s="241"/>
      <c r="M69" s="240" t="str">
        <f t="shared" si="23"/>
        <v/>
      </c>
      <c r="N69" s="241"/>
      <c r="O69" s="228"/>
      <c r="P69" s="229"/>
      <c r="Q69" s="228"/>
      <c r="R69" s="229"/>
      <c r="S69" s="667"/>
      <c r="T69" s="668"/>
      <c r="U69" s="667"/>
      <c r="V69" s="669"/>
      <c r="W69" s="205" t="s">
        <v>206</v>
      </c>
      <c r="AB69" s="2" t="str">
        <f t="shared" si="5"/>
        <v/>
      </c>
    </row>
    <row r="70" spans="1:28" ht="15" customHeight="1" x14ac:dyDescent="0.3">
      <c r="A70" s="20" t="str">
        <f t="shared" si="20"/>
        <v/>
      </c>
      <c r="B70" s="779"/>
      <c r="C70" s="782"/>
      <c r="D70" s="760"/>
      <c r="E70" s="721" t="s">
        <v>23</v>
      </c>
      <c r="F70" s="410" t="s">
        <v>60</v>
      </c>
      <c r="G70" s="238"/>
      <c r="H70" s="239"/>
      <c r="I70" s="240" t="str">
        <f t="shared" si="25"/>
        <v/>
      </c>
      <c r="J70" s="241"/>
      <c r="K70" s="240" t="str">
        <f t="shared" si="22"/>
        <v/>
      </c>
      <c r="L70" s="241"/>
      <c r="M70" s="240" t="str">
        <f t="shared" si="23"/>
        <v/>
      </c>
      <c r="N70" s="241"/>
      <c r="O70" s="228"/>
      <c r="P70" s="229"/>
      <c r="Q70" s="228"/>
      <c r="R70" s="229"/>
      <c r="S70" s="667" t="s">
        <v>21</v>
      </c>
      <c r="T70" s="668" t="s">
        <v>21</v>
      </c>
      <c r="U70" s="667" t="s">
        <v>21</v>
      </c>
      <c r="V70" s="669" t="s">
        <v>21</v>
      </c>
      <c r="W70" s="205" t="s">
        <v>206</v>
      </c>
      <c r="AB70" s="2" t="str">
        <f t="shared" si="5"/>
        <v/>
      </c>
    </row>
    <row r="71" spans="1:28" ht="15" customHeight="1" x14ac:dyDescent="0.3">
      <c r="A71" s="20" t="str">
        <f t="shared" si="20"/>
        <v/>
      </c>
      <c r="B71" s="779"/>
      <c r="C71" s="782"/>
      <c r="D71" s="760"/>
      <c r="E71" s="727" t="s">
        <v>166</v>
      </c>
      <c r="F71" s="410" t="s">
        <v>203</v>
      </c>
      <c r="G71" s="238"/>
      <c r="H71" s="239"/>
      <c r="I71" s="240" t="str">
        <f t="shared" si="25"/>
        <v/>
      </c>
      <c r="J71" s="241"/>
      <c r="K71" s="240" t="str">
        <f t="shared" si="22"/>
        <v/>
      </c>
      <c r="L71" s="241"/>
      <c r="M71" s="240" t="str">
        <f t="shared" si="23"/>
        <v/>
      </c>
      <c r="N71" s="241"/>
      <c r="O71" s="228"/>
      <c r="P71" s="229"/>
      <c r="Q71" s="228"/>
      <c r="R71" s="229"/>
      <c r="S71" s="667"/>
      <c r="T71" s="668"/>
      <c r="U71" s="667"/>
      <c r="V71" s="669"/>
      <c r="W71" s="205" t="s">
        <v>206</v>
      </c>
      <c r="AB71" s="2" t="str">
        <f t="shared" si="5"/>
        <v/>
      </c>
    </row>
    <row r="72" spans="1:28" ht="15" customHeight="1" x14ac:dyDescent="0.3">
      <c r="A72" s="20" t="str">
        <f t="shared" si="20"/>
        <v/>
      </c>
      <c r="B72" s="779"/>
      <c r="C72" s="782"/>
      <c r="D72" s="760"/>
      <c r="E72" s="727" t="s">
        <v>166</v>
      </c>
      <c r="F72" s="410" t="s">
        <v>203</v>
      </c>
      <c r="G72" s="238"/>
      <c r="H72" s="239"/>
      <c r="I72" s="240" t="str">
        <f t="shared" si="25"/>
        <v/>
      </c>
      <c r="J72" s="241"/>
      <c r="K72" s="240" t="str">
        <f t="shared" si="22"/>
        <v/>
      </c>
      <c r="L72" s="241"/>
      <c r="M72" s="240" t="str">
        <f t="shared" si="23"/>
        <v/>
      </c>
      <c r="N72" s="241"/>
      <c r="O72" s="228"/>
      <c r="P72" s="229"/>
      <c r="Q72" s="228"/>
      <c r="R72" s="229"/>
      <c r="S72" s="667"/>
      <c r="T72" s="668"/>
      <c r="U72" s="667"/>
      <c r="V72" s="669"/>
      <c r="W72" s="205" t="s">
        <v>206</v>
      </c>
      <c r="AB72" s="2" t="str">
        <f t="shared" si="5"/>
        <v/>
      </c>
    </row>
    <row r="73" spans="1:28" ht="15" customHeight="1" x14ac:dyDescent="0.3">
      <c r="A73" s="20" t="str">
        <f t="shared" si="20"/>
        <v/>
      </c>
      <c r="B73" s="779"/>
      <c r="C73" s="782"/>
      <c r="D73" s="760"/>
      <c r="E73" s="721" t="s">
        <v>22</v>
      </c>
      <c r="F73" s="410" t="s">
        <v>62</v>
      </c>
      <c r="G73" s="238"/>
      <c r="H73" s="239"/>
      <c r="I73" s="240" t="str">
        <f t="shared" si="25"/>
        <v/>
      </c>
      <c r="J73" s="241"/>
      <c r="K73" s="240" t="str">
        <f t="shared" si="22"/>
        <v/>
      </c>
      <c r="L73" s="241"/>
      <c r="M73" s="240" t="str">
        <f t="shared" si="23"/>
        <v/>
      </c>
      <c r="N73" s="241"/>
      <c r="O73" s="228"/>
      <c r="P73" s="229"/>
      <c r="Q73" s="228"/>
      <c r="R73" s="229"/>
      <c r="S73" s="667"/>
      <c r="T73" s="668"/>
      <c r="U73" s="667"/>
      <c r="V73" s="669"/>
      <c r="W73" s="205" t="s">
        <v>206</v>
      </c>
      <c r="AB73" s="2" t="str">
        <f t="shared" si="5"/>
        <v/>
      </c>
    </row>
    <row r="74" spans="1:28" ht="15" customHeight="1" x14ac:dyDescent="0.3">
      <c r="A74" s="20" t="str">
        <f t="shared" si="20"/>
        <v/>
      </c>
      <c r="B74" s="779"/>
      <c r="C74" s="782"/>
      <c r="D74" s="760"/>
      <c r="E74" s="727" t="s">
        <v>166</v>
      </c>
      <c r="F74" s="410"/>
      <c r="G74" s="238"/>
      <c r="H74" s="239"/>
      <c r="I74" s="240"/>
      <c r="J74" s="241"/>
      <c r="K74" s="240"/>
      <c r="L74" s="241"/>
      <c r="M74" s="240"/>
      <c r="N74" s="241"/>
      <c r="O74" s="228"/>
      <c r="P74" s="229"/>
      <c r="Q74" s="228"/>
      <c r="R74" s="229"/>
      <c r="S74" s="667"/>
      <c r="T74" s="668"/>
      <c r="U74" s="667"/>
      <c r="V74" s="669"/>
      <c r="W74" s="205"/>
    </row>
    <row r="75" spans="1:28" ht="15" customHeight="1" x14ac:dyDescent="0.3">
      <c r="A75" s="20" t="str">
        <f t="shared" si="20"/>
        <v/>
      </c>
      <c r="B75" s="779"/>
      <c r="C75" s="782"/>
      <c r="D75" s="760"/>
      <c r="E75" s="727" t="s">
        <v>166</v>
      </c>
      <c r="F75" s="410"/>
      <c r="G75" s="238"/>
      <c r="H75" s="239"/>
      <c r="I75" s="240"/>
      <c r="J75" s="241"/>
      <c r="K75" s="240"/>
      <c r="L75" s="241"/>
      <c r="M75" s="240"/>
      <c r="N75" s="241"/>
      <c r="O75" s="228"/>
      <c r="P75" s="229"/>
      <c r="Q75" s="228"/>
      <c r="R75" s="229"/>
      <c r="S75" s="667"/>
      <c r="T75" s="668"/>
      <c r="U75" s="667"/>
      <c r="V75" s="669"/>
      <c r="W75" s="205"/>
    </row>
    <row r="76" spans="1:28" ht="15" customHeight="1" x14ac:dyDescent="0.3">
      <c r="A76" s="20" t="str">
        <f t="shared" si="20"/>
        <v/>
      </c>
      <c r="B76" s="779"/>
      <c r="C76" s="782"/>
      <c r="D76" s="760"/>
      <c r="E76" s="728" t="s">
        <v>166</v>
      </c>
      <c r="F76" s="449"/>
      <c r="G76" s="243"/>
      <c r="H76" s="244"/>
      <c r="I76" s="245"/>
      <c r="J76" s="246"/>
      <c r="K76" s="245"/>
      <c r="L76" s="246"/>
      <c r="M76" s="245"/>
      <c r="N76" s="246"/>
      <c r="O76" s="230"/>
      <c r="P76" s="231"/>
      <c r="Q76" s="230"/>
      <c r="R76" s="231"/>
      <c r="S76" s="670"/>
      <c r="T76" s="671"/>
      <c r="U76" s="670"/>
      <c r="V76" s="672"/>
      <c r="W76" s="205"/>
    </row>
    <row r="77" spans="1:28" ht="15.6" x14ac:dyDescent="0.3">
      <c r="A77" s="20" t="str">
        <f t="shared" si="20"/>
        <v>S</v>
      </c>
      <c r="B77" s="784"/>
      <c r="C77" s="782"/>
      <c r="D77" s="309" t="s">
        <v>138</v>
      </c>
      <c r="E77" s="717"/>
      <c r="F77" s="16"/>
      <c r="G77" s="7">
        <f>SUM(G66:G76)</f>
        <v>0</v>
      </c>
      <c r="H77" s="8">
        <f>SUM(H66:H76)</f>
        <v>0</v>
      </c>
      <c r="I77" s="9" t="e">
        <f t="shared" si="25"/>
        <v>#DIV/0!</v>
      </c>
      <c r="J77" s="202">
        <f>SUM(J66:J76)</f>
        <v>0</v>
      </c>
      <c r="K77" s="51" t="e">
        <f t="shared" si="22"/>
        <v>#DIV/0!</v>
      </c>
      <c r="L77" s="202">
        <f>SUM(L66:L76)</f>
        <v>0</v>
      </c>
      <c r="M77" s="9" t="e">
        <f t="shared" si="23"/>
        <v>#DIV/0!</v>
      </c>
      <c r="N77" s="202">
        <f>SUM(N66:N76)</f>
        <v>0</v>
      </c>
      <c r="O77" s="118">
        <f t="shared" ref="O77:V77" si="27">SUM(O66:O76)</f>
        <v>0</v>
      </c>
      <c r="P77" s="119">
        <f t="shared" si="27"/>
        <v>0</v>
      </c>
      <c r="Q77" s="118">
        <f t="shared" si="27"/>
        <v>0</v>
      </c>
      <c r="R77" s="119">
        <f t="shared" si="27"/>
        <v>0</v>
      </c>
      <c r="S77" s="118">
        <f t="shared" si="27"/>
        <v>0</v>
      </c>
      <c r="T77" s="119">
        <f t="shared" si="27"/>
        <v>0</v>
      </c>
      <c r="U77" s="118">
        <f t="shared" si="27"/>
        <v>0</v>
      </c>
      <c r="V77" s="120">
        <f t="shared" si="27"/>
        <v>0</v>
      </c>
      <c r="W77" s="205" t="s">
        <v>206</v>
      </c>
      <c r="AB77" s="2">
        <f t="shared" si="5"/>
        <v>0</v>
      </c>
    </row>
    <row r="78" spans="1:28" x14ac:dyDescent="0.3">
      <c r="A78" s="20" t="str">
        <f t="shared" si="20"/>
        <v/>
      </c>
      <c r="B78" s="779" t="s">
        <v>167</v>
      </c>
      <c r="C78" s="782" t="s">
        <v>76</v>
      </c>
      <c r="D78" s="757">
        <v>4</v>
      </c>
      <c r="E78" s="719" t="s">
        <v>171</v>
      </c>
      <c r="F78" s="232" t="s">
        <v>62</v>
      </c>
      <c r="G78" s="233"/>
      <c r="H78" s="234"/>
      <c r="I78" s="235" t="str">
        <f t="shared" si="25"/>
        <v/>
      </c>
      <c r="J78" s="236"/>
      <c r="K78" s="235" t="str">
        <f t="shared" si="22"/>
        <v/>
      </c>
      <c r="L78" s="236"/>
      <c r="M78" s="235" t="str">
        <f t="shared" si="23"/>
        <v/>
      </c>
      <c r="N78" s="236"/>
      <c r="O78" s="226"/>
      <c r="P78" s="227"/>
      <c r="Q78" s="226"/>
      <c r="R78" s="227"/>
      <c r="S78" s="284"/>
      <c r="T78" s="285"/>
      <c r="U78" s="284"/>
      <c r="V78" s="286"/>
      <c r="W78" s="205" t="s">
        <v>206</v>
      </c>
      <c r="X78" s="1" t="s">
        <v>172</v>
      </c>
      <c r="AB78" s="2" t="str">
        <f t="shared" si="5"/>
        <v/>
      </c>
    </row>
    <row r="79" spans="1:28" x14ac:dyDescent="0.3">
      <c r="A79" s="20" t="str">
        <f t="shared" si="20"/>
        <v/>
      </c>
      <c r="B79" s="779"/>
      <c r="C79" s="782"/>
      <c r="D79" s="757"/>
      <c r="E79" s="577" t="s">
        <v>173</v>
      </c>
      <c r="F79" s="237" t="s">
        <v>62</v>
      </c>
      <c r="G79" s="238"/>
      <c r="H79" s="239"/>
      <c r="I79" s="240" t="str">
        <f t="shared" si="25"/>
        <v/>
      </c>
      <c r="J79" s="241"/>
      <c r="K79" s="240" t="str">
        <f t="shared" si="22"/>
        <v/>
      </c>
      <c r="L79" s="241"/>
      <c r="M79" s="240" t="str">
        <f t="shared" si="23"/>
        <v/>
      </c>
      <c r="N79" s="241"/>
      <c r="O79" s="228"/>
      <c r="P79" s="229"/>
      <c r="Q79" s="228"/>
      <c r="R79" s="229"/>
      <c r="S79" s="287"/>
      <c r="T79" s="288"/>
      <c r="U79" s="287"/>
      <c r="V79" s="289"/>
      <c r="W79" s="205" t="s">
        <v>206</v>
      </c>
      <c r="X79" s="1" t="s">
        <v>174</v>
      </c>
      <c r="AB79" s="2" t="str">
        <f t="shared" si="5"/>
        <v/>
      </c>
    </row>
    <row r="80" spans="1:28" ht="15" customHeight="1" x14ac:dyDescent="0.3">
      <c r="A80" s="20" t="str">
        <f t="shared" si="20"/>
        <v/>
      </c>
      <c r="B80" s="779"/>
      <c r="C80" s="782"/>
      <c r="D80" s="757"/>
      <c r="E80" s="727" t="s">
        <v>166</v>
      </c>
      <c r="F80" s="237"/>
      <c r="G80" s="238"/>
      <c r="H80" s="239"/>
      <c r="I80" s="240" t="str">
        <f t="shared" si="25"/>
        <v/>
      </c>
      <c r="J80" s="241"/>
      <c r="K80" s="240" t="str">
        <f t="shared" si="22"/>
        <v/>
      </c>
      <c r="L80" s="241"/>
      <c r="M80" s="240" t="str">
        <f t="shared" si="23"/>
        <v/>
      </c>
      <c r="N80" s="241"/>
      <c r="O80" s="228"/>
      <c r="P80" s="229"/>
      <c r="Q80" s="228"/>
      <c r="R80" s="229"/>
      <c r="S80" s="287"/>
      <c r="T80" s="288"/>
      <c r="U80" s="287"/>
      <c r="V80" s="289"/>
      <c r="W80" s="205" t="s">
        <v>206</v>
      </c>
      <c r="AB80" s="2" t="str">
        <f t="shared" si="5"/>
        <v/>
      </c>
    </row>
    <row r="81" spans="1:28" ht="15" customHeight="1" x14ac:dyDescent="0.3">
      <c r="A81" s="20" t="str">
        <f t="shared" si="20"/>
        <v/>
      </c>
      <c r="B81" s="779"/>
      <c r="C81" s="782"/>
      <c r="D81" s="757"/>
      <c r="E81" s="727" t="s">
        <v>166</v>
      </c>
      <c r="F81" s="237"/>
      <c r="G81" s="238"/>
      <c r="H81" s="239"/>
      <c r="I81" s="240" t="str">
        <f t="shared" si="25"/>
        <v/>
      </c>
      <c r="J81" s="241"/>
      <c r="K81" s="240" t="str">
        <f t="shared" si="22"/>
        <v/>
      </c>
      <c r="L81" s="241"/>
      <c r="M81" s="240" t="str">
        <f t="shared" si="23"/>
        <v/>
      </c>
      <c r="N81" s="241"/>
      <c r="O81" s="228"/>
      <c r="P81" s="229"/>
      <c r="Q81" s="228"/>
      <c r="R81" s="229"/>
      <c r="S81" s="287"/>
      <c r="T81" s="288"/>
      <c r="U81" s="287"/>
      <c r="V81" s="289"/>
      <c r="W81" s="205" t="s">
        <v>206</v>
      </c>
      <c r="AB81" s="2" t="str">
        <f t="shared" si="5"/>
        <v/>
      </c>
    </row>
    <row r="82" spans="1:28" ht="15" customHeight="1" x14ac:dyDescent="0.3">
      <c r="A82" s="20" t="str">
        <f t="shared" si="20"/>
        <v/>
      </c>
      <c r="B82" s="779"/>
      <c r="C82" s="782"/>
      <c r="D82" s="757"/>
      <c r="E82" s="727" t="s">
        <v>166</v>
      </c>
      <c r="F82" s="237" t="s">
        <v>203</v>
      </c>
      <c r="G82" s="238"/>
      <c r="H82" s="239"/>
      <c r="I82" s="240" t="str">
        <f t="shared" si="25"/>
        <v/>
      </c>
      <c r="J82" s="241"/>
      <c r="K82" s="240" t="str">
        <f t="shared" si="22"/>
        <v/>
      </c>
      <c r="L82" s="241"/>
      <c r="M82" s="240" t="str">
        <f t="shared" si="23"/>
        <v/>
      </c>
      <c r="N82" s="241"/>
      <c r="O82" s="228"/>
      <c r="P82" s="229"/>
      <c r="Q82" s="228"/>
      <c r="R82" s="229"/>
      <c r="S82" s="287"/>
      <c r="T82" s="288"/>
      <c r="U82" s="287"/>
      <c r="V82" s="289"/>
      <c r="W82" s="205" t="s">
        <v>206</v>
      </c>
      <c r="AB82" s="2" t="str">
        <f t="shared" si="5"/>
        <v/>
      </c>
    </row>
    <row r="83" spans="1:28" ht="15" customHeight="1" x14ac:dyDescent="0.3">
      <c r="A83" s="20" t="str">
        <f t="shared" si="20"/>
        <v/>
      </c>
      <c r="B83" s="779"/>
      <c r="C83" s="782"/>
      <c r="D83" s="757"/>
      <c r="E83" s="727" t="s">
        <v>166</v>
      </c>
      <c r="F83" s="237" t="s">
        <v>203</v>
      </c>
      <c r="G83" s="238"/>
      <c r="H83" s="239"/>
      <c r="I83" s="240" t="str">
        <f t="shared" si="25"/>
        <v/>
      </c>
      <c r="J83" s="241"/>
      <c r="K83" s="240" t="str">
        <f t="shared" si="22"/>
        <v/>
      </c>
      <c r="L83" s="241"/>
      <c r="M83" s="240" t="str">
        <f t="shared" si="23"/>
        <v/>
      </c>
      <c r="N83" s="241"/>
      <c r="O83" s="228"/>
      <c r="P83" s="229"/>
      <c r="Q83" s="228"/>
      <c r="R83" s="229"/>
      <c r="S83" s="287"/>
      <c r="T83" s="288"/>
      <c r="U83" s="287"/>
      <c r="V83" s="289"/>
      <c r="W83" s="205" t="s">
        <v>206</v>
      </c>
      <c r="AB83" s="2" t="str">
        <f t="shared" si="5"/>
        <v/>
      </c>
    </row>
    <row r="84" spans="1:28" ht="15" customHeight="1" x14ac:dyDescent="0.3">
      <c r="A84" s="20" t="str">
        <f t="shared" si="20"/>
        <v/>
      </c>
      <c r="B84" s="779"/>
      <c r="C84" s="782"/>
      <c r="D84" s="757"/>
      <c r="E84" s="728" t="s">
        <v>166</v>
      </c>
      <c r="F84" s="242"/>
      <c r="G84" s="243"/>
      <c r="H84" s="244"/>
      <c r="I84" s="245" t="str">
        <f t="shared" si="25"/>
        <v/>
      </c>
      <c r="J84" s="246"/>
      <c r="K84" s="245" t="str">
        <f t="shared" si="22"/>
        <v/>
      </c>
      <c r="L84" s="246"/>
      <c r="M84" s="245" t="str">
        <f t="shared" si="23"/>
        <v/>
      </c>
      <c r="N84" s="246"/>
      <c r="O84" s="230"/>
      <c r="P84" s="231"/>
      <c r="Q84" s="230"/>
      <c r="R84" s="231"/>
      <c r="S84" s="290"/>
      <c r="T84" s="291"/>
      <c r="U84" s="290"/>
      <c r="V84" s="292"/>
      <c r="W84" s="205" t="s">
        <v>206</v>
      </c>
      <c r="AB84" s="2" t="str">
        <f t="shared" si="5"/>
        <v/>
      </c>
    </row>
    <row r="85" spans="1:28" ht="15.6" x14ac:dyDescent="0.3">
      <c r="A85" s="20" t="str">
        <f t="shared" si="20"/>
        <v>S</v>
      </c>
      <c r="B85" s="784"/>
      <c r="C85" s="782"/>
      <c r="D85" s="309" t="s">
        <v>138</v>
      </c>
      <c r="E85" s="717"/>
      <c r="F85" s="16"/>
      <c r="G85" s="7">
        <f>SUM(G78:G84)</f>
        <v>0</v>
      </c>
      <c r="H85" s="8">
        <f>SUM(H78:H84)</f>
        <v>0</v>
      </c>
      <c r="I85" s="9" t="e">
        <f t="shared" si="25"/>
        <v>#DIV/0!</v>
      </c>
      <c r="J85" s="202">
        <f>SUM(J78:J84)</f>
        <v>0</v>
      </c>
      <c r="K85" s="51" t="e">
        <f t="shared" si="22"/>
        <v>#DIV/0!</v>
      </c>
      <c r="L85" s="202">
        <f>SUM(L78:L84)</f>
        <v>0</v>
      </c>
      <c r="M85" s="9" t="e">
        <f t="shared" si="23"/>
        <v>#DIV/0!</v>
      </c>
      <c r="N85" s="202">
        <f t="shared" ref="N85:V85" si="28">SUM(N78:N84)</f>
        <v>0</v>
      </c>
      <c r="O85" s="118">
        <f t="shared" si="28"/>
        <v>0</v>
      </c>
      <c r="P85" s="119">
        <f t="shared" si="28"/>
        <v>0</v>
      </c>
      <c r="Q85" s="118">
        <f t="shared" si="28"/>
        <v>0</v>
      </c>
      <c r="R85" s="119">
        <f t="shared" si="28"/>
        <v>0</v>
      </c>
      <c r="S85" s="118">
        <f t="shared" si="28"/>
        <v>0</v>
      </c>
      <c r="T85" s="119">
        <f t="shared" si="28"/>
        <v>0</v>
      </c>
      <c r="U85" s="118">
        <f t="shared" si="28"/>
        <v>0</v>
      </c>
      <c r="V85" s="120">
        <f t="shared" si="28"/>
        <v>0</v>
      </c>
      <c r="W85" s="205" t="s">
        <v>206</v>
      </c>
      <c r="AB85" s="2">
        <f t="shared" si="5"/>
        <v>0</v>
      </c>
    </row>
    <row r="86" spans="1:28" ht="15" customHeight="1" x14ac:dyDescent="0.3">
      <c r="A86" s="20" t="str">
        <f t="shared" si="20"/>
        <v/>
      </c>
      <c r="B86" s="746" t="s">
        <v>1</v>
      </c>
      <c r="C86" s="749" t="s">
        <v>76</v>
      </c>
      <c r="D86" s="754">
        <v>10</v>
      </c>
      <c r="E86" s="719" t="s">
        <v>27</v>
      </c>
      <c r="F86" s="232" t="s">
        <v>62</v>
      </c>
      <c r="G86" s="233"/>
      <c r="H86" s="234"/>
      <c r="I86" s="235" t="str">
        <f t="shared" si="25"/>
        <v/>
      </c>
      <c r="J86" s="236"/>
      <c r="K86" s="235" t="str">
        <f t="shared" si="22"/>
        <v/>
      </c>
      <c r="L86" s="236"/>
      <c r="M86" s="235" t="str">
        <f t="shared" si="23"/>
        <v/>
      </c>
      <c r="N86" s="236"/>
      <c r="O86" s="226"/>
      <c r="P86" s="227"/>
      <c r="Q86" s="226"/>
      <c r="R86" s="227"/>
      <c r="S86" s="284"/>
      <c r="T86" s="285"/>
      <c r="U86" s="284"/>
      <c r="V86" s="286"/>
      <c r="W86" s="205" t="s">
        <v>206</v>
      </c>
      <c r="AB86" s="2" t="str">
        <f t="shared" si="5"/>
        <v/>
      </c>
    </row>
    <row r="87" spans="1:28" ht="15" customHeight="1" x14ac:dyDescent="0.3">
      <c r="A87" s="20" t="str">
        <f t="shared" si="20"/>
        <v/>
      </c>
      <c r="B87" s="747"/>
      <c r="C87" s="750"/>
      <c r="D87" s="755"/>
      <c r="E87" s="577" t="s">
        <v>28</v>
      </c>
      <c r="F87" s="237" t="s">
        <v>62</v>
      </c>
      <c r="G87" s="238"/>
      <c r="H87" s="239"/>
      <c r="I87" s="240" t="str">
        <f t="shared" si="25"/>
        <v/>
      </c>
      <c r="J87" s="241"/>
      <c r="K87" s="240" t="str">
        <f t="shared" si="22"/>
        <v/>
      </c>
      <c r="L87" s="241"/>
      <c r="M87" s="240" t="str">
        <f t="shared" si="23"/>
        <v/>
      </c>
      <c r="N87" s="241"/>
      <c r="O87" s="228"/>
      <c r="P87" s="229"/>
      <c r="Q87" s="228"/>
      <c r="R87" s="229"/>
      <c r="S87" s="287"/>
      <c r="T87" s="288"/>
      <c r="U87" s="287"/>
      <c r="V87" s="289"/>
      <c r="W87" s="205" t="s">
        <v>206</v>
      </c>
      <c r="AB87" s="2" t="str">
        <f t="shared" si="5"/>
        <v/>
      </c>
    </row>
    <row r="88" spans="1:28" ht="15" customHeight="1" x14ac:dyDescent="0.3">
      <c r="A88" s="20" t="str">
        <f t="shared" si="20"/>
        <v/>
      </c>
      <c r="B88" s="747"/>
      <c r="C88" s="750"/>
      <c r="D88" s="755"/>
      <c r="E88" s="577" t="s">
        <v>29</v>
      </c>
      <c r="F88" s="237" t="s">
        <v>62</v>
      </c>
      <c r="G88" s="238"/>
      <c r="H88" s="239"/>
      <c r="I88" s="240" t="str">
        <f t="shared" si="25"/>
        <v/>
      </c>
      <c r="J88" s="241"/>
      <c r="K88" s="240" t="str">
        <f t="shared" si="22"/>
        <v/>
      </c>
      <c r="L88" s="241"/>
      <c r="M88" s="240" t="str">
        <f t="shared" si="23"/>
        <v/>
      </c>
      <c r="N88" s="241"/>
      <c r="O88" s="228"/>
      <c r="P88" s="229"/>
      <c r="Q88" s="228"/>
      <c r="R88" s="229"/>
      <c r="S88" s="287"/>
      <c r="T88" s="288"/>
      <c r="U88" s="287"/>
      <c r="V88" s="289"/>
      <c r="W88" s="205" t="s">
        <v>206</v>
      </c>
      <c r="AB88" s="2" t="str">
        <f t="shared" si="5"/>
        <v/>
      </c>
    </row>
    <row r="89" spans="1:28" ht="15" customHeight="1" x14ac:dyDescent="0.3">
      <c r="A89" s="20" t="str">
        <f t="shared" si="20"/>
        <v/>
      </c>
      <c r="B89" s="747"/>
      <c r="C89" s="750"/>
      <c r="D89" s="755"/>
      <c r="E89" s="577" t="s">
        <v>30</v>
      </c>
      <c r="F89" s="237" t="s">
        <v>62</v>
      </c>
      <c r="G89" s="238"/>
      <c r="H89" s="239"/>
      <c r="I89" s="240" t="str">
        <f t="shared" si="25"/>
        <v/>
      </c>
      <c r="J89" s="241"/>
      <c r="K89" s="240" t="str">
        <f t="shared" si="22"/>
        <v/>
      </c>
      <c r="L89" s="241"/>
      <c r="M89" s="240" t="str">
        <f t="shared" si="23"/>
        <v/>
      </c>
      <c r="N89" s="241"/>
      <c r="O89" s="228"/>
      <c r="P89" s="229"/>
      <c r="Q89" s="228"/>
      <c r="R89" s="229"/>
      <c r="S89" s="287"/>
      <c r="T89" s="288"/>
      <c r="U89" s="287"/>
      <c r="V89" s="289"/>
      <c r="W89" s="205" t="s">
        <v>206</v>
      </c>
      <c r="AB89" s="2" t="str">
        <f t="shared" si="5"/>
        <v/>
      </c>
    </row>
    <row r="90" spans="1:28" ht="15" customHeight="1" x14ac:dyDescent="0.3">
      <c r="A90" s="20" t="str">
        <f t="shared" si="20"/>
        <v/>
      </c>
      <c r="B90" s="747"/>
      <c r="C90" s="750"/>
      <c r="D90" s="755"/>
      <c r="E90" s="577" t="s">
        <v>175</v>
      </c>
      <c r="F90" s="237" t="s">
        <v>62</v>
      </c>
      <c r="G90" s="238"/>
      <c r="H90" s="239"/>
      <c r="I90" s="240" t="str">
        <f t="shared" si="25"/>
        <v/>
      </c>
      <c r="J90" s="241"/>
      <c r="K90" s="240" t="str">
        <f t="shared" si="22"/>
        <v/>
      </c>
      <c r="L90" s="241"/>
      <c r="M90" s="240" t="str">
        <f t="shared" si="23"/>
        <v/>
      </c>
      <c r="N90" s="241"/>
      <c r="O90" s="228"/>
      <c r="P90" s="229"/>
      <c r="Q90" s="228"/>
      <c r="R90" s="229"/>
      <c r="S90" s="287"/>
      <c r="T90" s="288"/>
      <c r="U90" s="287"/>
      <c r="V90" s="289"/>
      <c r="W90" s="205" t="s">
        <v>206</v>
      </c>
      <c r="AB90" s="2" t="str">
        <f t="shared" ref="AB90:AB153" si="29">IF(G90&lt;&gt;"",$F90,"")</f>
        <v/>
      </c>
    </row>
    <row r="91" spans="1:28" ht="15" customHeight="1" x14ac:dyDescent="0.3">
      <c r="A91" s="20" t="str">
        <f t="shared" si="20"/>
        <v/>
      </c>
      <c r="B91" s="747"/>
      <c r="C91" s="750"/>
      <c r="D91" s="755"/>
      <c r="E91" s="727" t="s">
        <v>166</v>
      </c>
      <c r="F91" s="237" t="s">
        <v>203</v>
      </c>
      <c r="G91" s="238"/>
      <c r="H91" s="239"/>
      <c r="I91" s="240" t="str">
        <f t="shared" si="25"/>
        <v/>
      </c>
      <c r="J91" s="241"/>
      <c r="K91" s="240" t="str">
        <f t="shared" si="22"/>
        <v/>
      </c>
      <c r="L91" s="241"/>
      <c r="M91" s="240" t="str">
        <f t="shared" si="23"/>
        <v/>
      </c>
      <c r="N91" s="241"/>
      <c r="O91" s="228"/>
      <c r="P91" s="229"/>
      <c r="Q91" s="228"/>
      <c r="R91" s="229"/>
      <c r="S91" s="287"/>
      <c r="T91" s="288"/>
      <c r="U91" s="287"/>
      <c r="V91" s="289"/>
      <c r="W91" s="205" t="s">
        <v>206</v>
      </c>
      <c r="AB91" s="2" t="str">
        <f t="shared" si="29"/>
        <v/>
      </c>
    </row>
    <row r="92" spans="1:28" ht="15.75" customHeight="1" x14ac:dyDescent="0.3">
      <c r="A92" s="20" t="str">
        <f t="shared" si="20"/>
        <v/>
      </c>
      <c r="B92" s="747"/>
      <c r="C92" s="750"/>
      <c r="D92" s="755"/>
      <c r="E92" s="727" t="s">
        <v>166</v>
      </c>
      <c r="F92" s="237"/>
      <c r="G92" s="238"/>
      <c r="H92" s="239"/>
      <c r="I92" s="240"/>
      <c r="J92" s="241"/>
      <c r="K92" s="240"/>
      <c r="L92" s="241"/>
      <c r="M92" s="240"/>
      <c r="N92" s="241"/>
      <c r="O92" s="228"/>
      <c r="P92" s="229"/>
      <c r="Q92" s="228"/>
      <c r="R92" s="229"/>
      <c r="S92" s="287"/>
      <c r="T92" s="288"/>
      <c r="U92" s="287"/>
      <c r="V92" s="289"/>
      <c r="W92" s="205"/>
    </row>
    <row r="93" spans="1:28" ht="15.75" customHeight="1" x14ac:dyDescent="0.3">
      <c r="A93" s="20" t="str">
        <f t="shared" si="20"/>
        <v/>
      </c>
      <c r="B93" s="747"/>
      <c r="C93" s="750"/>
      <c r="D93" s="755"/>
      <c r="E93" s="727" t="s">
        <v>166</v>
      </c>
      <c r="F93" s="237"/>
      <c r="G93" s="238"/>
      <c r="H93" s="239"/>
      <c r="I93" s="240"/>
      <c r="J93" s="241"/>
      <c r="K93" s="240"/>
      <c r="L93" s="241"/>
      <c r="M93" s="240"/>
      <c r="N93" s="241"/>
      <c r="O93" s="228"/>
      <c r="P93" s="229"/>
      <c r="Q93" s="228"/>
      <c r="R93" s="229"/>
      <c r="S93" s="287"/>
      <c r="T93" s="288"/>
      <c r="U93" s="287"/>
      <c r="V93" s="289"/>
      <c r="W93" s="205"/>
    </row>
    <row r="94" spans="1:28" ht="15.75" customHeight="1" x14ac:dyDescent="0.3">
      <c r="A94" s="20" t="str">
        <f t="shared" si="20"/>
        <v/>
      </c>
      <c r="B94" s="747"/>
      <c r="C94" s="750"/>
      <c r="D94" s="756"/>
      <c r="E94" s="728" t="s">
        <v>166</v>
      </c>
      <c r="F94" s="242"/>
      <c r="G94" s="243"/>
      <c r="H94" s="244"/>
      <c r="I94" s="245"/>
      <c r="J94" s="246"/>
      <c r="K94" s="245"/>
      <c r="L94" s="246"/>
      <c r="M94" s="245"/>
      <c r="N94" s="246"/>
      <c r="O94" s="230"/>
      <c r="P94" s="231"/>
      <c r="Q94" s="230"/>
      <c r="R94" s="231"/>
      <c r="S94" s="290"/>
      <c r="T94" s="291"/>
      <c r="U94" s="290"/>
      <c r="V94" s="292"/>
      <c r="W94" s="205"/>
    </row>
    <row r="95" spans="1:28" ht="15.6" x14ac:dyDescent="0.3">
      <c r="A95" s="20" t="str">
        <f t="shared" si="20"/>
        <v>S</v>
      </c>
      <c r="B95" s="753"/>
      <c r="C95" s="752"/>
      <c r="D95" s="309" t="s">
        <v>138</v>
      </c>
      <c r="E95" s="717"/>
      <c r="F95" s="16"/>
      <c r="G95" s="7">
        <f>SUM(G86:G94)</f>
        <v>0</v>
      </c>
      <c r="H95" s="8">
        <f>SUM(H86:H94)</f>
        <v>0</v>
      </c>
      <c r="I95" s="9" t="e">
        <f t="shared" si="25"/>
        <v>#DIV/0!</v>
      </c>
      <c r="J95" s="202">
        <f>SUM(J86:J94)</f>
        <v>0</v>
      </c>
      <c r="K95" s="51" t="e">
        <f t="shared" si="22"/>
        <v>#DIV/0!</v>
      </c>
      <c r="L95" s="202">
        <f>SUM(L86:L94)</f>
        <v>0</v>
      </c>
      <c r="M95" s="9" t="e">
        <f t="shared" si="23"/>
        <v>#DIV/0!</v>
      </c>
      <c r="N95" s="202">
        <f t="shared" ref="N95:V95" si="30">SUM(N86:N94)</f>
        <v>0</v>
      </c>
      <c r="O95" s="118">
        <f t="shared" si="30"/>
        <v>0</v>
      </c>
      <c r="P95" s="119">
        <f t="shared" si="30"/>
        <v>0</v>
      </c>
      <c r="Q95" s="118">
        <f t="shared" si="30"/>
        <v>0</v>
      </c>
      <c r="R95" s="119">
        <f t="shared" si="30"/>
        <v>0</v>
      </c>
      <c r="S95" s="118">
        <f t="shared" si="30"/>
        <v>0</v>
      </c>
      <c r="T95" s="119">
        <f t="shared" si="30"/>
        <v>0</v>
      </c>
      <c r="U95" s="118">
        <f t="shared" si="30"/>
        <v>0</v>
      </c>
      <c r="V95" s="120">
        <f t="shared" si="30"/>
        <v>0</v>
      </c>
      <c r="W95" s="205" t="s">
        <v>206</v>
      </c>
      <c r="AB95" s="2">
        <f t="shared" si="29"/>
        <v>0</v>
      </c>
    </row>
    <row r="96" spans="1:28" ht="15" customHeight="1" x14ac:dyDescent="0.3">
      <c r="A96" s="20" t="str">
        <f t="shared" si="20"/>
        <v/>
      </c>
      <c r="B96" s="779" t="s">
        <v>45</v>
      </c>
      <c r="C96" s="775" t="s">
        <v>76</v>
      </c>
      <c r="D96" s="759">
        <v>12</v>
      </c>
      <c r="E96" s="720" t="s">
        <v>32</v>
      </c>
      <c r="F96" s="232" t="s">
        <v>62</v>
      </c>
      <c r="G96" s="233"/>
      <c r="H96" s="234"/>
      <c r="I96" s="235" t="str">
        <f t="shared" si="25"/>
        <v/>
      </c>
      <c r="J96" s="236"/>
      <c r="K96" s="235" t="str">
        <f t="shared" si="22"/>
        <v/>
      </c>
      <c r="L96" s="236"/>
      <c r="M96" s="235" t="str">
        <f t="shared" si="23"/>
        <v/>
      </c>
      <c r="N96" s="236"/>
      <c r="O96" s="226"/>
      <c r="P96" s="227"/>
      <c r="Q96" s="226"/>
      <c r="R96" s="227"/>
      <c r="S96" s="284"/>
      <c r="T96" s="285"/>
      <c r="U96" s="284"/>
      <c r="V96" s="286"/>
      <c r="W96" s="205" t="s">
        <v>206</v>
      </c>
      <c r="AB96" s="2" t="str">
        <f t="shared" si="29"/>
        <v/>
      </c>
    </row>
    <row r="97" spans="1:28" ht="15" customHeight="1" x14ac:dyDescent="0.3">
      <c r="A97" s="20" t="str">
        <f t="shared" si="20"/>
        <v/>
      </c>
      <c r="B97" s="779"/>
      <c r="C97" s="775"/>
      <c r="D97" s="759"/>
      <c r="E97" s="721" t="s">
        <v>33</v>
      </c>
      <c r="F97" s="237" t="s">
        <v>62</v>
      </c>
      <c r="G97" s="238"/>
      <c r="H97" s="239"/>
      <c r="I97" s="240" t="str">
        <f t="shared" si="25"/>
        <v/>
      </c>
      <c r="J97" s="241"/>
      <c r="K97" s="240" t="str">
        <f t="shared" si="22"/>
        <v/>
      </c>
      <c r="L97" s="241"/>
      <c r="M97" s="240" t="str">
        <f t="shared" si="23"/>
        <v/>
      </c>
      <c r="N97" s="241"/>
      <c r="O97" s="228"/>
      <c r="P97" s="229"/>
      <c r="Q97" s="228"/>
      <c r="R97" s="229"/>
      <c r="S97" s="287"/>
      <c r="T97" s="288"/>
      <c r="U97" s="287"/>
      <c r="V97" s="289"/>
      <c r="W97" s="205" t="s">
        <v>206</v>
      </c>
      <c r="AB97" s="2" t="str">
        <f t="shared" si="29"/>
        <v/>
      </c>
    </row>
    <row r="98" spans="1:28" ht="15" customHeight="1" x14ac:dyDescent="0.3">
      <c r="A98" s="20" t="str">
        <f t="shared" si="20"/>
        <v/>
      </c>
      <c r="B98" s="779"/>
      <c r="C98" s="775"/>
      <c r="D98" s="759"/>
      <c r="E98" s="721" t="s">
        <v>47</v>
      </c>
      <c r="F98" s="237" t="s">
        <v>62</v>
      </c>
      <c r="G98" s="238"/>
      <c r="H98" s="239"/>
      <c r="I98" s="240" t="str">
        <f t="shared" si="25"/>
        <v/>
      </c>
      <c r="J98" s="241"/>
      <c r="K98" s="240" t="str">
        <f t="shared" si="22"/>
        <v/>
      </c>
      <c r="L98" s="241"/>
      <c r="M98" s="240" t="str">
        <f t="shared" si="23"/>
        <v/>
      </c>
      <c r="N98" s="241"/>
      <c r="O98" s="228"/>
      <c r="P98" s="229"/>
      <c r="Q98" s="228"/>
      <c r="R98" s="229"/>
      <c r="S98" s="287"/>
      <c r="T98" s="288"/>
      <c r="U98" s="287"/>
      <c r="V98" s="289"/>
      <c r="W98" s="205" t="s">
        <v>206</v>
      </c>
      <c r="AB98" s="2" t="str">
        <f t="shared" si="29"/>
        <v/>
      </c>
    </row>
    <row r="99" spans="1:28" ht="15" customHeight="1" x14ac:dyDescent="0.3">
      <c r="A99" s="20" t="str">
        <f t="shared" si="20"/>
        <v/>
      </c>
      <c r="B99" s="779"/>
      <c r="C99" s="775"/>
      <c r="D99" s="759"/>
      <c r="E99" s="721" t="s">
        <v>46</v>
      </c>
      <c r="F99" s="237" t="s">
        <v>62</v>
      </c>
      <c r="G99" s="238"/>
      <c r="H99" s="239"/>
      <c r="I99" s="240" t="str">
        <f t="shared" si="25"/>
        <v/>
      </c>
      <c r="J99" s="241"/>
      <c r="K99" s="240" t="str">
        <f t="shared" si="22"/>
        <v/>
      </c>
      <c r="L99" s="241"/>
      <c r="M99" s="240" t="str">
        <f t="shared" si="23"/>
        <v/>
      </c>
      <c r="N99" s="241"/>
      <c r="O99" s="228"/>
      <c r="P99" s="229"/>
      <c r="Q99" s="228"/>
      <c r="R99" s="229"/>
      <c r="S99" s="287"/>
      <c r="T99" s="288"/>
      <c r="U99" s="287"/>
      <c r="V99" s="289"/>
      <c r="W99" s="205" t="s">
        <v>206</v>
      </c>
      <c r="AB99" s="2" t="str">
        <f t="shared" si="29"/>
        <v/>
      </c>
    </row>
    <row r="100" spans="1:28" ht="15" customHeight="1" x14ac:dyDescent="0.3">
      <c r="A100" s="20" t="str">
        <f t="shared" si="20"/>
        <v/>
      </c>
      <c r="B100" s="779"/>
      <c r="C100" s="775"/>
      <c r="D100" s="759"/>
      <c r="E100" s="721" t="s">
        <v>35</v>
      </c>
      <c r="F100" s="237" t="s">
        <v>62</v>
      </c>
      <c r="G100" s="677"/>
      <c r="H100" s="678"/>
      <c r="I100" s="679" t="str">
        <f t="shared" si="25"/>
        <v/>
      </c>
      <c r="J100" s="680"/>
      <c r="K100" s="679" t="str">
        <f t="shared" si="22"/>
        <v/>
      </c>
      <c r="L100" s="680"/>
      <c r="M100" s="679" t="str">
        <f t="shared" si="23"/>
        <v/>
      </c>
      <c r="N100" s="680"/>
      <c r="O100" s="681"/>
      <c r="P100" s="682"/>
      <c r="Q100" s="681"/>
      <c r="R100" s="682"/>
      <c r="S100" s="683"/>
      <c r="T100" s="684"/>
      <c r="U100" s="683"/>
      <c r="V100" s="685"/>
      <c r="W100" s="205" t="s">
        <v>206</v>
      </c>
      <c r="AB100" s="2" t="str">
        <f t="shared" si="29"/>
        <v/>
      </c>
    </row>
    <row r="101" spans="1:28" ht="15" customHeight="1" x14ac:dyDescent="0.3">
      <c r="A101" s="20" t="str">
        <f t="shared" si="20"/>
        <v/>
      </c>
      <c r="B101" s="779"/>
      <c r="C101" s="775"/>
      <c r="D101" s="759"/>
      <c r="E101" s="721" t="s">
        <v>34</v>
      </c>
      <c r="F101" s="237" t="s">
        <v>62</v>
      </c>
      <c r="G101" s="238"/>
      <c r="H101" s="239"/>
      <c r="I101" s="240" t="str">
        <f t="shared" si="25"/>
        <v/>
      </c>
      <c r="J101" s="241"/>
      <c r="K101" s="240" t="str">
        <f t="shared" si="22"/>
        <v/>
      </c>
      <c r="L101" s="241"/>
      <c r="M101" s="240" t="str">
        <f t="shared" si="23"/>
        <v/>
      </c>
      <c r="N101" s="241"/>
      <c r="O101" s="228"/>
      <c r="P101" s="229"/>
      <c r="Q101" s="228"/>
      <c r="R101" s="229"/>
      <c r="S101" s="287"/>
      <c r="T101" s="288"/>
      <c r="U101" s="287"/>
      <c r="V101" s="289"/>
      <c r="W101" s="205" t="s">
        <v>206</v>
      </c>
      <c r="AB101" s="2" t="str">
        <f t="shared" si="29"/>
        <v/>
      </c>
    </row>
    <row r="102" spans="1:28" ht="15.75" customHeight="1" x14ac:dyDescent="0.3">
      <c r="A102" s="20" t="str">
        <f t="shared" si="20"/>
        <v/>
      </c>
      <c r="B102" s="779"/>
      <c r="C102" s="775"/>
      <c r="D102" s="759"/>
      <c r="E102" s="721" t="s">
        <v>147</v>
      </c>
      <c r="F102" s="237" t="s">
        <v>62</v>
      </c>
      <c r="G102" s="238"/>
      <c r="H102" s="239"/>
      <c r="I102" s="240" t="str">
        <f t="shared" si="25"/>
        <v/>
      </c>
      <c r="J102" s="241"/>
      <c r="K102" s="240" t="str">
        <f t="shared" si="22"/>
        <v/>
      </c>
      <c r="L102" s="241"/>
      <c r="M102" s="240" t="str">
        <f t="shared" si="23"/>
        <v/>
      </c>
      <c r="N102" s="241"/>
      <c r="O102" s="228"/>
      <c r="P102" s="229"/>
      <c r="Q102" s="228"/>
      <c r="R102" s="229"/>
      <c r="S102" s="287"/>
      <c r="T102" s="288"/>
      <c r="U102" s="287"/>
      <c r="V102" s="289"/>
      <c r="W102" s="205" t="s">
        <v>206</v>
      </c>
      <c r="AB102" s="2" t="str">
        <f t="shared" si="29"/>
        <v/>
      </c>
    </row>
    <row r="103" spans="1:28" ht="15.75" customHeight="1" x14ac:dyDescent="0.3">
      <c r="A103" s="20" t="str">
        <f t="shared" si="20"/>
        <v/>
      </c>
      <c r="B103" s="779"/>
      <c r="C103" s="775"/>
      <c r="D103" s="759"/>
      <c r="E103" s="727" t="s">
        <v>166</v>
      </c>
      <c r="F103" s="237" t="s">
        <v>62</v>
      </c>
      <c r="G103" s="238"/>
      <c r="H103" s="239"/>
      <c r="I103" s="240" t="str">
        <f t="shared" si="25"/>
        <v/>
      </c>
      <c r="J103" s="241"/>
      <c r="K103" s="240" t="str">
        <f t="shared" si="22"/>
        <v/>
      </c>
      <c r="L103" s="241"/>
      <c r="M103" s="240" t="str">
        <f t="shared" si="23"/>
        <v/>
      </c>
      <c r="N103" s="241"/>
      <c r="O103" s="228"/>
      <c r="P103" s="229"/>
      <c r="Q103" s="228"/>
      <c r="R103" s="229"/>
      <c r="S103" s="287"/>
      <c r="T103" s="288"/>
      <c r="U103" s="287"/>
      <c r="V103" s="289"/>
      <c r="W103" s="205" t="s">
        <v>206</v>
      </c>
      <c r="AB103" s="2" t="str">
        <f t="shared" si="29"/>
        <v/>
      </c>
    </row>
    <row r="104" spans="1:28" ht="15.75" customHeight="1" x14ac:dyDescent="0.3">
      <c r="A104" s="20" t="str">
        <f t="shared" si="20"/>
        <v/>
      </c>
      <c r="B104" s="779"/>
      <c r="C104" s="775"/>
      <c r="D104" s="759"/>
      <c r="E104" s="727" t="s">
        <v>166</v>
      </c>
      <c r="F104" s="237" t="s">
        <v>62</v>
      </c>
      <c r="G104" s="238"/>
      <c r="H104" s="239"/>
      <c r="I104" s="240" t="str">
        <f t="shared" si="25"/>
        <v/>
      </c>
      <c r="J104" s="241"/>
      <c r="K104" s="240" t="str">
        <f t="shared" si="22"/>
        <v/>
      </c>
      <c r="L104" s="241"/>
      <c r="M104" s="240" t="str">
        <f t="shared" si="23"/>
        <v/>
      </c>
      <c r="N104" s="241"/>
      <c r="O104" s="228"/>
      <c r="P104" s="229"/>
      <c r="Q104" s="228"/>
      <c r="R104" s="229"/>
      <c r="S104" s="287"/>
      <c r="T104" s="288"/>
      <c r="U104" s="287"/>
      <c r="V104" s="289"/>
      <c r="W104" s="205" t="s">
        <v>206</v>
      </c>
      <c r="AB104" s="2" t="str">
        <f t="shared" si="29"/>
        <v/>
      </c>
    </row>
    <row r="105" spans="1:28" ht="15.75" customHeight="1" x14ac:dyDescent="0.3">
      <c r="A105" s="20" t="str">
        <f t="shared" si="20"/>
        <v/>
      </c>
      <c r="B105" s="779"/>
      <c r="C105" s="775"/>
      <c r="D105" s="759"/>
      <c r="E105" s="721" t="s">
        <v>146</v>
      </c>
      <c r="F105" s="237" t="s">
        <v>62</v>
      </c>
      <c r="G105" s="238"/>
      <c r="H105" s="239"/>
      <c r="I105" s="240" t="str">
        <f t="shared" si="25"/>
        <v/>
      </c>
      <c r="J105" s="241"/>
      <c r="K105" s="240" t="str">
        <f t="shared" si="22"/>
        <v/>
      </c>
      <c r="L105" s="241"/>
      <c r="M105" s="240" t="str">
        <f t="shared" si="23"/>
        <v/>
      </c>
      <c r="N105" s="241"/>
      <c r="O105" s="228"/>
      <c r="P105" s="229"/>
      <c r="Q105" s="228"/>
      <c r="R105" s="229"/>
      <c r="S105" s="287"/>
      <c r="T105" s="288"/>
      <c r="U105" s="287"/>
      <c r="V105" s="289"/>
      <c r="W105" s="205" t="s">
        <v>206</v>
      </c>
      <c r="AB105" s="2" t="str">
        <f t="shared" si="29"/>
        <v/>
      </c>
    </row>
    <row r="106" spans="1:28" ht="15.75" customHeight="1" x14ac:dyDescent="0.3">
      <c r="A106" s="20" t="str">
        <f t="shared" si="20"/>
        <v/>
      </c>
      <c r="B106" s="779"/>
      <c r="C106" s="775"/>
      <c r="D106" s="759"/>
      <c r="E106" s="727" t="s">
        <v>166</v>
      </c>
      <c r="F106" s="237"/>
      <c r="G106" s="238"/>
      <c r="H106" s="239"/>
      <c r="I106" s="240"/>
      <c r="J106" s="241"/>
      <c r="K106" s="240"/>
      <c r="L106" s="241"/>
      <c r="M106" s="240"/>
      <c r="N106" s="241"/>
      <c r="O106" s="228"/>
      <c r="P106" s="229"/>
      <c r="Q106" s="228"/>
      <c r="R106" s="229"/>
      <c r="S106" s="287"/>
      <c r="T106" s="288"/>
      <c r="U106" s="287"/>
      <c r="V106" s="289"/>
      <c r="W106" s="205"/>
    </row>
    <row r="107" spans="1:28" ht="15.75" customHeight="1" x14ac:dyDescent="0.3">
      <c r="A107" s="20" t="str">
        <f t="shared" si="20"/>
        <v/>
      </c>
      <c r="B107" s="779"/>
      <c r="C107" s="775"/>
      <c r="D107" s="759"/>
      <c r="E107" s="727" t="s">
        <v>166</v>
      </c>
      <c r="F107" s="237"/>
      <c r="G107" s="238"/>
      <c r="H107" s="239"/>
      <c r="I107" s="240"/>
      <c r="J107" s="241"/>
      <c r="K107" s="240"/>
      <c r="L107" s="241"/>
      <c r="M107" s="240"/>
      <c r="N107" s="241"/>
      <c r="O107" s="228"/>
      <c r="P107" s="229"/>
      <c r="Q107" s="228"/>
      <c r="R107" s="229"/>
      <c r="S107" s="287"/>
      <c r="T107" s="288"/>
      <c r="U107" s="287"/>
      <c r="V107" s="289"/>
      <c r="W107" s="205"/>
    </row>
    <row r="108" spans="1:28" ht="15.75" customHeight="1" x14ac:dyDescent="0.3">
      <c r="A108" s="20" t="str">
        <f t="shared" si="20"/>
        <v/>
      </c>
      <c r="B108" s="779"/>
      <c r="C108" s="775"/>
      <c r="D108" s="759"/>
      <c r="E108" s="728" t="s">
        <v>166</v>
      </c>
      <c r="F108" s="242"/>
      <c r="G108" s="243"/>
      <c r="H108" s="244"/>
      <c r="I108" s="245"/>
      <c r="J108" s="246"/>
      <c r="K108" s="245"/>
      <c r="L108" s="246"/>
      <c r="M108" s="245"/>
      <c r="N108" s="246"/>
      <c r="O108" s="230"/>
      <c r="P108" s="231"/>
      <c r="Q108" s="230"/>
      <c r="R108" s="231"/>
      <c r="S108" s="290"/>
      <c r="T108" s="291"/>
      <c r="U108" s="290"/>
      <c r="V108" s="292"/>
      <c r="W108" s="205"/>
    </row>
    <row r="109" spans="1:28" ht="15.6" x14ac:dyDescent="0.3">
      <c r="A109" s="20" t="str">
        <f t="shared" si="20"/>
        <v>S</v>
      </c>
      <c r="B109" s="784"/>
      <c r="C109" s="775"/>
      <c r="D109" s="309" t="s">
        <v>138</v>
      </c>
      <c r="E109" s="718"/>
      <c r="F109" s="16"/>
      <c r="G109" s="7">
        <f>SUM(G96:G108)</f>
        <v>0</v>
      </c>
      <c r="H109" s="8">
        <f>SUM(H96:H108)</f>
        <v>0</v>
      </c>
      <c r="I109" s="9" t="e">
        <f t="shared" si="25"/>
        <v>#DIV/0!</v>
      </c>
      <c r="J109" s="202">
        <f>SUM(J96:J108)</f>
        <v>0</v>
      </c>
      <c r="K109" s="51" t="e">
        <f t="shared" si="22"/>
        <v>#DIV/0!</v>
      </c>
      <c r="L109" s="202">
        <f>SUM(L96:L108)</f>
        <v>0</v>
      </c>
      <c r="M109" s="9" t="e">
        <f t="shared" si="23"/>
        <v>#DIV/0!</v>
      </c>
      <c r="N109" s="202">
        <f t="shared" ref="N109:V109" si="31">SUM(N96:N108)</f>
        <v>0</v>
      </c>
      <c r="O109" s="118">
        <f t="shared" si="31"/>
        <v>0</v>
      </c>
      <c r="P109" s="119">
        <f t="shared" si="31"/>
        <v>0</v>
      </c>
      <c r="Q109" s="118">
        <f t="shared" si="31"/>
        <v>0</v>
      </c>
      <c r="R109" s="119">
        <f t="shared" si="31"/>
        <v>0</v>
      </c>
      <c r="S109" s="118">
        <f t="shared" si="31"/>
        <v>0</v>
      </c>
      <c r="T109" s="119">
        <f t="shared" si="31"/>
        <v>0</v>
      </c>
      <c r="U109" s="118">
        <f t="shared" si="31"/>
        <v>0</v>
      </c>
      <c r="V109" s="120">
        <f t="shared" si="31"/>
        <v>0</v>
      </c>
      <c r="W109" s="205"/>
      <c r="AB109" s="2">
        <f t="shared" si="29"/>
        <v>0</v>
      </c>
    </row>
    <row r="110" spans="1:28" x14ac:dyDescent="0.3">
      <c r="A110" s="20" t="str">
        <f t="shared" si="20"/>
        <v/>
      </c>
      <c r="B110" s="773" t="s">
        <v>151</v>
      </c>
      <c r="C110" s="782" t="s">
        <v>76</v>
      </c>
      <c r="D110" s="760">
        <v>23</v>
      </c>
      <c r="E110" s="720" t="s">
        <v>154</v>
      </c>
      <c r="F110" s="232" t="s">
        <v>62</v>
      </c>
      <c r="G110" s="673"/>
      <c r="H110" s="674"/>
      <c r="I110" s="224" t="str">
        <f t="shared" si="25"/>
        <v/>
      </c>
      <c r="J110" s="236"/>
      <c r="K110" s="235" t="str">
        <f t="shared" si="22"/>
        <v/>
      </c>
      <c r="L110" s="236"/>
      <c r="M110" s="224" t="str">
        <f t="shared" si="23"/>
        <v/>
      </c>
      <c r="N110" s="236"/>
      <c r="O110" s="226"/>
      <c r="P110" s="227"/>
      <c r="Q110" s="226"/>
      <c r="R110" s="227"/>
      <c r="S110" s="284"/>
      <c r="T110" s="285"/>
      <c r="U110" s="284"/>
      <c r="V110" s="286"/>
      <c r="W110" s="259" t="s">
        <v>206</v>
      </c>
      <c r="AB110" s="2" t="str">
        <f t="shared" si="29"/>
        <v/>
      </c>
    </row>
    <row r="111" spans="1:28" ht="15.75" customHeight="1" x14ac:dyDescent="0.3">
      <c r="A111" s="20" t="str">
        <f t="shared" si="20"/>
        <v/>
      </c>
      <c r="B111" s="773"/>
      <c r="C111" s="782"/>
      <c r="D111" s="760"/>
      <c r="E111" s="721" t="s">
        <v>155</v>
      </c>
      <c r="F111" s="237" t="s">
        <v>62</v>
      </c>
      <c r="G111" s="675"/>
      <c r="H111" s="676"/>
      <c r="I111" s="225" t="str">
        <f t="shared" si="25"/>
        <v/>
      </c>
      <c r="J111" s="241"/>
      <c r="K111" s="240" t="str">
        <f t="shared" si="22"/>
        <v/>
      </c>
      <c r="L111" s="241"/>
      <c r="M111" s="225" t="str">
        <f t="shared" si="23"/>
        <v/>
      </c>
      <c r="N111" s="241"/>
      <c r="O111" s="228"/>
      <c r="P111" s="229"/>
      <c r="Q111" s="228"/>
      <c r="R111" s="229"/>
      <c r="S111" s="287"/>
      <c r="T111" s="288"/>
      <c r="U111" s="287"/>
      <c r="V111" s="289"/>
      <c r="W111" s="260" t="s">
        <v>206</v>
      </c>
      <c r="AB111" s="2" t="str">
        <f t="shared" si="29"/>
        <v/>
      </c>
    </row>
    <row r="112" spans="1:28" ht="15.75" customHeight="1" x14ac:dyDescent="0.3">
      <c r="A112" s="20" t="str">
        <f t="shared" si="20"/>
        <v/>
      </c>
      <c r="B112" s="773"/>
      <c r="C112" s="782"/>
      <c r="D112" s="760"/>
      <c r="E112" s="721" t="s">
        <v>156</v>
      </c>
      <c r="F112" s="237" t="s">
        <v>62</v>
      </c>
      <c r="G112" s="675"/>
      <c r="H112" s="676"/>
      <c r="I112" s="225" t="str">
        <f t="shared" si="25"/>
        <v/>
      </c>
      <c r="J112" s="241"/>
      <c r="K112" s="240" t="str">
        <f t="shared" si="22"/>
        <v/>
      </c>
      <c r="L112" s="241"/>
      <c r="M112" s="225" t="str">
        <f t="shared" si="23"/>
        <v/>
      </c>
      <c r="N112" s="241"/>
      <c r="O112" s="228"/>
      <c r="P112" s="229"/>
      <c r="Q112" s="228"/>
      <c r="R112" s="229"/>
      <c r="S112" s="287"/>
      <c r="T112" s="288"/>
      <c r="U112" s="287"/>
      <c r="V112" s="289"/>
      <c r="W112" s="260" t="s">
        <v>206</v>
      </c>
      <c r="AB112" s="2" t="str">
        <f t="shared" si="29"/>
        <v/>
      </c>
    </row>
    <row r="113" spans="1:28" ht="15" customHeight="1" x14ac:dyDescent="0.3">
      <c r="A113" s="20" t="str">
        <f t="shared" si="20"/>
        <v/>
      </c>
      <c r="B113" s="773"/>
      <c r="C113" s="782"/>
      <c r="D113" s="760"/>
      <c r="E113" s="721" t="s">
        <v>37</v>
      </c>
      <c r="F113" s="410" t="s">
        <v>62</v>
      </c>
      <c r="G113" s="238"/>
      <c r="H113" s="239"/>
      <c r="I113" s="240" t="str">
        <f t="shared" si="25"/>
        <v/>
      </c>
      <c r="J113" s="241"/>
      <c r="K113" s="240" t="str">
        <f t="shared" si="22"/>
        <v/>
      </c>
      <c r="L113" s="241"/>
      <c r="M113" s="240" t="str">
        <f t="shared" si="23"/>
        <v/>
      </c>
      <c r="N113" s="241"/>
      <c r="O113" s="228"/>
      <c r="P113" s="229"/>
      <c r="Q113" s="228"/>
      <c r="R113" s="229"/>
      <c r="S113" s="287"/>
      <c r="T113" s="288"/>
      <c r="U113" s="287"/>
      <c r="V113" s="289"/>
      <c r="W113" s="260" t="s">
        <v>206</v>
      </c>
      <c r="AB113" s="2" t="str">
        <f t="shared" si="29"/>
        <v/>
      </c>
    </row>
    <row r="114" spans="1:28" ht="15" customHeight="1" x14ac:dyDescent="0.3">
      <c r="A114" s="20" t="str">
        <f t="shared" ref="A114:A159" si="32">IF(D114="Sous-total","S",IF(G114="","","X"))</f>
        <v/>
      </c>
      <c r="B114" s="773"/>
      <c r="C114" s="782"/>
      <c r="D114" s="760"/>
      <c r="E114" s="721" t="s">
        <v>157</v>
      </c>
      <c r="F114" s="410" t="s">
        <v>62</v>
      </c>
      <c r="G114" s="238"/>
      <c r="H114" s="239"/>
      <c r="I114" s="240" t="str">
        <f t="shared" si="25"/>
        <v/>
      </c>
      <c r="J114" s="241"/>
      <c r="K114" s="240" t="str">
        <f t="shared" si="22"/>
        <v/>
      </c>
      <c r="L114" s="241"/>
      <c r="M114" s="240" t="str">
        <f t="shared" si="23"/>
        <v/>
      </c>
      <c r="N114" s="241"/>
      <c r="O114" s="228"/>
      <c r="P114" s="229"/>
      <c r="Q114" s="228"/>
      <c r="R114" s="229"/>
      <c r="S114" s="287"/>
      <c r="T114" s="288"/>
      <c r="U114" s="287"/>
      <c r="V114" s="289"/>
      <c r="W114" s="260" t="s">
        <v>206</v>
      </c>
      <c r="AB114" s="2" t="str">
        <f t="shared" si="29"/>
        <v/>
      </c>
    </row>
    <row r="115" spans="1:28" ht="15" customHeight="1" x14ac:dyDescent="0.3">
      <c r="A115" s="20" t="str">
        <f t="shared" si="32"/>
        <v/>
      </c>
      <c r="B115" s="773"/>
      <c r="C115" s="782"/>
      <c r="D115" s="760"/>
      <c r="E115" s="721" t="s">
        <v>38</v>
      </c>
      <c r="F115" s="410" t="s">
        <v>62</v>
      </c>
      <c r="G115" s="238"/>
      <c r="H115" s="239"/>
      <c r="I115" s="240" t="str">
        <f t="shared" si="25"/>
        <v/>
      </c>
      <c r="J115" s="241"/>
      <c r="K115" s="240" t="str">
        <f t="shared" si="22"/>
        <v/>
      </c>
      <c r="L115" s="241"/>
      <c r="M115" s="240" t="str">
        <f t="shared" si="23"/>
        <v/>
      </c>
      <c r="N115" s="241"/>
      <c r="O115" s="228"/>
      <c r="P115" s="229"/>
      <c r="Q115" s="228"/>
      <c r="R115" s="229"/>
      <c r="S115" s="287"/>
      <c r="T115" s="288"/>
      <c r="U115" s="287"/>
      <c r="V115" s="289"/>
      <c r="W115" s="260" t="s">
        <v>206</v>
      </c>
      <c r="AB115" s="2" t="str">
        <f t="shared" si="29"/>
        <v/>
      </c>
    </row>
    <row r="116" spans="1:28" ht="15" customHeight="1" x14ac:dyDescent="0.3">
      <c r="A116" s="20" t="str">
        <f t="shared" si="32"/>
        <v/>
      </c>
      <c r="B116" s="773"/>
      <c r="C116" s="782"/>
      <c r="D116" s="760"/>
      <c r="E116" s="721" t="s">
        <v>158</v>
      </c>
      <c r="F116" s="237" t="s">
        <v>62</v>
      </c>
      <c r="G116" s="238"/>
      <c r="H116" s="239"/>
      <c r="I116" s="240" t="str">
        <f t="shared" si="25"/>
        <v/>
      </c>
      <c r="J116" s="241"/>
      <c r="K116" s="240" t="str">
        <f t="shared" si="22"/>
        <v/>
      </c>
      <c r="L116" s="241"/>
      <c r="M116" s="240" t="str">
        <f t="shared" si="23"/>
        <v/>
      </c>
      <c r="N116" s="241"/>
      <c r="O116" s="228"/>
      <c r="P116" s="229"/>
      <c r="Q116" s="228"/>
      <c r="R116" s="229"/>
      <c r="S116" s="287"/>
      <c r="T116" s="288"/>
      <c r="U116" s="287"/>
      <c r="V116" s="289"/>
      <c r="W116" s="260" t="s">
        <v>206</v>
      </c>
      <c r="AB116" s="2" t="str">
        <f t="shared" si="29"/>
        <v/>
      </c>
    </row>
    <row r="117" spans="1:28" ht="15" customHeight="1" x14ac:dyDescent="0.3">
      <c r="A117" s="20" t="str">
        <f t="shared" si="32"/>
        <v/>
      </c>
      <c r="B117" s="773"/>
      <c r="C117" s="782"/>
      <c r="D117" s="760"/>
      <c r="E117" s="721" t="s">
        <v>148</v>
      </c>
      <c r="F117" s="237" t="s">
        <v>62</v>
      </c>
      <c r="G117" s="238"/>
      <c r="H117" s="239"/>
      <c r="I117" s="240" t="str">
        <f t="shared" si="25"/>
        <v/>
      </c>
      <c r="J117" s="241"/>
      <c r="K117" s="240" t="str">
        <f t="shared" si="22"/>
        <v/>
      </c>
      <c r="L117" s="241"/>
      <c r="M117" s="240" t="str">
        <f t="shared" si="23"/>
        <v/>
      </c>
      <c r="N117" s="241"/>
      <c r="O117" s="228"/>
      <c r="P117" s="229"/>
      <c r="Q117" s="228"/>
      <c r="R117" s="229"/>
      <c r="S117" s="287"/>
      <c r="T117" s="288"/>
      <c r="U117" s="287"/>
      <c r="V117" s="289"/>
      <c r="W117" s="260" t="s">
        <v>206</v>
      </c>
      <c r="AB117" s="2" t="str">
        <f t="shared" si="29"/>
        <v/>
      </c>
    </row>
    <row r="118" spans="1:28" ht="15" customHeight="1" x14ac:dyDescent="0.3">
      <c r="A118" s="20" t="str">
        <f t="shared" si="32"/>
        <v/>
      </c>
      <c r="B118" s="773"/>
      <c r="C118" s="782"/>
      <c r="D118" s="760"/>
      <c r="E118" s="721" t="s">
        <v>149</v>
      </c>
      <c r="F118" s="410" t="s">
        <v>62</v>
      </c>
      <c r="G118" s="677"/>
      <c r="H118" s="678"/>
      <c r="I118" s="679" t="str">
        <f t="shared" si="25"/>
        <v/>
      </c>
      <c r="J118" s="680"/>
      <c r="K118" s="679" t="str">
        <f t="shared" si="22"/>
        <v/>
      </c>
      <c r="L118" s="680"/>
      <c r="M118" s="679" t="str">
        <f t="shared" si="23"/>
        <v/>
      </c>
      <c r="N118" s="680"/>
      <c r="O118" s="681"/>
      <c r="P118" s="682"/>
      <c r="Q118" s="681"/>
      <c r="R118" s="682"/>
      <c r="S118" s="683"/>
      <c r="T118" s="684"/>
      <c r="U118" s="683"/>
      <c r="V118" s="685"/>
      <c r="W118" s="260" t="s">
        <v>206</v>
      </c>
      <c r="AB118" s="2" t="str">
        <f t="shared" si="29"/>
        <v/>
      </c>
    </row>
    <row r="119" spans="1:28" ht="15" customHeight="1" x14ac:dyDescent="0.3">
      <c r="A119" s="20" t="str">
        <f t="shared" si="32"/>
        <v/>
      </c>
      <c r="B119" s="773"/>
      <c r="C119" s="782"/>
      <c r="D119" s="760"/>
      <c r="E119" s="727" t="s">
        <v>166</v>
      </c>
      <c r="F119" s="410" t="s">
        <v>62</v>
      </c>
      <c r="G119" s="238"/>
      <c r="H119" s="239"/>
      <c r="I119" s="240" t="str">
        <f t="shared" si="25"/>
        <v/>
      </c>
      <c r="J119" s="241"/>
      <c r="K119" s="240" t="str">
        <f t="shared" si="22"/>
        <v/>
      </c>
      <c r="L119" s="241"/>
      <c r="M119" s="240" t="str">
        <f t="shared" si="23"/>
        <v/>
      </c>
      <c r="N119" s="241"/>
      <c r="O119" s="228"/>
      <c r="P119" s="229"/>
      <c r="Q119" s="228"/>
      <c r="R119" s="229"/>
      <c r="S119" s="287"/>
      <c r="T119" s="288"/>
      <c r="U119" s="287"/>
      <c r="V119" s="289"/>
      <c r="W119" s="260" t="s">
        <v>206</v>
      </c>
      <c r="AB119" s="2" t="str">
        <f t="shared" si="29"/>
        <v/>
      </c>
    </row>
    <row r="120" spans="1:28" ht="15" customHeight="1" x14ac:dyDescent="0.3">
      <c r="A120" s="20" t="str">
        <f t="shared" si="32"/>
        <v/>
      </c>
      <c r="B120" s="773"/>
      <c r="C120" s="782"/>
      <c r="D120" s="760"/>
      <c r="E120" s="727" t="s">
        <v>166</v>
      </c>
      <c r="F120" s="410" t="s">
        <v>62</v>
      </c>
      <c r="G120" s="238"/>
      <c r="H120" s="239"/>
      <c r="I120" s="240" t="str">
        <f t="shared" si="25"/>
        <v/>
      </c>
      <c r="J120" s="241"/>
      <c r="K120" s="240" t="str">
        <f t="shared" si="22"/>
        <v/>
      </c>
      <c r="L120" s="241"/>
      <c r="M120" s="240" t="str">
        <f t="shared" si="23"/>
        <v/>
      </c>
      <c r="N120" s="241"/>
      <c r="O120" s="228"/>
      <c r="P120" s="229"/>
      <c r="Q120" s="228"/>
      <c r="R120" s="229"/>
      <c r="S120" s="287"/>
      <c r="T120" s="288"/>
      <c r="U120" s="287"/>
      <c r="V120" s="289"/>
      <c r="W120" s="260" t="s">
        <v>206</v>
      </c>
      <c r="AB120" s="2" t="str">
        <f t="shared" si="29"/>
        <v/>
      </c>
    </row>
    <row r="121" spans="1:28" ht="15" customHeight="1" x14ac:dyDescent="0.3">
      <c r="A121" s="20" t="str">
        <f t="shared" si="32"/>
        <v/>
      </c>
      <c r="B121" s="773"/>
      <c r="C121" s="782"/>
      <c r="D121" s="760"/>
      <c r="E121" s="721" t="s">
        <v>152</v>
      </c>
      <c r="F121" s="410" t="s">
        <v>62</v>
      </c>
      <c r="G121" s="677"/>
      <c r="H121" s="678"/>
      <c r="I121" s="679" t="str">
        <f t="shared" si="25"/>
        <v/>
      </c>
      <c r="J121" s="680"/>
      <c r="K121" s="679" t="str">
        <f t="shared" si="22"/>
        <v/>
      </c>
      <c r="L121" s="680"/>
      <c r="M121" s="679" t="str">
        <f t="shared" si="23"/>
        <v/>
      </c>
      <c r="N121" s="680"/>
      <c r="O121" s="681"/>
      <c r="P121" s="682"/>
      <c r="Q121" s="681"/>
      <c r="R121" s="682"/>
      <c r="S121" s="683"/>
      <c r="T121" s="684"/>
      <c r="U121" s="683"/>
      <c r="V121" s="685"/>
      <c r="W121" s="260" t="s">
        <v>206</v>
      </c>
      <c r="AB121" s="2" t="str">
        <f t="shared" si="29"/>
        <v/>
      </c>
    </row>
    <row r="122" spans="1:28" ht="15" customHeight="1" x14ac:dyDescent="0.3">
      <c r="A122" s="20" t="str">
        <f t="shared" si="32"/>
        <v/>
      </c>
      <c r="B122" s="773"/>
      <c r="C122" s="782"/>
      <c r="D122" s="760"/>
      <c r="E122" s="727" t="s">
        <v>166</v>
      </c>
      <c r="F122" s="410"/>
      <c r="G122" s="677"/>
      <c r="H122" s="678"/>
      <c r="I122" s="679"/>
      <c r="J122" s="680"/>
      <c r="K122" s="679"/>
      <c r="L122" s="680"/>
      <c r="M122" s="679"/>
      <c r="N122" s="680"/>
      <c r="O122" s="681"/>
      <c r="P122" s="682"/>
      <c r="Q122" s="681"/>
      <c r="R122" s="682"/>
      <c r="S122" s="683"/>
      <c r="T122" s="684"/>
      <c r="U122" s="683"/>
      <c r="V122" s="685"/>
      <c r="W122" s="261"/>
    </row>
    <row r="123" spans="1:28" ht="15" customHeight="1" x14ac:dyDescent="0.3">
      <c r="A123" s="20" t="str">
        <f t="shared" si="32"/>
        <v/>
      </c>
      <c r="B123" s="773"/>
      <c r="C123" s="782"/>
      <c r="D123" s="760"/>
      <c r="E123" s="727" t="s">
        <v>166</v>
      </c>
      <c r="F123" s="410"/>
      <c r="G123" s="677"/>
      <c r="H123" s="678"/>
      <c r="I123" s="679"/>
      <c r="J123" s="680"/>
      <c r="K123" s="679"/>
      <c r="L123" s="680"/>
      <c r="M123" s="679"/>
      <c r="N123" s="680"/>
      <c r="O123" s="681"/>
      <c r="P123" s="682"/>
      <c r="Q123" s="681"/>
      <c r="R123" s="682"/>
      <c r="S123" s="683"/>
      <c r="T123" s="684"/>
      <c r="U123" s="683"/>
      <c r="V123" s="685"/>
      <c r="W123" s="261"/>
    </row>
    <row r="124" spans="1:28" ht="15" customHeight="1" x14ac:dyDescent="0.3">
      <c r="A124" s="20" t="str">
        <f t="shared" si="32"/>
        <v/>
      </c>
      <c r="B124" s="773"/>
      <c r="C124" s="782"/>
      <c r="D124" s="760"/>
      <c r="E124" s="728" t="s">
        <v>166</v>
      </c>
      <c r="F124" s="449"/>
      <c r="G124" s="705"/>
      <c r="H124" s="706"/>
      <c r="I124" s="707"/>
      <c r="J124" s="708"/>
      <c r="K124" s="707"/>
      <c r="L124" s="708"/>
      <c r="M124" s="707"/>
      <c r="N124" s="708"/>
      <c r="O124" s="709"/>
      <c r="P124" s="710"/>
      <c r="Q124" s="709"/>
      <c r="R124" s="710"/>
      <c r="S124" s="711"/>
      <c r="T124" s="712"/>
      <c r="U124" s="711"/>
      <c r="V124" s="713"/>
      <c r="W124" s="261"/>
    </row>
    <row r="125" spans="1:28" ht="15.6" x14ac:dyDescent="0.3">
      <c r="A125" s="20" t="str">
        <f t="shared" si="32"/>
        <v>S</v>
      </c>
      <c r="B125" s="773"/>
      <c r="C125" s="782"/>
      <c r="D125" s="310" t="s">
        <v>138</v>
      </c>
      <c r="E125" s="718"/>
      <c r="F125" s="250"/>
      <c r="G125" s="7">
        <f>SUM(G110:G124)</f>
        <v>0</v>
      </c>
      <c r="H125" s="8">
        <f>SUM(H110:H124)</f>
        <v>0</v>
      </c>
      <c r="I125" s="9" t="e">
        <f t="shared" si="25"/>
        <v>#DIV/0!</v>
      </c>
      <c r="J125" s="202">
        <f>SUM(J110:J124)</f>
        <v>0</v>
      </c>
      <c r="K125" s="51" t="e">
        <f t="shared" si="22"/>
        <v>#DIV/0!</v>
      </c>
      <c r="L125" s="202">
        <f>SUM(L110:L124)</f>
        <v>0</v>
      </c>
      <c r="M125" s="9" t="e">
        <f t="shared" si="23"/>
        <v>#DIV/0!</v>
      </c>
      <c r="N125" s="202">
        <f t="shared" ref="N125:V125" si="33">SUM(N110:N124)</f>
        <v>0</v>
      </c>
      <c r="O125" s="118">
        <f t="shared" si="33"/>
        <v>0</v>
      </c>
      <c r="P125" s="119">
        <f t="shared" si="33"/>
        <v>0</v>
      </c>
      <c r="Q125" s="118">
        <f t="shared" si="33"/>
        <v>0</v>
      </c>
      <c r="R125" s="119">
        <f t="shared" si="33"/>
        <v>0</v>
      </c>
      <c r="S125" s="118">
        <f t="shared" si="33"/>
        <v>0</v>
      </c>
      <c r="T125" s="119">
        <f t="shared" si="33"/>
        <v>0</v>
      </c>
      <c r="U125" s="118">
        <f t="shared" si="33"/>
        <v>0</v>
      </c>
      <c r="V125" s="120">
        <f t="shared" si="33"/>
        <v>0</v>
      </c>
      <c r="W125" s="261"/>
      <c r="AB125" s="2">
        <f t="shared" si="29"/>
        <v>0</v>
      </c>
    </row>
    <row r="126" spans="1:28" ht="15.75" customHeight="1" x14ac:dyDescent="0.3">
      <c r="A126" s="20" t="str">
        <f t="shared" si="32"/>
        <v/>
      </c>
      <c r="B126" s="788" t="s">
        <v>72</v>
      </c>
      <c r="C126" s="782" t="s">
        <v>76</v>
      </c>
      <c r="D126" s="760">
        <v>3</v>
      </c>
      <c r="E126" s="720" t="s">
        <v>150</v>
      </c>
      <c r="F126" s="442" t="s">
        <v>62</v>
      </c>
      <c r="G126" s="233"/>
      <c r="H126" s="234"/>
      <c r="I126" s="235" t="str">
        <f t="shared" si="25"/>
        <v/>
      </c>
      <c r="J126" s="236"/>
      <c r="K126" s="235" t="str">
        <f t="shared" si="22"/>
        <v/>
      </c>
      <c r="L126" s="236"/>
      <c r="M126" s="235" t="str">
        <f t="shared" si="23"/>
        <v/>
      </c>
      <c r="N126" s="236"/>
      <c r="O126" s="226"/>
      <c r="P126" s="227"/>
      <c r="Q126" s="226"/>
      <c r="R126" s="227"/>
      <c r="S126" s="284"/>
      <c r="T126" s="285"/>
      <c r="U126" s="284"/>
      <c r="V126" s="286"/>
      <c r="W126" s="205" t="s">
        <v>206</v>
      </c>
      <c r="AB126" s="2" t="str">
        <f t="shared" si="29"/>
        <v/>
      </c>
    </row>
    <row r="127" spans="1:28" ht="15.75" customHeight="1" x14ac:dyDescent="0.3">
      <c r="A127" s="20" t="str">
        <f t="shared" si="32"/>
        <v/>
      </c>
      <c r="B127" s="788"/>
      <c r="C127" s="782"/>
      <c r="D127" s="760"/>
      <c r="E127" s="721" t="s">
        <v>153</v>
      </c>
      <c r="F127" s="410" t="s">
        <v>62</v>
      </c>
      <c r="G127" s="238"/>
      <c r="H127" s="239"/>
      <c r="I127" s="240" t="str">
        <f t="shared" si="25"/>
        <v/>
      </c>
      <c r="J127" s="241"/>
      <c r="K127" s="240" t="str">
        <f t="shared" si="22"/>
        <v/>
      </c>
      <c r="L127" s="241"/>
      <c r="M127" s="240" t="str">
        <f t="shared" si="23"/>
        <v/>
      </c>
      <c r="N127" s="241"/>
      <c r="O127" s="228"/>
      <c r="P127" s="229"/>
      <c r="Q127" s="228"/>
      <c r="R127" s="229"/>
      <c r="S127" s="287"/>
      <c r="T127" s="288"/>
      <c r="U127" s="287"/>
      <c r="V127" s="289"/>
      <c r="W127" s="205" t="s">
        <v>206</v>
      </c>
      <c r="AB127" s="2" t="str">
        <f t="shared" si="29"/>
        <v/>
      </c>
    </row>
    <row r="128" spans="1:28" ht="15.75" customHeight="1" x14ac:dyDescent="0.3">
      <c r="A128" s="20" t="str">
        <f t="shared" si="32"/>
        <v/>
      </c>
      <c r="B128" s="788"/>
      <c r="C128" s="782"/>
      <c r="D128" s="760"/>
      <c r="E128" s="727" t="s">
        <v>166</v>
      </c>
      <c r="F128" s="410" t="s">
        <v>62</v>
      </c>
      <c r="G128" s="238"/>
      <c r="H128" s="239"/>
      <c r="I128" s="240" t="str">
        <f t="shared" si="25"/>
        <v/>
      </c>
      <c r="J128" s="241"/>
      <c r="K128" s="240" t="str">
        <f t="shared" si="22"/>
        <v/>
      </c>
      <c r="L128" s="241"/>
      <c r="M128" s="240" t="str">
        <f t="shared" si="23"/>
        <v/>
      </c>
      <c r="N128" s="241"/>
      <c r="O128" s="228"/>
      <c r="P128" s="229"/>
      <c r="Q128" s="228"/>
      <c r="R128" s="229"/>
      <c r="S128" s="287"/>
      <c r="T128" s="288"/>
      <c r="U128" s="287"/>
      <c r="V128" s="289"/>
      <c r="W128" s="205" t="s">
        <v>206</v>
      </c>
      <c r="AB128" s="2" t="str">
        <f t="shared" si="29"/>
        <v/>
      </c>
    </row>
    <row r="129" spans="1:28" ht="15.75" customHeight="1" x14ac:dyDescent="0.3">
      <c r="A129" s="20" t="str">
        <f t="shared" si="32"/>
        <v/>
      </c>
      <c r="B129" s="788"/>
      <c r="C129" s="782"/>
      <c r="D129" s="760"/>
      <c r="E129" s="727" t="s">
        <v>166</v>
      </c>
      <c r="F129" s="410" t="s">
        <v>62</v>
      </c>
      <c r="G129" s="238"/>
      <c r="H129" s="239"/>
      <c r="I129" s="240" t="str">
        <f t="shared" si="25"/>
        <v/>
      </c>
      <c r="J129" s="241"/>
      <c r="K129" s="240" t="str">
        <f t="shared" ref="K129:K161" si="34">IF(L129="","",L129/G129)</f>
        <v/>
      </c>
      <c r="L129" s="241"/>
      <c r="M129" s="240" t="str">
        <f t="shared" ref="M129:M161" si="35">IF(N129="","",N129/L129)</f>
        <v/>
      </c>
      <c r="N129" s="241"/>
      <c r="O129" s="228"/>
      <c r="P129" s="229"/>
      <c r="Q129" s="228"/>
      <c r="R129" s="229"/>
      <c r="S129" s="287"/>
      <c r="T129" s="288"/>
      <c r="U129" s="287"/>
      <c r="V129" s="289"/>
      <c r="W129" s="205" t="s">
        <v>206</v>
      </c>
      <c r="AB129" s="2" t="str">
        <f t="shared" si="29"/>
        <v/>
      </c>
    </row>
    <row r="130" spans="1:28" ht="15.75" customHeight="1" x14ac:dyDescent="0.3">
      <c r="A130" s="20" t="str">
        <f t="shared" si="32"/>
        <v/>
      </c>
      <c r="B130" s="788"/>
      <c r="C130" s="782"/>
      <c r="D130" s="760"/>
      <c r="E130" s="721" t="s">
        <v>36</v>
      </c>
      <c r="F130" s="410" t="s">
        <v>62</v>
      </c>
      <c r="G130" s="238"/>
      <c r="H130" s="239"/>
      <c r="I130" s="240" t="str">
        <f t="shared" si="25"/>
        <v/>
      </c>
      <c r="J130" s="241"/>
      <c r="K130" s="240" t="str">
        <f t="shared" si="34"/>
        <v/>
      </c>
      <c r="L130" s="241"/>
      <c r="M130" s="240" t="str">
        <f t="shared" si="35"/>
        <v/>
      </c>
      <c r="N130" s="241"/>
      <c r="O130" s="228"/>
      <c r="P130" s="229"/>
      <c r="Q130" s="228"/>
      <c r="R130" s="229"/>
      <c r="S130" s="287"/>
      <c r="T130" s="288"/>
      <c r="U130" s="287"/>
      <c r="V130" s="289"/>
      <c r="W130" s="205" t="s">
        <v>206</v>
      </c>
      <c r="AB130" s="2" t="str">
        <f t="shared" si="29"/>
        <v/>
      </c>
    </row>
    <row r="131" spans="1:28" ht="15.75" customHeight="1" x14ac:dyDescent="0.3">
      <c r="A131" s="20" t="str">
        <f t="shared" si="32"/>
        <v/>
      </c>
      <c r="B131" s="788"/>
      <c r="C131" s="782"/>
      <c r="D131" s="760"/>
      <c r="E131" s="727" t="s">
        <v>166</v>
      </c>
      <c r="F131" s="410"/>
      <c r="G131" s="238"/>
      <c r="H131" s="239"/>
      <c r="I131" s="240"/>
      <c r="J131" s="241"/>
      <c r="K131" s="240"/>
      <c r="L131" s="241"/>
      <c r="M131" s="240"/>
      <c r="N131" s="241"/>
      <c r="O131" s="228"/>
      <c r="P131" s="229"/>
      <c r="Q131" s="228"/>
      <c r="R131" s="229"/>
      <c r="S131" s="287"/>
      <c r="T131" s="288"/>
      <c r="U131" s="287"/>
      <c r="V131" s="289"/>
      <c r="W131" s="205"/>
    </row>
    <row r="132" spans="1:28" ht="15.75" customHeight="1" x14ac:dyDescent="0.3">
      <c r="A132" s="20" t="str">
        <f t="shared" si="32"/>
        <v/>
      </c>
      <c r="B132" s="788"/>
      <c r="C132" s="782"/>
      <c r="D132" s="760"/>
      <c r="E132" s="727" t="s">
        <v>166</v>
      </c>
      <c r="F132" s="410"/>
      <c r="G132" s="238"/>
      <c r="H132" s="239"/>
      <c r="I132" s="240"/>
      <c r="J132" s="241"/>
      <c r="K132" s="240"/>
      <c r="L132" s="241"/>
      <c r="M132" s="240"/>
      <c r="N132" s="241"/>
      <c r="O132" s="228"/>
      <c r="P132" s="229"/>
      <c r="Q132" s="228"/>
      <c r="R132" s="229"/>
      <c r="S132" s="287"/>
      <c r="T132" s="288"/>
      <c r="U132" s="287"/>
      <c r="V132" s="289"/>
      <c r="W132" s="205"/>
    </row>
    <row r="133" spans="1:28" ht="15.75" customHeight="1" x14ac:dyDescent="0.3">
      <c r="A133" s="20" t="str">
        <f t="shared" si="32"/>
        <v/>
      </c>
      <c r="B133" s="788"/>
      <c r="C133" s="782"/>
      <c r="D133" s="760"/>
      <c r="E133" s="728" t="s">
        <v>166</v>
      </c>
      <c r="F133" s="449"/>
      <c r="G133" s="243"/>
      <c r="H133" s="244"/>
      <c r="I133" s="245"/>
      <c r="J133" s="246"/>
      <c r="K133" s="245"/>
      <c r="L133" s="246"/>
      <c r="M133" s="245"/>
      <c r="N133" s="246"/>
      <c r="O133" s="230"/>
      <c r="P133" s="231"/>
      <c r="Q133" s="230"/>
      <c r="R133" s="231"/>
      <c r="S133" s="290"/>
      <c r="T133" s="291"/>
      <c r="U133" s="290"/>
      <c r="V133" s="292"/>
      <c r="W133" s="205"/>
    </row>
    <row r="134" spans="1:28" ht="15.75" customHeight="1" x14ac:dyDescent="0.3">
      <c r="A134" s="20" t="str">
        <f t="shared" si="32"/>
        <v>S</v>
      </c>
      <c r="B134" s="788"/>
      <c r="C134" s="782"/>
      <c r="D134" s="310" t="s">
        <v>138</v>
      </c>
      <c r="E134" s="718"/>
      <c r="F134" s="250"/>
      <c r="G134" s="7">
        <f>SUM(G126:G133)</f>
        <v>0</v>
      </c>
      <c r="H134" s="8">
        <f>SUM(H126:H133)</f>
        <v>0</v>
      </c>
      <c r="I134" s="9" t="e">
        <f t="shared" si="25"/>
        <v>#DIV/0!</v>
      </c>
      <c r="J134" s="202">
        <f>SUM(J126:J133)</f>
        <v>0</v>
      </c>
      <c r="K134" s="51" t="e">
        <f t="shared" si="34"/>
        <v>#DIV/0!</v>
      </c>
      <c r="L134" s="202">
        <f>SUM(L126:L133)</f>
        <v>0</v>
      </c>
      <c r="M134" s="9" t="e">
        <f t="shared" si="35"/>
        <v>#DIV/0!</v>
      </c>
      <c r="N134" s="202">
        <f t="shared" ref="N134:V134" si="36">SUM(N126:N133)</f>
        <v>0</v>
      </c>
      <c r="O134" s="118">
        <f t="shared" si="36"/>
        <v>0</v>
      </c>
      <c r="P134" s="119">
        <f t="shared" si="36"/>
        <v>0</v>
      </c>
      <c r="Q134" s="118">
        <f t="shared" si="36"/>
        <v>0</v>
      </c>
      <c r="R134" s="119">
        <f t="shared" si="36"/>
        <v>0</v>
      </c>
      <c r="S134" s="118">
        <f t="shared" si="36"/>
        <v>0</v>
      </c>
      <c r="T134" s="119">
        <f t="shared" si="36"/>
        <v>0</v>
      </c>
      <c r="U134" s="118">
        <f t="shared" si="36"/>
        <v>0</v>
      </c>
      <c r="V134" s="120">
        <f t="shared" si="36"/>
        <v>0</v>
      </c>
      <c r="W134" s="205"/>
      <c r="AB134" s="2">
        <f t="shared" si="29"/>
        <v>0</v>
      </c>
    </row>
    <row r="135" spans="1:28" ht="15.75" customHeight="1" x14ac:dyDescent="0.3">
      <c r="A135" s="20" t="str">
        <f t="shared" si="32"/>
        <v/>
      </c>
      <c r="B135" s="746" t="s">
        <v>3</v>
      </c>
      <c r="C135" s="749" t="s">
        <v>76</v>
      </c>
      <c r="D135" s="754">
        <v>17</v>
      </c>
      <c r="E135" s="719" t="s">
        <v>48</v>
      </c>
      <c r="F135" s="232" t="s">
        <v>61</v>
      </c>
      <c r="G135" s="233"/>
      <c r="H135" s="234"/>
      <c r="I135" s="235" t="str">
        <f t="shared" si="25"/>
        <v/>
      </c>
      <c r="J135" s="236"/>
      <c r="K135" s="235" t="str">
        <f t="shared" si="34"/>
        <v/>
      </c>
      <c r="L135" s="236"/>
      <c r="M135" s="235" t="str">
        <f t="shared" si="35"/>
        <v/>
      </c>
      <c r="N135" s="236"/>
      <c r="O135" s="226"/>
      <c r="P135" s="227"/>
      <c r="Q135" s="226"/>
      <c r="R135" s="227"/>
      <c r="S135" s="664"/>
      <c r="T135" s="665"/>
      <c r="U135" s="664"/>
      <c r="V135" s="666"/>
      <c r="W135" s="205" t="s">
        <v>206</v>
      </c>
      <c r="AB135" s="2" t="str">
        <f t="shared" si="29"/>
        <v/>
      </c>
    </row>
    <row r="136" spans="1:28" ht="15.75" customHeight="1" x14ac:dyDescent="0.3">
      <c r="A136" s="20" t="str">
        <f t="shared" si="32"/>
        <v/>
      </c>
      <c r="B136" s="747"/>
      <c r="C136" s="750"/>
      <c r="D136" s="755"/>
      <c r="E136" s="577" t="s">
        <v>49</v>
      </c>
      <c r="F136" s="237" t="s">
        <v>61</v>
      </c>
      <c r="G136" s="238"/>
      <c r="H136" s="239"/>
      <c r="I136" s="240" t="str">
        <f t="shared" si="25"/>
        <v/>
      </c>
      <c r="J136" s="241"/>
      <c r="K136" s="240" t="str">
        <f t="shared" si="34"/>
        <v/>
      </c>
      <c r="L136" s="241"/>
      <c r="M136" s="240" t="str">
        <f t="shared" si="35"/>
        <v/>
      </c>
      <c r="N136" s="241"/>
      <c r="O136" s="228"/>
      <c r="P136" s="229"/>
      <c r="Q136" s="228"/>
      <c r="R136" s="229"/>
      <c r="S136" s="667"/>
      <c r="T136" s="668"/>
      <c r="U136" s="667"/>
      <c r="V136" s="669"/>
      <c r="W136" s="205" t="s">
        <v>206</v>
      </c>
      <c r="AB136" s="2" t="str">
        <f t="shared" si="29"/>
        <v/>
      </c>
    </row>
    <row r="137" spans="1:28" ht="15.75" customHeight="1" x14ac:dyDescent="0.3">
      <c r="A137" s="20" t="str">
        <f t="shared" si="32"/>
        <v/>
      </c>
      <c r="B137" s="747"/>
      <c r="C137" s="750"/>
      <c r="D137" s="755"/>
      <c r="E137" s="577" t="s">
        <v>81</v>
      </c>
      <c r="F137" s="237" t="s">
        <v>61</v>
      </c>
      <c r="G137" s="238"/>
      <c r="H137" s="239"/>
      <c r="I137" s="240" t="str">
        <f t="shared" si="25"/>
        <v/>
      </c>
      <c r="J137" s="241"/>
      <c r="K137" s="240" t="str">
        <f t="shared" si="34"/>
        <v/>
      </c>
      <c r="L137" s="241"/>
      <c r="M137" s="240" t="str">
        <f t="shared" si="35"/>
        <v/>
      </c>
      <c r="N137" s="241"/>
      <c r="O137" s="228"/>
      <c r="P137" s="229"/>
      <c r="Q137" s="228"/>
      <c r="R137" s="229"/>
      <c r="S137" s="667"/>
      <c r="T137" s="668"/>
      <c r="U137" s="667"/>
      <c r="V137" s="669"/>
      <c r="W137" s="205" t="s">
        <v>206</v>
      </c>
      <c r="AB137" s="2" t="str">
        <f t="shared" si="29"/>
        <v/>
      </c>
    </row>
    <row r="138" spans="1:28" ht="15.75" customHeight="1" x14ac:dyDescent="0.3">
      <c r="A138" s="20" t="str">
        <f t="shared" si="32"/>
        <v/>
      </c>
      <c r="B138" s="747"/>
      <c r="C138" s="750"/>
      <c r="D138" s="755"/>
      <c r="E138" s="577" t="s">
        <v>73</v>
      </c>
      <c r="F138" s="237" t="s">
        <v>61</v>
      </c>
      <c r="G138" s="238"/>
      <c r="H138" s="239"/>
      <c r="I138" s="240" t="str">
        <f t="shared" si="25"/>
        <v/>
      </c>
      <c r="J138" s="241"/>
      <c r="K138" s="240" t="str">
        <f t="shared" si="34"/>
        <v/>
      </c>
      <c r="L138" s="241"/>
      <c r="M138" s="240" t="str">
        <f t="shared" si="35"/>
        <v/>
      </c>
      <c r="N138" s="241"/>
      <c r="O138" s="228"/>
      <c r="P138" s="229"/>
      <c r="Q138" s="228"/>
      <c r="R138" s="229"/>
      <c r="S138" s="667"/>
      <c r="T138" s="668"/>
      <c r="U138" s="667"/>
      <c r="V138" s="669"/>
      <c r="W138" s="205" t="s">
        <v>206</v>
      </c>
      <c r="AB138" s="2" t="str">
        <f t="shared" si="29"/>
        <v/>
      </c>
    </row>
    <row r="139" spans="1:28" ht="15.75" customHeight="1" x14ac:dyDescent="0.3">
      <c r="A139" s="20" t="str">
        <f t="shared" si="32"/>
        <v/>
      </c>
      <c r="B139" s="747"/>
      <c r="C139" s="750"/>
      <c r="D139" s="755"/>
      <c r="E139" s="577" t="s">
        <v>50</v>
      </c>
      <c r="F139" s="237" t="s">
        <v>61</v>
      </c>
      <c r="G139" s="238"/>
      <c r="H139" s="239"/>
      <c r="I139" s="240" t="str">
        <f t="shared" si="25"/>
        <v/>
      </c>
      <c r="J139" s="241"/>
      <c r="K139" s="240" t="str">
        <f t="shared" si="34"/>
        <v/>
      </c>
      <c r="L139" s="241"/>
      <c r="M139" s="240" t="str">
        <f t="shared" si="35"/>
        <v/>
      </c>
      <c r="N139" s="241"/>
      <c r="O139" s="228"/>
      <c r="P139" s="229"/>
      <c r="Q139" s="228"/>
      <c r="R139" s="229"/>
      <c r="S139" s="667"/>
      <c r="T139" s="668"/>
      <c r="U139" s="667"/>
      <c r="V139" s="669"/>
      <c r="W139" s="205" t="s">
        <v>206</v>
      </c>
      <c r="AB139" s="2" t="str">
        <f t="shared" si="29"/>
        <v/>
      </c>
    </row>
    <row r="140" spans="1:28" ht="15.75" customHeight="1" x14ac:dyDescent="0.3">
      <c r="A140" s="20" t="str">
        <f t="shared" si="32"/>
        <v/>
      </c>
      <c r="B140" s="747"/>
      <c r="C140" s="750"/>
      <c r="D140" s="755"/>
      <c r="E140" s="577" t="s">
        <v>144</v>
      </c>
      <c r="F140" s="237" t="s">
        <v>61</v>
      </c>
      <c r="G140" s="238"/>
      <c r="H140" s="239"/>
      <c r="I140" s="240" t="str">
        <f t="shared" si="25"/>
        <v/>
      </c>
      <c r="J140" s="241"/>
      <c r="K140" s="240" t="str">
        <f t="shared" si="34"/>
        <v/>
      </c>
      <c r="L140" s="241"/>
      <c r="M140" s="240" t="str">
        <f t="shared" si="35"/>
        <v/>
      </c>
      <c r="N140" s="241"/>
      <c r="O140" s="228"/>
      <c r="P140" s="229"/>
      <c r="Q140" s="228"/>
      <c r="R140" s="229"/>
      <c r="S140" s="667"/>
      <c r="T140" s="668"/>
      <c r="U140" s="667"/>
      <c r="V140" s="669"/>
      <c r="W140" s="205" t="s">
        <v>206</v>
      </c>
      <c r="AB140" s="2" t="str">
        <f t="shared" si="29"/>
        <v/>
      </c>
    </row>
    <row r="141" spans="1:28" ht="15.75" customHeight="1" x14ac:dyDescent="0.3">
      <c r="A141" s="20" t="str">
        <f t="shared" si="32"/>
        <v/>
      </c>
      <c r="B141" s="747"/>
      <c r="C141" s="750"/>
      <c r="D141" s="755"/>
      <c r="E141" s="577" t="s">
        <v>143</v>
      </c>
      <c r="F141" s="237" t="s">
        <v>61</v>
      </c>
      <c r="G141" s="238"/>
      <c r="H141" s="239"/>
      <c r="I141" s="240" t="str">
        <f t="shared" si="25"/>
        <v/>
      </c>
      <c r="J141" s="241"/>
      <c r="K141" s="240" t="str">
        <f t="shared" si="34"/>
        <v/>
      </c>
      <c r="L141" s="241"/>
      <c r="M141" s="240" t="str">
        <f t="shared" si="35"/>
        <v/>
      </c>
      <c r="N141" s="241"/>
      <c r="O141" s="228"/>
      <c r="P141" s="229"/>
      <c r="Q141" s="228"/>
      <c r="R141" s="229"/>
      <c r="S141" s="667"/>
      <c r="T141" s="668"/>
      <c r="U141" s="667"/>
      <c r="V141" s="669"/>
      <c r="W141" s="205" t="s">
        <v>206</v>
      </c>
      <c r="AB141" s="2" t="str">
        <f t="shared" si="29"/>
        <v/>
      </c>
    </row>
    <row r="142" spans="1:28" ht="15.75" customHeight="1" x14ac:dyDescent="0.3">
      <c r="A142" s="20" t="str">
        <f t="shared" si="32"/>
        <v/>
      </c>
      <c r="B142" s="747"/>
      <c r="C142" s="750"/>
      <c r="D142" s="755"/>
      <c r="E142" s="577" t="s">
        <v>176</v>
      </c>
      <c r="F142" s="237" t="s">
        <v>61</v>
      </c>
      <c r="G142" s="238"/>
      <c r="H142" s="239"/>
      <c r="I142" s="240" t="str">
        <f t="shared" si="25"/>
        <v/>
      </c>
      <c r="J142" s="241"/>
      <c r="K142" s="240" t="str">
        <f t="shared" si="34"/>
        <v/>
      </c>
      <c r="L142" s="241"/>
      <c r="M142" s="240" t="str">
        <f t="shared" si="35"/>
        <v/>
      </c>
      <c r="N142" s="241"/>
      <c r="O142" s="228"/>
      <c r="P142" s="229"/>
      <c r="Q142" s="228"/>
      <c r="R142" s="229"/>
      <c r="S142" s="667"/>
      <c r="T142" s="668"/>
      <c r="U142" s="667"/>
      <c r="V142" s="669"/>
      <c r="W142" s="205" t="s">
        <v>206</v>
      </c>
      <c r="AB142" s="2" t="str">
        <f t="shared" si="29"/>
        <v/>
      </c>
    </row>
    <row r="143" spans="1:28" ht="15.75" customHeight="1" x14ac:dyDescent="0.3">
      <c r="A143" s="20" t="str">
        <f t="shared" si="32"/>
        <v/>
      </c>
      <c r="B143" s="747"/>
      <c r="C143" s="750"/>
      <c r="D143" s="755"/>
      <c r="E143" s="577" t="s">
        <v>177</v>
      </c>
      <c r="F143" s="237" t="s">
        <v>61</v>
      </c>
      <c r="G143" s="238"/>
      <c r="H143" s="239"/>
      <c r="I143" s="240" t="str">
        <f t="shared" ref="I143:I161" si="37">IF(J143="","",J143/G143)</f>
        <v/>
      </c>
      <c r="J143" s="241"/>
      <c r="K143" s="240" t="str">
        <f t="shared" si="34"/>
        <v/>
      </c>
      <c r="L143" s="241"/>
      <c r="M143" s="240" t="str">
        <f t="shared" si="35"/>
        <v/>
      </c>
      <c r="N143" s="241"/>
      <c r="O143" s="228"/>
      <c r="P143" s="229"/>
      <c r="Q143" s="228"/>
      <c r="R143" s="229"/>
      <c r="S143" s="667"/>
      <c r="T143" s="668"/>
      <c r="U143" s="667"/>
      <c r="V143" s="669"/>
      <c r="W143" s="205" t="s">
        <v>206</v>
      </c>
      <c r="AB143" s="2" t="str">
        <f t="shared" si="29"/>
        <v/>
      </c>
    </row>
    <row r="144" spans="1:28" ht="15.75" customHeight="1" x14ac:dyDescent="0.3">
      <c r="A144" s="20" t="str">
        <f t="shared" si="32"/>
        <v/>
      </c>
      <c r="B144" s="747"/>
      <c r="C144" s="750"/>
      <c r="D144" s="755"/>
      <c r="E144" s="577" t="s">
        <v>178</v>
      </c>
      <c r="F144" s="237" t="s">
        <v>61</v>
      </c>
      <c r="G144" s="238"/>
      <c r="H144" s="239"/>
      <c r="I144" s="240" t="str">
        <f t="shared" si="37"/>
        <v/>
      </c>
      <c r="J144" s="241"/>
      <c r="K144" s="240" t="str">
        <f t="shared" si="34"/>
        <v/>
      </c>
      <c r="L144" s="241"/>
      <c r="M144" s="240" t="str">
        <f t="shared" si="35"/>
        <v/>
      </c>
      <c r="N144" s="241"/>
      <c r="O144" s="228"/>
      <c r="P144" s="229"/>
      <c r="Q144" s="228"/>
      <c r="R144" s="229"/>
      <c r="S144" s="667"/>
      <c r="T144" s="668"/>
      <c r="U144" s="667"/>
      <c r="V144" s="669"/>
      <c r="W144" s="205" t="s">
        <v>206</v>
      </c>
      <c r="AB144" s="2" t="str">
        <f t="shared" si="29"/>
        <v/>
      </c>
    </row>
    <row r="145" spans="1:28" ht="15.75" customHeight="1" x14ac:dyDescent="0.3">
      <c r="A145" s="20" t="str">
        <f t="shared" si="32"/>
        <v/>
      </c>
      <c r="B145" s="747"/>
      <c r="C145" s="750"/>
      <c r="D145" s="755"/>
      <c r="E145" s="577" t="s">
        <v>179</v>
      </c>
      <c r="F145" s="237" t="s">
        <v>61</v>
      </c>
      <c r="G145" s="238"/>
      <c r="H145" s="239"/>
      <c r="I145" s="240" t="str">
        <f t="shared" si="37"/>
        <v/>
      </c>
      <c r="J145" s="241"/>
      <c r="K145" s="240" t="str">
        <f t="shared" si="34"/>
        <v/>
      </c>
      <c r="L145" s="241"/>
      <c r="M145" s="240" t="str">
        <f t="shared" si="35"/>
        <v/>
      </c>
      <c r="N145" s="241"/>
      <c r="O145" s="228"/>
      <c r="P145" s="229"/>
      <c r="Q145" s="228"/>
      <c r="R145" s="229"/>
      <c r="S145" s="667"/>
      <c r="T145" s="668"/>
      <c r="U145" s="667"/>
      <c r="V145" s="669"/>
      <c r="W145" s="205" t="s">
        <v>206</v>
      </c>
      <c r="AB145" s="2" t="str">
        <f t="shared" si="29"/>
        <v/>
      </c>
    </row>
    <row r="146" spans="1:28" ht="15.75" customHeight="1" x14ac:dyDescent="0.3">
      <c r="A146" s="20" t="str">
        <f t="shared" si="32"/>
        <v/>
      </c>
      <c r="B146" s="747"/>
      <c r="C146" s="750"/>
      <c r="D146" s="755"/>
      <c r="E146" s="577" t="s">
        <v>180</v>
      </c>
      <c r="F146" s="237" t="s">
        <v>61</v>
      </c>
      <c r="G146" s="238"/>
      <c r="H146" s="239"/>
      <c r="I146" s="240" t="str">
        <f t="shared" si="37"/>
        <v/>
      </c>
      <c r="J146" s="241"/>
      <c r="K146" s="240" t="str">
        <f t="shared" si="34"/>
        <v/>
      </c>
      <c r="L146" s="241"/>
      <c r="M146" s="240" t="str">
        <f t="shared" si="35"/>
        <v/>
      </c>
      <c r="N146" s="241"/>
      <c r="O146" s="228"/>
      <c r="P146" s="229"/>
      <c r="Q146" s="228"/>
      <c r="R146" s="229"/>
      <c r="S146" s="667"/>
      <c r="T146" s="668"/>
      <c r="U146" s="667"/>
      <c r="V146" s="669"/>
      <c r="W146" s="205" t="s">
        <v>206</v>
      </c>
      <c r="AB146" s="2" t="str">
        <f t="shared" si="29"/>
        <v/>
      </c>
    </row>
    <row r="147" spans="1:28" ht="15.75" customHeight="1" x14ac:dyDescent="0.3">
      <c r="A147" s="20" t="str">
        <f t="shared" si="32"/>
        <v/>
      </c>
      <c r="B147" s="747"/>
      <c r="C147" s="750"/>
      <c r="D147" s="755"/>
      <c r="E147" s="577" t="s">
        <v>181</v>
      </c>
      <c r="F147" s="237" t="s">
        <v>61</v>
      </c>
      <c r="G147" s="238"/>
      <c r="H147" s="239"/>
      <c r="I147" s="240" t="str">
        <f t="shared" si="37"/>
        <v/>
      </c>
      <c r="J147" s="241"/>
      <c r="K147" s="240" t="str">
        <f t="shared" si="34"/>
        <v/>
      </c>
      <c r="L147" s="241"/>
      <c r="M147" s="240" t="str">
        <f t="shared" si="35"/>
        <v/>
      </c>
      <c r="N147" s="241"/>
      <c r="O147" s="228"/>
      <c r="P147" s="229"/>
      <c r="Q147" s="228"/>
      <c r="R147" s="229"/>
      <c r="S147" s="667"/>
      <c r="T147" s="668"/>
      <c r="U147" s="667"/>
      <c r="V147" s="669"/>
      <c r="W147" s="205" t="s">
        <v>206</v>
      </c>
      <c r="AB147" s="2" t="str">
        <f t="shared" si="29"/>
        <v/>
      </c>
    </row>
    <row r="148" spans="1:28" ht="15.75" customHeight="1" x14ac:dyDescent="0.3">
      <c r="A148" s="20" t="str">
        <f t="shared" si="32"/>
        <v/>
      </c>
      <c r="B148" s="747"/>
      <c r="C148" s="750"/>
      <c r="D148" s="755"/>
      <c r="E148" s="577" t="s">
        <v>80</v>
      </c>
      <c r="F148" s="237" t="s">
        <v>61</v>
      </c>
      <c r="G148" s="238"/>
      <c r="H148" s="239"/>
      <c r="I148" s="240" t="str">
        <f t="shared" si="37"/>
        <v/>
      </c>
      <c r="J148" s="241"/>
      <c r="K148" s="240" t="str">
        <f t="shared" si="34"/>
        <v/>
      </c>
      <c r="L148" s="241"/>
      <c r="M148" s="240" t="str">
        <f t="shared" si="35"/>
        <v/>
      </c>
      <c r="N148" s="241"/>
      <c r="O148" s="228"/>
      <c r="P148" s="229"/>
      <c r="Q148" s="228"/>
      <c r="R148" s="229"/>
      <c r="S148" s="667"/>
      <c r="T148" s="668"/>
      <c r="U148" s="667"/>
      <c r="V148" s="669"/>
      <c r="W148" s="205" t="s">
        <v>206</v>
      </c>
      <c r="AB148" s="2" t="str">
        <f t="shared" si="29"/>
        <v/>
      </c>
    </row>
    <row r="149" spans="1:28" ht="15.75" customHeight="1" x14ac:dyDescent="0.3">
      <c r="A149" s="20" t="str">
        <f t="shared" si="32"/>
        <v/>
      </c>
      <c r="B149" s="747"/>
      <c r="C149" s="750"/>
      <c r="D149" s="755"/>
      <c r="E149" s="577" t="s">
        <v>51</v>
      </c>
      <c r="F149" s="237" t="s">
        <v>61</v>
      </c>
      <c r="G149" s="238"/>
      <c r="H149" s="239"/>
      <c r="I149" s="240" t="str">
        <f t="shared" si="37"/>
        <v/>
      </c>
      <c r="J149" s="241"/>
      <c r="K149" s="240" t="str">
        <f t="shared" si="34"/>
        <v/>
      </c>
      <c r="L149" s="241"/>
      <c r="M149" s="240" t="str">
        <f t="shared" si="35"/>
        <v/>
      </c>
      <c r="N149" s="241"/>
      <c r="O149" s="228"/>
      <c r="P149" s="229"/>
      <c r="Q149" s="228"/>
      <c r="R149" s="229"/>
      <c r="S149" s="667"/>
      <c r="T149" s="668"/>
      <c r="U149" s="667"/>
      <c r="V149" s="669"/>
      <c r="W149" s="205" t="s">
        <v>206</v>
      </c>
      <c r="AB149" s="2" t="str">
        <f t="shared" si="29"/>
        <v/>
      </c>
    </row>
    <row r="150" spans="1:28" ht="15" customHeight="1" x14ac:dyDescent="0.3">
      <c r="A150" s="20" t="str">
        <f>IF(D150="Sous-total","S",IF(G150="","","X"))</f>
        <v/>
      </c>
      <c r="B150" s="747"/>
      <c r="C150" s="750"/>
      <c r="D150" s="755"/>
      <c r="E150" s="577" t="s">
        <v>31</v>
      </c>
      <c r="F150" s="237" t="s">
        <v>62</v>
      </c>
      <c r="G150" s="238"/>
      <c r="H150" s="239"/>
      <c r="I150" s="240" t="str">
        <f>IF(J150="","",J150/G150)</f>
        <v/>
      </c>
      <c r="J150" s="241"/>
      <c r="K150" s="240" t="str">
        <f>IF(L150="","",L150/G150)</f>
        <v/>
      </c>
      <c r="L150" s="241"/>
      <c r="M150" s="240" t="str">
        <f>IF(N150="","",N150/L150)</f>
        <v/>
      </c>
      <c r="N150" s="241"/>
      <c r="O150" s="228"/>
      <c r="P150" s="229"/>
      <c r="Q150" s="228"/>
      <c r="R150" s="229"/>
      <c r="S150" s="287"/>
      <c r="T150" s="288"/>
      <c r="U150" s="287"/>
      <c r="V150" s="289"/>
      <c r="W150" s="205" t="s">
        <v>206</v>
      </c>
      <c r="X150" s="1" t="s">
        <v>199</v>
      </c>
      <c r="AB150" s="2" t="str">
        <f>IF(G150&lt;&gt;"",$F150,"")</f>
        <v/>
      </c>
    </row>
    <row r="151" spans="1:28" ht="15.75" customHeight="1" x14ac:dyDescent="0.3">
      <c r="A151" s="20" t="str">
        <f t="shared" si="32"/>
        <v/>
      </c>
      <c r="B151" s="747"/>
      <c r="C151" s="750"/>
      <c r="D151" s="755"/>
      <c r="E151" s="727" t="s">
        <v>166</v>
      </c>
      <c r="F151" s="237" t="s">
        <v>203</v>
      </c>
      <c r="G151" s="238"/>
      <c r="H151" s="239"/>
      <c r="I151" s="240" t="str">
        <f t="shared" si="37"/>
        <v/>
      </c>
      <c r="J151" s="241"/>
      <c r="K151" s="240" t="str">
        <f t="shared" si="34"/>
        <v/>
      </c>
      <c r="L151" s="241"/>
      <c r="M151" s="240" t="str">
        <f t="shared" si="35"/>
        <v/>
      </c>
      <c r="N151" s="241"/>
      <c r="O151" s="228"/>
      <c r="P151" s="229"/>
      <c r="Q151" s="228"/>
      <c r="R151" s="229"/>
      <c r="S151" s="667"/>
      <c r="T151" s="668"/>
      <c r="U151" s="667"/>
      <c r="V151" s="669"/>
      <c r="W151" s="205" t="s">
        <v>206</v>
      </c>
      <c r="AB151" s="2" t="str">
        <f t="shared" si="29"/>
        <v/>
      </c>
    </row>
    <row r="152" spans="1:28" ht="15.75" customHeight="1" x14ac:dyDescent="0.3">
      <c r="A152" s="20" t="str">
        <f t="shared" si="32"/>
        <v/>
      </c>
      <c r="B152" s="747"/>
      <c r="C152" s="750"/>
      <c r="D152" s="755"/>
      <c r="E152" s="727" t="s">
        <v>166</v>
      </c>
      <c r="F152" s="237" t="s">
        <v>203</v>
      </c>
      <c r="G152" s="238"/>
      <c r="H152" s="239"/>
      <c r="I152" s="240" t="str">
        <f t="shared" si="37"/>
        <v/>
      </c>
      <c r="J152" s="241"/>
      <c r="K152" s="240" t="str">
        <f t="shared" si="34"/>
        <v/>
      </c>
      <c r="L152" s="241"/>
      <c r="M152" s="240" t="str">
        <f t="shared" si="35"/>
        <v/>
      </c>
      <c r="N152" s="241"/>
      <c r="O152" s="228"/>
      <c r="P152" s="229"/>
      <c r="Q152" s="228"/>
      <c r="R152" s="229"/>
      <c r="S152" s="667"/>
      <c r="T152" s="668"/>
      <c r="U152" s="667"/>
      <c r="V152" s="669"/>
      <c r="W152" s="205" t="s">
        <v>206</v>
      </c>
      <c r="AB152" s="2" t="str">
        <f t="shared" si="29"/>
        <v/>
      </c>
    </row>
    <row r="153" spans="1:28" ht="15.75" customHeight="1" x14ac:dyDescent="0.3">
      <c r="A153" s="20" t="str">
        <f t="shared" si="32"/>
        <v/>
      </c>
      <c r="B153" s="747"/>
      <c r="C153" s="750"/>
      <c r="D153" s="755"/>
      <c r="E153" s="577" t="s">
        <v>52</v>
      </c>
      <c r="F153" s="237" t="s">
        <v>61</v>
      </c>
      <c r="G153" s="238"/>
      <c r="H153" s="239"/>
      <c r="I153" s="240" t="str">
        <f t="shared" si="37"/>
        <v/>
      </c>
      <c r="J153" s="241"/>
      <c r="K153" s="240" t="str">
        <f t="shared" si="34"/>
        <v/>
      </c>
      <c r="L153" s="241"/>
      <c r="M153" s="240" t="str">
        <f t="shared" si="35"/>
        <v/>
      </c>
      <c r="N153" s="241"/>
      <c r="O153" s="228"/>
      <c r="P153" s="229"/>
      <c r="Q153" s="228"/>
      <c r="R153" s="229"/>
      <c r="S153" s="667"/>
      <c r="T153" s="668"/>
      <c r="U153" s="667"/>
      <c r="V153" s="669"/>
      <c r="W153" s="205" t="s">
        <v>206</v>
      </c>
      <c r="AB153" s="2" t="str">
        <f t="shared" si="29"/>
        <v/>
      </c>
    </row>
    <row r="154" spans="1:28" ht="15.75" customHeight="1" x14ac:dyDescent="0.3">
      <c r="A154" s="20" t="str">
        <f t="shared" si="32"/>
        <v/>
      </c>
      <c r="B154" s="747"/>
      <c r="C154" s="750"/>
      <c r="D154" s="755"/>
      <c r="E154" s="727" t="s">
        <v>166</v>
      </c>
      <c r="F154" s="237"/>
      <c r="G154" s="238"/>
      <c r="H154" s="239"/>
      <c r="I154" s="240"/>
      <c r="J154" s="241"/>
      <c r="K154" s="240"/>
      <c r="L154" s="241"/>
      <c r="M154" s="240"/>
      <c r="N154" s="241"/>
      <c r="O154" s="228"/>
      <c r="P154" s="229"/>
      <c r="Q154" s="228"/>
      <c r="R154" s="229"/>
      <c r="S154" s="667"/>
      <c r="T154" s="668"/>
      <c r="U154" s="667"/>
      <c r="V154" s="669"/>
      <c r="W154" s="205"/>
    </row>
    <row r="155" spans="1:28" ht="15.75" customHeight="1" x14ac:dyDescent="0.3">
      <c r="A155" s="20" t="str">
        <f t="shared" si="32"/>
        <v/>
      </c>
      <c r="B155" s="747"/>
      <c r="C155" s="750"/>
      <c r="D155" s="755"/>
      <c r="E155" s="727" t="s">
        <v>166</v>
      </c>
      <c r="F155" s="237"/>
      <c r="G155" s="238"/>
      <c r="H155" s="239"/>
      <c r="I155" s="240"/>
      <c r="J155" s="241"/>
      <c r="K155" s="240"/>
      <c r="L155" s="241"/>
      <c r="M155" s="240"/>
      <c r="N155" s="241"/>
      <c r="O155" s="228"/>
      <c r="P155" s="229"/>
      <c r="Q155" s="228"/>
      <c r="R155" s="229"/>
      <c r="S155" s="667"/>
      <c r="T155" s="668"/>
      <c r="U155" s="667"/>
      <c r="V155" s="669"/>
      <c r="W155" s="205"/>
    </row>
    <row r="156" spans="1:28" ht="15.75" customHeight="1" x14ac:dyDescent="0.3">
      <c r="A156" s="20" t="str">
        <f t="shared" si="32"/>
        <v/>
      </c>
      <c r="B156" s="747"/>
      <c r="C156" s="750"/>
      <c r="D156" s="755"/>
      <c r="E156" s="727" t="s">
        <v>166</v>
      </c>
      <c r="F156" s="237"/>
      <c r="G156" s="238"/>
      <c r="H156" s="239"/>
      <c r="I156" s="240"/>
      <c r="J156" s="241"/>
      <c r="K156" s="240"/>
      <c r="L156" s="241"/>
      <c r="M156" s="240"/>
      <c r="N156" s="241"/>
      <c r="O156" s="228"/>
      <c r="P156" s="229"/>
      <c r="Q156" s="228"/>
      <c r="R156" s="229"/>
      <c r="S156" s="667"/>
      <c r="T156" s="668"/>
      <c r="U156" s="667"/>
      <c r="V156" s="669"/>
      <c r="W156" s="205"/>
    </row>
    <row r="157" spans="1:28" ht="15.75" customHeight="1" x14ac:dyDescent="0.3">
      <c r="A157" s="20" t="str">
        <f t="shared" si="32"/>
        <v/>
      </c>
      <c r="B157" s="747"/>
      <c r="C157" s="750"/>
      <c r="D157" s="755"/>
      <c r="E157" s="727" t="s">
        <v>166</v>
      </c>
      <c r="F157" s="237"/>
      <c r="G157" s="238"/>
      <c r="H157" s="239"/>
      <c r="I157" s="240"/>
      <c r="J157" s="241"/>
      <c r="K157" s="240"/>
      <c r="L157" s="241"/>
      <c r="M157" s="240"/>
      <c r="N157" s="241"/>
      <c r="O157" s="228"/>
      <c r="P157" s="229"/>
      <c r="Q157" s="228"/>
      <c r="R157" s="229"/>
      <c r="S157" s="667"/>
      <c r="T157" s="668"/>
      <c r="U157" s="667"/>
      <c r="V157" s="669"/>
      <c r="W157" s="205"/>
    </row>
    <row r="158" spans="1:28" ht="15.75" customHeight="1" x14ac:dyDescent="0.3">
      <c r="A158" s="20" t="str">
        <f t="shared" si="32"/>
        <v/>
      </c>
      <c r="B158" s="747"/>
      <c r="C158" s="750"/>
      <c r="D158" s="756"/>
      <c r="E158" s="728" t="s">
        <v>166</v>
      </c>
      <c r="F158" s="242"/>
      <c r="G158" s="243"/>
      <c r="H158" s="244"/>
      <c r="I158" s="245"/>
      <c r="J158" s="246"/>
      <c r="K158" s="245"/>
      <c r="L158" s="246"/>
      <c r="M158" s="245"/>
      <c r="N158" s="246"/>
      <c r="O158" s="230"/>
      <c r="P158" s="231"/>
      <c r="Q158" s="230"/>
      <c r="R158" s="231"/>
      <c r="S158" s="670"/>
      <c r="T158" s="671"/>
      <c r="U158" s="670"/>
      <c r="V158" s="672"/>
      <c r="W158" s="205"/>
    </row>
    <row r="159" spans="1:28" ht="16.2" thickBot="1" x14ac:dyDescent="0.35">
      <c r="A159" s="20" t="str">
        <f t="shared" si="32"/>
        <v>S</v>
      </c>
      <c r="B159" s="748"/>
      <c r="C159" s="751"/>
      <c r="D159" s="311" t="s">
        <v>138</v>
      </c>
      <c r="E159" s="388"/>
      <c r="F159" s="198"/>
      <c r="G159" s="199">
        <f>SUM(G135:G158)</f>
        <v>0</v>
      </c>
      <c r="H159" s="200">
        <f>SUM(H135:H158)</f>
        <v>0</v>
      </c>
      <c r="I159" s="9" t="e">
        <f t="shared" si="37"/>
        <v>#DIV/0!</v>
      </c>
      <c r="J159" s="203">
        <f>SUM(J135:J158)</f>
        <v>0</v>
      </c>
      <c r="K159" s="51" t="e">
        <f t="shared" si="34"/>
        <v>#DIV/0!</v>
      </c>
      <c r="L159" s="203">
        <f>SUM(L135:L158)</f>
        <v>0</v>
      </c>
      <c r="M159" s="9" t="e">
        <f t="shared" si="35"/>
        <v>#DIV/0!</v>
      </c>
      <c r="N159" s="203">
        <f t="shared" ref="N159:V159" si="38">SUM(N135:N158)</f>
        <v>0</v>
      </c>
      <c r="O159" s="129">
        <f t="shared" si="38"/>
        <v>0</v>
      </c>
      <c r="P159" s="130">
        <f t="shared" si="38"/>
        <v>0</v>
      </c>
      <c r="Q159" s="129">
        <f t="shared" si="38"/>
        <v>0</v>
      </c>
      <c r="R159" s="130">
        <f t="shared" si="38"/>
        <v>0</v>
      </c>
      <c r="S159" s="129">
        <f t="shared" si="38"/>
        <v>0</v>
      </c>
      <c r="T159" s="130">
        <f t="shared" si="38"/>
        <v>0</v>
      </c>
      <c r="U159" s="129">
        <f t="shared" si="38"/>
        <v>0</v>
      </c>
      <c r="V159" s="131">
        <f t="shared" si="38"/>
        <v>0</v>
      </c>
      <c r="W159" s="205" t="s">
        <v>206</v>
      </c>
    </row>
    <row r="160" spans="1:28" s="15" customFormat="1" ht="27.75" customHeight="1" thickBot="1" x14ac:dyDescent="0.35">
      <c r="A160" s="20" t="s">
        <v>106</v>
      </c>
      <c r="B160" s="102" t="s">
        <v>77</v>
      </c>
      <c r="C160" s="103"/>
      <c r="D160" s="103">
        <f>SUM(D66:D159)</f>
        <v>79</v>
      </c>
      <c r="E160" s="631" t="s">
        <v>79</v>
      </c>
      <c r="F160" s="372"/>
      <c r="G160" s="56">
        <f>G77+G85+G95+G109+G125+G134+G159</f>
        <v>0</v>
      </c>
      <c r="H160" s="35">
        <f>H77+H85+H95+H109+H125+H134+H159</f>
        <v>0</v>
      </c>
      <c r="I160" s="32" t="e">
        <f t="shared" si="37"/>
        <v>#DIV/0!</v>
      </c>
      <c r="J160" s="33">
        <f>J77+J85+J95+J109+J125+J134+J159</f>
        <v>0</v>
      </c>
      <c r="K160" s="32" t="e">
        <f t="shared" si="34"/>
        <v>#DIV/0!</v>
      </c>
      <c r="L160" s="33">
        <f>L77+L85+L95+L109+L125+L134+L159</f>
        <v>0</v>
      </c>
      <c r="M160" s="32" t="e">
        <f t="shared" si="35"/>
        <v>#DIV/0!</v>
      </c>
      <c r="N160" s="33">
        <f t="shared" ref="N160:V160" si="39">N77+N85+N95+N109+N125+N134+N159</f>
        <v>0</v>
      </c>
      <c r="O160" s="34">
        <f t="shared" si="39"/>
        <v>0</v>
      </c>
      <c r="P160" s="35">
        <f t="shared" si="39"/>
        <v>0</v>
      </c>
      <c r="Q160" s="34">
        <f t="shared" si="39"/>
        <v>0</v>
      </c>
      <c r="R160" s="35">
        <f t="shared" si="39"/>
        <v>0</v>
      </c>
      <c r="S160" s="34">
        <f t="shared" si="39"/>
        <v>0</v>
      </c>
      <c r="T160" s="35">
        <f t="shared" si="39"/>
        <v>0</v>
      </c>
      <c r="U160" s="34">
        <f t="shared" si="39"/>
        <v>0</v>
      </c>
      <c r="V160" s="36">
        <f t="shared" si="39"/>
        <v>0</v>
      </c>
      <c r="W160" s="205"/>
      <c r="X160" s="362"/>
      <c r="AB160" s="2"/>
    </row>
    <row r="161" spans="1:28" s="354" customFormat="1" ht="31.5" customHeight="1" thickBot="1" x14ac:dyDescent="0.35">
      <c r="A161" s="20" t="s">
        <v>106</v>
      </c>
      <c r="B161" s="345" t="s">
        <v>66</v>
      </c>
      <c r="C161" s="346"/>
      <c r="D161" s="346">
        <f>D160+D65</f>
        <v>119</v>
      </c>
      <c r="E161" s="632" t="s">
        <v>79</v>
      </c>
      <c r="F161" s="364"/>
      <c r="G161" s="347">
        <f>G65+G160</f>
        <v>0</v>
      </c>
      <c r="H161" s="348">
        <f>H65+H160</f>
        <v>0</v>
      </c>
      <c r="I161" s="349" t="e">
        <f t="shared" si="37"/>
        <v>#DIV/0!</v>
      </c>
      <c r="J161" s="350">
        <f>J65+J160</f>
        <v>0</v>
      </c>
      <c r="K161" s="349" t="e">
        <f t="shared" si="34"/>
        <v>#DIV/0!</v>
      </c>
      <c r="L161" s="350">
        <f>L65+L160</f>
        <v>0</v>
      </c>
      <c r="M161" s="349" t="e">
        <f t="shared" si="35"/>
        <v>#DIV/0!</v>
      </c>
      <c r="N161" s="350">
        <f t="shared" ref="N161:V161" si="40">N65+N160</f>
        <v>0</v>
      </c>
      <c r="O161" s="351">
        <f t="shared" si="40"/>
        <v>0</v>
      </c>
      <c r="P161" s="348">
        <f t="shared" si="40"/>
        <v>0</v>
      </c>
      <c r="Q161" s="351">
        <f t="shared" si="40"/>
        <v>0</v>
      </c>
      <c r="R161" s="348">
        <f t="shared" si="40"/>
        <v>0</v>
      </c>
      <c r="S161" s="351">
        <f t="shared" si="40"/>
        <v>0</v>
      </c>
      <c r="T161" s="348">
        <f t="shared" si="40"/>
        <v>0</v>
      </c>
      <c r="U161" s="351">
        <f t="shared" si="40"/>
        <v>0</v>
      </c>
      <c r="V161" s="352">
        <f t="shared" si="40"/>
        <v>0</v>
      </c>
      <c r="W161" s="205"/>
      <c r="X161" s="371"/>
      <c r="AB161" s="2"/>
    </row>
    <row r="162" spans="1:28" x14ac:dyDescent="0.3">
      <c r="A162" s="20" t="s">
        <v>106</v>
      </c>
      <c r="B162" s="5"/>
      <c r="C162" s="14"/>
      <c r="D162" s="14"/>
      <c r="E162" s="5"/>
      <c r="F162" s="14"/>
      <c r="G162" s="57"/>
      <c r="H162" s="57"/>
      <c r="I162" s="58"/>
      <c r="J162" s="58"/>
      <c r="K162" s="58"/>
      <c r="L162" s="58"/>
      <c r="M162" s="758" t="s">
        <v>68</v>
      </c>
      <c r="N162" s="758"/>
      <c r="O162" s="57"/>
      <c r="P162" s="57"/>
      <c r="Q162" s="57"/>
      <c r="R162" s="57"/>
      <c r="S162" s="57"/>
      <c r="T162" s="57"/>
      <c r="U162" s="57"/>
      <c r="V162" s="57"/>
      <c r="AB162" s="2" t="str">
        <f t="shared" ref="AB162" si="41">IF(G162&gt;0,$F162,"")</f>
        <v/>
      </c>
    </row>
    <row r="163" spans="1:28" x14ac:dyDescent="0.3">
      <c r="A163" s="20" t="s">
        <v>106</v>
      </c>
    </row>
    <row r="164" spans="1:28" x14ac:dyDescent="0.3">
      <c r="A164" s="20" t="s">
        <v>106</v>
      </c>
      <c r="E164" s="26" t="s">
        <v>205</v>
      </c>
      <c r="F164" s="389" t="s">
        <v>204</v>
      </c>
    </row>
    <row r="165" spans="1:28" x14ac:dyDescent="0.3">
      <c r="A165" s="20" t="s">
        <v>106</v>
      </c>
      <c r="E165" s="223" t="s">
        <v>60</v>
      </c>
      <c r="F165" s="714">
        <f>COUNTIF(AB$5:AB$153,$E164)</f>
        <v>0</v>
      </c>
    </row>
    <row r="166" spans="1:28" x14ac:dyDescent="0.3">
      <c r="A166" s="20" t="s">
        <v>106</v>
      </c>
      <c r="E166" s="1" t="s">
        <v>61</v>
      </c>
      <c r="F166" s="2">
        <f>COUNTIF(AB$5:AB$153,$E165)</f>
        <v>0</v>
      </c>
    </row>
    <row r="167" spans="1:28" ht="15" thickBot="1" x14ac:dyDescent="0.35">
      <c r="A167" s="20" t="s">
        <v>106</v>
      </c>
      <c r="E167" s="509" t="s">
        <v>62</v>
      </c>
      <c r="F167" s="510">
        <f>COUNTIF(AB$5:AB$153,$E166)</f>
        <v>0</v>
      </c>
    </row>
    <row r="168" spans="1:28" x14ac:dyDescent="0.3">
      <c r="A168" s="20" t="s">
        <v>106</v>
      </c>
      <c r="E168" s="511" t="s">
        <v>66</v>
      </c>
      <c r="F168" s="715">
        <f t="shared" ref="F168" si="42">SUM(F165:F167)</f>
        <v>0</v>
      </c>
    </row>
    <row r="169" spans="1:28" x14ac:dyDescent="0.3">
      <c r="E169" s="31"/>
    </row>
    <row r="170" spans="1:28" x14ac:dyDescent="0.3">
      <c r="E170" s="31"/>
    </row>
    <row r="171" spans="1:28" x14ac:dyDescent="0.3">
      <c r="E171" s="31"/>
    </row>
    <row r="172" spans="1:28" x14ac:dyDescent="0.3">
      <c r="E172" s="31"/>
    </row>
    <row r="175" spans="1:28" ht="15" customHeight="1" x14ac:dyDescent="0.3"/>
    <row r="176" spans="1:28" ht="15" customHeight="1" x14ac:dyDescent="0.3"/>
    <row r="177" spans="5:5" s="1" customFormat="1" ht="15" customHeight="1" x14ac:dyDescent="0.3"/>
    <row r="178" spans="5:5" s="1" customFormat="1" ht="15" customHeight="1" x14ac:dyDescent="0.3"/>
    <row r="179" spans="5:5" s="1" customFormat="1" ht="15" customHeight="1" x14ac:dyDescent="0.3"/>
    <row r="180" spans="5:5" s="1" customFormat="1" ht="15" customHeight="1" x14ac:dyDescent="0.3"/>
    <row r="181" spans="5:5" s="1" customFormat="1" ht="15" customHeight="1" x14ac:dyDescent="0.3"/>
    <row r="182" spans="5:5" s="1" customFormat="1" ht="15" customHeight="1" x14ac:dyDescent="0.3"/>
    <row r="183" spans="5:5" s="1" customFormat="1" ht="15" customHeight="1" x14ac:dyDescent="0.3"/>
    <row r="184" spans="5:5" s="1" customFormat="1" ht="15.75" customHeight="1" x14ac:dyDescent="0.3"/>
    <row r="185" spans="5:5" s="1" customFormat="1" ht="15.75" customHeight="1" x14ac:dyDescent="0.3">
      <c r="E185" s="31"/>
    </row>
    <row r="186" spans="5:5" s="1" customFormat="1" ht="15" customHeight="1" x14ac:dyDescent="0.3"/>
    <row r="187" spans="5:5" s="1" customFormat="1" ht="15" customHeight="1" x14ac:dyDescent="0.3">
      <c r="E187" s="31"/>
    </row>
    <row r="188" spans="5:5" s="1" customFormat="1" ht="15" customHeight="1" x14ac:dyDescent="0.3">
      <c r="E188" s="31"/>
    </row>
    <row r="189" spans="5:5" s="1" customFormat="1" ht="15" customHeight="1" x14ac:dyDescent="0.3"/>
    <row r="201" spans="5:5" s="1" customFormat="1" x14ac:dyDescent="0.3">
      <c r="E201" s="31"/>
    </row>
    <row r="203" spans="5:5" s="1" customFormat="1" x14ac:dyDescent="0.3">
      <c r="E203" s="31"/>
    </row>
    <row r="204" spans="5:5" s="1" customFormat="1" x14ac:dyDescent="0.3">
      <c r="E204" s="31"/>
    </row>
    <row r="217" spans="5:5" s="1" customFormat="1" x14ac:dyDescent="0.3">
      <c r="E217" s="31"/>
    </row>
    <row r="219" spans="5:5" s="1" customFormat="1" x14ac:dyDescent="0.3">
      <c r="E219" s="31"/>
    </row>
    <row r="220" spans="5:5" s="1" customFormat="1" x14ac:dyDescent="0.3">
      <c r="E220" s="31"/>
    </row>
    <row r="233" spans="5:5" s="1" customFormat="1" x14ac:dyDescent="0.3">
      <c r="E233" s="31"/>
    </row>
  </sheetData>
  <sheetProtection password="D0CE" sheet="1" objects="1" scenarios="1"/>
  <autoFilter ref="A1:V167" xr:uid="{00000000-0009-0000-0000-000006000000}"/>
  <mergeCells count="53">
    <mergeCell ref="Q2:R2"/>
    <mergeCell ref="S2:T2"/>
    <mergeCell ref="U2:V2"/>
    <mergeCell ref="B5:B8"/>
    <mergeCell ref="C5:C8"/>
    <mergeCell ref="I2:I4"/>
    <mergeCell ref="J2:J4"/>
    <mergeCell ref="K2:K4"/>
    <mergeCell ref="L2:L4"/>
    <mergeCell ref="M2:M4"/>
    <mergeCell ref="N2:N4"/>
    <mergeCell ref="B2:B4"/>
    <mergeCell ref="C2:C4"/>
    <mergeCell ref="D2:D4"/>
    <mergeCell ref="E2:E4"/>
    <mergeCell ref="F2:F4"/>
    <mergeCell ref="G2:H2"/>
    <mergeCell ref="O2:P2"/>
    <mergeCell ref="B9:B12"/>
    <mergeCell ref="C9:C12"/>
    <mergeCell ref="B13:B34"/>
    <mergeCell ref="C13:C34"/>
    <mergeCell ref="B35:B49"/>
    <mergeCell ref="C35:C49"/>
    <mergeCell ref="B78:B85"/>
    <mergeCell ref="C78:C85"/>
    <mergeCell ref="D78:D84"/>
    <mergeCell ref="B50:B64"/>
    <mergeCell ref="C50:C64"/>
    <mergeCell ref="B66:B77"/>
    <mergeCell ref="C66:C77"/>
    <mergeCell ref="M162:N162"/>
    <mergeCell ref="D5:D7"/>
    <mergeCell ref="D9:D11"/>
    <mergeCell ref="D13:D33"/>
    <mergeCell ref="D35:D48"/>
    <mergeCell ref="D50:D63"/>
    <mergeCell ref="D66:D76"/>
    <mergeCell ref="D126:D133"/>
    <mergeCell ref="D96:D108"/>
    <mergeCell ref="D110:D124"/>
    <mergeCell ref="B135:B159"/>
    <mergeCell ref="C135:C159"/>
    <mergeCell ref="C86:C95"/>
    <mergeCell ref="B86:B95"/>
    <mergeCell ref="D135:D158"/>
    <mergeCell ref="D86:D94"/>
    <mergeCell ref="B126:B134"/>
    <mergeCell ref="C126:C134"/>
    <mergeCell ref="B96:B109"/>
    <mergeCell ref="C96:C109"/>
    <mergeCell ref="B110:B125"/>
    <mergeCell ref="C110:C125"/>
  </mergeCells>
  <conditionalFormatting sqref="E5:F159">
    <cfRule type="expression" dxfId="26" priority="1">
      <formula>$G5=""</formula>
    </cfRule>
  </conditionalFormatting>
  <conditionalFormatting sqref="G50:R63">
    <cfRule type="expression" dxfId="25" priority="2" stopIfTrue="1">
      <formula>$G50=""</formula>
    </cfRule>
  </conditionalFormatting>
  <pageMargins left="0.23622047244094491" right="0.23622047244094491" top="0.35433070866141736" bottom="0.15748031496062992" header="0.31496062992125984" footer="0.31496062992125984"/>
  <pageSetup paperSize="8" scale="43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CH285"/>
  <sheetViews>
    <sheetView view="pageBreakPreview" zoomScale="70" zoomScaleNormal="55" zoomScaleSheetLayoutView="70" workbookViewId="0">
      <pane xSplit="17" ySplit="4" topLeftCell="R5" activePane="bottomRight" state="frozen"/>
      <selection activeCell="P141" sqref="P141"/>
      <selection pane="topRight" activeCell="P141" sqref="P141"/>
      <selection pane="bottomLeft" activeCell="P141" sqref="P141"/>
      <selection pane="bottomRight" activeCell="B13" sqref="B13:B34"/>
    </sheetView>
  </sheetViews>
  <sheetFormatPr baseColWidth="10" defaultColWidth="11.44140625" defaultRowHeight="14.4" outlineLevelCol="1" x14ac:dyDescent="0.3"/>
  <cols>
    <col min="1" max="1" width="3" style="20" customWidth="1"/>
    <col min="2" max="2" width="33.6640625" style="1" customWidth="1"/>
    <col min="3" max="3" width="11.5546875" style="2" customWidth="1"/>
    <col min="4" max="7" width="6" style="2" customWidth="1"/>
    <col min="8" max="9" width="6" style="2" hidden="1" customWidth="1" outlineLevel="1"/>
    <col min="10" max="10" width="44.88671875" style="1" customWidth="1" collapsed="1"/>
    <col min="11" max="14" width="6.88671875" style="2" customWidth="1"/>
    <col min="15" max="16" width="6.88671875" style="2" hidden="1" customWidth="1" outlineLevel="1"/>
    <col min="17" max="17" width="11.6640625" style="2" customWidth="1" collapsed="1"/>
    <col min="18" max="21" width="9.33203125" style="2" customWidth="1"/>
    <col min="22" max="23" width="9.33203125" style="2" hidden="1" customWidth="1" outlineLevel="1"/>
    <col min="24" max="24" width="9.33203125" style="2" customWidth="1" collapsed="1"/>
    <col min="25" max="27" width="9.33203125" style="2" customWidth="1"/>
    <col min="28" max="29" width="9.33203125" style="2" hidden="1" customWidth="1" outlineLevel="1"/>
    <col min="30" max="30" width="9.33203125" style="4" customWidth="1" collapsed="1"/>
    <col min="31" max="33" width="9.33203125" style="4" customWidth="1"/>
    <col min="34" max="35" width="9.33203125" style="4" hidden="1" customWidth="1" outlineLevel="1"/>
    <col min="36" max="36" width="9.33203125" style="2" customWidth="1" collapsed="1"/>
    <col min="37" max="39" width="9.33203125" style="2" customWidth="1"/>
    <col min="40" max="41" width="9.33203125" style="2" hidden="1" customWidth="1" outlineLevel="1"/>
    <col min="42" max="42" width="9.33203125" style="4" customWidth="1" collapsed="1"/>
    <col min="43" max="45" width="9.33203125" style="4" customWidth="1"/>
    <col min="46" max="47" width="9.33203125" style="4" hidden="1" customWidth="1" outlineLevel="1"/>
    <col min="48" max="48" width="9.33203125" style="2" customWidth="1" collapsed="1"/>
    <col min="49" max="51" width="9.33203125" style="2" customWidth="1"/>
    <col min="52" max="53" width="9.33203125" style="2" hidden="1" customWidth="1" outlineLevel="1"/>
    <col min="54" max="54" width="9.33203125" style="3" customWidth="1" collapsed="1"/>
    <col min="55" max="57" width="9.33203125" style="3" customWidth="1"/>
    <col min="58" max="59" width="9.33203125" style="3" hidden="1" customWidth="1" outlineLevel="1"/>
    <col min="60" max="60" width="9.33203125" style="4" customWidth="1" collapsed="1"/>
    <col min="61" max="63" width="9.33203125" style="4" customWidth="1"/>
    <col min="64" max="65" width="9.33203125" style="4" hidden="1" customWidth="1" outlineLevel="1"/>
    <col min="66" max="66" width="7.5546875" style="338" customWidth="1" collapsed="1"/>
    <col min="67" max="73" width="7.5546875" style="338" customWidth="1"/>
    <col min="74" max="74" width="3.33203125" style="1" customWidth="1"/>
    <col min="75" max="16384" width="11.44140625" style="1"/>
  </cols>
  <sheetData>
    <row r="1" spans="1:86" s="20" customFormat="1" ht="17.25" customHeight="1" thickBot="1" x14ac:dyDescent="0.35">
      <c r="B1" s="20">
        <v>2</v>
      </c>
      <c r="C1" s="23">
        <v>3</v>
      </c>
      <c r="D1" s="23">
        <v>4</v>
      </c>
      <c r="E1" s="23">
        <v>5</v>
      </c>
      <c r="F1" s="20">
        <v>6</v>
      </c>
      <c r="J1" s="23">
        <v>7</v>
      </c>
      <c r="K1" s="23">
        <v>8</v>
      </c>
      <c r="L1" s="23">
        <v>9</v>
      </c>
      <c r="M1" s="23">
        <v>10</v>
      </c>
      <c r="N1" s="23"/>
      <c r="O1" s="23"/>
      <c r="Q1" s="23">
        <v>11</v>
      </c>
      <c r="R1" s="23">
        <v>12</v>
      </c>
      <c r="S1" s="23">
        <v>13</v>
      </c>
      <c r="T1" s="20">
        <v>14</v>
      </c>
      <c r="X1" s="23">
        <v>15</v>
      </c>
      <c r="Y1" s="23">
        <v>16</v>
      </c>
      <c r="Z1" s="23">
        <v>17</v>
      </c>
      <c r="AA1" s="23"/>
      <c r="AB1" s="23"/>
      <c r="AC1" s="23"/>
      <c r="AD1" s="20">
        <v>18</v>
      </c>
      <c r="AE1" s="23">
        <v>19</v>
      </c>
      <c r="AF1" s="23">
        <v>20</v>
      </c>
      <c r="AG1" s="23"/>
      <c r="AH1" s="23"/>
      <c r="AI1" s="23"/>
      <c r="AJ1" s="23">
        <v>21</v>
      </c>
      <c r="AK1" s="20">
        <v>22</v>
      </c>
      <c r="AL1" s="23">
        <v>23</v>
      </c>
      <c r="AM1" s="23"/>
      <c r="AN1" s="23"/>
      <c r="AO1" s="23"/>
      <c r="AP1" s="23">
        <v>24</v>
      </c>
      <c r="AQ1" s="23">
        <v>25</v>
      </c>
      <c r="AR1" s="20">
        <v>26</v>
      </c>
      <c r="AV1" s="23">
        <v>27</v>
      </c>
      <c r="AW1" s="23">
        <v>28</v>
      </c>
      <c r="AX1" s="23">
        <v>29</v>
      </c>
      <c r="AY1" s="23"/>
      <c r="AZ1" s="23"/>
      <c r="BA1" s="23"/>
      <c r="BB1" s="20">
        <v>30</v>
      </c>
      <c r="BC1" s="23">
        <v>31</v>
      </c>
      <c r="BD1" s="23">
        <v>32</v>
      </c>
      <c r="BE1" s="23"/>
      <c r="BF1" s="23"/>
      <c r="BG1" s="23"/>
      <c r="BH1" s="23">
        <v>33</v>
      </c>
      <c r="BI1" s="20">
        <v>34</v>
      </c>
      <c r="BJ1" s="23">
        <v>35</v>
      </c>
      <c r="BK1" s="23"/>
      <c r="BL1" s="23"/>
      <c r="BM1" s="23"/>
      <c r="BN1" s="23">
        <v>36</v>
      </c>
      <c r="BO1" s="23">
        <v>37</v>
      </c>
      <c r="BP1" s="20">
        <v>38</v>
      </c>
      <c r="BQ1" s="23">
        <v>39</v>
      </c>
      <c r="BR1" s="23">
        <v>40</v>
      </c>
      <c r="BS1" s="23">
        <v>41</v>
      </c>
      <c r="BT1" s="20">
        <v>42</v>
      </c>
      <c r="BU1" s="23">
        <v>43</v>
      </c>
      <c r="BV1" s="1"/>
    </row>
    <row r="2" spans="1:86" s="6" customFormat="1" ht="30" customHeight="1" thickBot="1" x14ac:dyDescent="0.35">
      <c r="A2" s="21"/>
      <c r="B2" s="769" t="s">
        <v>53</v>
      </c>
      <c r="C2" s="866" t="s">
        <v>74</v>
      </c>
      <c r="D2" s="869" t="s">
        <v>202</v>
      </c>
      <c r="E2" s="870"/>
      <c r="F2" s="870"/>
      <c r="G2" s="870"/>
      <c r="H2" s="870"/>
      <c r="I2" s="871"/>
      <c r="J2" s="765" t="s">
        <v>79</v>
      </c>
      <c r="K2" s="477"/>
      <c r="L2" s="477"/>
      <c r="M2" s="477"/>
      <c r="N2" s="477"/>
      <c r="O2" s="477"/>
      <c r="P2" s="567"/>
      <c r="Q2" s="761" t="s">
        <v>59</v>
      </c>
      <c r="R2" s="269" t="s">
        <v>54</v>
      </c>
      <c r="S2" s="270"/>
      <c r="T2" s="270"/>
      <c r="U2" s="270"/>
      <c r="V2" s="270"/>
      <c r="W2" s="270"/>
      <c r="X2" s="270"/>
      <c r="Y2" s="270"/>
      <c r="Z2" s="271"/>
      <c r="AA2" s="270"/>
      <c r="AB2" s="270"/>
      <c r="AC2" s="270"/>
      <c r="AD2" s="276" t="s">
        <v>160</v>
      </c>
      <c r="AE2" s="272"/>
      <c r="AF2" s="273"/>
      <c r="AG2" s="272"/>
      <c r="AH2" s="272"/>
      <c r="AI2" s="272"/>
      <c r="AJ2" s="270"/>
      <c r="AK2" s="270"/>
      <c r="AL2" s="271"/>
      <c r="AM2" s="270"/>
      <c r="AN2" s="270"/>
      <c r="AO2" s="270"/>
      <c r="AP2" s="276" t="s">
        <v>200</v>
      </c>
      <c r="AQ2" s="272"/>
      <c r="AR2" s="273"/>
      <c r="AS2" s="272"/>
      <c r="AT2" s="272"/>
      <c r="AU2" s="272"/>
      <c r="AV2" s="270"/>
      <c r="AW2" s="270"/>
      <c r="AX2" s="271"/>
      <c r="AY2" s="270"/>
      <c r="AZ2" s="270"/>
      <c r="BA2" s="270"/>
      <c r="BB2" s="276" t="s">
        <v>201</v>
      </c>
      <c r="BC2" s="272"/>
      <c r="BD2" s="273"/>
      <c r="BE2" s="272"/>
      <c r="BF2" s="272"/>
      <c r="BG2" s="272"/>
      <c r="BH2" s="270"/>
      <c r="BI2" s="270"/>
      <c r="BJ2" s="271"/>
      <c r="BK2" s="270"/>
      <c r="BL2" s="270"/>
      <c r="BM2" s="270"/>
      <c r="BN2" s="867" t="s">
        <v>39</v>
      </c>
      <c r="BO2" s="868"/>
      <c r="BP2" s="867" t="s">
        <v>40</v>
      </c>
      <c r="BQ2" s="868"/>
      <c r="BR2" s="867" t="s">
        <v>41</v>
      </c>
      <c r="BS2" s="868"/>
      <c r="BT2" s="863" t="s">
        <v>42</v>
      </c>
      <c r="BU2" s="864"/>
    </row>
    <row r="3" spans="1:86" s="6" customFormat="1" ht="30" customHeight="1" thickBot="1" x14ac:dyDescent="0.35">
      <c r="A3" s="21"/>
      <c r="B3" s="769"/>
      <c r="C3" s="866"/>
      <c r="D3" s="872"/>
      <c r="E3" s="873"/>
      <c r="F3" s="873"/>
      <c r="G3" s="873"/>
      <c r="H3" s="873"/>
      <c r="I3" s="874"/>
      <c r="J3" s="765"/>
      <c r="K3" s="376"/>
      <c r="L3" s="376"/>
      <c r="M3" s="376"/>
      <c r="N3" s="376"/>
      <c r="O3" s="376"/>
      <c r="P3" s="568"/>
      <c r="Q3" s="762"/>
      <c r="R3" s="262" t="s">
        <v>159</v>
      </c>
      <c r="S3" s="263"/>
      <c r="T3" s="264"/>
      <c r="U3" s="578"/>
      <c r="V3" s="578"/>
      <c r="W3" s="578"/>
      <c r="X3" s="265" t="s">
        <v>44</v>
      </c>
      <c r="Y3" s="263"/>
      <c r="Z3" s="264"/>
      <c r="AA3" s="578"/>
      <c r="AB3" s="578"/>
      <c r="AC3" s="578"/>
      <c r="AD3" s="274" t="s">
        <v>161</v>
      </c>
      <c r="AE3" s="275"/>
      <c r="AF3" s="268"/>
      <c r="AG3" s="633"/>
      <c r="AH3" s="633"/>
      <c r="AI3" s="633"/>
      <c r="AJ3" s="265" t="s">
        <v>162</v>
      </c>
      <c r="AK3" s="263"/>
      <c r="AL3" s="264"/>
      <c r="AM3" s="578"/>
      <c r="AN3" s="578"/>
      <c r="AO3" s="578"/>
      <c r="AP3" s="274" t="s">
        <v>161</v>
      </c>
      <c r="AQ3" s="275"/>
      <c r="AR3" s="268"/>
      <c r="AS3" s="633"/>
      <c r="AT3" s="633"/>
      <c r="AU3" s="633"/>
      <c r="AV3" s="265" t="s">
        <v>162</v>
      </c>
      <c r="AW3" s="263"/>
      <c r="AX3" s="264"/>
      <c r="AY3" s="578"/>
      <c r="AZ3" s="578"/>
      <c r="BA3" s="578"/>
      <c r="BB3" s="274" t="s">
        <v>161</v>
      </c>
      <c r="BC3" s="275"/>
      <c r="BD3" s="268"/>
      <c r="BE3" s="633"/>
      <c r="BF3" s="633"/>
      <c r="BG3" s="633"/>
      <c r="BH3" s="265" t="s">
        <v>162</v>
      </c>
      <c r="BI3" s="263"/>
      <c r="BJ3" s="264"/>
      <c r="BK3" s="578"/>
      <c r="BL3" s="578"/>
      <c r="BM3" s="578"/>
      <c r="BN3" s="324"/>
      <c r="BO3" s="325"/>
      <c r="BP3" s="324"/>
      <c r="BQ3" s="325"/>
      <c r="BR3" s="324"/>
      <c r="BS3" s="325"/>
      <c r="BT3" s="326"/>
      <c r="BU3" s="327"/>
    </row>
    <row r="4" spans="1:86" s="6" customFormat="1" ht="30" customHeight="1" thickBot="1" x14ac:dyDescent="0.35">
      <c r="A4" s="21"/>
      <c r="B4" s="769"/>
      <c r="C4" s="866"/>
      <c r="D4" s="117">
        <v>2020</v>
      </c>
      <c r="E4" s="111">
        <v>2021</v>
      </c>
      <c r="F4" s="111">
        <v>2022</v>
      </c>
      <c r="G4" s="111">
        <v>2023</v>
      </c>
      <c r="H4" s="111">
        <v>2024</v>
      </c>
      <c r="I4" s="112">
        <v>2025</v>
      </c>
      <c r="J4" s="765"/>
      <c r="K4" s="111">
        <v>2020</v>
      </c>
      <c r="L4" s="111">
        <v>2021</v>
      </c>
      <c r="M4" s="111">
        <v>2022</v>
      </c>
      <c r="N4" s="111">
        <v>2023</v>
      </c>
      <c r="O4" s="111">
        <v>2024</v>
      </c>
      <c r="P4" s="112">
        <v>2025</v>
      </c>
      <c r="Q4" s="763"/>
      <c r="R4" s="579">
        <v>2020</v>
      </c>
      <c r="S4" s="111">
        <v>2021</v>
      </c>
      <c r="T4" s="111">
        <v>2022</v>
      </c>
      <c r="U4" s="111">
        <v>2023</v>
      </c>
      <c r="V4" s="111">
        <v>2024</v>
      </c>
      <c r="W4" s="112">
        <v>2025</v>
      </c>
      <c r="X4" s="320">
        <v>2020</v>
      </c>
      <c r="Y4" s="111">
        <v>2021</v>
      </c>
      <c r="Z4" s="111">
        <v>2022</v>
      </c>
      <c r="AA4" s="111">
        <v>2023</v>
      </c>
      <c r="AB4" s="111">
        <v>2024</v>
      </c>
      <c r="AC4" s="112">
        <v>2025</v>
      </c>
      <c r="AD4" s="312">
        <v>2020</v>
      </c>
      <c r="AE4" s="313">
        <v>2021</v>
      </c>
      <c r="AF4" s="313">
        <v>2022</v>
      </c>
      <c r="AG4" s="111">
        <v>2023</v>
      </c>
      <c r="AH4" s="111">
        <v>2024</v>
      </c>
      <c r="AI4" s="112">
        <v>2025</v>
      </c>
      <c r="AJ4" s="320">
        <v>2020</v>
      </c>
      <c r="AK4" s="314">
        <v>2021</v>
      </c>
      <c r="AL4" s="314">
        <v>2022</v>
      </c>
      <c r="AM4" s="111">
        <v>2023</v>
      </c>
      <c r="AN4" s="111">
        <v>2024</v>
      </c>
      <c r="AO4" s="112">
        <v>2025</v>
      </c>
      <c r="AP4" s="312">
        <v>2020</v>
      </c>
      <c r="AQ4" s="313">
        <v>2021</v>
      </c>
      <c r="AR4" s="313">
        <v>2022</v>
      </c>
      <c r="AS4" s="111">
        <v>2023</v>
      </c>
      <c r="AT4" s="111">
        <v>2024</v>
      </c>
      <c r="AU4" s="112">
        <v>2025</v>
      </c>
      <c r="AV4" s="320">
        <v>2020</v>
      </c>
      <c r="AW4" s="314">
        <v>2021</v>
      </c>
      <c r="AX4" s="314">
        <v>2022</v>
      </c>
      <c r="AY4" s="111">
        <v>2023</v>
      </c>
      <c r="AZ4" s="111">
        <v>2024</v>
      </c>
      <c r="BA4" s="112">
        <v>2025</v>
      </c>
      <c r="BB4" s="312">
        <v>2020</v>
      </c>
      <c r="BC4" s="313">
        <v>2021</v>
      </c>
      <c r="BD4" s="313">
        <v>2022</v>
      </c>
      <c r="BE4" s="111">
        <v>2023</v>
      </c>
      <c r="BF4" s="111">
        <v>2024</v>
      </c>
      <c r="BG4" s="112">
        <v>2025</v>
      </c>
      <c r="BH4" s="320">
        <v>2020</v>
      </c>
      <c r="BI4" s="314">
        <v>2021</v>
      </c>
      <c r="BJ4" s="314">
        <v>2022</v>
      </c>
      <c r="BK4" s="111">
        <v>2023</v>
      </c>
      <c r="BL4" s="111">
        <v>2024</v>
      </c>
      <c r="BM4" s="112">
        <v>2025</v>
      </c>
      <c r="BN4" s="328" t="s">
        <v>43</v>
      </c>
      <c r="BO4" s="329" t="s">
        <v>44</v>
      </c>
      <c r="BP4" s="328" t="s">
        <v>43</v>
      </c>
      <c r="BQ4" s="329" t="s">
        <v>44</v>
      </c>
      <c r="BR4" s="328" t="s">
        <v>43</v>
      </c>
      <c r="BS4" s="329" t="s">
        <v>44</v>
      </c>
      <c r="BT4" s="328" t="s">
        <v>43</v>
      </c>
      <c r="BU4" s="330" t="s">
        <v>44</v>
      </c>
      <c r="CC4" s="6">
        <v>2020</v>
      </c>
      <c r="CD4" s="6">
        <v>2021</v>
      </c>
      <c r="CE4" s="6">
        <v>2022</v>
      </c>
      <c r="CF4" s="6">
        <v>2023</v>
      </c>
      <c r="CG4" s="6">
        <v>2024</v>
      </c>
      <c r="CH4" s="6">
        <v>2025</v>
      </c>
    </row>
    <row r="5" spans="1:86" ht="15.75" customHeight="1" x14ac:dyDescent="0.3">
      <c r="B5" s="849" t="s">
        <v>70</v>
      </c>
      <c r="C5" s="851" t="s">
        <v>75</v>
      </c>
      <c r="D5" s="813">
        <f>'2020'!D5</f>
        <v>2</v>
      </c>
      <c r="E5" s="816">
        <f>'2021'!D5</f>
        <v>2</v>
      </c>
      <c r="F5" s="816">
        <f>'2022'!D5</f>
        <v>2</v>
      </c>
      <c r="G5" s="816">
        <f>'2023'!D5</f>
        <v>2</v>
      </c>
      <c r="H5" s="816"/>
      <c r="I5" s="817"/>
      <c r="J5" s="726" t="s">
        <v>71</v>
      </c>
      <c r="K5" s="574" t="str">
        <f>IF(R5=0,"","X")</f>
        <v>X</v>
      </c>
      <c r="L5" s="574" t="str">
        <f t="shared" ref="L5:M5" si="0">IF(S5=0,"","X")</f>
        <v>X</v>
      </c>
      <c r="M5" s="574" t="str">
        <f t="shared" si="0"/>
        <v>X</v>
      </c>
      <c r="N5" s="574" t="str">
        <f t="shared" ref="N5" si="1">IF(U5=0,"","X")</f>
        <v>X</v>
      </c>
      <c r="O5" s="574" t="str">
        <f t="shared" ref="O5" si="2">IF(V5=0,"","X")</f>
        <v/>
      </c>
      <c r="P5" s="575" t="str">
        <f t="shared" ref="P5" si="3">IF(W5=0,"","X")</f>
        <v/>
      </c>
      <c r="Q5" s="576" t="s">
        <v>60</v>
      </c>
      <c r="R5" s="580">
        <f>'2020'!G5</f>
        <v>63</v>
      </c>
      <c r="S5" s="581">
        <f>'2021'!G5</f>
        <v>102</v>
      </c>
      <c r="T5" s="581">
        <f>'2022'!G5</f>
        <v>72</v>
      </c>
      <c r="U5" s="581">
        <f>'2023'!G5</f>
        <v>176</v>
      </c>
      <c r="V5" s="581">
        <f>'2024'!G5</f>
        <v>0</v>
      </c>
      <c r="W5" s="582">
        <f>'2025'!G5</f>
        <v>0</v>
      </c>
      <c r="X5" s="618">
        <f>'2020'!H5</f>
        <v>29</v>
      </c>
      <c r="Y5" s="581">
        <f>'2021'!H5</f>
        <v>94</v>
      </c>
      <c r="Z5" s="581">
        <f>'2022'!H5</f>
        <v>72</v>
      </c>
      <c r="AA5" s="581">
        <f>'2023'!H5</f>
        <v>0</v>
      </c>
      <c r="AB5" s="581">
        <f>'2024'!H5</f>
        <v>0</v>
      </c>
      <c r="AC5" s="582">
        <f>'2025'!H5</f>
        <v>0</v>
      </c>
      <c r="AD5" s="468">
        <f t="shared" ref="AD5:AD68" si="4">IF(R5="",0,IF(AJ5=0,0,AJ5/R5))</f>
        <v>3.1746031746031744E-2</v>
      </c>
      <c r="AE5" s="469">
        <f t="shared" ref="AE5:AE68" si="5">IF(S5="",0,IF(AK5=0,0,AK5/S5))</f>
        <v>1.9607843137254902E-2</v>
      </c>
      <c r="AF5" s="469">
        <f t="shared" ref="AF5:AF68" si="6">IF(T5="",0,IF(AL5=0,0,AL5/T5))</f>
        <v>0</v>
      </c>
      <c r="AG5" s="469">
        <f t="shared" ref="AG5:AG68" si="7">IF(U5="",0,IF(AM5=0,0,AM5/U5))</f>
        <v>0.25568181818181818</v>
      </c>
      <c r="AH5" s="469">
        <f t="shared" ref="AH5:AH68" si="8">IF(V5="",0,IF(AN5=0,0,AN5/V5))</f>
        <v>0</v>
      </c>
      <c r="AI5" s="470">
        <f t="shared" ref="AI5:AI68" si="9">IF(W5="",0,IF(AO5=0,0,AO5/W5))</f>
        <v>0</v>
      </c>
      <c r="AJ5" s="618">
        <f>'2020'!J5</f>
        <v>2</v>
      </c>
      <c r="AK5" s="581">
        <f>'2021'!J5</f>
        <v>2</v>
      </c>
      <c r="AL5" s="581">
        <f>'2022'!J5</f>
        <v>0</v>
      </c>
      <c r="AM5" s="581">
        <f>'2023'!J5</f>
        <v>45</v>
      </c>
      <c r="AN5" s="581">
        <f>'2024'!J5</f>
        <v>0</v>
      </c>
      <c r="AO5" s="582">
        <f>'2025'!J5</f>
        <v>0</v>
      </c>
      <c r="AP5" s="468">
        <f t="shared" ref="AP5" si="10">IF(R5=0,"",IF(AV5="","",AV5/R5))</f>
        <v>0.26984126984126983</v>
      </c>
      <c r="AQ5" s="469">
        <f t="shared" ref="AQ5:AQ68" si="11">IF(S5=0,"",IF(AW5="","",AW5/S5))</f>
        <v>0.17647058823529413</v>
      </c>
      <c r="AR5" s="469">
        <f t="shared" ref="AR5:AR68" si="12">IF(T5=0,"",IF(AX5="","",AX5/T5))</f>
        <v>0</v>
      </c>
      <c r="AS5" s="469">
        <f t="shared" ref="AS5:AS68" si="13">IF(U5=0,"",IF(AY5="","",AY5/U5))</f>
        <v>0.34090909090909088</v>
      </c>
      <c r="AT5" s="469" t="str">
        <f t="shared" ref="AT5:AT68" si="14">IF(V5=0,"",IF(AZ5="","",AZ5/V5))</f>
        <v/>
      </c>
      <c r="AU5" s="470" t="str">
        <f t="shared" ref="AU5:AU68" si="15">IF(W5=0,"",IF(BA5="","",BA5/W5))</f>
        <v/>
      </c>
      <c r="AV5" s="618">
        <f>'2020'!L5</f>
        <v>17</v>
      </c>
      <c r="AW5" s="581">
        <f>'2021'!L5</f>
        <v>18</v>
      </c>
      <c r="AX5" s="581">
        <f>'2022'!L5</f>
        <v>0</v>
      </c>
      <c r="AY5" s="581">
        <f>'2023'!L5</f>
        <v>60</v>
      </c>
      <c r="AZ5" s="581">
        <f>'2024'!L5</f>
        <v>0</v>
      </c>
      <c r="BA5" s="582">
        <f>'2025'!L5</f>
        <v>0</v>
      </c>
      <c r="BB5" s="468">
        <f>IF(AV5=0,"",IF(BH5="-","",BH5/AV5))</f>
        <v>0.11764705882352941</v>
      </c>
      <c r="BC5" s="469">
        <f t="shared" ref="BC5:BC68" si="16">IF(AW5=0,"",IF(BI5="-","",BI5/AW5))</f>
        <v>0.1111111111111111</v>
      </c>
      <c r="BD5" s="469" t="str">
        <f t="shared" ref="BD5:BD68" si="17">IF(AX5=0,"",IF(BJ5="-","",BJ5/AX5))</f>
        <v/>
      </c>
      <c r="BE5" s="469">
        <f t="shared" ref="BE5:BE68" si="18">IF(AY5=0,"",IF(BK5="-","",BK5/AY5))</f>
        <v>0.26666666666666666</v>
      </c>
      <c r="BF5" s="469" t="str">
        <f t="shared" ref="BF5:BF68" si="19">IF(AZ5=0,"",IF(BL5="-","",BL5/AZ5))</f>
        <v/>
      </c>
      <c r="BG5" s="470" t="str">
        <f t="shared" ref="BG5:BG68" si="20">IF(BA5=0,"",IF(BM5="-","",BM5/BA5))</f>
        <v/>
      </c>
      <c r="BH5" s="729">
        <f>'2020'!N5</f>
        <v>2</v>
      </c>
      <c r="BI5" s="730">
        <f>'2021'!N5</f>
        <v>2</v>
      </c>
      <c r="BJ5" s="730">
        <f>'2022'!N5</f>
        <v>0</v>
      </c>
      <c r="BK5" s="730">
        <f>'2023'!N5</f>
        <v>16</v>
      </c>
      <c r="BL5" s="730">
        <f>'2024'!N5</f>
        <v>0</v>
      </c>
      <c r="BM5" s="731">
        <f>'2025'!N5</f>
        <v>0</v>
      </c>
      <c r="BN5" s="471" t="s">
        <v>21</v>
      </c>
      <c r="BO5" s="472" t="s">
        <v>21</v>
      </c>
      <c r="BP5" s="471" t="s">
        <v>21</v>
      </c>
      <c r="BQ5" s="472" t="s">
        <v>21</v>
      </c>
      <c r="BR5" s="473" t="s">
        <v>21</v>
      </c>
      <c r="BS5" s="474" t="s">
        <v>21</v>
      </c>
      <c r="BT5" s="473" t="s">
        <v>21</v>
      </c>
      <c r="BU5" s="475" t="s">
        <v>21</v>
      </c>
      <c r="CC5" s="1" t="str">
        <f t="shared" ref="CC5:CH5" si="21">IF(K5&lt;&gt;"",$Q5,"")</f>
        <v>France</v>
      </c>
      <c r="CD5" s="1" t="str">
        <f t="shared" si="21"/>
        <v>France</v>
      </c>
      <c r="CE5" s="1" t="str">
        <f t="shared" si="21"/>
        <v>France</v>
      </c>
      <c r="CF5" s="1" t="str">
        <f t="shared" si="21"/>
        <v>France</v>
      </c>
      <c r="CG5" s="1" t="str">
        <f t="shared" si="21"/>
        <v/>
      </c>
      <c r="CH5" s="1" t="str">
        <f t="shared" si="21"/>
        <v/>
      </c>
    </row>
    <row r="6" spans="1:86" ht="15.75" customHeight="1" x14ac:dyDescent="0.3">
      <c r="B6" s="747"/>
      <c r="C6" s="750"/>
      <c r="D6" s="814"/>
      <c r="E6" s="807"/>
      <c r="F6" s="807"/>
      <c r="G6" s="807"/>
      <c r="H6" s="807"/>
      <c r="I6" s="811"/>
      <c r="J6" s="721" t="s">
        <v>166</v>
      </c>
      <c r="K6" s="400" t="str">
        <f t="shared" ref="K6:K7" si="22">IF(R6=0,"","X")</f>
        <v/>
      </c>
      <c r="L6" s="400" t="str">
        <f t="shared" ref="L6:L7" si="23">IF(S6=0,"","X")</f>
        <v/>
      </c>
      <c r="M6" s="400" t="str">
        <f t="shared" ref="M6:M7" si="24">IF(T6=0,"","X")</f>
        <v/>
      </c>
      <c r="N6" s="400" t="str">
        <f t="shared" ref="N6:N7" si="25">IF(U6=0,"","X")</f>
        <v/>
      </c>
      <c r="O6" s="400" t="str">
        <f t="shared" ref="O6:O7" si="26">IF(V6=0,"","X")</f>
        <v/>
      </c>
      <c r="P6" s="401" t="str">
        <f t="shared" ref="P6:P7" si="27">IF(W6=0,"","X")</f>
        <v/>
      </c>
      <c r="Q6" s="237"/>
      <c r="R6" s="583">
        <f>'2020'!G6</f>
        <v>0</v>
      </c>
      <c r="S6" s="584">
        <f>'2021'!G6</f>
        <v>0</v>
      </c>
      <c r="T6" s="584">
        <f>'2022'!G6</f>
        <v>0</v>
      </c>
      <c r="U6" s="584">
        <f>'2023'!G6</f>
        <v>0</v>
      </c>
      <c r="V6" s="584">
        <f>'2024'!G6</f>
        <v>0</v>
      </c>
      <c r="W6" s="585">
        <f>'2025'!G6</f>
        <v>0</v>
      </c>
      <c r="X6" s="619">
        <f>'2020'!H6</f>
        <v>0</v>
      </c>
      <c r="Y6" s="584">
        <f>'2021'!H6</f>
        <v>0</v>
      </c>
      <c r="Z6" s="584">
        <f>'2022'!H6</f>
        <v>0</v>
      </c>
      <c r="AA6" s="584">
        <f>'2023'!H6</f>
        <v>0</v>
      </c>
      <c r="AB6" s="584">
        <f>'2024'!H6</f>
        <v>0</v>
      </c>
      <c r="AC6" s="585">
        <f>'2025'!H6</f>
        <v>0</v>
      </c>
      <c r="AD6" s="421">
        <f t="shared" si="4"/>
        <v>0</v>
      </c>
      <c r="AE6" s="422">
        <f t="shared" si="5"/>
        <v>0</v>
      </c>
      <c r="AF6" s="422">
        <f t="shared" si="6"/>
        <v>0</v>
      </c>
      <c r="AG6" s="422">
        <f t="shared" si="7"/>
        <v>0</v>
      </c>
      <c r="AH6" s="422">
        <f t="shared" si="8"/>
        <v>0</v>
      </c>
      <c r="AI6" s="423">
        <f t="shared" si="9"/>
        <v>0</v>
      </c>
      <c r="AJ6" s="619">
        <f>'2020'!J6</f>
        <v>0</v>
      </c>
      <c r="AK6" s="584">
        <f>'2021'!J6</f>
        <v>0</v>
      </c>
      <c r="AL6" s="584">
        <f>'2022'!J6</f>
        <v>0</v>
      </c>
      <c r="AM6" s="584">
        <f>'2023'!J6</f>
        <v>0</v>
      </c>
      <c r="AN6" s="584">
        <f>'2024'!J6</f>
        <v>0</v>
      </c>
      <c r="AO6" s="585">
        <f>'2025'!J6</f>
        <v>0</v>
      </c>
      <c r="AP6" s="421" t="str">
        <f t="shared" ref="AP6:AP69" si="28">IF(R6=0,"",IF(AV6="","",AV6/R6))</f>
        <v/>
      </c>
      <c r="AQ6" s="422" t="str">
        <f t="shared" si="11"/>
        <v/>
      </c>
      <c r="AR6" s="422" t="str">
        <f t="shared" si="12"/>
        <v/>
      </c>
      <c r="AS6" s="422" t="str">
        <f t="shared" si="13"/>
        <v/>
      </c>
      <c r="AT6" s="422" t="str">
        <f t="shared" si="14"/>
        <v/>
      </c>
      <c r="AU6" s="423" t="str">
        <f t="shared" si="15"/>
        <v/>
      </c>
      <c r="AV6" s="619">
        <f>'2020'!L6</f>
        <v>0</v>
      </c>
      <c r="AW6" s="584">
        <f>'2021'!L6</f>
        <v>0</v>
      </c>
      <c r="AX6" s="584">
        <f>'2022'!L6</f>
        <v>0</v>
      </c>
      <c r="AY6" s="584">
        <f>'2023'!L6</f>
        <v>0</v>
      </c>
      <c r="AZ6" s="584">
        <f>'2024'!L6</f>
        <v>0</v>
      </c>
      <c r="BA6" s="585">
        <f>'2025'!L6</f>
        <v>0</v>
      </c>
      <c r="BB6" s="421" t="str">
        <f t="shared" ref="BB6:BB69" si="29">IF(AV6=0,"",IF(BH6="-","",BH6/AV6))</f>
        <v/>
      </c>
      <c r="BC6" s="422" t="str">
        <f t="shared" si="16"/>
        <v/>
      </c>
      <c r="BD6" s="422" t="str">
        <f t="shared" si="17"/>
        <v/>
      </c>
      <c r="BE6" s="422" t="str">
        <f t="shared" si="18"/>
        <v/>
      </c>
      <c r="BF6" s="422" t="str">
        <f t="shared" si="19"/>
        <v/>
      </c>
      <c r="BG6" s="423" t="str">
        <f t="shared" si="20"/>
        <v/>
      </c>
      <c r="BH6" s="732">
        <f>'2020'!N6</f>
        <v>0</v>
      </c>
      <c r="BI6" s="733">
        <f>'2021'!N6</f>
        <v>0</v>
      </c>
      <c r="BJ6" s="733">
        <f>'2022'!N6</f>
        <v>0</v>
      </c>
      <c r="BK6" s="733">
        <f>'2023'!N6</f>
        <v>0</v>
      </c>
      <c r="BL6" s="733">
        <f>'2024'!N6</f>
        <v>0</v>
      </c>
      <c r="BM6" s="734">
        <f>'2025'!N6</f>
        <v>0</v>
      </c>
      <c r="BN6" s="424"/>
      <c r="BO6" s="425"/>
      <c r="BP6" s="424"/>
      <c r="BQ6" s="425"/>
      <c r="BR6" s="426"/>
      <c r="BS6" s="427"/>
      <c r="BT6" s="426"/>
      <c r="BU6" s="428"/>
      <c r="CC6" s="1" t="str">
        <f t="shared" ref="CC6:CC69" si="30">IF(K6&lt;&gt;"",$Q6,"")</f>
        <v/>
      </c>
      <c r="CD6" s="1" t="str">
        <f t="shared" ref="CD6:CD69" si="31">IF(L6&lt;&gt;"",$Q6,"")</f>
        <v/>
      </c>
      <c r="CE6" s="1" t="str">
        <f t="shared" ref="CE6:CE69" si="32">IF(M6&lt;&gt;"",$Q6,"")</f>
        <v/>
      </c>
      <c r="CF6" s="1" t="str">
        <f t="shared" ref="CF6:CF69" si="33">IF(N6&lt;&gt;"",$Q6,"")</f>
        <v/>
      </c>
      <c r="CG6" s="1" t="str">
        <f t="shared" ref="CG6:CG69" si="34">IF(O6&lt;&gt;"",$Q6,"")</f>
        <v/>
      </c>
      <c r="CH6" s="1" t="str">
        <f t="shared" ref="CH6:CH69" si="35">IF(P6&lt;&gt;"",$Q6,"")</f>
        <v/>
      </c>
    </row>
    <row r="7" spans="1:86" ht="15.75" customHeight="1" x14ac:dyDescent="0.3">
      <c r="B7" s="747"/>
      <c r="C7" s="750"/>
      <c r="D7" s="815"/>
      <c r="E7" s="808"/>
      <c r="F7" s="808"/>
      <c r="G7" s="808"/>
      <c r="H7" s="808"/>
      <c r="I7" s="812"/>
      <c r="J7" s="722" t="s">
        <v>166</v>
      </c>
      <c r="K7" s="402" t="str">
        <f t="shared" si="22"/>
        <v/>
      </c>
      <c r="L7" s="402" t="str">
        <f t="shared" si="23"/>
        <v/>
      </c>
      <c r="M7" s="402" t="str">
        <f t="shared" si="24"/>
        <v/>
      </c>
      <c r="N7" s="402" t="str">
        <f t="shared" si="25"/>
        <v/>
      </c>
      <c r="O7" s="402" t="str">
        <f t="shared" si="26"/>
        <v/>
      </c>
      <c r="P7" s="403" t="str">
        <f t="shared" si="27"/>
        <v/>
      </c>
      <c r="Q7" s="242"/>
      <c r="R7" s="586">
        <f>'2020'!G7</f>
        <v>0</v>
      </c>
      <c r="S7" s="587">
        <f>'2021'!G7</f>
        <v>0</v>
      </c>
      <c r="T7" s="587">
        <f>'2022'!G7</f>
        <v>0</v>
      </c>
      <c r="U7" s="587">
        <f>'2023'!G7</f>
        <v>0</v>
      </c>
      <c r="V7" s="587">
        <f>'2024'!G7</f>
        <v>0</v>
      </c>
      <c r="W7" s="588">
        <f>'2025'!G7</f>
        <v>0</v>
      </c>
      <c r="X7" s="620">
        <f>'2020'!H7</f>
        <v>0</v>
      </c>
      <c r="Y7" s="587">
        <f>'2021'!H7</f>
        <v>0</v>
      </c>
      <c r="Z7" s="587">
        <f>'2022'!H7</f>
        <v>0</v>
      </c>
      <c r="AA7" s="587">
        <f>'2023'!H7</f>
        <v>0</v>
      </c>
      <c r="AB7" s="587">
        <f>'2024'!H7</f>
        <v>0</v>
      </c>
      <c r="AC7" s="588">
        <f>'2025'!H7</f>
        <v>0</v>
      </c>
      <c r="AD7" s="429">
        <f t="shared" si="4"/>
        <v>0</v>
      </c>
      <c r="AE7" s="430">
        <f t="shared" si="5"/>
        <v>0</v>
      </c>
      <c r="AF7" s="430">
        <f t="shared" si="6"/>
        <v>0</v>
      </c>
      <c r="AG7" s="430">
        <f t="shared" si="7"/>
        <v>0</v>
      </c>
      <c r="AH7" s="430">
        <f t="shared" si="8"/>
        <v>0</v>
      </c>
      <c r="AI7" s="431">
        <f t="shared" si="9"/>
        <v>0</v>
      </c>
      <c r="AJ7" s="620">
        <f>'2020'!J7</f>
        <v>0</v>
      </c>
      <c r="AK7" s="587">
        <f>'2021'!J7</f>
        <v>0</v>
      </c>
      <c r="AL7" s="587">
        <f>'2022'!J7</f>
        <v>0</v>
      </c>
      <c r="AM7" s="587">
        <f>'2023'!J7</f>
        <v>0</v>
      </c>
      <c r="AN7" s="587">
        <f>'2024'!J7</f>
        <v>0</v>
      </c>
      <c r="AO7" s="588">
        <f>'2025'!J7</f>
        <v>0</v>
      </c>
      <c r="AP7" s="429" t="str">
        <f t="shared" si="28"/>
        <v/>
      </c>
      <c r="AQ7" s="430" t="str">
        <f t="shared" si="11"/>
        <v/>
      </c>
      <c r="AR7" s="430" t="str">
        <f t="shared" si="12"/>
        <v/>
      </c>
      <c r="AS7" s="430" t="str">
        <f t="shared" si="13"/>
        <v/>
      </c>
      <c r="AT7" s="430" t="str">
        <f t="shared" si="14"/>
        <v/>
      </c>
      <c r="AU7" s="431" t="str">
        <f t="shared" si="15"/>
        <v/>
      </c>
      <c r="AV7" s="620">
        <f>'2020'!L7</f>
        <v>0</v>
      </c>
      <c r="AW7" s="587">
        <f>'2021'!L7</f>
        <v>0</v>
      </c>
      <c r="AX7" s="587">
        <f>'2022'!L7</f>
        <v>0</v>
      </c>
      <c r="AY7" s="587">
        <f>'2023'!L7</f>
        <v>0</v>
      </c>
      <c r="AZ7" s="587">
        <f>'2024'!L7</f>
        <v>0</v>
      </c>
      <c r="BA7" s="588">
        <f>'2025'!L7</f>
        <v>0</v>
      </c>
      <c r="BB7" s="429" t="str">
        <f t="shared" si="29"/>
        <v/>
      </c>
      <c r="BC7" s="430" t="str">
        <f t="shared" si="16"/>
        <v/>
      </c>
      <c r="BD7" s="430" t="str">
        <f t="shared" si="17"/>
        <v/>
      </c>
      <c r="BE7" s="430" t="str">
        <f t="shared" si="18"/>
        <v/>
      </c>
      <c r="BF7" s="430" t="str">
        <f t="shared" si="19"/>
        <v/>
      </c>
      <c r="BG7" s="431" t="str">
        <f t="shared" si="20"/>
        <v/>
      </c>
      <c r="BH7" s="735">
        <f>'2020'!N7</f>
        <v>0</v>
      </c>
      <c r="BI7" s="736">
        <f>'2021'!N7</f>
        <v>0</v>
      </c>
      <c r="BJ7" s="736">
        <f>'2022'!N7</f>
        <v>0</v>
      </c>
      <c r="BK7" s="736">
        <f>'2023'!N7</f>
        <v>0</v>
      </c>
      <c r="BL7" s="736">
        <f>'2024'!N7</f>
        <v>0</v>
      </c>
      <c r="BM7" s="737">
        <f>'2025'!N7</f>
        <v>0</v>
      </c>
      <c r="BN7" s="432"/>
      <c r="BO7" s="433"/>
      <c r="BP7" s="432"/>
      <c r="BQ7" s="433"/>
      <c r="BR7" s="434"/>
      <c r="BS7" s="435"/>
      <c r="BT7" s="434"/>
      <c r="BU7" s="436"/>
      <c r="CC7" s="1" t="str">
        <f t="shared" si="30"/>
        <v/>
      </c>
      <c r="CD7" s="1" t="str">
        <f t="shared" si="31"/>
        <v/>
      </c>
      <c r="CE7" s="1" t="str">
        <f t="shared" si="32"/>
        <v/>
      </c>
      <c r="CF7" s="1" t="str">
        <f t="shared" si="33"/>
        <v/>
      </c>
      <c r="CG7" s="1" t="str">
        <f t="shared" si="34"/>
        <v/>
      </c>
      <c r="CH7" s="1" t="str">
        <f t="shared" si="35"/>
        <v/>
      </c>
    </row>
    <row r="8" spans="1:86" ht="15.6" x14ac:dyDescent="0.3">
      <c r="B8" s="753"/>
      <c r="C8" s="852"/>
      <c r="D8" s="508" t="s">
        <v>138</v>
      </c>
      <c r="E8" s="503"/>
      <c r="F8" s="503"/>
      <c r="G8" s="503"/>
      <c r="H8" s="503"/>
      <c r="I8" s="504"/>
      <c r="J8" s="718"/>
      <c r="K8" s="390">
        <f>COUNTIF(K5:K7,"X")</f>
        <v>1</v>
      </c>
      <c r="L8" s="390">
        <f t="shared" ref="L8" si="36">COUNTIF(L5:L7,"X")</f>
        <v>1</v>
      </c>
      <c r="M8" s="390">
        <f t="shared" ref="M8" si="37">COUNTIF(M5:M7,"X")</f>
        <v>1</v>
      </c>
      <c r="N8" s="390">
        <f t="shared" ref="N8" si="38">COUNTIF(N5:N7,"X")</f>
        <v>1</v>
      </c>
      <c r="O8" s="390">
        <f t="shared" ref="O8" si="39">COUNTIF(O5:O7,"X")</f>
        <v>0</v>
      </c>
      <c r="P8" s="391">
        <f t="shared" ref="P8" si="40">COUNTIF(P5:P7,"X")</f>
        <v>0</v>
      </c>
      <c r="Q8" s="16"/>
      <c r="R8" s="589">
        <f>SUM(R5:R7)</f>
        <v>63</v>
      </c>
      <c r="S8" s="590">
        <f t="shared" ref="S8:W8" si="41">SUM(S5:S7)</f>
        <v>102</v>
      </c>
      <c r="T8" s="590">
        <f t="shared" si="41"/>
        <v>72</v>
      </c>
      <c r="U8" s="590">
        <f t="shared" si="41"/>
        <v>176</v>
      </c>
      <c r="V8" s="590">
        <f t="shared" si="41"/>
        <v>0</v>
      </c>
      <c r="W8" s="591">
        <f t="shared" si="41"/>
        <v>0</v>
      </c>
      <c r="X8" s="621">
        <f t="shared" ref="X8" si="42">SUM(X5:X7)</f>
        <v>29</v>
      </c>
      <c r="Y8" s="590">
        <f t="shared" ref="Y8" si="43">SUM(Y5:Y7)</f>
        <v>94</v>
      </c>
      <c r="Z8" s="590">
        <f t="shared" ref="Z8" si="44">SUM(Z5:Z7)</f>
        <v>72</v>
      </c>
      <c r="AA8" s="590">
        <f t="shared" ref="AA8" si="45">SUM(AA5:AA7)</f>
        <v>0</v>
      </c>
      <c r="AB8" s="590">
        <f t="shared" ref="AB8" si="46">SUM(AB5:AB7)</f>
        <v>0</v>
      </c>
      <c r="AC8" s="591">
        <f t="shared" ref="AC8" si="47">SUM(AC5:AC7)</f>
        <v>0</v>
      </c>
      <c r="AD8" s="315">
        <f t="shared" si="4"/>
        <v>3.1746031746031744E-2</v>
      </c>
      <c r="AE8" s="316">
        <f t="shared" si="5"/>
        <v>1.9607843137254902E-2</v>
      </c>
      <c r="AF8" s="316">
        <f t="shared" si="6"/>
        <v>0</v>
      </c>
      <c r="AG8" s="316">
        <f t="shared" si="7"/>
        <v>0.25568181818181818</v>
      </c>
      <c r="AH8" s="316">
        <f t="shared" si="8"/>
        <v>0</v>
      </c>
      <c r="AI8" s="321">
        <f t="shared" si="9"/>
        <v>0</v>
      </c>
      <c r="AJ8" s="621">
        <f t="shared" ref="AJ8" si="48">SUM(AJ5:AJ7)</f>
        <v>2</v>
      </c>
      <c r="AK8" s="590">
        <f t="shared" ref="AK8" si="49">SUM(AK5:AK7)</f>
        <v>2</v>
      </c>
      <c r="AL8" s="590">
        <f t="shared" ref="AL8" si="50">SUM(AL5:AL7)</f>
        <v>0</v>
      </c>
      <c r="AM8" s="590">
        <f t="shared" ref="AM8" si="51">SUM(AM5:AM7)</f>
        <v>45</v>
      </c>
      <c r="AN8" s="590">
        <f t="shared" ref="AN8" si="52">SUM(AN5:AN7)</f>
        <v>0</v>
      </c>
      <c r="AO8" s="591">
        <f t="shared" ref="AO8" si="53">SUM(AO5:AO7)</f>
        <v>0</v>
      </c>
      <c r="AP8" s="315">
        <f t="shared" si="28"/>
        <v>0.26984126984126983</v>
      </c>
      <c r="AQ8" s="316">
        <f t="shared" si="11"/>
        <v>0.17647058823529413</v>
      </c>
      <c r="AR8" s="316">
        <f t="shared" si="12"/>
        <v>0</v>
      </c>
      <c r="AS8" s="316">
        <f t="shared" si="13"/>
        <v>0.34090909090909088</v>
      </c>
      <c r="AT8" s="316" t="str">
        <f t="shared" si="14"/>
        <v/>
      </c>
      <c r="AU8" s="321" t="str">
        <f t="shared" si="15"/>
        <v/>
      </c>
      <c r="AV8" s="621">
        <f t="shared" ref="AV8" si="54">SUM(AV5:AV7)</f>
        <v>17</v>
      </c>
      <c r="AW8" s="590">
        <f t="shared" ref="AW8" si="55">SUM(AW5:AW7)</f>
        <v>18</v>
      </c>
      <c r="AX8" s="590">
        <f t="shared" ref="AX8" si="56">SUM(AX5:AX7)</f>
        <v>0</v>
      </c>
      <c r="AY8" s="590">
        <f t="shared" ref="AY8" si="57">SUM(AY5:AY7)</f>
        <v>60</v>
      </c>
      <c r="AZ8" s="590">
        <f t="shared" ref="AZ8" si="58">SUM(AZ5:AZ7)</f>
        <v>0</v>
      </c>
      <c r="BA8" s="591">
        <f t="shared" ref="BA8" si="59">SUM(BA5:BA7)</f>
        <v>0</v>
      </c>
      <c r="BB8" s="317">
        <f t="shared" si="29"/>
        <v>0.11764705882352941</v>
      </c>
      <c r="BC8" s="318">
        <f t="shared" si="16"/>
        <v>0.1111111111111111</v>
      </c>
      <c r="BD8" s="318" t="str">
        <f t="shared" si="17"/>
        <v/>
      </c>
      <c r="BE8" s="318">
        <f t="shared" si="18"/>
        <v>0.26666666666666666</v>
      </c>
      <c r="BF8" s="318" t="str">
        <f t="shared" si="19"/>
        <v/>
      </c>
      <c r="BG8" s="322" t="str">
        <f t="shared" si="20"/>
        <v/>
      </c>
      <c r="BH8" s="621">
        <f t="shared" ref="BH8" si="60">SUM(BH5:BH7)</f>
        <v>2</v>
      </c>
      <c r="BI8" s="590">
        <f t="shared" ref="BI8" si="61">SUM(BI5:BI7)</f>
        <v>2</v>
      </c>
      <c r="BJ8" s="590">
        <f t="shared" ref="BJ8" si="62">SUM(BJ5:BJ7)</f>
        <v>0</v>
      </c>
      <c r="BK8" s="590">
        <f t="shared" ref="BK8" si="63">SUM(BK5:BK7)</f>
        <v>16</v>
      </c>
      <c r="BL8" s="590">
        <f t="shared" ref="BL8" si="64">SUM(BL5:BL7)</f>
        <v>0</v>
      </c>
      <c r="BM8" s="591">
        <f t="shared" ref="BM8" si="65">SUM(BM5:BM7)</f>
        <v>0</v>
      </c>
      <c r="BN8" s="331"/>
      <c r="BO8" s="332"/>
      <c r="BP8" s="331"/>
      <c r="BQ8" s="332"/>
      <c r="BR8" s="331"/>
      <c r="BS8" s="332"/>
      <c r="BT8" s="331"/>
      <c r="BU8" s="333"/>
      <c r="CC8" s="1">
        <f t="shared" si="30"/>
        <v>0</v>
      </c>
      <c r="CD8" s="1">
        <f t="shared" si="31"/>
        <v>0</v>
      </c>
      <c r="CE8" s="1">
        <f t="shared" si="32"/>
        <v>0</v>
      </c>
      <c r="CF8" s="1">
        <f t="shared" si="33"/>
        <v>0</v>
      </c>
      <c r="CG8" s="1">
        <f t="shared" si="34"/>
        <v>0</v>
      </c>
      <c r="CH8" s="1">
        <f t="shared" si="35"/>
        <v>0</v>
      </c>
    </row>
    <row r="9" spans="1:86" ht="15.75" customHeight="1" x14ac:dyDescent="0.3">
      <c r="B9" s="746" t="s">
        <v>163</v>
      </c>
      <c r="C9" s="749" t="s">
        <v>75</v>
      </c>
      <c r="D9" s="859">
        <f>'2020'!D9</f>
        <v>0</v>
      </c>
      <c r="E9" s="806">
        <f>'2021'!D9</f>
        <v>0</v>
      </c>
      <c r="F9" s="806">
        <f>'2022'!D9</f>
        <v>0</v>
      </c>
      <c r="G9" s="806">
        <f>'2023'!D9</f>
        <v>0</v>
      </c>
      <c r="H9" s="806"/>
      <c r="I9" s="810"/>
      <c r="J9" s="720" t="s">
        <v>164</v>
      </c>
      <c r="K9" s="398" t="str">
        <f t="shared" ref="K9:K11" si="66">IF(R9=0,"","X")</f>
        <v/>
      </c>
      <c r="L9" s="398" t="str">
        <f t="shared" ref="L9:L11" si="67">IF(S9=0,"","X")</f>
        <v/>
      </c>
      <c r="M9" s="398" t="str">
        <f t="shared" ref="M9:M11" si="68">IF(T9=0,"","X")</f>
        <v>X</v>
      </c>
      <c r="N9" s="398" t="str">
        <f t="shared" ref="N9:N11" si="69">IF(U9=0,"","X")</f>
        <v/>
      </c>
      <c r="O9" s="398" t="str">
        <f t="shared" ref="O9:O11" si="70">IF(V9=0,"","X")</f>
        <v/>
      </c>
      <c r="P9" s="399" t="str">
        <f t="shared" ref="P9:P11" si="71">IF(W9=0,"","X")</f>
        <v/>
      </c>
      <c r="Q9" s="232" t="s">
        <v>60</v>
      </c>
      <c r="R9" s="592">
        <f>'2020'!G9</f>
        <v>0</v>
      </c>
      <c r="S9" s="593">
        <f>'2021'!G9</f>
        <v>0</v>
      </c>
      <c r="T9" s="593">
        <f>'2022'!G9</f>
        <v>20</v>
      </c>
      <c r="U9" s="593">
        <f>'2023'!G9</f>
        <v>0</v>
      </c>
      <c r="V9" s="593">
        <f>'2024'!G9</f>
        <v>0</v>
      </c>
      <c r="W9" s="594">
        <f>'2025'!G9</f>
        <v>0</v>
      </c>
      <c r="X9" s="622">
        <f>'2020'!H9</f>
        <v>0</v>
      </c>
      <c r="Y9" s="593">
        <f>'2021'!H9</f>
        <v>0</v>
      </c>
      <c r="Z9" s="593">
        <f>'2022'!H9</f>
        <v>9</v>
      </c>
      <c r="AA9" s="593">
        <f>'2023'!H9</f>
        <v>0</v>
      </c>
      <c r="AB9" s="593">
        <f>'2024'!H9</f>
        <v>0</v>
      </c>
      <c r="AC9" s="594">
        <f>'2025'!H9</f>
        <v>0</v>
      </c>
      <c r="AD9" s="412">
        <f t="shared" si="4"/>
        <v>0</v>
      </c>
      <c r="AE9" s="413">
        <f t="shared" si="5"/>
        <v>0</v>
      </c>
      <c r="AF9" s="413">
        <f t="shared" si="6"/>
        <v>0.4</v>
      </c>
      <c r="AG9" s="413">
        <f t="shared" si="7"/>
        <v>0</v>
      </c>
      <c r="AH9" s="413">
        <f t="shared" si="8"/>
        <v>0</v>
      </c>
      <c r="AI9" s="414">
        <f t="shared" si="9"/>
        <v>0</v>
      </c>
      <c r="AJ9" s="622">
        <f>'2020'!J9</f>
        <v>0</v>
      </c>
      <c r="AK9" s="593">
        <f>'2021'!J9</f>
        <v>0</v>
      </c>
      <c r="AL9" s="593">
        <f>'2022'!J9</f>
        <v>8</v>
      </c>
      <c r="AM9" s="593">
        <f>'2023'!J9</f>
        <v>0</v>
      </c>
      <c r="AN9" s="593">
        <f>'2024'!J9</f>
        <v>0</v>
      </c>
      <c r="AO9" s="594">
        <f>'2025'!J9</f>
        <v>0</v>
      </c>
      <c r="AP9" s="412" t="str">
        <f t="shared" si="28"/>
        <v/>
      </c>
      <c r="AQ9" s="413" t="str">
        <f t="shared" si="11"/>
        <v/>
      </c>
      <c r="AR9" s="413">
        <f t="shared" si="12"/>
        <v>0.2</v>
      </c>
      <c r="AS9" s="413" t="str">
        <f t="shared" si="13"/>
        <v/>
      </c>
      <c r="AT9" s="413" t="str">
        <f t="shared" si="14"/>
        <v/>
      </c>
      <c r="AU9" s="414" t="str">
        <f t="shared" si="15"/>
        <v/>
      </c>
      <c r="AV9" s="622">
        <f>'2020'!L9</f>
        <v>0</v>
      </c>
      <c r="AW9" s="593">
        <f>'2021'!L9</f>
        <v>0</v>
      </c>
      <c r="AX9" s="593">
        <f>'2022'!L9</f>
        <v>4</v>
      </c>
      <c r="AY9" s="593">
        <f>'2023'!L9</f>
        <v>0</v>
      </c>
      <c r="AZ9" s="593">
        <f>'2024'!L9</f>
        <v>0</v>
      </c>
      <c r="BA9" s="594">
        <f>'2025'!L9</f>
        <v>0</v>
      </c>
      <c r="BB9" s="412" t="str">
        <f t="shared" si="29"/>
        <v/>
      </c>
      <c r="BC9" s="413" t="str">
        <f t="shared" si="16"/>
        <v/>
      </c>
      <c r="BD9" s="413">
        <f t="shared" si="17"/>
        <v>0.5</v>
      </c>
      <c r="BE9" s="413" t="str">
        <f t="shared" si="18"/>
        <v/>
      </c>
      <c r="BF9" s="413" t="str">
        <f t="shared" si="19"/>
        <v/>
      </c>
      <c r="BG9" s="414" t="str">
        <f t="shared" si="20"/>
        <v/>
      </c>
      <c r="BH9" s="738">
        <f>'2020'!N9</f>
        <v>0</v>
      </c>
      <c r="BI9" s="739">
        <f>'2021'!N9</f>
        <v>0</v>
      </c>
      <c r="BJ9" s="739">
        <f>'2022'!N9</f>
        <v>2</v>
      </c>
      <c r="BK9" s="739">
        <f>'2023'!N9</f>
        <v>0</v>
      </c>
      <c r="BL9" s="739">
        <f>'2024'!N9</f>
        <v>0</v>
      </c>
      <c r="BM9" s="740">
        <f>'2025'!N9</f>
        <v>0</v>
      </c>
      <c r="BN9" s="415" t="s">
        <v>21</v>
      </c>
      <c r="BO9" s="416" t="s">
        <v>21</v>
      </c>
      <c r="BP9" s="415" t="s">
        <v>21</v>
      </c>
      <c r="BQ9" s="416" t="s">
        <v>21</v>
      </c>
      <c r="BR9" s="417" t="s">
        <v>21</v>
      </c>
      <c r="BS9" s="418" t="s">
        <v>21</v>
      </c>
      <c r="BT9" s="417" t="s">
        <v>21</v>
      </c>
      <c r="BU9" s="419" t="s">
        <v>21</v>
      </c>
      <c r="CC9" s="1" t="str">
        <f t="shared" si="30"/>
        <v/>
      </c>
      <c r="CD9" s="1" t="str">
        <f t="shared" si="31"/>
        <v/>
      </c>
      <c r="CE9" s="1" t="str">
        <f t="shared" si="32"/>
        <v>France</v>
      </c>
      <c r="CF9" s="1" t="str">
        <f t="shared" si="33"/>
        <v/>
      </c>
      <c r="CG9" s="1" t="str">
        <f t="shared" si="34"/>
        <v/>
      </c>
      <c r="CH9" s="1" t="str">
        <f t="shared" si="35"/>
        <v/>
      </c>
    </row>
    <row r="10" spans="1:86" ht="15.75" customHeight="1" x14ac:dyDescent="0.3">
      <c r="B10" s="747"/>
      <c r="C10" s="750"/>
      <c r="D10" s="814"/>
      <c r="E10" s="807"/>
      <c r="F10" s="807"/>
      <c r="G10" s="807"/>
      <c r="H10" s="807"/>
      <c r="I10" s="811"/>
      <c r="J10" s="721" t="s">
        <v>166</v>
      </c>
      <c r="K10" s="400" t="str">
        <f t="shared" si="66"/>
        <v/>
      </c>
      <c r="L10" s="400" t="str">
        <f t="shared" si="67"/>
        <v/>
      </c>
      <c r="M10" s="400" t="str">
        <f t="shared" si="68"/>
        <v/>
      </c>
      <c r="N10" s="400" t="str">
        <f t="shared" si="69"/>
        <v/>
      </c>
      <c r="O10" s="400" t="str">
        <f t="shared" si="70"/>
        <v/>
      </c>
      <c r="P10" s="401" t="str">
        <f t="shared" si="71"/>
        <v/>
      </c>
      <c r="Q10" s="237"/>
      <c r="R10" s="583">
        <f>'2020'!G10</f>
        <v>0</v>
      </c>
      <c r="S10" s="584">
        <f>'2021'!G10</f>
        <v>0</v>
      </c>
      <c r="T10" s="584">
        <f>'2022'!G10</f>
        <v>0</v>
      </c>
      <c r="U10" s="584">
        <f>'2023'!G10</f>
        <v>0</v>
      </c>
      <c r="V10" s="584">
        <f>'2024'!G10</f>
        <v>0</v>
      </c>
      <c r="W10" s="585">
        <f>'2025'!G10</f>
        <v>0</v>
      </c>
      <c r="X10" s="619">
        <f>'2020'!H10</f>
        <v>0</v>
      </c>
      <c r="Y10" s="584">
        <f>'2021'!H10</f>
        <v>0</v>
      </c>
      <c r="Z10" s="584">
        <f>'2022'!H10</f>
        <v>0</v>
      </c>
      <c r="AA10" s="584">
        <f>'2023'!H10</f>
        <v>0</v>
      </c>
      <c r="AB10" s="584">
        <f>'2024'!H10</f>
        <v>0</v>
      </c>
      <c r="AC10" s="585">
        <f>'2025'!H10</f>
        <v>0</v>
      </c>
      <c r="AD10" s="421">
        <f t="shared" si="4"/>
        <v>0</v>
      </c>
      <c r="AE10" s="422">
        <f t="shared" si="5"/>
        <v>0</v>
      </c>
      <c r="AF10" s="422">
        <f t="shared" si="6"/>
        <v>0</v>
      </c>
      <c r="AG10" s="422">
        <f t="shared" si="7"/>
        <v>0</v>
      </c>
      <c r="AH10" s="422">
        <f t="shared" si="8"/>
        <v>0</v>
      </c>
      <c r="AI10" s="423">
        <f t="shared" si="9"/>
        <v>0</v>
      </c>
      <c r="AJ10" s="619">
        <f>'2020'!J10</f>
        <v>0</v>
      </c>
      <c r="AK10" s="584">
        <f>'2021'!J10</f>
        <v>0</v>
      </c>
      <c r="AL10" s="584">
        <f>'2022'!J10</f>
        <v>0</v>
      </c>
      <c r="AM10" s="584">
        <f>'2023'!J10</f>
        <v>0</v>
      </c>
      <c r="AN10" s="584">
        <f>'2024'!J10</f>
        <v>0</v>
      </c>
      <c r="AO10" s="585">
        <f>'2025'!J10</f>
        <v>0</v>
      </c>
      <c r="AP10" s="421" t="str">
        <f t="shared" si="28"/>
        <v/>
      </c>
      <c r="AQ10" s="422" t="str">
        <f t="shared" si="11"/>
        <v/>
      </c>
      <c r="AR10" s="422" t="str">
        <f t="shared" si="12"/>
        <v/>
      </c>
      <c r="AS10" s="422" t="str">
        <f t="shared" si="13"/>
        <v/>
      </c>
      <c r="AT10" s="422" t="str">
        <f t="shared" si="14"/>
        <v/>
      </c>
      <c r="AU10" s="423" t="str">
        <f t="shared" si="15"/>
        <v/>
      </c>
      <c r="AV10" s="619">
        <f>'2020'!L10</f>
        <v>0</v>
      </c>
      <c r="AW10" s="584">
        <f>'2021'!L10</f>
        <v>0</v>
      </c>
      <c r="AX10" s="584">
        <f>'2022'!L10</f>
        <v>0</v>
      </c>
      <c r="AY10" s="584">
        <f>'2023'!L10</f>
        <v>0</v>
      </c>
      <c r="AZ10" s="584">
        <f>'2024'!L10</f>
        <v>0</v>
      </c>
      <c r="BA10" s="585">
        <f>'2025'!L10</f>
        <v>0</v>
      </c>
      <c r="BB10" s="421" t="str">
        <f t="shared" si="29"/>
        <v/>
      </c>
      <c r="BC10" s="422" t="str">
        <f t="shared" si="16"/>
        <v/>
      </c>
      <c r="BD10" s="422" t="str">
        <f t="shared" si="17"/>
        <v/>
      </c>
      <c r="BE10" s="422" t="str">
        <f t="shared" si="18"/>
        <v/>
      </c>
      <c r="BF10" s="422" t="str">
        <f t="shared" si="19"/>
        <v/>
      </c>
      <c r="BG10" s="423" t="str">
        <f t="shared" si="20"/>
        <v/>
      </c>
      <c r="BH10" s="732">
        <f>'2020'!N10</f>
        <v>0</v>
      </c>
      <c r="BI10" s="733">
        <f>'2021'!N10</f>
        <v>0</v>
      </c>
      <c r="BJ10" s="733">
        <f>'2022'!N10</f>
        <v>0</v>
      </c>
      <c r="BK10" s="733">
        <f>'2023'!N10</f>
        <v>0</v>
      </c>
      <c r="BL10" s="733">
        <f>'2024'!N10</f>
        <v>0</v>
      </c>
      <c r="BM10" s="734">
        <f>'2025'!N10</f>
        <v>0</v>
      </c>
      <c r="BN10" s="424"/>
      <c r="BO10" s="425"/>
      <c r="BP10" s="424"/>
      <c r="BQ10" s="425"/>
      <c r="BR10" s="426"/>
      <c r="BS10" s="427"/>
      <c r="BT10" s="426"/>
      <c r="BU10" s="428"/>
      <c r="CC10" s="1" t="str">
        <f t="shared" si="30"/>
        <v/>
      </c>
      <c r="CD10" s="1" t="str">
        <f t="shared" si="31"/>
        <v/>
      </c>
      <c r="CE10" s="1" t="str">
        <f t="shared" si="32"/>
        <v/>
      </c>
      <c r="CF10" s="1" t="str">
        <f t="shared" si="33"/>
        <v/>
      </c>
      <c r="CG10" s="1" t="str">
        <f t="shared" si="34"/>
        <v/>
      </c>
      <c r="CH10" s="1" t="str">
        <f t="shared" si="35"/>
        <v/>
      </c>
    </row>
    <row r="11" spans="1:86" ht="15.75" customHeight="1" x14ac:dyDescent="0.3">
      <c r="B11" s="747"/>
      <c r="C11" s="750"/>
      <c r="D11" s="815"/>
      <c r="E11" s="808"/>
      <c r="F11" s="808"/>
      <c r="G11" s="808"/>
      <c r="H11" s="808"/>
      <c r="I11" s="812"/>
      <c r="J11" s="722" t="s">
        <v>166</v>
      </c>
      <c r="K11" s="402" t="str">
        <f t="shared" si="66"/>
        <v/>
      </c>
      <c r="L11" s="402" t="str">
        <f t="shared" si="67"/>
        <v/>
      </c>
      <c r="M11" s="402" t="str">
        <f t="shared" si="68"/>
        <v/>
      </c>
      <c r="N11" s="402" t="str">
        <f t="shared" si="69"/>
        <v/>
      </c>
      <c r="O11" s="402" t="str">
        <f t="shared" si="70"/>
        <v/>
      </c>
      <c r="P11" s="403" t="str">
        <f t="shared" si="71"/>
        <v/>
      </c>
      <c r="Q11" s="242"/>
      <c r="R11" s="586">
        <f>'2020'!G11</f>
        <v>0</v>
      </c>
      <c r="S11" s="587">
        <f>'2021'!G11</f>
        <v>0</v>
      </c>
      <c r="T11" s="587">
        <f>'2022'!G11</f>
        <v>0</v>
      </c>
      <c r="U11" s="587">
        <f>'2023'!G11</f>
        <v>0</v>
      </c>
      <c r="V11" s="587">
        <f>'2024'!G11</f>
        <v>0</v>
      </c>
      <c r="W11" s="588">
        <f>'2025'!G11</f>
        <v>0</v>
      </c>
      <c r="X11" s="620">
        <f>'2020'!H11</f>
        <v>0</v>
      </c>
      <c r="Y11" s="587">
        <f>'2021'!H11</f>
        <v>0</v>
      </c>
      <c r="Z11" s="587">
        <f>'2022'!H11</f>
        <v>0</v>
      </c>
      <c r="AA11" s="587">
        <f>'2023'!H11</f>
        <v>0</v>
      </c>
      <c r="AB11" s="587">
        <f>'2024'!H11</f>
        <v>0</v>
      </c>
      <c r="AC11" s="588">
        <f>'2025'!H11</f>
        <v>0</v>
      </c>
      <c r="AD11" s="429">
        <f t="shared" si="4"/>
        <v>0</v>
      </c>
      <c r="AE11" s="430">
        <f t="shared" si="5"/>
        <v>0</v>
      </c>
      <c r="AF11" s="430">
        <f t="shared" si="6"/>
        <v>0</v>
      </c>
      <c r="AG11" s="430">
        <f t="shared" si="7"/>
        <v>0</v>
      </c>
      <c r="AH11" s="430">
        <f t="shared" si="8"/>
        <v>0</v>
      </c>
      <c r="AI11" s="431">
        <f t="shared" si="9"/>
        <v>0</v>
      </c>
      <c r="AJ11" s="620">
        <f>'2020'!J11</f>
        <v>0</v>
      </c>
      <c r="AK11" s="587">
        <f>'2021'!J11</f>
        <v>0</v>
      </c>
      <c r="AL11" s="587">
        <f>'2022'!J11</f>
        <v>0</v>
      </c>
      <c r="AM11" s="587">
        <f>'2023'!J11</f>
        <v>0</v>
      </c>
      <c r="AN11" s="587">
        <f>'2024'!J11</f>
        <v>0</v>
      </c>
      <c r="AO11" s="588">
        <f>'2025'!J11</f>
        <v>0</v>
      </c>
      <c r="AP11" s="429" t="str">
        <f t="shared" si="28"/>
        <v/>
      </c>
      <c r="AQ11" s="430" t="str">
        <f t="shared" si="11"/>
        <v/>
      </c>
      <c r="AR11" s="430" t="str">
        <f t="shared" si="12"/>
        <v/>
      </c>
      <c r="AS11" s="430" t="str">
        <f t="shared" si="13"/>
        <v/>
      </c>
      <c r="AT11" s="430" t="str">
        <f t="shared" si="14"/>
        <v/>
      </c>
      <c r="AU11" s="431" t="str">
        <f t="shared" si="15"/>
        <v/>
      </c>
      <c r="AV11" s="620">
        <f>'2020'!L11</f>
        <v>0</v>
      </c>
      <c r="AW11" s="587">
        <f>'2021'!L11</f>
        <v>0</v>
      </c>
      <c r="AX11" s="587">
        <f>'2022'!L11</f>
        <v>0</v>
      </c>
      <c r="AY11" s="587">
        <f>'2023'!L11</f>
        <v>0</v>
      </c>
      <c r="AZ11" s="587">
        <f>'2024'!L11</f>
        <v>0</v>
      </c>
      <c r="BA11" s="588">
        <f>'2025'!L11</f>
        <v>0</v>
      </c>
      <c r="BB11" s="429" t="str">
        <f t="shared" si="29"/>
        <v/>
      </c>
      <c r="BC11" s="430" t="str">
        <f t="shared" si="16"/>
        <v/>
      </c>
      <c r="BD11" s="430" t="str">
        <f t="shared" si="17"/>
        <v/>
      </c>
      <c r="BE11" s="430" t="str">
        <f t="shared" si="18"/>
        <v/>
      </c>
      <c r="BF11" s="430" t="str">
        <f t="shared" si="19"/>
        <v/>
      </c>
      <c r="BG11" s="431" t="str">
        <f t="shared" si="20"/>
        <v/>
      </c>
      <c r="BH11" s="735">
        <f>'2020'!N11</f>
        <v>0</v>
      </c>
      <c r="BI11" s="736">
        <f>'2021'!N11</f>
        <v>0</v>
      </c>
      <c r="BJ11" s="736">
        <f>'2022'!N11</f>
        <v>0</v>
      </c>
      <c r="BK11" s="736">
        <f>'2023'!N11</f>
        <v>0</v>
      </c>
      <c r="BL11" s="736">
        <f>'2024'!N11</f>
        <v>0</v>
      </c>
      <c r="BM11" s="737">
        <f>'2025'!N11</f>
        <v>0</v>
      </c>
      <c r="BN11" s="432"/>
      <c r="BO11" s="433"/>
      <c r="BP11" s="432"/>
      <c r="BQ11" s="433"/>
      <c r="BR11" s="434"/>
      <c r="BS11" s="435"/>
      <c r="BT11" s="434"/>
      <c r="BU11" s="436"/>
      <c r="CC11" s="1" t="str">
        <f t="shared" si="30"/>
        <v/>
      </c>
      <c r="CD11" s="1" t="str">
        <f t="shared" si="31"/>
        <v/>
      </c>
      <c r="CE11" s="1" t="str">
        <f t="shared" si="32"/>
        <v/>
      </c>
      <c r="CF11" s="1" t="str">
        <f t="shared" si="33"/>
        <v/>
      </c>
      <c r="CG11" s="1" t="str">
        <f t="shared" si="34"/>
        <v/>
      </c>
      <c r="CH11" s="1" t="str">
        <f t="shared" si="35"/>
        <v/>
      </c>
    </row>
    <row r="12" spans="1:86" ht="15.6" x14ac:dyDescent="0.3">
      <c r="B12" s="853"/>
      <c r="C12" s="852"/>
      <c r="D12" s="507" t="s">
        <v>138</v>
      </c>
      <c r="E12" s="505"/>
      <c r="F12" s="505"/>
      <c r="G12" s="505"/>
      <c r="H12" s="505"/>
      <c r="I12" s="506"/>
      <c r="J12" s="718"/>
      <c r="K12" s="390">
        <f>COUNTIF(K9:K11,"X")</f>
        <v>0</v>
      </c>
      <c r="L12" s="390">
        <f t="shared" ref="L12" si="72">COUNTIF(L9:L11,"X")</f>
        <v>0</v>
      </c>
      <c r="M12" s="390">
        <f t="shared" ref="M12" si="73">COUNTIF(M9:M11,"X")</f>
        <v>1</v>
      </c>
      <c r="N12" s="390">
        <f t="shared" ref="N12" si="74">COUNTIF(N9:N11,"X")</f>
        <v>0</v>
      </c>
      <c r="O12" s="390">
        <f t="shared" ref="O12" si="75">COUNTIF(O9:O11,"X")</f>
        <v>0</v>
      </c>
      <c r="P12" s="391">
        <f t="shared" ref="P12" si="76">COUNTIF(P9:P11,"X")</f>
        <v>0</v>
      </c>
      <c r="Q12" s="16"/>
      <c r="R12" s="589">
        <f>SUM(R9:R11)</f>
        <v>0</v>
      </c>
      <c r="S12" s="590">
        <f t="shared" ref="S12" si="77">SUM(S9:S11)</f>
        <v>0</v>
      </c>
      <c r="T12" s="590">
        <f t="shared" ref="T12" si="78">SUM(T9:T11)</f>
        <v>20</v>
      </c>
      <c r="U12" s="590">
        <f t="shared" ref="U12" si="79">SUM(U9:U11)</f>
        <v>0</v>
      </c>
      <c r="V12" s="590">
        <f t="shared" ref="V12" si="80">SUM(V9:V11)</f>
        <v>0</v>
      </c>
      <c r="W12" s="591">
        <f t="shared" ref="W12" si="81">SUM(W9:W11)</f>
        <v>0</v>
      </c>
      <c r="X12" s="621">
        <f t="shared" ref="X12" si="82">SUM(X9:X11)</f>
        <v>0</v>
      </c>
      <c r="Y12" s="590">
        <f t="shared" ref="Y12" si="83">SUM(Y9:Y11)</f>
        <v>0</v>
      </c>
      <c r="Z12" s="590">
        <f t="shared" ref="Z12" si="84">SUM(Z9:Z11)</f>
        <v>9</v>
      </c>
      <c r="AA12" s="590">
        <f t="shared" ref="AA12" si="85">SUM(AA9:AA11)</f>
        <v>0</v>
      </c>
      <c r="AB12" s="590">
        <f t="shared" ref="AB12" si="86">SUM(AB9:AB11)</f>
        <v>0</v>
      </c>
      <c r="AC12" s="591">
        <f t="shared" ref="AC12" si="87">SUM(AC9:AC11)</f>
        <v>0</v>
      </c>
      <c r="AD12" s="315">
        <f t="shared" si="4"/>
        <v>0</v>
      </c>
      <c r="AE12" s="316">
        <f t="shared" si="5"/>
        <v>0</v>
      </c>
      <c r="AF12" s="316">
        <f t="shared" si="6"/>
        <v>0.4</v>
      </c>
      <c r="AG12" s="316">
        <f t="shared" si="7"/>
        <v>0</v>
      </c>
      <c r="AH12" s="316">
        <f t="shared" si="8"/>
        <v>0</v>
      </c>
      <c r="AI12" s="321">
        <f t="shared" si="9"/>
        <v>0</v>
      </c>
      <c r="AJ12" s="621">
        <f t="shared" ref="AJ12" si="88">SUM(AJ9:AJ11)</f>
        <v>0</v>
      </c>
      <c r="AK12" s="590">
        <f t="shared" ref="AK12" si="89">SUM(AK9:AK11)</f>
        <v>0</v>
      </c>
      <c r="AL12" s="590">
        <f t="shared" ref="AL12" si="90">SUM(AL9:AL11)</f>
        <v>8</v>
      </c>
      <c r="AM12" s="590">
        <f t="shared" ref="AM12" si="91">SUM(AM9:AM11)</f>
        <v>0</v>
      </c>
      <c r="AN12" s="590">
        <f t="shared" ref="AN12" si="92">SUM(AN9:AN11)</f>
        <v>0</v>
      </c>
      <c r="AO12" s="591">
        <f t="shared" ref="AO12" si="93">SUM(AO9:AO11)</f>
        <v>0</v>
      </c>
      <c r="AP12" s="315" t="str">
        <f t="shared" si="28"/>
        <v/>
      </c>
      <c r="AQ12" s="316" t="str">
        <f t="shared" si="11"/>
        <v/>
      </c>
      <c r="AR12" s="316">
        <f t="shared" si="12"/>
        <v>0.2</v>
      </c>
      <c r="AS12" s="316" t="str">
        <f t="shared" si="13"/>
        <v/>
      </c>
      <c r="AT12" s="316" t="str">
        <f t="shared" si="14"/>
        <v/>
      </c>
      <c r="AU12" s="321" t="str">
        <f t="shared" si="15"/>
        <v/>
      </c>
      <c r="AV12" s="621">
        <f t="shared" ref="AV12" si="94">SUM(AV9:AV11)</f>
        <v>0</v>
      </c>
      <c r="AW12" s="590">
        <f t="shared" ref="AW12" si="95">SUM(AW9:AW11)</f>
        <v>0</v>
      </c>
      <c r="AX12" s="590">
        <f t="shared" ref="AX12" si="96">SUM(AX9:AX11)</f>
        <v>4</v>
      </c>
      <c r="AY12" s="590">
        <f t="shared" ref="AY12" si="97">SUM(AY9:AY11)</f>
        <v>0</v>
      </c>
      <c r="AZ12" s="590">
        <f t="shared" ref="AZ12" si="98">SUM(AZ9:AZ11)</f>
        <v>0</v>
      </c>
      <c r="BA12" s="591">
        <f t="shared" ref="BA12" si="99">SUM(BA9:BA11)</f>
        <v>0</v>
      </c>
      <c r="BB12" s="317" t="str">
        <f t="shared" si="29"/>
        <v/>
      </c>
      <c r="BC12" s="318" t="str">
        <f t="shared" si="16"/>
        <v/>
      </c>
      <c r="BD12" s="318">
        <f t="shared" si="17"/>
        <v>0.5</v>
      </c>
      <c r="BE12" s="318" t="str">
        <f t="shared" si="18"/>
        <v/>
      </c>
      <c r="BF12" s="318" t="str">
        <f t="shared" si="19"/>
        <v/>
      </c>
      <c r="BG12" s="322" t="str">
        <f t="shared" si="20"/>
        <v/>
      </c>
      <c r="BH12" s="621">
        <f t="shared" ref="BH12" si="100">SUM(BH9:BH11)</f>
        <v>0</v>
      </c>
      <c r="BI12" s="590">
        <f t="shared" ref="BI12" si="101">SUM(BI9:BI11)</f>
        <v>0</v>
      </c>
      <c r="BJ12" s="590">
        <f t="shared" ref="BJ12" si="102">SUM(BJ9:BJ11)</f>
        <v>2</v>
      </c>
      <c r="BK12" s="590">
        <f t="shared" ref="BK12" si="103">SUM(BK9:BK11)</f>
        <v>0</v>
      </c>
      <c r="BL12" s="590">
        <f t="shared" ref="BL12" si="104">SUM(BL9:BL11)</f>
        <v>0</v>
      </c>
      <c r="BM12" s="591">
        <f t="shared" ref="BM12" si="105">SUM(BM9:BM11)</f>
        <v>0</v>
      </c>
      <c r="BN12" s="331"/>
      <c r="BO12" s="332"/>
      <c r="BP12" s="331"/>
      <c r="BQ12" s="332"/>
      <c r="BR12" s="331"/>
      <c r="BS12" s="332"/>
      <c r="BT12" s="331"/>
      <c r="BU12" s="333"/>
      <c r="CC12" s="1">
        <f t="shared" si="30"/>
        <v>0</v>
      </c>
      <c r="CD12" s="1">
        <f t="shared" si="31"/>
        <v>0</v>
      </c>
      <c r="CE12" s="1">
        <f t="shared" si="32"/>
        <v>0</v>
      </c>
      <c r="CF12" s="1">
        <f t="shared" si="33"/>
        <v>0</v>
      </c>
      <c r="CG12" s="1">
        <f t="shared" si="34"/>
        <v>0</v>
      </c>
      <c r="CH12" s="1">
        <f t="shared" si="35"/>
        <v>0</v>
      </c>
    </row>
    <row r="13" spans="1:86" ht="15" customHeight="1" x14ac:dyDescent="0.3">
      <c r="B13" s="773" t="s">
        <v>168</v>
      </c>
      <c r="C13" s="845" t="s">
        <v>75</v>
      </c>
      <c r="D13" s="818">
        <f>'2020'!D13</f>
        <v>0</v>
      </c>
      <c r="E13" s="821">
        <f>'2021'!D13</f>
        <v>0</v>
      </c>
      <c r="F13" s="821">
        <f>'2022'!D13</f>
        <v>18</v>
      </c>
      <c r="G13" s="821">
        <f>'2023'!D13</f>
        <v>18</v>
      </c>
      <c r="H13" s="821"/>
      <c r="I13" s="824"/>
      <c r="J13" s="720" t="s">
        <v>182</v>
      </c>
      <c r="K13" s="398" t="str">
        <f t="shared" ref="K13:K33" si="106">IF(R13=0,"","X")</f>
        <v/>
      </c>
      <c r="L13" s="398" t="str">
        <f t="shared" ref="L13:L33" si="107">IF(S13=0,"","X")</f>
        <v/>
      </c>
      <c r="M13" s="398" t="str">
        <f t="shared" ref="M13:M33" si="108">IF(T13=0,"","X")</f>
        <v>X</v>
      </c>
      <c r="N13" s="398" t="str">
        <f t="shared" ref="N13:N33" si="109">IF(U13=0,"","X")</f>
        <v/>
      </c>
      <c r="O13" s="398" t="str">
        <f t="shared" ref="O13:O33" si="110">IF(V13=0,"","X")</f>
        <v/>
      </c>
      <c r="P13" s="399" t="str">
        <f t="shared" ref="P13:P33" si="111">IF(W13=0,"","X")</f>
        <v/>
      </c>
      <c r="Q13" s="232" t="s">
        <v>60</v>
      </c>
      <c r="R13" s="592">
        <f>'2020'!G13</f>
        <v>0</v>
      </c>
      <c r="S13" s="593">
        <f>'2021'!G13</f>
        <v>0</v>
      </c>
      <c r="T13" s="593">
        <f>'2022'!G13</f>
        <v>23</v>
      </c>
      <c r="U13" s="593">
        <f>'2023'!G13</f>
        <v>0</v>
      </c>
      <c r="V13" s="593">
        <f>'2024'!G13</f>
        <v>0</v>
      </c>
      <c r="W13" s="594">
        <f>'2025'!G13</f>
        <v>0</v>
      </c>
      <c r="X13" s="623">
        <f>'2020'!H13</f>
        <v>0</v>
      </c>
      <c r="Y13" s="595">
        <f>'2021'!H13</f>
        <v>0</v>
      </c>
      <c r="Z13" s="595">
        <f>'2022'!H13</f>
        <v>23</v>
      </c>
      <c r="AA13" s="595">
        <f>'2023'!H13</f>
        <v>0</v>
      </c>
      <c r="AB13" s="595">
        <f>'2024'!H13</f>
        <v>0</v>
      </c>
      <c r="AC13" s="596">
        <f>'2025'!H13</f>
        <v>0</v>
      </c>
      <c r="AD13" s="644">
        <f t="shared" si="4"/>
        <v>0</v>
      </c>
      <c r="AE13" s="645">
        <f t="shared" si="5"/>
        <v>0</v>
      </c>
      <c r="AF13" s="645">
        <f t="shared" si="6"/>
        <v>0.47826086956521741</v>
      </c>
      <c r="AG13" s="645">
        <f t="shared" si="7"/>
        <v>0</v>
      </c>
      <c r="AH13" s="645">
        <f t="shared" si="8"/>
        <v>0</v>
      </c>
      <c r="AI13" s="646">
        <f t="shared" si="9"/>
        <v>0</v>
      </c>
      <c r="AJ13" s="623">
        <f>'2020'!J13</f>
        <v>0</v>
      </c>
      <c r="AK13" s="595">
        <f>'2021'!J13</f>
        <v>0</v>
      </c>
      <c r="AL13" s="595">
        <f>'2022'!J13</f>
        <v>11</v>
      </c>
      <c r="AM13" s="595">
        <f>'2023'!J13</f>
        <v>0</v>
      </c>
      <c r="AN13" s="595">
        <f>'2024'!J13</f>
        <v>0</v>
      </c>
      <c r="AO13" s="596">
        <f>'2025'!J13</f>
        <v>0</v>
      </c>
      <c r="AP13" s="644" t="str">
        <f t="shared" si="28"/>
        <v/>
      </c>
      <c r="AQ13" s="645" t="str">
        <f t="shared" si="11"/>
        <v/>
      </c>
      <c r="AR13" s="645">
        <f t="shared" si="12"/>
        <v>0.47826086956521741</v>
      </c>
      <c r="AS13" s="645" t="str">
        <f t="shared" si="13"/>
        <v/>
      </c>
      <c r="AT13" s="645" t="str">
        <f t="shared" si="14"/>
        <v/>
      </c>
      <c r="AU13" s="646" t="str">
        <f t="shared" si="15"/>
        <v/>
      </c>
      <c r="AV13" s="623">
        <f>'2020'!L13</f>
        <v>0</v>
      </c>
      <c r="AW13" s="595">
        <f>'2021'!L13</f>
        <v>0</v>
      </c>
      <c r="AX13" s="595">
        <f>'2022'!L13</f>
        <v>11</v>
      </c>
      <c r="AY13" s="595">
        <f>'2023'!L13</f>
        <v>0</v>
      </c>
      <c r="AZ13" s="595">
        <f>'2024'!L13</f>
        <v>0</v>
      </c>
      <c r="BA13" s="596">
        <f>'2025'!L13</f>
        <v>0</v>
      </c>
      <c r="BB13" s="412" t="str">
        <f t="shared" si="29"/>
        <v/>
      </c>
      <c r="BC13" s="413" t="str">
        <f t="shared" si="16"/>
        <v/>
      </c>
      <c r="BD13" s="413">
        <f t="shared" si="17"/>
        <v>0.90909090909090906</v>
      </c>
      <c r="BE13" s="413" t="str">
        <f t="shared" si="18"/>
        <v/>
      </c>
      <c r="BF13" s="413" t="str">
        <f t="shared" si="19"/>
        <v/>
      </c>
      <c r="BG13" s="414" t="str">
        <f t="shared" si="20"/>
        <v/>
      </c>
      <c r="BH13" s="738" t="str">
        <f>'2020'!N13</f>
        <v>-</v>
      </c>
      <c r="BI13" s="739" t="str">
        <f>'2021'!N13</f>
        <v>-</v>
      </c>
      <c r="BJ13" s="739">
        <f>'2022'!N13</f>
        <v>10</v>
      </c>
      <c r="BK13" s="739">
        <f>'2023'!N13</f>
        <v>0</v>
      </c>
      <c r="BL13" s="739">
        <f>'2024'!N13</f>
        <v>0</v>
      </c>
      <c r="BM13" s="740">
        <f>'2025'!N13</f>
        <v>0</v>
      </c>
      <c r="BN13" s="415" t="s">
        <v>21</v>
      </c>
      <c r="BO13" s="416" t="s">
        <v>21</v>
      </c>
      <c r="BP13" s="415" t="s">
        <v>21</v>
      </c>
      <c r="BQ13" s="416" t="s">
        <v>21</v>
      </c>
      <c r="BR13" s="417" t="s">
        <v>21</v>
      </c>
      <c r="BS13" s="418" t="s">
        <v>21</v>
      </c>
      <c r="BT13" s="417" t="s">
        <v>21</v>
      </c>
      <c r="BU13" s="419" t="s">
        <v>21</v>
      </c>
      <c r="CC13" s="1" t="str">
        <f t="shared" si="30"/>
        <v/>
      </c>
      <c r="CD13" s="1" t="str">
        <f t="shared" si="31"/>
        <v/>
      </c>
      <c r="CE13" s="1" t="str">
        <f t="shared" si="32"/>
        <v>France</v>
      </c>
      <c r="CF13" s="1" t="str">
        <f t="shared" si="33"/>
        <v/>
      </c>
      <c r="CG13" s="1" t="str">
        <f t="shared" si="34"/>
        <v/>
      </c>
      <c r="CH13" s="1" t="str">
        <f t="shared" si="35"/>
        <v/>
      </c>
    </row>
    <row r="14" spans="1:86" ht="15" customHeight="1" x14ac:dyDescent="0.3">
      <c r="B14" s="773"/>
      <c r="C14" s="845"/>
      <c r="D14" s="819"/>
      <c r="E14" s="822"/>
      <c r="F14" s="822"/>
      <c r="G14" s="822"/>
      <c r="H14" s="822"/>
      <c r="I14" s="825"/>
      <c r="J14" s="721" t="s">
        <v>183</v>
      </c>
      <c r="K14" s="400" t="str">
        <f t="shared" si="106"/>
        <v/>
      </c>
      <c r="L14" s="400" t="str">
        <f t="shared" si="107"/>
        <v/>
      </c>
      <c r="M14" s="400" t="str">
        <f t="shared" si="108"/>
        <v>X</v>
      </c>
      <c r="N14" s="400" t="str">
        <f t="shared" si="109"/>
        <v/>
      </c>
      <c r="O14" s="400" t="str">
        <f t="shared" si="110"/>
        <v/>
      </c>
      <c r="P14" s="401" t="str">
        <f t="shared" si="111"/>
        <v/>
      </c>
      <c r="Q14" s="237" t="s">
        <v>60</v>
      </c>
      <c r="R14" s="583">
        <f>'2020'!G14</f>
        <v>0</v>
      </c>
      <c r="S14" s="584">
        <f>'2021'!G14</f>
        <v>0</v>
      </c>
      <c r="T14" s="584">
        <f>'2022'!G14</f>
        <v>25</v>
      </c>
      <c r="U14" s="584">
        <f>'2023'!G14</f>
        <v>0</v>
      </c>
      <c r="V14" s="584">
        <f>'2024'!G14</f>
        <v>0</v>
      </c>
      <c r="W14" s="585">
        <f>'2025'!G14</f>
        <v>0</v>
      </c>
      <c r="X14" s="624">
        <f>'2020'!H14</f>
        <v>0</v>
      </c>
      <c r="Y14" s="598">
        <f>'2021'!H14</f>
        <v>0</v>
      </c>
      <c r="Z14" s="598">
        <f>'2022'!H14</f>
        <v>13</v>
      </c>
      <c r="AA14" s="598">
        <f>'2023'!H14</f>
        <v>0</v>
      </c>
      <c r="AB14" s="598">
        <f>'2024'!H14</f>
        <v>0</v>
      </c>
      <c r="AC14" s="599">
        <f>'2025'!H14</f>
        <v>0</v>
      </c>
      <c r="AD14" s="647">
        <f t="shared" si="4"/>
        <v>0</v>
      </c>
      <c r="AE14" s="648">
        <f t="shared" si="5"/>
        <v>0</v>
      </c>
      <c r="AF14" s="648">
        <f t="shared" si="6"/>
        <v>0.4</v>
      </c>
      <c r="AG14" s="648">
        <f t="shared" si="7"/>
        <v>0</v>
      </c>
      <c r="AH14" s="648">
        <f t="shared" si="8"/>
        <v>0</v>
      </c>
      <c r="AI14" s="649">
        <f t="shared" si="9"/>
        <v>0</v>
      </c>
      <c r="AJ14" s="624">
        <f>'2020'!J14</f>
        <v>0</v>
      </c>
      <c r="AK14" s="598">
        <f>'2021'!J14</f>
        <v>0</v>
      </c>
      <c r="AL14" s="598">
        <f>'2022'!J14</f>
        <v>10</v>
      </c>
      <c r="AM14" s="598">
        <f>'2023'!J14</f>
        <v>0</v>
      </c>
      <c r="AN14" s="598">
        <f>'2024'!J14</f>
        <v>0</v>
      </c>
      <c r="AO14" s="599">
        <f>'2025'!J14</f>
        <v>0</v>
      </c>
      <c r="AP14" s="647" t="str">
        <f t="shared" si="28"/>
        <v/>
      </c>
      <c r="AQ14" s="648" t="str">
        <f t="shared" si="11"/>
        <v/>
      </c>
      <c r="AR14" s="648">
        <f t="shared" si="12"/>
        <v>0.44</v>
      </c>
      <c r="AS14" s="648" t="str">
        <f t="shared" si="13"/>
        <v/>
      </c>
      <c r="AT14" s="648" t="str">
        <f t="shared" si="14"/>
        <v/>
      </c>
      <c r="AU14" s="649" t="str">
        <f t="shared" si="15"/>
        <v/>
      </c>
      <c r="AV14" s="624">
        <f>'2020'!L14</f>
        <v>0</v>
      </c>
      <c r="AW14" s="598">
        <f>'2021'!L14</f>
        <v>0</v>
      </c>
      <c r="AX14" s="598">
        <f>'2022'!L14</f>
        <v>11</v>
      </c>
      <c r="AY14" s="598">
        <f>'2023'!L14</f>
        <v>0</v>
      </c>
      <c r="AZ14" s="598">
        <f>'2024'!L14</f>
        <v>0</v>
      </c>
      <c r="BA14" s="599">
        <f>'2025'!L14</f>
        <v>0</v>
      </c>
      <c r="BB14" s="421" t="str">
        <f t="shared" si="29"/>
        <v/>
      </c>
      <c r="BC14" s="422" t="str">
        <f t="shared" si="16"/>
        <v/>
      </c>
      <c r="BD14" s="422">
        <f t="shared" si="17"/>
        <v>0.63636363636363635</v>
      </c>
      <c r="BE14" s="422" t="str">
        <f t="shared" si="18"/>
        <v/>
      </c>
      <c r="BF14" s="422" t="str">
        <f t="shared" si="19"/>
        <v/>
      </c>
      <c r="BG14" s="423" t="str">
        <f t="shared" si="20"/>
        <v/>
      </c>
      <c r="BH14" s="732" t="str">
        <f>'2020'!N14</f>
        <v>-</v>
      </c>
      <c r="BI14" s="733" t="str">
        <f>'2021'!N14</f>
        <v>-</v>
      </c>
      <c r="BJ14" s="733">
        <f>'2022'!N14</f>
        <v>7</v>
      </c>
      <c r="BK14" s="733">
        <f>'2023'!N14</f>
        <v>0</v>
      </c>
      <c r="BL14" s="733">
        <f>'2024'!N14</f>
        <v>0</v>
      </c>
      <c r="BM14" s="734">
        <f>'2025'!N14</f>
        <v>0</v>
      </c>
      <c r="BN14" s="424" t="s">
        <v>21</v>
      </c>
      <c r="BO14" s="425" t="s">
        <v>21</v>
      </c>
      <c r="BP14" s="424" t="s">
        <v>21</v>
      </c>
      <c r="BQ14" s="425" t="s">
        <v>21</v>
      </c>
      <c r="BR14" s="426" t="s">
        <v>21</v>
      </c>
      <c r="BS14" s="427" t="s">
        <v>21</v>
      </c>
      <c r="BT14" s="426" t="s">
        <v>21</v>
      </c>
      <c r="BU14" s="428" t="s">
        <v>21</v>
      </c>
      <c r="CC14" s="1" t="str">
        <f t="shared" si="30"/>
        <v/>
      </c>
      <c r="CD14" s="1" t="str">
        <f t="shared" si="31"/>
        <v/>
      </c>
      <c r="CE14" s="1" t="str">
        <f t="shared" si="32"/>
        <v>France</v>
      </c>
      <c r="CF14" s="1" t="str">
        <f t="shared" si="33"/>
        <v/>
      </c>
      <c r="CG14" s="1" t="str">
        <f t="shared" si="34"/>
        <v/>
      </c>
      <c r="CH14" s="1" t="str">
        <f t="shared" si="35"/>
        <v/>
      </c>
    </row>
    <row r="15" spans="1:86" ht="15" customHeight="1" x14ac:dyDescent="0.3">
      <c r="B15" s="773"/>
      <c r="C15" s="845"/>
      <c r="D15" s="819"/>
      <c r="E15" s="822"/>
      <c r="F15" s="822"/>
      <c r="G15" s="822"/>
      <c r="H15" s="822"/>
      <c r="I15" s="825"/>
      <c r="J15" s="721" t="s">
        <v>184</v>
      </c>
      <c r="K15" s="400" t="str">
        <f t="shared" si="106"/>
        <v/>
      </c>
      <c r="L15" s="400" t="str">
        <f t="shared" si="107"/>
        <v/>
      </c>
      <c r="M15" s="400" t="str">
        <f t="shared" si="108"/>
        <v>X</v>
      </c>
      <c r="N15" s="400" t="str">
        <f t="shared" si="109"/>
        <v/>
      </c>
      <c r="O15" s="400" t="str">
        <f t="shared" si="110"/>
        <v/>
      </c>
      <c r="P15" s="401" t="str">
        <f t="shared" si="111"/>
        <v/>
      </c>
      <c r="Q15" s="237" t="s">
        <v>60</v>
      </c>
      <c r="R15" s="583">
        <f>'2020'!G15</f>
        <v>0</v>
      </c>
      <c r="S15" s="584">
        <f>'2021'!G15</f>
        <v>0</v>
      </c>
      <c r="T15" s="584">
        <f>'2022'!G15</f>
        <v>20</v>
      </c>
      <c r="U15" s="584">
        <f>'2023'!G15</f>
        <v>0</v>
      </c>
      <c r="V15" s="584">
        <f>'2024'!G15</f>
        <v>0</v>
      </c>
      <c r="W15" s="585">
        <f>'2025'!G15</f>
        <v>0</v>
      </c>
      <c r="X15" s="624">
        <f>'2020'!H15</f>
        <v>0</v>
      </c>
      <c r="Y15" s="598">
        <f>'2021'!H15</f>
        <v>0</v>
      </c>
      <c r="Z15" s="598">
        <f>'2022'!H15</f>
        <v>20</v>
      </c>
      <c r="AA15" s="598">
        <f>'2023'!H15</f>
        <v>0</v>
      </c>
      <c r="AB15" s="598">
        <f>'2024'!H15</f>
        <v>0</v>
      </c>
      <c r="AC15" s="599">
        <f>'2025'!H15</f>
        <v>0</v>
      </c>
      <c r="AD15" s="647">
        <f t="shared" si="4"/>
        <v>0</v>
      </c>
      <c r="AE15" s="648">
        <f t="shared" si="5"/>
        <v>0</v>
      </c>
      <c r="AF15" s="648">
        <f t="shared" si="6"/>
        <v>0.45</v>
      </c>
      <c r="AG15" s="648">
        <f t="shared" si="7"/>
        <v>0</v>
      </c>
      <c r="AH15" s="648">
        <f t="shared" si="8"/>
        <v>0</v>
      </c>
      <c r="AI15" s="649">
        <f t="shared" si="9"/>
        <v>0</v>
      </c>
      <c r="AJ15" s="624">
        <f>'2020'!J15</f>
        <v>0</v>
      </c>
      <c r="AK15" s="598">
        <f>'2021'!J15</f>
        <v>0</v>
      </c>
      <c r="AL15" s="598">
        <f>'2022'!J15</f>
        <v>9</v>
      </c>
      <c r="AM15" s="598">
        <f>'2023'!J15</f>
        <v>0</v>
      </c>
      <c r="AN15" s="598">
        <f>'2024'!J15</f>
        <v>0</v>
      </c>
      <c r="AO15" s="599">
        <f>'2025'!J15</f>
        <v>0</v>
      </c>
      <c r="AP15" s="647" t="str">
        <f t="shared" si="28"/>
        <v/>
      </c>
      <c r="AQ15" s="648" t="str">
        <f t="shared" si="11"/>
        <v/>
      </c>
      <c r="AR15" s="648">
        <f t="shared" si="12"/>
        <v>0.4</v>
      </c>
      <c r="AS15" s="648" t="str">
        <f t="shared" si="13"/>
        <v/>
      </c>
      <c r="AT15" s="648" t="str">
        <f t="shared" si="14"/>
        <v/>
      </c>
      <c r="AU15" s="649" t="str">
        <f t="shared" si="15"/>
        <v/>
      </c>
      <c r="AV15" s="624">
        <f>'2020'!L15</f>
        <v>0</v>
      </c>
      <c r="AW15" s="598">
        <f>'2021'!L15</f>
        <v>0</v>
      </c>
      <c r="AX15" s="598">
        <f>'2022'!L15</f>
        <v>8</v>
      </c>
      <c r="AY15" s="598">
        <f>'2023'!L15</f>
        <v>0</v>
      </c>
      <c r="AZ15" s="598">
        <f>'2024'!L15</f>
        <v>0</v>
      </c>
      <c r="BA15" s="599">
        <f>'2025'!L15</f>
        <v>0</v>
      </c>
      <c r="BB15" s="421" t="str">
        <f t="shared" si="29"/>
        <v/>
      </c>
      <c r="BC15" s="422" t="str">
        <f t="shared" si="16"/>
        <v/>
      </c>
      <c r="BD15" s="422">
        <f t="shared" si="17"/>
        <v>0.375</v>
      </c>
      <c r="BE15" s="422" t="str">
        <f t="shared" si="18"/>
        <v/>
      </c>
      <c r="BF15" s="422" t="str">
        <f t="shared" si="19"/>
        <v/>
      </c>
      <c r="BG15" s="423" t="str">
        <f t="shared" si="20"/>
        <v/>
      </c>
      <c r="BH15" s="732" t="str">
        <f>'2020'!N15</f>
        <v>-</v>
      </c>
      <c r="BI15" s="733" t="str">
        <f>'2021'!N15</f>
        <v>-</v>
      </c>
      <c r="BJ15" s="733">
        <f>'2022'!N15</f>
        <v>3</v>
      </c>
      <c r="BK15" s="733">
        <f>'2023'!N15</f>
        <v>0</v>
      </c>
      <c r="BL15" s="733">
        <f>'2024'!N15</f>
        <v>0</v>
      </c>
      <c r="BM15" s="734">
        <f>'2025'!N15</f>
        <v>0</v>
      </c>
      <c r="BN15" s="424" t="s">
        <v>21</v>
      </c>
      <c r="BO15" s="425" t="s">
        <v>21</v>
      </c>
      <c r="BP15" s="424" t="s">
        <v>21</v>
      </c>
      <c r="BQ15" s="425" t="s">
        <v>21</v>
      </c>
      <c r="BR15" s="426" t="s">
        <v>21</v>
      </c>
      <c r="BS15" s="427" t="s">
        <v>21</v>
      </c>
      <c r="BT15" s="426" t="s">
        <v>21</v>
      </c>
      <c r="BU15" s="428" t="s">
        <v>21</v>
      </c>
      <c r="CC15" s="1" t="str">
        <f t="shared" si="30"/>
        <v/>
      </c>
      <c r="CD15" s="1" t="str">
        <f t="shared" si="31"/>
        <v/>
      </c>
      <c r="CE15" s="1" t="str">
        <f t="shared" si="32"/>
        <v>France</v>
      </c>
      <c r="CF15" s="1" t="str">
        <f t="shared" si="33"/>
        <v/>
      </c>
      <c r="CG15" s="1" t="str">
        <f t="shared" si="34"/>
        <v/>
      </c>
      <c r="CH15" s="1" t="str">
        <f t="shared" si="35"/>
        <v/>
      </c>
    </row>
    <row r="16" spans="1:86" ht="15" customHeight="1" x14ac:dyDescent="0.3">
      <c r="B16" s="773"/>
      <c r="C16" s="845"/>
      <c r="D16" s="819"/>
      <c r="E16" s="822"/>
      <c r="F16" s="822"/>
      <c r="G16" s="822"/>
      <c r="H16" s="822"/>
      <c r="I16" s="825"/>
      <c r="J16" s="721" t="s">
        <v>185</v>
      </c>
      <c r="K16" s="400" t="str">
        <f t="shared" si="106"/>
        <v/>
      </c>
      <c r="L16" s="400" t="str">
        <f t="shared" si="107"/>
        <v/>
      </c>
      <c r="M16" s="400" t="str">
        <f t="shared" si="108"/>
        <v>X</v>
      </c>
      <c r="N16" s="400" t="str">
        <f t="shared" si="109"/>
        <v/>
      </c>
      <c r="O16" s="400" t="str">
        <f t="shared" si="110"/>
        <v/>
      </c>
      <c r="P16" s="401" t="str">
        <f t="shared" si="111"/>
        <v/>
      </c>
      <c r="Q16" s="237" t="s">
        <v>60</v>
      </c>
      <c r="R16" s="583">
        <f>'2020'!G16</f>
        <v>0</v>
      </c>
      <c r="S16" s="584">
        <f>'2021'!G16</f>
        <v>0</v>
      </c>
      <c r="T16" s="584">
        <f>'2022'!G16</f>
        <v>13</v>
      </c>
      <c r="U16" s="584">
        <f>'2023'!G16</f>
        <v>0</v>
      </c>
      <c r="V16" s="584">
        <f>'2024'!G16</f>
        <v>0</v>
      </c>
      <c r="W16" s="585">
        <f>'2025'!G16</f>
        <v>0</v>
      </c>
      <c r="X16" s="624">
        <f>'2020'!H16</f>
        <v>0</v>
      </c>
      <c r="Y16" s="598">
        <f>'2021'!H16</f>
        <v>0</v>
      </c>
      <c r="Z16" s="598">
        <f>'2022'!H16</f>
        <v>12</v>
      </c>
      <c r="AA16" s="598">
        <f>'2023'!H16</f>
        <v>0</v>
      </c>
      <c r="AB16" s="598">
        <f>'2024'!H16</f>
        <v>0</v>
      </c>
      <c r="AC16" s="599">
        <f>'2025'!H16</f>
        <v>0</v>
      </c>
      <c r="AD16" s="647">
        <f t="shared" si="4"/>
        <v>0</v>
      </c>
      <c r="AE16" s="648">
        <f t="shared" si="5"/>
        <v>0</v>
      </c>
      <c r="AF16" s="648">
        <f t="shared" si="6"/>
        <v>0.15384615384615385</v>
      </c>
      <c r="AG16" s="648">
        <f t="shared" si="7"/>
        <v>0</v>
      </c>
      <c r="AH16" s="648">
        <f t="shared" si="8"/>
        <v>0</v>
      </c>
      <c r="AI16" s="649">
        <f t="shared" si="9"/>
        <v>0</v>
      </c>
      <c r="AJ16" s="624">
        <f>'2020'!J16</f>
        <v>0</v>
      </c>
      <c r="AK16" s="598">
        <f>'2021'!J16</f>
        <v>0</v>
      </c>
      <c r="AL16" s="598">
        <f>'2022'!J16</f>
        <v>2</v>
      </c>
      <c r="AM16" s="598">
        <f>'2023'!J16</f>
        <v>0</v>
      </c>
      <c r="AN16" s="598">
        <f>'2024'!J16</f>
        <v>0</v>
      </c>
      <c r="AO16" s="599">
        <f>'2025'!J16</f>
        <v>0</v>
      </c>
      <c r="AP16" s="647" t="str">
        <f t="shared" si="28"/>
        <v/>
      </c>
      <c r="AQ16" s="648" t="str">
        <f t="shared" si="11"/>
        <v/>
      </c>
      <c r="AR16" s="648">
        <f t="shared" si="12"/>
        <v>0.30769230769230771</v>
      </c>
      <c r="AS16" s="648" t="str">
        <f t="shared" si="13"/>
        <v/>
      </c>
      <c r="AT16" s="648" t="str">
        <f t="shared" si="14"/>
        <v/>
      </c>
      <c r="AU16" s="649" t="str">
        <f t="shared" si="15"/>
        <v/>
      </c>
      <c r="AV16" s="624">
        <f>'2020'!L16</f>
        <v>0</v>
      </c>
      <c r="AW16" s="598">
        <f>'2021'!L16</f>
        <v>0</v>
      </c>
      <c r="AX16" s="598">
        <f>'2022'!L16</f>
        <v>4</v>
      </c>
      <c r="AY16" s="598">
        <f>'2023'!L16</f>
        <v>0</v>
      </c>
      <c r="AZ16" s="598">
        <f>'2024'!L16</f>
        <v>0</v>
      </c>
      <c r="BA16" s="599">
        <f>'2025'!L16</f>
        <v>0</v>
      </c>
      <c r="BB16" s="421" t="str">
        <f t="shared" si="29"/>
        <v/>
      </c>
      <c r="BC16" s="422" t="str">
        <f t="shared" si="16"/>
        <v/>
      </c>
      <c r="BD16" s="422">
        <f t="shared" si="17"/>
        <v>0.5</v>
      </c>
      <c r="BE16" s="422" t="str">
        <f t="shared" si="18"/>
        <v/>
      </c>
      <c r="BF16" s="422" t="str">
        <f t="shared" si="19"/>
        <v/>
      </c>
      <c r="BG16" s="423" t="str">
        <f t="shared" si="20"/>
        <v/>
      </c>
      <c r="BH16" s="732" t="str">
        <f>'2020'!N16</f>
        <v>-</v>
      </c>
      <c r="BI16" s="733" t="str">
        <f>'2021'!N16</f>
        <v>-</v>
      </c>
      <c r="BJ16" s="733">
        <f>'2022'!N16</f>
        <v>2</v>
      </c>
      <c r="BK16" s="733">
        <f>'2023'!N16</f>
        <v>0</v>
      </c>
      <c r="BL16" s="733">
        <f>'2024'!N16</f>
        <v>0</v>
      </c>
      <c r="BM16" s="734">
        <f>'2025'!N16</f>
        <v>0</v>
      </c>
      <c r="BN16" s="424" t="s">
        <v>21</v>
      </c>
      <c r="BO16" s="425" t="s">
        <v>21</v>
      </c>
      <c r="BP16" s="424" t="s">
        <v>21</v>
      </c>
      <c r="BQ16" s="425" t="s">
        <v>21</v>
      </c>
      <c r="BR16" s="426" t="s">
        <v>21</v>
      </c>
      <c r="BS16" s="427" t="s">
        <v>21</v>
      </c>
      <c r="BT16" s="426" t="s">
        <v>21</v>
      </c>
      <c r="BU16" s="428" t="s">
        <v>21</v>
      </c>
      <c r="CC16" s="1" t="str">
        <f t="shared" si="30"/>
        <v/>
      </c>
      <c r="CD16" s="1" t="str">
        <f t="shared" si="31"/>
        <v/>
      </c>
      <c r="CE16" s="1" t="str">
        <f t="shared" si="32"/>
        <v>France</v>
      </c>
      <c r="CF16" s="1" t="str">
        <f t="shared" si="33"/>
        <v/>
      </c>
      <c r="CG16" s="1" t="str">
        <f t="shared" si="34"/>
        <v/>
      </c>
      <c r="CH16" s="1" t="str">
        <f t="shared" si="35"/>
        <v/>
      </c>
    </row>
    <row r="17" spans="2:86" ht="15" customHeight="1" x14ac:dyDescent="0.3">
      <c r="B17" s="773"/>
      <c r="C17" s="845"/>
      <c r="D17" s="819"/>
      <c r="E17" s="822"/>
      <c r="F17" s="822"/>
      <c r="G17" s="822"/>
      <c r="H17" s="822"/>
      <c r="I17" s="825"/>
      <c r="J17" s="721" t="s">
        <v>186</v>
      </c>
      <c r="K17" s="400" t="str">
        <f t="shared" si="106"/>
        <v/>
      </c>
      <c r="L17" s="400" t="str">
        <f t="shared" si="107"/>
        <v/>
      </c>
      <c r="M17" s="400" t="str">
        <f t="shared" si="108"/>
        <v>X</v>
      </c>
      <c r="N17" s="400" t="str">
        <f t="shared" si="109"/>
        <v/>
      </c>
      <c r="O17" s="400" t="str">
        <f t="shared" si="110"/>
        <v/>
      </c>
      <c r="P17" s="401" t="str">
        <f t="shared" si="111"/>
        <v/>
      </c>
      <c r="Q17" s="237" t="s">
        <v>60</v>
      </c>
      <c r="R17" s="583">
        <f>'2020'!G17</f>
        <v>0</v>
      </c>
      <c r="S17" s="584">
        <f>'2021'!G17</f>
        <v>0</v>
      </c>
      <c r="T17" s="584">
        <f>'2022'!G17</f>
        <v>7</v>
      </c>
      <c r="U17" s="584">
        <f>'2023'!G17</f>
        <v>0</v>
      </c>
      <c r="V17" s="584">
        <f>'2024'!G17</f>
        <v>0</v>
      </c>
      <c r="W17" s="585">
        <f>'2025'!G17</f>
        <v>0</v>
      </c>
      <c r="X17" s="624">
        <f>'2020'!H17</f>
        <v>0</v>
      </c>
      <c r="Y17" s="598">
        <f>'2021'!H17</f>
        <v>0</v>
      </c>
      <c r="Z17" s="598">
        <f>'2022'!H17</f>
        <v>6</v>
      </c>
      <c r="AA17" s="598">
        <f>'2023'!H17</f>
        <v>0</v>
      </c>
      <c r="AB17" s="598">
        <f>'2024'!H17</f>
        <v>0</v>
      </c>
      <c r="AC17" s="599">
        <f>'2025'!H17</f>
        <v>0</v>
      </c>
      <c r="AD17" s="647">
        <f t="shared" si="4"/>
        <v>0</v>
      </c>
      <c r="AE17" s="648">
        <f t="shared" si="5"/>
        <v>0</v>
      </c>
      <c r="AF17" s="648">
        <f t="shared" si="6"/>
        <v>0.2857142857142857</v>
      </c>
      <c r="AG17" s="648">
        <f t="shared" si="7"/>
        <v>0</v>
      </c>
      <c r="AH17" s="648">
        <f t="shared" si="8"/>
        <v>0</v>
      </c>
      <c r="AI17" s="649">
        <f t="shared" si="9"/>
        <v>0</v>
      </c>
      <c r="AJ17" s="624">
        <f>'2020'!J17</f>
        <v>0</v>
      </c>
      <c r="AK17" s="598">
        <f>'2021'!J17</f>
        <v>0</v>
      </c>
      <c r="AL17" s="598">
        <f>'2022'!J17</f>
        <v>2</v>
      </c>
      <c r="AM17" s="598">
        <f>'2023'!J17</f>
        <v>0</v>
      </c>
      <c r="AN17" s="598">
        <f>'2024'!J17</f>
        <v>0</v>
      </c>
      <c r="AO17" s="599">
        <f>'2025'!J17</f>
        <v>0</v>
      </c>
      <c r="AP17" s="647" t="str">
        <f t="shared" si="28"/>
        <v/>
      </c>
      <c r="AQ17" s="648" t="str">
        <f t="shared" si="11"/>
        <v/>
      </c>
      <c r="AR17" s="648">
        <f t="shared" si="12"/>
        <v>0</v>
      </c>
      <c r="AS17" s="648" t="str">
        <f t="shared" si="13"/>
        <v/>
      </c>
      <c r="AT17" s="648" t="str">
        <f t="shared" si="14"/>
        <v/>
      </c>
      <c r="AU17" s="649" t="str">
        <f t="shared" si="15"/>
        <v/>
      </c>
      <c r="AV17" s="624">
        <f>'2020'!L17</f>
        <v>0</v>
      </c>
      <c r="AW17" s="598">
        <f>'2021'!L17</f>
        <v>0</v>
      </c>
      <c r="AX17" s="598">
        <f>'2022'!L17</f>
        <v>0</v>
      </c>
      <c r="AY17" s="598">
        <f>'2023'!L17</f>
        <v>0</v>
      </c>
      <c r="AZ17" s="598">
        <f>'2024'!L17</f>
        <v>0</v>
      </c>
      <c r="BA17" s="599">
        <f>'2025'!L17</f>
        <v>0</v>
      </c>
      <c r="BB17" s="421" t="str">
        <f t="shared" si="29"/>
        <v/>
      </c>
      <c r="BC17" s="422" t="str">
        <f t="shared" si="16"/>
        <v/>
      </c>
      <c r="BD17" s="422" t="str">
        <f t="shared" si="17"/>
        <v/>
      </c>
      <c r="BE17" s="422" t="str">
        <f t="shared" si="18"/>
        <v/>
      </c>
      <c r="BF17" s="422" t="str">
        <f t="shared" si="19"/>
        <v/>
      </c>
      <c r="BG17" s="423" t="str">
        <f t="shared" si="20"/>
        <v/>
      </c>
      <c r="BH17" s="732" t="str">
        <f>'2020'!N17</f>
        <v>-</v>
      </c>
      <c r="BI17" s="733" t="str">
        <f>'2021'!N17</f>
        <v>-</v>
      </c>
      <c r="BJ17" s="733">
        <f>'2022'!N17</f>
        <v>0</v>
      </c>
      <c r="BK17" s="733">
        <f>'2023'!N17</f>
        <v>0</v>
      </c>
      <c r="BL17" s="733">
        <f>'2024'!N17</f>
        <v>0</v>
      </c>
      <c r="BM17" s="734">
        <f>'2025'!N17</f>
        <v>0</v>
      </c>
      <c r="BN17" s="424" t="s">
        <v>21</v>
      </c>
      <c r="BO17" s="425" t="s">
        <v>21</v>
      </c>
      <c r="BP17" s="424" t="s">
        <v>21</v>
      </c>
      <c r="BQ17" s="425" t="s">
        <v>21</v>
      </c>
      <c r="BR17" s="426" t="s">
        <v>21</v>
      </c>
      <c r="BS17" s="427" t="s">
        <v>21</v>
      </c>
      <c r="BT17" s="426" t="s">
        <v>21</v>
      </c>
      <c r="BU17" s="428" t="s">
        <v>21</v>
      </c>
      <c r="CC17" s="1" t="str">
        <f t="shared" si="30"/>
        <v/>
      </c>
      <c r="CD17" s="1" t="str">
        <f t="shared" si="31"/>
        <v/>
      </c>
      <c r="CE17" s="1" t="str">
        <f t="shared" si="32"/>
        <v>France</v>
      </c>
      <c r="CF17" s="1" t="str">
        <f t="shared" si="33"/>
        <v/>
      </c>
      <c r="CG17" s="1" t="str">
        <f t="shared" si="34"/>
        <v/>
      </c>
      <c r="CH17" s="1" t="str">
        <f t="shared" si="35"/>
        <v/>
      </c>
    </row>
    <row r="18" spans="2:86" ht="15" customHeight="1" x14ac:dyDescent="0.3">
      <c r="B18" s="773"/>
      <c r="C18" s="845"/>
      <c r="D18" s="819"/>
      <c r="E18" s="822"/>
      <c r="F18" s="822"/>
      <c r="G18" s="822"/>
      <c r="H18" s="822"/>
      <c r="I18" s="825"/>
      <c r="J18" s="721" t="s">
        <v>187</v>
      </c>
      <c r="K18" s="400" t="str">
        <f t="shared" si="106"/>
        <v/>
      </c>
      <c r="L18" s="400" t="str">
        <f t="shared" si="107"/>
        <v/>
      </c>
      <c r="M18" s="400" t="str">
        <f t="shared" si="108"/>
        <v>X</v>
      </c>
      <c r="N18" s="400" t="str">
        <f t="shared" si="109"/>
        <v/>
      </c>
      <c r="O18" s="400" t="str">
        <f t="shared" si="110"/>
        <v/>
      </c>
      <c r="P18" s="401" t="str">
        <f t="shared" si="111"/>
        <v/>
      </c>
      <c r="Q18" s="237" t="s">
        <v>62</v>
      </c>
      <c r="R18" s="583">
        <f>'2020'!G18</f>
        <v>0</v>
      </c>
      <c r="S18" s="584">
        <f>'2021'!G18</f>
        <v>0</v>
      </c>
      <c r="T18" s="584">
        <f>'2022'!G18</f>
        <v>74</v>
      </c>
      <c r="U18" s="584">
        <f>'2023'!G18</f>
        <v>0</v>
      </c>
      <c r="V18" s="584">
        <f>'2024'!G18</f>
        <v>0</v>
      </c>
      <c r="W18" s="585">
        <f>'2025'!G18</f>
        <v>0</v>
      </c>
      <c r="X18" s="624">
        <f>'2020'!H18</f>
        <v>0</v>
      </c>
      <c r="Y18" s="598">
        <f>'2021'!H18</f>
        <v>0</v>
      </c>
      <c r="Z18" s="598">
        <f>'2022'!H18</f>
        <v>30</v>
      </c>
      <c r="AA18" s="598">
        <f>'2023'!H18</f>
        <v>0</v>
      </c>
      <c r="AB18" s="598">
        <f>'2024'!H18</f>
        <v>0</v>
      </c>
      <c r="AC18" s="599">
        <f>'2025'!H18</f>
        <v>0</v>
      </c>
      <c r="AD18" s="647">
        <f t="shared" si="4"/>
        <v>0</v>
      </c>
      <c r="AE18" s="648">
        <f t="shared" si="5"/>
        <v>0</v>
      </c>
      <c r="AF18" s="648">
        <f t="shared" si="6"/>
        <v>0.29729729729729731</v>
      </c>
      <c r="AG18" s="648">
        <f t="shared" si="7"/>
        <v>0</v>
      </c>
      <c r="AH18" s="648">
        <f t="shared" si="8"/>
        <v>0</v>
      </c>
      <c r="AI18" s="649">
        <f t="shared" si="9"/>
        <v>0</v>
      </c>
      <c r="AJ18" s="624">
        <f>'2020'!J18</f>
        <v>0</v>
      </c>
      <c r="AK18" s="598">
        <f>'2021'!J18</f>
        <v>0</v>
      </c>
      <c r="AL18" s="598">
        <f>'2022'!J18</f>
        <v>22</v>
      </c>
      <c r="AM18" s="598">
        <f>'2023'!J18</f>
        <v>0</v>
      </c>
      <c r="AN18" s="598">
        <f>'2024'!J18</f>
        <v>0</v>
      </c>
      <c r="AO18" s="599">
        <f>'2025'!J18</f>
        <v>0</v>
      </c>
      <c r="AP18" s="647" t="str">
        <f t="shared" si="28"/>
        <v/>
      </c>
      <c r="AQ18" s="648" t="str">
        <f t="shared" si="11"/>
        <v/>
      </c>
      <c r="AR18" s="648">
        <f t="shared" si="12"/>
        <v>0.36486486486486486</v>
      </c>
      <c r="AS18" s="648" t="str">
        <f t="shared" si="13"/>
        <v/>
      </c>
      <c r="AT18" s="648" t="str">
        <f t="shared" si="14"/>
        <v/>
      </c>
      <c r="AU18" s="649" t="str">
        <f t="shared" si="15"/>
        <v/>
      </c>
      <c r="AV18" s="624">
        <f>'2020'!L18</f>
        <v>0</v>
      </c>
      <c r="AW18" s="598">
        <f>'2021'!L18</f>
        <v>0</v>
      </c>
      <c r="AX18" s="598">
        <f>'2022'!L18</f>
        <v>27</v>
      </c>
      <c r="AY18" s="598">
        <f>'2023'!L18</f>
        <v>0</v>
      </c>
      <c r="AZ18" s="598">
        <f>'2024'!L18</f>
        <v>0</v>
      </c>
      <c r="BA18" s="599">
        <f>'2025'!L18</f>
        <v>0</v>
      </c>
      <c r="BB18" s="421" t="str">
        <f t="shared" si="29"/>
        <v/>
      </c>
      <c r="BC18" s="422" t="str">
        <f t="shared" si="16"/>
        <v/>
      </c>
      <c r="BD18" s="422">
        <f t="shared" si="17"/>
        <v>0.48148148148148145</v>
      </c>
      <c r="BE18" s="422" t="str">
        <f t="shared" si="18"/>
        <v/>
      </c>
      <c r="BF18" s="422" t="str">
        <f t="shared" si="19"/>
        <v/>
      </c>
      <c r="BG18" s="423" t="str">
        <f t="shared" si="20"/>
        <v/>
      </c>
      <c r="BH18" s="732" t="str">
        <f>'2020'!N18</f>
        <v>-</v>
      </c>
      <c r="BI18" s="733" t="str">
        <f>'2021'!N18</f>
        <v>-</v>
      </c>
      <c r="BJ18" s="733">
        <f>'2022'!N18</f>
        <v>13</v>
      </c>
      <c r="BK18" s="733">
        <f>'2023'!N18</f>
        <v>0</v>
      </c>
      <c r="BL18" s="733">
        <f>'2024'!N18</f>
        <v>0</v>
      </c>
      <c r="BM18" s="734">
        <f>'2025'!N18</f>
        <v>0</v>
      </c>
      <c r="BN18" s="424" t="s">
        <v>21</v>
      </c>
      <c r="BO18" s="425" t="s">
        <v>21</v>
      </c>
      <c r="BP18" s="424" t="s">
        <v>21</v>
      </c>
      <c r="BQ18" s="425" t="s">
        <v>21</v>
      </c>
      <c r="BR18" s="426" t="s">
        <v>21</v>
      </c>
      <c r="BS18" s="427" t="s">
        <v>21</v>
      </c>
      <c r="BT18" s="426" t="s">
        <v>21</v>
      </c>
      <c r="BU18" s="428" t="s">
        <v>21</v>
      </c>
      <c r="CC18" s="1" t="str">
        <f t="shared" si="30"/>
        <v/>
      </c>
      <c r="CD18" s="1" t="str">
        <f t="shared" si="31"/>
        <v/>
      </c>
      <c r="CE18" s="1" t="str">
        <f t="shared" si="32"/>
        <v>Frontière</v>
      </c>
      <c r="CF18" s="1" t="str">
        <f t="shared" si="33"/>
        <v/>
      </c>
      <c r="CG18" s="1" t="str">
        <f t="shared" si="34"/>
        <v/>
      </c>
      <c r="CH18" s="1" t="str">
        <f t="shared" si="35"/>
        <v/>
      </c>
    </row>
    <row r="19" spans="2:86" ht="15" customHeight="1" x14ac:dyDescent="0.3">
      <c r="B19" s="773"/>
      <c r="C19" s="845"/>
      <c r="D19" s="819"/>
      <c r="E19" s="822"/>
      <c r="F19" s="822"/>
      <c r="G19" s="822"/>
      <c r="H19" s="822"/>
      <c r="I19" s="825"/>
      <c r="J19" s="721" t="s">
        <v>188</v>
      </c>
      <c r="K19" s="400" t="str">
        <f t="shared" si="106"/>
        <v/>
      </c>
      <c r="L19" s="400" t="str">
        <f t="shared" si="107"/>
        <v/>
      </c>
      <c r="M19" s="400" t="str">
        <f t="shared" si="108"/>
        <v>X</v>
      </c>
      <c r="N19" s="400" t="str">
        <f t="shared" si="109"/>
        <v/>
      </c>
      <c r="O19" s="400" t="str">
        <f t="shared" si="110"/>
        <v/>
      </c>
      <c r="P19" s="401" t="str">
        <f t="shared" si="111"/>
        <v/>
      </c>
      <c r="Q19" s="237" t="s">
        <v>60</v>
      </c>
      <c r="R19" s="583">
        <f>'2020'!G19</f>
        <v>0</v>
      </c>
      <c r="S19" s="584">
        <f>'2021'!G19</f>
        <v>0</v>
      </c>
      <c r="T19" s="584">
        <f>'2022'!G19</f>
        <v>34</v>
      </c>
      <c r="U19" s="584">
        <f>'2023'!G19</f>
        <v>0</v>
      </c>
      <c r="V19" s="584">
        <f>'2024'!G19</f>
        <v>0</v>
      </c>
      <c r="W19" s="585">
        <f>'2025'!G19</f>
        <v>0</v>
      </c>
      <c r="X19" s="624">
        <f>'2020'!H19</f>
        <v>0</v>
      </c>
      <c r="Y19" s="598">
        <f>'2021'!H19</f>
        <v>0</v>
      </c>
      <c r="Z19" s="598">
        <f>'2022'!H19</f>
        <v>34</v>
      </c>
      <c r="AA19" s="598">
        <f>'2023'!H19</f>
        <v>0</v>
      </c>
      <c r="AB19" s="598">
        <f>'2024'!H19</f>
        <v>0</v>
      </c>
      <c r="AC19" s="599">
        <f>'2025'!H19</f>
        <v>0</v>
      </c>
      <c r="AD19" s="647">
        <f t="shared" si="4"/>
        <v>0</v>
      </c>
      <c r="AE19" s="648">
        <f t="shared" si="5"/>
        <v>0</v>
      </c>
      <c r="AF19" s="648">
        <f t="shared" si="6"/>
        <v>0.17647058823529413</v>
      </c>
      <c r="AG19" s="648">
        <f t="shared" si="7"/>
        <v>0</v>
      </c>
      <c r="AH19" s="648">
        <f t="shared" si="8"/>
        <v>0</v>
      </c>
      <c r="AI19" s="649">
        <f t="shared" si="9"/>
        <v>0</v>
      </c>
      <c r="AJ19" s="624">
        <f>'2020'!J19</f>
        <v>0</v>
      </c>
      <c r="AK19" s="598">
        <f>'2021'!J19</f>
        <v>0</v>
      </c>
      <c r="AL19" s="598">
        <f>'2022'!J19</f>
        <v>6</v>
      </c>
      <c r="AM19" s="598">
        <f>'2023'!J19</f>
        <v>0</v>
      </c>
      <c r="AN19" s="598">
        <f>'2024'!J19</f>
        <v>0</v>
      </c>
      <c r="AO19" s="599">
        <f>'2025'!J19</f>
        <v>0</v>
      </c>
      <c r="AP19" s="647" t="str">
        <f t="shared" si="28"/>
        <v/>
      </c>
      <c r="AQ19" s="648" t="str">
        <f t="shared" si="11"/>
        <v/>
      </c>
      <c r="AR19" s="648">
        <f t="shared" si="12"/>
        <v>0.38235294117647056</v>
      </c>
      <c r="AS19" s="648" t="str">
        <f t="shared" si="13"/>
        <v/>
      </c>
      <c r="AT19" s="648" t="str">
        <f t="shared" si="14"/>
        <v/>
      </c>
      <c r="AU19" s="649" t="str">
        <f t="shared" si="15"/>
        <v/>
      </c>
      <c r="AV19" s="624">
        <f>'2020'!L19</f>
        <v>0</v>
      </c>
      <c r="AW19" s="598">
        <f>'2021'!L19</f>
        <v>0</v>
      </c>
      <c r="AX19" s="598">
        <f>'2022'!L19</f>
        <v>13</v>
      </c>
      <c r="AY19" s="598">
        <f>'2023'!L19</f>
        <v>0</v>
      </c>
      <c r="AZ19" s="598">
        <f>'2024'!L19</f>
        <v>0</v>
      </c>
      <c r="BA19" s="599">
        <f>'2025'!L19</f>
        <v>0</v>
      </c>
      <c r="BB19" s="421" t="str">
        <f t="shared" si="29"/>
        <v/>
      </c>
      <c r="BC19" s="422" t="str">
        <f t="shared" si="16"/>
        <v/>
      </c>
      <c r="BD19" s="422">
        <f t="shared" si="17"/>
        <v>0.15384615384615385</v>
      </c>
      <c r="BE19" s="422" t="str">
        <f t="shared" si="18"/>
        <v/>
      </c>
      <c r="BF19" s="422" t="str">
        <f t="shared" si="19"/>
        <v/>
      </c>
      <c r="BG19" s="423" t="str">
        <f t="shared" si="20"/>
        <v/>
      </c>
      <c r="BH19" s="732" t="str">
        <f>'2020'!N19</f>
        <v>-</v>
      </c>
      <c r="BI19" s="733" t="str">
        <f>'2021'!N19</f>
        <v>-</v>
      </c>
      <c r="BJ19" s="733">
        <f>'2022'!N19</f>
        <v>2</v>
      </c>
      <c r="BK19" s="733">
        <f>'2023'!N19</f>
        <v>0</v>
      </c>
      <c r="BL19" s="733">
        <f>'2024'!N19</f>
        <v>0</v>
      </c>
      <c r="BM19" s="734">
        <f>'2025'!N19</f>
        <v>0</v>
      </c>
      <c r="BN19" s="424" t="s">
        <v>21</v>
      </c>
      <c r="BO19" s="425" t="s">
        <v>21</v>
      </c>
      <c r="BP19" s="424" t="s">
        <v>21</v>
      </c>
      <c r="BQ19" s="425" t="s">
        <v>21</v>
      </c>
      <c r="BR19" s="426" t="s">
        <v>21</v>
      </c>
      <c r="BS19" s="427" t="s">
        <v>21</v>
      </c>
      <c r="BT19" s="426" t="s">
        <v>21</v>
      </c>
      <c r="BU19" s="428" t="s">
        <v>21</v>
      </c>
      <c r="CC19" s="1" t="str">
        <f t="shared" si="30"/>
        <v/>
      </c>
      <c r="CD19" s="1" t="str">
        <f t="shared" si="31"/>
        <v/>
      </c>
      <c r="CE19" s="1" t="str">
        <f t="shared" si="32"/>
        <v>France</v>
      </c>
      <c r="CF19" s="1" t="str">
        <f t="shared" si="33"/>
        <v/>
      </c>
      <c r="CG19" s="1" t="str">
        <f t="shared" si="34"/>
        <v/>
      </c>
      <c r="CH19" s="1" t="str">
        <f t="shared" si="35"/>
        <v/>
      </c>
    </row>
    <row r="20" spans="2:86" ht="15" customHeight="1" x14ac:dyDescent="0.3">
      <c r="B20" s="773"/>
      <c r="C20" s="845"/>
      <c r="D20" s="819"/>
      <c r="E20" s="822"/>
      <c r="F20" s="822"/>
      <c r="G20" s="822"/>
      <c r="H20" s="822"/>
      <c r="I20" s="825"/>
      <c r="J20" s="721" t="s">
        <v>189</v>
      </c>
      <c r="K20" s="400" t="str">
        <f t="shared" si="106"/>
        <v/>
      </c>
      <c r="L20" s="400" t="str">
        <f t="shared" si="107"/>
        <v/>
      </c>
      <c r="M20" s="400" t="str">
        <f t="shared" si="108"/>
        <v>X</v>
      </c>
      <c r="N20" s="400" t="str">
        <f t="shared" si="109"/>
        <v/>
      </c>
      <c r="O20" s="400" t="str">
        <f t="shared" si="110"/>
        <v/>
      </c>
      <c r="P20" s="401" t="str">
        <f t="shared" si="111"/>
        <v/>
      </c>
      <c r="Q20" s="237" t="s">
        <v>60</v>
      </c>
      <c r="R20" s="583">
        <f>'2020'!G20</f>
        <v>0</v>
      </c>
      <c r="S20" s="584">
        <f>'2021'!G20</f>
        <v>0</v>
      </c>
      <c r="T20" s="584">
        <f>'2022'!G20</f>
        <v>47</v>
      </c>
      <c r="U20" s="584">
        <f>'2023'!G20</f>
        <v>0</v>
      </c>
      <c r="V20" s="584">
        <f>'2024'!G20</f>
        <v>0</v>
      </c>
      <c r="W20" s="585">
        <f>'2025'!G20</f>
        <v>0</v>
      </c>
      <c r="X20" s="624">
        <f>'2020'!H20</f>
        <v>0</v>
      </c>
      <c r="Y20" s="598">
        <f>'2021'!H20</f>
        <v>0</v>
      </c>
      <c r="Z20" s="598">
        <f>'2022'!H20</f>
        <v>47</v>
      </c>
      <c r="AA20" s="598">
        <f>'2023'!H20</f>
        <v>0</v>
      </c>
      <c r="AB20" s="598">
        <f>'2024'!H20</f>
        <v>0</v>
      </c>
      <c r="AC20" s="599">
        <f>'2025'!H20</f>
        <v>0</v>
      </c>
      <c r="AD20" s="647">
        <f t="shared" si="4"/>
        <v>0</v>
      </c>
      <c r="AE20" s="648">
        <f t="shared" si="5"/>
        <v>0</v>
      </c>
      <c r="AF20" s="648">
        <f t="shared" si="6"/>
        <v>6.3829787234042548E-2</v>
      </c>
      <c r="AG20" s="648">
        <f t="shared" si="7"/>
        <v>0</v>
      </c>
      <c r="AH20" s="648">
        <f t="shared" si="8"/>
        <v>0</v>
      </c>
      <c r="AI20" s="649">
        <f t="shared" si="9"/>
        <v>0</v>
      </c>
      <c r="AJ20" s="624">
        <f>'2020'!J20</f>
        <v>0</v>
      </c>
      <c r="AK20" s="598">
        <f>'2021'!J20</f>
        <v>0</v>
      </c>
      <c r="AL20" s="598">
        <f>'2022'!J20</f>
        <v>3</v>
      </c>
      <c r="AM20" s="598">
        <f>'2023'!J20</f>
        <v>0</v>
      </c>
      <c r="AN20" s="598">
        <f>'2024'!J20</f>
        <v>0</v>
      </c>
      <c r="AO20" s="599">
        <f>'2025'!J20</f>
        <v>0</v>
      </c>
      <c r="AP20" s="647" t="str">
        <f t="shared" si="28"/>
        <v/>
      </c>
      <c r="AQ20" s="648" t="str">
        <f t="shared" si="11"/>
        <v/>
      </c>
      <c r="AR20" s="648">
        <f t="shared" si="12"/>
        <v>0.31914893617021278</v>
      </c>
      <c r="AS20" s="648" t="str">
        <f t="shared" si="13"/>
        <v/>
      </c>
      <c r="AT20" s="648" t="str">
        <f t="shared" si="14"/>
        <v/>
      </c>
      <c r="AU20" s="649" t="str">
        <f t="shared" si="15"/>
        <v/>
      </c>
      <c r="AV20" s="624">
        <f>'2020'!L20</f>
        <v>0</v>
      </c>
      <c r="AW20" s="598">
        <f>'2021'!L20</f>
        <v>0</v>
      </c>
      <c r="AX20" s="598">
        <f>'2022'!L20</f>
        <v>15</v>
      </c>
      <c r="AY20" s="598">
        <f>'2023'!L20</f>
        <v>0</v>
      </c>
      <c r="AZ20" s="598">
        <f>'2024'!L20</f>
        <v>0</v>
      </c>
      <c r="BA20" s="599">
        <f>'2025'!L20</f>
        <v>0</v>
      </c>
      <c r="BB20" s="421" t="str">
        <f t="shared" si="29"/>
        <v/>
      </c>
      <c r="BC20" s="422" t="str">
        <f t="shared" si="16"/>
        <v/>
      </c>
      <c r="BD20" s="422">
        <f t="shared" si="17"/>
        <v>0.2</v>
      </c>
      <c r="BE20" s="422" t="str">
        <f t="shared" si="18"/>
        <v/>
      </c>
      <c r="BF20" s="422" t="str">
        <f t="shared" si="19"/>
        <v/>
      </c>
      <c r="BG20" s="423" t="str">
        <f t="shared" si="20"/>
        <v/>
      </c>
      <c r="BH20" s="732" t="str">
        <f>'2020'!N20</f>
        <v>-</v>
      </c>
      <c r="BI20" s="733" t="str">
        <f>'2021'!N20</f>
        <v>-</v>
      </c>
      <c r="BJ20" s="733">
        <f>'2022'!N20</f>
        <v>3</v>
      </c>
      <c r="BK20" s="733">
        <f>'2023'!N20</f>
        <v>0</v>
      </c>
      <c r="BL20" s="733">
        <f>'2024'!N20</f>
        <v>0</v>
      </c>
      <c r="BM20" s="734">
        <f>'2025'!N20</f>
        <v>0</v>
      </c>
      <c r="BN20" s="424" t="s">
        <v>21</v>
      </c>
      <c r="BO20" s="425" t="s">
        <v>21</v>
      </c>
      <c r="BP20" s="424" t="s">
        <v>21</v>
      </c>
      <c r="BQ20" s="425" t="s">
        <v>21</v>
      </c>
      <c r="BR20" s="426" t="s">
        <v>21</v>
      </c>
      <c r="BS20" s="427" t="s">
        <v>21</v>
      </c>
      <c r="BT20" s="426" t="s">
        <v>21</v>
      </c>
      <c r="BU20" s="428" t="s">
        <v>21</v>
      </c>
      <c r="CC20" s="1" t="str">
        <f t="shared" si="30"/>
        <v/>
      </c>
      <c r="CD20" s="1" t="str">
        <f t="shared" si="31"/>
        <v/>
      </c>
      <c r="CE20" s="1" t="str">
        <f t="shared" si="32"/>
        <v>France</v>
      </c>
      <c r="CF20" s="1" t="str">
        <f t="shared" si="33"/>
        <v/>
      </c>
      <c r="CG20" s="1" t="str">
        <f t="shared" si="34"/>
        <v/>
      </c>
      <c r="CH20" s="1" t="str">
        <f t="shared" si="35"/>
        <v/>
      </c>
    </row>
    <row r="21" spans="2:86" ht="15" customHeight="1" x14ac:dyDescent="0.3">
      <c r="B21" s="773"/>
      <c r="C21" s="845"/>
      <c r="D21" s="819"/>
      <c r="E21" s="822"/>
      <c r="F21" s="822"/>
      <c r="G21" s="822"/>
      <c r="H21" s="822"/>
      <c r="I21" s="825"/>
      <c r="J21" s="721" t="s">
        <v>190</v>
      </c>
      <c r="K21" s="400" t="str">
        <f t="shared" si="106"/>
        <v/>
      </c>
      <c r="L21" s="400" t="str">
        <f t="shared" si="107"/>
        <v/>
      </c>
      <c r="M21" s="400" t="str">
        <f t="shared" si="108"/>
        <v>X</v>
      </c>
      <c r="N21" s="400" t="str">
        <f t="shared" si="109"/>
        <v/>
      </c>
      <c r="O21" s="400" t="str">
        <f t="shared" si="110"/>
        <v/>
      </c>
      <c r="P21" s="401" t="str">
        <f t="shared" si="111"/>
        <v/>
      </c>
      <c r="Q21" s="237" t="s">
        <v>60</v>
      </c>
      <c r="R21" s="583">
        <f>'2020'!G21</f>
        <v>0</v>
      </c>
      <c r="S21" s="584">
        <f>'2021'!G21</f>
        <v>0</v>
      </c>
      <c r="T21" s="584">
        <f>'2022'!G21</f>
        <v>92</v>
      </c>
      <c r="U21" s="584">
        <f>'2023'!G21</f>
        <v>0</v>
      </c>
      <c r="V21" s="584">
        <f>'2024'!G21</f>
        <v>0</v>
      </c>
      <c r="W21" s="585">
        <f>'2025'!G21</f>
        <v>0</v>
      </c>
      <c r="X21" s="624">
        <f>'2020'!H21</f>
        <v>0</v>
      </c>
      <c r="Y21" s="598">
        <f>'2021'!H21</f>
        <v>0</v>
      </c>
      <c r="Z21" s="598">
        <f>'2022'!H21</f>
        <v>92</v>
      </c>
      <c r="AA21" s="598">
        <f>'2023'!H21</f>
        <v>0</v>
      </c>
      <c r="AB21" s="598">
        <f>'2024'!H21</f>
        <v>0</v>
      </c>
      <c r="AC21" s="599">
        <f>'2025'!H21</f>
        <v>0</v>
      </c>
      <c r="AD21" s="647">
        <f t="shared" si="4"/>
        <v>0</v>
      </c>
      <c r="AE21" s="648">
        <f t="shared" si="5"/>
        <v>0</v>
      </c>
      <c r="AF21" s="648">
        <f t="shared" si="6"/>
        <v>9.7826086956521743E-2</v>
      </c>
      <c r="AG21" s="648">
        <f t="shared" si="7"/>
        <v>0</v>
      </c>
      <c r="AH21" s="648">
        <f t="shared" si="8"/>
        <v>0</v>
      </c>
      <c r="AI21" s="649">
        <f t="shared" si="9"/>
        <v>0</v>
      </c>
      <c r="AJ21" s="624">
        <f>'2020'!J21</f>
        <v>0</v>
      </c>
      <c r="AK21" s="598">
        <f>'2021'!J21</f>
        <v>0</v>
      </c>
      <c r="AL21" s="598">
        <f>'2022'!J21</f>
        <v>9</v>
      </c>
      <c r="AM21" s="598">
        <f>'2023'!J21</f>
        <v>0</v>
      </c>
      <c r="AN21" s="598">
        <f>'2024'!J21</f>
        <v>0</v>
      </c>
      <c r="AO21" s="599">
        <f>'2025'!J21</f>
        <v>0</v>
      </c>
      <c r="AP21" s="647" t="str">
        <f t="shared" si="28"/>
        <v/>
      </c>
      <c r="AQ21" s="648" t="str">
        <f t="shared" si="11"/>
        <v/>
      </c>
      <c r="AR21" s="648">
        <f t="shared" si="12"/>
        <v>0.45652173913043476</v>
      </c>
      <c r="AS21" s="648" t="str">
        <f t="shared" si="13"/>
        <v/>
      </c>
      <c r="AT21" s="648" t="str">
        <f t="shared" si="14"/>
        <v/>
      </c>
      <c r="AU21" s="649" t="str">
        <f t="shared" si="15"/>
        <v/>
      </c>
      <c r="AV21" s="624">
        <f>'2020'!L21</f>
        <v>0</v>
      </c>
      <c r="AW21" s="598">
        <f>'2021'!L21</f>
        <v>0</v>
      </c>
      <c r="AX21" s="598">
        <f>'2022'!L21</f>
        <v>42</v>
      </c>
      <c r="AY21" s="598">
        <f>'2023'!L21</f>
        <v>0</v>
      </c>
      <c r="AZ21" s="598">
        <f>'2024'!L21</f>
        <v>0</v>
      </c>
      <c r="BA21" s="599">
        <f>'2025'!L21</f>
        <v>0</v>
      </c>
      <c r="BB21" s="421" t="str">
        <f t="shared" si="29"/>
        <v/>
      </c>
      <c r="BC21" s="422" t="str">
        <f t="shared" si="16"/>
        <v/>
      </c>
      <c r="BD21" s="422">
        <f t="shared" si="17"/>
        <v>0.14285714285714285</v>
      </c>
      <c r="BE21" s="422" t="str">
        <f t="shared" si="18"/>
        <v/>
      </c>
      <c r="BF21" s="422" t="str">
        <f t="shared" si="19"/>
        <v/>
      </c>
      <c r="BG21" s="423" t="str">
        <f t="shared" si="20"/>
        <v/>
      </c>
      <c r="BH21" s="732" t="str">
        <f>'2020'!N21</f>
        <v>-</v>
      </c>
      <c r="BI21" s="733" t="str">
        <f>'2021'!N21</f>
        <v>-</v>
      </c>
      <c r="BJ21" s="733">
        <f>'2022'!N21</f>
        <v>6</v>
      </c>
      <c r="BK21" s="733">
        <f>'2023'!N21</f>
        <v>0</v>
      </c>
      <c r="BL21" s="733">
        <f>'2024'!N21</f>
        <v>0</v>
      </c>
      <c r="BM21" s="734">
        <f>'2025'!N21</f>
        <v>0</v>
      </c>
      <c r="BN21" s="424" t="s">
        <v>21</v>
      </c>
      <c r="BO21" s="425" t="s">
        <v>21</v>
      </c>
      <c r="BP21" s="424" t="s">
        <v>21</v>
      </c>
      <c r="BQ21" s="425" t="s">
        <v>21</v>
      </c>
      <c r="BR21" s="426" t="s">
        <v>21</v>
      </c>
      <c r="BS21" s="427" t="s">
        <v>21</v>
      </c>
      <c r="BT21" s="426" t="s">
        <v>21</v>
      </c>
      <c r="BU21" s="428" t="s">
        <v>21</v>
      </c>
      <c r="CC21" s="1" t="str">
        <f t="shared" si="30"/>
        <v/>
      </c>
      <c r="CD21" s="1" t="str">
        <f t="shared" si="31"/>
        <v/>
      </c>
      <c r="CE21" s="1" t="str">
        <f t="shared" si="32"/>
        <v>France</v>
      </c>
      <c r="CF21" s="1" t="str">
        <f t="shared" si="33"/>
        <v/>
      </c>
      <c r="CG21" s="1" t="str">
        <f t="shared" si="34"/>
        <v/>
      </c>
      <c r="CH21" s="1" t="str">
        <f t="shared" si="35"/>
        <v/>
      </c>
    </row>
    <row r="22" spans="2:86" ht="15" customHeight="1" x14ac:dyDescent="0.3">
      <c r="B22" s="773"/>
      <c r="C22" s="845"/>
      <c r="D22" s="819"/>
      <c r="E22" s="822"/>
      <c r="F22" s="822"/>
      <c r="G22" s="822"/>
      <c r="H22" s="822"/>
      <c r="I22" s="825"/>
      <c r="J22" s="721" t="s">
        <v>191</v>
      </c>
      <c r="K22" s="400" t="str">
        <f t="shared" si="106"/>
        <v/>
      </c>
      <c r="L22" s="400" t="str">
        <f t="shared" si="107"/>
        <v/>
      </c>
      <c r="M22" s="400" t="str">
        <f t="shared" si="108"/>
        <v>X</v>
      </c>
      <c r="N22" s="400" t="str">
        <f t="shared" si="109"/>
        <v/>
      </c>
      <c r="O22" s="400" t="str">
        <f t="shared" si="110"/>
        <v/>
      </c>
      <c r="P22" s="401" t="str">
        <f t="shared" si="111"/>
        <v/>
      </c>
      <c r="Q22" s="237" t="s">
        <v>60</v>
      </c>
      <c r="R22" s="583">
        <f>'2020'!G22</f>
        <v>0</v>
      </c>
      <c r="S22" s="584">
        <f>'2021'!G22</f>
        <v>0</v>
      </c>
      <c r="T22" s="584">
        <f>'2022'!G22</f>
        <v>77</v>
      </c>
      <c r="U22" s="584">
        <f>'2023'!G22</f>
        <v>0</v>
      </c>
      <c r="V22" s="584">
        <f>'2024'!G22</f>
        <v>0</v>
      </c>
      <c r="W22" s="585">
        <f>'2025'!G22</f>
        <v>0</v>
      </c>
      <c r="X22" s="624">
        <f>'2020'!H22</f>
        <v>0</v>
      </c>
      <c r="Y22" s="598">
        <f>'2021'!H22</f>
        <v>0</v>
      </c>
      <c r="Z22" s="598">
        <f>'2022'!H22</f>
        <v>77</v>
      </c>
      <c r="AA22" s="598">
        <f>'2023'!H22</f>
        <v>0</v>
      </c>
      <c r="AB22" s="598">
        <f>'2024'!H22</f>
        <v>0</v>
      </c>
      <c r="AC22" s="599">
        <f>'2025'!H22</f>
        <v>0</v>
      </c>
      <c r="AD22" s="647">
        <f t="shared" si="4"/>
        <v>0</v>
      </c>
      <c r="AE22" s="648">
        <f t="shared" si="5"/>
        <v>0</v>
      </c>
      <c r="AF22" s="648">
        <f t="shared" si="6"/>
        <v>0.14285714285714285</v>
      </c>
      <c r="AG22" s="648">
        <f t="shared" si="7"/>
        <v>0</v>
      </c>
      <c r="AH22" s="648">
        <f t="shared" si="8"/>
        <v>0</v>
      </c>
      <c r="AI22" s="649">
        <f t="shared" si="9"/>
        <v>0</v>
      </c>
      <c r="AJ22" s="624">
        <f>'2020'!J22</f>
        <v>0</v>
      </c>
      <c r="AK22" s="598">
        <f>'2021'!J22</f>
        <v>0</v>
      </c>
      <c r="AL22" s="598">
        <f>'2022'!J22</f>
        <v>11</v>
      </c>
      <c r="AM22" s="598">
        <f>'2023'!J22</f>
        <v>0</v>
      </c>
      <c r="AN22" s="598">
        <f>'2024'!J22</f>
        <v>0</v>
      </c>
      <c r="AO22" s="599">
        <f>'2025'!J22</f>
        <v>0</v>
      </c>
      <c r="AP22" s="647" t="str">
        <f t="shared" si="28"/>
        <v/>
      </c>
      <c r="AQ22" s="648" t="str">
        <f t="shared" si="11"/>
        <v/>
      </c>
      <c r="AR22" s="648">
        <f t="shared" si="12"/>
        <v>0.40259740259740262</v>
      </c>
      <c r="AS22" s="648" t="str">
        <f t="shared" si="13"/>
        <v/>
      </c>
      <c r="AT22" s="648" t="str">
        <f t="shared" si="14"/>
        <v/>
      </c>
      <c r="AU22" s="649" t="str">
        <f t="shared" si="15"/>
        <v/>
      </c>
      <c r="AV22" s="624">
        <f>'2020'!L22</f>
        <v>0</v>
      </c>
      <c r="AW22" s="598">
        <f>'2021'!L22</f>
        <v>0</v>
      </c>
      <c r="AX22" s="598">
        <f>'2022'!L22</f>
        <v>31</v>
      </c>
      <c r="AY22" s="598">
        <f>'2023'!L22</f>
        <v>0</v>
      </c>
      <c r="AZ22" s="598">
        <f>'2024'!L22</f>
        <v>0</v>
      </c>
      <c r="BA22" s="599">
        <f>'2025'!L22</f>
        <v>0</v>
      </c>
      <c r="BB22" s="421" t="str">
        <f t="shared" si="29"/>
        <v/>
      </c>
      <c r="BC22" s="422" t="str">
        <f t="shared" si="16"/>
        <v/>
      </c>
      <c r="BD22" s="422">
        <f t="shared" si="17"/>
        <v>0.16129032258064516</v>
      </c>
      <c r="BE22" s="422" t="str">
        <f t="shared" si="18"/>
        <v/>
      </c>
      <c r="BF22" s="422" t="str">
        <f t="shared" si="19"/>
        <v/>
      </c>
      <c r="BG22" s="423" t="str">
        <f t="shared" si="20"/>
        <v/>
      </c>
      <c r="BH22" s="732" t="str">
        <f>'2020'!N22</f>
        <v>-</v>
      </c>
      <c r="BI22" s="733" t="str">
        <f>'2021'!N22</f>
        <v>-</v>
      </c>
      <c r="BJ22" s="733">
        <f>'2022'!N22</f>
        <v>5</v>
      </c>
      <c r="BK22" s="733">
        <f>'2023'!N22</f>
        <v>0</v>
      </c>
      <c r="BL22" s="733">
        <f>'2024'!N22</f>
        <v>0</v>
      </c>
      <c r="BM22" s="734">
        <f>'2025'!N22</f>
        <v>0</v>
      </c>
      <c r="BN22" s="424" t="s">
        <v>21</v>
      </c>
      <c r="BO22" s="425" t="s">
        <v>21</v>
      </c>
      <c r="BP22" s="424" t="s">
        <v>21</v>
      </c>
      <c r="BQ22" s="425" t="s">
        <v>21</v>
      </c>
      <c r="BR22" s="426" t="s">
        <v>21</v>
      </c>
      <c r="BS22" s="427" t="s">
        <v>21</v>
      </c>
      <c r="BT22" s="426" t="s">
        <v>21</v>
      </c>
      <c r="BU22" s="428" t="s">
        <v>21</v>
      </c>
      <c r="CC22" s="1" t="str">
        <f t="shared" si="30"/>
        <v/>
      </c>
      <c r="CD22" s="1" t="str">
        <f t="shared" si="31"/>
        <v/>
      </c>
      <c r="CE22" s="1" t="str">
        <f t="shared" si="32"/>
        <v>France</v>
      </c>
      <c r="CF22" s="1" t="str">
        <f t="shared" si="33"/>
        <v/>
      </c>
      <c r="CG22" s="1" t="str">
        <f t="shared" si="34"/>
        <v/>
      </c>
      <c r="CH22" s="1" t="str">
        <f t="shared" si="35"/>
        <v/>
      </c>
    </row>
    <row r="23" spans="2:86" ht="15" customHeight="1" x14ac:dyDescent="0.3">
      <c r="B23" s="773"/>
      <c r="C23" s="845"/>
      <c r="D23" s="819"/>
      <c r="E23" s="822"/>
      <c r="F23" s="822"/>
      <c r="G23" s="822"/>
      <c r="H23" s="822"/>
      <c r="I23" s="825"/>
      <c r="J23" s="721" t="s">
        <v>192</v>
      </c>
      <c r="K23" s="400" t="str">
        <f t="shared" si="106"/>
        <v/>
      </c>
      <c r="L23" s="400" t="str">
        <f t="shared" si="107"/>
        <v/>
      </c>
      <c r="M23" s="400" t="str">
        <f t="shared" si="108"/>
        <v>X</v>
      </c>
      <c r="N23" s="400" t="str">
        <f t="shared" si="109"/>
        <v/>
      </c>
      <c r="O23" s="400" t="str">
        <f t="shared" si="110"/>
        <v/>
      </c>
      <c r="P23" s="401" t="str">
        <f t="shared" si="111"/>
        <v/>
      </c>
      <c r="Q23" s="237" t="s">
        <v>60</v>
      </c>
      <c r="R23" s="583">
        <f>'2020'!G23</f>
        <v>0</v>
      </c>
      <c r="S23" s="584">
        <f>'2021'!G23</f>
        <v>0</v>
      </c>
      <c r="T23" s="584">
        <f>'2022'!G23</f>
        <v>19</v>
      </c>
      <c r="U23" s="584">
        <f>'2023'!G23</f>
        <v>0</v>
      </c>
      <c r="V23" s="584">
        <f>'2024'!G23</f>
        <v>0</v>
      </c>
      <c r="W23" s="585">
        <f>'2025'!G23</f>
        <v>0</v>
      </c>
      <c r="X23" s="624">
        <f>'2020'!H23</f>
        <v>0</v>
      </c>
      <c r="Y23" s="598">
        <f>'2021'!H23</f>
        <v>0</v>
      </c>
      <c r="Z23" s="598">
        <f>'2022'!H23</f>
        <v>19</v>
      </c>
      <c r="AA23" s="598">
        <f>'2023'!H23</f>
        <v>0</v>
      </c>
      <c r="AB23" s="598">
        <f>'2024'!H23</f>
        <v>0</v>
      </c>
      <c r="AC23" s="599">
        <f>'2025'!H23</f>
        <v>0</v>
      </c>
      <c r="AD23" s="647">
        <f t="shared" si="4"/>
        <v>0</v>
      </c>
      <c r="AE23" s="648">
        <f t="shared" si="5"/>
        <v>0</v>
      </c>
      <c r="AF23" s="648">
        <f t="shared" si="6"/>
        <v>0.21052631578947367</v>
      </c>
      <c r="AG23" s="648">
        <f t="shared" si="7"/>
        <v>0</v>
      </c>
      <c r="AH23" s="648">
        <f t="shared" si="8"/>
        <v>0</v>
      </c>
      <c r="AI23" s="649">
        <f t="shared" si="9"/>
        <v>0</v>
      </c>
      <c r="AJ23" s="624">
        <f>'2020'!J23</f>
        <v>0</v>
      </c>
      <c r="AK23" s="598">
        <f>'2021'!J23</f>
        <v>0</v>
      </c>
      <c r="AL23" s="598">
        <f>'2022'!J23</f>
        <v>4</v>
      </c>
      <c r="AM23" s="598">
        <f>'2023'!J23</f>
        <v>0</v>
      </c>
      <c r="AN23" s="598">
        <f>'2024'!J23</f>
        <v>0</v>
      </c>
      <c r="AO23" s="599">
        <f>'2025'!J23</f>
        <v>0</v>
      </c>
      <c r="AP23" s="647" t="str">
        <f t="shared" si="28"/>
        <v/>
      </c>
      <c r="AQ23" s="648" t="str">
        <f t="shared" si="11"/>
        <v/>
      </c>
      <c r="AR23" s="648">
        <f t="shared" si="12"/>
        <v>0.31578947368421051</v>
      </c>
      <c r="AS23" s="648" t="str">
        <f t="shared" si="13"/>
        <v/>
      </c>
      <c r="AT23" s="648" t="str">
        <f t="shared" si="14"/>
        <v/>
      </c>
      <c r="AU23" s="649" t="str">
        <f t="shared" si="15"/>
        <v/>
      </c>
      <c r="AV23" s="624">
        <f>'2020'!L23</f>
        <v>0</v>
      </c>
      <c r="AW23" s="598">
        <f>'2021'!L23</f>
        <v>0</v>
      </c>
      <c r="AX23" s="598">
        <f>'2022'!L23</f>
        <v>6</v>
      </c>
      <c r="AY23" s="598">
        <f>'2023'!L23</f>
        <v>0</v>
      </c>
      <c r="AZ23" s="598">
        <f>'2024'!L23</f>
        <v>0</v>
      </c>
      <c r="BA23" s="599">
        <f>'2025'!L23</f>
        <v>0</v>
      </c>
      <c r="BB23" s="421" t="str">
        <f t="shared" si="29"/>
        <v/>
      </c>
      <c r="BC23" s="422" t="str">
        <f t="shared" si="16"/>
        <v/>
      </c>
      <c r="BD23" s="422">
        <f t="shared" si="17"/>
        <v>0.16666666666666666</v>
      </c>
      <c r="BE23" s="422" t="str">
        <f t="shared" si="18"/>
        <v/>
      </c>
      <c r="BF23" s="422" t="str">
        <f t="shared" si="19"/>
        <v/>
      </c>
      <c r="BG23" s="423" t="str">
        <f t="shared" si="20"/>
        <v/>
      </c>
      <c r="BH23" s="732" t="str">
        <f>'2020'!N23</f>
        <v>-</v>
      </c>
      <c r="BI23" s="733" t="str">
        <f>'2021'!N23</f>
        <v>-</v>
      </c>
      <c r="BJ23" s="733">
        <f>'2022'!N23</f>
        <v>1</v>
      </c>
      <c r="BK23" s="733">
        <f>'2023'!N23</f>
        <v>0</v>
      </c>
      <c r="BL23" s="733">
        <f>'2024'!N23</f>
        <v>0</v>
      </c>
      <c r="BM23" s="734">
        <f>'2025'!N23</f>
        <v>0</v>
      </c>
      <c r="BN23" s="424" t="s">
        <v>21</v>
      </c>
      <c r="BO23" s="425" t="s">
        <v>21</v>
      </c>
      <c r="BP23" s="424" t="s">
        <v>21</v>
      </c>
      <c r="BQ23" s="425" t="s">
        <v>21</v>
      </c>
      <c r="BR23" s="426" t="s">
        <v>21</v>
      </c>
      <c r="BS23" s="427" t="s">
        <v>21</v>
      </c>
      <c r="BT23" s="426" t="s">
        <v>21</v>
      </c>
      <c r="BU23" s="428" t="s">
        <v>21</v>
      </c>
      <c r="CC23" s="1" t="str">
        <f t="shared" si="30"/>
        <v/>
      </c>
      <c r="CD23" s="1" t="str">
        <f t="shared" si="31"/>
        <v/>
      </c>
      <c r="CE23" s="1" t="str">
        <f t="shared" si="32"/>
        <v>France</v>
      </c>
      <c r="CF23" s="1" t="str">
        <f t="shared" si="33"/>
        <v/>
      </c>
      <c r="CG23" s="1" t="str">
        <f t="shared" si="34"/>
        <v/>
      </c>
      <c r="CH23" s="1" t="str">
        <f t="shared" si="35"/>
        <v/>
      </c>
    </row>
    <row r="24" spans="2:86" ht="15" customHeight="1" x14ac:dyDescent="0.3">
      <c r="B24" s="773"/>
      <c r="C24" s="845"/>
      <c r="D24" s="819"/>
      <c r="E24" s="822"/>
      <c r="F24" s="822"/>
      <c r="G24" s="822"/>
      <c r="H24" s="822"/>
      <c r="I24" s="825"/>
      <c r="J24" s="721" t="s">
        <v>193</v>
      </c>
      <c r="K24" s="400" t="str">
        <f t="shared" si="106"/>
        <v/>
      </c>
      <c r="L24" s="400" t="str">
        <f t="shared" si="107"/>
        <v/>
      </c>
      <c r="M24" s="400" t="str">
        <f t="shared" si="108"/>
        <v>X</v>
      </c>
      <c r="N24" s="400" t="str">
        <f t="shared" si="109"/>
        <v/>
      </c>
      <c r="O24" s="400" t="str">
        <f t="shared" si="110"/>
        <v/>
      </c>
      <c r="P24" s="401" t="str">
        <f t="shared" si="111"/>
        <v/>
      </c>
      <c r="Q24" s="237" t="s">
        <v>60</v>
      </c>
      <c r="R24" s="583">
        <f>'2020'!G24</f>
        <v>0</v>
      </c>
      <c r="S24" s="584">
        <f>'2021'!G24</f>
        <v>0</v>
      </c>
      <c r="T24" s="584">
        <f>'2022'!G24</f>
        <v>24</v>
      </c>
      <c r="U24" s="584">
        <f>'2023'!G24</f>
        <v>0</v>
      </c>
      <c r="V24" s="584">
        <f>'2024'!G24</f>
        <v>0</v>
      </c>
      <c r="W24" s="585">
        <f>'2025'!G24</f>
        <v>0</v>
      </c>
      <c r="X24" s="624">
        <f>'2020'!H24</f>
        <v>0</v>
      </c>
      <c r="Y24" s="598">
        <f>'2021'!H24</f>
        <v>0</v>
      </c>
      <c r="Z24" s="598">
        <f>'2022'!H24</f>
        <v>24</v>
      </c>
      <c r="AA24" s="598">
        <f>'2023'!H24</f>
        <v>0</v>
      </c>
      <c r="AB24" s="598">
        <f>'2024'!H24</f>
        <v>0</v>
      </c>
      <c r="AC24" s="599">
        <f>'2025'!H24</f>
        <v>0</v>
      </c>
      <c r="AD24" s="647">
        <f t="shared" si="4"/>
        <v>0</v>
      </c>
      <c r="AE24" s="648">
        <f t="shared" si="5"/>
        <v>0</v>
      </c>
      <c r="AF24" s="648">
        <f t="shared" si="6"/>
        <v>0.29166666666666669</v>
      </c>
      <c r="AG24" s="648">
        <f t="shared" si="7"/>
        <v>0</v>
      </c>
      <c r="AH24" s="648">
        <f t="shared" si="8"/>
        <v>0</v>
      </c>
      <c r="AI24" s="649">
        <f t="shared" si="9"/>
        <v>0</v>
      </c>
      <c r="AJ24" s="624">
        <f>'2020'!J24</f>
        <v>0</v>
      </c>
      <c r="AK24" s="598">
        <f>'2021'!J24</f>
        <v>0</v>
      </c>
      <c r="AL24" s="598">
        <f>'2022'!J24</f>
        <v>7</v>
      </c>
      <c r="AM24" s="598">
        <f>'2023'!J24</f>
        <v>0</v>
      </c>
      <c r="AN24" s="598">
        <f>'2024'!J24</f>
        <v>0</v>
      </c>
      <c r="AO24" s="599">
        <f>'2025'!J24</f>
        <v>0</v>
      </c>
      <c r="AP24" s="647" t="str">
        <f t="shared" si="28"/>
        <v/>
      </c>
      <c r="AQ24" s="648" t="str">
        <f t="shared" si="11"/>
        <v/>
      </c>
      <c r="AR24" s="648">
        <f t="shared" si="12"/>
        <v>0.54166666666666663</v>
      </c>
      <c r="AS24" s="648" t="str">
        <f t="shared" si="13"/>
        <v/>
      </c>
      <c r="AT24" s="648" t="str">
        <f t="shared" si="14"/>
        <v/>
      </c>
      <c r="AU24" s="649" t="str">
        <f t="shared" si="15"/>
        <v/>
      </c>
      <c r="AV24" s="624">
        <f>'2020'!L24</f>
        <v>0</v>
      </c>
      <c r="AW24" s="598">
        <f>'2021'!L24</f>
        <v>0</v>
      </c>
      <c r="AX24" s="598">
        <f>'2022'!L24</f>
        <v>13</v>
      </c>
      <c r="AY24" s="598">
        <f>'2023'!L24</f>
        <v>0</v>
      </c>
      <c r="AZ24" s="598">
        <f>'2024'!L24</f>
        <v>0</v>
      </c>
      <c r="BA24" s="599">
        <f>'2025'!L24</f>
        <v>0</v>
      </c>
      <c r="BB24" s="421" t="str">
        <f t="shared" si="29"/>
        <v/>
      </c>
      <c r="BC24" s="422" t="str">
        <f t="shared" si="16"/>
        <v/>
      </c>
      <c r="BD24" s="422">
        <f t="shared" si="17"/>
        <v>0.46153846153846156</v>
      </c>
      <c r="BE24" s="422" t="str">
        <f t="shared" si="18"/>
        <v/>
      </c>
      <c r="BF24" s="422" t="str">
        <f t="shared" si="19"/>
        <v/>
      </c>
      <c r="BG24" s="423" t="str">
        <f t="shared" si="20"/>
        <v/>
      </c>
      <c r="BH24" s="732" t="str">
        <f>'2020'!N24</f>
        <v>-</v>
      </c>
      <c r="BI24" s="733" t="str">
        <f>'2021'!N24</f>
        <v>-</v>
      </c>
      <c r="BJ24" s="733">
        <f>'2022'!N24</f>
        <v>6</v>
      </c>
      <c r="BK24" s="733">
        <f>'2023'!N24</f>
        <v>0</v>
      </c>
      <c r="BL24" s="733">
        <f>'2024'!N24</f>
        <v>0</v>
      </c>
      <c r="BM24" s="734">
        <f>'2025'!N24</f>
        <v>0</v>
      </c>
      <c r="BN24" s="424" t="s">
        <v>21</v>
      </c>
      <c r="BO24" s="425" t="s">
        <v>21</v>
      </c>
      <c r="BP24" s="424" t="s">
        <v>21</v>
      </c>
      <c r="BQ24" s="425" t="s">
        <v>21</v>
      </c>
      <c r="BR24" s="426" t="s">
        <v>21</v>
      </c>
      <c r="BS24" s="427" t="s">
        <v>21</v>
      </c>
      <c r="BT24" s="426" t="s">
        <v>21</v>
      </c>
      <c r="BU24" s="428" t="s">
        <v>21</v>
      </c>
      <c r="CC24" s="1" t="str">
        <f t="shared" si="30"/>
        <v/>
      </c>
      <c r="CD24" s="1" t="str">
        <f t="shared" si="31"/>
        <v/>
      </c>
      <c r="CE24" s="1" t="str">
        <f t="shared" si="32"/>
        <v>France</v>
      </c>
      <c r="CF24" s="1" t="str">
        <f t="shared" si="33"/>
        <v/>
      </c>
      <c r="CG24" s="1" t="str">
        <f t="shared" si="34"/>
        <v/>
      </c>
      <c r="CH24" s="1" t="str">
        <f t="shared" si="35"/>
        <v/>
      </c>
    </row>
    <row r="25" spans="2:86" ht="15" customHeight="1" x14ac:dyDescent="0.3">
      <c r="B25" s="773"/>
      <c r="C25" s="845"/>
      <c r="D25" s="819"/>
      <c r="E25" s="822"/>
      <c r="F25" s="822"/>
      <c r="G25" s="822"/>
      <c r="H25" s="822"/>
      <c r="I25" s="825"/>
      <c r="J25" s="721" t="s">
        <v>194</v>
      </c>
      <c r="K25" s="400" t="str">
        <f t="shared" si="106"/>
        <v/>
      </c>
      <c r="L25" s="400" t="str">
        <f t="shared" si="107"/>
        <v/>
      </c>
      <c r="M25" s="400" t="str">
        <f t="shared" si="108"/>
        <v>X</v>
      </c>
      <c r="N25" s="400" t="str">
        <f t="shared" si="109"/>
        <v/>
      </c>
      <c r="O25" s="400" t="str">
        <f t="shared" si="110"/>
        <v/>
      </c>
      <c r="P25" s="401" t="str">
        <f t="shared" si="111"/>
        <v/>
      </c>
      <c r="Q25" s="237" t="s">
        <v>60</v>
      </c>
      <c r="R25" s="583">
        <f>'2020'!G25</f>
        <v>0</v>
      </c>
      <c r="S25" s="584">
        <f>'2021'!G25</f>
        <v>0</v>
      </c>
      <c r="T25" s="584">
        <f>'2022'!G25</f>
        <v>101</v>
      </c>
      <c r="U25" s="584">
        <f>'2023'!G25</f>
        <v>0</v>
      </c>
      <c r="V25" s="584">
        <f>'2024'!G25</f>
        <v>0</v>
      </c>
      <c r="W25" s="585">
        <f>'2025'!G25</f>
        <v>0</v>
      </c>
      <c r="X25" s="624">
        <f>'2020'!H25</f>
        <v>0</v>
      </c>
      <c r="Y25" s="598">
        <f>'2021'!H25</f>
        <v>0</v>
      </c>
      <c r="Z25" s="598">
        <f>'2022'!H25</f>
        <v>101</v>
      </c>
      <c r="AA25" s="598">
        <f>'2023'!H25</f>
        <v>0</v>
      </c>
      <c r="AB25" s="598">
        <f>'2024'!H25</f>
        <v>0</v>
      </c>
      <c r="AC25" s="599">
        <f>'2025'!H25</f>
        <v>0</v>
      </c>
      <c r="AD25" s="647">
        <f t="shared" si="4"/>
        <v>0</v>
      </c>
      <c r="AE25" s="648">
        <f t="shared" si="5"/>
        <v>0</v>
      </c>
      <c r="AF25" s="648">
        <f t="shared" si="6"/>
        <v>0.14851485148514851</v>
      </c>
      <c r="AG25" s="648">
        <f t="shared" si="7"/>
        <v>0</v>
      </c>
      <c r="AH25" s="648">
        <f t="shared" si="8"/>
        <v>0</v>
      </c>
      <c r="AI25" s="649">
        <f t="shared" si="9"/>
        <v>0</v>
      </c>
      <c r="AJ25" s="624">
        <f>'2020'!J25</f>
        <v>0</v>
      </c>
      <c r="AK25" s="598">
        <f>'2021'!J25</f>
        <v>0</v>
      </c>
      <c r="AL25" s="598">
        <f>'2022'!J25</f>
        <v>15</v>
      </c>
      <c r="AM25" s="598">
        <f>'2023'!J25</f>
        <v>0</v>
      </c>
      <c r="AN25" s="598">
        <f>'2024'!J25</f>
        <v>0</v>
      </c>
      <c r="AO25" s="599">
        <f>'2025'!J25</f>
        <v>0</v>
      </c>
      <c r="AP25" s="647" t="str">
        <f t="shared" si="28"/>
        <v/>
      </c>
      <c r="AQ25" s="648" t="str">
        <f t="shared" si="11"/>
        <v/>
      </c>
      <c r="AR25" s="648">
        <f t="shared" si="12"/>
        <v>0.39603960396039606</v>
      </c>
      <c r="AS25" s="648" t="str">
        <f t="shared" si="13"/>
        <v/>
      </c>
      <c r="AT25" s="648" t="str">
        <f t="shared" si="14"/>
        <v/>
      </c>
      <c r="AU25" s="649" t="str">
        <f t="shared" si="15"/>
        <v/>
      </c>
      <c r="AV25" s="624">
        <f>'2020'!L25</f>
        <v>0</v>
      </c>
      <c r="AW25" s="598">
        <f>'2021'!L25</f>
        <v>0</v>
      </c>
      <c r="AX25" s="598">
        <f>'2022'!L25</f>
        <v>40</v>
      </c>
      <c r="AY25" s="598">
        <f>'2023'!L25</f>
        <v>0</v>
      </c>
      <c r="AZ25" s="598">
        <f>'2024'!L25</f>
        <v>0</v>
      </c>
      <c r="BA25" s="599">
        <f>'2025'!L25</f>
        <v>0</v>
      </c>
      <c r="BB25" s="421" t="str">
        <f t="shared" si="29"/>
        <v/>
      </c>
      <c r="BC25" s="422" t="str">
        <f t="shared" si="16"/>
        <v/>
      </c>
      <c r="BD25" s="422">
        <f t="shared" si="17"/>
        <v>0.22500000000000001</v>
      </c>
      <c r="BE25" s="422" t="str">
        <f t="shared" si="18"/>
        <v/>
      </c>
      <c r="BF25" s="422" t="str">
        <f t="shared" si="19"/>
        <v/>
      </c>
      <c r="BG25" s="423" t="str">
        <f t="shared" si="20"/>
        <v/>
      </c>
      <c r="BH25" s="732" t="str">
        <f>'2020'!N25</f>
        <v>-</v>
      </c>
      <c r="BI25" s="733" t="str">
        <f>'2021'!N25</f>
        <v>-</v>
      </c>
      <c r="BJ25" s="733">
        <f>'2022'!N25</f>
        <v>9</v>
      </c>
      <c r="BK25" s="733">
        <f>'2023'!N25</f>
        <v>0</v>
      </c>
      <c r="BL25" s="733">
        <f>'2024'!N25</f>
        <v>0</v>
      </c>
      <c r="BM25" s="734">
        <f>'2025'!N25</f>
        <v>0</v>
      </c>
      <c r="BN25" s="424" t="s">
        <v>21</v>
      </c>
      <c r="BO25" s="425" t="s">
        <v>21</v>
      </c>
      <c r="BP25" s="424" t="s">
        <v>21</v>
      </c>
      <c r="BQ25" s="425" t="s">
        <v>21</v>
      </c>
      <c r="BR25" s="426" t="s">
        <v>21</v>
      </c>
      <c r="BS25" s="427" t="s">
        <v>21</v>
      </c>
      <c r="BT25" s="426" t="s">
        <v>21</v>
      </c>
      <c r="BU25" s="428" t="s">
        <v>21</v>
      </c>
      <c r="CC25" s="1" t="str">
        <f t="shared" si="30"/>
        <v/>
      </c>
      <c r="CD25" s="1" t="str">
        <f t="shared" si="31"/>
        <v/>
      </c>
      <c r="CE25" s="1" t="str">
        <f t="shared" si="32"/>
        <v>France</v>
      </c>
      <c r="CF25" s="1" t="str">
        <f t="shared" si="33"/>
        <v/>
      </c>
      <c r="CG25" s="1" t="str">
        <f t="shared" si="34"/>
        <v/>
      </c>
      <c r="CH25" s="1" t="str">
        <f t="shared" si="35"/>
        <v/>
      </c>
    </row>
    <row r="26" spans="2:86" ht="15" customHeight="1" x14ac:dyDescent="0.3">
      <c r="B26" s="773"/>
      <c r="C26" s="845"/>
      <c r="D26" s="819"/>
      <c r="E26" s="822"/>
      <c r="F26" s="822"/>
      <c r="G26" s="822"/>
      <c r="H26" s="822"/>
      <c r="I26" s="825"/>
      <c r="J26" s="721" t="s">
        <v>195</v>
      </c>
      <c r="K26" s="400" t="str">
        <f t="shared" si="106"/>
        <v/>
      </c>
      <c r="L26" s="400" t="str">
        <f t="shared" si="107"/>
        <v/>
      </c>
      <c r="M26" s="400" t="str">
        <f t="shared" si="108"/>
        <v>X</v>
      </c>
      <c r="N26" s="400" t="str">
        <f t="shared" si="109"/>
        <v/>
      </c>
      <c r="O26" s="400" t="str">
        <f t="shared" si="110"/>
        <v/>
      </c>
      <c r="P26" s="401" t="str">
        <f t="shared" si="111"/>
        <v/>
      </c>
      <c r="Q26" s="237" t="s">
        <v>60</v>
      </c>
      <c r="R26" s="583">
        <f>'2020'!G26</f>
        <v>0</v>
      </c>
      <c r="S26" s="584">
        <f>'2021'!G26</f>
        <v>0</v>
      </c>
      <c r="T26" s="584">
        <f>'2022'!G26</f>
        <v>25</v>
      </c>
      <c r="U26" s="584">
        <f>'2023'!G26</f>
        <v>0</v>
      </c>
      <c r="V26" s="584">
        <f>'2024'!G26</f>
        <v>0</v>
      </c>
      <c r="W26" s="585">
        <f>'2025'!G26</f>
        <v>0</v>
      </c>
      <c r="X26" s="624">
        <f>'2020'!H26</f>
        <v>0</v>
      </c>
      <c r="Y26" s="598">
        <f>'2021'!H26</f>
        <v>0</v>
      </c>
      <c r="Z26" s="598">
        <f>'2022'!H26</f>
        <v>25</v>
      </c>
      <c r="AA26" s="598">
        <f>'2023'!H26</f>
        <v>0</v>
      </c>
      <c r="AB26" s="598">
        <f>'2024'!H26</f>
        <v>0</v>
      </c>
      <c r="AC26" s="599">
        <f>'2025'!H26</f>
        <v>0</v>
      </c>
      <c r="AD26" s="647">
        <f t="shared" si="4"/>
        <v>0</v>
      </c>
      <c r="AE26" s="648">
        <f t="shared" si="5"/>
        <v>0</v>
      </c>
      <c r="AF26" s="648">
        <f t="shared" si="6"/>
        <v>0.28000000000000003</v>
      </c>
      <c r="AG26" s="648">
        <f t="shared" si="7"/>
        <v>0</v>
      </c>
      <c r="AH26" s="648">
        <f t="shared" si="8"/>
        <v>0</v>
      </c>
      <c r="AI26" s="649">
        <f t="shared" si="9"/>
        <v>0</v>
      </c>
      <c r="AJ26" s="624">
        <f>'2020'!J26</f>
        <v>0</v>
      </c>
      <c r="AK26" s="598">
        <f>'2021'!J26</f>
        <v>0</v>
      </c>
      <c r="AL26" s="598">
        <f>'2022'!J26</f>
        <v>7</v>
      </c>
      <c r="AM26" s="598">
        <f>'2023'!J26</f>
        <v>0</v>
      </c>
      <c r="AN26" s="598">
        <f>'2024'!J26</f>
        <v>0</v>
      </c>
      <c r="AO26" s="599">
        <f>'2025'!J26</f>
        <v>0</v>
      </c>
      <c r="AP26" s="647" t="str">
        <f t="shared" si="28"/>
        <v/>
      </c>
      <c r="AQ26" s="648" t="str">
        <f t="shared" si="11"/>
        <v/>
      </c>
      <c r="AR26" s="648">
        <f t="shared" si="12"/>
        <v>0.24</v>
      </c>
      <c r="AS26" s="648" t="str">
        <f t="shared" si="13"/>
        <v/>
      </c>
      <c r="AT26" s="648" t="str">
        <f t="shared" si="14"/>
        <v/>
      </c>
      <c r="AU26" s="649" t="str">
        <f t="shared" si="15"/>
        <v/>
      </c>
      <c r="AV26" s="624">
        <f>'2020'!L26</f>
        <v>0</v>
      </c>
      <c r="AW26" s="598">
        <f>'2021'!L26</f>
        <v>0</v>
      </c>
      <c r="AX26" s="598">
        <f>'2022'!L26</f>
        <v>6</v>
      </c>
      <c r="AY26" s="598">
        <f>'2023'!L26</f>
        <v>0</v>
      </c>
      <c r="AZ26" s="598">
        <f>'2024'!L26</f>
        <v>0</v>
      </c>
      <c r="BA26" s="599">
        <f>'2025'!L26</f>
        <v>0</v>
      </c>
      <c r="BB26" s="421" t="str">
        <f t="shared" si="29"/>
        <v/>
      </c>
      <c r="BC26" s="422" t="str">
        <f t="shared" si="16"/>
        <v/>
      </c>
      <c r="BD26" s="422">
        <f t="shared" si="17"/>
        <v>0.66666666666666663</v>
      </c>
      <c r="BE26" s="422" t="str">
        <f t="shared" si="18"/>
        <v/>
      </c>
      <c r="BF26" s="422" t="str">
        <f t="shared" si="19"/>
        <v/>
      </c>
      <c r="BG26" s="423" t="str">
        <f t="shared" si="20"/>
        <v/>
      </c>
      <c r="BH26" s="732" t="str">
        <f>'2020'!N26</f>
        <v>-</v>
      </c>
      <c r="BI26" s="733" t="str">
        <f>'2021'!N26</f>
        <v>-</v>
      </c>
      <c r="BJ26" s="733">
        <f>'2022'!N26</f>
        <v>4</v>
      </c>
      <c r="BK26" s="733">
        <f>'2023'!N26</f>
        <v>0</v>
      </c>
      <c r="BL26" s="733">
        <f>'2024'!N26</f>
        <v>0</v>
      </c>
      <c r="BM26" s="734">
        <f>'2025'!N26</f>
        <v>0</v>
      </c>
      <c r="BN26" s="424" t="s">
        <v>21</v>
      </c>
      <c r="BO26" s="425" t="s">
        <v>21</v>
      </c>
      <c r="BP26" s="424" t="s">
        <v>21</v>
      </c>
      <c r="BQ26" s="425" t="s">
        <v>21</v>
      </c>
      <c r="BR26" s="426" t="s">
        <v>21</v>
      </c>
      <c r="BS26" s="427" t="s">
        <v>21</v>
      </c>
      <c r="BT26" s="426" t="s">
        <v>21</v>
      </c>
      <c r="BU26" s="428" t="s">
        <v>21</v>
      </c>
      <c r="CC26" s="1" t="str">
        <f t="shared" si="30"/>
        <v/>
      </c>
      <c r="CD26" s="1" t="str">
        <f t="shared" si="31"/>
        <v/>
      </c>
      <c r="CE26" s="1" t="str">
        <f t="shared" si="32"/>
        <v>France</v>
      </c>
      <c r="CF26" s="1" t="str">
        <f t="shared" si="33"/>
        <v/>
      </c>
      <c r="CG26" s="1" t="str">
        <f t="shared" si="34"/>
        <v/>
      </c>
      <c r="CH26" s="1" t="str">
        <f t="shared" si="35"/>
        <v/>
      </c>
    </row>
    <row r="27" spans="2:86" ht="15" customHeight="1" x14ac:dyDescent="0.3">
      <c r="B27" s="773"/>
      <c r="C27" s="845"/>
      <c r="D27" s="819"/>
      <c r="E27" s="822"/>
      <c r="F27" s="822"/>
      <c r="G27" s="822"/>
      <c r="H27" s="822"/>
      <c r="I27" s="825"/>
      <c r="J27" s="721" t="s">
        <v>196</v>
      </c>
      <c r="K27" s="400" t="str">
        <f t="shared" si="106"/>
        <v/>
      </c>
      <c r="L27" s="400" t="str">
        <f t="shared" si="107"/>
        <v/>
      </c>
      <c r="M27" s="400" t="str">
        <f t="shared" si="108"/>
        <v>X</v>
      </c>
      <c r="N27" s="400" t="str">
        <f t="shared" si="109"/>
        <v/>
      </c>
      <c r="O27" s="400" t="str">
        <f t="shared" si="110"/>
        <v/>
      </c>
      <c r="P27" s="401" t="str">
        <f t="shared" si="111"/>
        <v/>
      </c>
      <c r="Q27" s="237" t="s">
        <v>60</v>
      </c>
      <c r="R27" s="583">
        <f>'2020'!G27</f>
        <v>0</v>
      </c>
      <c r="S27" s="584">
        <f>'2021'!G27</f>
        <v>0</v>
      </c>
      <c r="T27" s="584">
        <f>'2022'!G27</f>
        <v>45</v>
      </c>
      <c r="U27" s="584">
        <f>'2023'!G27</f>
        <v>0</v>
      </c>
      <c r="V27" s="584">
        <f>'2024'!G27</f>
        <v>0</v>
      </c>
      <c r="W27" s="585">
        <f>'2025'!G27</f>
        <v>0</v>
      </c>
      <c r="X27" s="624">
        <f>'2020'!H27</f>
        <v>0</v>
      </c>
      <c r="Y27" s="598">
        <f>'2021'!H27</f>
        <v>0</v>
      </c>
      <c r="Z27" s="598">
        <f>'2022'!H27</f>
        <v>45</v>
      </c>
      <c r="AA27" s="598">
        <f>'2023'!H27</f>
        <v>0</v>
      </c>
      <c r="AB27" s="598">
        <f>'2024'!H27</f>
        <v>0</v>
      </c>
      <c r="AC27" s="599">
        <f>'2025'!H27</f>
        <v>0</v>
      </c>
      <c r="AD27" s="647">
        <f t="shared" si="4"/>
        <v>0</v>
      </c>
      <c r="AE27" s="648">
        <f t="shared" si="5"/>
        <v>0</v>
      </c>
      <c r="AF27" s="648">
        <f t="shared" si="6"/>
        <v>0.4</v>
      </c>
      <c r="AG27" s="648">
        <f t="shared" si="7"/>
        <v>0</v>
      </c>
      <c r="AH27" s="648">
        <f t="shared" si="8"/>
        <v>0</v>
      </c>
      <c r="AI27" s="649">
        <f t="shared" si="9"/>
        <v>0</v>
      </c>
      <c r="AJ27" s="624">
        <f>'2020'!J27</f>
        <v>0</v>
      </c>
      <c r="AK27" s="598">
        <f>'2021'!J27</f>
        <v>0</v>
      </c>
      <c r="AL27" s="598">
        <f>'2022'!J27</f>
        <v>18</v>
      </c>
      <c r="AM27" s="598">
        <f>'2023'!J27</f>
        <v>0</v>
      </c>
      <c r="AN27" s="598">
        <f>'2024'!J27</f>
        <v>0</v>
      </c>
      <c r="AO27" s="599">
        <f>'2025'!J27</f>
        <v>0</v>
      </c>
      <c r="AP27" s="647" t="str">
        <f t="shared" si="28"/>
        <v/>
      </c>
      <c r="AQ27" s="648" t="str">
        <f t="shared" si="11"/>
        <v/>
      </c>
      <c r="AR27" s="648">
        <f t="shared" si="12"/>
        <v>0.22222222222222221</v>
      </c>
      <c r="AS27" s="648" t="str">
        <f t="shared" si="13"/>
        <v/>
      </c>
      <c r="AT27" s="648" t="str">
        <f t="shared" si="14"/>
        <v/>
      </c>
      <c r="AU27" s="649" t="str">
        <f t="shared" si="15"/>
        <v/>
      </c>
      <c r="AV27" s="624">
        <f>'2020'!L27</f>
        <v>0</v>
      </c>
      <c r="AW27" s="598">
        <f>'2021'!L27</f>
        <v>0</v>
      </c>
      <c r="AX27" s="598">
        <f>'2022'!L27</f>
        <v>10</v>
      </c>
      <c r="AY27" s="598">
        <f>'2023'!L27</f>
        <v>0</v>
      </c>
      <c r="AZ27" s="598">
        <f>'2024'!L27</f>
        <v>0</v>
      </c>
      <c r="BA27" s="599">
        <f>'2025'!L27</f>
        <v>0</v>
      </c>
      <c r="BB27" s="421" t="str">
        <f t="shared" si="29"/>
        <v/>
      </c>
      <c r="BC27" s="422" t="str">
        <f t="shared" si="16"/>
        <v/>
      </c>
      <c r="BD27" s="422">
        <f t="shared" si="17"/>
        <v>0.6</v>
      </c>
      <c r="BE27" s="422" t="str">
        <f t="shared" si="18"/>
        <v/>
      </c>
      <c r="BF27" s="422" t="str">
        <f t="shared" si="19"/>
        <v/>
      </c>
      <c r="BG27" s="423" t="str">
        <f t="shared" si="20"/>
        <v/>
      </c>
      <c r="BH27" s="732" t="str">
        <f>'2020'!N27</f>
        <v>-</v>
      </c>
      <c r="BI27" s="733" t="str">
        <f>'2021'!N27</f>
        <v>-</v>
      </c>
      <c r="BJ27" s="733">
        <f>'2022'!N27</f>
        <v>6</v>
      </c>
      <c r="BK27" s="733">
        <f>'2023'!N27</f>
        <v>0</v>
      </c>
      <c r="BL27" s="733">
        <f>'2024'!N27</f>
        <v>0</v>
      </c>
      <c r="BM27" s="734">
        <f>'2025'!N27</f>
        <v>0</v>
      </c>
      <c r="BN27" s="424" t="s">
        <v>21</v>
      </c>
      <c r="BO27" s="425" t="s">
        <v>21</v>
      </c>
      <c r="BP27" s="424" t="s">
        <v>21</v>
      </c>
      <c r="BQ27" s="425" t="s">
        <v>21</v>
      </c>
      <c r="BR27" s="426" t="s">
        <v>21</v>
      </c>
      <c r="BS27" s="427" t="s">
        <v>21</v>
      </c>
      <c r="BT27" s="426" t="s">
        <v>21</v>
      </c>
      <c r="BU27" s="428" t="s">
        <v>21</v>
      </c>
      <c r="CC27" s="1" t="str">
        <f t="shared" si="30"/>
        <v/>
      </c>
      <c r="CD27" s="1" t="str">
        <f t="shared" si="31"/>
        <v/>
      </c>
      <c r="CE27" s="1" t="str">
        <f t="shared" si="32"/>
        <v>France</v>
      </c>
      <c r="CF27" s="1" t="str">
        <f t="shared" si="33"/>
        <v/>
      </c>
      <c r="CG27" s="1" t="str">
        <f t="shared" si="34"/>
        <v/>
      </c>
      <c r="CH27" s="1" t="str">
        <f t="shared" si="35"/>
        <v/>
      </c>
    </row>
    <row r="28" spans="2:86" ht="15" customHeight="1" x14ac:dyDescent="0.3">
      <c r="B28" s="773"/>
      <c r="C28" s="845"/>
      <c r="D28" s="819"/>
      <c r="E28" s="822"/>
      <c r="F28" s="822"/>
      <c r="G28" s="822"/>
      <c r="H28" s="822"/>
      <c r="I28" s="825"/>
      <c r="J28" s="721" t="s">
        <v>197</v>
      </c>
      <c r="K28" s="400" t="str">
        <f t="shared" si="106"/>
        <v/>
      </c>
      <c r="L28" s="400" t="str">
        <f t="shared" si="107"/>
        <v/>
      </c>
      <c r="M28" s="400" t="str">
        <f t="shared" si="108"/>
        <v>X</v>
      </c>
      <c r="N28" s="400" t="str">
        <f t="shared" si="109"/>
        <v/>
      </c>
      <c r="O28" s="400" t="str">
        <f t="shared" si="110"/>
        <v/>
      </c>
      <c r="P28" s="401" t="str">
        <f t="shared" si="111"/>
        <v/>
      </c>
      <c r="Q28" s="237" t="s">
        <v>62</v>
      </c>
      <c r="R28" s="583">
        <f>'2020'!G28</f>
        <v>0</v>
      </c>
      <c r="S28" s="584">
        <f>'2021'!G28</f>
        <v>0</v>
      </c>
      <c r="T28" s="584">
        <f>'2022'!G28</f>
        <v>68</v>
      </c>
      <c r="U28" s="584">
        <f>'2023'!G28</f>
        <v>0</v>
      </c>
      <c r="V28" s="584">
        <f>'2024'!G28</f>
        <v>0</v>
      </c>
      <c r="W28" s="585">
        <f>'2025'!G28</f>
        <v>0</v>
      </c>
      <c r="X28" s="619">
        <f>'2020'!H28</f>
        <v>0</v>
      </c>
      <c r="Y28" s="584">
        <f>'2021'!H28</f>
        <v>0</v>
      </c>
      <c r="Z28" s="584">
        <f>'2022'!H28</f>
        <v>43</v>
      </c>
      <c r="AA28" s="584">
        <f>'2023'!H28</f>
        <v>0</v>
      </c>
      <c r="AB28" s="584">
        <f>'2024'!H28</f>
        <v>0</v>
      </c>
      <c r="AC28" s="585">
        <f>'2025'!H28</f>
        <v>0</v>
      </c>
      <c r="AD28" s="421">
        <f t="shared" si="4"/>
        <v>0</v>
      </c>
      <c r="AE28" s="422">
        <f t="shared" si="5"/>
        <v>0</v>
      </c>
      <c r="AF28" s="422">
        <f t="shared" si="6"/>
        <v>0.51470588235294112</v>
      </c>
      <c r="AG28" s="422">
        <f t="shared" si="7"/>
        <v>0</v>
      </c>
      <c r="AH28" s="422">
        <f t="shared" si="8"/>
        <v>0</v>
      </c>
      <c r="AI28" s="423">
        <f t="shared" si="9"/>
        <v>0</v>
      </c>
      <c r="AJ28" s="619">
        <f>'2020'!J28</f>
        <v>0</v>
      </c>
      <c r="AK28" s="584">
        <f>'2021'!J28</f>
        <v>0</v>
      </c>
      <c r="AL28" s="584">
        <f>'2022'!J28</f>
        <v>35</v>
      </c>
      <c r="AM28" s="584">
        <f>'2023'!J28</f>
        <v>0</v>
      </c>
      <c r="AN28" s="584">
        <f>'2024'!J28</f>
        <v>0</v>
      </c>
      <c r="AO28" s="585">
        <f>'2025'!J28</f>
        <v>0</v>
      </c>
      <c r="AP28" s="421" t="str">
        <f t="shared" si="28"/>
        <v/>
      </c>
      <c r="AQ28" s="422" t="str">
        <f t="shared" si="11"/>
        <v/>
      </c>
      <c r="AR28" s="422">
        <f t="shared" si="12"/>
        <v>0.44117647058823528</v>
      </c>
      <c r="AS28" s="422" t="str">
        <f t="shared" si="13"/>
        <v/>
      </c>
      <c r="AT28" s="422" t="str">
        <f t="shared" si="14"/>
        <v/>
      </c>
      <c r="AU28" s="423" t="str">
        <f t="shared" si="15"/>
        <v/>
      </c>
      <c r="AV28" s="619">
        <f>'2020'!L28</f>
        <v>0</v>
      </c>
      <c r="AW28" s="584">
        <f>'2021'!L28</f>
        <v>0</v>
      </c>
      <c r="AX28" s="584">
        <f>'2022'!L28</f>
        <v>30</v>
      </c>
      <c r="AY28" s="584">
        <f>'2023'!L28</f>
        <v>0</v>
      </c>
      <c r="AZ28" s="584">
        <f>'2024'!L28</f>
        <v>0</v>
      </c>
      <c r="BA28" s="585">
        <f>'2025'!L28</f>
        <v>0</v>
      </c>
      <c r="BB28" s="421" t="str">
        <f t="shared" si="29"/>
        <v/>
      </c>
      <c r="BC28" s="422" t="str">
        <f t="shared" si="16"/>
        <v/>
      </c>
      <c r="BD28" s="422">
        <f t="shared" si="17"/>
        <v>0.53333333333333333</v>
      </c>
      <c r="BE28" s="422" t="str">
        <f t="shared" si="18"/>
        <v/>
      </c>
      <c r="BF28" s="422" t="str">
        <f t="shared" si="19"/>
        <v/>
      </c>
      <c r="BG28" s="423" t="str">
        <f t="shared" si="20"/>
        <v/>
      </c>
      <c r="BH28" s="732" t="str">
        <f>'2020'!N28</f>
        <v>-</v>
      </c>
      <c r="BI28" s="733" t="str">
        <f>'2021'!N28</f>
        <v>-</v>
      </c>
      <c r="BJ28" s="733">
        <f>'2022'!N28</f>
        <v>16</v>
      </c>
      <c r="BK28" s="733">
        <f>'2023'!N28</f>
        <v>0</v>
      </c>
      <c r="BL28" s="733">
        <f>'2024'!N28</f>
        <v>0</v>
      </c>
      <c r="BM28" s="734">
        <f>'2025'!N28</f>
        <v>0</v>
      </c>
      <c r="BN28" s="424" t="s">
        <v>21</v>
      </c>
      <c r="BO28" s="425" t="s">
        <v>21</v>
      </c>
      <c r="BP28" s="424" t="s">
        <v>21</v>
      </c>
      <c r="BQ28" s="425" t="s">
        <v>21</v>
      </c>
      <c r="BR28" s="426" t="s">
        <v>21</v>
      </c>
      <c r="BS28" s="427" t="s">
        <v>21</v>
      </c>
      <c r="BT28" s="426" t="s">
        <v>21</v>
      </c>
      <c r="BU28" s="428" t="s">
        <v>21</v>
      </c>
      <c r="CC28" s="1" t="str">
        <f t="shared" si="30"/>
        <v/>
      </c>
      <c r="CD28" s="1" t="str">
        <f t="shared" si="31"/>
        <v/>
      </c>
      <c r="CE28" s="1" t="str">
        <f t="shared" si="32"/>
        <v>Frontière</v>
      </c>
      <c r="CF28" s="1" t="str">
        <f t="shared" si="33"/>
        <v/>
      </c>
      <c r="CG28" s="1" t="str">
        <f t="shared" si="34"/>
        <v/>
      </c>
      <c r="CH28" s="1" t="str">
        <f t="shared" si="35"/>
        <v/>
      </c>
    </row>
    <row r="29" spans="2:86" ht="15" customHeight="1" x14ac:dyDescent="0.3">
      <c r="B29" s="773"/>
      <c r="C29" s="845"/>
      <c r="D29" s="819"/>
      <c r="E29" s="822"/>
      <c r="F29" s="822"/>
      <c r="G29" s="822"/>
      <c r="H29" s="822"/>
      <c r="I29" s="825"/>
      <c r="J29" s="721" t="s">
        <v>166</v>
      </c>
      <c r="K29" s="400" t="str">
        <f t="shared" si="106"/>
        <v/>
      </c>
      <c r="L29" s="400" t="str">
        <f t="shared" si="107"/>
        <v/>
      </c>
      <c r="M29" s="400" t="str">
        <f t="shared" si="108"/>
        <v/>
      </c>
      <c r="N29" s="400" t="str">
        <f t="shared" si="109"/>
        <v/>
      </c>
      <c r="O29" s="400" t="str">
        <f t="shared" si="110"/>
        <v/>
      </c>
      <c r="P29" s="401" t="str">
        <f t="shared" si="111"/>
        <v/>
      </c>
      <c r="Q29" s="237"/>
      <c r="R29" s="583">
        <f>'2020'!G29</f>
        <v>0</v>
      </c>
      <c r="S29" s="584">
        <f>'2021'!G29</f>
        <v>0</v>
      </c>
      <c r="T29" s="584">
        <f>'2022'!G29</f>
        <v>0</v>
      </c>
      <c r="U29" s="584">
        <f>'2023'!G29</f>
        <v>0</v>
      </c>
      <c r="V29" s="584">
        <f>'2024'!G29</f>
        <v>0</v>
      </c>
      <c r="W29" s="585">
        <f>'2025'!G29</f>
        <v>0</v>
      </c>
      <c r="X29" s="619">
        <f>'2020'!H29</f>
        <v>0</v>
      </c>
      <c r="Y29" s="584">
        <f>'2021'!H29</f>
        <v>0</v>
      </c>
      <c r="Z29" s="584">
        <f>'2022'!H29</f>
        <v>0</v>
      </c>
      <c r="AA29" s="584">
        <f>'2023'!H29</f>
        <v>0</v>
      </c>
      <c r="AB29" s="584">
        <f>'2024'!H29</f>
        <v>0</v>
      </c>
      <c r="AC29" s="585">
        <f>'2025'!H29</f>
        <v>0</v>
      </c>
      <c r="AD29" s="421">
        <f t="shared" si="4"/>
        <v>0</v>
      </c>
      <c r="AE29" s="422">
        <f t="shared" si="5"/>
        <v>0</v>
      </c>
      <c r="AF29" s="422">
        <f t="shared" si="6"/>
        <v>0</v>
      </c>
      <c r="AG29" s="422">
        <f t="shared" si="7"/>
        <v>0</v>
      </c>
      <c r="AH29" s="422">
        <f t="shared" si="8"/>
        <v>0</v>
      </c>
      <c r="AI29" s="423">
        <f t="shared" si="9"/>
        <v>0</v>
      </c>
      <c r="AJ29" s="619">
        <f>'2020'!J29</f>
        <v>0</v>
      </c>
      <c r="AK29" s="584">
        <f>'2021'!J29</f>
        <v>0</v>
      </c>
      <c r="AL29" s="584">
        <f>'2022'!J29</f>
        <v>0</v>
      </c>
      <c r="AM29" s="584">
        <f>'2023'!J29</f>
        <v>0</v>
      </c>
      <c r="AN29" s="584">
        <f>'2024'!J29</f>
        <v>0</v>
      </c>
      <c r="AO29" s="585">
        <f>'2025'!J29</f>
        <v>0</v>
      </c>
      <c r="AP29" s="421" t="str">
        <f t="shared" si="28"/>
        <v/>
      </c>
      <c r="AQ29" s="422" t="str">
        <f t="shared" si="11"/>
        <v/>
      </c>
      <c r="AR29" s="422" t="str">
        <f t="shared" si="12"/>
        <v/>
      </c>
      <c r="AS29" s="422" t="str">
        <f t="shared" si="13"/>
        <v/>
      </c>
      <c r="AT29" s="422" t="str">
        <f t="shared" si="14"/>
        <v/>
      </c>
      <c r="AU29" s="423" t="str">
        <f t="shared" si="15"/>
        <v/>
      </c>
      <c r="AV29" s="619">
        <f>'2020'!L29</f>
        <v>0</v>
      </c>
      <c r="AW29" s="584">
        <f>'2021'!L29</f>
        <v>0</v>
      </c>
      <c r="AX29" s="584">
        <f>'2022'!L29</f>
        <v>0</v>
      </c>
      <c r="AY29" s="584">
        <f>'2023'!L29</f>
        <v>0</v>
      </c>
      <c r="AZ29" s="584">
        <f>'2024'!L29</f>
        <v>0</v>
      </c>
      <c r="BA29" s="585">
        <f>'2025'!L29</f>
        <v>0</v>
      </c>
      <c r="BB29" s="421" t="str">
        <f t="shared" si="29"/>
        <v/>
      </c>
      <c r="BC29" s="422" t="str">
        <f t="shared" si="16"/>
        <v/>
      </c>
      <c r="BD29" s="422" t="str">
        <f t="shared" si="17"/>
        <v/>
      </c>
      <c r="BE29" s="422" t="str">
        <f t="shared" si="18"/>
        <v/>
      </c>
      <c r="BF29" s="422" t="str">
        <f t="shared" si="19"/>
        <v/>
      </c>
      <c r="BG29" s="423" t="str">
        <f t="shared" si="20"/>
        <v/>
      </c>
      <c r="BH29" s="732">
        <f>'2020'!N29</f>
        <v>0</v>
      </c>
      <c r="BI29" s="733">
        <f>'2021'!N29</f>
        <v>0</v>
      </c>
      <c r="BJ29" s="733">
        <f>'2022'!N29</f>
        <v>0</v>
      </c>
      <c r="BK29" s="733">
        <f>'2023'!N29</f>
        <v>0</v>
      </c>
      <c r="BL29" s="733">
        <f>'2024'!N29</f>
        <v>0</v>
      </c>
      <c r="BM29" s="734">
        <f>'2025'!N29</f>
        <v>0</v>
      </c>
      <c r="BN29" s="424"/>
      <c r="BO29" s="425"/>
      <c r="BP29" s="424"/>
      <c r="BQ29" s="425"/>
      <c r="BR29" s="426"/>
      <c r="BS29" s="427"/>
      <c r="BT29" s="426"/>
      <c r="BU29" s="428"/>
      <c r="CC29" s="1" t="str">
        <f t="shared" si="30"/>
        <v/>
      </c>
      <c r="CD29" s="1" t="str">
        <f t="shared" si="31"/>
        <v/>
      </c>
      <c r="CE29" s="1" t="str">
        <f t="shared" si="32"/>
        <v/>
      </c>
      <c r="CF29" s="1" t="str">
        <f t="shared" si="33"/>
        <v/>
      </c>
      <c r="CG29" s="1" t="str">
        <f t="shared" si="34"/>
        <v/>
      </c>
      <c r="CH29" s="1" t="str">
        <f t="shared" si="35"/>
        <v/>
      </c>
    </row>
    <row r="30" spans="2:86" ht="15" customHeight="1" x14ac:dyDescent="0.3">
      <c r="B30" s="773"/>
      <c r="C30" s="845"/>
      <c r="D30" s="819"/>
      <c r="E30" s="822"/>
      <c r="F30" s="822"/>
      <c r="G30" s="822"/>
      <c r="H30" s="822"/>
      <c r="I30" s="825"/>
      <c r="J30" s="721" t="s">
        <v>166</v>
      </c>
      <c r="K30" s="400" t="str">
        <f t="shared" si="106"/>
        <v/>
      </c>
      <c r="L30" s="400" t="str">
        <f t="shared" si="107"/>
        <v/>
      </c>
      <c r="M30" s="400" t="str">
        <f t="shared" si="108"/>
        <v/>
      </c>
      <c r="N30" s="400" t="str">
        <f t="shared" si="109"/>
        <v/>
      </c>
      <c r="O30" s="400" t="str">
        <f t="shared" si="110"/>
        <v/>
      </c>
      <c r="P30" s="401" t="str">
        <f t="shared" si="111"/>
        <v/>
      </c>
      <c r="Q30" s="237"/>
      <c r="R30" s="583">
        <f>'2020'!G30</f>
        <v>0</v>
      </c>
      <c r="S30" s="584">
        <f>'2021'!G30</f>
        <v>0</v>
      </c>
      <c r="T30" s="584">
        <f>'2022'!G30</f>
        <v>0</v>
      </c>
      <c r="U30" s="584">
        <f>'2023'!G30</f>
        <v>0</v>
      </c>
      <c r="V30" s="584">
        <f>'2024'!G30</f>
        <v>0</v>
      </c>
      <c r="W30" s="585">
        <f>'2025'!G30</f>
        <v>0</v>
      </c>
      <c r="X30" s="619">
        <f>'2020'!H30</f>
        <v>0</v>
      </c>
      <c r="Y30" s="584">
        <f>'2021'!H30</f>
        <v>0</v>
      </c>
      <c r="Z30" s="584">
        <f>'2022'!H30</f>
        <v>0</v>
      </c>
      <c r="AA30" s="584">
        <f>'2023'!H30</f>
        <v>0</v>
      </c>
      <c r="AB30" s="584">
        <f>'2024'!H30</f>
        <v>0</v>
      </c>
      <c r="AC30" s="585">
        <f>'2025'!H30</f>
        <v>0</v>
      </c>
      <c r="AD30" s="421">
        <f t="shared" si="4"/>
        <v>0</v>
      </c>
      <c r="AE30" s="422">
        <f t="shared" si="5"/>
        <v>0</v>
      </c>
      <c r="AF30" s="422">
        <f t="shared" si="6"/>
        <v>0</v>
      </c>
      <c r="AG30" s="422">
        <f t="shared" si="7"/>
        <v>0</v>
      </c>
      <c r="AH30" s="422">
        <f t="shared" si="8"/>
        <v>0</v>
      </c>
      <c r="AI30" s="423">
        <f t="shared" si="9"/>
        <v>0</v>
      </c>
      <c r="AJ30" s="619">
        <f>'2020'!J30</f>
        <v>0</v>
      </c>
      <c r="AK30" s="584">
        <f>'2021'!J30</f>
        <v>0</v>
      </c>
      <c r="AL30" s="584">
        <f>'2022'!J30</f>
        <v>0</v>
      </c>
      <c r="AM30" s="584">
        <f>'2023'!J30</f>
        <v>0</v>
      </c>
      <c r="AN30" s="584">
        <f>'2024'!J30</f>
        <v>0</v>
      </c>
      <c r="AO30" s="585">
        <f>'2025'!J30</f>
        <v>0</v>
      </c>
      <c r="AP30" s="421" t="str">
        <f t="shared" si="28"/>
        <v/>
      </c>
      <c r="AQ30" s="422" t="str">
        <f t="shared" si="11"/>
        <v/>
      </c>
      <c r="AR30" s="422" t="str">
        <f t="shared" si="12"/>
        <v/>
      </c>
      <c r="AS30" s="422" t="str">
        <f t="shared" si="13"/>
        <v/>
      </c>
      <c r="AT30" s="422" t="str">
        <f t="shared" si="14"/>
        <v/>
      </c>
      <c r="AU30" s="423" t="str">
        <f t="shared" si="15"/>
        <v/>
      </c>
      <c r="AV30" s="619">
        <f>'2020'!L30</f>
        <v>0</v>
      </c>
      <c r="AW30" s="584">
        <f>'2021'!L30</f>
        <v>0</v>
      </c>
      <c r="AX30" s="584">
        <f>'2022'!L30</f>
        <v>0</v>
      </c>
      <c r="AY30" s="584">
        <f>'2023'!L30</f>
        <v>0</v>
      </c>
      <c r="AZ30" s="584">
        <f>'2024'!L30</f>
        <v>0</v>
      </c>
      <c r="BA30" s="585">
        <f>'2025'!L30</f>
        <v>0</v>
      </c>
      <c r="BB30" s="421" t="str">
        <f t="shared" si="29"/>
        <v/>
      </c>
      <c r="BC30" s="422" t="str">
        <f t="shared" si="16"/>
        <v/>
      </c>
      <c r="BD30" s="422" t="str">
        <f t="shared" si="17"/>
        <v/>
      </c>
      <c r="BE30" s="422" t="str">
        <f t="shared" si="18"/>
        <v/>
      </c>
      <c r="BF30" s="422" t="str">
        <f t="shared" si="19"/>
        <v/>
      </c>
      <c r="BG30" s="423" t="str">
        <f t="shared" si="20"/>
        <v/>
      </c>
      <c r="BH30" s="732">
        <f>'2020'!N30</f>
        <v>0</v>
      </c>
      <c r="BI30" s="733">
        <f>'2021'!N30</f>
        <v>0</v>
      </c>
      <c r="BJ30" s="733">
        <f>'2022'!N30</f>
        <v>0</v>
      </c>
      <c r="BK30" s="733">
        <f>'2023'!N30</f>
        <v>0</v>
      </c>
      <c r="BL30" s="733">
        <f>'2024'!N30</f>
        <v>0</v>
      </c>
      <c r="BM30" s="734">
        <f>'2025'!N30</f>
        <v>0</v>
      </c>
      <c r="BN30" s="424"/>
      <c r="BO30" s="425"/>
      <c r="BP30" s="424"/>
      <c r="BQ30" s="425"/>
      <c r="BR30" s="426"/>
      <c r="BS30" s="427"/>
      <c r="BT30" s="426"/>
      <c r="BU30" s="428"/>
      <c r="CC30" s="1" t="str">
        <f t="shared" si="30"/>
        <v/>
      </c>
      <c r="CD30" s="1" t="str">
        <f t="shared" si="31"/>
        <v/>
      </c>
      <c r="CE30" s="1" t="str">
        <f t="shared" si="32"/>
        <v/>
      </c>
      <c r="CF30" s="1" t="str">
        <f t="shared" si="33"/>
        <v/>
      </c>
      <c r="CG30" s="1" t="str">
        <f t="shared" si="34"/>
        <v/>
      </c>
      <c r="CH30" s="1" t="str">
        <f t="shared" si="35"/>
        <v/>
      </c>
    </row>
    <row r="31" spans="2:86" ht="15" customHeight="1" x14ac:dyDescent="0.3">
      <c r="B31" s="773"/>
      <c r="C31" s="845"/>
      <c r="D31" s="819"/>
      <c r="E31" s="822"/>
      <c r="F31" s="822"/>
      <c r="G31" s="822"/>
      <c r="H31" s="822"/>
      <c r="I31" s="825"/>
      <c r="J31" s="721" t="s">
        <v>166</v>
      </c>
      <c r="K31" s="400" t="str">
        <f t="shared" si="106"/>
        <v/>
      </c>
      <c r="L31" s="400" t="str">
        <f t="shared" si="107"/>
        <v/>
      </c>
      <c r="M31" s="400" t="str">
        <f t="shared" si="108"/>
        <v/>
      </c>
      <c r="N31" s="400" t="str">
        <f t="shared" si="109"/>
        <v/>
      </c>
      <c r="O31" s="400" t="str">
        <f t="shared" si="110"/>
        <v/>
      </c>
      <c r="P31" s="401" t="str">
        <f t="shared" si="111"/>
        <v/>
      </c>
      <c r="Q31" s="237"/>
      <c r="R31" s="583">
        <f>'2020'!G31</f>
        <v>0</v>
      </c>
      <c r="S31" s="584">
        <f>'2021'!G31</f>
        <v>0</v>
      </c>
      <c r="T31" s="584">
        <f>'2022'!G31</f>
        <v>0</v>
      </c>
      <c r="U31" s="584">
        <f>'2023'!G31</f>
        <v>0</v>
      </c>
      <c r="V31" s="584">
        <f>'2024'!G31</f>
        <v>0</v>
      </c>
      <c r="W31" s="585">
        <f>'2025'!G31</f>
        <v>0</v>
      </c>
      <c r="X31" s="619">
        <f>'2020'!H31</f>
        <v>0</v>
      </c>
      <c r="Y31" s="584">
        <f>'2021'!H31</f>
        <v>0</v>
      </c>
      <c r="Z31" s="584">
        <f>'2022'!H31</f>
        <v>0</v>
      </c>
      <c r="AA31" s="584">
        <f>'2023'!H31</f>
        <v>0</v>
      </c>
      <c r="AB31" s="584">
        <f>'2024'!H31</f>
        <v>0</v>
      </c>
      <c r="AC31" s="585">
        <f>'2025'!H31</f>
        <v>0</v>
      </c>
      <c r="AD31" s="421">
        <f t="shared" si="4"/>
        <v>0</v>
      </c>
      <c r="AE31" s="422">
        <f t="shared" si="5"/>
        <v>0</v>
      </c>
      <c r="AF31" s="422">
        <f t="shared" si="6"/>
        <v>0</v>
      </c>
      <c r="AG31" s="422">
        <f t="shared" si="7"/>
        <v>0</v>
      </c>
      <c r="AH31" s="422">
        <f t="shared" si="8"/>
        <v>0</v>
      </c>
      <c r="AI31" s="423">
        <f t="shared" si="9"/>
        <v>0</v>
      </c>
      <c r="AJ31" s="619">
        <f>'2020'!J31</f>
        <v>0</v>
      </c>
      <c r="AK31" s="584">
        <f>'2021'!J31</f>
        <v>0</v>
      </c>
      <c r="AL31" s="584">
        <f>'2022'!J31</f>
        <v>0</v>
      </c>
      <c r="AM31" s="584">
        <f>'2023'!J31</f>
        <v>0</v>
      </c>
      <c r="AN31" s="584">
        <f>'2024'!J31</f>
        <v>0</v>
      </c>
      <c r="AO31" s="585">
        <f>'2025'!J31</f>
        <v>0</v>
      </c>
      <c r="AP31" s="421" t="str">
        <f t="shared" si="28"/>
        <v/>
      </c>
      <c r="AQ31" s="422" t="str">
        <f t="shared" si="11"/>
        <v/>
      </c>
      <c r="AR31" s="422" t="str">
        <f t="shared" si="12"/>
        <v/>
      </c>
      <c r="AS31" s="422" t="str">
        <f t="shared" si="13"/>
        <v/>
      </c>
      <c r="AT31" s="422" t="str">
        <f t="shared" si="14"/>
        <v/>
      </c>
      <c r="AU31" s="423" t="str">
        <f t="shared" si="15"/>
        <v/>
      </c>
      <c r="AV31" s="619">
        <f>'2020'!L31</f>
        <v>0</v>
      </c>
      <c r="AW31" s="584">
        <f>'2021'!L31</f>
        <v>0</v>
      </c>
      <c r="AX31" s="584">
        <f>'2022'!L31</f>
        <v>0</v>
      </c>
      <c r="AY31" s="584">
        <f>'2023'!L31</f>
        <v>0</v>
      </c>
      <c r="AZ31" s="584">
        <f>'2024'!L31</f>
        <v>0</v>
      </c>
      <c r="BA31" s="585">
        <f>'2025'!L31</f>
        <v>0</v>
      </c>
      <c r="BB31" s="421" t="str">
        <f t="shared" si="29"/>
        <v/>
      </c>
      <c r="BC31" s="422" t="str">
        <f t="shared" si="16"/>
        <v/>
      </c>
      <c r="BD31" s="422" t="str">
        <f t="shared" si="17"/>
        <v/>
      </c>
      <c r="BE31" s="422" t="str">
        <f t="shared" si="18"/>
        <v/>
      </c>
      <c r="BF31" s="422" t="str">
        <f t="shared" si="19"/>
        <v/>
      </c>
      <c r="BG31" s="423" t="str">
        <f t="shared" si="20"/>
        <v/>
      </c>
      <c r="BH31" s="732">
        <f>'2020'!N31</f>
        <v>0</v>
      </c>
      <c r="BI31" s="733">
        <f>'2021'!N31</f>
        <v>0</v>
      </c>
      <c r="BJ31" s="733">
        <f>'2022'!N31</f>
        <v>0</v>
      </c>
      <c r="BK31" s="733">
        <f>'2023'!N31</f>
        <v>0</v>
      </c>
      <c r="BL31" s="733">
        <f>'2024'!N31</f>
        <v>0</v>
      </c>
      <c r="BM31" s="734">
        <f>'2025'!N31</f>
        <v>0</v>
      </c>
      <c r="BN31" s="424"/>
      <c r="BO31" s="425"/>
      <c r="BP31" s="424"/>
      <c r="BQ31" s="425"/>
      <c r="BR31" s="426"/>
      <c r="BS31" s="427"/>
      <c r="BT31" s="426"/>
      <c r="BU31" s="428"/>
      <c r="CC31" s="1" t="str">
        <f t="shared" si="30"/>
        <v/>
      </c>
      <c r="CD31" s="1" t="str">
        <f t="shared" si="31"/>
        <v/>
      </c>
      <c r="CE31" s="1" t="str">
        <f t="shared" si="32"/>
        <v/>
      </c>
      <c r="CF31" s="1" t="str">
        <f t="shared" si="33"/>
        <v/>
      </c>
      <c r="CG31" s="1" t="str">
        <f t="shared" si="34"/>
        <v/>
      </c>
      <c r="CH31" s="1" t="str">
        <f t="shared" si="35"/>
        <v/>
      </c>
    </row>
    <row r="32" spans="2:86" ht="15" customHeight="1" x14ac:dyDescent="0.3">
      <c r="B32" s="773"/>
      <c r="C32" s="845"/>
      <c r="D32" s="819"/>
      <c r="E32" s="822"/>
      <c r="F32" s="822"/>
      <c r="G32" s="822"/>
      <c r="H32" s="822"/>
      <c r="I32" s="825"/>
      <c r="J32" s="721" t="s">
        <v>166</v>
      </c>
      <c r="K32" s="400" t="str">
        <f t="shared" si="106"/>
        <v/>
      </c>
      <c r="L32" s="400" t="str">
        <f t="shared" si="107"/>
        <v/>
      </c>
      <c r="M32" s="400" t="str">
        <f t="shared" si="108"/>
        <v/>
      </c>
      <c r="N32" s="400" t="str">
        <f t="shared" si="109"/>
        <v/>
      </c>
      <c r="O32" s="400" t="str">
        <f t="shared" si="110"/>
        <v/>
      </c>
      <c r="P32" s="401" t="str">
        <f t="shared" si="111"/>
        <v/>
      </c>
      <c r="Q32" s="237"/>
      <c r="R32" s="583">
        <f>'2020'!G32</f>
        <v>0</v>
      </c>
      <c r="S32" s="584">
        <f>'2021'!G32</f>
        <v>0</v>
      </c>
      <c r="T32" s="584">
        <f>'2022'!G32</f>
        <v>0</v>
      </c>
      <c r="U32" s="584">
        <f>'2023'!G32</f>
        <v>0</v>
      </c>
      <c r="V32" s="584">
        <f>'2024'!G32</f>
        <v>0</v>
      </c>
      <c r="W32" s="585">
        <f>'2025'!G32</f>
        <v>0</v>
      </c>
      <c r="X32" s="619">
        <f>'2020'!H32</f>
        <v>0</v>
      </c>
      <c r="Y32" s="584">
        <f>'2021'!H32</f>
        <v>0</v>
      </c>
      <c r="Z32" s="584">
        <f>'2022'!H32</f>
        <v>0</v>
      </c>
      <c r="AA32" s="584">
        <f>'2023'!H32</f>
        <v>0</v>
      </c>
      <c r="AB32" s="584">
        <f>'2024'!H32</f>
        <v>0</v>
      </c>
      <c r="AC32" s="585">
        <f>'2025'!H32</f>
        <v>0</v>
      </c>
      <c r="AD32" s="421">
        <f t="shared" si="4"/>
        <v>0</v>
      </c>
      <c r="AE32" s="422">
        <f t="shared" si="5"/>
        <v>0</v>
      </c>
      <c r="AF32" s="422">
        <f t="shared" si="6"/>
        <v>0</v>
      </c>
      <c r="AG32" s="422">
        <f t="shared" si="7"/>
        <v>0</v>
      </c>
      <c r="AH32" s="422">
        <f t="shared" si="8"/>
        <v>0</v>
      </c>
      <c r="AI32" s="423">
        <f t="shared" si="9"/>
        <v>0</v>
      </c>
      <c r="AJ32" s="619">
        <f>'2020'!J32</f>
        <v>0</v>
      </c>
      <c r="AK32" s="584">
        <f>'2021'!J32</f>
        <v>0</v>
      </c>
      <c r="AL32" s="584">
        <f>'2022'!J32</f>
        <v>0</v>
      </c>
      <c r="AM32" s="584">
        <f>'2023'!J32</f>
        <v>0</v>
      </c>
      <c r="AN32" s="584">
        <f>'2024'!J32</f>
        <v>0</v>
      </c>
      <c r="AO32" s="585">
        <f>'2025'!J32</f>
        <v>0</v>
      </c>
      <c r="AP32" s="421" t="str">
        <f t="shared" si="28"/>
        <v/>
      </c>
      <c r="AQ32" s="422" t="str">
        <f t="shared" si="11"/>
        <v/>
      </c>
      <c r="AR32" s="422" t="str">
        <f t="shared" si="12"/>
        <v/>
      </c>
      <c r="AS32" s="422" t="str">
        <f t="shared" si="13"/>
        <v/>
      </c>
      <c r="AT32" s="422" t="str">
        <f t="shared" si="14"/>
        <v/>
      </c>
      <c r="AU32" s="423" t="str">
        <f t="shared" si="15"/>
        <v/>
      </c>
      <c r="AV32" s="619">
        <f>'2020'!L32</f>
        <v>0</v>
      </c>
      <c r="AW32" s="584">
        <f>'2021'!L32</f>
        <v>0</v>
      </c>
      <c r="AX32" s="584">
        <f>'2022'!L32</f>
        <v>0</v>
      </c>
      <c r="AY32" s="584">
        <f>'2023'!L32</f>
        <v>0</v>
      </c>
      <c r="AZ32" s="584">
        <f>'2024'!L32</f>
        <v>0</v>
      </c>
      <c r="BA32" s="585">
        <f>'2025'!L32</f>
        <v>0</v>
      </c>
      <c r="BB32" s="421" t="str">
        <f t="shared" si="29"/>
        <v/>
      </c>
      <c r="BC32" s="422" t="str">
        <f t="shared" si="16"/>
        <v/>
      </c>
      <c r="BD32" s="422" t="str">
        <f t="shared" si="17"/>
        <v/>
      </c>
      <c r="BE32" s="422" t="str">
        <f t="shared" si="18"/>
        <v/>
      </c>
      <c r="BF32" s="422" t="str">
        <f t="shared" si="19"/>
        <v/>
      </c>
      <c r="BG32" s="423" t="str">
        <f t="shared" si="20"/>
        <v/>
      </c>
      <c r="BH32" s="732">
        <f>'2020'!N32</f>
        <v>0</v>
      </c>
      <c r="BI32" s="733">
        <f>'2021'!N32</f>
        <v>0</v>
      </c>
      <c r="BJ32" s="733">
        <f>'2022'!N32</f>
        <v>0</v>
      </c>
      <c r="BK32" s="733">
        <f>'2023'!N32</f>
        <v>0</v>
      </c>
      <c r="BL32" s="733">
        <f>'2024'!N32</f>
        <v>0</v>
      </c>
      <c r="BM32" s="734">
        <f>'2025'!N32</f>
        <v>0</v>
      </c>
      <c r="BN32" s="424"/>
      <c r="BO32" s="425"/>
      <c r="BP32" s="424"/>
      <c r="BQ32" s="425"/>
      <c r="BR32" s="426"/>
      <c r="BS32" s="427"/>
      <c r="BT32" s="426"/>
      <c r="BU32" s="428"/>
      <c r="CC32" s="1" t="str">
        <f t="shared" si="30"/>
        <v/>
      </c>
      <c r="CD32" s="1" t="str">
        <f t="shared" si="31"/>
        <v/>
      </c>
      <c r="CE32" s="1" t="str">
        <f t="shared" si="32"/>
        <v/>
      </c>
      <c r="CF32" s="1" t="str">
        <f t="shared" si="33"/>
        <v/>
      </c>
      <c r="CG32" s="1" t="str">
        <f t="shared" si="34"/>
        <v/>
      </c>
      <c r="CH32" s="1" t="str">
        <f t="shared" si="35"/>
        <v/>
      </c>
    </row>
    <row r="33" spans="2:86" ht="15" customHeight="1" x14ac:dyDescent="0.3">
      <c r="B33" s="773"/>
      <c r="C33" s="845"/>
      <c r="D33" s="820"/>
      <c r="E33" s="823"/>
      <c r="F33" s="823"/>
      <c r="G33" s="823"/>
      <c r="H33" s="823"/>
      <c r="I33" s="826"/>
      <c r="J33" s="722" t="s">
        <v>166</v>
      </c>
      <c r="K33" s="402" t="str">
        <f t="shared" si="106"/>
        <v/>
      </c>
      <c r="L33" s="402" t="str">
        <f t="shared" si="107"/>
        <v/>
      </c>
      <c r="M33" s="402" t="str">
        <f t="shared" si="108"/>
        <v/>
      </c>
      <c r="N33" s="402" t="str">
        <f t="shared" si="109"/>
        <v/>
      </c>
      <c r="O33" s="402" t="str">
        <f t="shared" si="110"/>
        <v/>
      </c>
      <c r="P33" s="403" t="str">
        <f t="shared" si="111"/>
        <v/>
      </c>
      <c r="Q33" s="242"/>
      <c r="R33" s="586">
        <f>'2020'!G33</f>
        <v>0</v>
      </c>
      <c r="S33" s="587">
        <f>'2021'!G33</f>
        <v>0</v>
      </c>
      <c r="T33" s="587">
        <f>'2022'!G33</f>
        <v>0</v>
      </c>
      <c r="U33" s="587">
        <f>'2023'!G33</f>
        <v>0</v>
      </c>
      <c r="V33" s="587">
        <f>'2024'!G33</f>
        <v>0</v>
      </c>
      <c r="W33" s="588">
        <f>'2025'!G33</f>
        <v>0</v>
      </c>
      <c r="X33" s="620">
        <f>'2020'!H33</f>
        <v>0</v>
      </c>
      <c r="Y33" s="587">
        <f>'2021'!H33</f>
        <v>0</v>
      </c>
      <c r="Z33" s="587">
        <f>'2022'!H33</f>
        <v>0</v>
      </c>
      <c r="AA33" s="587">
        <f>'2023'!H33</f>
        <v>0</v>
      </c>
      <c r="AB33" s="587">
        <f>'2024'!H33</f>
        <v>0</v>
      </c>
      <c r="AC33" s="588">
        <f>'2025'!H33</f>
        <v>0</v>
      </c>
      <c r="AD33" s="429">
        <f t="shared" si="4"/>
        <v>0</v>
      </c>
      <c r="AE33" s="430">
        <f t="shared" si="5"/>
        <v>0</v>
      </c>
      <c r="AF33" s="430">
        <f t="shared" si="6"/>
        <v>0</v>
      </c>
      <c r="AG33" s="430">
        <f t="shared" si="7"/>
        <v>0</v>
      </c>
      <c r="AH33" s="430">
        <f t="shared" si="8"/>
        <v>0</v>
      </c>
      <c r="AI33" s="431">
        <f t="shared" si="9"/>
        <v>0</v>
      </c>
      <c r="AJ33" s="620">
        <f>'2020'!J33</f>
        <v>0</v>
      </c>
      <c r="AK33" s="587">
        <f>'2021'!J33</f>
        <v>0</v>
      </c>
      <c r="AL33" s="587">
        <f>'2022'!J33</f>
        <v>0</v>
      </c>
      <c r="AM33" s="587">
        <f>'2023'!J33</f>
        <v>0</v>
      </c>
      <c r="AN33" s="587">
        <f>'2024'!J33</f>
        <v>0</v>
      </c>
      <c r="AO33" s="588">
        <f>'2025'!J33</f>
        <v>0</v>
      </c>
      <c r="AP33" s="429" t="str">
        <f t="shared" si="28"/>
        <v/>
      </c>
      <c r="AQ33" s="430" t="str">
        <f t="shared" si="11"/>
        <v/>
      </c>
      <c r="AR33" s="430" t="str">
        <f t="shared" si="12"/>
        <v/>
      </c>
      <c r="AS33" s="430" t="str">
        <f t="shared" si="13"/>
        <v/>
      </c>
      <c r="AT33" s="430" t="str">
        <f t="shared" si="14"/>
        <v/>
      </c>
      <c r="AU33" s="431" t="str">
        <f t="shared" si="15"/>
        <v/>
      </c>
      <c r="AV33" s="620">
        <f>'2020'!L33</f>
        <v>0</v>
      </c>
      <c r="AW33" s="587">
        <f>'2021'!L33</f>
        <v>0</v>
      </c>
      <c r="AX33" s="587">
        <f>'2022'!L33</f>
        <v>0</v>
      </c>
      <c r="AY33" s="587">
        <f>'2023'!L33</f>
        <v>0</v>
      </c>
      <c r="AZ33" s="587">
        <f>'2024'!L33</f>
        <v>0</v>
      </c>
      <c r="BA33" s="588">
        <f>'2025'!L33</f>
        <v>0</v>
      </c>
      <c r="BB33" s="429" t="str">
        <f t="shared" si="29"/>
        <v/>
      </c>
      <c r="BC33" s="430" t="str">
        <f t="shared" si="16"/>
        <v/>
      </c>
      <c r="BD33" s="430" t="str">
        <f t="shared" si="17"/>
        <v/>
      </c>
      <c r="BE33" s="430" t="str">
        <f t="shared" si="18"/>
        <v/>
      </c>
      <c r="BF33" s="430" t="str">
        <f t="shared" si="19"/>
        <v/>
      </c>
      <c r="BG33" s="431" t="str">
        <f t="shared" si="20"/>
        <v/>
      </c>
      <c r="BH33" s="735">
        <f>'2020'!N33</f>
        <v>0</v>
      </c>
      <c r="BI33" s="736">
        <f>'2021'!N33</f>
        <v>0</v>
      </c>
      <c r="BJ33" s="736">
        <f>'2022'!N33</f>
        <v>0</v>
      </c>
      <c r="BK33" s="736">
        <f>'2023'!N33</f>
        <v>0</v>
      </c>
      <c r="BL33" s="736">
        <f>'2024'!N33</f>
        <v>0</v>
      </c>
      <c r="BM33" s="737">
        <f>'2025'!N33</f>
        <v>0</v>
      </c>
      <c r="BN33" s="432"/>
      <c r="BO33" s="433"/>
      <c r="BP33" s="432"/>
      <c r="BQ33" s="433"/>
      <c r="BR33" s="434"/>
      <c r="BS33" s="435"/>
      <c r="BT33" s="434"/>
      <c r="BU33" s="436"/>
      <c r="CC33" s="1" t="str">
        <f t="shared" si="30"/>
        <v/>
      </c>
      <c r="CD33" s="1" t="str">
        <f t="shared" si="31"/>
        <v/>
      </c>
      <c r="CE33" s="1" t="str">
        <f t="shared" si="32"/>
        <v/>
      </c>
      <c r="CF33" s="1" t="str">
        <f t="shared" si="33"/>
        <v/>
      </c>
      <c r="CG33" s="1" t="str">
        <f t="shared" si="34"/>
        <v/>
      </c>
      <c r="CH33" s="1" t="str">
        <f t="shared" si="35"/>
        <v/>
      </c>
    </row>
    <row r="34" spans="2:86" ht="15.6" x14ac:dyDescent="0.3">
      <c r="B34" s="773"/>
      <c r="C34" s="865"/>
      <c r="D34" s="380" t="s">
        <v>138</v>
      </c>
      <c r="E34" s="377"/>
      <c r="F34" s="377"/>
      <c r="G34" s="377"/>
      <c r="H34" s="377"/>
      <c r="I34" s="385"/>
      <c r="J34" s="718"/>
      <c r="K34" s="390">
        <f>COUNTIF(K13:K33,"X")</f>
        <v>0</v>
      </c>
      <c r="L34" s="390">
        <f t="shared" ref="L34:P34" si="112">COUNTIF(L13:L33,"X")</f>
        <v>0</v>
      </c>
      <c r="M34" s="390">
        <f t="shared" si="112"/>
        <v>16</v>
      </c>
      <c r="N34" s="390">
        <f t="shared" si="112"/>
        <v>0</v>
      </c>
      <c r="O34" s="390">
        <f t="shared" si="112"/>
        <v>0</v>
      </c>
      <c r="P34" s="391">
        <f t="shared" si="112"/>
        <v>0</v>
      </c>
      <c r="Q34" s="16"/>
      <c r="R34" s="600">
        <f>SUM(R13:R33)</f>
        <v>0</v>
      </c>
      <c r="S34" s="601">
        <f t="shared" ref="S34:W34" si="113">SUM(S13:S33)</f>
        <v>0</v>
      </c>
      <c r="T34" s="601">
        <f t="shared" si="113"/>
        <v>694</v>
      </c>
      <c r="U34" s="601">
        <f t="shared" si="113"/>
        <v>0</v>
      </c>
      <c r="V34" s="601">
        <f t="shared" si="113"/>
        <v>0</v>
      </c>
      <c r="W34" s="602">
        <f t="shared" si="113"/>
        <v>0</v>
      </c>
      <c r="X34" s="625">
        <f>SUM(X13:X33)</f>
        <v>0</v>
      </c>
      <c r="Y34" s="601">
        <f t="shared" ref="Y34:AC34" si="114">SUM(Y13:Y33)</f>
        <v>0</v>
      </c>
      <c r="Z34" s="601">
        <f t="shared" si="114"/>
        <v>611</v>
      </c>
      <c r="AA34" s="601">
        <f t="shared" si="114"/>
        <v>0</v>
      </c>
      <c r="AB34" s="601">
        <f t="shared" si="114"/>
        <v>0</v>
      </c>
      <c r="AC34" s="602">
        <f t="shared" si="114"/>
        <v>0</v>
      </c>
      <c r="AD34" s="315">
        <f t="shared" si="4"/>
        <v>0</v>
      </c>
      <c r="AE34" s="316">
        <f t="shared" si="5"/>
        <v>0</v>
      </c>
      <c r="AF34" s="316">
        <f t="shared" si="6"/>
        <v>0.24639769452449567</v>
      </c>
      <c r="AG34" s="316">
        <f t="shared" si="7"/>
        <v>0</v>
      </c>
      <c r="AH34" s="316">
        <f t="shared" si="8"/>
        <v>0</v>
      </c>
      <c r="AI34" s="321">
        <f t="shared" si="9"/>
        <v>0</v>
      </c>
      <c r="AJ34" s="625">
        <f>SUM(AJ13:AJ33)</f>
        <v>0</v>
      </c>
      <c r="AK34" s="601">
        <f t="shared" ref="AK34" si="115">SUM(AK13:AK33)</f>
        <v>0</v>
      </c>
      <c r="AL34" s="601">
        <f t="shared" ref="AL34" si="116">SUM(AL13:AL33)</f>
        <v>171</v>
      </c>
      <c r="AM34" s="601">
        <f t="shared" ref="AM34" si="117">SUM(AM13:AM33)</f>
        <v>0</v>
      </c>
      <c r="AN34" s="601">
        <f t="shared" ref="AN34" si="118">SUM(AN13:AN33)</f>
        <v>0</v>
      </c>
      <c r="AO34" s="602">
        <f t="shared" ref="AO34" si="119">SUM(AO13:AO33)</f>
        <v>0</v>
      </c>
      <c r="AP34" s="315" t="str">
        <f t="shared" si="28"/>
        <v/>
      </c>
      <c r="AQ34" s="316" t="str">
        <f t="shared" si="11"/>
        <v/>
      </c>
      <c r="AR34" s="316">
        <f t="shared" si="12"/>
        <v>0.38472622478386165</v>
      </c>
      <c r="AS34" s="316" t="str">
        <f t="shared" si="13"/>
        <v/>
      </c>
      <c r="AT34" s="316" t="str">
        <f t="shared" si="14"/>
        <v/>
      </c>
      <c r="AU34" s="321" t="str">
        <f t="shared" si="15"/>
        <v/>
      </c>
      <c r="AV34" s="625">
        <f>SUM(AV13:AV33)</f>
        <v>0</v>
      </c>
      <c r="AW34" s="601">
        <f t="shared" ref="AW34" si="120">SUM(AW13:AW33)</f>
        <v>0</v>
      </c>
      <c r="AX34" s="601">
        <f t="shared" ref="AX34" si="121">SUM(AX13:AX33)</f>
        <v>267</v>
      </c>
      <c r="AY34" s="601">
        <f t="shared" ref="AY34" si="122">SUM(AY13:AY33)</f>
        <v>0</v>
      </c>
      <c r="AZ34" s="601">
        <f t="shared" ref="AZ34" si="123">SUM(AZ13:AZ33)</f>
        <v>0</v>
      </c>
      <c r="BA34" s="602">
        <f t="shared" ref="BA34" si="124">SUM(BA13:BA33)</f>
        <v>0</v>
      </c>
      <c r="BB34" s="317" t="str">
        <f t="shared" si="29"/>
        <v/>
      </c>
      <c r="BC34" s="318" t="str">
        <f t="shared" si="16"/>
        <v/>
      </c>
      <c r="BD34" s="318">
        <f t="shared" si="17"/>
        <v>0.34831460674157305</v>
      </c>
      <c r="BE34" s="318" t="str">
        <f t="shared" si="18"/>
        <v/>
      </c>
      <c r="BF34" s="318" t="str">
        <f t="shared" si="19"/>
        <v/>
      </c>
      <c r="BG34" s="322" t="str">
        <f t="shared" si="20"/>
        <v/>
      </c>
      <c r="BH34" s="625">
        <f>SUM(BH13:BH33)</f>
        <v>0</v>
      </c>
      <c r="BI34" s="601">
        <f t="shared" ref="BI34" si="125">SUM(BI13:BI33)</f>
        <v>0</v>
      </c>
      <c r="BJ34" s="601">
        <f t="shared" ref="BJ34" si="126">SUM(BJ13:BJ33)</f>
        <v>93</v>
      </c>
      <c r="BK34" s="601">
        <f t="shared" ref="BK34" si="127">SUM(BK13:BK33)</f>
        <v>0</v>
      </c>
      <c r="BL34" s="601">
        <f t="shared" ref="BL34" si="128">SUM(BL13:BL33)</f>
        <v>0</v>
      </c>
      <c r="BM34" s="602">
        <f t="shared" ref="BM34" si="129">SUM(BM13:BM33)</f>
        <v>0</v>
      </c>
      <c r="BN34" s="331"/>
      <c r="BO34" s="332"/>
      <c r="BP34" s="331"/>
      <c r="BQ34" s="332"/>
      <c r="BR34" s="331"/>
      <c r="BS34" s="332"/>
      <c r="BT34" s="331"/>
      <c r="BU34" s="333"/>
      <c r="CC34" s="1">
        <f t="shared" si="30"/>
        <v>0</v>
      </c>
      <c r="CD34" s="1">
        <f t="shared" si="31"/>
        <v>0</v>
      </c>
      <c r="CE34" s="1">
        <f t="shared" si="32"/>
        <v>0</v>
      </c>
      <c r="CF34" s="1">
        <f t="shared" si="33"/>
        <v>0</v>
      </c>
      <c r="CG34" s="1">
        <f t="shared" si="34"/>
        <v>0</v>
      </c>
      <c r="CH34" s="1">
        <f t="shared" si="35"/>
        <v>0</v>
      </c>
    </row>
    <row r="35" spans="2:86" ht="15" customHeight="1" x14ac:dyDescent="0.3">
      <c r="B35" s="773" t="s">
        <v>82</v>
      </c>
      <c r="C35" s="845" t="s">
        <v>75</v>
      </c>
      <c r="D35" s="818">
        <f>'2020'!D35</f>
        <v>8</v>
      </c>
      <c r="E35" s="821">
        <f>'2021'!D35</f>
        <v>9</v>
      </c>
      <c r="F35" s="821">
        <f>'2022'!D35</f>
        <v>11</v>
      </c>
      <c r="G35" s="821">
        <f>'2023'!D35</f>
        <v>11</v>
      </c>
      <c r="H35" s="821"/>
      <c r="I35" s="824"/>
      <c r="J35" s="720" t="s">
        <v>13</v>
      </c>
      <c r="K35" s="398" t="str">
        <f t="shared" ref="K35:K48" si="130">IF(R35=0,"","X")</f>
        <v>X</v>
      </c>
      <c r="L35" s="398" t="str">
        <f t="shared" ref="L35:L48" si="131">IF(S35=0,"","X")</f>
        <v>X</v>
      </c>
      <c r="M35" s="398" t="str">
        <f t="shared" ref="M35:M48" si="132">IF(T35=0,"","X")</f>
        <v>X</v>
      </c>
      <c r="N35" s="398" t="str">
        <f t="shared" ref="N35:N48" si="133">IF(U35=0,"","X")</f>
        <v/>
      </c>
      <c r="O35" s="398" t="str">
        <f t="shared" ref="O35:O48" si="134">IF(V35=0,"","X")</f>
        <v/>
      </c>
      <c r="P35" s="399" t="str">
        <f t="shared" ref="P35:P48" si="135">IF(W35=0,"","X")</f>
        <v/>
      </c>
      <c r="Q35" s="232" t="s">
        <v>60</v>
      </c>
      <c r="R35" s="592">
        <f>'2020'!G35</f>
        <v>31</v>
      </c>
      <c r="S35" s="593">
        <f>'2021'!G35</f>
        <v>76</v>
      </c>
      <c r="T35" s="593">
        <f>'2022'!G35</f>
        <v>59</v>
      </c>
      <c r="U35" s="593">
        <f>'2023'!G35</f>
        <v>0</v>
      </c>
      <c r="V35" s="593">
        <f>'2024'!G35</f>
        <v>0</v>
      </c>
      <c r="W35" s="594">
        <f>'2025'!G35</f>
        <v>0</v>
      </c>
      <c r="X35" s="623">
        <f>'2020'!H35</f>
        <v>23</v>
      </c>
      <c r="Y35" s="595">
        <f>'2021'!H35</f>
        <v>50</v>
      </c>
      <c r="Z35" s="595">
        <f>'2022'!H35</f>
        <v>21</v>
      </c>
      <c r="AA35" s="595">
        <f>'2023'!H35</f>
        <v>0</v>
      </c>
      <c r="AB35" s="595">
        <f>'2024'!H35</f>
        <v>0</v>
      </c>
      <c r="AC35" s="596">
        <f>'2025'!H35</f>
        <v>0</v>
      </c>
      <c r="AD35" s="644">
        <f t="shared" si="4"/>
        <v>0.32258064516129031</v>
      </c>
      <c r="AE35" s="645">
        <f t="shared" si="5"/>
        <v>0.22368421052631579</v>
      </c>
      <c r="AF35" s="645">
        <f t="shared" si="6"/>
        <v>0.47457627118644069</v>
      </c>
      <c r="AG35" s="645">
        <f t="shared" si="7"/>
        <v>0</v>
      </c>
      <c r="AH35" s="645">
        <f t="shared" si="8"/>
        <v>0</v>
      </c>
      <c r="AI35" s="646">
        <f t="shared" si="9"/>
        <v>0</v>
      </c>
      <c r="AJ35" s="623">
        <f>'2020'!J35</f>
        <v>10</v>
      </c>
      <c r="AK35" s="595">
        <f>'2021'!J35</f>
        <v>17</v>
      </c>
      <c r="AL35" s="595">
        <f>'2022'!J35</f>
        <v>28</v>
      </c>
      <c r="AM35" s="595">
        <f>'2023'!J35</f>
        <v>0</v>
      </c>
      <c r="AN35" s="595">
        <f>'2024'!J35</f>
        <v>0</v>
      </c>
      <c r="AO35" s="596">
        <f>'2025'!J35</f>
        <v>0</v>
      </c>
      <c r="AP35" s="644">
        <f t="shared" si="28"/>
        <v>0.32258064516129031</v>
      </c>
      <c r="AQ35" s="645">
        <f t="shared" si="11"/>
        <v>0.36842105263157893</v>
      </c>
      <c r="AR35" s="645">
        <f t="shared" si="12"/>
        <v>0.33898305084745761</v>
      </c>
      <c r="AS35" s="645" t="str">
        <f t="shared" si="13"/>
        <v/>
      </c>
      <c r="AT35" s="645" t="str">
        <f t="shared" si="14"/>
        <v/>
      </c>
      <c r="AU35" s="646" t="str">
        <f t="shared" si="15"/>
        <v/>
      </c>
      <c r="AV35" s="623">
        <f>'2020'!L35</f>
        <v>10</v>
      </c>
      <c r="AW35" s="595">
        <f>'2021'!L35</f>
        <v>28</v>
      </c>
      <c r="AX35" s="595">
        <f>'2022'!L35</f>
        <v>20</v>
      </c>
      <c r="AY35" s="595">
        <f>'2023'!L35</f>
        <v>0</v>
      </c>
      <c r="AZ35" s="595">
        <f>'2024'!L35</f>
        <v>0</v>
      </c>
      <c r="BA35" s="596">
        <f>'2025'!L35</f>
        <v>0</v>
      </c>
      <c r="BB35" s="412" t="str">
        <f t="shared" si="29"/>
        <v/>
      </c>
      <c r="BC35" s="413" t="str">
        <f t="shared" si="16"/>
        <v/>
      </c>
      <c r="BD35" s="413">
        <f t="shared" si="17"/>
        <v>0</v>
      </c>
      <c r="BE35" s="413" t="str">
        <f t="shared" si="18"/>
        <v/>
      </c>
      <c r="BF35" s="413" t="str">
        <f t="shared" si="19"/>
        <v/>
      </c>
      <c r="BG35" s="414" t="str">
        <f t="shared" si="20"/>
        <v/>
      </c>
      <c r="BH35" s="738" t="str">
        <f>'2020'!N35</f>
        <v>-</v>
      </c>
      <c r="BI35" s="739" t="str">
        <f>'2021'!N35</f>
        <v>-</v>
      </c>
      <c r="BJ35" s="739">
        <f>'2022'!N35</f>
        <v>0</v>
      </c>
      <c r="BK35" s="739">
        <f>'2023'!N35</f>
        <v>0</v>
      </c>
      <c r="BL35" s="739">
        <f>'2024'!N35</f>
        <v>0</v>
      </c>
      <c r="BM35" s="740">
        <f>'2025'!N35</f>
        <v>0</v>
      </c>
      <c r="BN35" s="415" t="s">
        <v>21</v>
      </c>
      <c r="BO35" s="416" t="s">
        <v>21</v>
      </c>
      <c r="BP35" s="415" t="s">
        <v>21</v>
      </c>
      <c r="BQ35" s="416" t="s">
        <v>21</v>
      </c>
      <c r="BR35" s="417" t="s">
        <v>21</v>
      </c>
      <c r="BS35" s="418" t="s">
        <v>21</v>
      </c>
      <c r="BT35" s="417" t="s">
        <v>21</v>
      </c>
      <c r="BU35" s="419" t="s">
        <v>21</v>
      </c>
      <c r="CC35" s="1" t="str">
        <f t="shared" si="30"/>
        <v>France</v>
      </c>
      <c r="CD35" s="1" t="str">
        <f t="shared" si="31"/>
        <v>France</v>
      </c>
      <c r="CE35" s="1" t="str">
        <f t="shared" si="32"/>
        <v>France</v>
      </c>
      <c r="CF35" s="1" t="str">
        <f t="shared" si="33"/>
        <v/>
      </c>
      <c r="CG35" s="1" t="str">
        <f t="shared" si="34"/>
        <v/>
      </c>
      <c r="CH35" s="1" t="str">
        <f t="shared" si="35"/>
        <v/>
      </c>
    </row>
    <row r="36" spans="2:86" ht="15" customHeight="1" x14ac:dyDescent="0.3">
      <c r="B36" s="773"/>
      <c r="C36" s="845"/>
      <c r="D36" s="819"/>
      <c r="E36" s="822"/>
      <c r="F36" s="822"/>
      <c r="G36" s="822"/>
      <c r="H36" s="822"/>
      <c r="I36" s="825"/>
      <c r="J36" s="721" t="s">
        <v>14</v>
      </c>
      <c r="K36" s="400" t="str">
        <f t="shared" si="130"/>
        <v>X</v>
      </c>
      <c r="L36" s="400" t="str">
        <f t="shared" si="131"/>
        <v>X</v>
      </c>
      <c r="M36" s="400" t="str">
        <f t="shared" si="132"/>
        <v>X</v>
      </c>
      <c r="N36" s="400" t="str">
        <f t="shared" si="133"/>
        <v/>
      </c>
      <c r="O36" s="400" t="str">
        <f t="shared" si="134"/>
        <v/>
      </c>
      <c r="P36" s="401" t="str">
        <f t="shared" si="135"/>
        <v/>
      </c>
      <c r="Q36" s="237" t="s">
        <v>60</v>
      </c>
      <c r="R36" s="583">
        <f>'2020'!G36</f>
        <v>25</v>
      </c>
      <c r="S36" s="584">
        <f>'2021'!G36</f>
        <v>45</v>
      </c>
      <c r="T36" s="584">
        <f>'2022'!G36</f>
        <v>32</v>
      </c>
      <c r="U36" s="584">
        <f>'2023'!G36</f>
        <v>0</v>
      </c>
      <c r="V36" s="584">
        <f>'2024'!G36</f>
        <v>0</v>
      </c>
      <c r="W36" s="585">
        <f>'2025'!G36</f>
        <v>0</v>
      </c>
      <c r="X36" s="624">
        <f>'2020'!H36</f>
        <v>13</v>
      </c>
      <c r="Y36" s="598">
        <f>'2021'!H36</f>
        <v>27</v>
      </c>
      <c r="Z36" s="598">
        <f>'2022'!H36</f>
        <v>16</v>
      </c>
      <c r="AA36" s="598">
        <f>'2023'!H36</f>
        <v>0</v>
      </c>
      <c r="AB36" s="598">
        <f>'2024'!H36</f>
        <v>0</v>
      </c>
      <c r="AC36" s="599">
        <f>'2025'!H36</f>
        <v>0</v>
      </c>
      <c r="AD36" s="647">
        <f t="shared" si="4"/>
        <v>0.48</v>
      </c>
      <c r="AE36" s="648">
        <f t="shared" si="5"/>
        <v>0.46666666666666667</v>
      </c>
      <c r="AF36" s="648">
        <f t="shared" si="6"/>
        <v>0.34375</v>
      </c>
      <c r="AG36" s="648">
        <f t="shared" si="7"/>
        <v>0</v>
      </c>
      <c r="AH36" s="648">
        <f t="shared" si="8"/>
        <v>0</v>
      </c>
      <c r="AI36" s="649">
        <f t="shared" si="9"/>
        <v>0</v>
      </c>
      <c r="AJ36" s="624">
        <f>'2020'!J36</f>
        <v>12</v>
      </c>
      <c r="AK36" s="598">
        <f>'2021'!J36</f>
        <v>21</v>
      </c>
      <c r="AL36" s="598">
        <f>'2022'!J36</f>
        <v>11</v>
      </c>
      <c r="AM36" s="598">
        <f>'2023'!J36</f>
        <v>0</v>
      </c>
      <c r="AN36" s="598">
        <f>'2024'!J36</f>
        <v>0</v>
      </c>
      <c r="AO36" s="599">
        <f>'2025'!J36</f>
        <v>0</v>
      </c>
      <c r="AP36" s="647">
        <f t="shared" si="28"/>
        <v>0.36</v>
      </c>
      <c r="AQ36" s="648">
        <f t="shared" si="11"/>
        <v>0.31111111111111112</v>
      </c>
      <c r="AR36" s="648">
        <f t="shared" si="12"/>
        <v>0.1875</v>
      </c>
      <c r="AS36" s="648" t="str">
        <f t="shared" si="13"/>
        <v/>
      </c>
      <c r="AT36" s="648" t="str">
        <f t="shared" si="14"/>
        <v/>
      </c>
      <c r="AU36" s="649" t="str">
        <f t="shared" si="15"/>
        <v/>
      </c>
      <c r="AV36" s="624">
        <f>'2020'!L36</f>
        <v>9</v>
      </c>
      <c r="AW36" s="598">
        <f>'2021'!L36</f>
        <v>14</v>
      </c>
      <c r="AX36" s="598">
        <f>'2022'!L36</f>
        <v>6</v>
      </c>
      <c r="AY36" s="598">
        <f>'2023'!L36</f>
        <v>0</v>
      </c>
      <c r="AZ36" s="598">
        <f>'2024'!L36</f>
        <v>0</v>
      </c>
      <c r="BA36" s="599">
        <f>'2025'!L36</f>
        <v>0</v>
      </c>
      <c r="BB36" s="421" t="str">
        <f t="shared" si="29"/>
        <v/>
      </c>
      <c r="BC36" s="422" t="str">
        <f t="shared" si="16"/>
        <v/>
      </c>
      <c r="BD36" s="422">
        <f t="shared" si="17"/>
        <v>0</v>
      </c>
      <c r="BE36" s="422" t="str">
        <f t="shared" si="18"/>
        <v/>
      </c>
      <c r="BF36" s="422" t="str">
        <f t="shared" si="19"/>
        <v/>
      </c>
      <c r="BG36" s="423" t="str">
        <f t="shared" si="20"/>
        <v/>
      </c>
      <c r="BH36" s="732" t="str">
        <f>'2020'!N36</f>
        <v>-</v>
      </c>
      <c r="BI36" s="733" t="str">
        <f>'2021'!N36</f>
        <v>-</v>
      </c>
      <c r="BJ36" s="733">
        <f>'2022'!N36</f>
        <v>0</v>
      </c>
      <c r="BK36" s="733">
        <f>'2023'!N36</f>
        <v>0</v>
      </c>
      <c r="BL36" s="733">
        <f>'2024'!N36</f>
        <v>0</v>
      </c>
      <c r="BM36" s="734">
        <f>'2025'!N36</f>
        <v>0</v>
      </c>
      <c r="BN36" s="424" t="s">
        <v>21</v>
      </c>
      <c r="BO36" s="425" t="s">
        <v>21</v>
      </c>
      <c r="BP36" s="424" t="s">
        <v>21</v>
      </c>
      <c r="BQ36" s="425" t="s">
        <v>21</v>
      </c>
      <c r="BR36" s="426" t="s">
        <v>21</v>
      </c>
      <c r="BS36" s="427" t="s">
        <v>21</v>
      </c>
      <c r="BT36" s="426" t="s">
        <v>21</v>
      </c>
      <c r="BU36" s="428" t="s">
        <v>21</v>
      </c>
      <c r="CC36" s="1" t="str">
        <f t="shared" si="30"/>
        <v>France</v>
      </c>
      <c r="CD36" s="1" t="str">
        <f t="shared" si="31"/>
        <v>France</v>
      </c>
      <c r="CE36" s="1" t="str">
        <f t="shared" si="32"/>
        <v>France</v>
      </c>
      <c r="CF36" s="1" t="str">
        <f t="shared" si="33"/>
        <v/>
      </c>
      <c r="CG36" s="1" t="str">
        <f t="shared" si="34"/>
        <v/>
      </c>
      <c r="CH36" s="1" t="str">
        <f t="shared" si="35"/>
        <v/>
      </c>
    </row>
    <row r="37" spans="2:86" ht="15" customHeight="1" x14ac:dyDescent="0.3">
      <c r="B37" s="773"/>
      <c r="C37" s="845"/>
      <c r="D37" s="819"/>
      <c r="E37" s="822"/>
      <c r="F37" s="822"/>
      <c r="G37" s="822"/>
      <c r="H37" s="822"/>
      <c r="I37" s="825"/>
      <c r="J37" s="721" t="s">
        <v>15</v>
      </c>
      <c r="K37" s="400" t="str">
        <f t="shared" si="130"/>
        <v>X</v>
      </c>
      <c r="L37" s="400" t="str">
        <f t="shared" si="131"/>
        <v>X</v>
      </c>
      <c r="M37" s="400" t="str">
        <f t="shared" si="132"/>
        <v>X</v>
      </c>
      <c r="N37" s="400" t="str">
        <f t="shared" si="133"/>
        <v/>
      </c>
      <c r="O37" s="400" t="str">
        <f t="shared" si="134"/>
        <v/>
      </c>
      <c r="P37" s="401" t="str">
        <f t="shared" si="135"/>
        <v/>
      </c>
      <c r="Q37" s="237" t="s">
        <v>60</v>
      </c>
      <c r="R37" s="583">
        <f>'2020'!G37</f>
        <v>18</v>
      </c>
      <c r="S37" s="584">
        <f>'2021'!G37</f>
        <v>16</v>
      </c>
      <c r="T37" s="584">
        <f>'2022'!G37</f>
        <v>21</v>
      </c>
      <c r="U37" s="584">
        <f>'2023'!G37</f>
        <v>0</v>
      </c>
      <c r="V37" s="584">
        <f>'2024'!G37</f>
        <v>0</v>
      </c>
      <c r="W37" s="585">
        <f>'2025'!G37</f>
        <v>0</v>
      </c>
      <c r="X37" s="624">
        <f>'2020'!H37</f>
        <v>10</v>
      </c>
      <c r="Y37" s="598">
        <f>'2021'!H37</f>
        <v>10</v>
      </c>
      <c r="Z37" s="598">
        <f>'2022'!H37</f>
        <v>8</v>
      </c>
      <c r="AA37" s="598">
        <f>'2023'!H37</f>
        <v>0</v>
      </c>
      <c r="AB37" s="598">
        <f>'2024'!H37</f>
        <v>0</v>
      </c>
      <c r="AC37" s="599">
        <f>'2025'!H37</f>
        <v>0</v>
      </c>
      <c r="AD37" s="647">
        <f t="shared" si="4"/>
        <v>0.5</v>
      </c>
      <c r="AE37" s="648">
        <f t="shared" si="5"/>
        <v>0.3125</v>
      </c>
      <c r="AF37" s="648">
        <f t="shared" si="6"/>
        <v>0.19047619047619047</v>
      </c>
      <c r="AG37" s="648">
        <f t="shared" si="7"/>
        <v>0</v>
      </c>
      <c r="AH37" s="648">
        <f t="shared" si="8"/>
        <v>0</v>
      </c>
      <c r="AI37" s="649">
        <f t="shared" si="9"/>
        <v>0</v>
      </c>
      <c r="AJ37" s="624">
        <f>'2020'!J37</f>
        <v>9</v>
      </c>
      <c r="AK37" s="598">
        <f>'2021'!J37</f>
        <v>5</v>
      </c>
      <c r="AL37" s="598">
        <f>'2022'!J37</f>
        <v>4</v>
      </c>
      <c r="AM37" s="598">
        <f>'2023'!J37</f>
        <v>0</v>
      </c>
      <c r="AN37" s="598">
        <f>'2024'!J37</f>
        <v>0</v>
      </c>
      <c r="AO37" s="599">
        <f>'2025'!J37</f>
        <v>0</v>
      </c>
      <c r="AP37" s="647">
        <f t="shared" si="28"/>
        <v>0.16666666666666666</v>
      </c>
      <c r="AQ37" s="648">
        <f t="shared" si="11"/>
        <v>0.1875</v>
      </c>
      <c r="AR37" s="648">
        <f t="shared" si="12"/>
        <v>0.23809523809523808</v>
      </c>
      <c r="AS37" s="648" t="str">
        <f t="shared" si="13"/>
        <v/>
      </c>
      <c r="AT37" s="648" t="str">
        <f t="shared" si="14"/>
        <v/>
      </c>
      <c r="AU37" s="649" t="str">
        <f t="shared" si="15"/>
        <v/>
      </c>
      <c r="AV37" s="624">
        <f>'2020'!L37</f>
        <v>3</v>
      </c>
      <c r="AW37" s="598">
        <f>'2021'!L37</f>
        <v>3</v>
      </c>
      <c r="AX37" s="598">
        <f>'2022'!L37</f>
        <v>5</v>
      </c>
      <c r="AY37" s="598">
        <f>'2023'!L37</f>
        <v>0</v>
      </c>
      <c r="AZ37" s="598">
        <f>'2024'!L37</f>
        <v>0</v>
      </c>
      <c r="BA37" s="599">
        <f>'2025'!L37</f>
        <v>0</v>
      </c>
      <c r="BB37" s="421" t="str">
        <f t="shared" si="29"/>
        <v/>
      </c>
      <c r="BC37" s="422" t="str">
        <f t="shared" si="16"/>
        <v/>
      </c>
      <c r="BD37" s="422">
        <f t="shared" si="17"/>
        <v>0</v>
      </c>
      <c r="BE37" s="422" t="str">
        <f t="shared" si="18"/>
        <v/>
      </c>
      <c r="BF37" s="422" t="str">
        <f t="shared" si="19"/>
        <v/>
      </c>
      <c r="BG37" s="423" t="str">
        <f t="shared" si="20"/>
        <v/>
      </c>
      <c r="BH37" s="732" t="str">
        <f>'2020'!N37</f>
        <v>-</v>
      </c>
      <c r="BI37" s="733" t="str">
        <f>'2021'!N37</f>
        <v>-</v>
      </c>
      <c r="BJ37" s="733">
        <f>'2022'!N37</f>
        <v>0</v>
      </c>
      <c r="BK37" s="733">
        <f>'2023'!N37</f>
        <v>0</v>
      </c>
      <c r="BL37" s="733">
        <f>'2024'!N37</f>
        <v>0</v>
      </c>
      <c r="BM37" s="734">
        <f>'2025'!N37</f>
        <v>0</v>
      </c>
      <c r="BN37" s="424" t="s">
        <v>21</v>
      </c>
      <c r="BO37" s="425" t="s">
        <v>21</v>
      </c>
      <c r="BP37" s="424" t="s">
        <v>21</v>
      </c>
      <c r="BQ37" s="425" t="s">
        <v>21</v>
      </c>
      <c r="BR37" s="426" t="s">
        <v>21</v>
      </c>
      <c r="BS37" s="427" t="s">
        <v>21</v>
      </c>
      <c r="BT37" s="426" t="s">
        <v>21</v>
      </c>
      <c r="BU37" s="428" t="s">
        <v>21</v>
      </c>
      <c r="CC37" s="1" t="str">
        <f t="shared" si="30"/>
        <v>France</v>
      </c>
      <c r="CD37" s="1" t="str">
        <f t="shared" si="31"/>
        <v>France</v>
      </c>
      <c r="CE37" s="1" t="str">
        <f t="shared" si="32"/>
        <v>France</v>
      </c>
      <c r="CF37" s="1" t="str">
        <f t="shared" si="33"/>
        <v/>
      </c>
      <c r="CG37" s="1" t="str">
        <f t="shared" si="34"/>
        <v/>
      </c>
      <c r="CH37" s="1" t="str">
        <f t="shared" si="35"/>
        <v/>
      </c>
    </row>
    <row r="38" spans="2:86" ht="15" customHeight="1" x14ac:dyDescent="0.3">
      <c r="B38" s="773"/>
      <c r="C38" s="845"/>
      <c r="D38" s="819"/>
      <c r="E38" s="822"/>
      <c r="F38" s="822"/>
      <c r="G38" s="822"/>
      <c r="H38" s="822"/>
      <c r="I38" s="825"/>
      <c r="J38" s="721" t="s">
        <v>141</v>
      </c>
      <c r="K38" s="400" t="str">
        <f t="shared" si="130"/>
        <v/>
      </c>
      <c r="L38" s="400" t="str">
        <f t="shared" si="131"/>
        <v>X</v>
      </c>
      <c r="M38" s="400" t="str">
        <f t="shared" si="132"/>
        <v>X</v>
      </c>
      <c r="N38" s="400" t="str">
        <f t="shared" si="133"/>
        <v/>
      </c>
      <c r="O38" s="400" t="str">
        <f t="shared" si="134"/>
        <v/>
      </c>
      <c r="P38" s="401" t="str">
        <f t="shared" si="135"/>
        <v/>
      </c>
      <c r="Q38" s="237" t="s">
        <v>60</v>
      </c>
      <c r="R38" s="597">
        <f>'2020'!G38</f>
        <v>0</v>
      </c>
      <c r="S38" s="598">
        <f>'2021'!G38</f>
        <v>56</v>
      </c>
      <c r="T38" s="598">
        <f>'2022'!G38</f>
        <v>55</v>
      </c>
      <c r="U38" s="598">
        <f>'2023'!G38</f>
        <v>0</v>
      </c>
      <c r="V38" s="598">
        <f>'2024'!G38</f>
        <v>0</v>
      </c>
      <c r="W38" s="599">
        <f>'2025'!G38</f>
        <v>0</v>
      </c>
      <c r="X38" s="624">
        <f>'2020'!H38</f>
        <v>0</v>
      </c>
      <c r="Y38" s="598">
        <f>'2021'!H38</f>
        <v>36</v>
      </c>
      <c r="Z38" s="598">
        <f>'2022'!H38</f>
        <v>21</v>
      </c>
      <c r="AA38" s="598">
        <f>'2023'!H38</f>
        <v>0</v>
      </c>
      <c r="AB38" s="598">
        <f>'2024'!H38</f>
        <v>0</v>
      </c>
      <c r="AC38" s="599">
        <f>'2025'!H38</f>
        <v>0</v>
      </c>
      <c r="AD38" s="647">
        <f t="shared" si="4"/>
        <v>0</v>
      </c>
      <c r="AE38" s="648">
        <f t="shared" si="5"/>
        <v>0.21428571428571427</v>
      </c>
      <c r="AF38" s="648">
        <f t="shared" si="6"/>
        <v>0.32727272727272727</v>
      </c>
      <c r="AG38" s="648">
        <f t="shared" si="7"/>
        <v>0</v>
      </c>
      <c r="AH38" s="648">
        <f t="shared" si="8"/>
        <v>0</v>
      </c>
      <c r="AI38" s="649">
        <f t="shared" si="9"/>
        <v>0</v>
      </c>
      <c r="AJ38" s="624">
        <f>'2020'!J38</f>
        <v>0</v>
      </c>
      <c r="AK38" s="598">
        <f>'2021'!J38</f>
        <v>12</v>
      </c>
      <c r="AL38" s="598">
        <f>'2022'!J38</f>
        <v>18</v>
      </c>
      <c r="AM38" s="598">
        <f>'2023'!J38</f>
        <v>0</v>
      </c>
      <c r="AN38" s="598">
        <f>'2024'!J38</f>
        <v>0</v>
      </c>
      <c r="AO38" s="599">
        <f>'2025'!J38</f>
        <v>0</v>
      </c>
      <c r="AP38" s="647" t="str">
        <f t="shared" si="28"/>
        <v/>
      </c>
      <c r="AQ38" s="648">
        <f t="shared" si="11"/>
        <v>0.17857142857142858</v>
      </c>
      <c r="AR38" s="648">
        <f t="shared" si="12"/>
        <v>0.32727272727272727</v>
      </c>
      <c r="AS38" s="648" t="str">
        <f t="shared" si="13"/>
        <v/>
      </c>
      <c r="AT38" s="648" t="str">
        <f t="shared" si="14"/>
        <v/>
      </c>
      <c r="AU38" s="649" t="str">
        <f t="shared" si="15"/>
        <v/>
      </c>
      <c r="AV38" s="624">
        <f>'2020'!L38</f>
        <v>0</v>
      </c>
      <c r="AW38" s="598">
        <f>'2021'!L38</f>
        <v>10</v>
      </c>
      <c r="AX38" s="598">
        <f>'2022'!L38</f>
        <v>18</v>
      </c>
      <c r="AY38" s="598">
        <f>'2023'!L38</f>
        <v>0</v>
      </c>
      <c r="AZ38" s="598">
        <f>'2024'!L38</f>
        <v>0</v>
      </c>
      <c r="BA38" s="599">
        <f>'2025'!L38</f>
        <v>0</v>
      </c>
      <c r="BB38" s="421" t="str">
        <f t="shared" si="29"/>
        <v/>
      </c>
      <c r="BC38" s="422" t="str">
        <f t="shared" si="16"/>
        <v/>
      </c>
      <c r="BD38" s="422">
        <f t="shared" si="17"/>
        <v>0</v>
      </c>
      <c r="BE38" s="422" t="str">
        <f t="shared" si="18"/>
        <v/>
      </c>
      <c r="BF38" s="422" t="str">
        <f t="shared" si="19"/>
        <v/>
      </c>
      <c r="BG38" s="423" t="str">
        <f t="shared" si="20"/>
        <v/>
      </c>
      <c r="BH38" s="732" t="str">
        <f>'2020'!N38</f>
        <v>-</v>
      </c>
      <c r="BI38" s="733" t="str">
        <f>'2021'!N38</f>
        <v>-</v>
      </c>
      <c r="BJ38" s="733">
        <f>'2022'!N38</f>
        <v>0</v>
      </c>
      <c r="BK38" s="733">
        <f>'2023'!N38</f>
        <v>0</v>
      </c>
      <c r="BL38" s="733">
        <f>'2024'!N38</f>
        <v>0</v>
      </c>
      <c r="BM38" s="734">
        <f>'2025'!N38</f>
        <v>0</v>
      </c>
      <c r="BN38" s="424" t="s">
        <v>21</v>
      </c>
      <c r="BO38" s="425" t="s">
        <v>21</v>
      </c>
      <c r="BP38" s="424" t="s">
        <v>21</v>
      </c>
      <c r="BQ38" s="425" t="s">
        <v>21</v>
      </c>
      <c r="BR38" s="426" t="s">
        <v>21</v>
      </c>
      <c r="BS38" s="427" t="s">
        <v>21</v>
      </c>
      <c r="BT38" s="426" t="s">
        <v>21</v>
      </c>
      <c r="BU38" s="428" t="s">
        <v>21</v>
      </c>
      <c r="CC38" s="1" t="str">
        <f t="shared" si="30"/>
        <v/>
      </c>
      <c r="CD38" s="1" t="str">
        <f t="shared" si="31"/>
        <v>France</v>
      </c>
      <c r="CE38" s="1" t="str">
        <f t="shared" si="32"/>
        <v>France</v>
      </c>
      <c r="CF38" s="1" t="str">
        <f t="shared" si="33"/>
        <v/>
      </c>
      <c r="CG38" s="1" t="str">
        <f t="shared" si="34"/>
        <v/>
      </c>
      <c r="CH38" s="1" t="str">
        <f t="shared" si="35"/>
        <v/>
      </c>
    </row>
    <row r="39" spans="2:86" ht="15" customHeight="1" x14ac:dyDescent="0.3">
      <c r="B39" s="773"/>
      <c r="C39" s="845"/>
      <c r="D39" s="819"/>
      <c r="E39" s="822"/>
      <c r="F39" s="822"/>
      <c r="G39" s="822"/>
      <c r="H39" s="822"/>
      <c r="I39" s="825"/>
      <c r="J39" s="721" t="s">
        <v>16</v>
      </c>
      <c r="K39" s="400" t="str">
        <f t="shared" si="130"/>
        <v>X</v>
      </c>
      <c r="L39" s="400" t="str">
        <f t="shared" si="131"/>
        <v>X</v>
      </c>
      <c r="M39" s="400" t="str">
        <f t="shared" si="132"/>
        <v>X</v>
      </c>
      <c r="N39" s="400" t="str">
        <f t="shared" si="133"/>
        <v/>
      </c>
      <c r="O39" s="400" t="str">
        <f t="shared" si="134"/>
        <v/>
      </c>
      <c r="P39" s="401" t="str">
        <f t="shared" si="135"/>
        <v/>
      </c>
      <c r="Q39" s="237" t="s">
        <v>60</v>
      </c>
      <c r="R39" s="597">
        <f>'2020'!G39</f>
        <v>14</v>
      </c>
      <c r="S39" s="598">
        <f>'2021'!G39</f>
        <v>13</v>
      </c>
      <c r="T39" s="598">
        <f>'2022'!G39</f>
        <v>6</v>
      </c>
      <c r="U39" s="598">
        <f>'2023'!G39</f>
        <v>0</v>
      </c>
      <c r="V39" s="598">
        <f>'2024'!G39</f>
        <v>0</v>
      </c>
      <c r="W39" s="599">
        <f>'2025'!G39</f>
        <v>0</v>
      </c>
      <c r="X39" s="624">
        <f>'2020'!H39</f>
        <v>9</v>
      </c>
      <c r="Y39" s="598">
        <f>'2021'!H39</f>
        <v>8</v>
      </c>
      <c r="Z39" s="598">
        <f>'2022'!H39</f>
        <v>2</v>
      </c>
      <c r="AA39" s="598">
        <f>'2023'!H39</f>
        <v>0</v>
      </c>
      <c r="AB39" s="598">
        <f>'2024'!H39</f>
        <v>0</v>
      </c>
      <c r="AC39" s="599">
        <f>'2025'!H39</f>
        <v>0</v>
      </c>
      <c r="AD39" s="647">
        <f t="shared" si="4"/>
        <v>7.1428571428571425E-2</v>
      </c>
      <c r="AE39" s="648">
        <f t="shared" si="5"/>
        <v>0.53846153846153844</v>
      </c>
      <c r="AF39" s="648">
        <f t="shared" si="6"/>
        <v>0.33333333333333331</v>
      </c>
      <c r="AG39" s="648">
        <f t="shared" si="7"/>
        <v>0</v>
      </c>
      <c r="AH39" s="648">
        <f t="shared" si="8"/>
        <v>0</v>
      </c>
      <c r="AI39" s="649">
        <f t="shared" si="9"/>
        <v>0</v>
      </c>
      <c r="AJ39" s="624">
        <f>'2020'!J39</f>
        <v>1</v>
      </c>
      <c r="AK39" s="598">
        <f>'2021'!J39</f>
        <v>7</v>
      </c>
      <c r="AL39" s="598">
        <f>'2022'!J39</f>
        <v>2</v>
      </c>
      <c r="AM39" s="598">
        <f>'2023'!J39</f>
        <v>0</v>
      </c>
      <c r="AN39" s="598">
        <f>'2024'!J39</f>
        <v>0</v>
      </c>
      <c r="AO39" s="599">
        <f>'2025'!J39</f>
        <v>0</v>
      </c>
      <c r="AP39" s="647">
        <f t="shared" si="28"/>
        <v>7.1428571428571425E-2</v>
      </c>
      <c r="AQ39" s="648">
        <f t="shared" si="11"/>
        <v>0.46153846153846156</v>
      </c>
      <c r="AR39" s="648">
        <f t="shared" si="12"/>
        <v>0.16666666666666666</v>
      </c>
      <c r="AS39" s="648" t="str">
        <f t="shared" si="13"/>
        <v/>
      </c>
      <c r="AT39" s="648" t="str">
        <f t="shared" si="14"/>
        <v/>
      </c>
      <c r="AU39" s="649" t="str">
        <f t="shared" si="15"/>
        <v/>
      </c>
      <c r="AV39" s="624">
        <f>'2020'!L39</f>
        <v>1</v>
      </c>
      <c r="AW39" s="598">
        <f>'2021'!L39</f>
        <v>6</v>
      </c>
      <c r="AX39" s="598">
        <f>'2022'!L39</f>
        <v>1</v>
      </c>
      <c r="AY39" s="598">
        <f>'2023'!L39</f>
        <v>0</v>
      </c>
      <c r="AZ39" s="598">
        <f>'2024'!L39</f>
        <v>0</v>
      </c>
      <c r="BA39" s="599">
        <f>'2025'!L39</f>
        <v>0</v>
      </c>
      <c r="BB39" s="421" t="str">
        <f t="shared" si="29"/>
        <v/>
      </c>
      <c r="BC39" s="422" t="str">
        <f t="shared" si="16"/>
        <v/>
      </c>
      <c r="BD39" s="422">
        <f t="shared" si="17"/>
        <v>0</v>
      </c>
      <c r="BE39" s="422" t="str">
        <f t="shared" si="18"/>
        <v/>
      </c>
      <c r="BF39" s="422" t="str">
        <f t="shared" si="19"/>
        <v/>
      </c>
      <c r="BG39" s="423" t="str">
        <f t="shared" si="20"/>
        <v/>
      </c>
      <c r="BH39" s="732" t="str">
        <f>'2020'!N39</f>
        <v>-</v>
      </c>
      <c r="BI39" s="733" t="str">
        <f>'2021'!N39</f>
        <v>-</v>
      </c>
      <c r="BJ39" s="733">
        <f>'2022'!N39</f>
        <v>0</v>
      </c>
      <c r="BK39" s="733">
        <f>'2023'!N39</f>
        <v>0</v>
      </c>
      <c r="BL39" s="733">
        <f>'2024'!N39</f>
        <v>0</v>
      </c>
      <c r="BM39" s="734">
        <f>'2025'!N39</f>
        <v>0</v>
      </c>
      <c r="BN39" s="424" t="s">
        <v>21</v>
      </c>
      <c r="BO39" s="425" t="s">
        <v>21</v>
      </c>
      <c r="BP39" s="424" t="s">
        <v>21</v>
      </c>
      <c r="BQ39" s="425" t="s">
        <v>21</v>
      </c>
      <c r="BR39" s="426" t="s">
        <v>21</v>
      </c>
      <c r="BS39" s="427" t="s">
        <v>21</v>
      </c>
      <c r="BT39" s="426" t="s">
        <v>21</v>
      </c>
      <c r="BU39" s="428" t="s">
        <v>21</v>
      </c>
      <c r="CC39" s="1" t="str">
        <f t="shared" si="30"/>
        <v>France</v>
      </c>
      <c r="CD39" s="1" t="str">
        <f t="shared" si="31"/>
        <v>France</v>
      </c>
      <c r="CE39" s="1" t="str">
        <f t="shared" si="32"/>
        <v>France</v>
      </c>
      <c r="CF39" s="1" t="str">
        <f t="shared" si="33"/>
        <v/>
      </c>
      <c r="CG39" s="1" t="str">
        <f t="shared" si="34"/>
        <v/>
      </c>
      <c r="CH39" s="1" t="str">
        <f t="shared" si="35"/>
        <v/>
      </c>
    </row>
    <row r="40" spans="2:86" ht="15" customHeight="1" x14ac:dyDescent="0.3">
      <c r="B40" s="773"/>
      <c r="C40" s="845"/>
      <c r="D40" s="819"/>
      <c r="E40" s="822"/>
      <c r="F40" s="822"/>
      <c r="G40" s="822"/>
      <c r="H40" s="822"/>
      <c r="I40" s="825"/>
      <c r="J40" s="721" t="s">
        <v>17</v>
      </c>
      <c r="K40" s="400" t="str">
        <f t="shared" si="130"/>
        <v>X</v>
      </c>
      <c r="L40" s="400" t="str">
        <f t="shared" si="131"/>
        <v>X</v>
      </c>
      <c r="M40" s="400" t="str">
        <f t="shared" si="132"/>
        <v>X</v>
      </c>
      <c r="N40" s="400" t="str">
        <f t="shared" si="133"/>
        <v/>
      </c>
      <c r="O40" s="400" t="str">
        <f t="shared" si="134"/>
        <v/>
      </c>
      <c r="P40" s="401" t="str">
        <f t="shared" si="135"/>
        <v/>
      </c>
      <c r="Q40" s="237" t="s">
        <v>60</v>
      </c>
      <c r="R40" s="597">
        <f>'2020'!G40</f>
        <v>24</v>
      </c>
      <c r="S40" s="598">
        <f>'2021'!G40</f>
        <v>24</v>
      </c>
      <c r="T40" s="598">
        <f>'2022'!G40</f>
        <v>20</v>
      </c>
      <c r="U40" s="598">
        <f>'2023'!G40</f>
        <v>0</v>
      </c>
      <c r="V40" s="598">
        <f>'2024'!G40</f>
        <v>0</v>
      </c>
      <c r="W40" s="599">
        <f>'2025'!G40</f>
        <v>0</v>
      </c>
      <c r="X40" s="624">
        <f>'2020'!H40</f>
        <v>16</v>
      </c>
      <c r="Y40" s="598">
        <f>'2021'!H40</f>
        <v>20</v>
      </c>
      <c r="Z40" s="598">
        <f>'2022'!H40</f>
        <v>6</v>
      </c>
      <c r="AA40" s="598">
        <f>'2023'!H40</f>
        <v>0</v>
      </c>
      <c r="AB40" s="598">
        <f>'2024'!H40</f>
        <v>0</v>
      </c>
      <c r="AC40" s="599">
        <f>'2025'!H40</f>
        <v>0</v>
      </c>
      <c r="AD40" s="647">
        <f t="shared" si="4"/>
        <v>4.1666666666666664E-2</v>
      </c>
      <c r="AE40" s="648">
        <f t="shared" si="5"/>
        <v>0.29166666666666669</v>
      </c>
      <c r="AF40" s="648">
        <f t="shared" si="6"/>
        <v>0.25</v>
      </c>
      <c r="AG40" s="648">
        <f t="shared" si="7"/>
        <v>0</v>
      </c>
      <c r="AH40" s="648">
        <f t="shared" si="8"/>
        <v>0</v>
      </c>
      <c r="AI40" s="649">
        <f t="shared" si="9"/>
        <v>0</v>
      </c>
      <c r="AJ40" s="624">
        <f>'2020'!J40</f>
        <v>1</v>
      </c>
      <c r="AK40" s="598">
        <f>'2021'!J40</f>
        <v>7</v>
      </c>
      <c r="AL40" s="598">
        <f>'2022'!J40</f>
        <v>5</v>
      </c>
      <c r="AM40" s="598">
        <f>'2023'!J40</f>
        <v>0</v>
      </c>
      <c r="AN40" s="598">
        <f>'2024'!J40</f>
        <v>0</v>
      </c>
      <c r="AO40" s="599">
        <f>'2025'!J40</f>
        <v>0</v>
      </c>
      <c r="AP40" s="647">
        <f t="shared" si="28"/>
        <v>0.20833333333333334</v>
      </c>
      <c r="AQ40" s="648">
        <f t="shared" si="11"/>
        <v>0.29166666666666669</v>
      </c>
      <c r="AR40" s="648">
        <f t="shared" si="12"/>
        <v>0.2</v>
      </c>
      <c r="AS40" s="648" t="str">
        <f t="shared" si="13"/>
        <v/>
      </c>
      <c r="AT40" s="648" t="str">
        <f t="shared" si="14"/>
        <v/>
      </c>
      <c r="AU40" s="649" t="str">
        <f t="shared" si="15"/>
        <v/>
      </c>
      <c r="AV40" s="624">
        <f>'2020'!L40</f>
        <v>5</v>
      </c>
      <c r="AW40" s="598">
        <f>'2021'!L40</f>
        <v>7</v>
      </c>
      <c r="AX40" s="598">
        <f>'2022'!L40</f>
        <v>4</v>
      </c>
      <c r="AY40" s="598">
        <f>'2023'!L40</f>
        <v>0</v>
      </c>
      <c r="AZ40" s="598">
        <f>'2024'!L40</f>
        <v>0</v>
      </c>
      <c r="BA40" s="599">
        <f>'2025'!L40</f>
        <v>0</v>
      </c>
      <c r="BB40" s="421" t="str">
        <f t="shared" si="29"/>
        <v/>
      </c>
      <c r="BC40" s="422" t="str">
        <f t="shared" si="16"/>
        <v/>
      </c>
      <c r="BD40" s="422">
        <f t="shared" si="17"/>
        <v>0</v>
      </c>
      <c r="BE40" s="422" t="str">
        <f t="shared" si="18"/>
        <v/>
      </c>
      <c r="BF40" s="422" t="str">
        <f t="shared" si="19"/>
        <v/>
      </c>
      <c r="BG40" s="423" t="str">
        <f t="shared" si="20"/>
        <v/>
      </c>
      <c r="BH40" s="732" t="str">
        <f>'2020'!N40</f>
        <v>-</v>
      </c>
      <c r="BI40" s="733" t="str">
        <f>'2021'!N40</f>
        <v>-</v>
      </c>
      <c r="BJ40" s="733">
        <f>'2022'!N40</f>
        <v>0</v>
      </c>
      <c r="BK40" s="733">
        <f>'2023'!N40</f>
        <v>0</v>
      </c>
      <c r="BL40" s="733">
        <f>'2024'!N40</f>
        <v>0</v>
      </c>
      <c r="BM40" s="734">
        <f>'2025'!N40</f>
        <v>0</v>
      </c>
      <c r="BN40" s="424" t="s">
        <v>21</v>
      </c>
      <c r="BO40" s="425" t="s">
        <v>21</v>
      </c>
      <c r="BP40" s="424" t="s">
        <v>21</v>
      </c>
      <c r="BQ40" s="425" t="s">
        <v>21</v>
      </c>
      <c r="BR40" s="426" t="s">
        <v>21</v>
      </c>
      <c r="BS40" s="427" t="s">
        <v>21</v>
      </c>
      <c r="BT40" s="426" t="s">
        <v>21</v>
      </c>
      <c r="BU40" s="428" t="s">
        <v>21</v>
      </c>
      <c r="CC40" s="1" t="str">
        <f t="shared" si="30"/>
        <v>France</v>
      </c>
      <c r="CD40" s="1" t="str">
        <f t="shared" si="31"/>
        <v>France</v>
      </c>
      <c r="CE40" s="1" t="str">
        <f t="shared" si="32"/>
        <v>France</v>
      </c>
      <c r="CF40" s="1" t="str">
        <f t="shared" si="33"/>
        <v/>
      </c>
      <c r="CG40" s="1" t="str">
        <f t="shared" si="34"/>
        <v/>
      </c>
      <c r="CH40" s="1" t="str">
        <f t="shared" si="35"/>
        <v/>
      </c>
    </row>
    <row r="41" spans="2:86" ht="15" customHeight="1" x14ac:dyDescent="0.3">
      <c r="B41" s="773"/>
      <c r="C41" s="845"/>
      <c r="D41" s="819"/>
      <c r="E41" s="822"/>
      <c r="F41" s="822"/>
      <c r="G41" s="822"/>
      <c r="H41" s="822"/>
      <c r="I41" s="825"/>
      <c r="J41" s="721" t="s">
        <v>18</v>
      </c>
      <c r="K41" s="400" t="str">
        <f t="shared" si="130"/>
        <v>X</v>
      </c>
      <c r="L41" s="400" t="str">
        <f t="shared" si="131"/>
        <v>X</v>
      </c>
      <c r="M41" s="400" t="str">
        <f t="shared" si="132"/>
        <v>X</v>
      </c>
      <c r="N41" s="400" t="str">
        <f t="shared" si="133"/>
        <v/>
      </c>
      <c r="O41" s="400" t="str">
        <f t="shared" si="134"/>
        <v/>
      </c>
      <c r="P41" s="401" t="str">
        <f t="shared" si="135"/>
        <v/>
      </c>
      <c r="Q41" s="237" t="s">
        <v>60</v>
      </c>
      <c r="R41" s="597">
        <f>'2020'!G41</f>
        <v>29</v>
      </c>
      <c r="S41" s="598">
        <f>'2021'!G41</f>
        <v>33</v>
      </c>
      <c r="T41" s="598">
        <f>'2022'!G41</f>
        <v>20</v>
      </c>
      <c r="U41" s="598">
        <f>'2023'!G41</f>
        <v>0</v>
      </c>
      <c r="V41" s="598">
        <f>'2024'!G41</f>
        <v>0</v>
      </c>
      <c r="W41" s="599">
        <f>'2025'!G41</f>
        <v>0</v>
      </c>
      <c r="X41" s="624">
        <f>'2020'!H41</f>
        <v>21</v>
      </c>
      <c r="Y41" s="598">
        <f>'2021'!H41</f>
        <v>25</v>
      </c>
      <c r="Z41" s="598">
        <f>'2022'!H41</f>
        <v>9</v>
      </c>
      <c r="AA41" s="598">
        <f>'2023'!H41</f>
        <v>0</v>
      </c>
      <c r="AB41" s="598">
        <f>'2024'!H41</f>
        <v>0</v>
      </c>
      <c r="AC41" s="599">
        <f>'2025'!H41</f>
        <v>0</v>
      </c>
      <c r="AD41" s="647">
        <f t="shared" si="4"/>
        <v>0</v>
      </c>
      <c r="AE41" s="648">
        <f t="shared" si="5"/>
        <v>0</v>
      </c>
      <c r="AF41" s="648">
        <f t="shared" si="6"/>
        <v>0.25</v>
      </c>
      <c r="AG41" s="648">
        <f t="shared" si="7"/>
        <v>0</v>
      </c>
      <c r="AH41" s="648">
        <f t="shared" si="8"/>
        <v>0</v>
      </c>
      <c r="AI41" s="649">
        <f t="shared" si="9"/>
        <v>0</v>
      </c>
      <c r="AJ41" s="624">
        <f>'2020'!J41</f>
        <v>0</v>
      </c>
      <c r="AK41" s="598">
        <f>'2021'!J41</f>
        <v>0</v>
      </c>
      <c r="AL41" s="598">
        <f>'2022'!J41</f>
        <v>5</v>
      </c>
      <c r="AM41" s="598">
        <f>'2023'!J41</f>
        <v>0</v>
      </c>
      <c r="AN41" s="598">
        <f>'2024'!J41</f>
        <v>0</v>
      </c>
      <c r="AO41" s="599">
        <f>'2025'!J41</f>
        <v>0</v>
      </c>
      <c r="AP41" s="647">
        <f t="shared" si="28"/>
        <v>0.41379310344827586</v>
      </c>
      <c r="AQ41" s="648">
        <f t="shared" si="11"/>
        <v>0.21212121212121213</v>
      </c>
      <c r="AR41" s="648">
        <f t="shared" si="12"/>
        <v>0.25</v>
      </c>
      <c r="AS41" s="648" t="str">
        <f t="shared" si="13"/>
        <v/>
      </c>
      <c r="AT41" s="648" t="str">
        <f t="shared" si="14"/>
        <v/>
      </c>
      <c r="AU41" s="649" t="str">
        <f t="shared" si="15"/>
        <v/>
      </c>
      <c r="AV41" s="624">
        <f>'2020'!L41</f>
        <v>12</v>
      </c>
      <c r="AW41" s="598">
        <f>'2021'!L41</f>
        <v>7</v>
      </c>
      <c r="AX41" s="598">
        <f>'2022'!L41</f>
        <v>5</v>
      </c>
      <c r="AY41" s="598">
        <f>'2023'!L41</f>
        <v>0</v>
      </c>
      <c r="AZ41" s="598">
        <f>'2024'!L41</f>
        <v>0</v>
      </c>
      <c r="BA41" s="599">
        <f>'2025'!L41</f>
        <v>0</v>
      </c>
      <c r="BB41" s="421" t="str">
        <f t="shared" si="29"/>
        <v/>
      </c>
      <c r="BC41" s="422" t="str">
        <f t="shared" si="16"/>
        <v/>
      </c>
      <c r="BD41" s="422">
        <f t="shared" si="17"/>
        <v>0</v>
      </c>
      <c r="BE41" s="422" t="str">
        <f t="shared" si="18"/>
        <v/>
      </c>
      <c r="BF41" s="422" t="str">
        <f t="shared" si="19"/>
        <v/>
      </c>
      <c r="BG41" s="423" t="str">
        <f t="shared" si="20"/>
        <v/>
      </c>
      <c r="BH41" s="732" t="str">
        <f>'2020'!N41</f>
        <v>-</v>
      </c>
      <c r="BI41" s="733" t="str">
        <f>'2021'!N41</f>
        <v>-</v>
      </c>
      <c r="BJ41" s="733">
        <f>'2022'!N41</f>
        <v>0</v>
      </c>
      <c r="BK41" s="733">
        <f>'2023'!N41</f>
        <v>0</v>
      </c>
      <c r="BL41" s="733">
        <f>'2024'!N41</f>
        <v>0</v>
      </c>
      <c r="BM41" s="734">
        <f>'2025'!N41</f>
        <v>0</v>
      </c>
      <c r="BN41" s="424" t="s">
        <v>21</v>
      </c>
      <c r="BO41" s="425" t="s">
        <v>21</v>
      </c>
      <c r="BP41" s="424" t="s">
        <v>21</v>
      </c>
      <c r="BQ41" s="425" t="s">
        <v>21</v>
      </c>
      <c r="BR41" s="426" t="s">
        <v>21</v>
      </c>
      <c r="BS41" s="427" t="s">
        <v>21</v>
      </c>
      <c r="BT41" s="426" t="s">
        <v>21</v>
      </c>
      <c r="BU41" s="428" t="s">
        <v>21</v>
      </c>
      <c r="CC41" s="1" t="str">
        <f t="shared" si="30"/>
        <v>France</v>
      </c>
      <c r="CD41" s="1" t="str">
        <f t="shared" si="31"/>
        <v>France</v>
      </c>
      <c r="CE41" s="1" t="str">
        <f t="shared" si="32"/>
        <v>France</v>
      </c>
      <c r="CF41" s="1" t="str">
        <f t="shared" si="33"/>
        <v/>
      </c>
      <c r="CG41" s="1" t="str">
        <f t="shared" si="34"/>
        <v/>
      </c>
      <c r="CH41" s="1" t="str">
        <f t="shared" si="35"/>
        <v/>
      </c>
    </row>
    <row r="42" spans="2:86" ht="15" customHeight="1" x14ac:dyDescent="0.3">
      <c r="B42" s="773"/>
      <c r="C42" s="845"/>
      <c r="D42" s="819"/>
      <c r="E42" s="822"/>
      <c r="F42" s="822"/>
      <c r="G42" s="822"/>
      <c r="H42" s="822"/>
      <c r="I42" s="825"/>
      <c r="J42" s="721" t="s">
        <v>19</v>
      </c>
      <c r="K42" s="400" t="str">
        <f t="shared" si="130"/>
        <v>X</v>
      </c>
      <c r="L42" s="400" t="str">
        <f t="shared" si="131"/>
        <v>X</v>
      </c>
      <c r="M42" s="400" t="str">
        <f t="shared" si="132"/>
        <v>X</v>
      </c>
      <c r="N42" s="400" t="str">
        <f t="shared" si="133"/>
        <v/>
      </c>
      <c r="O42" s="400" t="str">
        <f t="shared" si="134"/>
        <v/>
      </c>
      <c r="P42" s="401" t="str">
        <f t="shared" si="135"/>
        <v/>
      </c>
      <c r="Q42" s="237" t="s">
        <v>60</v>
      </c>
      <c r="R42" s="597">
        <f>'2020'!G42</f>
        <v>27</v>
      </c>
      <c r="S42" s="598">
        <f>'2021'!G42</f>
        <v>32</v>
      </c>
      <c r="T42" s="598">
        <f>'2022'!G42</f>
        <v>35</v>
      </c>
      <c r="U42" s="598">
        <f>'2023'!G42</f>
        <v>0</v>
      </c>
      <c r="V42" s="598">
        <f>'2024'!G42</f>
        <v>0</v>
      </c>
      <c r="W42" s="599">
        <f>'2025'!G42</f>
        <v>0</v>
      </c>
      <c r="X42" s="624">
        <f>'2020'!H42</f>
        <v>17</v>
      </c>
      <c r="Y42" s="598">
        <f>'2021'!H42</f>
        <v>17</v>
      </c>
      <c r="Z42" s="598">
        <f>'2022'!H42</f>
        <v>9</v>
      </c>
      <c r="AA42" s="598">
        <f>'2023'!H42</f>
        <v>0</v>
      </c>
      <c r="AB42" s="598">
        <f>'2024'!H42</f>
        <v>0</v>
      </c>
      <c r="AC42" s="599">
        <f>'2025'!H42</f>
        <v>0</v>
      </c>
      <c r="AD42" s="647">
        <f t="shared" si="4"/>
        <v>0.25925925925925924</v>
      </c>
      <c r="AE42" s="648">
        <f t="shared" si="5"/>
        <v>0.15625</v>
      </c>
      <c r="AF42" s="648">
        <f t="shared" si="6"/>
        <v>0.31428571428571428</v>
      </c>
      <c r="AG42" s="648">
        <f t="shared" si="7"/>
        <v>0</v>
      </c>
      <c r="AH42" s="648">
        <f t="shared" si="8"/>
        <v>0</v>
      </c>
      <c r="AI42" s="649">
        <f t="shared" si="9"/>
        <v>0</v>
      </c>
      <c r="AJ42" s="624">
        <f>'2020'!J42</f>
        <v>7</v>
      </c>
      <c r="AK42" s="598">
        <f>'2021'!J42</f>
        <v>5</v>
      </c>
      <c r="AL42" s="598">
        <f>'2022'!J42</f>
        <v>11</v>
      </c>
      <c r="AM42" s="598">
        <f>'2023'!J42</f>
        <v>0</v>
      </c>
      <c r="AN42" s="598">
        <f>'2024'!J42</f>
        <v>0</v>
      </c>
      <c r="AO42" s="599">
        <f>'2025'!J42</f>
        <v>0</v>
      </c>
      <c r="AP42" s="647">
        <f t="shared" si="28"/>
        <v>0.48148148148148145</v>
      </c>
      <c r="AQ42" s="648">
        <f t="shared" si="11"/>
        <v>0.375</v>
      </c>
      <c r="AR42" s="648">
        <f t="shared" si="12"/>
        <v>0.22857142857142856</v>
      </c>
      <c r="AS42" s="648" t="str">
        <f t="shared" si="13"/>
        <v/>
      </c>
      <c r="AT42" s="648" t="str">
        <f t="shared" si="14"/>
        <v/>
      </c>
      <c r="AU42" s="649" t="str">
        <f t="shared" si="15"/>
        <v/>
      </c>
      <c r="AV42" s="624">
        <f>'2020'!L42</f>
        <v>13</v>
      </c>
      <c r="AW42" s="598">
        <f>'2021'!L42</f>
        <v>12</v>
      </c>
      <c r="AX42" s="598">
        <f>'2022'!L42</f>
        <v>8</v>
      </c>
      <c r="AY42" s="598">
        <f>'2023'!L42</f>
        <v>0</v>
      </c>
      <c r="AZ42" s="598">
        <f>'2024'!L42</f>
        <v>0</v>
      </c>
      <c r="BA42" s="599">
        <f>'2025'!L42</f>
        <v>0</v>
      </c>
      <c r="BB42" s="421" t="str">
        <f t="shared" si="29"/>
        <v/>
      </c>
      <c r="BC42" s="422" t="str">
        <f t="shared" si="16"/>
        <v/>
      </c>
      <c r="BD42" s="422">
        <f t="shared" si="17"/>
        <v>0</v>
      </c>
      <c r="BE42" s="422" t="str">
        <f t="shared" si="18"/>
        <v/>
      </c>
      <c r="BF42" s="422" t="str">
        <f t="shared" si="19"/>
        <v/>
      </c>
      <c r="BG42" s="423" t="str">
        <f t="shared" si="20"/>
        <v/>
      </c>
      <c r="BH42" s="732" t="str">
        <f>'2020'!N42</f>
        <v>-</v>
      </c>
      <c r="BI42" s="733" t="str">
        <f>'2021'!N42</f>
        <v>-</v>
      </c>
      <c r="BJ42" s="733">
        <f>'2022'!N42</f>
        <v>0</v>
      </c>
      <c r="BK42" s="733">
        <f>'2023'!N42</f>
        <v>0</v>
      </c>
      <c r="BL42" s="733">
        <f>'2024'!N42</f>
        <v>0</v>
      </c>
      <c r="BM42" s="734">
        <f>'2025'!N42</f>
        <v>0</v>
      </c>
      <c r="BN42" s="424" t="s">
        <v>21</v>
      </c>
      <c r="BO42" s="425" t="s">
        <v>21</v>
      </c>
      <c r="BP42" s="424" t="s">
        <v>21</v>
      </c>
      <c r="BQ42" s="425" t="s">
        <v>21</v>
      </c>
      <c r="BR42" s="426" t="s">
        <v>21</v>
      </c>
      <c r="BS42" s="427" t="s">
        <v>21</v>
      </c>
      <c r="BT42" s="426" t="s">
        <v>21</v>
      </c>
      <c r="BU42" s="428" t="s">
        <v>21</v>
      </c>
      <c r="CC42" s="1" t="str">
        <f t="shared" si="30"/>
        <v>France</v>
      </c>
      <c r="CD42" s="1" t="str">
        <f t="shared" si="31"/>
        <v>France</v>
      </c>
      <c r="CE42" s="1" t="str">
        <f t="shared" si="32"/>
        <v>France</v>
      </c>
      <c r="CF42" s="1" t="str">
        <f t="shared" si="33"/>
        <v/>
      </c>
      <c r="CG42" s="1" t="str">
        <f t="shared" si="34"/>
        <v/>
      </c>
      <c r="CH42" s="1" t="str">
        <f t="shared" si="35"/>
        <v/>
      </c>
    </row>
    <row r="43" spans="2:86" ht="15" customHeight="1" x14ac:dyDescent="0.3">
      <c r="B43" s="773"/>
      <c r="C43" s="845"/>
      <c r="D43" s="819"/>
      <c r="E43" s="822"/>
      <c r="F43" s="822"/>
      <c r="G43" s="822"/>
      <c r="H43" s="822"/>
      <c r="I43" s="825"/>
      <c r="J43" s="721" t="s">
        <v>169</v>
      </c>
      <c r="K43" s="400" t="str">
        <f t="shared" si="130"/>
        <v/>
      </c>
      <c r="L43" s="400" t="str">
        <f t="shared" si="131"/>
        <v/>
      </c>
      <c r="M43" s="400" t="str">
        <f t="shared" si="132"/>
        <v>X</v>
      </c>
      <c r="N43" s="400" t="str">
        <f t="shared" si="133"/>
        <v/>
      </c>
      <c r="O43" s="400" t="str">
        <f t="shared" si="134"/>
        <v/>
      </c>
      <c r="P43" s="401" t="str">
        <f t="shared" si="135"/>
        <v/>
      </c>
      <c r="Q43" s="237" t="s">
        <v>60</v>
      </c>
      <c r="R43" s="597">
        <f>'2020'!G43</f>
        <v>0</v>
      </c>
      <c r="S43" s="598">
        <f>'2021'!G43</f>
        <v>0</v>
      </c>
      <c r="T43" s="598">
        <f>'2022'!G43</f>
        <v>15</v>
      </c>
      <c r="U43" s="598">
        <f>'2023'!G43</f>
        <v>0</v>
      </c>
      <c r="V43" s="598">
        <f>'2024'!G43</f>
        <v>0</v>
      </c>
      <c r="W43" s="599">
        <f>'2025'!G43</f>
        <v>0</v>
      </c>
      <c r="X43" s="624">
        <f>'2020'!H43</f>
        <v>0</v>
      </c>
      <c r="Y43" s="598">
        <f>'2021'!H43</f>
        <v>0</v>
      </c>
      <c r="Z43" s="598">
        <f>'2022'!H43</f>
        <v>7</v>
      </c>
      <c r="AA43" s="598">
        <f>'2023'!H43</f>
        <v>0</v>
      </c>
      <c r="AB43" s="598">
        <f>'2024'!H43</f>
        <v>0</v>
      </c>
      <c r="AC43" s="599">
        <f>'2025'!H43</f>
        <v>0</v>
      </c>
      <c r="AD43" s="647">
        <f t="shared" si="4"/>
        <v>0</v>
      </c>
      <c r="AE43" s="648">
        <f t="shared" si="5"/>
        <v>0</v>
      </c>
      <c r="AF43" s="648">
        <f t="shared" si="6"/>
        <v>0.2</v>
      </c>
      <c r="AG43" s="648">
        <f t="shared" si="7"/>
        <v>0</v>
      </c>
      <c r="AH43" s="648">
        <f t="shared" si="8"/>
        <v>0</v>
      </c>
      <c r="AI43" s="649">
        <f t="shared" si="9"/>
        <v>0</v>
      </c>
      <c r="AJ43" s="624">
        <f>'2020'!J43</f>
        <v>0</v>
      </c>
      <c r="AK43" s="598">
        <f>'2021'!J43</f>
        <v>0</v>
      </c>
      <c r="AL43" s="598">
        <f>'2022'!J43</f>
        <v>3</v>
      </c>
      <c r="AM43" s="598">
        <f>'2023'!J43</f>
        <v>0</v>
      </c>
      <c r="AN43" s="598">
        <f>'2024'!J43</f>
        <v>0</v>
      </c>
      <c r="AO43" s="599">
        <f>'2025'!J43</f>
        <v>0</v>
      </c>
      <c r="AP43" s="647" t="str">
        <f t="shared" si="28"/>
        <v/>
      </c>
      <c r="AQ43" s="648" t="str">
        <f t="shared" si="11"/>
        <v/>
      </c>
      <c r="AR43" s="648">
        <f t="shared" si="12"/>
        <v>0</v>
      </c>
      <c r="AS43" s="648" t="str">
        <f t="shared" si="13"/>
        <v/>
      </c>
      <c r="AT43" s="648" t="str">
        <f t="shared" si="14"/>
        <v/>
      </c>
      <c r="AU43" s="649" t="str">
        <f t="shared" si="15"/>
        <v/>
      </c>
      <c r="AV43" s="624">
        <f>'2020'!L43</f>
        <v>0</v>
      </c>
      <c r="AW43" s="598">
        <f>'2021'!L43</f>
        <v>0</v>
      </c>
      <c r="AX43" s="598">
        <f>'2022'!L43</f>
        <v>0</v>
      </c>
      <c r="AY43" s="598">
        <f>'2023'!L43</f>
        <v>0</v>
      </c>
      <c r="AZ43" s="598">
        <f>'2024'!L43</f>
        <v>0</v>
      </c>
      <c r="BA43" s="599">
        <f>'2025'!L43</f>
        <v>0</v>
      </c>
      <c r="BB43" s="421" t="str">
        <f t="shared" si="29"/>
        <v/>
      </c>
      <c r="BC43" s="422" t="str">
        <f t="shared" si="16"/>
        <v/>
      </c>
      <c r="BD43" s="422" t="str">
        <f t="shared" si="17"/>
        <v/>
      </c>
      <c r="BE43" s="422" t="str">
        <f t="shared" si="18"/>
        <v/>
      </c>
      <c r="BF43" s="422" t="str">
        <f t="shared" si="19"/>
        <v/>
      </c>
      <c r="BG43" s="423" t="str">
        <f t="shared" si="20"/>
        <v/>
      </c>
      <c r="BH43" s="732" t="str">
        <f>'2020'!N43</f>
        <v>-</v>
      </c>
      <c r="BI43" s="733" t="str">
        <f>'2021'!N43</f>
        <v>-</v>
      </c>
      <c r="BJ43" s="733">
        <f>'2022'!N43</f>
        <v>0</v>
      </c>
      <c r="BK43" s="733">
        <f>'2023'!N43</f>
        <v>0</v>
      </c>
      <c r="BL43" s="733">
        <f>'2024'!N43</f>
        <v>0</v>
      </c>
      <c r="BM43" s="734">
        <f>'2025'!N43</f>
        <v>0</v>
      </c>
      <c r="BN43" s="424" t="s">
        <v>21</v>
      </c>
      <c r="BO43" s="425" t="s">
        <v>21</v>
      </c>
      <c r="BP43" s="424" t="s">
        <v>21</v>
      </c>
      <c r="BQ43" s="425" t="s">
        <v>21</v>
      </c>
      <c r="BR43" s="426" t="s">
        <v>21</v>
      </c>
      <c r="BS43" s="427" t="s">
        <v>21</v>
      </c>
      <c r="BT43" s="426" t="s">
        <v>21</v>
      </c>
      <c r="BU43" s="428" t="s">
        <v>21</v>
      </c>
      <c r="CC43" s="1" t="str">
        <f t="shared" si="30"/>
        <v/>
      </c>
      <c r="CD43" s="1" t="str">
        <f t="shared" si="31"/>
        <v/>
      </c>
      <c r="CE43" s="1" t="str">
        <f t="shared" si="32"/>
        <v>France</v>
      </c>
      <c r="CF43" s="1" t="str">
        <f t="shared" si="33"/>
        <v/>
      </c>
      <c r="CG43" s="1" t="str">
        <f t="shared" si="34"/>
        <v/>
      </c>
      <c r="CH43" s="1" t="str">
        <f t="shared" si="35"/>
        <v/>
      </c>
    </row>
    <row r="44" spans="2:86" ht="15" customHeight="1" x14ac:dyDescent="0.3">
      <c r="B44" s="773"/>
      <c r="C44" s="845"/>
      <c r="D44" s="819"/>
      <c r="E44" s="822"/>
      <c r="F44" s="822"/>
      <c r="G44" s="822"/>
      <c r="H44" s="822"/>
      <c r="I44" s="825"/>
      <c r="J44" s="721" t="s">
        <v>170</v>
      </c>
      <c r="K44" s="400" t="str">
        <f t="shared" si="130"/>
        <v/>
      </c>
      <c r="L44" s="400" t="str">
        <f t="shared" si="131"/>
        <v/>
      </c>
      <c r="M44" s="400" t="str">
        <f t="shared" si="132"/>
        <v>X</v>
      </c>
      <c r="N44" s="400" t="str">
        <f t="shared" si="133"/>
        <v/>
      </c>
      <c r="O44" s="400" t="str">
        <f t="shared" si="134"/>
        <v/>
      </c>
      <c r="P44" s="401" t="str">
        <f t="shared" si="135"/>
        <v/>
      </c>
      <c r="Q44" s="237" t="s">
        <v>60</v>
      </c>
      <c r="R44" s="597">
        <f>'2020'!G44</f>
        <v>0</v>
      </c>
      <c r="S44" s="598">
        <f>'2021'!G44</f>
        <v>0</v>
      </c>
      <c r="T44" s="598">
        <f>'2022'!G44</f>
        <v>22</v>
      </c>
      <c r="U44" s="598">
        <f>'2023'!G44</f>
        <v>0</v>
      </c>
      <c r="V44" s="598">
        <f>'2024'!G44</f>
        <v>0</v>
      </c>
      <c r="W44" s="599">
        <f>'2025'!G44</f>
        <v>0</v>
      </c>
      <c r="X44" s="624">
        <f>'2020'!H44</f>
        <v>0</v>
      </c>
      <c r="Y44" s="598">
        <f>'2021'!H44</f>
        <v>0</v>
      </c>
      <c r="Z44" s="598">
        <f>'2022'!H44</f>
        <v>7</v>
      </c>
      <c r="AA44" s="598">
        <f>'2023'!H44</f>
        <v>0</v>
      </c>
      <c r="AB44" s="598">
        <f>'2024'!H44</f>
        <v>0</v>
      </c>
      <c r="AC44" s="599">
        <f>'2025'!H44</f>
        <v>0</v>
      </c>
      <c r="AD44" s="647">
        <f t="shared" si="4"/>
        <v>0</v>
      </c>
      <c r="AE44" s="648">
        <f t="shared" si="5"/>
        <v>0</v>
      </c>
      <c r="AF44" s="648">
        <f t="shared" si="6"/>
        <v>9.0909090909090912E-2</v>
      </c>
      <c r="AG44" s="648">
        <f t="shared" si="7"/>
        <v>0</v>
      </c>
      <c r="AH44" s="648">
        <f t="shared" si="8"/>
        <v>0</v>
      </c>
      <c r="AI44" s="649">
        <f t="shared" si="9"/>
        <v>0</v>
      </c>
      <c r="AJ44" s="624">
        <f>'2020'!J44</f>
        <v>0</v>
      </c>
      <c r="AK44" s="598">
        <f>'2021'!J44</f>
        <v>0</v>
      </c>
      <c r="AL44" s="598">
        <f>'2022'!J44</f>
        <v>2</v>
      </c>
      <c r="AM44" s="598">
        <f>'2023'!J44</f>
        <v>0</v>
      </c>
      <c r="AN44" s="598">
        <f>'2024'!J44</f>
        <v>0</v>
      </c>
      <c r="AO44" s="599">
        <f>'2025'!J44</f>
        <v>0</v>
      </c>
      <c r="AP44" s="647" t="str">
        <f t="shared" si="28"/>
        <v/>
      </c>
      <c r="AQ44" s="648" t="str">
        <f t="shared" si="11"/>
        <v/>
      </c>
      <c r="AR44" s="648">
        <f t="shared" si="12"/>
        <v>0.22727272727272727</v>
      </c>
      <c r="AS44" s="648" t="str">
        <f t="shared" si="13"/>
        <v/>
      </c>
      <c r="AT44" s="648" t="str">
        <f t="shared" si="14"/>
        <v/>
      </c>
      <c r="AU44" s="649" t="str">
        <f t="shared" si="15"/>
        <v/>
      </c>
      <c r="AV44" s="624">
        <f>'2020'!L44</f>
        <v>0</v>
      </c>
      <c r="AW44" s="598">
        <f>'2021'!L44</f>
        <v>0</v>
      </c>
      <c r="AX44" s="598">
        <f>'2022'!L44</f>
        <v>5</v>
      </c>
      <c r="AY44" s="598">
        <f>'2023'!L44</f>
        <v>0</v>
      </c>
      <c r="AZ44" s="598">
        <f>'2024'!L44</f>
        <v>0</v>
      </c>
      <c r="BA44" s="599">
        <f>'2025'!L44</f>
        <v>0</v>
      </c>
      <c r="BB44" s="421" t="str">
        <f t="shared" si="29"/>
        <v/>
      </c>
      <c r="BC44" s="422" t="str">
        <f t="shared" si="16"/>
        <v/>
      </c>
      <c r="BD44" s="422">
        <f t="shared" si="17"/>
        <v>0</v>
      </c>
      <c r="BE44" s="422" t="str">
        <f t="shared" si="18"/>
        <v/>
      </c>
      <c r="BF44" s="422" t="str">
        <f t="shared" si="19"/>
        <v/>
      </c>
      <c r="BG44" s="423" t="str">
        <f t="shared" si="20"/>
        <v/>
      </c>
      <c r="BH44" s="732" t="str">
        <f>'2020'!N44</f>
        <v>-</v>
      </c>
      <c r="BI44" s="733" t="str">
        <f>'2021'!N44</f>
        <v>-</v>
      </c>
      <c r="BJ44" s="733">
        <f>'2022'!N44</f>
        <v>0</v>
      </c>
      <c r="BK44" s="733">
        <f>'2023'!N44</f>
        <v>0</v>
      </c>
      <c r="BL44" s="733">
        <f>'2024'!N44</f>
        <v>0</v>
      </c>
      <c r="BM44" s="734">
        <f>'2025'!N44</f>
        <v>0</v>
      </c>
      <c r="BN44" s="424" t="s">
        <v>21</v>
      </c>
      <c r="BO44" s="425" t="s">
        <v>21</v>
      </c>
      <c r="BP44" s="424" t="s">
        <v>21</v>
      </c>
      <c r="BQ44" s="425" t="s">
        <v>21</v>
      </c>
      <c r="BR44" s="426" t="s">
        <v>21</v>
      </c>
      <c r="BS44" s="427" t="s">
        <v>21</v>
      </c>
      <c r="BT44" s="426" t="s">
        <v>21</v>
      </c>
      <c r="BU44" s="428" t="s">
        <v>21</v>
      </c>
      <c r="CC44" s="1" t="str">
        <f t="shared" si="30"/>
        <v/>
      </c>
      <c r="CD44" s="1" t="str">
        <f t="shared" si="31"/>
        <v/>
      </c>
      <c r="CE44" s="1" t="str">
        <f t="shared" si="32"/>
        <v>France</v>
      </c>
      <c r="CF44" s="1" t="str">
        <f t="shared" si="33"/>
        <v/>
      </c>
      <c r="CG44" s="1" t="str">
        <f t="shared" si="34"/>
        <v/>
      </c>
      <c r="CH44" s="1" t="str">
        <f t="shared" si="35"/>
        <v/>
      </c>
    </row>
    <row r="45" spans="2:86" ht="15" customHeight="1" x14ac:dyDescent="0.3">
      <c r="B45" s="773"/>
      <c r="C45" s="845"/>
      <c r="D45" s="819"/>
      <c r="E45" s="822"/>
      <c r="F45" s="822"/>
      <c r="G45" s="822"/>
      <c r="H45" s="822"/>
      <c r="I45" s="825"/>
      <c r="J45" s="721" t="s">
        <v>5</v>
      </c>
      <c r="K45" s="400" t="str">
        <f t="shared" si="130"/>
        <v>X</v>
      </c>
      <c r="L45" s="400" t="str">
        <f t="shared" si="131"/>
        <v/>
      </c>
      <c r="M45" s="400" t="str">
        <f t="shared" si="132"/>
        <v/>
      </c>
      <c r="N45" s="400" t="str">
        <f t="shared" si="133"/>
        <v/>
      </c>
      <c r="O45" s="400" t="str">
        <f t="shared" si="134"/>
        <v/>
      </c>
      <c r="P45" s="401" t="str">
        <f t="shared" si="135"/>
        <v/>
      </c>
      <c r="Q45" s="237" t="s">
        <v>60</v>
      </c>
      <c r="R45" s="583">
        <f>'2020'!G45</f>
        <v>4</v>
      </c>
      <c r="S45" s="584">
        <f>'2021'!G45</f>
        <v>0</v>
      </c>
      <c r="T45" s="584">
        <f>'2022'!G45</f>
        <v>0</v>
      </c>
      <c r="U45" s="584">
        <f>'2023'!G45</f>
        <v>0</v>
      </c>
      <c r="V45" s="584">
        <f>'2024'!G45</f>
        <v>0</v>
      </c>
      <c r="W45" s="585">
        <f>'2025'!G45</f>
        <v>0</v>
      </c>
      <c r="X45" s="619">
        <f>'2020'!H45</f>
        <v>2</v>
      </c>
      <c r="Y45" s="584">
        <f>'2021'!H45</f>
        <v>0</v>
      </c>
      <c r="Z45" s="584">
        <f>'2022'!H45</f>
        <v>0</v>
      </c>
      <c r="AA45" s="584">
        <f>'2023'!H45</f>
        <v>0</v>
      </c>
      <c r="AB45" s="584">
        <f>'2024'!H45</f>
        <v>0</v>
      </c>
      <c r="AC45" s="585">
        <f>'2025'!H45</f>
        <v>0</v>
      </c>
      <c r="AD45" s="421">
        <f t="shared" si="4"/>
        <v>0.5</v>
      </c>
      <c r="AE45" s="422">
        <f t="shared" si="5"/>
        <v>0</v>
      </c>
      <c r="AF45" s="422">
        <f t="shared" si="6"/>
        <v>0</v>
      </c>
      <c r="AG45" s="422">
        <f t="shared" si="7"/>
        <v>0</v>
      </c>
      <c r="AH45" s="422">
        <f t="shared" si="8"/>
        <v>0</v>
      </c>
      <c r="AI45" s="423">
        <f t="shared" si="9"/>
        <v>0</v>
      </c>
      <c r="AJ45" s="619">
        <f>'2020'!J45</f>
        <v>2</v>
      </c>
      <c r="AK45" s="584">
        <f>'2021'!J45</f>
        <v>0</v>
      </c>
      <c r="AL45" s="584">
        <f>'2022'!J45</f>
        <v>0</v>
      </c>
      <c r="AM45" s="584">
        <f>'2023'!J45</f>
        <v>0</v>
      </c>
      <c r="AN45" s="584">
        <f>'2024'!J45</f>
        <v>0</v>
      </c>
      <c r="AO45" s="585">
        <f>'2025'!J45</f>
        <v>0</v>
      </c>
      <c r="AP45" s="421">
        <f t="shared" si="28"/>
        <v>0</v>
      </c>
      <c r="AQ45" s="422" t="str">
        <f t="shared" si="11"/>
        <v/>
      </c>
      <c r="AR45" s="422" t="str">
        <f t="shared" si="12"/>
        <v/>
      </c>
      <c r="AS45" s="422" t="str">
        <f t="shared" si="13"/>
        <v/>
      </c>
      <c r="AT45" s="422" t="str">
        <f t="shared" si="14"/>
        <v/>
      </c>
      <c r="AU45" s="423" t="str">
        <f t="shared" si="15"/>
        <v/>
      </c>
      <c r="AV45" s="619">
        <f>'2020'!L45</f>
        <v>0</v>
      </c>
      <c r="AW45" s="584">
        <f>'2021'!L45</f>
        <v>0</v>
      </c>
      <c r="AX45" s="584">
        <f>'2022'!L45</f>
        <v>0</v>
      </c>
      <c r="AY45" s="584">
        <f>'2023'!L45</f>
        <v>0</v>
      </c>
      <c r="AZ45" s="584">
        <f>'2024'!L45</f>
        <v>0</v>
      </c>
      <c r="BA45" s="585">
        <f>'2025'!L45</f>
        <v>0</v>
      </c>
      <c r="BB45" s="421" t="str">
        <f t="shared" si="29"/>
        <v/>
      </c>
      <c r="BC45" s="422" t="str">
        <f t="shared" si="16"/>
        <v/>
      </c>
      <c r="BD45" s="422" t="str">
        <f t="shared" si="17"/>
        <v/>
      </c>
      <c r="BE45" s="422" t="str">
        <f t="shared" si="18"/>
        <v/>
      </c>
      <c r="BF45" s="422" t="str">
        <f t="shared" si="19"/>
        <v/>
      </c>
      <c r="BG45" s="423" t="str">
        <f t="shared" si="20"/>
        <v/>
      </c>
      <c r="BH45" s="732" t="str">
        <f>'2020'!N45</f>
        <v>-</v>
      </c>
      <c r="BI45" s="733" t="str">
        <f>'2021'!N45</f>
        <v>-</v>
      </c>
      <c r="BJ45" s="733">
        <f>'2022'!N45</f>
        <v>0</v>
      </c>
      <c r="BK45" s="733">
        <f>'2023'!N45</f>
        <v>0</v>
      </c>
      <c r="BL45" s="733">
        <f>'2024'!N45</f>
        <v>0</v>
      </c>
      <c r="BM45" s="734">
        <f>'2025'!N45</f>
        <v>0</v>
      </c>
      <c r="BN45" s="424" t="s">
        <v>21</v>
      </c>
      <c r="BO45" s="425" t="s">
        <v>21</v>
      </c>
      <c r="BP45" s="424" t="s">
        <v>21</v>
      </c>
      <c r="BQ45" s="425" t="s">
        <v>21</v>
      </c>
      <c r="BR45" s="426" t="s">
        <v>21</v>
      </c>
      <c r="BS45" s="427" t="s">
        <v>21</v>
      </c>
      <c r="BT45" s="426" t="s">
        <v>21</v>
      </c>
      <c r="BU45" s="428" t="s">
        <v>21</v>
      </c>
      <c r="CC45" s="1" t="str">
        <f t="shared" si="30"/>
        <v>France</v>
      </c>
      <c r="CD45" s="1" t="str">
        <f t="shared" si="31"/>
        <v/>
      </c>
      <c r="CE45" s="1" t="str">
        <f t="shared" si="32"/>
        <v/>
      </c>
      <c r="CF45" s="1" t="str">
        <f t="shared" si="33"/>
        <v/>
      </c>
      <c r="CG45" s="1" t="str">
        <f t="shared" si="34"/>
        <v/>
      </c>
      <c r="CH45" s="1" t="str">
        <f t="shared" si="35"/>
        <v/>
      </c>
    </row>
    <row r="46" spans="2:86" ht="15" customHeight="1" x14ac:dyDescent="0.3">
      <c r="B46" s="773"/>
      <c r="C46" s="845"/>
      <c r="D46" s="819"/>
      <c r="E46" s="822"/>
      <c r="F46" s="822"/>
      <c r="G46" s="822"/>
      <c r="H46" s="822"/>
      <c r="I46" s="825"/>
      <c r="J46" s="721" t="s">
        <v>166</v>
      </c>
      <c r="K46" s="400" t="str">
        <f t="shared" si="130"/>
        <v/>
      </c>
      <c r="L46" s="400" t="str">
        <f t="shared" si="131"/>
        <v/>
      </c>
      <c r="M46" s="400" t="str">
        <f t="shared" si="132"/>
        <v/>
      </c>
      <c r="N46" s="400" t="str">
        <f t="shared" si="133"/>
        <v/>
      </c>
      <c r="O46" s="400" t="str">
        <f t="shared" si="134"/>
        <v/>
      </c>
      <c r="P46" s="401" t="str">
        <f t="shared" si="135"/>
        <v/>
      </c>
      <c r="Q46" s="237"/>
      <c r="R46" s="583">
        <f>'2020'!G46</f>
        <v>0</v>
      </c>
      <c r="S46" s="584">
        <f>'2021'!G46</f>
        <v>0</v>
      </c>
      <c r="T46" s="584">
        <f>'2022'!G46</f>
        <v>0</v>
      </c>
      <c r="U46" s="584">
        <f>'2023'!G46</f>
        <v>0</v>
      </c>
      <c r="V46" s="584">
        <f>'2024'!G46</f>
        <v>0</v>
      </c>
      <c r="W46" s="585">
        <f>'2025'!G46</f>
        <v>0</v>
      </c>
      <c r="X46" s="619">
        <f>'2020'!H46</f>
        <v>0</v>
      </c>
      <c r="Y46" s="584">
        <f>'2021'!H46</f>
        <v>0</v>
      </c>
      <c r="Z46" s="584">
        <f>'2022'!H46</f>
        <v>0</v>
      </c>
      <c r="AA46" s="584">
        <f>'2023'!H46</f>
        <v>0</v>
      </c>
      <c r="AB46" s="584">
        <f>'2024'!H46</f>
        <v>0</v>
      </c>
      <c r="AC46" s="585">
        <f>'2025'!H46</f>
        <v>0</v>
      </c>
      <c r="AD46" s="421">
        <f t="shared" si="4"/>
        <v>0</v>
      </c>
      <c r="AE46" s="422">
        <f t="shared" si="5"/>
        <v>0</v>
      </c>
      <c r="AF46" s="422">
        <f t="shared" si="6"/>
        <v>0</v>
      </c>
      <c r="AG46" s="422">
        <f t="shared" si="7"/>
        <v>0</v>
      </c>
      <c r="AH46" s="422">
        <f t="shared" si="8"/>
        <v>0</v>
      </c>
      <c r="AI46" s="423">
        <f t="shared" si="9"/>
        <v>0</v>
      </c>
      <c r="AJ46" s="619">
        <f>'2020'!J46</f>
        <v>0</v>
      </c>
      <c r="AK46" s="584">
        <f>'2021'!J46</f>
        <v>0</v>
      </c>
      <c r="AL46" s="584">
        <f>'2022'!J46</f>
        <v>0</v>
      </c>
      <c r="AM46" s="584">
        <f>'2023'!J46</f>
        <v>0</v>
      </c>
      <c r="AN46" s="584">
        <f>'2024'!J46</f>
        <v>0</v>
      </c>
      <c r="AO46" s="585">
        <f>'2025'!J46</f>
        <v>0</v>
      </c>
      <c r="AP46" s="421" t="str">
        <f t="shared" si="28"/>
        <v/>
      </c>
      <c r="AQ46" s="422" t="str">
        <f t="shared" si="11"/>
        <v/>
      </c>
      <c r="AR46" s="422" t="str">
        <f t="shared" si="12"/>
        <v/>
      </c>
      <c r="AS46" s="422" t="str">
        <f t="shared" si="13"/>
        <v/>
      </c>
      <c r="AT46" s="422" t="str">
        <f t="shared" si="14"/>
        <v/>
      </c>
      <c r="AU46" s="423" t="str">
        <f t="shared" si="15"/>
        <v/>
      </c>
      <c r="AV46" s="619">
        <f>'2020'!L46</f>
        <v>0</v>
      </c>
      <c r="AW46" s="584">
        <f>'2021'!L46</f>
        <v>0</v>
      </c>
      <c r="AX46" s="584">
        <f>'2022'!L46</f>
        <v>0</v>
      </c>
      <c r="AY46" s="584">
        <f>'2023'!L46</f>
        <v>0</v>
      </c>
      <c r="AZ46" s="584">
        <f>'2024'!L46</f>
        <v>0</v>
      </c>
      <c r="BA46" s="585">
        <f>'2025'!L46</f>
        <v>0</v>
      </c>
      <c r="BB46" s="421" t="str">
        <f t="shared" si="29"/>
        <v/>
      </c>
      <c r="BC46" s="422" t="str">
        <f t="shared" si="16"/>
        <v/>
      </c>
      <c r="BD46" s="422" t="str">
        <f t="shared" si="17"/>
        <v/>
      </c>
      <c r="BE46" s="422" t="str">
        <f t="shared" si="18"/>
        <v/>
      </c>
      <c r="BF46" s="422" t="str">
        <f t="shared" si="19"/>
        <v/>
      </c>
      <c r="BG46" s="423" t="str">
        <f t="shared" si="20"/>
        <v/>
      </c>
      <c r="BH46" s="732">
        <f>'2020'!N46</f>
        <v>0</v>
      </c>
      <c r="BI46" s="733">
        <f>'2021'!N46</f>
        <v>0</v>
      </c>
      <c r="BJ46" s="733">
        <f>'2022'!N46</f>
        <v>0</v>
      </c>
      <c r="BK46" s="733">
        <f>'2023'!N46</f>
        <v>0</v>
      </c>
      <c r="BL46" s="733">
        <f>'2024'!N46</f>
        <v>0</v>
      </c>
      <c r="BM46" s="734">
        <f>'2025'!N46</f>
        <v>0</v>
      </c>
      <c r="BN46" s="424"/>
      <c r="BO46" s="425"/>
      <c r="BP46" s="424"/>
      <c r="BQ46" s="425"/>
      <c r="BR46" s="426"/>
      <c r="BS46" s="427"/>
      <c r="BT46" s="426"/>
      <c r="BU46" s="428"/>
      <c r="CC46" s="1" t="str">
        <f t="shared" si="30"/>
        <v/>
      </c>
      <c r="CD46" s="1" t="str">
        <f t="shared" si="31"/>
        <v/>
      </c>
      <c r="CE46" s="1" t="str">
        <f t="shared" si="32"/>
        <v/>
      </c>
      <c r="CF46" s="1" t="str">
        <f t="shared" si="33"/>
        <v/>
      </c>
      <c r="CG46" s="1" t="str">
        <f t="shared" si="34"/>
        <v/>
      </c>
      <c r="CH46" s="1" t="str">
        <f t="shared" si="35"/>
        <v/>
      </c>
    </row>
    <row r="47" spans="2:86" ht="15" customHeight="1" x14ac:dyDescent="0.3">
      <c r="B47" s="773"/>
      <c r="C47" s="845"/>
      <c r="D47" s="819"/>
      <c r="E47" s="822"/>
      <c r="F47" s="822"/>
      <c r="G47" s="822"/>
      <c r="H47" s="822"/>
      <c r="I47" s="825"/>
      <c r="J47" s="721" t="s">
        <v>166</v>
      </c>
      <c r="K47" s="400" t="str">
        <f t="shared" si="130"/>
        <v/>
      </c>
      <c r="L47" s="400" t="str">
        <f t="shared" si="131"/>
        <v/>
      </c>
      <c r="M47" s="400" t="str">
        <f t="shared" si="132"/>
        <v/>
      </c>
      <c r="N47" s="400" t="str">
        <f t="shared" si="133"/>
        <v/>
      </c>
      <c r="O47" s="400" t="str">
        <f t="shared" si="134"/>
        <v/>
      </c>
      <c r="P47" s="401" t="str">
        <f t="shared" si="135"/>
        <v/>
      </c>
      <c r="Q47" s="237"/>
      <c r="R47" s="583">
        <f>'2020'!G47</f>
        <v>0</v>
      </c>
      <c r="S47" s="584">
        <f>'2021'!G47</f>
        <v>0</v>
      </c>
      <c r="T47" s="584">
        <f>'2022'!G47</f>
        <v>0</v>
      </c>
      <c r="U47" s="584">
        <f>'2023'!G47</f>
        <v>0</v>
      </c>
      <c r="V47" s="584">
        <f>'2024'!G47</f>
        <v>0</v>
      </c>
      <c r="W47" s="585">
        <f>'2025'!G47</f>
        <v>0</v>
      </c>
      <c r="X47" s="619">
        <f>'2020'!H47</f>
        <v>0</v>
      </c>
      <c r="Y47" s="584">
        <f>'2021'!H47</f>
        <v>0</v>
      </c>
      <c r="Z47" s="584">
        <f>'2022'!H47</f>
        <v>0</v>
      </c>
      <c r="AA47" s="584">
        <f>'2023'!H47</f>
        <v>0</v>
      </c>
      <c r="AB47" s="584">
        <f>'2024'!H47</f>
        <v>0</v>
      </c>
      <c r="AC47" s="585">
        <f>'2025'!H47</f>
        <v>0</v>
      </c>
      <c r="AD47" s="421">
        <f t="shared" si="4"/>
        <v>0</v>
      </c>
      <c r="AE47" s="422">
        <f t="shared" si="5"/>
        <v>0</v>
      </c>
      <c r="AF47" s="422">
        <f t="shared" si="6"/>
        <v>0</v>
      </c>
      <c r="AG47" s="422">
        <f t="shared" si="7"/>
        <v>0</v>
      </c>
      <c r="AH47" s="422">
        <f t="shared" si="8"/>
        <v>0</v>
      </c>
      <c r="AI47" s="423">
        <f t="shared" si="9"/>
        <v>0</v>
      </c>
      <c r="AJ47" s="619">
        <f>'2020'!J47</f>
        <v>0</v>
      </c>
      <c r="AK47" s="584">
        <f>'2021'!J47</f>
        <v>0</v>
      </c>
      <c r="AL47" s="584">
        <f>'2022'!J47</f>
        <v>0</v>
      </c>
      <c r="AM47" s="584">
        <f>'2023'!J47</f>
        <v>0</v>
      </c>
      <c r="AN47" s="584">
        <f>'2024'!J47</f>
        <v>0</v>
      </c>
      <c r="AO47" s="585">
        <f>'2025'!J47</f>
        <v>0</v>
      </c>
      <c r="AP47" s="421" t="str">
        <f t="shared" si="28"/>
        <v/>
      </c>
      <c r="AQ47" s="422" t="str">
        <f t="shared" si="11"/>
        <v/>
      </c>
      <c r="AR47" s="422" t="str">
        <f t="shared" si="12"/>
        <v/>
      </c>
      <c r="AS47" s="422" t="str">
        <f t="shared" si="13"/>
        <v/>
      </c>
      <c r="AT47" s="422" t="str">
        <f t="shared" si="14"/>
        <v/>
      </c>
      <c r="AU47" s="423" t="str">
        <f t="shared" si="15"/>
        <v/>
      </c>
      <c r="AV47" s="619">
        <f>'2020'!L47</f>
        <v>0</v>
      </c>
      <c r="AW47" s="584">
        <f>'2021'!L47</f>
        <v>0</v>
      </c>
      <c r="AX47" s="584">
        <f>'2022'!L47</f>
        <v>0</v>
      </c>
      <c r="AY47" s="584">
        <f>'2023'!L47</f>
        <v>0</v>
      </c>
      <c r="AZ47" s="584">
        <f>'2024'!L47</f>
        <v>0</v>
      </c>
      <c r="BA47" s="585">
        <f>'2025'!L47</f>
        <v>0</v>
      </c>
      <c r="BB47" s="421" t="str">
        <f t="shared" si="29"/>
        <v/>
      </c>
      <c r="BC47" s="422" t="str">
        <f t="shared" si="16"/>
        <v/>
      </c>
      <c r="BD47" s="422" t="str">
        <f t="shared" si="17"/>
        <v/>
      </c>
      <c r="BE47" s="422" t="str">
        <f t="shared" si="18"/>
        <v/>
      </c>
      <c r="BF47" s="422" t="str">
        <f t="shared" si="19"/>
        <v/>
      </c>
      <c r="BG47" s="423" t="str">
        <f t="shared" si="20"/>
        <v/>
      </c>
      <c r="BH47" s="732">
        <f>'2020'!N47</f>
        <v>0</v>
      </c>
      <c r="BI47" s="733">
        <f>'2021'!N47</f>
        <v>0</v>
      </c>
      <c r="BJ47" s="733">
        <f>'2022'!N47</f>
        <v>0</v>
      </c>
      <c r="BK47" s="733">
        <f>'2023'!N47</f>
        <v>0</v>
      </c>
      <c r="BL47" s="733">
        <f>'2024'!N47</f>
        <v>0</v>
      </c>
      <c r="BM47" s="734">
        <f>'2025'!N47</f>
        <v>0</v>
      </c>
      <c r="BN47" s="424"/>
      <c r="BO47" s="425"/>
      <c r="BP47" s="424"/>
      <c r="BQ47" s="425"/>
      <c r="BR47" s="426"/>
      <c r="BS47" s="427"/>
      <c r="BT47" s="426"/>
      <c r="BU47" s="428"/>
      <c r="CC47" s="1" t="str">
        <f t="shared" si="30"/>
        <v/>
      </c>
      <c r="CD47" s="1" t="str">
        <f t="shared" si="31"/>
        <v/>
      </c>
      <c r="CE47" s="1" t="str">
        <f t="shared" si="32"/>
        <v/>
      </c>
      <c r="CF47" s="1" t="str">
        <f t="shared" si="33"/>
        <v/>
      </c>
      <c r="CG47" s="1" t="str">
        <f t="shared" si="34"/>
        <v/>
      </c>
      <c r="CH47" s="1" t="str">
        <f t="shared" si="35"/>
        <v/>
      </c>
    </row>
    <row r="48" spans="2:86" ht="15" customHeight="1" x14ac:dyDescent="0.3">
      <c r="B48" s="773"/>
      <c r="C48" s="845"/>
      <c r="D48" s="820"/>
      <c r="E48" s="823"/>
      <c r="F48" s="823"/>
      <c r="G48" s="823"/>
      <c r="H48" s="823"/>
      <c r="I48" s="826"/>
      <c r="J48" s="722" t="s">
        <v>166</v>
      </c>
      <c r="K48" s="402" t="str">
        <f t="shared" si="130"/>
        <v/>
      </c>
      <c r="L48" s="402" t="str">
        <f t="shared" si="131"/>
        <v/>
      </c>
      <c r="M48" s="402" t="str">
        <f t="shared" si="132"/>
        <v/>
      </c>
      <c r="N48" s="402" t="str">
        <f t="shared" si="133"/>
        <v/>
      </c>
      <c r="O48" s="402" t="str">
        <f t="shared" si="134"/>
        <v/>
      </c>
      <c r="P48" s="403" t="str">
        <f t="shared" si="135"/>
        <v/>
      </c>
      <c r="Q48" s="242"/>
      <c r="R48" s="586">
        <f>'2020'!G48</f>
        <v>0</v>
      </c>
      <c r="S48" s="587">
        <f>'2021'!G48</f>
        <v>0</v>
      </c>
      <c r="T48" s="587">
        <f>'2022'!G48</f>
        <v>0</v>
      </c>
      <c r="U48" s="587">
        <f>'2023'!G48</f>
        <v>0</v>
      </c>
      <c r="V48" s="587">
        <f>'2024'!G48</f>
        <v>0</v>
      </c>
      <c r="W48" s="588">
        <f>'2025'!G48</f>
        <v>0</v>
      </c>
      <c r="X48" s="620">
        <f>'2020'!H48</f>
        <v>0</v>
      </c>
      <c r="Y48" s="587">
        <f>'2021'!H48</f>
        <v>0</v>
      </c>
      <c r="Z48" s="587">
        <f>'2022'!H48</f>
        <v>0</v>
      </c>
      <c r="AA48" s="587">
        <f>'2023'!H48</f>
        <v>0</v>
      </c>
      <c r="AB48" s="587">
        <f>'2024'!H48</f>
        <v>0</v>
      </c>
      <c r="AC48" s="588">
        <f>'2025'!H48</f>
        <v>0</v>
      </c>
      <c r="AD48" s="429">
        <f t="shared" si="4"/>
        <v>0</v>
      </c>
      <c r="AE48" s="430">
        <f t="shared" si="5"/>
        <v>0</v>
      </c>
      <c r="AF48" s="430">
        <f t="shared" si="6"/>
        <v>0</v>
      </c>
      <c r="AG48" s="430">
        <f t="shared" si="7"/>
        <v>0</v>
      </c>
      <c r="AH48" s="430">
        <f t="shared" si="8"/>
        <v>0</v>
      </c>
      <c r="AI48" s="431">
        <f t="shared" si="9"/>
        <v>0</v>
      </c>
      <c r="AJ48" s="620">
        <f>'2020'!J48</f>
        <v>0</v>
      </c>
      <c r="AK48" s="587">
        <f>'2021'!J48</f>
        <v>0</v>
      </c>
      <c r="AL48" s="587">
        <f>'2022'!J48</f>
        <v>0</v>
      </c>
      <c r="AM48" s="587">
        <f>'2023'!J48</f>
        <v>0</v>
      </c>
      <c r="AN48" s="587">
        <f>'2024'!J48</f>
        <v>0</v>
      </c>
      <c r="AO48" s="588">
        <f>'2025'!J48</f>
        <v>0</v>
      </c>
      <c r="AP48" s="429" t="str">
        <f t="shared" si="28"/>
        <v/>
      </c>
      <c r="AQ48" s="430" t="str">
        <f t="shared" si="11"/>
        <v/>
      </c>
      <c r="AR48" s="430" t="str">
        <f t="shared" si="12"/>
        <v/>
      </c>
      <c r="AS48" s="430" t="str">
        <f t="shared" si="13"/>
        <v/>
      </c>
      <c r="AT48" s="430" t="str">
        <f t="shared" si="14"/>
        <v/>
      </c>
      <c r="AU48" s="431" t="str">
        <f t="shared" si="15"/>
        <v/>
      </c>
      <c r="AV48" s="620">
        <f>'2020'!L48</f>
        <v>0</v>
      </c>
      <c r="AW48" s="587">
        <f>'2021'!L48</f>
        <v>0</v>
      </c>
      <c r="AX48" s="587">
        <f>'2022'!L48</f>
        <v>0</v>
      </c>
      <c r="AY48" s="587">
        <f>'2023'!L48</f>
        <v>0</v>
      </c>
      <c r="AZ48" s="587">
        <f>'2024'!L48</f>
        <v>0</v>
      </c>
      <c r="BA48" s="588">
        <f>'2025'!L48</f>
        <v>0</v>
      </c>
      <c r="BB48" s="429" t="str">
        <f t="shared" si="29"/>
        <v/>
      </c>
      <c r="BC48" s="430" t="str">
        <f t="shared" si="16"/>
        <v/>
      </c>
      <c r="BD48" s="430" t="str">
        <f t="shared" si="17"/>
        <v/>
      </c>
      <c r="BE48" s="430" t="str">
        <f t="shared" si="18"/>
        <v/>
      </c>
      <c r="BF48" s="430" t="str">
        <f t="shared" si="19"/>
        <v/>
      </c>
      <c r="BG48" s="431" t="str">
        <f t="shared" si="20"/>
        <v/>
      </c>
      <c r="BH48" s="735">
        <f>'2020'!N48</f>
        <v>0</v>
      </c>
      <c r="BI48" s="736">
        <f>'2021'!N48</f>
        <v>0</v>
      </c>
      <c r="BJ48" s="736">
        <f>'2022'!N48</f>
        <v>0</v>
      </c>
      <c r="BK48" s="736">
        <f>'2023'!N48</f>
        <v>0</v>
      </c>
      <c r="BL48" s="736">
        <f>'2024'!N48</f>
        <v>0</v>
      </c>
      <c r="BM48" s="737">
        <f>'2025'!N48</f>
        <v>0</v>
      </c>
      <c r="BN48" s="432"/>
      <c r="BO48" s="433"/>
      <c r="BP48" s="432"/>
      <c r="BQ48" s="433"/>
      <c r="BR48" s="434"/>
      <c r="BS48" s="435"/>
      <c r="BT48" s="434"/>
      <c r="BU48" s="436"/>
      <c r="CC48" s="1" t="str">
        <f t="shared" si="30"/>
        <v/>
      </c>
      <c r="CD48" s="1" t="str">
        <f t="shared" si="31"/>
        <v/>
      </c>
      <c r="CE48" s="1" t="str">
        <f t="shared" si="32"/>
        <v/>
      </c>
      <c r="CF48" s="1" t="str">
        <f t="shared" si="33"/>
        <v/>
      </c>
      <c r="CG48" s="1" t="str">
        <f t="shared" si="34"/>
        <v/>
      </c>
      <c r="CH48" s="1" t="str">
        <f t="shared" si="35"/>
        <v/>
      </c>
    </row>
    <row r="49" spans="2:86" ht="15.6" x14ac:dyDescent="0.3">
      <c r="B49" s="773"/>
      <c r="C49" s="865"/>
      <c r="D49" s="380" t="s">
        <v>138</v>
      </c>
      <c r="E49" s="377"/>
      <c r="F49" s="377"/>
      <c r="G49" s="377"/>
      <c r="H49" s="377"/>
      <c r="I49" s="385"/>
      <c r="J49" s="718"/>
      <c r="K49" s="390">
        <f>COUNTIF(K35:K48,"X")</f>
        <v>8</v>
      </c>
      <c r="L49" s="440">
        <f t="shared" ref="L49" si="136">COUNTIF(L35:L48,"X")</f>
        <v>8</v>
      </c>
      <c r="M49" s="440">
        <f t="shared" ref="M49" si="137">COUNTIF(M35:M48,"X")</f>
        <v>10</v>
      </c>
      <c r="N49" s="440">
        <f t="shared" ref="N49" si="138">COUNTIF(N35:N48,"X")</f>
        <v>0</v>
      </c>
      <c r="O49" s="440">
        <f t="shared" ref="O49" si="139">COUNTIF(O35:O48,"X")</f>
        <v>0</v>
      </c>
      <c r="P49" s="441">
        <f t="shared" ref="P49" si="140">COUNTIF(P35:P48,"X")</f>
        <v>0</v>
      </c>
      <c r="Q49" s="16"/>
      <c r="R49" s="600">
        <f>SUM(R35:R48)</f>
        <v>172</v>
      </c>
      <c r="S49" s="601">
        <f t="shared" ref="S49:W49" si="141">SUM(S35:S48)</f>
        <v>295</v>
      </c>
      <c r="T49" s="601">
        <f t="shared" si="141"/>
        <v>285</v>
      </c>
      <c r="U49" s="601">
        <f t="shared" si="141"/>
        <v>0</v>
      </c>
      <c r="V49" s="601">
        <f t="shared" si="141"/>
        <v>0</v>
      </c>
      <c r="W49" s="602">
        <f t="shared" si="141"/>
        <v>0</v>
      </c>
      <c r="X49" s="625">
        <f>SUM(X35:X48)</f>
        <v>111</v>
      </c>
      <c r="Y49" s="601">
        <f t="shared" ref="Y49:AC49" si="142">SUM(Y35:Y48)</f>
        <v>193</v>
      </c>
      <c r="Z49" s="601">
        <f t="shared" si="142"/>
        <v>106</v>
      </c>
      <c r="AA49" s="601">
        <f t="shared" si="142"/>
        <v>0</v>
      </c>
      <c r="AB49" s="601">
        <f t="shared" si="142"/>
        <v>0</v>
      </c>
      <c r="AC49" s="602">
        <f t="shared" si="142"/>
        <v>0</v>
      </c>
      <c r="AD49" s="315">
        <f t="shared" si="4"/>
        <v>0.2441860465116279</v>
      </c>
      <c r="AE49" s="316">
        <f t="shared" si="5"/>
        <v>0.25084745762711863</v>
      </c>
      <c r="AF49" s="316">
        <f t="shared" si="6"/>
        <v>0.31228070175438599</v>
      </c>
      <c r="AG49" s="316">
        <f t="shared" si="7"/>
        <v>0</v>
      </c>
      <c r="AH49" s="316">
        <f t="shared" si="8"/>
        <v>0</v>
      </c>
      <c r="AI49" s="321">
        <f t="shared" si="9"/>
        <v>0</v>
      </c>
      <c r="AJ49" s="625">
        <f>SUM(AJ35:AJ48)</f>
        <v>42</v>
      </c>
      <c r="AK49" s="601">
        <f t="shared" ref="AK49" si="143">SUM(AK35:AK48)</f>
        <v>74</v>
      </c>
      <c r="AL49" s="601">
        <f t="shared" ref="AL49" si="144">SUM(AL35:AL48)</f>
        <v>89</v>
      </c>
      <c r="AM49" s="601">
        <f t="shared" ref="AM49" si="145">SUM(AM35:AM48)</f>
        <v>0</v>
      </c>
      <c r="AN49" s="601">
        <f t="shared" ref="AN49" si="146">SUM(AN35:AN48)</f>
        <v>0</v>
      </c>
      <c r="AO49" s="602">
        <f t="shared" ref="AO49" si="147">SUM(AO35:AO48)</f>
        <v>0</v>
      </c>
      <c r="AP49" s="315">
        <f t="shared" si="28"/>
        <v>0.30813953488372092</v>
      </c>
      <c r="AQ49" s="316">
        <f t="shared" si="11"/>
        <v>0.29491525423728815</v>
      </c>
      <c r="AR49" s="316">
        <f t="shared" si="12"/>
        <v>0.25263157894736843</v>
      </c>
      <c r="AS49" s="316" t="str">
        <f t="shared" si="13"/>
        <v/>
      </c>
      <c r="AT49" s="316" t="str">
        <f t="shared" si="14"/>
        <v/>
      </c>
      <c r="AU49" s="321" t="str">
        <f t="shared" si="15"/>
        <v/>
      </c>
      <c r="AV49" s="625">
        <f>SUM(AV35:AV48)</f>
        <v>53</v>
      </c>
      <c r="AW49" s="601">
        <f t="shared" ref="AW49" si="148">SUM(AW35:AW48)</f>
        <v>87</v>
      </c>
      <c r="AX49" s="601">
        <f t="shared" ref="AX49" si="149">SUM(AX35:AX48)</f>
        <v>72</v>
      </c>
      <c r="AY49" s="601">
        <f t="shared" ref="AY49" si="150">SUM(AY35:AY48)</f>
        <v>0</v>
      </c>
      <c r="AZ49" s="601">
        <f t="shared" ref="AZ49" si="151">SUM(AZ35:AZ48)</f>
        <v>0</v>
      </c>
      <c r="BA49" s="602">
        <f t="shared" ref="BA49" si="152">SUM(BA35:BA48)</f>
        <v>0</v>
      </c>
      <c r="BB49" s="317">
        <f t="shared" si="29"/>
        <v>0</v>
      </c>
      <c r="BC49" s="318">
        <f t="shared" si="16"/>
        <v>0</v>
      </c>
      <c r="BD49" s="318">
        <f t="shared" si="17"/>
        <v>0</v>
      </c>
      <c r="BE49" s="318" t="str">
        <f t="shared" si="18"/>
        <v/>
      </c>
      <c r="BF49" s="318" t="str">
        <f t="shared" si="19"/>
        <v/>
      </c>
      <c r="BG49" s="322" t="str">
        <f t="shared" si="20"/>
        <v/>
      </c>
      <c r="BH49" s="625">
        <f>SUM(BH35:BH48)</f>
        <v>0</v>
      </c>
      <c r="BI49" s="601">
        <f t="shared" ref="BI49" si="153">SUM(BI35:BI48)</f>
        <v>0</v>
      </c>
      <c r="BJ49" s="601">
        <f t="shared" ref="BJ49" si="154">SUM(BJ35:BJ48)</f>
        <v>0</v>
      </c>
      <c r="BK49" s="601">
        <f t="shared" ref="BK49" si="155">SUM(BK35:BK48)</f>
        <v>0</v>
      </c>
      <c r="BL49" s="601">
        <f t="shared" ref="BL49" si="156">SUM(BL35:BL48)</f>
        <v>0</v>
      </c>
      <c r="BM49" s="602">
        <f t="shared" ref="BM49" si="157">SUM(BM35:BM48)</f>
        <v>0</v>
      </c>
      <c r="BN49" s="331"/>
      <c r="BO49" s="332"/>
      <c r="BP49" s="331"/>
      <c r="BQ49" s="332"/>
      <c r="BR49" s="331"/>
      <c r="BS49" s="332"/>
      <c r="BT49" s="331"/>
      <c r="BU49" s="333"/>
      <c r="CC49" s="1">
        <f t="shared" si="30"/>
        <v>0</v>
      </c>
      <c r="CD49" s="1">
        <f t="shared" si="31"/>
        <v>0</v>
      </c>
      <c r="CE49" s="1">
        <f t="shared" si="32"/>
        <v>0</v>
      </c>
      <c r="CF49" s="1">
        <f t="shared" si="33"/>
        <v>0</v>
      </c>
      <c r="CG49" s="1">
        <f t="shared" si="34"/>
        <v>0</v>
      </c>
      <c r="CH49" s="1">
        <f t="shared" si="35"/>
        <v>0</v>
      </c>
    </row>
    <row r="50" spans="2:86" ht="15.75" customHeight="1" x14ac:dyDescent="0.3">
      <c r="B50" s="773" t="s">
        <v>83</v>
      </c>
      <c r="C50" s="845" t="s">
        <v>75</v>
      </c>
      <c r="D50" s="859">
        <f>'2020'!D50</f>
        <v>9</v>
      </c>
      <c r="E50" s="806">
        <f>'2021'!D50</f>
        <v>9</v>
      </c>
      <c r="F50" s="806">
        <f>'2022'!D50</f>
        <v>6</v>
      </c>
      <c r="G50" s="806">
        <f>'2023'!D50</f>
        <v>9</v>
      </c>
      <c r="H50" s="806"/>
      <c r="I50" s="810"/>
      <c r="J50" s="720" t="s">
        <v>10</v>
      </c>
      <c r="K50" s="398" t="str">
        <f t="shared" ref="K50:K63" si="158">IF(R50=0,"","X")</f>
        <v>X</v>
      </c>
      <c r="L50" s="398" t="str">
        <f t="shared" ref="L50:L63" si="159">IF(S50=0,"","X")</f>
        <v>X</v>
      </c>
      <c r="M50" s="398" t="str">
        <f t="shared" ref="M50:M63" si="160">IF(T50=0,"","X")</f>
        <v>X</v>
      </c>
      <c r="N50" s="398" t="str">
        <f t="shared" ref="N50:N63" si="161">IF(U50=0,"","X")</f>
        <v>X</v>
      </c>
      <c r="O50" s="398" t="str">
        <f t="shared" ref="O50:O63" si="162">IF(V50=0,"","X")</f>
        <v/>
      </c>
      <c r="P50" s="399" t="str">
        <f t="shared" ref="P50:P63" si="163">IF(W50=0,"","X")</f>
        <v/>
      </c>
      <c r="Q50" s="232" t="s">
        <v>60</v>
      </c>
      <c r="R50" s="592">
        <f>'2020'!G50</f>
        <v>37</v>
      </c>
      <c r="S50" s="593">
        <f>'2021'!G50</f>
        <v>46</v>
      </c>
      <c r="T50" s="593">
        <f>'2022'!G50</f>
        <v>50</v>
      </c>
      <c r="U50" s="593">
        <f>'2023'!G50</f>
        <v>81</v>
      </c>
      <c r="V50" s="593">
        <f>'2024'!G50</f>
        <v>0</v>
      </c>
      <c r="W50" s="594">
        <f>'2025'!G50</f>
        <v>0</v>
      </c>
      <c r="X50" s="622">
        <f>'2020'!H50</f>
        <v>23</v>
      </c>
      <c r="Y50" s="593">
        <f>'2021'!H50</f>
        <v>32</v>
      </c>
      <c r="Z50" s="593">
        <f>'2022'!H50</f>
        <v>37</v>
      </c>
      <c r="AA50" s="593">
        <f>'2023'!H50</f>
        <v>54</v>
      </c>
      <c r="AB50" s="593">
        <f>'2024'!H50</f>
        <v>0</v>
      </c>
      <c r="AC50" s="594">
        <f>'2025'!H50</f>
        <v>0</v>
      </c>
      <c r="AD50" s="412">
        <f t="shared" si="4"/>
        <v>0.38</v>
      </c>
      <c r="AE50" s="413">
        <f t="shared" si="5"/>
        <v>0.65217391304347827</v>
      </c>
      <c r="AF50" s="413">
        <f t="shared" si="6"/>
        <v>0.68</v>
      </c>
      <c r="AG50" s="413">
        <f t="shared" si="7"/>
        <v>0.59259259259259256</v>
      </c>
      <c r="AH50" s="413">
        <f t="shared" si="8"/>
        <v>0</v>
      </c>
      <c r="AI50" s="414">
        <f t="shared" si="9"/>
        <v>0</v>
      </c>
      <c r="AJ50" s="622">
        <f>'2020'!J50</f>
        <v>14.06</v>
      </c>
      <c r="AK50" s="593">
        <f>'2021'!J50</f>
        <v>30</v>
      </c>
      <c r="AL50" s="593">
        <f>'2022'!J50</f>
        <v>34</v>
      </c>
      <c r="AM50" s="593">
        <f>'2023'!J50</f>
        <v>48</v>
      </c>
      <c r="AN50" s="593">
        <f>'2024'!J50</f>
        <v>0</v>
      </c>
      <c r="AO50" s="594">
        <f>'2025'!J50</f>
        <v>0</v>
      </c>
      <c r="AP50" s="412">
        <f t="shared" si="28"/>
        <v>0.16</v>
      </c>
      <c r="AQ50" s="413">
        <f t="shared" si="11"/>
        <v>0.19565217391304349</v>
      </c>
      <c r="AR50" s="413">
        <f t="shared" si="12"/>
        <v>0.22</v>
      </c>
      <c r="AS50" s="413">
        <f t="shared" si="13"/>
        <v>0.30864197530864196</v>
      </c>
      <c r="AT50" s="413" t="str">
        <f t="shared" si="14"/>
        <v/>
      </c>
      <c r="AU50" s="414" t="str">
        <f t="shared" si="15"/>
        <v/>
      </c>
      <c r="AV50" s="622">
        <f>'2020'!L50</f>
        <v>5.92</v>
      </c>
      <c r="AW50" s="593">
        <f>'2021'!L50</f>
        <v>9</v>
      </c>
      <c r="AX50" s="593">
        <f>'2022'!L50</f>
        <v>11</v>
      </c>
      <c r="AY50" s="593">
        <f>'2023'!L50</f>
        <v>25</v>
      </c>
      <c r="AZ50" s="593">
        <f>'2024'!L50</f>
        <v>0</v>
      </c>
      <c r="BA50" s="594">
        <f>'2025'!L50</f>
        <v>0</v>
      </c>
      <c r="BB50" s="412">
        <f t="shared" si="29"/>
        <v>1</v>
      </c>
      <c r="BC50" s="413">
        <f t="shared" si="16"/>
        <v>1</v>
      </c>
      <c r="BD50" s="413">
        <f t="shared" si="17"/>
        <v>0.81818181818181823</v>
      </c>
      <c r="BE50" s="413">
        <f>IF(AY50=0,"",IF(BK50="-","",BK50/AY50))</f>
        <v>0.8</v>
      </c>
      <c r="BF50" s="413" t="str">
        <f t="shared" si="19"/>
        <v/>
      </c>
      <c r="BG50" s="414" t="str">
        <f t="shared" si="20"/>
        <v/>
      </c>
      <c r="BH50" s="738">
        <f>'2020'!N50</f>
        <v>5.92</v>
      </c>
      <c r="BI50" s="739">
        <f>'2021'!N50</f>
        <v>9</v>
      </c>
      <c r="BJ50" s="739">
        <f>'2022'!N50</f>
        <v>9</v>
      </c>
      <c r="BK50" s="739">
        <f>'2023'!N50</f>
        <v>20</v>
      </c>
      <c r="BL50" s="739">
        <f>'2024'!N50</f>
        <v>0</v>
      </c>
      <c r="BM50" s="740">
        <f>'2025'!N50</f>
        <v>0</v>
      </c>
      <c r="BN50" s="415" t="s">
        <v>21</v>
      </c>
      <c r="BO50" s="416" t="s">
        <v>21</v>
      </c>
      <c r="BP50" s="415" t="s">
        <v>21</v>
      </c>
      <c r="BQ50" s="416" t="s">
        <v>21</v>
      </c>
      <c r="BR50" s="417" t="s">
        <v>21</v>
      </c>
      <c r="BS50" s="418" t="s">
        <v>21</v>
      </c>
      <c r="BT50" s="417" t="s">
        <v>21</v>
      </c>
      <c r="BU50" s="419" t="s">
        <v>21</v>
      </c>
      <c r="CC50" s="1" t="str">
        <f t="shared" si="30"/>
        <v>France</v>
      </c>
      <c r="CD50" s="1" t="str">
        <f t="shared" si="31"/>
        <v>France</v>
      </c>
      <c r="CE50" s="1" t="str">
        <f t="shared" si="32"/>
        <v>France</v>
      </c>
      <c r="CF50" s="1" t="str">
        <f t="shared" si="33"/>
        <v>France</v>
      </c>
      <c r="CG50" s="1" t="str">
        <f t="shared" si="34"/>
        <v/>
      </c>
      <c r="CH50" s="1" t="str">
        <f t="shared" si="35"/>
        <v/>
      </c>
    </row>
    <row r="51" spans="2:86" ht="15.75" customHeight="1" x14ac:dyDescent="0.3">
      <c r="B51" s="773"/>
      <c r="C51" s="845"/>
      <c r="D51" s="814"/>
      <c r="E51" s="807"/>
      <c r="F51" s="807"/>
      <c r="G51" s="807"/>
      <c r="H51" s="807"/>
      <c r="I51" s="811"/>
      <c r="J51" s="721" t="s">
        <v>11</v>
      </c>
      <c r="K51" s="400" t="str">
        <f t="shared" si="158"/>
        <v>X</v>
      </c>
      <c r="L51" s="400" t="str">
        <f t="shared" si="159"/>
        <v>X</v>
      </c>
      <c r="M51" s="400" t="str">
        <f t="shared" si="160"/>
        <v>X</v>
      </c>
      <c r="N51" s="400" t="str">
        <f t="shared" si="161"/>
        <v>X</v>
      </c>
      <c r="O51" s="400" t="str">
        <f t="shared" si="162"/>
        <v/>
      </c>
      <c r="P51" s="401" t="str">
        <f t="shared" si="163"/>
        <v/>
      </c>
      <c r="Q51" s="237" t="s">
        <v>60</v>
      </c>
      <c r="R51" s="583">
        <f>'2020'!G51</f>
        <v>33</v>
      </c>
      <c r="S51" s="584">
        <f>'2021'!G51</f>
        <v>28</v>
      </c>
      <c r="T51" s="584">
        <f>'2022'!G51</f>
        <v>26</v>
      </c>
      <c r="U51" s="584">
        <f>'2023'!G51</f>
        <v>50</v>
      </c>
      <c r="V51" s="584">
        <f>'2024'!G51</f>
        <v>0</v>
      </c>
      <c r="W51" s="585">
        <f>'2025'!G51</f>
        <v>0</v>
      </c>
      <c r="X51" s="619">
        <f>'2020'!H51</f>
        <v>15</v>
      </c>
      <c r="Y51" s="584">
        <f>'2021'!H51</f>
        <v>17</v>
      </c>
      <c r="Z51" s="584">
        <f>'2022'!H51</f>
        <v>17</v>
      </c>
      <c r="AA51" s="584">
        <f>'2023'!H51</f>
        <v>29</v>
      </c>
      <c r="AB51" s="584">
        <f>'2024'!H51</f>
        <v>0</v>
      </c>
      <c r="AC51" s="585">
        <f>'2025'!H51</f>
        <v>0</v>
      </c>
      <c r="AD51" s="421">
        <f t="shared" si="4"/>
        <v>0.3</v>
      </c>
      <c r="AE51" s="422">
        <f t="shared" si="5"/>
        <v>0.6428571428571429</v>
      </c>
      <c r="AF51" s="422">
        <f t="shared" si="6"/>
        <v>0.42307692307692307</v>
      </c>
      <c r="AG51" s="422">
        <f t="shared" si="7"/>
        <v>0.5</v>
      </c>
      <c r="AH51" s="422">
        <f t="shared" si="8"/>
        <v>0</v>
      </c>
      <c r="AI51" s="423">
        <f t="shared" si="9"/>
        <v>0</v>
      </c>
      <c r="AJ51" s="619">
        <f>'2020'!J51</f>
        <v>9.9</v>
      </c>
      <c r="AK51" s="584">
        <f>'2021'!J51</f>
        <v>18</v>
      </c>
      <c r="AL51" s="584">
        <f>'2022'!J51</f>
        <v>11</v>
      </c>
      <c r="AM51" s="584">
        <f>'2023'!J51</f>
        <v>25</v>
      </c>
      <c r="AN51" s="584">
        <f>'2024'!J51</f>
        <v>0</v>
      </c>
      <c r="AO51" s="585">
        <f>'2025'!J51</f>
        <v>0</v>
      </c>
      <c r="AP51" s="421">
        <f t="shared" si="28"/>
        <v>0.09</v>
      </c>
      <c r="AQ51" s="422">
        <f t="shared" si="11"/>
        <v>0.32142857142857145</v>
      </c>
      <c r="AR51" s="422">
        <f t="shared" si="12"/>
        <v>0.23076923076923078</v>
      </c>
      <c r="AS51" s="422">
        <f t="shared" si="13"/>
        <v>0.28000000000000003</v>
      </c>
      <c r="AT51" s="422" t="str">
        <f t="shared" si="14"/>
        <v/>
      </c>
      <c r="AU51" s="423" t="str">
        <f t="shared" si="15"/>
        <v/>
      </c>
      <c r="AV51" s="619">
        <f>'2020'!L51</f>
        <v>2.9699999999999998</v>
      </c>
      <c r="AW51" s="584">
        <f>'2021'!L51</f>
        <v>9</v>
      </c>
      <c r="AX51" s="584">
        <f>'2022'!L51</f>
        <v>6</v>
      </c>
      <c r="AY51" s="584">
        <f>'2023'!L51</f>
        <v>14.000000000000002</v>
      </c>
      <c r="AZ51" s="584">
        <f>'2024'!L51</f>
        <v>0</v>
      </c>
      <c r="BA51" s="585">
        <f>'2025'!L51</f>
        <v>0</v>
      </c>
      <c r="BB51" s="421">
        <f t="shared" si="29"/>
        <v>1</v>
      </c>
      <c r="BC51" s="422">
        <f t="shared" si="16"/>
        <v>0.77777777777777779</v>
      </c>
      <c r="BD51" s="422">
        <f t="shared" si="17"/>
        <v>0.66666666666666663</v>
      </c>
      <c r="BE51" s="422">
        <f t="shared" si="18"/>
        <v>0.85714285714285698</v>
      </c>
      <c r="BF51" s="422" t="str">
        <f t="shared" si="19"/>
        <v/>
      </c>
      <c r="BG51" s="423" t="str">
        <f t="shared" si="20"/>
        <v/>
      </c>
      <c r="BH51" s="732">
        <f>'2020'!N51</f>
        <v>2.9699999999999998</v>
      </c>
      <c r="BI51" s="733">
        <f>'2021'!N51</f>
        <v>7</v>
      </c>
      <c r="BJ51" s="733">
        <f>'2022'!N51</f>
        <v>4</v>
      </c>
      <c r="BK51" s="733">
        <f>'2023'!N51</f>
        <v>12</v>
      </c>
      <c r="BL51" s="733">
        <f>'2024'!N51</f>
        <v>0</v>
      </c>
      <c r="BM51" s="734">
        <f>'2025'!N51</f>
        <v>0</v>
      </c>
      <c r="BN51" s="424" t="s">
        <v>21</v>
      </c>
      <c r="BO51" s="425" t="s">
        <v>21</v>
      </c>
      <c r="BP51" s="424" t="s">
        <v>21</v>
      </c>
      <c r="BQ51" s="425" t="s">
        <v>21</v>
      </c>
      <c r="BR51" s="426" t="s">
        <v>21</v>
      </c>
      <c r="BS51" s="427" t="s">
        <v>21</v>
      </c>
      <c r="BT51" s="426" t="s">
        <v>21</v>
      </c>
      <c r="BU51" s="428" t="s">
        <v>21</v>
      </c>
      <c r="CC51" s="1" t="str">
        <f t="shared" si="30"/>
        <v>France</v>
      </c>
      <c r="CD51" s="1" t="str">
        <f t="shared" si="31"/>
        <v>France</v>
      </c>
      <c r="CE51" s="1" t="str">
        <f t="shared" si="32"/>
        <v>France</v>
      </c>
      <c r="CF51" s="1" t="str">
        <f t="shared" si="33"/>
        <v>France</v>
      </c>
      <c r="CG51" s="1" t="str">
        <f t="shared" si="34"/>
        <v/>
      </c>
      <c r="CH51" s="1" t="str">
        <f t="shared" si="35"/>
        <v/>
      </c>
    </row>
    <row r="52" spans="2:86" ht="15.75" customHeight="1" x14ac:dyDescent="0.3">
      <c r="B52" s="773"/>
      <c r="C52" s="845"/>
      <c r="D52" s="814"/>
      <c r="E52" s="807"/>
      <c r="F52" s="807"/>
      <c r="G52" s="807"/>
      <c r="H52" s="807"/>
      <c r="I52" s="811"/>
      <c r="J52" s="721" t="s">
        <v>12</v>
      </c>
      <c r="K52" s="400" t="str">
        <f t="shared" si="158"/>
        <v>X</v>
      </c>
      <c r="L52" s="400" t="str">
        <f t="shared" si="159"/>
        <v>X</v>
      </c>
      <c r="M52" s="400" t="str">
        <f t="shared" si="160"/>
        <v/>
      </c>
      <c r="N52" s="400" t="str">
        <f t="shared" si="161"/>
        <v/>
      </c>
      <c r="O52" s="400" t="str">
        <f t="shared" si="162"/>
        <v/>
      </c>
      <c r="P52" s="401" t="str">
        <f t="shared" si="163"/>
        <v/>
      </c>
      <c r="Q52" s="237" t="s">
        <v>60</v>
      </c>
      <c r="R52" s="583">
        <f>'2020'!G52</f>
        <v>6</v>
      </c>
      <c r="S52" s="584">
        <f>'2021'!G52</f>
        <v>5</v>
      </c>
      <c r="T52" s="598">
        <f>'2022'!G52</f>
        <v>0</v>
      </c>
      <c r="U52" s="598">
        <f>'2023'!G52</f>
        <v>0</v>
      </c>
      <c r="V52" s="598">
        <f>'2024'!G52</f>
        <v>0</v>
      </c>
      <c r="W52" s="599">
        <f>'2025'!G52</f>
        <v>0</v>
      </c>
      <c r="X52" s="619">
        <f>'2020'!H52</f>
        <v>5</v>
      </c>
      <c r="Y52" s="584">
        <f>'2021'!H52</f>
        <v>5</v>
      </c>
      <c r="Z52" s="584">
        <f>'2022'!H52</f>
        <v>0</v>
      </c>
      <c r="AA52" s="584">
        <f>'2023'!H52</f>
        <v>0</v>
      </c>
      <c r="AB52" s="584">
        <f>'2024'!H52</f>
        <v>0</v>
      </c>
      <c r="AC52" s="585">
        <f>'2025'!H52</f>
        <v>0</v>
      </c>
      <c r="AD52" s="421">
        <f t="shared" si="4"/>
        <v>0</v>
      </c>
      <c r="AE52" s="422">
        <f t="shared" si="5"/>
        <v>0.6</v>
      </c>
      <c r="AF52" s="422">
        <f t="shared" si="6"/>
        <v>0</v>
      </c>
      <c r="AG52" s="422">
        <f t="shared" si="7"/>
        <v>0</v>
      </c>
      <c r="AH52" s="422">
        <f t="shared" si="8"/>
        <v>0</v>
      </c>
      <c r="AI52" s="423">
        <f t="shared" si="9"/>
        <v>0</v>
      </c>
      <c r="AJ52" s="619">
        <f>'2020'!J52</f>
        <v>0</v>
      </c>
      <c r="AK52" s="584">
        <f>'2021'!J52</f>
        <v>3</v>
      </c>
      <c r="AL52" s="584">
        <f>'2022'!J52</f>
        <v>0</v>
      </c>
      <c r="AM52" s="584">
        <f>'2023'!J52</f>
        <v>0</v>
      </c>
      <c r="AN52" s="584">
        <f>'2024'!J52</f>
        <v>0</v>
      </c>
      <c r="AO52" s="585">
        <f>'2025'!J52</f>
        <v>0</v>
      </c>
      <c r="AP52" s="421">
        <f t="shared" si="28"/>
        <v>0</v>
      </c>
      <c r="AQ52" s="422">
        <f t="shared" si="11"/>
        <v>0.2</v>
      </c>
      <c r="AR52" s="422" t="str">
        <f t="shared" si="12"/>
        <v/>
      </c>
      <c r="AS52" s="422" t="str">
        <f t="shared" si="13"/>
        <v/>
      </c>
      <c r="AT52" s="422" t="str">
        <f t="shared" si="14"/>
        <v/>
      </c>
      <c r="AU52" s="423" t="str">
        <f t="shared" si="15"/>
        <v/>
      </c>
      <c r="AV52" s="619">
        <f>'2020'!L52</f>
        <v>0</v>
      </c>
      <c r="AW52" s="584">
        <f>'2021'!L52</f>
        <v>1</v>
      </c>
      <c r="AX52" s="584">
        <f>'2022'!L52</f>
        <v>0</v>
      </c>
      <c r="AY52" s="584">
        <f>'2023'!L52</f>
        <v>0</v>
      </c>
      <c r="AZ52" s="584">
        <f>'2024'!L52</f>
        <v>0</v>
      </c>
      <c r="BA52" s="585">
        <f>'2025'!L52</f>
        <v>0</v>
      </c>
      <c r="BB52" s="421" t="str">
        <f t="shared" si="29"/>
        <v/>
      </c>
      <c r="BC52" s="422">
        <f t="shared" si="16"/>
        <v>1</v>
      </c>
      <c r="BD52" s="422" t="str">
        <f t="shared" si="17"/>
        <v/>
      </c>
      <c r="BE52" s="422" t="str">
        <f t="shared" si="18"/>
        <v/>
      </c>
      <c r="BF52" s="422" t="str">
        <f t="shared" si="19"/>
        <v/>
      </c>
      <c r="BG52" s="423" t="str">
        <f t="shared" si="20"/>
        <v/>
      </c>
      <c r="BH52" s="732">
        <f>'2020'!N52</f>
        <v>0</v>
      </c>
      <c r="BI52" s="733">
        <f>'2021'!N52</f>
        <v>1</v>
      </c>
      <c r="BJ52" s="733" t="str">
        <f>'2022'!N52</f>
        <v/>
      </c>
      <c r="BK52" s="733" t="str">
        <f>'2023'!N52</f>
        <v/>
      </c>
      <c r="BL52" s="733">
        <f>'2024'!N52</f>
        <v>0</v>
      </c>
      <c r="BM52" s="734">
        <f>'2025'!N52</f>
        <v>0</v>
      </c>
      <c r="BN52" s="424" t="s">
        <v>21</v>
      </c>
      <c r="BO52" s="425" t="s">
        <v>21</v>
      </c>
      <c r="BP52" s="424" t="s">
        <v>21</v>
      </c>
      <c r="BQ52" s="425" t="s">
        <v>21</v>
      </c>
      <c r="BR52" s="426" t="s">
        <v>21</v>
      </c>
      <c r="BS52" s="427" t="s">
        <v>21</v>
      </c>
      <c r="BT52" s="426" t="s">
        <v>21</v>
      </c>
      <c r="BU52" s="428" t="s">
        <v>21</v>
      </c>
      <c r="CC52" s="1" t="str">
        <f t="shared" si="30"/>
        <v>France</v>
      </c>
      <c r="CD52" s="1" t="str">
        <f t="shared" si="31"/>
        <v>France</v>
      </c>
      <c r="CE52" s="1" t="str">
        <f t="shared" si="32"/>
        <v/>
      </c>
      <c r="CF52" s="1" t="str">
        <f t="shared" si="33"/>
        <v/>
      </c>
      <c r="CG52" s="1" t="str">
        <f t="shared" si="34"/>
        <v/>
      </c>
      <c r="CH52" s="1" t="str">
        <f t="shared" si="35"/>
        <v/>
      </c>
    </row>
    <row r="53" spans="2:86" ht="15.75" customHeight="1" x14ac:dyDescent="0.3">
      <c r="B53" s="773"/>
      <c r="C53" s="845"/>
      <c r="D53" s="814"/>
      <c r="E53" s="807"/>
      <c r="F53" s="807"/>
      <c r="G53" s="807"/>
      <c r="H53" s="807"/>
      <c r="I53" s="811"/>
      <c r="J53" s="721" t="s">
        <v>7</v>
      </c>
      <c r="K53" s="400" t="str">
        <f t="shared" si="158"/>
        <v>X</v>
      </c>
      <c r="L53" s="400" t="str">
        <f t="shared" si="159"/>
        <v>X</v>
      </c>
      <c r="M53" s="400" t="str">
        <f t="shared" si="160"/>
        <v>X</v>
      </c>
      <c r="N53" s="400" t="str">
        <f t="shared" si="161"/>
        <v/>
      </c>
      <c r="O53" s="400" t="str">
        <f t="shared" si="162"/>
        <v/>
      </c>
      <c r="P53" s="401" t="str">
        <f t="shared" si="163"/>
        <v/>
      </c>
      <c r="Q53" s="237" t="s">
        <v>60</v>
      </c>
      <c r="R53" s="583">
        <f>'2020'!G53</f>
        <v>25</v>
      </c>
      <c r="S53" s="584">
        <f>'2021'!G53</f>
        <v>45</v>
      </c>
      <c r="T53" s="584">
        <f>'2022'!G53</f>
        <v>29</v>
      </c>
      <c r="U53" s="584">
        <f>'2023'!G53</f>
        <v>0</v>
      </c>
      <c r="V53" s="584">
        <f>'2024'!G53</f>
        <v>0</v>
      </c>
      <c r="W53" s="585">
        <f>'2025'!G53</f>
        <v>0</v>
      </c>
      <c r="X53" s="619">
        <f>'2020'!H53</f>
        <v>15</v>
      </c>
      <c r="Y53" s="584">
        <f>'2021'!H53</f>
        <v>26</v>
      </c>
      <c r="Z53" s="584">
        <f>'2022'!H53</f>
        <v>16</v>
      </c>
      <c r="AA53" s="584">
        <f>'2023'!H53</f>
        <v>0</v>
      </c>
      <c r="AB53" s="584">
        <f>'2024'!H53</f>
        <v>0</v>
      </c>
      <c r="AC53" s="585">
        <f>'2025'!H53</f>
        <v>0</v>
      </c>
      <c r="AD53" s="421">
        <f t="shared" si="4"/>
        <v>0.28000000000000003</v>
      </c>
      <c r="AE53" s="422">
        <f t="shared" si="5"/>
        <v>0.26666666666666666</v>
      </c>
      <c r="AF53" s="422">
        <f t="shared" si="6"/>
        <v>0.37931034482758619</v>
      </c>
      <c r="AG53" s="422">
        <f>IF(U53="",0,IF(AM53=0,0,AM53/U53))</f>
        <v>0</v>
      </c>
      <c r="AH53" s="422">
        <f t="shared" si="8"/>
        <v>0</v>
      </c>
      <c r="AI53" s="423">
        <f t="shared" si="9"/>
        <v>0</v>
      </c>
      <c r="AJ53" s="619">
        <f>'2020'!J53</f>
        <v>7.0000000000000009</v>
      </c>
      <c r="AK53" s="584">
        <f>'2021'!J53</f>
        <v>12</v>
      </c>
      <c r="AL53" s="584">
        <f>'2022'!J53</f>
        <v>11</v>
      </c>
      <c r="AM53" s="584">
        <f>'2023'!J53</f>
        <v>0</v>
      </c>
      <c r="AN53" s="584">
        <f>'2024'!J53</f>
        <v>0</v>
      </c>
      <c r="AO53" s="585">
        <f>'2025'!J53</f>
        <v>0</v>
      </c>
      <c r="AP53" s="421">
        <f t="shared" si="28"/>
        <v>0.16</v>
      </c>
      <c r="AQ53" s="422">
        <f t="shared" si="11"/>
        <v>0.26666666666666666</v>
      </c>
      <c r="AR53" s="422">
        <f t="shared" si="12"/>
        <v>0.31034482758620691</v>
      </c>
      <c r="AS53" s="422" t="str">
        <f t="shared" si="13"/>
        <v/>
      </c>
      <c r="AT53" s="422" t="str">
        <f t="shared" si="14"/>
        <v/>
      </c>
      <c r="AU53" s="423" t="str">
        <f t="shared" si="15"/>
        <v/>
      </c>
      <c r="AV53" s="619">
        <f>'2020'!L53</f>
        <v>4</v>
      </c>
      <c r="AW53" s="584">
        <f>'2021'!L53</f>
        <v>12</v>
      </c>
      <c r="AX53" s="584">
        <f>'2022'!L53</f>
        <v>9</v>
      </c>
      <c r="AY53" s="584">
        <f>'2023'!L53</f>
        <v>0</v>
      </c>
      <c r="AZ53" s="584">
        <f>'2024'!L53</f>
        <v>0</v>
      </c>
      <c r="BA53" s="585">
        <f>'2025'!L53</f>
        <v>0</v>
      </c>
      <c r="BB53" s="421">
        <f t="shared" si="29"/>
        <v>0.25</v>
      </c>
      <c r="BC53" s="422">
        <f t="shared" si="16"/>
        <v>0.25</v>
      </c>
      <c r="BD53" s="422">
        <f t="shared" si="17"/>
        <v>0.55555555555555558</v>
      </c>
      <c r="BE53" s="422" t="str">
        <f t="shared" si="18"/>
        <v/>
      </c>
      <c r="BF53" s="422" t="str">
        <f t="shared" si="19"/>
        <v/>
      </c>
      <c r="BG53" s="423" t="str">
        <f t="shared" si="20"/>
        <v/>
      </c>
      <c r="BH53" s="732">
        <f>'2020'!N53</f>
        <v>1</v>
      </c>
      <c r="BI53" s="733">
        <f>'2021'!N53</f>
        <v>3</v>
      </c>
      <c r="BJ53" s="733">
        <f>'2022'!N53</f>
        <v>5</v>
      </c>
      <c r="BK53" s="733" t="str">
        <f>'2023'!N53</f>
        <v/>
      </c>
      <c r="BL53" s="733">
        <f>'2024'!N53</f>
        <v>0</v>
      </c>
      <c r="BM53" s="734">
        <f>'2025'!N53</f>
        <v>0</v>
      </c>
      <c r="BN53" s="424" t="s">
        <v>21</v>
      </c>
      <c r="BO53" s="425" t="s">
        <v>21</v>
      </c>
      <c r="BP53" s="424" t="s">
        <v>21</v>
      </c>
      <c r="BQ53" s="425" t="s">
        <v>21</v>
      </c>
      <c r="BR53" s="426" t="s">
        <v>21</v>
      </c>
      <c r="BS53" s="427" t="s">
        <v>21</v>
      </c>
      <c r="BT53" s="426" t="s">
        <v>21</v>
      </c>
      <c r="BU53" s="428" t="s">
        <v>21</v>
      </c>
      <c r="CC53" s="1" t="str">
        <f t="shared" si="30"/>
        <v>France</v>
      </c>
      <c r="CD53" s="1" t="str">
        <f t="shared" si="31"/>
        <v>France</v>
      </c>
      <c r="CE53" s="1" t="str">
        <f t="shared" si="32"/>
        <v>France</v>
      </c>
      <c r="CF53" s="1" t="str">
        <f t="shared" si="33"/>
        <v/>
      </c>
      <c r="CG53" s="1" t="str">
        <f t="shared" si="34"/>
        <v/>
      </c>
      <c r="CH53" s="1" t="str">
        <f t="shared" si="35"/>
        <v/>
      </c>
    </row>
    <row r="54" spans="2:86" ht="15.75" customHeight="1" x14ac:dyDescent="0.3">
      <c r="B54" s="773"/>
      <c r="C54" s="845"/>
      <c r="D54" s="814"/>
      <c r="E54" s="807"/>
      <c r="F54" s="807"/>
      <c r="G54" s="807"/>
      <c r="H54" s="807"/>
      <c r="I54" s="811"/>
      <c r="J54" s="721" t="s">
        <v>132</v>
      </c>
      <c r="K54" s="400" t="str">
        <f t="shared" si="158"/>
        <v>X</v>
      </c>
      <c r="L54" s="400" t="str">
        <f t="shared" si="159"/>
        <v>X</v>
      </c>
      <c r="M54" s="400" t="str">
        <f t="shared" si="160"/>
        <v>X</v>
      </c>
      <c r="N54" s="400" t="str">
        <f t="shared" si="161"/>
        <v>X</v>
      </c>
      <c r="O54" s="400" t="str">
        <f t="shared" si="162"/>
        <v/>
      </c>
      <c r="P54" s="401" t="str">
        <f t="shared" si="163"/>
        <v/>
      </c>
      <c r="Q54" s="237" t="s">
        <v>60</v>
      </c>
      <c r="R54" s="583">
        <f>'2020'!G54</f>
        <v>15</v>
      </c>
      <c r="S54" s="584">
        <f>'2021'!G54</f>
        <v>14</v>
      </c>
      <c r="T54" s="584">
        <f>'2022'!G54</f>
        <v>18</v>
      </c>
      <c r="U54" s="584">
        <f>'2023'!G54</f>
        <v>26</v>
      </c>
      <c r="V54" s="584">
        <f>'2024'!G54</f>
        <v>0</v>
      </c>
      <c r="W54" s="585">
        <f>'2025'!G54</f>
        <v>0</v>
      </c>
      <c r="X54" s="619">
        <f>'2020'!H54</f>
        <v>9</v>
      </c>
      <c r="Y54" s="584">
        <f>'2021'!H54</f>
        <v>9</v>
      </c>
      <c r="Z54" s="584">
        <f>'2022'!H54</f>
        <v>9</v>
      </c>
      <c r="AA54" s="584">
        <f>'2023'!H54</f>
        <v>13</v>
      </c>
      <c r="AB54" s="584">
        <f>'2024'!H54</f>
        <v>0</v>
      </c>
      <c r="AC54" s="585">
        <f>'2025'!H54</f>
        <v>0</v>
      </c>
      <c r="AD54" s="421">
        <f t="shared" si="4"/>
        <v>0.13</v>
      </c>
      <c r="AE54" s="422">
        <f t="shared" si="5"/>
        <v>0.21428571428571427</v>
      </c>
      <c r="AF54" s="422">
        <f t="shared" si="6"/>
        <v>0.33333333333333331</v>
      </c>
      <c r="AG54" s="422">
        <f t="shared" si="7"/>
        <v>0.61538461538461542</v>
      </c>
      <c r="AH54" s="422">
        <f t="shared" si="8"/>
        <v>0</v>
      </c>
      <c r="AI54" s="423">
        <f t="shared" si="9"/>
        <v>0</v>
      </c>
      <c r="AJ54" s="619">
        <f>'2020'!J54</f>
        <v>1.9500000000000002</v>
      </c>
      <c r="AK54" s="584">
        <f>'2021'!J54</f>
        <v>3</v>
      </c>
      <c r="AL54" s="584">
        <f>'2022'!J54</f>
        <v>6</v>
      </c>
      <c r="AM54" s="584">
        <f>'2023'!J54</f>
        <v>16</v>
      </c>
      <c r="AN54" s="584">
        <f>'2024'!J54</f>
        <v>0</v>
      </c>
      <c r="AO54" s="585">
        <f>'2025'!J54</f>
        <v>0</v>
      </c>
      <c r="AP54" s="421">
        <f t="shared" si="28"/>
        <v>7.0000000000000007E-2</v>
      </c>
      <c r="AQ54" s="422">
        <f t="shared" si="11"/>
        <v>0.14285714285714285</v>
      </c>
      <c r="AR54" s="422">
        <f t="shared" si="12"/>
        <v>0.16666666666666666</v>
      </c>
      <c r="AS54" s="422">
        <f t="shared" si="13"/>
        <v>0.15384615384615385</v>
      </c>
      <c r="AT54" s="422" t="str">
        <f t="shared" si="14"/>
        <v/>
      </c>
      <c r="AU54" s="423" t="str">
        <f t="shared" si="15"/>
        <v/>
      </c>
      <c r="AV54" s="619">
        <f>'2020'!L54</f>
        <v>1.05</v>
      </c>
      <c r="AW54" s="584">
        <f>'2021'!L54</f>
        <v>2</v>
      </c>
      <c r="AX54" s="584">
        <f>'2022'!L54</f>
        <v>3</v>
      </c>
      <c r="AY54" s="584">
        <f>'2023'!L54</f>
        <v>4</v>
      </c>
      <c r="AZ54" s="584">
        <f>'2024'!L54</f>
        <v>0</v>
      </c>
      <c r="BA54" s="585">
        <f>'2025'!L54</f>
        <v>0</v>
      </c>
      <c r="BB54" s="421">
        <f t="shared" si="29"/>
        <v>0</v>
      </c>
      <c r="BC54" s="422">
        <f t="shared" si="16"/>
        <v>0.5</v>
      </c>
      <c r="BD54" s="422">
        <f t="shared" si="17"/>
        <v>1</v>
      </c>
      <c r="BE54" s="422">
        <f t="shared" si="18"/>
        <v>1</v>
      </c>
      <c r="BF54" s="422" t="str">
        <f t="shared" si="19"/>
        <v/>
      </c>
      <c r="BG54" s="423" t="str">
        <f t="shared" si="20"/>
        <v/>
      </c>
      <c r="BH54" s="732">
        <f>'2020'!N54</f>
        <v>0</v>
      </c>
      <c r="BI54" s="733">
        <f>'2021'!N54</f>
        <v>1</v>
      </c>
      <c r="BJ54" s="733">
        <f>'2022'!N54</f>
        <v>3</v>
      </c>
      <c r="BK54" s="733">
        <f>'2023'!N54</f>
        <v>4</v>
      </c>
      <c r="BL54" s="733">
        <f>'2024'!N54</f>
        <v>0</v>
      </c>
      <c r="BM54" s="734">
        <f>'2025'!N54</f>
        <v>0</v>
      </c>
      <c r="BN54" s="424" t="s">
        <v>21</v>
      </c>
      <c r="BO54" s="425" t="s">
        <v>21</v>
      </c>
      <c r="BP54" s="424" t="s">
        <v>21</v>
      </c>
      <c r="BQ54" s="425" t="s">
        <v>21</v>
      </c>
      <c r="BR54" s="426" t="s">
        <v>21</v>
      </c>
      <c r="BS54" s="427" t="s">
        <v>21</v>
      </c>
      <c r="BT54" s="426" t="s">
        <v>21</v>
      </c>
      <c r="BU54" s="428" t="s">
        <v>21</v>
      </c>
      <c r="CC54" s="1" t="str">
        <f t="shared" si="30"/>
        <v>France</v>
      </c>
      <c r="CD54" s="1" t="str">
        <f t="shared" si="31"/>
        <v>France</v>
      </c>
      <c r="CE54" s="1" t="str">
        <f t="shared" si="32"/>
        <v>France</v>
      </c>
      <c r="CF54" s="1" t="str">
        <f t="shared" si="33"/>
        <v>France</v>
      </c>
      <c r="CG54" s="1" t="str">
        <f t="shared" si="34"/>
        <v/>
      </c>
      <c r="CH54" s="1" t="str">
        <f t="shared" si="35"/>
        <v/>
      </c>
    </row>
    <row r="55" spans="2:86" ht="15.75" customHeight="1" x14ac:dyDescent="0.3">
      <c r="B55" s="773"/>
      <c r="C55" s="845"/>
      <c r="D55" s="814"/>
      <c r="E55" s="807"/>
      <c r="F55" s="807"/>
      <c r="G55" s="807"/>
      <c r="H55" s="807"/>
      <c r="I55" s="811"/>
      <c r="J55" s="721" t="s">
        <v>8</v>
      </c>
      <c r="K55" s="400" t="str">
        <f t="shared" si="158"/>
        <v>X</v>
      </c>
      <c r="L55" s="400" t="str">
        <f t="shared" si="159"/>
        <v>X</v>
      </c>
      <c r="M55" s="400" t="str">
        <f t="shared" si="160"/>
        <v/>
      </c>
      <c r="N55" s="400" t="str">
        <f t="shared" si="161"/>
        <v/>
      </c>
      <c r="O55" s="400" t="str">
        <f t="shared" si="162"/>
        <v/>
      </c>
      <c r="P55" s="401" t="str">
        <f t="shared" si="163"/>
        <v/>
      </c>
      <c r="Q55" s="237" t="s">
        <v>60</v>
      </c>
      <c r="R55" s="583">
        <f>'2020'!G55</f>
        <v>16</v>
      </c>
      <c r="S55" s="584">
        <f>'2021'!G55</f>
        <v>31</v>
      </c>
      <c r="T55" s="584">
        <f>'2022'!G55</f>
        <v>0</v>
      </c>
      <c r="U55" s="584">
        <f>'2023'!G55</f>
        <v>0</v>
      </c>
      <c r="V55" s="584">
        <f>'2024'!G55</f>
        <v>0</v>
      </c>
      <c r="W55" s="585">
        <f>'2025'!G55</f>
        <v>0</v>
      </c>
      <c r="X55" s="619">
        <f>'2020'!H55</f>
        <v>14</v>
      </c>
      <c r="Y55" s="584">
        <f>'2021'!H55</f>
        <v>23</v>
      </c>
      <c r="Z55" s="584">
        <f>'2022'!H55</f>
        <v>0</v>
      </c>
      <c r="AA55" s="584">
        <f>'2023'!H55</f>
        <v>0</v>
      </c>
      <c r="AB55" s="584">
        <f>'2024'!H55</f>
        <v>0</v>
      </c>
      <c r="AC55" s="585">
        <f>'2025'!H55</f>
        <v>0</v>
      </c>
      <c r="AD55" s="421">
        <f t="shared" si="4"/>
        <v>0.38</v>
      </c>
      <c r="AE55" s="422">
        <f t="shared" si="5"/>
        <v>0.54838709677419351</v>
      </c>
      <c r="AF55" s="422">
        <f t="shared" si="6"/>
        <v>0</v>
      </c>
      <c r="AG55" s="422">
        <f t="shared" si="7"/>
        <v>0</v>
      </c>
      <c r="AH55" s="422">
        <f t="shared" si="8"/>
        <v>0</v>
      </c>
      <c r="AI55" s="423">
        <f t="shared" si="9"/>
        <v>0</v>
      </c>
      <c r="AJ55" s="619">
        <f>'2020'!J55</f>
        <v>6.08</v>
      </c>
      <c r="AK55" s="584">
        <f>'2021'!J55</f>
        <v>17</v>
      </c>
      <c r="AL55" s="584">
        <f>'2022'!J55</f>
        <v>0</v>
      </c>
      <c r="AM55" s="584">
        <f>'2023'!J55</f>
        <v>0</v>
      </c>
      <c r="AN55" s="584">
        <f>'2024'!J55</f>
        <v>0</v>
      </c>
      <c r="AO55" s="585">
        <f>'2025'!J55</f>
        <v>0</v>
      </c>
      <c r="AP55" s="421">
        <f t="shared" si="28"/>
        <v>0.13</v>
      </c>
      <c r="AQ55" s="422">
        <f t="shared" si="11"/>
        <v>0.16129032258064516</v>
      </c>
      <c r="AR55" s="422" t="str">
        <f t="shared" si="12"/>
        <v/>
      </c>
      <c r="AS55" s="422" t="str">
        <f t="shared" si="13"/>
        <v/>
      </c>
      <c r="AT55" s="422" t="str">
        <f t="shared" si="14"/>
        <v/>
      </c>
      <c r="AU55" s="423" t="str">
        <f t="shared" si="15"/>
        <v/>
      </c>
      <c r="AV55" s="619">
        <f>'2020'!L55</f>
        <v>2.08</v>
      </c>
      <c r="AW55" s="584">
        <f>'2021'!L55</f>
        <v>5</v>
      </c>
      <c r="AX55" s="584">
        <f>'2022'!L55</f>
        <v>0</v>
      </c>
      <c r="AY55" s="584">
        <f>'2023'!L55</f>
        <v>0</v>
      </c>
      <c r="AZ55" s="584">
        <f>'2024'!L55</f>
        <v>0</v>
      </c>
      <c r="BA55" s="585">
        <f>'2025'!L55</f>
        <v>0</v>
      </c>
      <c r="BB55" s="421">
        <f t="shared" si="29"/>
        <v>1</v>
      </c>
      <c r="BC55" s="422">
        <f t="shared" si="16"/>
        <v>1</v>
      </c>
      <c r="BD55" s="422" t="str">
        <f t="shared" si="17"/>
        <v/>
      </c>
      <c r="BE55" s="422" t="str">
        <f t="shared" si="18"/>
        <v/>
      </c>
      <c r="BF55" s="422" t="str">
        <f t="shared" si="19"/>
        <v/>
      </c>
      <c r="BG55" s="423" t="str">
        <f t="shared" si="20"/>
        <v/>
      </c>
      <c r="BH55" s="732">
        <f>'2020'!N55</f>
        <v>2.08</v>
      </c>
      <c r="BI55" s="733">
        <f>'2021'!N55</f>
        <v>5</v>
      </c>
      <c r="BJ55" s="733" t="str">
        <f>'2022'!N55</f>
        <v/>
      </c>
      <c r="BK55" s="733" t="str">
        <f>'2023'!N55</f>
        <v/>
      </c>
      <c r="BL55" s="733">
        <f>'2024'!N55</f>
        <v>0</v>
      </c>
      <c r="BM55" s="734">
        <f>'2025'!N55</f>
        <v>0</v>
      </c>
      <c r="BN55" s="424" t="s">
        <v>21</v>
      </c>
      <c r="BO55" s="425" t="s">
        <v>21</v>
      </c>
      <c r="BP55" s="424" t="s">
        <v>21</v>
      </c>
      <c r="BQ55" s="425" t="s">
        <v>21</v>
      </c>
      <c r="BR55" s="426" t="s">
        <v>21</v>
      </c>
      <c r="BS55" s="427" t="s">
        <v>21</v>
      </c>
      <c r="BT55" s="426" t="s">
        <v>21</v>
      </c>
      <c r="BU55" s="428" t="s">
        <v>21</v>
      </c>
      <c r="CC55" s="1" t="str">
        <f t="shared" si="30"/>
        <v>France</v>
      </c>
      <c r="CD55" s="1" t="str">
        <f t="shared" si="31"/>
        <v>France</v>
      </c>
      <c r="CE55" s="1" t="str">
        <f t="shared" si="32"/>
        <v/>
      </c>
      <c r="CF55" s="1" t="str">
        <f t="shared" si="33"/>
        <v/>
      </c>
      <c r="CG55" s="1" t="str">
        <f t="shared" si="34"/>
        <v/>
      </c>
      <c r="CH55" s="1" t="str">
        <f t="shared" si="35"/>
        <v/>
      </c>
    </row>
    <row r="56" spans="2:86" ht="15.75" customHeight="1" x14ac:dyDescent="0.3">
      <c r="B56" s="773"/>
      <c r="C56" s="845"/>
      <c r="D56" s="814"/>
      <c r="E56" s="807"/>
      <c r="F56" s="807"/>
      <c r="G56" s="807"/>
      <c r="H56" s="807"/>
      <c r="I56" s="811"/>
      <c r="J56" s="721" t="s">
        <v>6</v>
      </c>
      <c r="K56" s="400" t="str">
        <f t="shared" si="158"/>
        <v>X</v>
      </c>
      <c r="L56" s="400" t="str">
        <f t="shared" si="159"/>
        <v>X</v>
      </c>
      <c r="M56" s="400" t="str">
        <f t="shared" si="160"/>
        <v>X</v>
      </c>
      <c r="N56" s="400" t="str">
        <f t="shared" si="161"/>
        <v>X</v>
      </c>
      <c r="O56" s="400" t="str">
        <f t="shared" si="162"/>
        <v/>
      </c>
      <c r="P56" s="401" t="str">
        <f t="shared" si="163"/>
        <v/>
      </c>
      <c r="Q56" s="237" t="s">
        <v>60</v>
      </c>
      <c r="R56" s="583">
        <f>'2020'!G56</f>
        <v>7</v>
      </c>
      <c r="S56" s="584">
        <f>'2021'!G56</f>
        <v>12</v>
      </c>
      <c r="T56" s="584">
        <f>'2022'!G56</f>
        <v>14</v>
      </c>
      <c r="U56" s="584">
        <f>'2023'!G56</f>
        <v>27</v>
      </c>
      <c r="V56" s="584">
        <f>'2024'!G56</f>
        <v>0</v>
      </c>
      <c r="W56" s="585">
        <f>'2025'!G56</f>
        <v>0</v>
      </c>
      <c r="X56" s="619">
        <f>'2020'!H56</f>
        <v>5</v>
      </c>
      <c r="Y56" s="584">
        <f>'2021'!H56</f>
        <v>7</v>
      </c>
      <c r="Z56" s="584">
        <f>'2022'!H56</f>
        <v>10</v>
      </c>
      <c r="AA56" s="584">
        <f>'2023'!H56</f>
        <v>17</v>
      </c>
      <c r="AB56" s="584">
        <f>'2024'!H56</f>
        <v>0</v>
      </c>
      <c r="AC56" s="585">
        <f>'2025'!H56</f>
        <v>0</v>
      </c>
      <c r="AD56" s="421">
        <f t="shared" si="4"/>
        <v>0.14000000000000001</v>
      </c>
      <c r="AE56" s="422">
        <f t="shared" si="5"/>
        <v>0.33333333333333331</v>
      </c>
      <c r="AF56" s="422">
        <f t="shared" si="6"/>
        <v>0.2857142857142857</v>
      </c>
      <c r="AG56" s="422">
        <f t="shared" si="7"/>
        <v>0.44444444444444442</v>
      </c>
      <c r="AH56" s="422">
        <f t="shared" si="8"/>
        <v>0</v>
      </c>
      <c r="AI56" s="423">
        <f t="shared" si="9"/>
        <v>0</v>
      </c>
      <c r="AJ56" s="619">
        <f>'2020'!J56</f>
        <v>0.98000000000000009</v>
      </c>
      <c r="AK56" s="584">
        <f>'2021'!J56</f>
        <v>4</v>
      </c>
      <c r="AL56" s="584">
        <f>'2022'!J56</f>
        <v>4</v>
      </c>
      <c r="AM56" s="584">
        <f>'2023'!J56</f>
        <v>12</v>
      </c>
      <c r="AN56" s="584">
        <f>'2024'!J56</f>
        <v>0</v>
      </c>
      <c r="AO56" s="585">
        <f>'2025'!J56</f>
        <v>0</v>
      </c>
      <c r="AP56" s="421">
        <f t="shared" si="28"/>
        <v>0</v>
      </c>
      <c r="AQ56" s="422">
        <f t="shared" si="11"/>
        <v>0.33333333333333331</v>
      </c>
      <c r="AR56" s="422">
        <f t="shared" si="12"/>
        <v>0.21428571428571427</v>
      </c>
      <c r="AS56" s="422">
        <f t="shared" si="13"/>
        <v>0.48148148148148145</v>
      </c>
      <c r="AT56" s="422" t="str">
        <f t="shared" si="14"/>
        <v/>
      </c>
      <c r="AU56" s="423" t="str">
        <f t="shared" si="15"/>
        <v/>
      </c>
      <c r="AV56" s="619">
        <f>'2020'!L56</f>
        <v>0</v>
      </c>
      <c r="AW56" s="584">
        <f>'2021'!L56</f>
        <v>4</v>
      </c>
      <c r="AX56" s="584">
        <f>'2022'!L56</f>
        <v>3</v>
      </c>
      <c r="AY56" s="584">
        <f>'2023'!L56</f>
        <v>13</v>
      </c>
      <c r="AZ56" s="584">
        <f>'2024'!L56</f>
        <v>0</v>
      </c>
      <c r="BA56" s="585">
        <f>'2025'!L56</f>
        <v>0</v>
      </c>
      <c r="BB56" s="421" t="str">
        <f t="shared" si="29"/>
        <v/>
      </c>
      <c r="BC56" s="422">
        <f t="shared" si="16"/>
        <v>0.5</v>
      </c>
      <c r="BD56" s="422">
        <f t="shared" si="17"/>
        <v>0.66666666666666663</v>
      </c>
      <c r="BE56" s="422">
        <f t="shared" si="18"/>
        <v>0.61538461538461542</v>
      </c>
      <c r="BF56" s="422" t="str">
        <f t="shared" si="19"/>
        <v/>
      </c>
      <c r="BG56" s="423" t="str">
        <f t="shared" si="20"/>
        <v/>
      </c>
      <c r="BH56" s="732">
        <f>'2020'!N56</f>
        <v>0</v>
      </c>
      <c r="BI56" s="733">
        <f>'2021'!N56</f>
        <v>2</v>
      </c>
      <c r="BJ56" s="733">
        <f>'2022'!N56</f>
        <v>2</v>
      </c>
      <c r="BK56" s="733">
        <f>'2023'!N56</f>
        <v>8</v>
      </c>
      <c r="BL56" s="733">
        <f>'2024'!N56</f>
        <v>0</v>
      </c>
      <c r="BM56" s="734">
        <f>'2025'!N56</f>
        <v>0</v>
      </c>
      <c r="BN56" s="424" t="s">
        <v>21</v>
      </c>
      <c r="BO56" s="425" t="s">
        <v>21</v>
      </c>
      <c r="BP56" s="424" t="s">
        <v>21</v>
      </c>
      <c r="BQ56" s="425" t="s">
        <v>21</v>
      </c>
      <c r="BR56" s="426" t="s">
        <v>21</v>
      </c>
      <c r="BS56" s="427" t="s">
        <v>21</v>
      </c>
      <c r="BT56" s="426" t="s">
        <v>21</v>
      </c>
      <c r="BU56" s="428" t="s">
        <v>21</v>
      </c>
      <c r="CC56" s="1" t="str">
        <f t="shared" si="30"/>
        <v>France</v>
      </c>
      <c r="CD56" s="1" t="str">
        <f t="shared" si="31"/>
        <v>France</v>
      </c>
      <c r="CE56" s="1" t="str">
        <f t="shared" si="32"/>
        <v>France</v>
      </c>
      <c r="CF56" s="1" t="str">
        <f t="shared" si="33"/>
        <v>France</v>
      </c>
      <c r="CG56" s="1" t="str">
        <f t="shared" si="34"/>
        <v/>
      </c>
      <c r="CH56" s="1" t="str">
        <f t="shared" si="35"/>
        <v/>
      </c>
    </row>
    <row r="57" spans="2:86" ht="15.75" customHeight="1" x14ac:dyDescent="0.3">
      <c r="B57" s="773"/>
      <c r="C57" s="845"/>
      <c r="D57" s="814"/>
      <c r="E57" s="807"/>
      <c r="F57" s="807"/>
      <c r="G57" s="807"/>
      <c r="H57" s="807"/>
      <c r="I57" s="811"/>
      <c r="J57" s="721" t="s">
        <v>228</v>
      </c>
      <c r="K57" s="400" t="str">
        <f t="shared" si="158"/>
        <v/>
      </c>
      <c r="L57" s="400" t="str">
        <f t="shared" si="159"/>
        <v/>
      </c>
      <c r="M57" s="400" t="str">
        <f t="shared" si="160"/>
        <v/>
      </c>
      <c r="N57" s="400" t="str">
        <f t="shared" si="161"/>
        <v>X</v>
      </c>
      <c r="O57" s="400" t="str">
        <f t="shared" si="162"/>
        <v/>
      </c>
      <c r="P57" s="401" t="str">
        <f t="shared" si="163"/>
        <v/>
      </c>
      <c r="Q57" s="237" t="s">
        <v>60</v>
      </c>
      <c r="R57" s="583">
        <f>'2020'!G57</f>
        <v>0</v>
      </c>
      <c r="S57" s="584">
        <f>'2021'!G57</f>
        <v>0</v>
      </c>
      <c r="T57" s="584">
        <f>'2022'!G57</f>
        <v>0</v>
      </c>
      <c r="U57" s="584">
        <f>'2023'!G57</f>
        <v>65</v>
      </c>
      <c r="V57" s="584">
        <f>'2024'!G57</f>
        <v>0</v>
      </c>
      <c r="W57" s="585">
        <f>'2025'!G57</f>
        <v>0</v>
      </c>
      <c r="X57" s="619">
        <f>'2020'!H57</f>
        <v>0</v>
      </c>
      <c r="Y57" s="584">
        <f>'2021'!H57</f>
        <v>0</v>
      </c>
      <c r="Z57" s="584">
        <f>'2022'!H57</f>
        <v>0</v>
      </c>
      <c r="AA57" s="584">
        <f>'2023'!H57</f>
        <v>30</v>
      </c>
      <c r="AB57" s="584">
        <f>'2024'!H57</f>
        <v>0</v>
      </c>
      <c r="AC57" s="585">
        <f>'2025'!H57</f>
        <v>0</v>
      </c>
      <c r="AD57" s="421">
        <f t="shared" si="4"/>
        <v>0</v>
      </c>
      <c r="AE57" s="422">
        <f t="shared" si="5"/>
        <v>0</v>
      </c>
      <c r="AF57" s="422">
        <f t="shared" si="6"/>
        <v>0</v>
      </c>
      <c r="AG57" s="422">
        <f t="shared" si="7"/>
        <v>0.53846153846153844</v>
      </c>
      <c r="AH57" s="422">
        <f t="shared" si="8"/>
        <v>0</v>
      </c>
      <c r="AI57" s="423">
        <f t="shared" si="9"/>
        <v>0</v>
      </c>
      <c r="AJ57" s="619">
        <f>'2020'!J57</f>
        <v>0</v>
      </c>
      <c r="AK57" s="584">
        <f>'2021'!J57</f>
        <v>0</v>
      </c>
      <c r="AL57" s="584">
        <f>'2022'!J57</f>
        <v>0</v>
      </c>
      <c r="AM57" s="584">
        <f>'2023'!J57</f>
        <v>35</v>
      </c>
      <c r="AN57" s="584">
        <f>'2024'!J57</f>
        <v>0</v>
      </c>
      <c r="AO57" s="585">
        <f>'2025'!J57</f>
        <v>0</v>
      </c>
      <c r="AP57" s="421" t="str">
        <f t="shared" si="28"/>
        <v/>
      </c>
      <c r="AQ57" s="422" t="str">
        <f t="shared" si="11"/>
        <v/>
      </c>
      <c r="AR57" s="422" t="str">
        <f t="shared" si="12"/>
        <v/>
      </c>
      <c r="AS57" s="422">
        <f t="shared" si="13"/>
        <v>0.38461538461538464</v>
      </c>
      <c r="AT57" s="422" t="str">
        <f t="shared" si="14"/>
        <v/>
      </c>
      <c r="AU57" s="423" t="str">
        <f t="shared" si="15"/>
        <v/>
      </c>
      <c r="AV57" s="619">
        <f>'2020'!L57</f>
        <v>0</v>
      </c>
      <c r="AW57" s="584">
        <f>'2021'!L57</f>
        <v>0</v>
      </c>
      <c r="AX57" s="584">
        <f>'2022'!L57</f>
        <v>0</v>
      </c>
      <c r="AY57" s="584">
        <f>'2023'!L57</f>
        <v>25</v>
      </c>
      <c r="AZ57" s="584">
        <f>'2024'!L57</f>
        <v>0</v>
      </c>
      <c r="BA57" s="585">
        <f>'2025'!L57</f>
        <v>0</v>
      </c>
      <c r="BB57" s="421" t="str">
        <f t="shared" si="29"/>
        <v/>
      </c>
      <c r="BC57" s="422" t="str">
        <f t="shared" si="16"/>
        <v/>
      </c>
      <c r="BD57" s="422" t="str">
        <f t="shared" si="17"/>
        <v/>
      </c>
      <c r="BE57" s="422">
        <f t="shared" si="18"/>
        <v>0.76</v>
      </c>
      <c r="BF57" s="422" t="str">
        <f t="shared" si="19"/>
        <v/>
      </c>
      <c r="BG57" s="423" t="str">
        <f t="shared" si="20"/>
        <v/>
      </c>
      <c r="BH57" s="732">
        <f>'2020'!N57</f>
        <v>0</v>
      </c>
      <c r="BI57" s="733">
        <f>'2021'!N57</f>
        <v>0</v>
      </c>
      <c r="BJ57" s="733" t="str">
        <f>'2022'!N57</f>
        <v/>
      </c>
      <c r="BK57" s="733">
        <f>'2023'!N57</f>
        <v>19</v>
      </c>
      <c r="BL57" s="733">
        <f>'2024'!N57</f>
        <v>0</v>
      </c>
      <c r="BM57" s="734">
        <f>'2025'!N57</f>
        <v>0</v>
      </c>
      <c r="BN57" s="424"/>
      <c r="BO57" s="425"/>
      <c r="BP57" s="424"/>
      <c r="BQ57" s="425"/>
      <c r="BR57" s="426"/>
      <c r="BS57" s="427"/>
      <c r="BT57" s="426"/>
      <c r="BU57" s="428"/>
      <c r="CC57" s="1" t="str">
        <f t="shared" si="30"/>
        <v/>
      </c>
      <c r="CD57" s="1" t="str">
        <f t="shared" si="31"/>
        <v/>
      </c>
      <c r="CE57" s="1" t="str">
        <f t="shared" si="32"/>
        <v/>
      </c>
      <c r="CF57" s="1" t="str">
        <f t="shared" si="33"/>
        <v>France</v>
      </c>
      <c r="CG57" s="1" t="str">
        <f t="shared" si="34"/>
        <v/>
      </c>
      <c r="CH57" s="1" t="str">
        <f t="shared" si="35"/>
        <v/>
      </c>
    </row>
    <row r="58" spans="2:86" ht="15.75" customHeight="1" x14ac:dyDescent="0.3">
      <c r="B58" s="773"/>
      <c r="C58" s="845"/>
      <c r="D58" s="814"/>
      <c r="E58" s="807"/>
      <c r="F58" s="807"/>
      <c r="G58" s="807"/>
      <c r="H58" s="807"/>
      <c r="I58" s="811"/>
      <c r="J58" s="721" t="s">
        <v>229</v>
      </c>
      <c r="K58" s="400" t="str">
        <f t="shared" si="158"/>
        <v/>
      </c>
      <c r="L58" s="400" t="str">
        <f t="shared" si="159"/>
        <v/>
      </c>
      <c r="M58" s="400" t="str">
        <f t="shared" si="160"/>
        <v/>
      </c>
      <c r="N58" s="400" t="str">
        <f t="shared" si="161"/>
        <v>X</v>
      </c>
      <c r="O58" s="400" t="str">
        <f t="shared" si="162"/>
        <v/>
      </c>
      <c r="P58" s="401" t="str">
        <f t="shared" si="163"/>
        <v/>
      </c>
      <c r="Q58" s="237" t="s">
        <v>60</v>
      </c>
      <c r="R58" s="583">
        <f>'2020'!G58</f>
        <v>0</v>
      </c>
      <c r="S58" s="584">
        <f>'2021'!G58</f>
        <v>0</v>
      </c>
      <c r="T58" s="584">
        <f>'2022'!G58</f>
        <v>0</v>
      </c>
      <c r="U58" s="584">
        <f>'2023'!G58</f>
        <v>36</v>
      </c>
      <c r="V58" s="584">
        <f>'2024'!G58</f>
        <v>0</v>
      </c>
      <c r="W58" s="585">
        <f>'2025'!G58</f>
        <v>0</v>
      </c>
      <c r="X58" s="619">
        <f>'2020'!H58</f>
        <v>0</v>
      </c>
      <c r="Y58" s="584">
        <f>'2021'!H58</f>
        <v>0</v>
      </c>
      <c r="Z58" s="584">
        <f>'2022'!H58</f>
        <v>0</v>
      </c>
      <c r="AA58" s="584">
        <f>'2023'!H58</f>
        <v>25</v>
      </c>
      <c r="AB58" s="584">
        <f>'2024'!H58</f>
        <v>0</v>
      </c>
      <c r="AC58" s="585">
        <f>'2025'!H58</f>
        <v>0</v>
      </c>
      <c r="AD58" s="421">
        <f t="shared" si="4"/>
        <v>0</v>
      </c>
      <c r="AE58" s="422">
        <f t="shared" si="5"/>
        <v>0</v>
      </c>
      <c r="AF58" s="422">
        <f t="shared" si="6"/>
        <v>0</v>
      </c>
      <c r="AG58" s="422">
        <f t="shared" si="7"/>
        <v>0.66666666666666663</v>
      </c>
      <c r="AH58" s="422">
        <f t="shared" si="8"/>
        <v>0</v>
      </c>
      <c r="AI58" s="423">
        <f t="shared" si="9"/>
        <v>0</v>
      </c>
      <c r="AJ58" s="619">
        <f>'2020'!J58</f>
        <v>0</v>
      </c>
      <c r="AK58" s="584">
        <f>'2021'!J58</f>
        <v>0</v>
      </c>
      <c r="AL58" s="584">
        <f>'2022'!J58</f>
        <v>0</v>
      </c>
      <c r="AM58" s="584">
        <f>'2023'!J58</f>
        <v>24</v>
      </c>
      <c r="AN58" s="584">
        <f>'2024'!J58</f>
        <v>0</v>
      </c>
      <c r="AO58" s="585">
        <f>'2025'!J58</f>
        <v>0</v>
      </c>
      <c r="AP58" s="421" t="str">
        <f t="shared" si="28"/>
        <v/>
      </c>
      <c r="AQ58" s="422" t="str">
        <f t="shared" si="11"/>
        <v/>
      </c>
      <c r="AR58" s="422" t="str">
        <f t="shared" si="12"/>
        <v/>
      </c>
      <c r="AS58" s="422">
        <f t="shared" si="13"/>
        <v>0.33333333333333331</v>
      </c>
      <c r="AT58" s="422" t="str">
        <f t="shared" si="14"/>
        <v/>
      </c>
      <c r="AU58" s="423" t="str">
        <f t="shared" si="15"/>
        <v/>
      </c>
      <c r="AV58" s="619">
        <f>'2020'!L58</f>
        <v>0</v>
      </c>
      <c r="AW58" s="584">
        <f>'2021'!L58</f>
        <v>0</v>
      </c>
      <c r="AX58" s="584">
        <f>'2022'!L58</f>
        <v>0</v>
      </c>
      <c r="AY58" s="584">
        <f>'2023'!L58</f>
        <v>12</v>
      </c>
      <c r="AZ58" s="584">
        <f>'2024'!L58</f>
        <v>0</v>
      </c>
      <c r="BA58" s="585">
        <f>'2025'!L58</f>
        <v>0</v>
      </c>
      <c r="BB58" s="421" t="str">
        <f t="shared" si="29"/>
        <v/>
      </c>
      <c r="BC58" s="422" t="str">
        <f t="shared" si="16"/>
        <v/>
      </c>
      <c r="BD58" s="422" t="str">
        <f t="shared" si="17"/>
        <v/>
      </c>
      <c r="BE58" s="422">
        <f t="shared" si="18"/>
        <v>0.75</v>
      </c>
      <c r="BF58" s="422" t="str">
        <f t="shared" si="19"/>
        <v/>
      </c>
      <c r="BG58" s="423" t="str">
        <f t="shared" si="20"/>
        <v/>
      </c>
      <c r="BH58" s="732">
        <f>'2020'!N58</f>
        <v>0</v>
      </c>
      <c r="BI58" s="733">
        <f>'2021'!N58</f>
        <v>0</v>
      </c>
      <c r="BJ58" s="733" t="str">
        <f>'2022'!N58</f>
        <v/>
      </c>
      <c r="BK58" s="733">
        <f>'2023'!N58</f>
        <v>9</v>
      </c>
      <c r="BL58" s="733">
        <f>'2024'!N58</f>
        <v>0</v>
      </c>
      <c r="BM58" s="734">
        <f>'2025'!N58</f>
        <v>0</v>
      </c>
      <c r="BN58" s="424"/>
      <c r="BO58" s="425"/>
      <c r="BP58" s="424"/>
      <c r="BQ58" s="425"/>
      <c r="BR58" s="426"/>
      <c r="BS58" s="427"/>
      <c r="BT58" s="426"/>
      <c r="BU58" s="428"/>
      <c r="CC58" s="1" t="str">
        <f t="shared" si="30"/>
        <v/>
      </c>
      <c r="CD58" s="1" t="str">
        <f t="shared" si="31"/>
        <v/>
      </c>
      <c r="CE58" s="1" t="str">
        <f t="shared" si="32"/>
        <v/>
      </c>
      <c r="CF58" s="1" t="str">
        <f t="shared" si="33"/>
        <v>France</v>
      </c>
      <c r="CG58" s="1" t="str">
        <f t="shared" si="34"/>
        <v/>
      </c>
      <c r="CH58" s="1" t="str">
        <f t="shared" si="35"/>
        <v/>
      </c>
    </row>
    <row r="59" spans="2:86" ht="15.75" customHeight="1" x14ac:dyDescent="0.3">
      <c r="B59" s="773"/>
      <c r="C59" s="845"/>
      <c r="D59" s="814"/>
      <c r="E59" s="807"/>
      <c r="F59" s="807"/>
      <c r="G59" s="807"/>
      <c r="H59" s="807"/>
      <c r="I59" s="811"/>
      <c r="J59" s="721" t="s">
        <v>198</v>
      </c>
      <c r="K59" s="400" t="str">
        <f t="shared" si="158"/>
        <v/>
      </c>
      <c r="L59" s="400" t="str">
        <f t="shared" si="159"/>
        <v/>
      </c>
      <c r="M59" s="400" t="str">
        <f t="shared" si="160"/>
        <v>X</v>
      </c>
      <c r="N59" s="400" t="str">
        <f t="shared" si="161"/>
        <v>X</v>
      </c>
      <c r="O59" s="400" t="str">
        <f t="shared" si="162"/>
        <v/>
      </c>
      <c r="P59" s="401" t="str">
        <f t="shared" si="163"/>
        <v/>
      </c>
      <c r="Q59" s="237" t="s">
        <v>60</v>
      </c>
      <c r="R59" s="583">
        <f>'2020'!G59</f>
        <v>0</v>
      </c>
      <c r="S59" s="584">
        <f>'2021'!G59</f>
        <v>0</v>
      </c>
      <c r="T59" s="584">
        <f>'2022'!G59</f>
        <v>11</v>
      </c>
      <c r="U59" s="584">
        <f>'2023'!G59</f>
        <v>28</v>
      </c>
      <c r="V59" s="584">
        <f>'2024'!G59</f>
        <v>0</v>
      </c>
      <c r="W59" s="585">
        <f>'2025'!G59</f>
        <v>0</v>
      </c>
      <c r="X59" s="619">
        <f>'2020'!H59</f>
        <v>0</v>
      </c>
      <c r="Y59" s="584">
        <f>'2021'!H59</f>
        <v>0</v>
      </c>
      <c r="Z59" s="584">
        <f>'2022'!H59</f>
        <v>7</v>
      </c>
      <c r="AA59" s="584">
        <f>'2023'!H59</f>
        <v>20</v>
      </c>
      <c r="AB59" s="584">
        <f>'2024'!H59</f>
        <v>0</v>
      </c>
      <c r="AC59" s="585">
        <f>'2025'!H59</f>
        <v>0</v>
      </c>
      <c r="AD59" s="421">
        <f t="shared" si="4"/>
        <v>0</v>
      </c>
      <c r="AE59" s="422">
        <f t="shared" si="5"/>
        <v>0</v>
      </c>
      <c r="AF59" s="422">
        <f t="shared" si="6"/>
        <v>0.63636363636363635</v>
      </c>
      <c r="AG59" s="422">
        <f t="shared" si="7"/>
        <v>0.5357142857142857</v>
      </c>
      <c r="AH59" s="422">
        <f t="shared" si="8"/>
        <v>0</v>
      </c>
      <c r="AI59" s="423">
        <f t="shared" si="9"/>
        <v>0</v>
      </c>
      <c r="AJ59" s="619">
        <f>'2020'!J59</f>
        <v>0</v>
      </c>
      <c r="AK59" s="584">
        <f>'2021'!J59</f>
        <v>0</v>
      </c>
      <c r="AL59" s="584">
        <f>'2022'!J59</f>
        <v>7</v>
      </c>
      <c r="AM59" s="584">
        <f>'2023'!J59</f>
        <v>15</v>
      </c>
      <c r="AN59" s="584">
        <f>'2024'!J59</f>
        <v>0</v>
      </c>
      <c r="AO59" s="585">
        <f>'2025'!J59</f>
        <v>0</v>
      </c>
      <c r="AP59" s="421" t="str">
        <f t="shared" si="28"/>
        <v/>
      </c>
      <c r="AQ59" s="422" t="str">
        <f t="shared" si="11"/>
        <v/>
      </c>
      <c r="AR59" s="422">
        <f t="shared" si="12"/>
        <v>9.0909090909090912E-2</v>
      </c>
      <c r="AS59" s="422">
        <f t="shared" si="13"/>
        <v>0.21428571428571427</v>
      </c>
      <c r="AT59" s="422" t="str">
        <f t="shared" si="14"/>
        <v/>
      </c>
      <c r="AU59" s="423" t="str">
        <f t="shared" si="15"/>
        <v/>
      </c>
      <c r="AV59" s="619">
        <f>'2020'!L59</f>
        <v>0</v>
      </c>
      <c r="AW59" s="584">
        <f>'2021'!L59</f>
        <v>0</v>
      </c>
      <c r="AX59" s="584">
        <f>'2022'!L59</f>
        <v>1</v>
      </c>
      <c r="AY59" s="584">
        <f>'2023'!L59</f>
        <v>6</v>
      </c>
      <c r="AZ59" s="584">
        <f>'2024'!L59</f>
        <v>0</v>
      </c>
      <c r="BA59" s="585">
        <f>'2025'!L59</f>
        <v>0</v>
      </c>
      <c r="BB59" s="421" t="str">
        <f t="shared" si="29"/>
        <v/>
      </c>
      <c r="BC59" s="422" t="str">
        <f t="shared" si="16"/>
        <v/>
      </c>
      <c r="BD59" s="422">
        <f t="shared" si="17"/>
        <v>1</v>
      </c>
      <c r="BE59" s="422">
        <f t="shared" si="18"/>
        <v>1</v>
      </c>
      <c r="BF59" s="422" t="str">
        <f t="shared" si="19"/>
        <v/>
      </c>
      <c r="BG59" s="423" t="str">
        <f t="shared" si="20"/>
        <v/>
      </c>
      <c r="BH59" s="732">
        <f>'2020'!N59</f>
        <v>0</v>
      </c>
      <c r="BI59" s="733">
        <f>'2021'!N59</f>
        <v>0</v>
      </c>
      <c r="BJ59" s="733">
        <f>'2022'!N59</f>
        <v>1</v>
      </c>
      <c r="BK59" s="733">
        <f>'2023'!N59</f>
        <v>6</v>
      </c>
      <c r="BL59" s="733">
        <f>'2024'!N59</f>
        <v>0</v>
      </c>
      <c r="BM59" s="734">
        <f>'2025'!N59</f>
        <v>0</v>
      </c>
      <c r="BN59" s="424"/>
      <c r="BO59" s="425"/>
      <c r="BP59" s="424"/>
      <c r="BQ59" s="425"/>
      <c r="BR59" s="426"/>
      <c r="BS59" s="427"/>
      <c r="BT59" s="426"/>
      <c r="BU59" s="428"/>
      <c r="CC59" s="1" t="str">
        <f t="shared" si="30"/>
        <v/>
      </c>
      <c r="CD59" s="1" t="str">
        <f t="shared" si="31"/>
        <v/>
      </c>
      <c r="CE59" s="1" t="str">
        <f t="shared" si="32"/>
        <v>France</v>
      </c>
      <c r="CF59" s="1" t="str">
        <f t="shared" si="33"/>
        <v>France</v>
      </c>
      <c r="CG59" s="1" t="str">
        <f t="shared" si="34"/>
        <v/>
      </c>
      <c r="CH59" s="1" t="str">
        <f t="shared" si="35"/>
        <v/>
      </c>
    </row>
    <row r="60" spans="2:86" ht="15.75" customHeight="1" x14ac:dyDescent="0.3">
      <c r="B60" s="773"/>
      <c r="C60" s="845"/>
      <c r="D60" s="814"/>
      <c r="E60" s="807"/>
      <c r="F60" s="807"/>
      <c r="G60" s="807"/>
      <c r="H60" s="807"/>
      <c r="I60" s="811"/>
      <c r="J60" s="721" t="s">
        <v>9</v>
      </c>
      <c r="K60" s="400" t="str">
        <f t="shared" si="158"/>
        <v>X</v>
      </c>
      <c r="L60" s="400" t="str">
        <f t="shared" si="159"/>
        <v>X</v>
      </c>
      <c r="M60" s="400" t="str">
        <f t="shared" si="160"/>
        <v>X</v>
      </c>
      <c r="N60" s="400" t="str">
        <f t="shared" si="161"/>
        <v>X</v>
      </c>
      <c r="O60" s="400" t="str">
        <f t="shared" si="162"/>
        <v/>
      </c>
      <c r="P60" s="401" t="str">
        <f t="shared" si="163"/>
        <v/>
      </c>
      <c r="Q60" s="237" t="s">
        <v>60</v>
      </c>
      <c r="R60" s="583">
        <f>'2020'!G60</f>
        <v>20</v>
      </c>
      <c r="S60" s="584">
        <f>'2021'!G60</f>
        <v>17</v>
      </c>
      <c r="T60" s="584" t="str">
        <f>'2022'!G60</f>
        <v/>
      </c>
      <c r="U60" s="584">
        <f>'2023'!G60</f>
        <v>43</v>
      </c>
      <c r="V60" s="584">
        <f>'2024'!G60</f>
        <v>0</v>
      </c>
      <c r="W60" s="585">
        <f>'2025'!G60</f>
        <v>0</v>
      </c>
      <c r="X60" s="619">
        <f>'2020'!H60</f>
        <v>9</v>
      </c>
      <c r="Y60" s="584">
        <f>'2021'!H60</f>
        <v>9</v>
      </c>
      <c r="Z60" s="584" t="str">
        <f>'2022'!H60</f>
        <v/>
      </c>
      <c r="AA60" s="584">
        <f>'2023'!H60</f>
        <v>28</v>
      </c>
      <c r="AB60" s="584">
        <f>'2024'!H60</f>
        <v>0</v>
      </c>
      <c r="AC60" s="585">
        <f>'2025'!H60</f>
        <v>0</v>
      </c>
      <c r="AD60" s="421">
        <f t="shared" si="4"/>
        <v>0.25</v>
      </c>
      <c r="AE60" s="422">
        <f t="shared" si="5"/>
        <v>0.41176470588235292</v>
      </c>
      <c r="AF60" s="422">
        <f t="shared" si="6"/>
        <v>0</v>
      </c>
      <c r="AG60" s="422">
        <f t="shared" si="7"/>
        <v>0.34883720930232559</v>
      </c>
      <c r="AH60" s="422">
        <f t="shared" si="8"/>
        <v>0</v>
      </c>
      <c r="AI60" s="423">
        <f t="shared" si="9"/>
        <v>0</v>
      </c>
      <c r="AJ60" s="619">
        <f>'2020'!J60</f>
        <v>5</v>
      </c>
      <c r="AK60" s="584">
        <f>'2021'!J60</f>
        <v>7</v>
      </c>
      <c r="AL60" s="584" t="str">
        <f>'2022'!J60</f>
        <v/>
      </c>
      <c r="AM60" s="584">
        <f>'2023'!J60</f>
        <v>15</v>
      </c>
      <c r="AN60" s="584">
        <f>'2024'!J60</f>
        <v>0</v>
      </c>
      <c r="AO60" s="585">
        <f>'2025'!J60</f>
        <v>0</v>
      </c>
      <c r="AP60" s="421">
        <f t="shared" si="28"/>
        <v>0.15</v>
      </c>
      <c r="AQ60" s="422">
        <f t="shared" si="11"/>
        <v>0.23529411764705882</v>
      </c>
      <c r="AR60" s="422" t="str">
        <f t="shared" si="12"/>
        <v/>
      </c>
      <c r="AS60" s="422">
        <f t="shared" si="13"/>
        <v>0.39534883720930231</v>
      </c>
      <c r="AT60" s="422" t="str">
        <f t="shared" si="14"/>
        <v/>
      </c>
      <c r="AU60" s="423" t="str">
        <f t="shared" si="15"/>
        <v/>
      </c>
      <c r="AV60" s="619">
        <f>'2020'!L60</f>
        <v>3</v>
      </c>
      <c r="AW60" s="584">
        <f>'2021'!L60</f>
        <v>4</v>
      </c>
      <c r="AX60" s="584" t="str">
        <f>'2022'!L60</f>
        <v/>
      </c>
      <c r="AY60" s="584">
        <f>'2023'!L60</f>
        <v>17</v>
      </c>
      <c r="AZ60" s="584">
        <f>'2024'!L60</f>
        <v>0</v>
      </c>
      <c r="BA60" s="585">
        <f>'2025'!L60</f>
        <v>0</v>
      </c>
      <c r="BB60" s="421">
        <f t="shared" si="29"/>
        <v>0.33</v>
      </c>
      <c r="BC60" s="422">
        <f t="shared" si="16"/>
        <v>0.25</v>
      </c>
      <c r="BD60" s="422" t="e">
        <f t="shared" si="17"/>
        <v>#VALUE!</v>
      </c>
      <c r="BE60" s="422">
        <f t="shared" si="18"/>
        <v>0.17647058823529413</v>
      </c>
      <c r="BF60" s="422" t="str">
        <f t="shared" si="19"/>
        <v/>
      </c>
      <c r="BG60" s="423" t="str">
        <f t="shared" si="20"/>
        <v/>
      </c>
      <c r="BH60" s="732">
        <f>'2020'!N60</f>
        <v>0.99</v>
      </c>
      <c r="BI60" s="733">
        <f>'2021'!N60</f>
        <v>1</v>
      </c>
      <c r="BJ60" s="733" t="str">
        <f>'2022'!N60</f>
        <v/>
      </c>
      <c r="BK60" s="733">
        <f>'2023'!N60</f>
        <v>3</v>
      </c>
      <c r="BL60" s="733">
        <f>'2024'!N60</f>
        <v>0</v>
      </c>
      <c r="BM60" s="734">
        <f>'2025'!N60</f>
        <v>0</v>
      </c>
      <c r="BN60" s="424" t="s">
        <v>21</v>
      </c>
      <c r="BO60" s="425" t="s">
        <v>21</v>
      </c>
      <c r="BP60" s="424" t="s">
        <v>21</v>
      </c>
      <c r="BQ60" s="425" t="s">
        <v>21</v>
      </c>
      <c r="BR60" s="426" t="s">
        <v>21</v>
      </c>
      <c r="BS60" s="427" t="s">
        <v>21</v>
      </c>
      <c r="BT60" s="426" t="s">
        <v>21</v>
      </c>
      <c r="BU60" s="428" t="s">
        <v>21</v>
      </c>
      <c r="CC60" s="1" t="str">
        <f t="shared" si="30"/>
        <v>France</v>
      </c>
      <c r="CD60" s="1" t="str">
        <f t="shared" si="31"/>
        <v>France</v>
      </c>
      <c r="CE60" s="1" t="str">
        <f t="shared" si="32"/>
        <v>France</v>
      </c>
      <c r="CF60" s="1" t="str">
        <f t="shared" si="33"/>
        <v>France</v>
      </c>
      <c r="CG60" s="1" t="str">
        <f t="shared" si="34"/>
        <v/>
      </c>
      <c r="CH60" s="1" t="str">
        <f t="shared" si="35"/>
        <v/>
      </c>
    </row>
    <row r="61" spans="2:86" ht="15.75" customHeight="1" x14ac:dyDescent="0.3">
      <c r="B61" s="854"/>
      <c r="C61" s="855"/>
      <c r="D61" s="814"/>
      <c r="E61" s="807"/>
      <c r="F61" s="807"/>
      <c r="G61" s="807"/>
      <c r="H61" s="807"/>
      <c r="I61" s="811"/>
      <c r="J61" s="721" t="s">
        <v>166</v>
      </c>
      <c r="K61" s="400" t="str">
        <f t="shared" si="158"/>
        <v/>
      </c>
      <c r="L61" s="400" t="str">
        <f t="shared" si="159"/>
        <v/>
      </c>
      <c r="M61" s="400" t="str">
        <f t="shared" si="160"/>
        <v/>
      </c>
      <c r="N61" s="400" t="str">
        <f t="shared" si="161"/>
        <v/>
      </c>
      <c r="O61" s="400" t="str">
        <f t="shared" si="162"/>
        <v/>
      </c>
      <c r="P61" s="401" t="str">
        <f t="shared" si="163"/>
        <v/>
      </c>
      <c r="Q61" s="237"/>
      <c r="R61" s="583">
        <f>'2020'!G61</f>
        <v>0</v>
      </c>
      <c r="S61" s="584">
        <f>'2021'!G61</f>
        <v>0</v>
      </c>
      <c r="T61" s="584">
        <f>'2022'!G61</f>
        <v>0</v>
      </c>
      <c r="U61" s="584">
        <f>'2023'!G61</f>
        <v>0</v>
      </c>
      <c r="V61" s="584">
        <f>'2024'!G61</f>
        <v>0</v>
      </c>
      <c r="W61" s="585">
        <f>'2025'!G61</f>
        <v>0</v>
      </c>
      <c r="X61" s="619">
        <f>'2020'!H61</f>
        <v>0</v>
      </c>
      <c r="Y61" s="584">
        <f>'2021'!H61</f>
        <v>0</v>
      </c>
      <c r="Z61" s="584">
        <f>'2022'!H61</f>
        <v>0</v>
      </c>
      <c r="AA61" s="584">
        <f>'2023'!H61</f>
        <v>0</v>
      </c>
      <c r="AB61" s="584">
        <f>'2024'!H61</f>
        <v>0</v>
      </c>
      <c r="AC61" s="585">
        <f>'2025'!H61</f>
        <v>0</v>
      </c>
      <c r="AD61" s="421">
        <f t="shared" si="4"/>
        <v>0</v>
      </c>
      <c r="AE61" s="422">
        <f t="shared" si="5"/>
        <v>0</v>
      </c>
      <c r="AF61" s="422">
        <f t="shared" si="6"/>
        <v>0</v>
      </c>
      <c r="AG61" s="422">
        <f t="shared" si="7"/>
        <v>0</v>
      </c>
      <c r="AH61" s="422">
        <f t="shared" si="8"/>
        <v>0</v>
      </c>
      <c r="AI61" s="423">
        <f t="shared" si="9"/>
        <v>0</v>
      </c>
      <c r="AJ61" s="619">
        <f>'2020'!J61</f>
        <v>0</v>
      </c>
      <c r="AK61" s="584">
        <f>'2021'!J61</f>
        <v>0</v>
      </c>
      <c r="AL61" s="584">
        <f>'2022'!J61</f>
        <v>0</v>
      </c>
      <c r="AM61" s="584">
        <f>'2023'!J61</f>
        <v>0</v>
      </c>
      <c r="AN61" s="584">
        <f>'2024'!J61</f>
        <v>0</v>
      </c>
      <c r="AO61" s="585">
        <f>'2025'!J61</f>
        <v>0</v>
      </c>
      <c r="AP61" s="421" t="str">
        <f t="shared" si="28"/>
        <v/>
      </c>
      <c r="AQ61" s="422" t="str">
        <f t="shared" si="11"/>
        <v/>
      </c>
      <c r="AR61" s="422" t="str">
        <f t="shared" si="12"/>
        <v/>
      </c>
      <c r="AS61" s="422" t="str">
        <f t="shared" si="13"/>
        <v/>
      </c>
      <c r="AT61" s="422" t="str">
        <f t="shared" si="14"/>
        <v/>
      </c>
      <c r="AU61" s="423" t="str">
        <f t="shared" si="15"/>
        <v/>
      </c>
      <c r="AV61" s="619">
        <f>'2020'!L61</f>
        <v>0</v>
      </c>
      <c r="AW61" s="584">
        <f>'2021'!L61</f>
        <v>0</v>
      </c>
      <c r="AX61" s="584">
        <f>'2022'!L61</f>
        <v>0</v>
      </c>
      <c r="AY61" s="584">
        <f>'2023'!L61</f>
        <v>0</v>
      </c>
      <c r="AZ61" s="584">
        <f>'2024'!L61</f>
        <v>0</v>
      </c>
      <c r="BA61" s="585">
        <f>'2025'!L61</f>
        <v>0</v>
      </c>
      <c r="BB61" s="421" t="str">
        <f t="shared" si="29"/>
        <v/>
      </c>
      <c r="BC61" s="422" t="str">
        <f t="shared" si="16"/>
        <v/>
      </c>
      <c r="BD61" s="422" t="str">
        <f t="shared" si="17"/>
        <v/>
      </c>
      <c r="BE61" s="422" t="str">
        <f t="shared" si="18"/>
        <v/>
      </c>
      <c r="BF61" s="422" t="str">
        <f t="shared" si="19"/>
        <v/>
      </c>
      <c r="BG61" s="423" t="str">
        <f t="shared" si="20"/>
        <v/>
      </c>
      <c r="BH61" s="732">
        <f>'2020'!N61</f>
        <v>0</v>
      </c>
      <c r="BI61" s="733">
        <f>'2021'!N61</f>
        <v>0</v>
      </c>
      <c r="BJ61" s="733">
        <f>'2022'!N61</f>
        <v>0</v>
      </c>
      <c r="BK61" s="733">
        <f>'2023'!N61</f>
        <v>0</v>
      </c>
      <c r="BL61" s="733">
        <f>'2024'!N61</f>
        <v>0</v>
      </c>
      <c r="BM61" s="734">
        <f>'2025'!N61</f>
        <v>0</v>
      </c>
      <c r="BN61" s="424"/>
      <c r="BO61" s="425"/>
      <c r="BP61" s="424"/>
      <c r="BQ61" s="425"/>
      <c r="BR61" s="426"/>
      <c r="BS61" s="427"/>
      <c r="BT61" s="426"/>
      <c r="BU61" s="428"/>
      <c r="CC61" s="1" t="str">
        <f t="shared" si="30"/>
        <v/>
      </c>
      <c r="CD61" s="1" t="str">
        <f t="shared" si="31"/>
        <v/>
      </c>
      <c r="CE61" s="1" t="str">
        <f t="shared" si="32"/>
        <v/>
      </c>
      <c r="CF61" s="1" t="str">
        <f t="shared" si="33"/>
        <v/>
      </c>
      <c r="CG61" s="1" t="str">
        <f t="shared" si="34"/>
        <v/>
      </c>
      <c r="CH61" s="1" t="str">
        <f t="shared" si="35"/>
        <v/>
      </c>
    </row>
    <row r="62" spans="2:86" ht="15.75" customHeight="1" x14ac:dyDescent="0.3">
      <c r="B62" s="854"/>
      <c r="C62" s="855"/>
      <c r="D62" s="814"/>
      <c r="E62" s="807"/>
      <c r="F62" s="807"/>
      <c r="G62" s="807"/>
      <c r="H62" s="807"/>
      <c r="I62" s="811"/>
      <c r="J62" s="721" t="s">
        <v>166</v>
      </c>
      <c r="K62" s="400" t="str">
        <f t="shared" si="158"/>
        <v/>
      </c>
      <c r="L62" s="400" t="str">
        <f t="shared" si="159"/>
        <v/>
      </c>
      <c r="M62" s="400" t="str">
        <f t="shared" si="160"/>
        <v/>
      </c>
      <c r="N62" s="400" t="str">
        <f t="shared" si="161"/>
        <v/>
      </c>
      <c r="O62" s="400" t="str">
        <f t="shared" si="162"/>
        <v/>
      </c>
      <c r="P62" s="401" t="str">
        <f t="shared" si="163"/>
        <v/>
      </c>
      <c r="Q62" s="237"/>
      <c r="R62" s="583">
        <f>'2020'!G62</f>
        <v>0</v>
      </c>
      <c r="S62" s="584">
        <f>'2021'!G62</f>
        <v>0</v>
      </c>
      <c r="T62" s="584">
        <f>'2022'!G62</f>
        <v>0</v>
      </c>
      <c r="U62" s="584">
        <f>'2023'!G62</f>
        <v>0</v>
      </c>
      <c r="V62" s="584">
        <f>'2024'!G62</f>
        <v>0</v>
      </c>
      <c r="W62" s="585">
        <f>'2025'!G62</f>
        <v>0</v>
      </c>
      <c r="X62" s="619">
        <f>'2020'!H62</f>
        <v>0</v>
      </c>
      <c r="Y62" s="584">
        <f>'2021'!H62</f>
        <v>0</v>
      </c>
      <c r="Z62" s="584">
        <f>'2022'!H62</f>
        <v>0</v>
      </c>
      <c r="AA62" s="584">
        <f>'2023'!H62</f>
        <v>0</v>
      </c>
      <c r="AB62" s="584">
        <f>'2024'!H62</f>
        <v>0</v>
      </c>
      <c r="AC62" s="585">
        <f>'2025'!H62</f>
        <v>0</v>
      </c>
      <c r="AD62" s="421">
        <f t="shared" si="4"/>
        <v>0</v>
      </c>
      <c r="AE62" s="422">
        <f t="shared" si="5"/>
        <v>0</v>
      </c>
      <c r="AF62" s="422">
        <f t="shared" si="6"/>
        <v>0</v>
      </c>
      <c r="AG62" s="422">
        <f t="shared" si="7"/>
        <v>0</v>
      </c>
      <c r="AH62" s="422">
        <f t="shared" si="8"/>
        <v>0</v>
      </c>
      <c r="AI62" s="423">
        <f t="shared" si="9"/>
        <v>0</v>
      </c>
      <c r="AJ62" s="619">
        <f>'2020'!J62</f>
        <v>0</v>
      </c>
      <c r="AK62" s="584">
        <f>'2021'!J62</f>
        <v>0</v>
      </c>
      <c r="AL62" s="584">
        <f>'2022'!J62</f>
        <v>0</v>
      </c>
      <c r="AM62" s="584">
        <f>'2023'!J62</f>
        <v>0</v>
      </c>
      <c r="AN62" s="584">
        <f>'2024'!J62</f>
        <v>0</v>
      </c>
      <c r="AO62" s="585">
        <f>'2025'!J62</f>
        <v>0</v>
      </c>
      <c r="AP62" s="421" t="str">
        <f t="shared" si="28"/>
        <v/>
      </c>
      <c r="AQ62" s="422" t="str">
        <f t="shared" si="11"/>
        <v/>
      </c>
      <c r="AR62" s="422" t="str">
        <f t="shared" si="12"/>
        <v/>
      </c>
      <c r="AS62" s="422" t="str">
        <f t="shared" si="13"/>
        <v/>
      </c>
      <c r="AT62" s="422" t="str">
        <f t="shared" si="14"/>
        <v/>
      </c>
      <c r="AU62" s="423" t="str">
        <f t="shared" si="15"/>
        <v/>
      </c>
      <c r="AV62" s="619">
        <f>'2020'!L62</f>
        <v>0</v>
      </c>
      <c r="AW62" s="584">
        <f>'2021'!L62</f>
        <v>0</v>
      </c>
      <c r="AX62" s="584">
        <f>'2022'!L62</f>
        <v>0</v>
      </c>
      <c r="AY62" s="584">
        <f>'2023'!L62</f>
        <v>0</v>
      </c>
      <c r="AZ62" s="584">
        <f>'2024'!L62</f>
        <v>0</v>
      </c>
      <c r="BA62" s="585">
        <f>'2025'!L62</f>
        <v>0</v>
      </c>
      <c r="BB62" s="421" t="str">
        <f t="shared" si="29"/>
        <v/>
      </c>
      <c r="BC62" s="422" t="str">
        <f t="shared" si="16"/>
        <v/>
      </c>
      <c r="BD62" s="422" t="str">
        <f t="shared" si="17"/>
        <v/>
      </c>
      <c r="BE62" s="422" t="str">
        <f t="shared" si="18"/>
        <v/>
      </c>
      <c r="BF62" s="422" t="str">
        <f t="shared" si="19"/>
        <v/>
      </c>
      <c r="BG62" s="423" t="str">
        <f t="shared" si="20"/>
        <v/>
      </c>
      <c r="BH62" s="732">
        <f>'2020'!N62</f>
        <v>0</v>
      </c>
      <c r="BI62" s="733">
        <f>'2021'!N62</f>
        <v>0</v>
      </c>
      <c r="BJ62" s="733">
        <f>'2022'!N62</f>
        <v>0</v>
      </c>
      <c r="BK62" s="733">
        <f>'2023'!N62</f>
        <v>0</v>
      </c>
      <c r="BL62" s="733">
        <f>'2024'!N62</f>
        <v>0</v>
      </c>
      <c r="BM62" s="734">
        <f>'2025'!N62</f>
        <v>0</v>
      </c>
      <c r="BN62" s="424"/>
      <c r="BO62" s="425"/>
      <c r="BP62" s="424"/>
      <c r="BQ62" s="425"/>
      <c r="BR62" s="426"/>
      <c r="BS62" s="427"/>
      <c r="BT62" s="426"/>
      <c r="BU62" s="428"/>
      <c r="CC62" s="1" t="str">
        <f t="shared" si="30"/>
        <v/>
      </c>
      <c r="CD62" s="1" t="str">
        <f t="shared" si="31"/>
        <v/>
      </c>
      <c r="CE62" s="1" t="str">
        <f t="shared" si="32"/>
        <v/>
      </c>
      <c r="CF62" s="1" t="str">
        <f t="shared" si="33"/>
        <v/>
      </c>
      <c r="CG62" s="1" t="str">
        <f t="shared" si="34"/>
        <v/>
      </c>
      <c r="CH62" s="1" t="str">
        <f t="shared" si="35"/>
        <v/>
      </c>
    </row>
    <row r="63" spans="2:86" ht="15.75" customHeight="1" x14ac:dyDescent="0.3">
      <c r="B63" s="854"/>
      <c r="C63" s="855"/>
      <c r="D63" s="815"/>
      <c r="E63" s="808"/>
      <c r="F63" s="808"/>
      <c r="G63" s="808"/>
      <c r="H63" s="808"/>
      <c r="I63" s="812"/>
      <c r="J63" s="722" t="s">
        <v>166</v>
      </c>
      <c r="K63" s="402" t="str">
        <f t="shared" si="158"/>
        <v/>
      </c>
      <c r="L63" s="402" t="str">
        <f t="shared" si="159"/>
        <v/>
      </c>
      <c r="M63" s="402" t="str">
        <f t="shared" si="160"/>
        <v/>
      </c>
      <c r="N63" s="402" t="str">
        <f t="shared" si="161"/>
        <v/>
      </c>
      <c r="O63" s="402" t="str">
        <f t="shared" si="162"/>
        <v/>
      </c>
      <c r="P63" s="403" t="str">
        <f t="shared" si="163"/>
        <v/>
      </c>
      <c r="Q63" s="242"/>
      <c r="R63" s="586">
        <f>'2020'!G63</f>
        <v>0</v>
      </c>
      <c r="S63" s="587">
        <f>'2021'!G63</f>
        <v>0</v>
      </c>
      <c r="T63" s="587">
        <f>'2022'!G63</f>
        <v>0</v>
      </c>
      <c r="U63" s="587">
        <f>'2023'!G63</f>
        <v>0</v>
      </c>
      <c r="V63" s="587">
        <f>'2024'!G63</f>
        <v>0</v>
      </c>
      <c r="W63" s="588">
        <f>'2025'!G63</f>
        <v>0</v>
      </c>
      <c r="X63" s="620">
        <f>'2020'!H63</f>
        <v>0</v>
      </c>
      <c r="Y63" s="587">
        <f>'2021'!H63</f>
        <v>0</v>
      </c>
      <c r="Z63" s="587">
        <f>'2022'!H63</f>
        <v>0</v>
      </c>
      <c r="AA63" s="587">
        <f>'2023'!H63</f>
        <v>0</v>
      </c>
      <c r="AB63" s="587">
        <f>'2024'!H63</f>
        <v>0</v>
      </c>
      <c r="AC63" s="588">
        <f>'2025'!H63</f>
        <v>0</v>
      </c>
      <c r="AD63" s="429">
        <f t="shared" si="4"/>
        <v>0</v>
      </c>
      <c r="AE63" s="430">
        <f t="shared" si="5"/>
        <v>0</v>
      </c>
      <c r="AF63" s="430">
        <f t="shared" si="6"/>
        <v>0</v>
      </c>
      <c r="AG63" s="430">
        <f t="shared" si="7"/>
        <v>0</v>
      </c>
      <c r="AH63" s="430">
        <f t="shared" si="8"/>
        <v>0</v>
      </c>
      <c r="AI63" s="431">
        <f t="shared" si="9"/>
        <v>0</v>
      </c>
      <c r="AJ63" s="620">
        <f>'2020'!J63</f>
        <v>0</v>
      </c>
      <c r="AK63" s="587">
        <f>'2021'!J63</f>
        <v>0</v>
      </c>
      <c r="AL63" s="587">
        <f>'2022'!J63</f>
        <v>0</v>
      </c>
      <c r="AM63" s="587">
        <f>'2023'!J63</f>
        <v>0</v>
      </c>
      <c r="AN63" s="587">
        <f>'2024'!J63</f>
        <v>0</v>
      </c>
      <c r="AO63" s="588">
        <f>'2025'!J63</f>
        <v>0</v>
      </c>
      <c r="AP63" s="429" t="str">
        <f t="shared" si="28"/>
        <v/>
      </c>
      <c r="AQ63" s="430" t="str">
        <f t="shared" si="11"/>
        <v/>
      </c>
      <c r="AR63" s="430" t="str">
        <f t="shared" si="12"/>
        <v/>
      </c>
      <c r="AS63" s="430" t="str">
        <f t="shared" si="13"/>
        <v/>
      </c>
      <c r="AT63" s="430" t="str">
        <f t="shared" si="14"/>
        <v/>
      </c>
      <c r="AU63" s="431" t="str">
        <f t="shared" si="15"/>
        <v/>
      </c>
      <c r="AV63" s="620">
        <f>'2020'!L63</f>
        <v>0</v>
      </c>
      <c r="AW63" s="587">
        <f>'2021'!L63</f>
        <v>0</v>
      </c>
      <c r="AX63" s="587">
        <f>'2022'!L63</f>
        <v>0</v>
      </c>
      <c r="AY63" s="587">
        <f>'2023'!L63</f>
        <v>0</v>
      </c>
      <c r="AZ63" s="587">
        <f>'2024'!L63</f>
        <v>0</v>
      </c>
      <c r="BA63" s="588">
        <f>'2025'!L63</f>
        <v>0</v>
      </c>
      <c r="BB63" s="429" t="str">
        <f t="shared" si="29"/>
        <v/>
      </c>
      <c r="BC63" s="430" t="str">
        <f t="shared" si="16"/>
        <v/>
      </c>
      <c r="BD63" s="430" t="str">
        <f t="shared" si="17"/>
        <v/>
      </c>
      <c r="BE63" s="430" t="str">
        <f t="shared" si="18"/>
        <v/>
      </c>
      <c r="BF63" s="430" t="str">
        <f t="shared" si="19"/>
        <v/>
      </c>
      <c r="BG63" s="431" t="str">
        <f t="shared" si="20"/>
        <v/>
      </c>
      <c r="BH63" s="735">
        <f>'2020'!N63</f>
        <v>0</v>
      </c>
      <c r="BI63" s="736">
        <f>'2021'!N63</f>
        <v>0</v>
      </c>
      <c r="BJ63" s="736">
        <f>'2022'!N63</f>
        <v>0</v>
      </c>
      <c r="BK63" s="736">
        <f>'2023'!N63</f>
        <v>0</v>
      </c>
      <c r="BL63" s="736">
        <f>'2024'!N63</f>
        <v>0</v>
      </c>
      <c r="BM63" s="737">
        <f>'2025'!N63</f>
        <v>0</v>
      </c>
      <c r="BN63" s="432"/>
      <c r="BO63" s="433"/>
      <c r="BP63" s="432"/>
      <c r="BQ63" s="433"/>
      <c r="BR63" s="434"/>
      <c r="BS63" s="435"/>
      <c r="BT63" s="434"/>
      <c r="BU63" s="436"/>
      <c r="CC63" s="1" t="str">
        <f t="shared" si="30"/>
        <v/>
      </c>
      <c r="CD63" s="1" t="str">
        <f t="shared" si="31"/>
        <v/>
      </c>
      <c r="CE63" s="1" t="str">
        <f t="shared" si="32"/>
        <v/>
      </c>
      <c r="CF63" s="1" t="str">
        <f t="shared" si="33"/>
        <v/>
      </c>
      <c r="CG63" s="1" t="str">
        <f t="shared" si="34"/>
        <v/>
      </c>
      <c r="CH63" s="1" t="str">
        <f t="shared" si="35"/>
        <v/>
      </c>
    </row>
    <row r="64" spans="2:86" ht="16.2" thickBot="1" x14ac:dyDescent="0.35">
      <c r="B64" s="774"/>
      <c r="C64" s="856"/>
      <c r="D64" s="459" t="s">
        <v>138</v>
      </c>
      <c r="E64" s="460"/>
      <c r="F64" s="460"/>
      <c r="G64" s="569"/>
      <c r="H64" s="569"/>
      <c r="I64" s="570"/>
      <c r="J64" s="742"/>
      <c r="K64" s="390">
        <f>COUNTIF(K50:K63,"X")</f>
        <v>8</v>
      </c>
      <c r="L64" s="440">
        <f t="shared" ref="L64:P64" si="164">COUNTIF(L50:L63,"X")</f>
        <v>8</v>
      </c>
      <c r="M64" s="440">
        <f t="shared" si="164"/>
        <v>7</v>
      </c>
      <c r="N64" s="440">
        <f t="shared" si="164"/>
        <v>8</v>
      </c>
      <c r="O64" s="440">
        <f t="shared" si="164"/>
        <v>0</v>
      </c>
      <c r="P64" s="441">
        <f t="shared" si="164"/>
        <v>0</v>
      </c>
      <c r="Q64" s="219"/>
      <c r="R64" s="600">
        <f>SUM(R50:R63)</f>
        <v>159</v>
      </c>
      <c r="S64" s="601">
        <f t="shared" ref="S64:W64" si="165">SUM(S50:S63)</f>
        <v>198</v>
      </c>
      <c r="T64" s="601">
        <f t="shared" si="165"/>
        <v>148</v>
      </c>
      <c r="U64" s="601">
        <f t="shared" si="165"/>
        <v>356</v>
      </c>
      <c r="V64" s="601">
        <f t="shared" si="165"/>
        <v>0</v>
      </c>
      <c r="W64" s="602">
        <f t="shared" si="165"/>
        <v>0</v>
      </c>
      <c r="X64" s="625">
        <f>SUM(X50:X63)</f>
        <v>95</v>
      </c>
      <c r="Y64" s="601">
        <f t="shared" ref="Y64:AC64" si="166">SUM(Y50:Y63)</f>
        <v>128</v>
      </c>
      <c r="Z64" s="601">
        <f t="shared" si="166"/>
        <v>96</v>
      </c>
      <c r="AA64" s="601">
        <f t="shared" si="166"/>
        <v>216</v>
      </c>
      <c r="AB64" s="601">
        <f t="shared" si="166"/>
        <v>0</v>
      </c>
      <c r="AC64" s="602">
        <f t="shared" si="166"/>
        <v>0</v>
      </c>
      <c r="AD64" s="315">
        <f t="shared" si="4"/>
        <v>0.28283018867924525</v>
      </c>
      <c r="AE64" s="316">
        <f t="shared" si="5"/>
        <v>0.47474747474747475</v>
      </c>
      <c r="AF64" s="316">
        <f t="shared" si="6"/>
        <v>0.49324324324324326</v>
      </c>
      <c r="AG64" s="316">
        <f t="shared" si="7"/>
        <v>0.5337078651685393</v>
      </c>
      <c r="AH64" s="316">
        <f t="shared" si="8"/>
        <v>0</v>
      </c>
      <c r="AI64" s="321">
        <f t="shared" si="9"/>
        <v>0</v>
      </c>
      <c r="AJ64" s="625">
        <f>SUM(AJ50:AJ63)</f>
        <v>44.97</v>
      </c>
      <c r="AK64" s="601">
        <f t="shared" ref="AK64" si="167">SUM(AK50:AK63)</f>
        <v>94</v>
      </c>
      <c r="AL64" s="601">
        <f t="shared" ref="AL64" si="168">SUM(AL50:AL63)</f>
        <v>73</v>
      </c>
      <c r="AM64" s="601">
        <f t="shared" ref="AM64" si="169">SUM(AM50:AM63)</f>
        <v>190</v>
      </c>
      <c r="AN64" s="601">
        <f t="shared" ref="AN64" si="170">SUM(AN50:AN63)</f>
        <v>0</v>
      </c>
      <c r="AO64" s="602">
        <f t="shared" ref="AO64" si="171">SUM(AO50:AO63)</f>
        <v>0</v>
      </c>
      <c r="AP64" s="315">
        <f t="shared" si="28"/>
        <v>0.11962264150943398</v>
      </c>
      <c r="AQ64" s="316">
        <f t="shared" si="11"/>
        <v>0.23232323232323232</v>
      </c>
      <c r="AR64" s="316">
        <f t="shared" si="12"/>
        <v>0.22297297297297297</v>
      </c>
      <c r="AS64" s="316">
        <f t="shared" si="13"/>
        <v>0.3258426966292135</v>
      </c>
      <c r="AT64" s="316" t="str">
        <f t="shared" si="14"/>
        <v/>
      </c>
      <c r="AU64" s="321" t="str">
        <f t="shared" si="15"/>
        <v/>
      </c>
      <c r="AV64" s="625">
        <f>SUM(AV50:AV63)</f>
        <v>19.020000000000003</v>
      </c>
      <c r="AW64" s="601">
        <f t="shared" ref="AW64" si="172">SUM(AW50:AW63)</f>
        <v>46</v>
      </c>
      <c r="AX64" s="601">
        <f t="shared" ref="AX64" si="173">SUM(AX50:AX63)</f>
        <v>33</v>
      </c>
      <c r="AY64" s="601">
        <f t="shared" ref="AY64" si="174">SUM(AY50:AY63)</f>
        <v>116</v>
      </c>
      <c r="AZ64" s="601">
        <f t="shared" ref="AZ64" si="175">SUM(AZ50:AZ63)</f>
        <v>0</v>
      </c>
      <c r="BA64" s="602">
        <f t="shared" ref="BA64" si="176">SUM(BA50:BA63)</f>
        <v>0</v>
      </c>
      <c r="BB64" s="317">
        <f t="shared" si="29"/>
        <v>0.68138801261829651</v>
      </c>
      <c r="BC64" s="318">
        <f t="shared" si="16"/>
        <v>0.63043478260869568</v>
      </c>
      <c r="BD64" s="318">
        <f t="shared" si="17"/>
        <v>0.72727272727272729</v>
      </c>
      <c r="BE64" s="318">
        <f t="shared" si="18"/>
        <v>0.69827586206896552</v>
      </c>
      <c r="BF64" s="318" t="str">
        <f t="shared" si="19"/>
        <v/>
      </c>
      <c r="BG64" s="322" t="str">
        <f t="shared" si="20"/>
        <v/>
      </c>
      <c r="BH64" s="625">
        <f>SUM(BH50:BH63)</f>
        <v>12.96</v>
      </c>
      <c r="BI64" s="601">
        <f t="shared" ref="BI64" si="177">SUM(BI50:BI63)</f>
        <v>29</v>
      </c>
      <c r="BJ64" s="601">
        <f t="shared" ref="BJ64" si="178">SUM(BJ50:BJ63)</f>
        <v>24</v>
      </c>
      <c r="BK64" s="601">
        <f t="shared" ref="BK64" si="179">SUM(BK50:BK63)</f>
        <v>81</v>
      </c>
      <c r="BL64" s="601">
        <f t="shared" ref="BL64" si="180">SUM(BL50:BL63)</f>
        <v>0</v>
      </c>
      <c r="BM64" s="602">
        <f t="shared" ref="BM64" si="181">SUM(BM50:BM63)</f>
        <v>0</v>
      </c>
      <c r="BN64" s="437"/>
      <c r="BO64" s="438"/>
      <c r="BP64" s="437"/>
      <c r="BQ64" s="438"/>
      <c r="BR64" s="437"/>
      <c r="BS64" s="438"/>
      <c r="BT64" s="437"/>
      <c r="BU64" s="439"/>
      <c r="CC64" s="1">
        <f t="shared" si="30"/>
        <v>0</v>
      </c>
      <c r="CD64" s="1">
        <f t="shared" si="31"/>
        <v>0</v>
      </c>
      <c r="CE64" s="1">
        <f t="shared" si="32"/>
        <v>0</v>
      </c>
      <c r="CF64" s="1">
        <f t="shared" si="33"/>
        <v>0</v>
      </c>
      <c r="CG64" s="1">
        <f t="shared" si="34"/>
        <v>0</v>
      </c>
      <c r="CH64" s="1">
        <f t="shared" si="35"/>
        <v>0</v>
      </c>
    </row>
    <row r="65" spans="1:86" s="362" customFormat="1" ht="31.5" customHeight="1" thickBot="1" x14ac:dyDescent="0.35">
      <c r="A65" s="20"/>
      <c r="B65" s="355" t="s">
        <v>78</v>
      </c>
      <c r="C65" s="381"/>
      <c r="D65" s="382">
        <f>SUM(D5:D64)</f>
        <v>19</v>
      </c>
      <c r="E65" s="378">
        <f t="shared" ref="E65:I65" si="182">SUM(E5:E64)</f>
        <v>20</v>
      </c>
      <c r="F65" s="378">
        <f t="shared" si="182"/>
        <v>37</v>
      </c>
      <c r="G65" s="378">
        <f t="shared" si="182"/>
        <v>40</v>
      </c>
      <c r="H65" s="378">
        <f t="shared" si="182"/>
        <v>0</v>
      </c>
      <c r="I65" s="386">
        <f t="shared" si="182"/>
        <v>0</v>
      </c>
      <c r="J65" s="631" t="s">
        <v>79</v>
      </c>
      <c r="K65" s="396">
        <f>COUNTIF(K$5:K$64,"X")</f>
        <v>17</v>
      </c>
      <c r="L65" s="396">
        <f t="shared" ref="L65:P65" si="183">COUNTIF(L$5:L$64,"X")</f>
        <v>17</v>
      </c>
      <c r="M65" s="396">
        <f t="shared" si="183"/>
        <v>35</v>
      </c>
      <c r="N65" s="396">
        <f t="shared" si="183"/>
        <v>9</v>
      </c>
      <c r="O65" s="396">
        <f t="shared" si="183"/>
        <v>0</v>
      </c>
      <c r="P65" s="397">
        <f t="shared" si="183"/>
        <v>0</v>
      </c>
      <c r="Q65" s="372"/>
      <c r="R65" s="603">
        <f>R8+R12+R34+R49+R64</f>
        <v>394</v>
      </c>
      <c r="S65" s="604">
        <f t="shared" ref="S65:W65" si="184">S8+S12+S34+S49+S64</f>
        <v>595</v>
      </c>
      <c r="T65" s="604">
        <f t="shared" si="184"/>
        <v>1219</v>
      </c>
      <c r="U65" s="604">
        <f t="shared" si="184"/>
        <v>532</v>
      </c>
      <c r="V65" s="604">
        <f t="shared" si="184"/>
        <v>0</v>
      </c>
      <c r="W65" s="605">
        <f t="shared" si="184"/>
        <v>0</v>
      </c>
      <c r="X65" s="626">
        <f>X8+X12+X34+X49+X64</f>
        <v>235</v>
      </c>
      <c r="Y65" s="604">
        <f t="shared" ref="Y65:AC65" si="185">Y8+Y12+Y34+Y49+Y64</f>
        <v>415</v>
      </c>
      <c r="Z65" s="604">
        <f t="shared" si="185"/>
        <v>894</v>
      </c>
      <c r="AA65" s="604">
        <f t="shared" si="185"/>
        <v>216</v>
      </c>
      <c r="AB65" s="604">
        <f t="shared" si="185"/>
        <v>0</v>
      </c>
      <c r="AC65" s="605">
        <f t="shared" si="185"/>
        <v>0</v>
      </c>
      <c r="AD65" s="356">
        <f t="shared" si="4"/>
        <v>0.22581218274111675</v>
      </c>
      <c r="AE65" s="357">
        <f t="shared" si="5"/>
        <v>0.2857142857142857</v>
      </c>
      <c r="AF65" s="357">
        <f t="shared" si="6"/>
        <v>0.27973748974569318</v>
      </c>
      <c r="AG65" s="357">
        <f t="shared" si="7"/>
        <v>0</v>
      </c>
      <c r="AH65" s="357">
        <f t="shared" si="8"/>
        <v>0</v>
      </c>
      <c r="AI65" s="358">
        <f t="shared" si="9"/>
        <v>0</v>
      </c>
      <c r="AJ65" s="626">
        <f>AJ5+AJ9+AJ34+AJ49+AJ64</f>
        <v>88.97</v>
      </c>
      <c r="AK65" s="604">
        <f>AK5+AK9+AK34+AK49+AK64</f>
        <v>170</v>
      </c>
      <c r="AL65" s="604">
        <f>AL5+AL9+AL34+AL49+AL64</f>
        <v>341</v>
      </c>
      <c r="AM65" s="604"/>
      <c r="AN65" s="604"/>
      <c r="AO65" s="605"/>
      <c r="AP65" s="356">
        <f t="shared" si="28"/>
        <v>0.22593908629441628</v>
      </c>
      <c r="AQ65" s="357">
        <f t="shared" si="11"/>
        <v>0.253781512605042</v>
      </c>
      <c r="AR65" s="357">
        <f t="shared" si="12"/>
        <v>0.30844954881050041</v>
      </c>
      <c r="AS65" s="357" t="str">
        <f t="shared" si="13"/>
        <v/>
      </c>
      <c r="AT65" s="357" t="str">
        <f t="shared" si="14"/>
        <v/>
      </c>
      <c r="AU65" s="358" t="str">
        <f t="shared" si="15"/>
        <v/>
      </c>
      <c r="AV65" s="626">
        <f>AV5+AV9+AV34+AV49+AV64</f>
        <v>89.02000000000001</v>
      </c>
      <c r="AW65" s="604">
        <f>AW5+AW9+AW34+AW49+AW64</f>
        <v>151</v>
      </c>
      <c r="AX65" s="604">
        <f>AX5+AX9+AX34+AX49+AX64</f>
        <v>376</v>
      </c>
      <c r="AY65" s="604"/>
      <c r="AZ65" s="604"/>
      <c r="BA65" s="605"/>
      <c r="BB65" s="356">
        <f t="shared" si="29"/>
        <v>0.16805212311840034</v>
      </c>
      <c r="BC65" s="357">
        <f t="shared" si="16"/>
        <v>0.20529801324503311</v>
      </c>
      <c r="BD65" s="357">
        <f t="shared" si="17"/>
        <v>0.31648936170212766</v>
      </c>
      <c r="BE65" s="357" t="str">
        <f t="shared" si="18"/>
        <v/>
      </c>
      <c r="BF65" s="357" t="str">
        <f t="shared" si="19"/>
        <v/>
      </c>
      <c r="BG65" s="358" t="str">
        <f t="shared" si="20"/>
        <v/>
      </c>
      <c r="BH65" s="373">
        <f>BH5+BH9+BH34+BH49+BH64</f>
        <v>14.96</v>
      </c>
      <c r="BI65" s="374">
        <f>BI5+BI9+BI34+BI49+BI64</f>
        <v>31</v>
      </c>
      <c r="BJ65" s="374">
        <f>BJ5+BJ9+BJ34+BJ49+BJ64</f>
        <v>119</v>
      </c>
      <c r="BK65" s="374"/>
      <c r="BL65" s="374"/>
      <c r="BM65" s="375"/>
      <c r="BN65" s="359"/>
      <c r="BO65" s="360"/>
      <c r="BP65" s="359"/>
      <c r="BQ65" s="360"/>
      <c r="BR65" s="359"/>
      <c r="BS65" s="360"/>
      <c r="BT65" s="359"/>
      <c r="BU65" s="361"/>
      <c r="CC65" s="1">
        <f t="shared" si="30"/>
        <v>0</v>
      </c>
      <c r="CD65" s="1">
        <f t="shared" si="31"/>
        <v>0</v>
      </c>
      <c r="CE65" s="1">
        <f t="shared" si="32"/>
        <v>0</v>
      </c>
      <c r="CF65" s="1">
        <f t="shared" si="33"/>
        <v>0</v>
      </c>
      <c r="CG65" s="1">
        <f t="shared" si="34"/>
        <v>0</v>
      </c>
      <c r="CH65" s="1">
        <f t="shared" si="35"/>
        <v>0</v>
      </c>
    </row>
    <row r="66" spans="1:86" ht="15" customHeight="1" thickBot="1" x14ac:dyDescent="0.35">
      <c r="B66" s="857" t="s">
        <v>84</v>
      </c>
      <c r="C66" s="860" t="s">
        <v>76</v>
      </c>
      <c r="D66" s="827">
        <f>'2020'!D66</f>
        <v>31</v>
      </c>
      <c r="E66" s="798">
        <f>'2021'!D66</f>
        <v>6</v>
      </c>
      <c r="F66" s="798">
        <f>'2022'!D66</f>
        <v>10</v>
      </c>
      <c r="G66" s="798">
        <f>'2023'!D66</f>
        <v>10</v>
      </c>
      <c r="H66" s="798"/>
      <c r="I66" s="834"/>
      <c r="J66" s="726" t="s">
        <v>25</v>
      </c>
      <c r="K66" s="463" t="str">
        <f t="shared" ref="K66:K76" si="186">IF(R66=0,"","X")</f>
        <v>X</v>
      </c>
      <c r="L66" s="463" t="str">
        <f t="shared" ref="L66:L76" si="187">IF(S66=0,"","X")</f>
        <v/>
      </c>
      <c r="M66" s="463" t="str">
        <f t="shared" ref="M66:M76" si="188">IF(T66=0,"","X")</f>
        <v/>
      </c>
      <c r="N66" s="463" t="str">
        <f t="shared" ref="N66:N76" si="189">IF(U66=0,"","X")</f>
        <v/>
      </c>
      <c r="O66" s="463" t="str">
        <f t="shared" ref="O66:O76" si="190">IF(V66=0,"","X")</f>
        <v/>
      </c>
      <c r="P66" s="464" t="str">
        <f t="shared" ref="P66:P76" si="191">IF(W66=0,"","X")</f>
        <v/>
      </c>
      <c r="Q66" s="465" t="s">
        <v>60</v>
      </c>
      <c r="R66" s="580">
        <f>'2020'!G66</f>
        <v>603</v>
      </c>
      <c r="S66" s="581">
        <f>'2021'!G66</f>
        <v>0</v>
      </c>
      <c r="T66" s="581">
        <f>'2022'!G66</f>
        <v>0</v>
      </c>
      <c r="U66" s="581">
        <f>'2023'!G66</f>
        <v>0</v>
      </c>
      <c r="V66" s="581">
        <f>'2024'!G66</f>
        <v>0</v>
      </c>
      <c r="W66" s="582">
        <f>'2025'!G66</f>
        <v>0</v>
      </c>
      <c r="X66" s="618">
        <f>'2020'!H66</f>
        <v>173</v>
      </c>
      <c r="Y66" s="581">
        <f>'2021'!H66</f>
        <v>0</v>
      </c>
      <c r="Z66" s="581">
        <f>'2022'!H66</f>
        <v>0</v>
      </c>
      <c r="AA66" s="581">
        <f>'2023'!H66</f>
        <v>0</v>
      </c>
      <c r="AB66" s="581">
        <f>'2024'!H66</f>
        <v>0</v>
      </c>
      <c r="AC66" s="582">
        <f>'2025'!H66</f>
        <v>0</v>
      </c>
      <c r="AD66" s="468">
        <f t="shared" si="4"/>
        <v>0.43283582089552236</v>
      </c>
      <c r="AE66" s="469">
        <f t="shared" si="5"/>
        <v>0</v>
      </c>
      <c r="AF66" s="469">
        <f t="shared" si="6"/>
        <v>0</v>
      </c>
      <c r="AG66" s="469">
        <f t="shared" si="7"/>
        <v>0</v>
      </c>
      <c r="AH66" s="469">
        <f t="shared" si="8"/>
        <v>0</v>
      </c>
      <c r="AI66" s="470">
        <f t="shared" si="9"/>
        <v>0</v>
      </c>
      <c r="AJ66" s="618">
        <f>'2020'!J66</f>
        <v>261</v>
      </c>
      <c r="AK66" s="581">
        <f>'2021'!J66</f>
        <v>0</v>
      </c>
      <c r="AL66" s="581">
        <f>'2022'!J66</f>
        <v>0</v>
      </c>
      <c r="AM66" s="581">
        <f>'2023'!J66</f>
        <v>0</v>
      </c>
      <c r="AN66" s="581">
        <f>'2024'!J66</f>
        <v>0</v>
      </c>
      <c r="AO66" s="582">
        <f>'2025'!J66</f>
        <v>0</v>
      </c>
      <c r="AP66" s="468">
        <f t="shared" si="28"/>
        <v>0.40132669983416253</v>
      </c>
      <c r="AQ66" s="469" t="str">
        <f t="shared" si="11"/>
        <v/>
      </c>
      <c r="AR66" s="469" t="str">
        <f t="shared" si="12"/>
        <v/>
      </c>
      <c r="AS66" s="469" t="str">
        <f t="shared" si="13"/>
        <v/>
      </c>
      <c r="AT66" s="469" t="str">
        <f t="shared" si="14"/>
        <v/>
      </c>
      <c r="AU66" s="470" t="str">
        <f t="shared" si="15"/>
        <v/>
      </c>
      <c r="AV66" s="618">
        <f>'2020'!L66</f>
        <v>242</v>
      </c>
      <c r="AW66" s="581">
        <f>'2021'!L66</f>
        <v>0</v>
      </c>
      <c r="AX66" s="581">
        <f>'2022'!L66</f>
        <v>0</v>
      </c>
      <c r="AY66" s="581">
        <f>'2023'!L66</f>
        <v>0</v>
      </c>
      <c r="AZ66" s="581">
        <f>'2024'!L66</f>
        <v>0</v>
      </c>
      <c r="BA66" s="582">
        <f>'2025'!L66</f>
        <v>0</v>
      </c>
      <c r="BB66" s="468" t="str">
        <f t="shared" si="29"/>
        <v/>
      </c>
      <c r="BC66" s="469" t="str">
        <f t="shared" si="16"/>
        <v/>
      </c>
      <c r="BD66" s="469" t="str">
        <f t="shared" si="17"/>
        <v/>
      </c>
      <c r="BE66" s="469" t="str">
        <f t="shared" si="18"/>
        <v/>
      </c>
      <c r="BF66" s="469" t="str">
        <f t="shared" si="19"/>
        <v/>
      </c>
      <c r="BG66" s="470" t="str">
        <f t="shared" si="20"/>
        <v/>
      </c>
      <c r="BH66" s="729" t="str">
        <f>'2020'!N66</f>
        <v>-</v>
      </c>
      <c r="BI66" s="730" t="str">
        <f>'2021'!N66</f>
        <v>-</v>
      </c>
      <c r="BJ66" s="730">
        <f>'2022'!N66</f>
        <v>0</v>
      </c>
      <c r="BK66" s="730">
        <f>'2023'!N66</f>
        <v>0</v>
      </c>
      <c r="BL66" s="730">
        <f>'2024'!N66</f>
        <v>0</v>
      </c>
      <c r="BM66" s="731">
        <f>'2025'!N66</f>
        <v>0</v>
      </c>
      <c r="BN66" s="471" t="s">
        <v>21</v>
      </c>
      <c r="BO66" s="472" t="s">
        <v>21</v>
      </c>
      <c r="BP66" s="471" t="s">
        <v>21</v>
      </c>
      <c r="BQ66" s="472" t="s">
        <v>21</v>
      </c>
      <c r="BR66" s="473"/>
      <c r="BS66" s="474"/>
      <c r="BT66" s="473"/>
      <c r="BU66" s="475"/>
      <c r="CC66" s="1" t="str">
        <f t="shared" si="30"/>
        <v>France</v>
      </c>
      <c r="CD66" s="1" t="str">
        <f t="shared" si="31"/>
        <v/>
      </c>
      <c r="CE66" s="1" t="str">
        <f t="shared" si="32"/>
        <v/>
      </c>
      <c r="CF66" s="1" t="str">
        <f t="shared" si="33"/>
        <v/>
      </c>
      <c r="CG66" s="1" t="str">
        <f t="shared" si="34"/>
        <v/>
      </c>
      <c r="CH66" s="1" t="str">
        <f t="shared" si="35"/>
        <v/>
      </c>
    </row>
    <row r="67" spans="1:86" ht="15" customHeight="1" thickBot="1" x14ac:dyDescent="0.35">
      <c r="B67" s="857"/>
      <c r="C67" s="860"/>
      <c r="D67" s="828"/>
      <c r="E67" s="799"/>
      <c r="F67" s="799"/>
      <c r="G67" s="799"/>
      <c r="H67" s="799"/>
      <c r="I67" s="835"/>
      <c r="J67" s="721" t="s">
        <v>26</v>
      </c>
      <c r="K67" s="406" t="str">
        <f t="shared" si="186"/>
        <v>X</v>
      </c>
      <c r="L67" s="406" t="str">
        <f t="shared" si="187"/>
        <v/>
      </c>
      <c r="M67" s="406" t="str">
        <f t="shared" si="188"/>
        <v>X</v>
      </c>
      <c r="N67" s="406" t="str">
        <f t="shared" si="189"/>
        <v/>
      </c>
      <c r="O67" s="406" t="str">
        <f t="shared" si="190"/>
        <v/>
      </c>
      <c r="P67" s="407" t="str">
        <f t="shared" si="191"/>
        <v/>
      </c>
      <c r="Q67" s="410" t="s">
        <v>60</v>
      </c>
      <c r="R67" s="583">
        <f>'2020'!G67</f>
        <v>354</v>
      </c>
      <c r="S67" s="584">
        <f>'2021'!G67</f>
        <v>0</v>
      </c>
      <c r="T67" s="584">
        <f>'2022'!G67</f>
        <v>620</v>
      </c>
      <c r="U67" s="584">
        <f>'2023'!G67</f>
        <v>0</v>
      </c>
      <c r="V67" s="584">
        <f>'2024'!G67</f>
        <v>0</v>
      </c>
      <c r="W67" s="585">
        <f>'2025'!G67</f>
        <v>0</v>
      </c>
      <c r="X67" s="619">
        <f>'2020'!H67</f>
        <v>103</v>
      </c>
      <c r="Y67" s="584">
        <f>'2021'!H67</f>
        <v>0</v>
      </c>
      <c r="Z67" s="584">
        <f>'2022'!H67</f>
        <v>331</v>
      </c>
      <c r="AA67" s="584">
        <f>'2023'!H67</f>
        <v>0</v>
      </c>
      <c r="AB67" s="584">
        <f>'2024'!H67</f>
        <v>0</v>
      </c>
      <c r="AC67" s="585">
        <f>'2025'!H67</f>
        <v>0</v>
      </c>
      <c r="AD67" s="421">
        <f t="shared" si="4"/>
        <v>0.40112994350282488</v>
      </c>
      <c r="AE67" s="422">
        <f t="shared" si="5"/>
        <v>0</v>
      </c>
      <c r="AF67" s="422">
        <f t="shared" si="6"/>
        <v>0.43870967741935485</v>
      </c>
      <c r="AG67" s="422">
        <f t="shared" si="7"/>
        <v>0</v>
      </c>
      <c r="AH67" s="422">
        <f t="shared" si="8"/>
        <v>0</v>
      </c>
      <c r="AI67" s="423">
        <f t="shared" si="9"/>
        <v>0</v>
      </c>
      <c r="AJ67" s="619">
        <f>'2020'!J67</f>
        <v>142</v>
      </c>
      <c r="AK67" s="584">
        <f>'2021'!J67</f>
        <v>0</v>
      </c>
      <c r="AL67" s="584">
        <f>'2022'!J67</f>
        <v>272</v>
      </c>
      <c r="AM67" s="584">
        <f>'2023'!J67</f>
        <v>0</v>
      </c>
      <c r="AN67" s="584">
        <f>'2024'!J67</f>
        <v>0</v>
      </c>
      <c r="AO67" s="585">
        <f>'2025'!J67</f>
        <v>0</v>
      </c>
      <c r="AP67" s="421">
        <f t="shared" si="28"/>
        <v>0.45480225988700562</v>
      </c>
      <c r="AQ67" s="422" t="str">
        <f t="shared" si="11"/>
        <v/>
      </c>
      <c r="AR67" s="422">
        <f t="shared" si="12"/>
        <v>0.36774193548387096</v>
      </c>
      <c r="AS67" s="422" t="str">
        <f t="shared" si="13"/>
        <v/>
      </c>
      <c r="AT67" s="422" t="str">
        <f t="shared" si="14"/>
        <v/>
      </c>
      <c r="AU67" s="423" t="str">
        <f t="shared" si="15"/>
        <v/>
      </c>
      <c r="AV67" s="619">
        <f>'2020'!L67</f>
        <v>161</v>
      </c>
      <c r="AW67" s="584">
        <f>'2021'!L67</f>
        <v>0</v>
      </c>
      <c r="AX67" s="584">
        <f>'2022'!L67</f>
        <v>228</v>
      </c>
      <c r="AY67" s="584">
        <f>'2023'!L67</f>
        <v>0</v>
      </c>
      <c r="AZ67" s="584">
        <f>'2024'!L67</f>
        <v>0</v>
      </c>
      <c r="BA67" s="585">
        <f>'2025'!L67</f>
        <v>0</v>
      </c>
      <c r="BB67" s="421" t="str">
        <f t="shared" si="29"/>
        <v/>
      </c>
      <c r="BC67" s="422" t="str">
        <f t="shared" si="16"/>
        <v/>
      </c>
      <c r="BD67" s="422">
        <f t="shared" si="17"/>
        <v>0</v>
      </c>
      <c r="BE67" s="422" t="str">
        <f t="shared" si="18"/>
        <v/>
      </c>
      <c r="BF67" s="422" t="str">
        <f t="shared" si="19"/>
        <v/>
      </c>
      <c r="BG67" s="423" t="str">
        <f t="shared" si="20"/>
        <v/>
      </c>
      <c r="BH67" s="732" t="str">
        <f>'2020'!N67</f>
        <v>-</v>
      </c>
      <c r="BI67" s="733" t="str">
        <f>'2021'!N67</f>
        <v>-</v>
      </c>
      <c r="BJ67" s="733">
        <f>'2022'!N67</f>
        <v>0</v>
      </c>
      <c r="BK67" s="733">
        <f>'2023'!N67</f>
        <v>0</v>
      </c>
      <c r="BL67" s="733">
        <f>'2024'!N67</f>
        <v>0</v>
      </c>
      <c r="BM67" s="734">
        <f>'2025'!N67</f>
        <v>0</v>
      </c>
      <c r="BN67" s="424" t="s">
        <v>21</v>
      </c>
      <c r="BO67" s="425" t="s">
        <v>21</v>
      </c>
      <c r="BP67" s="424" t="s">
        <v>21</v>
      </c>
      <c r="BQ67" s="425" t="s">
        <v>21</v>
      </c>
      <c r="BR67" s="426"/>
      <c r="BS67" s="427"/>
      <c r="BT67" s="426"/>
      <c r="BU67" s="428"/>
      <c r="CC67" s="1" t="str">
        <f t="shared" si="30"/>
        <v>France</v>
      </c>
      <c r="CD67" s="1" t="str">
        <f t="shared" si="31"/>
        <v/>
      </c>
      <c r="CE67" s="1" t="str">
        <f t="shared" si="32"/>
        <v>France</v>
      </c>
      <c r="CF67" s="1" t="str">
        <f t="shared" si="33"/>
        <v/>
      </c>
      <c r="CG67" s="1" t="str">
        <f t="shared" si="34"/>
        <v/>
      </c>
      <c r="CH67" s="1" t="str">
        <f t="shared" si="35"/>
        <v/>
      </c>
    </row>
    <row r="68" spans="1:86" ht="15" customHeight="1" thickBot="1" x14ac:dyDescent="0.35">
      <c r="B68" s="857"/>
      <c r="C68" s="860"/>
      <c r="D68" s="828"/>
      <c r="E68" s="799"/>
      <c r="F68" s="799"/>
      <c r="G68" s="799"/>
      <c r="H68" s="799"/>
      <c r="I68" s="835"/>
      <c r="J68" s="721" t="s">
        <v>58</v>
      </c>
      <c r="K68" s="406" t="str">
        <f t="shared" si="186"/>
        <v>X</v>
      </c>
      <c r="L68" s="406" t="str">
        <f t="shared" si="187"/>
        <v>X</v>
      </c>
      <c r="M68" s="406" t="str">
        <f t="shared" si="188"/>
        <v>X</v>
      </c>
      <c r="N68" s="406" t="str">
        <f t="shared" si="189"/>
        <v/>
      </c>
      <c r="O68" s="406" t="str">
        <f t="shared" si="190"/>
        <v/>
      </c>
      <c r="P68" s="407" t="str">
        <f t="shared" si="191"/>
        <v/>
      </c>
      <c r="Q68" s="410" t="s">
        <v>60</v>
      </c>
      <c r="R68" s="583">
        <f>'2020'!G68</f>
        <v>222</v>
      </c>
      <c r="S68" s="584">
        <f>'2021'!G68</f>
        <v>228</v>
      </c>
      <c r="T68" s="584">
        <f>'2022'!G68</f>
        <v>325</v>
      </c>
      <c r="U68" s="584">
        <f>'2023'!G68</f>
        <v>0</v>
      </c>
      <c r="V68" s="584">
        <f>'2024'!G68</f>
        <v>0</v>
      </c>
      <c r="W68" s="585">
        <f>'2025'!G68</f>
        <v>0</v>
      </c>
      <c r="X68" s="619">
        <f>'2020'!H68</f>
        <v>66</v>
      </c>
      <c r="Y68" s="584">
        <f>'2021'!H68</f>
        <v>125</v>
      </c>
      <c r="Z68" s="584">
        <f>'2022'!H68</f>
        <v>227</v>
      </c>
      <c r="AA68" s="584">
        <f>'2023'!H68</f>
        <v>0</v>
      </c>
      <c r="AB68" s="584">
        <f>'2024'!H68</f>
        <v>0</v>
      </c>
      <c r="AC68" s="585">
        <f>'2025'!H68</f>
        <v>0</v>
      </c>
      <c r="AD68" s="421">
        <f t="shared" si="4"/>
        <v>0.61711711711711714</v>
      </c>
      <c r="AE68" s="422">
        <f t="shared" si="5"/>
        <v>0.39473684210526316</v>
      </c>
      <c r="AF68" s="422">
        <f t="shared" si="6"/>
        <v>0.51692307692307693</v>
      </c>
      <c r="AG68" s="422">
        <f t="shared" si="7"/>
        <v>0</v>
      </c>
      <c r="AH68" s="422">
        <f t="shared" si="8"/>
        <v>0</v>
      </c>
      <c r="AI68" s="423">
        <f t="shared" si="9"/>
        <v>0</v>
      </c>
      <c r="AJ68" s="619">
        <f>'2020'!J68</f>
        <v>137</v>
      </c>
      <c r="AK68" s="584">
        <f>'2021'!J68</f>
        <v>90</v>
      </c>
      <c r="AL68" s="584">
        <f>'2022'!J68</f>
        <v>168</v>
      </c>
      <c r="AM68" s="584">
        <f>'2023'!J68</f>
        <v>0</v>
      </c>
      <c r="AN68" s="584">
        <f>'2024'!J68</f>
        <v>0</v>
      </c>
      <c r="AO68" s="585">
        <f>'2025'!J68</f>
        <v>0</v>
      </c>
      <c r="AP68" s="421">
        <f t="shared" si="28"/>
        <v>0.3963963963963964</v>
      </c>
      <c r="AQ68" s="422">
        <f t="shared" si="11"/>
        <v>0.39912280701754388</v>
      </c>
      <c r="AR68" s="422">
        <f t="shared" si="12"/>
        <v>0.4</v>
      </c>
      <c r="AS68" s="422" t="str">
        <f t="shared" si="13"/>
        <v/>
      </c>
      <c r="AT68" s="422" t="str">
        <f t="shared" si="14"/>
        <v/>
      </c>
      <c r="AU68" s="423" t="str">
        <f t="shared" si="15"/>
        <v/>
      </c>
      <c r="AV68" s="619">
        <f>'2020'!L68</f>
        <v>88</v>
      </c>
      <c r="AW68" s="584">
        <f>'2021'!L68</f>
        <v>91</v>
      </c>
      <c r="AX68" s="584">
        <f>'2022'!L68</f>
        <v>130</v>
      </c>
      <c r="AY68" s="584">
        <f>'2023'!L68</f>
        <v>0</v>
      </c>
      <c r="AZ68" s="584">
        <f>'2024'!L68</f>
        <v>0</v>
      </c>
      <c r="BA68" s="585">
        <f>'2025'!L68</f>
        <v>0</v>
      </c>
      <c r="BB68" s="421" t="str">
        <f t="shared" si="29"/>
        <v/>
      </c>
      <c r="BC68" s="422" t="str">
        <f t="shared" si="16"/>
        <v/>
      </c>
      <c r="BD68" s="422">
        <f t="shared" si="17"/>
        <v>0</v>
      </c>
      <c r="BE68" s="422" t="str">
        <f t="shared" si="18"/>
        <v/>
      </c>
      <c r="BF68" s="422" t="str">
        <f t="shared" si="19"/>
        <v/>
      </c>
      <c r="BG68" s="423" t="str">
        <f t="shared" si="20"/>
        <v/>
      </c>
      <c r="BH68" s="732" t="str">
        <f>'2020'!N68</f>
        <v>-</v>
      </c>
      <c r="BI68" s="733" t="str">
        <f>'2021'!N68</f>
        <v>-</v>
      </c>
      <c r="BJ68" s="733">
        <f>'2022'!N68</f>
        <v>0</v>
      </c>
      <c r="BK68" s="733">
        <f>'2023'!N68</f>
        <v>0</v>
      </c>
      <c r="BL68" s="733">
        <f>'2024'!N68</f>
        <v>0</v>
      </c>
      <c r="BM68" s="734">
        <f>'2025'!N68</f>
        <v>0</v>
      </c>
      <c r="BN68" s="424" t="s">
        <v>21</v>
      </c>
      <c r="BO68" s="425" t="s">
        <v>21</v>
      </c>
      <c r="BP68" s="424" t="s">
        <v>21</v>
      </c>
      <c r="BQ68" s="425" t="s">
        <v>21</v>
      </c>
      <c r="BR68" s="426" t="s">
        <v>21</v>
      </c>
      <c r="BS68" s="427" t="s">
        <v>21</v>
      </c>
      <c r="BT68" s="426" t="s">
        <v>21</v>
      </c>
      <c r="BU68" s="428" t="s">
        <v>21</v>
      </c>
      <c r="CC68" s="1" t="str">
        <f t="shared" si="30"/>
        <v>France</v>
      </c>
      <c r="CD68" s="1" t="str">
        <f t="shared" si="31"/>
        <v>France</v>
      </c>
      <c r="CE68" s="1" t="str">
        <f t="shared" si="32"/>
        <v>France</v>
      </c>
      <c r="CF68" s="1" t="str">
        <f t="shared" si="33"/>
        <v/>
      </c>
      <c r="CG68" s="1" t="str">
        <f t="shared" si="34"/>
        <v/>
      </c>
      <c r="CH68" s="1" t="str">
        <f t="shared" si="35"/>
        <v/>
      </c>
    </row>
    <row r="69" spans="1:86" ht="15" customHeight="1" thickBot="1" x14ac:dyDescent="0.35">
      <c r="B69" s="857"/>
      <c r="C69" s="860"/>
      <c r="D69" s="828"/>
      <c r="E69" s="799"/>
      <c r="F69" s="799"/>
      <c r="G69" s="799"/>
      <c r="H69" s="799"/>
      <c r="I69" s="835"/>
      <c r="J69" s="721" t="s">
        <v>24</v>
      </c>
      <c r="K69" s="406" t="str">
        <f t="shared" si="186"/>
        <v>X</v>
      </c>
      <c r="L69" s="406" t="str">
        <f t="shared" si="187"/>
        <v>X</v>
      </c>
      <c r="M69" s="406" t="str">
        <f t="shared" si="188"/>
        <v>X</v>
      </c>
      <c r="N69" s="406" t="str">
        <f t="shared" si="189"/>
        <v/>
      </c>
      <c r="O69" s="406" t="str">
        <f t="shared" si="190"/>
        <v/>
      </c>
      <c r="P69" s="407" t="str">
        <f t="shared" si="191"/>
        <v/>
      </c>
      <c r="Q69" s="410" t="s">
        <v>62</v>
      </c>
      <c r="R69" s="583">
        <f>'2020'!G69</f>
        <v>106</v>
      </c>
      <c r="S69" s="584">
        <f>'2021'!G69</f>
        <v>141</v>
      </c>
      <c r="T69" s="584">
        <f>'2022'!G69</f>
        <v>180</v>
      </c>
      <c r="U69" s="584">
        <f>'2023'!G69</f>
        <v>0</v>
      </c>
      <c r="V69" s="584">
        <f>'2024'!G69</f>
        <v>0</v>
      </c>
      <c r="W69" s="585">
        <f>'2025'!G69</f>
        <v>0</v>
      </c>
      <c r="X69" s="619">
        <f>'2020'!H69</f>
        <v>35</v>
      </c>
      <c r="Y69" s="584">
        <f>'2021'!H69</f>
        <v>80</v>
      </c>
      <c r="Z69" s="584">
        <f>'2022'!H69</f>
        <v>92</v>
      </c>
      <c r="AA69" s="584">
        <f>'2023'!H69</f>
        <v>0</v>
      </c>
      <c r="AB69" s="584">
        <f>'2024'!H69</f>
        <v>0</v>
      </c>
      <c r="AC69" s="585">
        <f>'2025'!H69</f>
        <v>0</v>
      </c>
      <c r="AD69" s="421">
        <f t="shared" ref="AD69:AD131" si="192">IF(R69="",0,IF(AJ69=0,0,AJ69/R69))</f>
        <v>0.36792452830188677</v>
      </c>
      <c r="AE69" s="422">
        <f t="shared" ref="AE69:AE131" si="193">IF(S69="",0,IF(AK69=0,0,AK69/S69))</f>
        <v>0.46099290780141844</v>
      </c>
      <c r="AF69" s="422">
        <f t="shared" ref="AF69:AF82" si="194">IF(T69="",0,IF(AL69=0,0,AL69/T69))</f>
        <v>0.43888888888888888</v>
      </c>
      <c r="AG69" s="422">
        <f t="shared" ref="AG69:AG131" si="195">IF(U69="",0,IF(AM69=0,0,AM69/U69))</f>
        <v>0</v>
      </c>
      <c r="AH69" s="422">
        <f t="shared" ref="AH69:AH131" si="196">IF(V69="",0,IF(AN69=0,0,AN69/V69))</f>
        <v>0</v>
      </c>
      <c r="AI69" s="423">
        <f t="shared" ref="AI69:AI131" si="197">IF(W69="",0,IF(AO69=0,0,AO69/W69))</f>
        <v>0</v>
      </c>
      <c r="AJ69" s="619">
        <f>'2020'!J69</f>
        <v>39</v>
      </c>
      <c r="AK69" s="584">
        <f>'2021'!J69</f>
        <v>65</v>
      </c>
      <c r="AL69" s="584">
        <f>'2022'!J69</f>
        <v>79</v>
      </c>
      <c r="AM69" s="584">
        <f>'2023'!J69</f>
        <v>0</v>
      </c>
      <c r="AN69" s="584">
        <f>'2024'!J69</f>
        <v>0</v>
      </c>
      <c r="AO69" s="585">
        <f>'2025'!J69</f>
        <v>0</v>
      </c>
      <c r="AP69" s="421">
        <f t="shared" si="28"/>
        <v>0.45283018867924529</v>
      </c>
      <c r="AQ69" s="422">
        <f t="shared" ref="AQ69:AQ131" si="198">IF(S69=0,"",IF(AW69="","",AW69/S69))</f>
        <v>0.43971631205673761</v>
      </c>
      <c r="AR69" s="422">
        <f t="shared" ref="AR69:AR131" si="199">IF(T69=0,"",IF(AX69="","",AX69/T69))</f>
        <v>0.40555555555555556</v>
      </c>
      <c r="AS69" s="422" t="str">
        <f t="shared" ref="AS69:AS131" si="200">IF(U69=0,"",IF(AY69="","",AY69/U69))</f>
        <v/>
      </c>
      <c r="AT69" s="422" t="str">
        <f t="shared" ref="AT69:AT131" si="201">IF(V69=0,"",IF(AZ69="","",AZ69/V69))</f>
        <v/>
      </c>
      <c r="AU69" s="423" t="str">
        <f t="shared" ref="AU69:AU131" si="202">IF(W69=0,"",IF(BA69="","",BA69/W69))</f>
        <v/>
      </c>
      <c r="AV69" s="619">
        <f>'2020'!L69</f>
        <v>48</v>
      </c>
      <c r="AW69" s="584">
        <f>'2021'!L69</f>
        <v>62</v>
      </c>
      <c r="AX69" s="584">
        <f>'2022'!L69</f>
        <v>73</v>
      </c>
      <c r="AY69" s="584">
        <f>'2023'!L69</f>
        <v>0</v>
      </c>
      <c r="AZ69" s="584">
        <f>'2024'!L69</f>
        <v>0</v>
      </c>
      <c r="BA69" s="585">
        <f>'2025'!L69</f>
        <v>0</v>
      </c>
      <c r="BB69" s="421" t="str">
        <f t="shared" si="29"/>
        <v/>
      </c>
      <c r="BC69" s="422" t="str">
        <f t="shared" ref="BC69:BC131" si="203">IF(AW69=0,"",IF(BI69="-","",BI69/AW69))</f>
        <v/>
      </c>
      <c r="BD69" s="422">
        <f t="shared" ref="BD69:BD131" si="204">IF(AX69=0,"",IF(BJ69="-","",BJ69/AX69))</f>
        <v>0</v>
      </c>
      <c r="BE69" s="422" t="str">
        <f t="shared" ref="BE69:BE131" si="205">IF(AY69=0,"",IF(BK69="-","",BK69/AY69))</f>
        <v/>
      </c>
      <c r="BF69" s="422" t="str">
        <f t="shared" ref="BF69:BF131" si="206">IF(AZ69=0,"",IF(BL69="-","",BL69/AZ69))</f>
        <v/>
      </c>
      <c r="BG69" s="423" t="str">
        <f t="shared" ref="BG69:BG131" si="207">IF(BA69=0,"",IF(BM69="-","",BM69/BA69))</f>
        <v/>
      </c>
      <c r="BH69" s="732" t="str">
        <f>'2020'!N69</f>
        <v>-</v>
      </c>
      <c r="BI69" s="733" t="str">
        <f>'2021'!N69</f>
        <v>-</v>
      </c>
      <c r="BJ69" s="733">
        <f>'2022'!N69</f>
        <v>0</v>
      </c>
      <c r="BK69" s="733">
        <f>'2023'!N69</f>
        <v>0</v>
      </c>
      <c r="BL69" s="733">
        <f>'2024'!N69</f>
        <v>0</v>
      </c>
      <c r="BM69" s="734">
        <f>'2025'!N69</f>
        <v>0</v>
      </c>
      <c r="BN69" s="424" t="s">
        <v>21</v>
      </c>
      <c r="BO69" s="425" t="s">
        <v>21</v>
      </c>
      <c r="BP69" s="424" t="s">
        <v>21</v>
      </c>
      <c r="BQ69" s="425" t="s">
        <v>21</v>
      </c>
      <c r="BR69" s="426"/>
      <c r="BS69" s="427"/>
      <c r="BT69" s="426"/>
      <c r="BU69" s="428"/>
      <c r="CC69" s="1" t="str">
        <f t="shared" si="30"/>
        <v>Frontière</v>
      </c>
      <c r="CD69" s="1" t="str">
        <f t="shared" si="31"/>
        <v>Frontière</v>
      </c>
      <c r="CE69" s="1" t="str">
        <f t="shared" si="32"/>
        <v>Frontière</v>
      </c>
      <c r="CF69" s="1" t="str">
        <f t="shared" si="33"/>
        <v/>
      </c>
      <c r="CG69" s="1" t="str">
        <f t="shared" si="34"/>
        <v/>
      </c>
      <c r="CH69" s="1" t="str">
        <f t="shared" si="35"/>
        <v/>
      </c>
    </row>
    <row r="70" spans="1:86" ht="15" customHeight="1" thickBot="1" x14ac:dyDescent="0.35">
      <c r="B70" s="857"/>
      <c r="C70" s="860"/>
      <c r="D70" s="828"/>
      <c r="E70" s="799"/>
      <c r="F70" s="799"/>
      <c r="G70" s="799"/>
      <c r="H70" s="799"/>
      <c r="I70" s="835"/>
      <c r="J70" s="721" t="s">
        <v>23</v>
      </c>
      <c r="K70" s="406" t="str">
        <f t="shared" si="186"/>
        <v>X</v>
      </c>
      <c r="L70" s="406" t="str">
        <f t="shared" si="187"/>
        <v>X</v>
      </c>
      <c r="M70" s="406" t="str">
        <f t="shared" si="188"/>
        <v>X</v>
      </c>
      <c r="N70" s="406" t="str">
        <f t="shared" si="189"/>
        <v/>
      </c>
      <c r="O70" s="406" t="str">
        <f t="shared" si="190"/>
        <v/>
      </c>
      <c r="P70" s="407" t="str">
        <f t="shared" si="191"/>
        <v/>
      </c>
      <c r="Q70" s="410" t="s">
        <v>60</v>
      </c>
      <c r="R70" s="583">
        <f>'2020'!G70</f>
        <v>206</v>
      </c>
      <c r="S70" s="584">
        <f>'2021'!G70</f>
        <v>234</v>
      </c>
      <c r="T70" s="584">
        <f>'2022'!G70</f>
        <v>366</v>
      </c>
      <c r="U70" s="584">
        <f>'2023'!G70</f>
        <v>0</v>
      </c>
      <c r="V70" s="584">
        <f>'2024'!G70</f>
        <v>0</v>
      </c>
      <c r="W70" s="585">
        <f>'2025'!G70</f>
        <v>0</v>
      </c>
      <c r="X70" s="619">
        <f>'2020'!H70</f>
        <v>70</v>
      </c>
      <c r="Y70" s="584">
        <f>'2021'!H70</f>
        <v>127</v>
      </c>
      <c r="Z70" s="584">
        <f>'2022'!H70</f>
        <v>180</v>
      </c>
      <c r="AA70" s="584">
        <f>'2023'!H70</f>
        <v>0</v>
      </c>
      <c r="AB70" s="584">
        <f>'2024'!H70</f>
        <v>0</v>
      </c>
      <c r="AC70" s="585">
        <f>'2025'!H70</f>
        <v>0</v>
      </c>
      <c r="AD70" s="421">
        <f t="shared" si="192"/>
        <v>0.42233009708737862</v>
      </c>
      <c r="AE70" s="422">
        <f t="shared" si="193"/>
        <v>0.42307692307692307</v>
      </c>
      <c r="AF70" s="422">
        <f t="shared" si="194"/>
        <v>0.43169398907103823</v>
      </c>
      <c r="AG70" s="422">
        <f t="shared" si="195"/>
        <v>0</v>
      </c>
      <c r="AH70" s="422">
        <f t="shared" si="196"/>
        <v>0</v>
      </c>
      <c r="AI70" s="423">
        <f t="shared" si="197"/>
        <v>0</v>
      </c>
      <c r="AJ70" s="619">
        <f>'2020'!J70</f>
        <v>87</v>
      </c>
      <c r="AK70" s="584">
        <f>'2021'!J70</f>
        <v>99</v>
      </c>
      <c r="AL70" s="584">
        <f>'2022'!J70</f>
        <v>158</v>
      </c>
      <c r="AM70" s="584">
        <f>'2023'!J70</f>
        <v>0</v>
      </c>
      <c r="AN70" s="584">
        <f>'2024'!J70</f>
        <v>0</v>
      </c>
      <c r="AO70" s="585">
        <f>'2025'!J70</f>
        <v>0</v>
      </c>
      <c r="AP70" s="421">
        <f t="shared" ref="AP70:AP132" si="208">IF(R70=0,"",IF(AV70="","",AV70/R70))</f>
        <v>0.40291262135922329</v>
      </c>
      <c r="AQ70" s="422">
        <f t="shared" si="198"/>
        <v>0.47863247863247865</v>
      </c>
      <c r="AR70" s="422">
        <f t="shared" si="199"/>
        <v>0.39071038251366119</v>
      </c>
      <c r="AS70" s="422" t="str">
        <f t="shared" si="200"/>
        <v/>
      </c>
      <c r="AT70" s="422" t="str">
        <f t="shared" si="201"/>
        <v/>
      </c>
      <c r="AU70" s="423" t="str">
        <f t="shared" si="202"/>
        <v/>
      </c>
      <c r="AV70" s="619">
        <f>'2020'!L70</f>
        <v>83</v>
      </c>
      <c r="AW70" s="584">
        <f>'2021'!L70</f>
        <v>112</v>
      </c>
      <c r="AX70" s="584">
        <f>'2022'!L70</f>
        <v>143</v>
      </c>
      <c r="AY70" s="584">
        <f>'2023'!L70</f>
        <v>0</v>
      </c>
      <c r="AZ70" s="584">
        <f>'2024'!L70</f>
        <v>0</v>
      </c>
      <c r="BA70" s="585">
        <f>'2025'!L70</f>
        <v>0</v>
      </c>
      <c r="BB70" s="421" t="str">
        <f t="shared" ref="BB70:BB132" si="209">IF(AV70=0,"",IF(BH70="-","",BH70/AV70))</f>
        <v/>
      </c>
      <c r="BC70" s="422" t="str">
        <f t="shared" si="203"/>
        <v/>
      </c>
      <c r="BD70" s="422">
        <f t="shared" si="204"/>
        <v>0</v>
      </c>
      <c r="BE70" s="422" t="str">
        <f t="shared" si="205"/>
        <v/>
      </c>
      <c r="BF70" s="422" t="str">
        <f t="shared" si="206"/>
        <v/>
      </c>
      <c r="BG70" s="423" t="str">
        <f t="shared" si="207"/>
        <v/>
      </c>
      <c r="BH70" s="732" t="str">
        <f>'2020'!N70</f>
        <v>-</v>
      </c>
      <c r="BI70" s="733" t="str">
        <f>'2021'!N70</f>
        <v>-</v>
      </c>
      <c r="BJ70" s="733">
        <f>'2022'!N70</f>
        <v>0</v>
      </c>
      <c r="BK70" s="733">
        <f>'2023'!N70</f>
        <v>0</v>
      </c>
      <c r="BL70" s="733">
        <f>'2024'!N70</f>
        <v>0</v>
      </c>
      <c r="BM70" s="734">
        <f>'2025'!N70</f>
        <v>0</v>
      </c>
      <c r="BN70" s="424" t="s">
        <v>21</v>
      </c>
      <c r="BO70" s="425" t="s">
        <v>21</v>
      </c>
      <c r="BP70" s="424" t="s">
        <v>21</v>
      </c>
      <c r="BQ70" s="425" t="s">
        <v>21</v>
      </c>
      <c r="BR70" s="426" t="s">
        <v>21</v>
      </c>
      <c r="BS70" s="427" t="s">
        <v>21</v>
      </c>
      <c r="BT70" s="426" t="s">
        <v>21</v>
      </c>
      <c r="BU70" s="428" t="s">
        <v>21</v>
      </c>
      <c r="CC70" s="1" t="str">
        <f t="shared" ref="CC70:CC132" si="210">IF(K70&lt;&gt;"",$Q70,"")</f>
        <v>France</v>
      </c>
      <c r="CD70" s="1" t="str">
        <f t="shared" ref="CD70:CD132" si="211">IF(L70&lt;&gt;"",$Q70,"")</f>
        <v>France</v>
      </c>
      <c r="CE70" s="1" t="str">
        <f t="shared" ref="CE70:CE132" si="212">IF(M70&lt;&gt;"",$Q70,"")</f>
        <v>France</v>
      </c>
      <c r="CF70" s="1" t="str">
        <f t="shared" ref="CF70:CF132" si="213">IF(N70&lt;&gt;"",$Q70,"")</f>
        <v/>
      </c>
      <c r="CG70" s="1" t="str">
        <f t="shared" ref="CG70:CG132" si="214">IF(O70&lt;&gt;"",$Q70,"")</f>
        <v/>
      </c>
      <c r="CH70" s="1" t="str">
        <f t="shared" ref="CH70:CH132" si="215">IF(P70&lt;&gt;"",$Q70,"")</f>
        <v/>
      </c>
    </row>
    <row r="71" spans="1:86" ht="15" customHeight="1" thickBot="1" x14ac:dyDescent="0.35">
      <c r="B71" s="857"/>
      <c r="C71" s="860"/>
      <c r="D71" s="828"/>
      <c r="E71" s="799"/>
      <c r="F71" s="799"/>
      <c r="G71" s="799"/>
      <c r="H71" s="799"/>
      <c r="I71" s="835"/>
      <c r="J71" s="721" t="s">
        <v>166</v>
      </c>
      <c r="K71" s="406" t="str">
        <f t="shared" si="186"/>
        <v/>
      </c>
      <c r="L71" s="406" t="str">
        <f t="shared" si="187"/>
        <v/>
      </c>
      <c r="M71" s="406" t="str">
        <f t="shared" si="188"/>
        <v/>
      </c>
      <c r="N71" s="406" t="str">
        <f t="shared" si="189"/>
        <v/>
      </c>
      <c r="O71" s="406" t="str">
        <f t="shared" si="190"/>
        <v/>
      </c>
      <c r="P71" s="407" t="str">
        <f t="shared" si="191"/>
        <v/>
      </c>
      <c r="Q71" s="410" t="s">
        <v>203</v>
      </c>
      <c r="R71" s="583">
        <f>'2020'!G71</f>
        <v>0</v>
      </c>
      <c r="S71" s="584">
        <f>'2021'!G71</f>
        <v>0</v>
      </c>
      <c r="T71" s="584">
        <f>'2022'!G71</f>
        <v>0</v>
      </c>
      <c r="U71" s="584">
        <f>'2023'!G71</f>
        <v>0</v>
      </c>
      <c r="V71" s="584">
        <f>'2024'!G71</f>
        <v>0</v>
      </c>
      <c r="W71" s="585">
        <f>'2025'!G71</f>
        <v>0</v>
      </c>
      <c r="X71" s="619">
        <f>'2020'!H71</f>
        <v>0</v>
      </c>
      <c r="Y71" s="584">
        <f>'2021'!H71</f>
        <v>0</v>
      </c>
      <c r="Z71" s="584">
        <f>'2022'!H71</f>
        <v>0</v>
      </c>
      <c r="AA71" s="584">
        <f>'2023'!H71</f>
        <v>0</v>
      </c>
      <c r="AB71" s="584">
        <f>'2024'!H71</f>
        <v>0</v>
      </c>
      <c r="AC71" s="585">
        <f>'2025'!H71</f>
        <v>0</v>
      </c>
      <c r="AD71" s="421">
        <f t="shared" si="192"/>
        <v>0</v>
      </c>
      <c r="AE71" s="422">
        <f t="shared" si="193"/>
        <v>0</v>
      </c>
      <c r="AF71" s="422">
        <f t="shared" si="194"/>
        <v>0</v>
      </c>
      <c r="AG71" s="422">
        <f t="shared" si="195"/>
        <v>0</v>
      </c>
      <c r="AH71" s="422">
        <f t="shared" si="196"/>
        <v>0</v>
      </c>
      <c r="AI71" s="423">
        <f t="shared" si="197"/>
        <v>0</v>
      </c>
      <c r="AJ71" s="619">
        <f>'2020'!J71</f>
        <v>0</v>
      </c>
      <c r="AK71" s="584">
        <f>'2021'!J71</f>
        <v>0</v>
      </c>
      <c r="AL71" s="584">
        <f>'2022'!J71</f>
        <v>0</v>
      </c>
      <c r="AM71" s="584">
        <f>'2023'!J71</f>
        <v>0</v>
      </c>
      <c r="AN71" s="584">
        <f>'2024'!J71</f>
        <v>0</v>
      </c>
      <c r="AO71" s="585">
        <f>'2025'!J71</f>
        <v>0</v>
      </c>
      <c r="AP71" s="421" t="str">
        <f t="shared" si="208"/>
        <v/>
      </c>
      <c r="AQ71" s="422" t="str">
        <f t="shared" si="198"/>
        <v/>
      </c>
      <c r="AR71" s="422" t="str">
        <f t="shared" si="199"/>
        <v/>
      </c>
      <c r="AS71" s="422" t="str">
        <f t="shared" si="200"/>
        <v/>
      </c>
      <c r="AT71" s="422" t="str">
        <f t="shared" si="201"/>
        <v/>
      </c>
      <c r="AU71" s="423" t="str">
        <f t="shared" si="202"/>
        <v/>
      </c>
      <c r="AV71" s="619">
        <f>'2020'!L71</f>
        <v>0</v>
      </c>
      <c r="AW71" s="584">
        <f>'2021'!L71</f>
        <v>0</v>
      </c>
      <c r="AX71" s="584">
        <f>'2022'!L71</f>
        <v>0</v>
      </c>
      <c r="AY71" s="584">
        <f>'2023'!L71</f>
        <v>0</v>
      </c>
      <c r="AZ71" s="584">
        <f>'2024'!L71</f>
        <v>0</v>
      </c>
      <c r="BA71" s="585">
        <f>'2025'!L71</f>
        <v>0</v>
      </c>
      <c r="BB71" s="421" t="str">
        <f t="shared" si="209"/>
        <v/>
      </c>
      <c r="BC71" s="422" t="str">
        <f t="shared" si="203"/>
        <v/>
      </c>
      <c r="BD71" s="422" t="str">
        <f t="shared" si="204"/>
        <v/>
      </c>
      <c r="BE71" s="422" t="str">
        <f t="shared" si="205"/>
        <v/>
      </c>
      <c r="BF71" s="422" t="str">
        <f t="shared" si="206"/>
        <v/>
      </c>
      <c r="BG71" s="423" t="str">
        <f t="shared" si="207"/>
        <v/>
      </c>
      <c r="BH71" s="732">
        <f>'2020'!N71</f>
        <v>0</v>
      </c>
      <c r="BI71" s="733">
        <f>'2021'!N71</f>
        <v>0</v>
      </c>
      <c r="BJ71" s="733">
        <f>'2022'!N71</f>
        <v>0</v>
      </c>
      <c r="BK71" s="733">
        <f>'2023'!N71</f>
        <v>0</v>
      </c>
      <c r="BL71" s="733">
        <f>'2024'!N71</f>
        <v>0</v>
      </c>
      <c r="BM71" s="734">
        <f>'2025'!N71</f>
        <v>0</v>
      </c>
      <c r="BN71" s="424"/>
      <c r="BO71" s="425"/>
      <c r="BP71" s="424"/>
      <c r="BQ71" s="425"/>
      <c r="BR71" s="426"/>
      <c r="BS71" s="427"/>
      <c r="BT71" s="426"/>
      <c r="BU71" s="428"/>
      <c r="CC71" s="1" t="str">
        <f t="shared" si="210"/>
        <v/>
      </c>
      <c r="CD71" s="1" t="str">
        <f t="shared" si="211"/>
        <v/>
      </c>
      <c r="CE71" s="1" t="str">
        <f t="shared" si="212"/>
        <v/>
      </c>
      <c r="CF71" s="1" t="str">
        <f t="shared" si="213"/>
        <v/>
      </c>
      <c r="CG71" s="1" t="str">
        <f t="shared" si="214"/>
        <v/>
      </c>
      <c r="CH71" s="1" t="str">
        <f t="shared" si="215"/>
        <v/>
      </c>
    </row>
    <row r="72" spans="1:86" ht="15" customHeight="1" thickBot="1" x14ac:dyDescent="0.35">
      <c r="B72" s="857"/>
      <c r="C72" s="860"/>
      <c r="D72" s="828"/>
      <c r="E72" s="799"/>
      <c r="F72" s="799"/>
      <c r="G72" s="799"/>
      <c r="H72" s="799"/>
      <c r="I72" s="835"/>
      <c r="J72" s="721" t="s">
        <v>166</v>
      </c>
      <c r="K72" s="406" t="str">
        <f t="shared" si="186"/>
        <v/>
      </c>
      <c r="L72" s="406" t="str">
        <f t="shared" si="187"/>
        <v/>
      </c>
      <c r="M72" s="406" t="str">
        <f t="shared" si="188"/>
        <v/>
      </c>
      <c r="N72" s="406" t="str">
        <f t="shared" si="189"/>
        <v/>
      </c>
      <c r="O72" s="406" t="str">
        <f t="shared" si="190"/>
        <v/>
      </c>
      <c r="P72" s="407" t="str">
        <f t="shared" si="191"/>
        <v/>
      </c>
      <c r="Q72" s="410" t="s">
        <v>203</v>
      </c>
      <c r="R72" s="583">
        <f>'2020'!G72</f>
        <v>0</v>
      </c>
      <c r="S72" s="584">
        <f>'2021'!G72</f>
        <v>0</v>
      </c>
      <c r="T72" s="584">
        <f>'2022'!G72</f>
        <v>0</v>
      </c>
      <c r="U72" s="584">
        <f>'2023'!G72</f>
        <v>0</v>
      </c>
      <c r="V72" s="584">
        <f>'2024'!G72</f>
        <v>0</v>
      </c>
      <c r="W72" s="585">
        <f>'2025'!G72</f>
        <v>0</v>
      </c>
      <c r="X72" s="619">
        <f>'2020'!H72</f>
        <v>0</v>
      </c>
      <c r="Y72" s="584">
        <f>'2021'!H72</f>
        <v>0</v>
      </c>
      <c r="Z72" s="584">
        <f>'2022'!H72</f>
        <v>0</v>
      </c>
      <c r="AA72" s="584">
        <f>'2023'!H72</f>
        <v>0</v>
      </c>
      <c r="AB72" s="584">
        <f>'2024'!H72</f>
        <v>0</v>
      </c>
      <c r="AC72" s="585">
        <f>'2025'!H72</f>
        <v>0</v>
      </c>
      <c r="AD72" s="421">
        <f t="shared" si="192"/>
        <v>0</v>
      </c>
      <c r="AE72" s="422">
        <f t="shared" si="193"/>
        <v>0</v>
      </c>
      <c r="AF72" s="422">
        <f t="shared" si="194"/>
        <v>0</v>
      </c>
      <c r="AG72" s="422">
        <f t="shared" si="195"/>
        <v>0</v>
      </c>
      <c r="AH72" s="422">
        <f t="shared" si="196"/>
        <v>0</v>
      </c>
      <c r="AI72" s="423">
        <f t="shared" si="197"/>
        <v>0</v>
      </c>
      <c r="AJ72" s="619">
        <f>'2020'!J72</f>
        <v>0</v>
      </c>
      <c r="AK72" s="584">
        <f>'2021'!J72</f>
        <v>0</v>
      </c>
      <c r="AL72" s="584">
        <f>'2022'!J72</f>
        <v>0</v>
      </c>
      <c r="AM72" s="584">
        <f>'2023'!J72</f>
        <v>0</v>
      </c>
      <c r="AN72" s="584">
        <f>'2024'!J72</f>
        <v>0</v>
      </c>
      <c r="AO72" s="585">
        <f>'2025'!J72</f>
        <v>0</v>
      </c>
      <c r="AP72" s="421" t="str">
        <f t="shared" si="208"/>
        <v/>
      </c>
      <c r="AQ72" s="422" t="str">
        <f t="shared" si="198"/>
        <v/>
      </c>
      <c r="AR72" s="422" t="str">
        <f t="shared" si="199"/>
        <v/>
      </c>
      <c r="AS72" s="422" t="str">
        <f t="shared" si="200"/>
        <v/>
      </c>
      <c r="AT72" s="422" t="str">
        <f t="shared" si="201"/>
        <v/>
      </c>
      <c r="AU72" s="423" t="str">
        <f t="shared" si="202"/>
        <v/>
      </c>
      <c r="AV72" s="619">
        <f>'2020'!L72</f>
        <v>0</v>
      </c>
      <c r="AW72" s="584">
        <f>'2021'!L72</f>
        <v>0</v>
      </c>
      <c r="AX72" s="584">
        <f>'2022'!L72</f>
        <v>0</v>
      </c>
      <c r="AY72" s="584">
        <f>'2023'!L72</f>
        <v>0</v>
      </c>
      <c r="AZ72" s="584">
        <f>'2024'!L72</f>
        <v>0</v>
      </c>
      <c r="BA72" s="585">
        <f>'2025'!L72</f>
        <v>0</v>
      </c>
      <c r="BB72" s="421" t="str">
        <f t="shared" si="209"/>
        <v/>
      </c>
      <c r="BC72" s="422" t="str">
        <f t="shared" si="203"/>
        <v/>
      </c>
      <c r="BD72" s="422" t="str">
        <f t="shared" si="204"/>
        <v/>
      </c>
      <c r="BE72" s="422" t="str">
        <f t="shared" si="205"/>
        <v/>
      </c>
      <c r="BF72" s="422" t="str">
        <f t="shared" si="206"/>
        <v/>
      </c>
      <c r="BG72" s="423" t="str">
        <f t="shared" si="207"/>
        <v/>
      </c>
      <c r="BH72" s="732">
        <f>'2020'!N72</f>
        <v>0</v>
      </c>
      <c r="BI72" s="733">
        <f>'2021'!N72</f>
        <v>0</v>
      </c>
      <c r="BJ72" s="733">
        <f>'2022'!N72</f>
        <v>0</v>
      </c>
      <c r="BK72" s="733">
        <f>'2023'!N72</f>
        <v>0</v>
      </c>
      <c r="BL72" s="733">
        <f>'2024'!N72</f>
        <v>0</v>
      </c>
      <c r="BM72" s="734">
        <f>'2025'!N72</f>
        <v>0</v>
      </c>
      <c r="BN72" s="424"/>
      <c r="BO72" s="425"/>
      <c r="BP72" s="424"/>
      <c r="BQ72" s="425"/>
      <c r="BR72" s="426"/>
      <c r="BS72" s="427"/>
      <c r="BT72" s="426"/>
      <c r="BU72" s="428"/>
      <c r="CC72" s="1" t="str">
        <f t="shared" si="210"/>
        <v/>
      </c>
      <c r="CD72" s="1" t="str">
        <f t="shared" si="211"/>
        <v/>
      </c>
      <c r="CE72" s="1" t="str">
        <f t="shared" si="212"/>
        <v/>
      </c>
      <c r="CF72" s="1" t="str">
        <f t="shared" si="213"/>
        <v/>
      </c>
      <c r="CG72" s="1" t="str">
        <f t="shared" si="214"/>
        <v/>
      </c>
      <c r="CH72" s="1" t="str">
        <f t="shared" si="215"/>
        <v/>
      </c>
    </row>
    <row r="73" spans="1:86" ht="15" customHeight="1" thickBot="1" x14ac:dyDescent="0.35">
      <c r="B73" s="857"/>
      <c r="C73" s="860"/>
      <c r="D73" s="828"/>
      <c r="E73" s="799"/>
      <c r="F73" s="799"/>
      <c r="G73" s="799"/>
      <c r="H73" s="799"/>
      <c r="I73" s="835"/>
      <c r="J73" s="721" t="s">
        <v>22</v>
      </c>
      <c r="K73" s="406" t="str">
        <f t="shared" si="186"/>
        <v>X</v>
      </c>
      <c r="L73" s="406" t="str">
        <f t="shared" si="187"/>
        <v>X</v>
      </c>
      <c r="M73" s="406" t="str">
        <f t="shared" si="188"/>
        <v>X</v>
      </c>
      <c r="N73" s="406" t="str">
        <f t="shared" si="189"/>
        <v/>
      </c>
      <c r="O73" s="406" t="str">
        <f t="shared" si="190"/>
        <v/>
      </c>
      <c r="P73" s="407" t="str">
        <f t="shared" si="191"/>
        <v/>
      </c>
      <c r="Q73" s="410" t="s">
        <v>62</v>
      </c>
      <c r="R73" s="583">
        <f>'2020'!G73</f>
        <v>173</v>
      </c>
      <c r="S73" s="584">
        <f>'2021'!G73</f>
        <v>157</v>
      </c>
      <c r="T73" s="584">
        <f>'2022'!G73</f>
        <v>123</v>
      </c>
      <c r="U73" s="584">
        <f>'2023'!G73</f>
        <v>0</v>
      </c>
      <c r="V73" s="584">
        <f>'2024'!G73</f>
        <v>0</v>
      </c>
      <c r="W73" s="585">
        <f>'2025'!G73</f>
        <v>0</v>
      </c>
      <c r="X73" s="619">
        <f>'2020'!H73</f>
        <v>62</v>
      </c>
      <c r="Y73" s="584">
        <f>'2021'!H73</f>
        <v>82</v>
      </c>
      <c r="Z73" s="584">
        <f>'2022'!H73</f>
        <v>90</v>
      </c>
      <c r="AA73" s="584">
        <f>'2023'!H73</f>
        <v>0</v>
      </c>
      <c r="AB73" s="584">
        <f>'2024'!H73</f>
        <v>0</v>
      </c>
      <c r="AC73" s="585">
        <f>'2025'!H73</f>
        <v>0</v>
      </c>
      <c r="AD73" s="421">
        <f t="shared" si="192"/>
        <v>0.22543352601156069</v>
      </c>
      <c r="AE73" s="422">
        <f t="shared" si="193"/>
        <v>0.22929936305732485</v>
      </c>
      <c r="AF73" s="422">
        <f t="shared" si="194"/>
        <v>0.32520325203252032</v>
      </c>
      <c r="AG73" s="422">
        <f t="shared" si="195"/>
        <v>0</v>
      </c>
      <c r="AH73" s="422">
        <f t="shared" si="196"/>
        <v>0</v>
      </c>
      <c r="AI73" s="423">
        <f t="shared" si="197"/>
        <v>0</v>
      </c>
      <c r="AJ73" s="619">
        <f>'2020'!J73</f>
        <v>39</v>
      </c>
      <c r="AK73" s="584">
        <f>'2021'!J73</f>
        <v>36</v>
      </c>
      <c r="AL73" s="584">
        <f>'2022'!J73</f>
        <v>40</v>
      </c>
      <c r="AM73" s="584">
        <f>'2023'!J73</f>
        <v>0</v>
      </c>
      <c r="AN73" s="584">
        <f>'2024'!J73</f>
        <v>0</v>
      </c>
      <c r="AO73" s="585">
        <f>'2025'!J73</f>
        <v>0</v>
      </c>
      <c r="AP73" s="421">
        <f t="shared" si="208"/>
        <v>0.43352601156069365</v>
      </c>
      <c r="AQ73" s="422">
        <f t="shared" si="198"/>
        <v>0.31210191082802546</v>
      </c>
      <c r="AR73" s="422">
        <f t="shared" si="199"/>
        <v>0.34959349593495936</v>
      </c>
      <c r="AS73" s="422" t="str">
        <f t="shared" si="200"/>
        <v/>
      </c>
      <c r="AT73" s="422" t="str">
        <f t="shared" si="201"/>
        <v/>
      </c>
      <c r="AU73" s="423" t="str">
        <f t="shared" si="202"/>
        <v/>
      </c>
      <c r="AV73" s="619">
        <f>'2020'!L73</f>
        <v>75</v>
      </c>
      <c r="AW73" s="584">
        <f>'2021'!L73</f>
        <v>49</v>
      </c>
      <c r="AX73" s="584">
        <f>'2022'!L73</f>
        <v>43</v>
      </c>
      <c r="AY73" s="584">
        <f>'2023'!L73</f>
        <v>0</v>
      </c>
      <c r="AZ73" s="584">
        <f>'2024'!L73</f>
        <v>0</v>
      </c>
      <c r="BA73" s="585">
        <f>'2025'!L73</f>
        <v>0</v>
      </c>
      <c r="BB73" s="421" t="str">
        <f t="shared" si="209"/>
        <v/>
      </c>
      <c r="BC73" s="422" t="str">
        <f t="shared" si="203"/>
        <v/>
      </c>
      <c r="BD73" s="422">
        <f t="shared" si="204"/>
        <v>0</v>
      </c>
      <c r="BE73" s="422" t="str">
        <f t="shared" si="205"/>
        <v/>
      </c>
      <c r="BF73" s="422" t="str">
        <f t="shared" si="206"/>
        <v/>
      </c>
      <c r="BG73" s="423" t="str">
        <f t="shared" si="207"/>
        <v/>
      </c>
      <c r="BH73" s="732" t="str">
        <f>'2020'!N73</f>
        <v>-</v>
      </c>
      <c r="BI73" s="733" t="str">
        <f>'2021'!N73</f>
        <v>-</v>
      </c>
      <c r="BJ73" s="733">
        <f>'2022'!N73</f>
        <v>0</v>
      </c>
      <c r="BK73" s="733">
        <f>'2023'!N73</f>
        <v>0</v>
      </c>
      <c r="BL73" s="733">
        <f>'2024'!N73</f>
        <v>0</v>
      </c>
      <c r="BM73" s="734">
        <f>'2025'!N73</f>
        <v>0</v>
      </c>
      <c r="BN73" s="424" t="s">
        <v>21</v>
      </c>
      <c r="BO73" s="425" t="s">
        <v>21</v>
      </c>
      <c r="BP73" s="424" t="s">
        <v>21</v>
      </c>
      <c r="BQ73" s="425" t="s">
        <v>21</v>
      </c>
      <c r="BR73" s="426"/>
      <c r="BS73" s="427"/>
      <c r="BT73" s="426"/>
      <c r="BU73" s="428"/>
      <c r="CC73" s="1" t="str">
        <f t="shared" si="210"/>
        <v>Frontière</v>
      </c>
      <c r="CD73" s="1" t="str">
        <f t="shared" si="211"/>
        <v>Frontière</v>
      </c>
      <c r="CE73" s="1" t="str">
        <f t="shared" si="212"/>
        <v>Frontière</v>
      </c>
      <c r="CF73" s="1" t="str">
        <f t="shared" si="213"/>
        <v/>
      </c>
      <c r="CG73" s="1" t="str">
        <f t="shared" si="214"/>
        <v/>
      </c>
      <c r="CH73" s="1" t="str">
        <f t="shared" si="215"/>
        <v/>
      </c>
    </row>
    <row r="74" spans="1:86" ht="15" customHeight="1" thickBot="1" x14ac:dyDescent="0.35">
      <c r="B74" s="849"/>
      <c r="C74" s="861"/>
      <c r="D74" s="828"/>
      <c r="E74" s="799"/>
      <c r="F74" s="799"/>
      <c r="G74" s="799"/>
      <c r="H74" s="799"/>
      <c r="I74" s="835"/>
      <c r="J74" s="721" t="s">
        <v>166</v>
      </c>
      <c r="K74" s="406" t="str">
        <f t="shared" si="186"/>
        <v/>
      </c>
      <c r="L74" s="406" t="str">
        <f t="shared" si="187"/>
        <v/>
      </c>
      <c r="M74" s="406" t="str">
        <f t="shared" si="188"/>
        <v/>
      </c>
      <c r="N74" s="406" t="str">
        <f t="shared" si="189"/>
        <v/>
      </c>
      <c r="O74" s="406" t="str">
        <f t="shared" si="190"/>
        <v/>
      </c>
      <c r="P74" s="407" t="str">
        <f t="shared" si="191"/>
        <v/>
      </c>
      <c r="Q74" s="410"/>
      <c r="R74" s="583">
        <f>'2020'!G74</f>
        <v>0</v>
      </c>
      <c r="S74" s="584">
        <f>'2021'!G74</f>
        <v>0</v>
      </c>
      <c r="T74" s="584">
        <f>'2022'!G74</f>
        <v>0</v>
      </c>
      <c r="U74" s="584">
        <f>'2023'!G74</f>
        <v>0</v>
      </c>
      <c r="V74" s="584">
        <f>'2024'!G74</f>
        <v>0</v>
      </c>
      <c r="W74" s="585">
        <f>'2025'!G74</f>
        <v>0</v>
      </c>
      <c r="X74" s="619">
        <f>'2020'!H74</f>
        <v>0</v>
      </c>
      <c r="Y74" s="584">
        <f>'2021'!H74</f>
        <v>0</v>
      </c>
      <c r="Z74" s="584">
        <f>'2022'!H74</f>
        <v>0</v>
      </c>
      <c r="AA74" s="584">
        <f>'2023'!H74</f>
        <v>0</v>
      </c>
      <c r="AB74" s="584">
        <f>'2024'!H74</f>
        <v>0</v>
      </c>
      <c r="AC74" s="585">
        <f>'2025'!H74</f>
        <v>0</v>
      </c>
      <c r="AD74" s="421">
        <f t="shared" si="192"/>
        <v>0</v>
      </c>
      <c r="AE74" s="422">
        <f t="shared" si="193"/>
        <v>0</v>
      </c>
      <c r="AF74" s="422">
        <f t="shared" si="194"/>
        <v>0</v>
      </c>
      <c r="AG74" s="422">
        <f t="shared" si="195"/>
        <v>0</v>
      </c>
      <c r="AH74" s="422">
        <f t="shared" si="196"/>
        <v>0</v>
      </c>
      <c r="AI74" s="423">
        <f t="shared" si="197"/>
        <v>0</v>
      </c>
      <c r="AJ74" s="619">
        <f>'2020'!J74</f>
        <v>0</v>
      </c>
      <c r="AK74" s="584">
        <f>'2021'!J74</f>
        <v>0</v>
      </c>
      <c r="AL74" s="584">
        <f>'2022'!J74</f>
        <v>0</v>
      </c>
      <c r="AM74" s="584">
        <f>'2023'!J74</f>
        <v>0</v>
      </c>
      <c r="AN74" s="584">
        <f>'2024'!J74</f>
        <v>0</v>
      </c>
      <c r="AO74" s="585">
        <f>'2025'!J74</f>
        <v>0</v>
      </c>
      <c r="AP74" s="421" t="str">
        <f t="shared" si="208"/>
        <v/>
      </c>
      <c r="AQ74" s="422" t="str">
        <f t="shared" si="198"/>
        <v/>
      </c>
      <c r="AR74" s="422" t="str">
        <f t="shared" si="199"/>
        <v/>
      </c>
      <c r="AS74" s="422" t="str">
        <f t="shared" si="200"/>
        <v/>
      </c>
      <c r="AT74" s="422" t="str">
        <f t="shared" si="201"/>
        <v/>
      </c>
      <c r="AU74" s="423" t="str">
        <f t="shared" si="202"/>
        <v/>
      </c>
      <c r="AV74" s="619">
        <f>'2020'!L74</f>
        <v>0</v>
      </c>
      <c r="AW74" s="584">
        <f>'2021'!L74</f>
        <v>0</v>
      </c>
      <c r="AX74" s="584">
        <f>'2022'!L74</f>
        <v>0</v>
      </c>
      <c r="AY74" s="584">
        <f>'2023'!L74</f>
        <v>0</v>
      </c>
      <c r="AZ74" s="584">
        <f>'2024'!L74</f>
        <v>0</v>
      </c>
      <c r="BA74" s="585">
        <f>'2025'!L74</f>
        <v>0</v>
      </c>
      <c r="BB74" s="421" t="str">
        <f t="shared" si="209"/>
        <v/>
      </c>
      <c r="BC74" s="422" t="str">
        <f t="shared" si="203"/>
        <v/>
      </c>
      <c r="BD74" s="422" t="str">
        <f t="shared" si="204"/>
        <v/>
      </c>
      <c r="BE74" s="422" t="str">
        <f t="shared" si="205"/>
        <v/>
      </c>
      <c r="BF74" s="422" t="str">
        <f t="shared" si="206"/>
        <v/>
      </c>
      <c r="BG74" s="423" t="str">
        <f t="shared" si="207"/>
        <v/>
      </c>
      <c r="BH74" s="732">
        <f>'2020'!N74</f>
        <v>0</v>
      </c>
      <c r="BI74" s="733">
        <f>'2021'!N74</f>
        <v>0</v>
      </c>
      <c r="BJ74" s="733">
        <f>'2022'!N74</f>
        <v>0</v>
      </c>
      <c r="BK74" s="733">
        <f>'2023'!N74</f>
        <v>0</v>
      </c>
      <c r="BL74" s="733">
        <f>'2024'!N74</f>
        <v>0</v>
      </c>
      <c r="BM74" s="734">
        <f>'2025'!N74</f>
        <v>0</v>
      </c>
      <c r="BN74" s="424"/>
      <c r="BO74" s="425"/>
      <c r="BP74" s="424"/>
      <c r="BQ74" s="425"/>
      <c r="BR74" s="426"/>
      <c r="BS74" s="427"/>
      <c r="BT74" s="426"/>
      <c r="BU74" s="428"/>
      <c r="CC74" s="1" t="str">
        <f t="shared" si="210"/>
        <v/>
      </c>
      <c r="CD74" s="1" t="str">
        <f t="shared" si="211"/>
        <v/>
      </c>
      <c r="CE74" s="1" t="str">
        <f t="shared" si="212"/>
        <v/>
      </c>
      <c r="CF74" s="1" t="str">
        <f t="shared" si="213"/>
        <v/>
      </c>
      <c r="CG74" s="1" t="str">
        <f t="shared" si="214"/>
        <v/>
      </c>
      <c r="CH74" s="1" t="str">
        <f t="shared" si="215"/>
        <v/>
      </c>
    </row>
    <row r="75" spans="1:86" ht="15" customHeight="1" thickBot="1" x14ac:dyDescent="0.35">
      <c r="B75" s="849"/>
      <c r="C75" s="861"/>
      <c r="D75" s="828"/>
      <c r="E75" s="799"/>
      <c r="F75" s="799"/>
      <c r="G75" s="799"/>
      <c r="H75" s="799"/>
      <c r="I75" s="835"/>
      <c r="J75" s="721" t="s">
        <v>166</v>
      </c>
      <c r="K75" s="406" t="str">
        <f t="shared" si="186"/>
        <v/>
      </c>
      <c r="L75" s="406" t="str">
        <f t="shared" si="187"/>
        <v/>
      </c>
      <c r="M75" s="406" t="str">
        <f t="shared" si="188"/>
        <v/>
      </c>
      <c r="N75" s="406" t="str">
        <f t="shared" si="189"/>
        <v/>
      </c>
      <c r="O75" s="406" t="str">
        <f t="shared" si="190"/>
        <v/>
      </c>
      <c r="P75" s="407" t="str">
        <f t="shared" si="191"/>
        <v/>
      </c>
      <c r="Q75" s="410"/>
      <c r="R75" s="583">
        <f>'2020'!G75</f>
        <v>0</v>
      </c>
      <c r="S75" s="584">
        <f>'2021'!G75</f>
        <v>0</v>
      </c>
      <c r="T75" s="584">
        <f>'2022'!G75</f>
        <v>0</v>
      </c>
      <c r="U75" s="584">
        <f>'2023'!G75</f>
        <v>0</v>
      </c>
      <c r="V75" s="584">
        <f>'2024'!G75</f>
        <v>0</v>
      </c>
      <c r="W75" s="585">
        <f>'2025'!G75</f>
        <v>0</v>
      </c>
      <c r="X75" s="619">
        <f>'2020'!H75</f>
        <v>0</v>
      </c>
      <c r="Y75" s="584">
        <f>'2021'!H75</f>
        <v>0</v>
      </c>
      <c r="Z75" s="584">
        <f>'2022'!H75</f>
        <v>0</v>
      </c>
      <c r="AA75" s="584">
        <f>'2023'!H75</f>
        <v>0</v>
      </c>
      <c r="AB75" s="584">
        <f>'2024'!H75</f>
        <v>0</v>
      </c>
      <c r="AC75" s="585">
        <f>'2025'!H75</f>
        <v>0</v>
      </c>
      <c r="AD75" s="421">
        <f t="shared" si="192"/>
        <v>0</v>
      </c>
      <c r="AE75" s="422">
        <f t="shared" si="193"/>
        <v>0</v>
      </c>
      <c r="AF75" s="422">
        <f t="shared" si="194"/>
        <v>0</v>
      </c>
      <c r="AG75" s="422">
        <f t="shared" si="195"/>
        <v>0</v>
      </c>
      <c r="AH75" s="422">
        <f t="shared" si="196"/>
        <v>0</v>
      </c>
      <c r="AI75" s="423">
        <f t="shared" si="197"/>
        <v>0</v>
      </c>
      <c r="AJ75" s="619">
        <f>'2020'!J75</f>
        <v>0</v>
      </c>
      <c r="AK75" s="584">
        <f>'2021'!J75</f>
        <v>0</v>
      </c>
      <c r="AL75" s="584">
        <f>'2022'!J75</f>
        <v>0</v>
      </c>
      <c r="AM75" s="584">
        <f>'2023'!J75</f>
        <v>0</v>
      </c>
      <c r="AN75" s="584">
        <f>'2024'!J75</f>
        <v>0</v>
      </c>
      <c r="AO75" s="585">
        <f>'2025'!J75</f>
        <v>0</v>
      </c>
      <c r="AP75" s="421" t="str">
        <f t="shared" si="208"/>
        <v/>
      </c>
      <c r="AQ75" s="422" t="str">
        <f t="shared" si="198"/>
        <v/>
      </c>
      <c r="AR75" s="422" t="str">
        <f t="shared" si="199"/>
        <v/>
      </c>
      <c r="AS75" s="422" t="str">
        <f t="shared" si="200"/>
        <v/>
      </c>
      <c r="AT75" s="422" t="str">
        <f t="shared" si="201"/>
        <v/>
      </c>
      <c r="AU75" s="423" t="str">
        <f t="shared" si="202"/>
        <v/>
      </c>
      <c r="AV75" s="619">
        <f>'2020'!L75</f>
        <v>0</v>
      </c>
      <c r="AW75" s="584">
        <f>'2021'!L75</f>
        <v>0</v>
      </c>
      <c r="AX75" s="584">
        <f>'2022'!L75</f>
        <v>0</v>
      </c>
      <c r="AY75" s="584">
        <f>'2023'!L75</f>
        <v>0</v>
      </c>
      <c r="AZ75" s="584">
        <f>'2024'!L75</f>
        <v>0</v>
      </c>
      <c r="BA75" s="585">
        <f>'2025'!L75</f>
        <v>0</v>
      </c>
      <c r="BB75" s="421" t="str">
        <f t="shared" si="209"/>
        <v/>
      </c>
      <c r="BC75" s="422" t="str">
        <f t="shared" si="203"/>
        <v/>
      </c>
      <c r="BD75" s="422" t="str">
        <f t="shared" si="204"/>
        <v/>
      </c>
      <c r="BE75" s="422" t="str">
        <f t="shared" si="205"/>
        <v/>
      </c>
      <c r="BF75" s="422" t="str">
        <f t="shared" si="206"/>
        <v/>
      </c>
      <c r="BG75" s="423" t="str">
        <f t="shared" si="207"/>
        <v/>
      </c>
      <c r="BH75" s="732">
        <f>'2020'!N75</f>
        <v>0</v>
      </c>
      <c r="BI75" s="733">
        <f>'2021'!N75</f>
        <v>0</v>
      </c>
      <c r="BJ75" s="733">
        <f>'2022'!N75</f>
        <v>0</v>
      </c>
      <c r="BK75" s="733">
        <f>'2023'!N75</f>
        <v>0</v>
      </c>
      <c r="BL75" s="733">
        <f>'2024'!N75</f>
        <v>0</v>
      </c>
      <c r="BM75" s="734">
        <f>'2025'!N75</f>
        <v>0</v>
      </c>
      <c r="BN75" s="424"/>
      <c r="BO75" s="425"/>
      <c r="BP75" s="424"/>
      <c r="BQ75" s="425"/>
      <c r="BR75" s="426"/>
      <c r="BS75" s="427"/>
      <c r="BT75" s="426"/>
      <c r="BU75" s="428"/>
      <c r="CC75" s="1" t="str">
        <f t="shared" si="210"/>
        <v/>
      </c>
      <c r="CD75" s="1" t="str">
        <f t="shared" si="211"/>
        <v/>
      </c>
      <c r="CE75" s="1" t="str">
        <f t="shared" si="212"/>
        <v/>
      </c>
      <c r="CF75" s="1" t="str">
        <f t="shared" si="213"/>
        <v/>
      </c>
      <c r="CG75" s="1" t="str">
        <f t="shared" si="214"/>
        <v/>
      </c>
      <c r="CH75" s="1" t="str">
        <f t="shared" si="215"/>
        <v/>
      </c>
    </row>
    <row r="76" spans="1:86" ht="15" customHeight="1" thickBot="1" x14ac:dyDescent="0.35">
      <c r="B76" s="849"/>
      <c r="C76" s="861"/>
      <c r="D76" s="829"/>
      <c r="E76" s="800"/>
      <c r="F76" s="800"/>
      <c r="G76" s="800"/>
      <c r="H76" s="800"/>
      <c r="I76" s="836"/>
      <c r="J76" s="722" t="s">
        <v>166</v>
      </c>
      <c r="K76" s="408" t="str">
        <f t="shared" si="186"/>
        <v/>
      </c>
      <c r="L76" s="408" t="str">
        <f t="shared" si="187"/>
        <v/>
      </c>
      <c r="M76" s="408" t="str">
        <f t="shared" si="188"/>
        <v/>
      </c>
      <c r="N76" s="408" t="str">
        <f t="shared" si="189"/>
        <v/>
      </c>
      <c r="O76" s="408" t="str">
        <f t="shared" si="190"/>
        <v/>
      </c>
      <c r="P76" s="409" t="str">
        <f t="shared" si="191"/>
        <v/>
      </c>
      <c r="Q76" s="449"/>
      <c r="R76" s="586">
        <f>'2020'!G76</f>
        <v>0</v>
      </c>
      <c r="S76" s="587">
        <f>'2021'!G76</f>
        <v>0</v>
      </c>
      <c r="T76" s="587">
        <f>'2022'!G76</f>
        <v>0</v>
      </c>
      <c r="U76" s="587">
        <f>'2023'!G76</f>
        <v>0</v>
      </c>
      <c r="V76" s="587">
        <f>'2024'!G76</f>
        <v>0</v>
      </c>
      <c r="W76" s="588">
        <f>'2025'!G76</f>
        <v>0</v>
      </c>
      <c r="X76" s="620">
        <f>'2020'!H76</f>
        <v>0</v>
      </c>
      <c r="Y76" s="587">
        <f>'2021'!H76</f>
        <v>0</v>
      </c>
      <c r="Z76" s="587">
        <f>'2022'!H76</f>
        <v>0</v>
      </c>
      <c r="AA76" s="587">
        <f>'2023'!H76</f>
        <v>0</v>
      </c>
      <c r="AB76" s="587">
        <f>'2024'!H76</f>
        <v>0</v>
      </c>
      <c r="AC76" s="588">
        <f>'2025'!H76</f>
        <v>0</v>
      </c>
      <c r="AD76" s="429">
        <f t="shared" si="192"/>
        <v>0</v>
      </c>
      <c r="AE76" s="430">
        <f t="shared" si="193"/>
        <v>0</v>
      </c>
      <c r="AF76" s="430">
        <f t="shared" si="194"/>
        <v>0</v>
      </c>
      <c r="AG76" s="430">
        <f t="shared" si="195"/>
        <v>0</v>
      </c>
      <c r="AH76" s="430">
        <f t="shared" si="196"/>
        <v>0</v>
      </c>
      <c r="AI76" s="431">
        <f t="shared" si="197"/>
        <v>0</v>
      </c>
      <c r="AJ76" s="620">
        <f>'2020'!J76</f>
        <v>0</v>
      </c>
      <c r="AK76" s="587">
        <f>'2021'!J76</f>
        <v>0</v>
      </c>
      <c r="AL76" s="587">
        <f>'2022'!J76</f>
        <v>0</v>
      </c>
      <c r="AM76" s="587">
        <f>'2023'!J76</f>
        <v>0</v>
      </c>
      <c r="AN76" s="587">
        <f>'2024'!J76</f>
        <v>0</v>
      </c>
      <c r="AO76" s="588">
        <f>'2025'!J76</f>
        <v>0</v>
      </c>
      <c r="AP76" s="429" t="str">
        <f t="shared" si="208"/>
        <v/>
      </c>
      <c r="AQ76" s="430" t="str">
        <f t="shared" si="198"/>
        <v/>
      </c>
      <c r="AR76" s="430" t="str">
        <f t="shared" si="199"/>
        <v/>
      </c>
      <c r="AS76" s="430" t="str">
        <f t="shared" si="200"/>
        <v/>
      </c>
      <c r="AT76" s="430" t="str">
        <f t="shared" si="201"/>
        <v/>
      </c>
      <c r="AU76" s="431" t="str">
        <f t="shared" si="202"/>
        <v/>
      </c>
      <c r="AV76" s="620">
        <f>'2020'!L76</f>
        <v>0</v>
      </c>
      <c r="AW76" s="587">
        <f>'2021'!L76</f>
        <v>0</v>
      </c>
      <c r="AX76" s="587">
        <f>'2022'!L76</f>
        <v>0</v>
      </c>
      <c r="AY76" s="587">
        <f>'2023'!L76</f>
        <v>0</v>
      </c>
      <c r="AZ76" s="587">
        <f>'2024'!L76</f>
        <v>0</v>
      </c>
      <c r="BA76" s="588">
        <f>'2025'!L76</f>
        <v>0</v>
      </c>
      <c r="BB76" s="429" t="str">
        <f t="shared" si="209"/>
        <v/>
      </c>
      <c r="BC76" s="430" t="str">
        <f t="shared" si="203"/>
        <v/>
      </c>
      <c r="BD76" s="430" t="str">
        <f t="shared" si="204"/>
        <v/>
      </c>
      <c r="BE76" s="430" t="str">
        <f t="shared" si="205"/>
        <v/>
      </c>
      <c r="BF76" s="430" t="str">
        <f t="shared" si="206"/>
        <v/>
      </c>
      <c r="BG76" s="431" t="str">
        <f t="shared" si="207"/>
        <v/>
      </c>
      <c r="BH76" s="735">
        <f>'2020'!N76</f>
        <v>0</v>
      </c>
      <c r="BI76" s="736">
        <f>'2021'!N76</f>
        <v>0</v>
      </c>
      <c r="BJ76" s="736">
        <f>'2022'!N76</f>
        <v>0</v>
      </c>
      <c r="BK76" s="736">
        <f>'2023'!N76</f>
        <v>0</v>
      </c>
      <c r="BL76" s="736">
        <f>'2024'!N76</f>
        <v>0</v>
      </c>
      <c r="BM76" s="737">
        <f>'2025'!N76</f>
        <v>0</v>
      </c>
      <c r="BN76" s="432"/>
      <c r="BO76" s="433"/>
      <c r="BP76" s="432"/>
      <c r="BQ76" s="433"/>
      <c r="BR76" s="434"/>
      <c r="BS76" s="435"/>
      <c r="BT76" s="434"/>
      <c r="BU76" s="436"/>
      <c r="CC76" s="1" t="str">
        <f t="shared" si="210"/>
        <v/>
      </c>
      <c r="CD76" s="1" t="str">
        <f t="shared" si="211"/>
        <v/>
      </c>
      <c r="CE76" s="1" t="str">
        <f t="shared" si="212"/>
        <v/>
      </c>
      <c r="CF76" s="1" t="str">
        <f t="shared" si="213"/>
        <v/>
      </c>
      <c r="CG76" s="1" t="str">
        <f t="shared" si="214"/>
        <v/>
      </c>
      <c r="CH76" s="1" t="str">
        <f t="shared" si="215"/>
        <v/>
      </c>
    </row>
    <row r="77" spans="1:86" ht="15.6" x14ac:dyDescent="0.3">
      <c r="B77" s="858"/>
      <c r="C77" s="862"/>
      <c r="D77" s="380" t="s">
        <v>138</v>
      </c>
      <c r="E77" s="377"/>
      <c r="F77" s="377"/>
      <c r="G77" s="377"/>
      <c r="H77" s="377"/>
      <c r="I77" s="385"/>
      <c r="J77" s="718"/>
      <c r="K77" s="390">
        <f>COUNTIF(K66:K76,"X")</f>
        <v>6</v>
      </c>
      <c r="L77" s="390">
        <f t="shared" ref="L77:P77" si="216">COUNTIF(L66:L76,"X")</f>
        <v>4</v>
      </c>
      <c r="M77" s="390">
        <f t="shared" si="216"/>
        <v>5</v>
      </c>
      <c r="N77" s="390">
        <f t="shared" si="216"/>
        <v>0</v>
      </c>
      <c r="O77" s="390">
        <f t="shared" si="216"/>
        <v>0</v>
      </c>
      <c r="P77" s="391">
        <f t="shared" si="216"/>
        <v>0</v>
      </c>
      <c r="Q77" s="16"/>
      <c r="R77" s="600">
        <f>SUM(R66:R76)</f>
        <v>1664</v>
      </c>
      <c r="S77" s="601">
        <f t="shared" ref="S77:W77" si="217">SUM(S66:S76)</f>
        <v>760</v>
      </c>
      <c r="T77" s="601">
        <f t="shared" si="217"/>
        <v>1614</v>
      </c>
      <c r="U77" s="601">
        <f t="shared" si="217"/>
        <v>0</v>
      </c>
      <c r="V77" s="601">
        <f t="shared" si="217"/>
        <v>0</v>
      </c>
      <c r="W77" s="602">
        <f t="shared" si="217"/>
        <v>0</v>
      </c>
      <c r="X77" s="625">
        <f>SUM(X66:X76)</f>
        <v>509</v>
      </c>
      <c r="Y77" s="601">
        <f t="shared" ref="Y77:AC77" si="218">SUM(Y66:Y76)</f>
        <v>414</v>
      </c>
      <c r="Z77" s="601">
        <f t="shared" si="218"/>
        <v>920</v>
      </c>
      <c r="AA77" s="601">
        <f t="shared" si="218"/>
        <v>0</v>
      </c>
      <c r="AB77" s="601">
        <f t="shared" si="218"/>
        <v>0</v>
      </c>
      <c r="AC77" s="602">
        <f t="shared" si="218"/>
        <v>0</v>
      </c>
      <c r="AD77" s="315">
        <f t="shared" si="192"/>
        <v>0.42367788461538464</v>
      </c>
      <c r="AE77" s="316">
        <f t="shared" si="193"/>
        <v>0.38157894736842107</v>
      </c>
      <c r="AF77" s="316">
        <f t="shared" si="194"/>
        <v>0.44423791821561337</v>
      </c>
      <c r="AG77" s="316">
        <f t="shared" si="195"/>
        <v>0</v>
      </c>
      <c r="AH77" s="316">
        <f t="shared" si="196"/>
        <v>0</v>
      </c>
      <c r="AI77" s="321">
        <f t="shared" si="197"/>
        <v>0</v>
      </c>
      <c r="AJ77" s="625">
        <f>SUM(AJ66:AJ76)</f>
        <v>705</v>
      </c>
      <c r="AK77" s="601">
        <f t="shared" ref="AK77" si="219">SUM(AK66:AK76)</f>
        <v>290</v>
      </c>
      <c r="AL77" s="601">
        <f t="shared" ref="AL77" si="220">SUM(AL66:AL76)</f>
        <v>717</v>
      </c>
      <c r="AM77" s="601">
        <f t="shared" ref="AM77" si="221">SUM(AM66:AM76)</f>
        <v>0</v>
      </c>
      <c r="AN77" s="601">
        <f t="shared" ref="AN77" si="222">SUM(AN66:AN76)</f>
        <v>0</v>
      </c>
      <c r="AO77" s="602">
        <f t="shared" ref="AO77" si="223">SUM(AO66:AO76)</f>
        <v>0</v>
      </c>
      <c r="AP77" s="315">
        <f t="shared" si="208"/>
        <v>0.41887019230769229</v>
      </c>
      <c r="AQ77" s="316">
        <f t="shared" si="198"/>
        <v>0.41315789473684211</v>
      </c>
      <c r="AR77" s="316">
        <f t="shared" si="199"/>
        <v>0.38228004956629491</v>
      </c>
      <c r="AS77" s="316" t="str">
        <f t="shared" si="200"/>
        <v/>
      </c>
      <c r="AT77" s="316" t="str">
        <f t="shared" si="201"/>
        <v/>
      </c>
      <c r="AU77" s="321" t="str">
        <f t="shared" si="202"/>
        <v/>
      </c>
      <c r="AV77" s="625">
        <f>SUM(AV66:AV76)</f>
        <v>697</v>
      </c>
      <c r="AW77" s="601">
        <f t="shared" ref="AW77" si="224">SUM(AW66:AW76)</f>
        <v>314</v>
      </c>
      <c r="AX77" s="601">
        <f t="shared" ref="AX77" si="225">SUM(AX66:AX76)</f>
        <v>617</v>
      </c>
      <c r="AY77" s="601">
        <f t="shared" ref="AY77" si="226">SUM(AY66:AY76)</f>
        <v>0</v>
      </c>
      <c r="AZ77" s="601">
        <f t="shared" ref="AZ77" si="227">SUM(AZ66:AZ76)</f>
        <v>0</v>
      </c>
      <c r="BA77" s="602">
        <f t="shared" ref="BA77" si="228">SUM(BA66:BA76)</f>
        <v>0</v>
      </c>
      <c r="BB77" s="317">
        <f t="shared" si="209"/>
        <v>0</v>
      </c>
      <c r="BC77" s="318">
        <f t="shared" si="203"/>
        <v>0</v>
      </c>
      <c r="BD77" s="318">
        <f t="shared" si="204"/>
        <v>0</v>
      </c>
      <c r="BE77" s="318" t="str">
        <f t="shared" si="205"/>
        <v/>
      </c>
      <c r="BF77" s="318" t="str">
        <f t="shared" si="206"/>
        <v/>
      </c>
      <c r="BG77" s="322" t="str">
        <f t="shared" si="207"/>
        <v/>
      </c>
      <c r="BH77" s="625">
        <f>SUM(BH66:BH76)</f>
        <v>0</v>
      </c>
      <c r="BI77" s="601">
        <f t="shared" ref="BI77" si="229">SUM(BI66:BI76)</f>
        <v>0</v>
      </c>
      <c r="BJ77" s="601">
        <f t="shared" ref="BJ77" si="230">SUM(BJ66:BJ76)</f>
        <v>0</v>
      </c>
      <c r="BK77" s="601">
        <f t="shared" ref="BK77" si="231">SUM(BK66:BK76)</f>
        <v>0</v>
      </c>
      <c r="BL77" s="601">
        <f t="shared" ref="BL77" si="232">SUM(BL66:BL76)</f>
        <v>0</v>
      </c>
      <c r="BM77" s="602">
        <f t="shared" ref="BM77" si="233">SUM(BM66:BM76)</f>
        <v>0</v>
      </c>
      <c r="BN77" s="331">
        <f t="shared" ref="BN77" si="234">SUM(BN66:BN73)</f>
        <v>0</v>
      </c>
      <c r="BO77" s="332">
        <f t="shared" ref="BO77" si="235">SUM(BO66:BO73)</f>
        <v>0</v>
      </c>
      <c r="BP77" s="331">
        <f t="shared" ref="BP77" si="236">SUM(BP66:BP73)</f>
        <v>0</v>
      </c>
      <c r="BQ77" s="332">
        <f t="shared" ref="BQ77" si="237">SUM(BQ66:BQ73)</f>
        <v>0</v>
      </c>
      <c r="BR77" s="331">
        <f t="shared" ref="BR77" si="238">SUM(BR66:BR73)</f>
        <v>0</v>
      </c>
      <c r="BS77" s="332">
        <f t="shared" ref="BS77" si="239">SUM(BS66:BS73)</f>
        <v>0</v>
      </c>
      <c r="BT77" s="331">
        <f t="shared" ref="BT77" si="240">SUM(BT66:BT73)</f>
        <v>0</v>
      </c>
      <c r="BU77" s="333">
        <f t="shared" ref="BU77" si="241">SUM(BU66:BU73)</f>
        <v>0</v>
      </c>
      <c r="CC77" s="1">
        <f t="shared" si="210"/>
        <v>0</v>
      </c>
      <c r="CD77" s="1">
        <f t="shared" si="211"/>
        <v>0</v>
      </c>
      <c r="CE77" s="1">
        <f t="shared" si="212"/>
        <v>0</v>
      </c>
      <c r="CF77" s="1">
        <f t="shared" si="213"/>
        <v>0</v>
      </c>
      <c r="CG77" s="1">
        <f t="shared" si="214"/>
        <v>0</v>
      </c>
      <c r="CH77" s="1">
        <f t="shared" si="215"/>
        <v>0</v>
      </c>
    </row>
    <row r="78" spans="1:86" ht="15.75" customHeight="1" x14ac:dyDescent="0.3">
      <c r="B78" s="779" t="s">
        <v>167</v>
      </c>
      <c r="C78" s="850" t="s">
        <v>76</v>
      </c>
      <c r="D78" s="859">
        <f>'2020'!D78</f>
        <v>0</v>
      </c>
      <c r="E78" s="806">
        <f>'2021'!D78</f>
        <v>0</v>
      </c>
      <c r="F78" s="806">
        <f>'2022'!D78</f>
        <v>4</v>
      </c>
      <c r="G78" s="806">
        <f>'2023'!D78</f>
        <v>4</v>
      </c>
      <c r="H78" s="806"/>
      <c r="I78" s="810"/>
      <c r="J78" s="720" t="s">
        <v>171</v>
      </c>
      <c r="K78" s="398" t="str">
        <f t="shared" ref="K78:K84" si="242">IF(R78=0,"","X")</f>
        <v/>
      </c>
      <c r="L78" s="398" t="str">
        <f t="shared" ref="L78:L84" si="243">IF(S78=0,"","X")</f>
        <v>X</v>
      </c>
      <c r="M78" s="398" t="str">
        <f t="shared" ref="M78:M84" si="244">IF(T78=0,"","X")</f>
        <v>X</v>
      </c>
      <c r="N78" s="398" t="str">
        <f t="shared" ref="N78:N84" si="245">IF(U78=0,"","X")</f>
        <v>X</v>
      </c>
      <c r="O78" s="398" t="str">
        <f t="shared" ref="O78:O84" si="246">IF(V78=0,"","X")</f>
        <v/>
      </c>
      <c r="P78" s="399" t="str">
        <f t="shared" ref="P78:P84" si="247">IF(W78=0,"","X")</f>
        <v/>
      </c>
      <c r="Q78" s="232" t="s">
        <v>62</v>
      </c>
      <c r="R78" s="592">
        <f>'2020'!G78</f>
        <v>0</v>
      </c>
      <c r="S78" s="593">
        <f>'2021'!G78</f>
        <v>5</v>
      </c>
      <c r="T78" s="593">
        <f>'2022'!G78</f>
        <v>20</v>
      </c>
      <c r="U78" s="593">
        <f>'2023'!G78</f>
        <v>42</v>
      </c>
      <c r="V78" s="593">
        <f>'2024'!G78</f>
        <v>0</v>
      </c>
      <c r="W78" s="594">
        <f>'2025'!G78</f>
        <v>0</v>
      </c>
      <c r="X78" s="622">
        <f>'2020'!H78</f>
        <v>0</v>
      </c>
      <c r="Y78" s="593">
        <f>'2021'!H78</f>
        <v>4</v>
      </c>
      <c r="Z78" s="593">
        <f>'2022'!H78</f>
        <v>8</v>
      </c>
      <c r="AA78" s="593">
        <f>'2023'!H78</f>
        <v>21</v>
      </c>
      <c r="AB78" s="593">
        <f>'2024'!H78</f>
        <v>0</v>
      </c>
      <c r="AC78" s="594">
        <f>'2025'!H78</f>
        <v>0</v>
      </c>
      <c r="AD78" s="412">
        <f t="shared" si="192"/>
        <v>0</v>
      </c>
      <c r="AE78" s="413">
        <f t="shared" si="193"/>
        <v>0.4</v>
      </c>
      <c r="AF78" s="413">
        <f t="shared" si="194"/>
        <v>0.65</v>
      </c>
      <c r="AG78" s="413">
        <f t="shared" si="195"/>
        <v>0.61904761904761907</v>
      </c>
      <c r="AH78" s="413">
        <f t="shared" si="196"/>
        <v>0</v>
      </c>
      <c r="AI78" s="414">
        <f t="shared" si="197"/>
        <v>0</v>
      </c>
      <c r="AJ78" s="622">
        <f>'2020'!J78</f>
        <v>0</v>
      </c>
      <c r="AK78" s="593">
        <f>'2021'!J78</f>
        <v>2</v>
      </c>
      <c r="AL78" s="593">
        <f>'2022'!J78</f>
        <v>13</v>
      </c>
      <c r="AM78" s="593">
        <f>'2023'!J78</f>
        <v>26</v>
      </c>
      <c r="AN78" s="593">
        <f>'2024'!J78</f>
        <v>0</v>
      </c>
      <c r="AO78" s="594">
        <f>'2025'!J78</f>
        <v>0</v>
      </c>
      <c r="AP78" s="412" t="str">
        <f t="shared" si="208"/>
        <v/>
      </c>
      <c r="AQ78" s="413">
        <f t="shared" si="198"/>
        <v>0.2</v>
      </c>
      <c r="AR78" s="413">
        <f t="shared" si="199"/>
        <v>0.25</v>
      </c>
      <c r="AS78" s="413">
        <f t="shared" si="200"/>
        <v>0.21428571428571427</v>
      </c>
      <c r="AT78" s="413" t="str">
        <f t="shared" si="201"/>
        <v/>
      </c>
      <c r="AU78" s="414" t="str">
        <f t="shared" si="202"/>
        <v/>
      </c>
      <c r="AV78" s="622">
        <f>'2020'!L78</f>
        <v>0</v>
      </c>
      <c r="AW78" s="593">
        <f>'2021'!L78</f>
        <v>1</v>
      </c>
      <c r="AX78" s="593">
        <f>'2022'!L78</f>
        <v>5</v>
      </c>
      <c r="AY78" s="593">
        <f>'2023'!L78</f>
        <v>9</v>
      </c>
      <c r="AZ78" s="593">
        <f>'2024'!L78</f>
        <v>0</v>
      </c>
      <c r="BA78" s="594">
        <f>'2025'!L78</f>
        <v>0</v>
      </c>
      <c r="BB78" s="412" t="str">
        <f t="shared" si="209"/>
        <v/>
      </c>
      <c r="BC78" s="413">
        <f t="shared" si="203"/>
        <v>0</v>
      </c>
      <c r="BD78" s="413">
        <f t="shared" si="204"/>
        <v>0.8</v>
      </c>
      <c r="BE78" s="413">
        <f t="shared" si="205"/>
        <v>0.77777777777777779</v>
      </c>
      <c r="BF78" s="413" t="str">
        <f t="shared" si="206"/>
        <v/>
      </c>
      <c r="BG78" s="414" t="str">
        <f t="shared" si="207"/>
        <v/>
      </c>
      <c r="BH78" s="738">
        <f>'2020'!N78</f>
        <v>0</v>
      </c>
      <c r="BI78" s="739">
        <f>'2021'!N78</f>
        <v>0</v>
      </c>
      <c r="BJ78" s="739">
        <f>'2022'!N78</f>
        <v>4</v>
      </c>
      <c r="BK78" s="739">
        <f>'2023'!N78</f>
        <v>7</v>
      </c>
      <c r="BL78" s="739">
        <f>'2024'!N78</f>
        <v>0</v>
      </c>
      <c r="BM78" s="740">
        <f>'2025'!N78</f>
        <v>0</v>
      </c>
      <c r="BN78" s="415" t="s">
        <v>21</v>
      </c>
      <c r="BO78" s="416" t="s">
        <v>21</v>
      </c>
      <c r="BP78" s="415" t="s">
        <v>21</v>
      </c>
      <c r="BQ78" s="416" t="s">
        <v>21</v>
      </c>
      <c r="BR78" s="443">
        <v>51</v>
      </c>
      <c r="BS78" s="444">
        <v>36</v>
      </c>
      <c r="BT78" s="443">
        <v>2</v>
      </c>
      <c r="BU78" s="445">
        <v>2</v>
      </c>
      <c r="BW78" s="1" t="s">
        <v>172</v>
      </c>
      <c r="CC78" s="1" t="str">
        <f t="shared" si="210"/>
        <v/>
      </c>
      <c r="CD78" s="1" t="str">
        <f t="shared" si="211"/>
        <v>Frontière</v>
      </c>
      <c r="CE78" s="1" t="str">
        <f t="shared" si="212"/>
        <v>Frontière</v>
      </c>
      <c r="CF78" s="1" t="str">
        <f t="shared" si="213"/>
        <v>Frontière</v>
      </c>
      <c r="CG78" s="1" t="str">
        <f t="shared" si="214"/>
        <v/>
      </c>
      <c r="CH78" s="1" t="str">
        <f t="shared" si="215"/>
        <v/>
      </c>
    </row>
    <row r="79" spans="1:86" ht="15.75" customHeight="1" x14ac:dyDescent="0.3">
      <c r="B79" s="779"/>
      <c r="C79" s="850"/>
      <c r="D79" s="814"/>
      <c r="E79" s="807"/>
      <c r="F79" s="807"/>
      <c r="G79" s="807"/>
      <c r="H79" s="807"/>
      <c r="I79" s="811"/>
      <c r="J79" s="721" t="s">
        <v>173</v>
      </c>
      <c r="K79" s="400" t="str">
        <f t="shared" si="242"/>
        <v/>
      </c>
      <c r="L79" s="400" t="str">
        <f t="shared" si="243"/>
        <v/>
      </c>
      <c r="M79" s="400" t="str">
        <f t="shared" si="244"/>
        <v>X</v>
      </c>
      <c r="N79" s="400" t="str">
        <f t="shared" si="245"/>
        <v>X</v>
      </c>
      <c r="O79" s="400" t="str">
        <f t="shared" si="246"/>
        <v/>
      </c>
      <c r="P79" s="401" t="str">
        <f t="shared" si="247"/>
        <v/>
      </c>
      <c r="Q79" s="237" t="s">
        <v>62</v>
      </c>
      <c r="R79" s="583">
        <f>'2020'!G79</f>
        <v>0</v>
      </c>
      <c r="S79" s="584">
        <f>'2021'!G79</f>
        <v>0</v>
      </c>
      <c r="T79" s="584">
        <f>'2022'!G79</f>
        <v>11</v>
      </c>
      <c r="U79" s="584">
        <f>'2023'!G79</f>
        <v>7</v>
      </c>
      <c r="V79" s="584">
        <f>'2024'!G79</f>
        <v>0</v>
      </c>
      <c r="W79" s="585">
        <f>'2025'!G79</f>
        <v>0</v>
      </c>
      <c r="X79" s="619">
        <f>'2020'!H79</f>
        <v>0</v>
      </c>
      <c r="Y79" s="584">
        <f>'2021'!H79</f>
        <v>0</v>
      </c>
      <c r="Z79" s="584">
        <f>'2022'!H79</f>
        <v>4</v>
      </c>
      <c r="AA79" s="584">
        <f>'2023'!H79</f>
        <v>4</v>
      </c>
      <c r="AB79" s="584">
        <f>'2024'!H79</f>
        <v>0</v>
      </c>
      <c r="AC79" s="585">
        <f>'2025'!H79</f>
        <v>0</v>
      </c>
      <c r="AD79" s="421">
        <f t="shared" si="192"/>
        <v>0</v>
      </c>
      <c r="AE79" s="422">
        <f t="shared" si="193"/>
        <v>0</v>
      </c>
      <c r="AF79" s="422">
        <f t="shared" si="194"/>
        <v>0.54545454545454541</v>
      </c>
      <c r="AG79" s="422">
        <f t="shared" si="195"/>
        <v>0.8571428571428571</v>
      </c>
      <c r="AH79" s="422">
        <f t="shared" si="196"/>
        <v>0</v>
      </c>
      <c r="AI79" s="423">
        <f t="shared" si="197"/>
        <v>0</v>
      </c>
      <c r="AJ79" s="619">
        <f>'2020'!J79</f>
        <v>0</v>
      </c>
      <c r="AK79" s="584">
        <f>'2021'!J79</f>
        <v>0</v>
      </c>
      <c r="AL79" s="584">
        <f>'2022'!J79</f>
        <v>6</v>
      </c>
      <c r="AM79" s="584">
        <f>'2023'!J79</f>
        <v>6</v>
      </c>
      <c r="AN79" s="584">
        <f>'2024'!J79</f>
        <v>0</v>
      </c>
      <c r="AO79" s="585">
        <f>'2025'!J79</f>
        <v>0</v>
      </c>
      <c r="AP79" s="421" t="str">
        <f t="shared" si="208"/>
        <v/>
      </c>
      <c r="AQ79" s="422" t="str">
        <f t="shared" si="198"/>
        <v/>
      </c>
      <c r="AR79" s="422">
        <f t="shared" si="199"/>
        <v>0.18181818181818182</v>
      </c>
      <c r="AS79" s="422">
        <f t="shared" si="200"/>
        <v>0.2857142857142857</v>
      </c>
      <c r="AT79" s="422" t="str">
        <f t="shared" si="201"/>
        <v/>
      </c>
      <c r="AU79" s="423" t="str">
        <f t="shared" si="202"/>
        <v/>
      </c>
      <c r="AV79" s="619">
        <f>'2020'!L79</f>
        <v>0</v>
      </c>
      <c r="AW79" s="584">
        <f>'2021'!L79</f>
        <v>0</v>
      </c>
      <c r="AX79" s="584">
        <f>'2022'!L79</f>
        <v>2</v>
      </c>
      <c r="AY79" s="584">
        <f>'2023'!L79</f>
        <v>2</v>
      </c>
      <c r="AZ79" s="584">
        <f>'2024'!L79</f>
        <v>0</v>
      </c>
      <c r="BA79" s="585">
        <f>'2025'!L79</f>
        <v>0</v>
      </c>
      <c r="BB79" s="421" t="str">
        <f t="shared" si="209"/>
        <v/>
      </c>
      <c r="BC79" s="422" t="str">
        <f t="shared" si="203"/>
        <v/>
      </c>
      <c r="BD79" s="422">
        <f t="shared" si="204"/>
        <v>0.5</v>
      </c>
      <c r="BE79" s="422">
        <f t="shared" si="205"/>
        <v>0.5</v>
      </c>
      <c r="BF79" s="422" t="str">
        <f t="shared" si="206"/>
        <v/>
      </c>
      <c r="BG79" s="423" t="str">
        <f t="shared" si="207"/>
        <v/>
      </c>
      <c r="BH79" s="732">
        <f>'2020'!N79</f>
        <v>0</v>
      </c>
      <c r="BI79" s="733">
        <f>'2021'!N79</f>
        <v>0</v>
      </c>
      <c r="BJ79" s="733">
        <f>'2022'!N79</f>
        <v>1</v>
      </c>
      <c r="BK79" s="733">
        <f>'2023'!N79</f>
        <v>1</v>
      </c>
      <c r="BL79" s="733">
        <f>'2024'!N79</f>
        <v>0</v>
      </c>
      <c r="BM79" s="734">
        <f>'2025'!N79</f>
        <v>0</v>
      </c>
      <c r="BN79" s="424" t="s">
        <v>21</v>
      </c>
      <c r="BO79" s="425" t="s">
        <v>21</v>
      </c>
      <c r="BP79" s="424" t="s">
        <v>21</v>
      </c>
      <c r="BQ79" s="425" t="s">
        <v>21</v>
      </c>
      <c r="BR79" s="446">
        <v>112</v>
      </c>
      <c r="BS79" s="447">
        <v>82</v>
      </c>
      <c r="BT79" s="446">
        <v>5</v>
      </c>
      <c r="BU79" s="448">
        <v>4</v>
      </c>
      <c r="BW79" s="1" t="s">
        <v>174</v>
      </c>
      <c r="CC79" s="1" t="str">
        <f t="shared" si="210"/>
        <v/>
      </c>
      <c r="CD79" s="1" t="str">
        <f t="shared" si="211"/>
        <v/>
      </c>
      <c r="CE79" s="1" t="str">
        <f t="shared" si="212"/>
        <v>Frontière</v>
      </c>
      <c r="CF79" s="1" t="str">
        <f t="shared" si="213"/>
        <v>Frontière</v>
      </c>
      <c r="CG79" s="1" t="str">
        <f t="shared" si="214"/>
        <v/>
      </c>
      <c r="CH79" s="1" t="str">
        <f t="shared" si="215"/>
        <v/>
      </c>
    </row>
    <row r="80" spans="1:86" ht="15.75" customHeight="1" x14ac:dyDescent="0.3">
      <c r="B80" s="779"/>
      <c r="C80" s="850"/>
      <c r="D80" s="814"/>
      <c r="E80" s="807"/>
      <c r="F80" s="807"/>
      <c r="G80" s="807"/>
      <c r="H80" s="807"/>
      <c r="I80" s="811"/>
      <c r="J80" s="721" t="s">
        <v>166</v>
      </c>
      <c r="K80" s="400" t="str">
        <f t="shared" si="242"/>
        <v/>
      </c>
      <c r="L80" s="400" t="str">
        <f t="shared" si="243"/>
        <v/>
      </c>
      <c r="M80" s="400" t="str">
        <f t="shared" si="244"/>
        <v/>
      </c>
      <c r="N80" s="400" t="str">
        <f t="shared" si="245"/>
        <v/>
      </c>
      <c r="O80" s="400" t="str">
        <f t="shared" si="246"/>
        <v/>
      </c>
      <c r="P80" s="401" t="str">
        <f t="shared" si="247"/>
        <v/>
      </c>
      <c r="Q80" s="237"/>
      <c r="R80" s="583">
        <f>'2020'!G80</f>
        <v>0</v>
      </c>
      <c r="S80" s="584">
        <f>'2021'!G80</f>
        <v>0</v>
      </c>
      <c r="T80" s="584">
        <f>'2022'!G80</f>
        <v>0</v>
      </c>
      <c r="U80" s="584">
        <f>'2023'!G80</f>
        <v>0</v>
      </c>
      <c r="V80" s="584">
        <f>'2024'!G80</f>
        <v>0</v>
      </c>
      <c r="W80" s="585">
        <f>'2025'!G80</f>
        <v>0</v>
      </c>
      <c r="X80" s="619">
        <f>'2020'!H80</f>
        <v>0</v>
      </c>
      <c r="Y80" s="584">
        <f>'2021'!H80</f>
        <v>0</v>
      </c>
      <c r="Z80" s="584">
        <f>'2022'!H80</f>
        <v>0</v>
      </c>
      <c r="AA80" s="584">
        <f>'2023'!H80</f>
        <v>0</v>
      </c>
      <c r="AB80" s="584">
        <f>'2024'!H80</f>
        <v>0</v>
      </c>
      <c r="AC80" s="585">
        <f>'2025'!H80</f>
        <v>0</v>
      </c>
      <c r="AD80" s="421">
        <f t="shared" si="192"/>
        <v>0</v>
      </c>
      <c r="AE80" s="422">
        <f t="shared" si="193"/>
        <v>0</v>
      </c>
      <c r="AF80" s="422">
        <f t="shared" si="194"/>
        <v>0</v>
      </c>
      <c r="AG80" s="422">
        <f t="shared" si="195"/>
        <v>0</v>
      </c>
      <c r="AH80" s="422">
        <f t="shared" si="196"/>
        <v>0</v>
      </c>
      <c r="AI80" s="423">
        <f t="shared" si="197"/>
        <v>0</v>
      </c>
      <c r="AJ80" s="619">
        <f>'2020'!J80</f>
        <v>0</v>
      </c>
      <c r="AK80" s="584">
        <f>'2021'!J80</f>
        <v>0</v>
      </c>
      <c r="AL80" s="584">
        <f>'2022'!J80</f>
        <v>0</v>
      </c>
      <c r="AM80" s="584">
        <f>'2023'!J80</f>
        <v>0</v>
      </c>
      <c r="AN80" s="584">
        <f>'2024'!J80</f>
        <v>0</v>
      </c>
      <c r="AO80" s="585">
        <f>'2025'!J80</f>
        <v>0</v>
      </c>
      <c r="AP80" s="421" t="str">
        <f t="shared" si="208"/>
        <v/>
      </c>
      <c r="AQ80" s="422" t="str">
        <f t="shared" si="198"/>
        <v/>
      </c>
      <c r="AR80" s="422" t="str">
        <f t="shared" si="199"/>
        <v/>
      </c>
      <c r="AS80" s="422" t="str">
        <f t="shared" si="200"/>
        <v/>
      </c>
      <c r="AT80" s="422" t="str">
        <f t="shared" si="201"/>
        <v/>
      </c>
      <c r="AU80" s="423" t="str">
        <f t="shared" si="202"/>
        <v/>
      </c>
      <c r="AV80" s="619">
        <f>'2020'!L80</f>
        <v>0</v>
      </c>
      <c r="AW80" s="584">
        <f>'2021'!L80</f>
        <v>0</v>
      </c>
      <c r="AX80" s="584">
        <f>'2022'!L80</f>
        <v>0</v>
      </c>
      <c r="AY80" s="584">
        <f>'2023'!L80</f>
        <v>0</v>
      </c>
      <c r="AZ80" s="584">
        <f>'2024'!L80</f>
        <v>0</v>
      </c>
      <c r="BA80" s="585">
        <f>'2025'!L80</f>
        <v>0</v>
      </c>
      <c r="BB80" s="421" t="str">
        <f t="shared" si="209"/>
        <v/>
      </c>
      <c r="BC80" s="422" t="str">
        <f t="shared" si="203"/>
        <v/>
      </c>
      <c r="BD80" s="422" t="str">
        <f t="shared" si="204"/>
        <v/>
      </c>
      <c r="BE80" s="422" t="str">
        <f t="shared" si="205"/>
        <v/>
      </c>
      <c r="BF80" s="422" t="str">
        <f t="shared" si="206"/>
        <v/>
      </c>
      <c r="BG80" s="423" t="str">
        <f t="shared" si="207"/>
        <v/>
      </c>
      <c r="BH80" s="732">
        <f>'2020'!N80</f>
        <v>0</v>
      </c>
      <c r="BI80" s="733">
        <f>'2021'!N80</f>
        <v>0</v>
      </c>
      <c r="BJ80" s="733">
        <f>'2022'!N80</f>
        <v>0</v>
      </c>
      <c r="BK80" s="733">
        <f>'2023'!N80</f>
        <v>0</v>
      </c>
      <c r="BL80" s="733">
        <f>'2024'!N80</f>
        <v>0</v>
      </c>
      <c r="BM80" s="734">
        <f>'2025'!N80</f>
        <v>0</v>
      </c>
      <c r="BN80" s="424" t="s">
        <v>21</v>
      </c>
      <c r="BO80" s="425" t="s">
        <v>21</v>
      </c>
      <c r="BP80" s="424" t="s">
        <v>21</v>
      </c>
      <c r="BQ80" s="425" t="s">
        <v>21</v>
      </c>
      <c r="BR80" s="446">
        <v>22</v>
      </c>
      <c r="BS80" s="447">
        <v>20</v>
      </c>
      <c r="BT80" s="446">
        <v>0</v>
      </c>
      <c r="BU80" s="448">
        <v>0</v>
      </c>
      <c r="CC80" s="1" t="str">
        <f t="shared" si="210"/>
        <v/>
      </c>
      <c r="CD80" s="1" t="str">
        <f t="shared" si="211"/>
        <v/>
      </c>
      <c r="CE80" s="1" t="str">
        <f t="shared" si="212"/>
        <v/>
      </c>
      <c r="CF80" s="1" t="str">
        <f t="shared" si="213"/>
        <v/>
      </c>
      <c r="CG80" s="1" t="str">
        <f t="shared" si="214"/>
        <v/>
      </c>
      <c r="CH80" s="1" t="str">
        <f t="shared" si="215"/>
        <v/>
      </c>
    </row>
    <row r="81" spans="2:86" ht="15.75" customHeight="1" x14ac:dyDescent="0.3">
      <c r="B81" s="779"/>
      <c r="C81" s="850"/>
      <c r="D81" s="814"/>
      <c r="E81" s="807"/>
      <c r="F81" s="807"/>
      <c r="G81" s="807"/>
      <c r="H81" s="807"/>
      <c r="I81" s="811"/>
      <c r="J81" s="721" t="s">
        <v>166</v>
      </c>
      <c r="K81" s="400" t="str">
        <f t="shared" si="242"/>
        <v/>
      </c>
      <c r="L81" s="400" t="str">
        <f t="shared" si="243"/>
        <v/>
      </c>
      <c r="M81" s="400" t="str">
        <f t="shared" si="244"/>
        <v/>
      </c>
      <c r="N81" s="400" t="str">
        <f t="shared" si="245"/>
        <v/>
      </c>
      <c r="O81" s="400" t="str">
        <f t="shared" si="246"/>
        <v/>
      </c>
      <c r="P81" s="401" t="str">
        <f t="shared" si="247"/>
        <v/>
      </c>
      <c r="Q81" s="237"/>
      <c r="R81" s="583">
        <f>'2020'!G81</f>
        <v>0</v>
      </c>
      <c r="S81" s="584">
        <f>'2021'!G81</f>
        <v>0</v>
      </c>
      <c r="T81" s="584">
        <f>'2022'!G81</f>
        <v>0</v>
      </c>
      <c r="U81" s="584">
        <f>'2023'!G81</f>
        <v>0</v>
      </c>
      <c r="V81" s="584">
        <f>'2024'!G81</f>
        <v>0</v>
      </c>
      <c r="W81" s="585">
        <f>'2025'!G81</f>
        <v>0</v>
      </c>
      <c r="X81" s="619">
        <f>'2020'!H81</f>
        <v>0</v>
      </c>
      <c r="Y81" s="584">
        <f>'2021'!H81</f>
        <v>0</v>
      </c>
      <c r="Z81" s="584">
        <f>'2022'!H81</f>
        <v>0</v>
      </c>
      <c r="AA81" s="584">
        <f>'2023'!H81</f>
        <v>0</v>
      </c>
      <c r="AB81" s="584">
        <f>'2024'!H81</f>
        <v>0</v>
      </c>
      <c r="AC81" s="585">
        <f>'2025'!H81</f>
        <v>0</v>
      </c>
      <c r="AD81" s="421">
        <f t="shared" si="192"/>
        <v>0</v>
      </c>
      <c r="AE81" s="422">
        <f t="shared" si="193"/>
        <v>0</v>
      </c>
      <c r="AF81" s="422">
        <f t="shared" si="194"/>
        <v>0</v>
      </c>
      <c r="AG81" s="422">
        <f t="shared" si="195"/>
        <v>0</v>
      </c>
      <c r="AH81" s="422">
        <f t="shared" si="196"/>
        <v>0</v>
      </c>
      <c r="AI81" s="423">
        <f t="shared" si="197"/>
        <v>0</v>
      </c>
      <c r="AJ81" s="619">
        <f>'2020'!J81</f>
        <v>0</v>
      </c>
      <c r="AK81" s="584">
        <f>'2021'!J81</f>
        <v>0</v>
      </c>
      <c r="AL81" s="584">
        <f>'2022'!J81</f>
        <v>0</v>
      </c>
      <c r="AM81" s="584">
        <f>'2023'!J81</f>
        <v>0</v>
      </c>
      <c r="AN81" s="584">
        <f>'2024'!J81</f>
        <v>0</v>
      </c>
      <c r="AO81" s="585">
        <f>'2025'!J81</f>
        <v>0</v>
      </c>
      <c r="AP81" s="421" t="str">
        <f t="shared" si="208"/>
        <v/>
      </c>
      <c r="AQ81" s="422" t="str">
        <f t="shared" si="198"/>
        <v/>
      </c>
      <c r="AR81" s="422" t="str">
        <f t="shared" si="199"/>
        <v/>
      </c>
      <c r="AS81" s="422" t="str">
        <f t="shared" si="200"/>
        <v/>
      </c>
      <c r="AT81" s="422" t="str">
        <f t="shared" si="201"/>
        <v/>
      </c>
      <c r="AU81" s="423" t="str">
        <f t="shared" si="202"/>
        <v/>
      </c>
      <c r="AV81" s="619">
        <f>'2020'!L81</f>
        <v>0</v>
      </c>
      <c r="AW81" s="584">
        <f>'2021'!L81</f>
        <v>0</v>
      </c>
      <c r="AX81" s="584">
        <f>'2022'!L81</f>
        <v>0</v>
      </c>
      <c r="AY81" s="584">
        <f>'2023'!L81</f>
        <v>0</v>
      </c>
      <c r="AZ81" s="584">
        <f>'2024'!L81</f>
        <v>0</v>
      </c>
      <c r="BA81" s="585">
        <f>'2025'!L81</f>
        <v>0</v>
      </c>
      <c r="BB81" s="421" t="str">
        <f t="shared" si="209"/>
        <v/>
      </c>
      <c r="BC81" s="422" t="str">
        <f t="shared" si="203"/>
        <v/>
      </c>
      <c r="BD81" s="422" t="str">
        <f t="shared" si="204"/>
        <v/>
      </c>
      <c r="BE81" s="422" t="str">
        <f t="shared" si="205"/>
        <v/>
      </c>
      <c r="BF81" s="422" t="str">
        <f t="shared" si="206"/>
        <v/>
      </c>
      <c r="BG81" s="423" t="str">
        <f t="shared" si="207"/>
        <v/>
      </c>
      <c r="BH81" s="732">
        <f>'2020'!N81</f>
        <v>0</v>
      </c>
      <c r="BI81" s="733">
        <f>'2021'!N81</f>
        <v>0</v>
      </c>
      <c r="BJ81" s="733">
        <f>'2022'!N81</f>
        <v>0</v>
      </c>
      <c r="BK81" s="733">
        <f>'2023'!N81</f>
        <v>0</v>
      </c>
      <c r="BL81" s="733">
        <f>'2024'!N81</f>
        <v>0</v>
      </c>
      <c r="BM81" s="734">
        <f>'2025'!N81</f>
        <v>0</v>
      </c>
      <c r="BN81" s="424" t="s">
        <v>21</v>
      </c>
      <c r="BO81" s="425" t="s">
        <v>21</v>
      </c>
      <c r="BP81" s="424" t="s">
        <v>21</v>
      </c>
      <c r="BQ81" s="425" t="s">
        <v>21</v>
      </c>
      <c r="BR81" s="446">
        <v>46</v>
      </c>
      <c r="BS81" s="447">
        <v>31</v>
      </c>
      <c r="BT81" s="446">
        <v>3</v>
      </c>
      <c r="BU81" s="448">
        <v>2</v>
      </c>
      <c r="CC81" s="1" t="str">
        <f t="shared" si="210"/>
        <v/>
      </c>
      <c r="CD81" s="1" t="str">
        <f t="shared" si="211"/>
        <v/>
      </c>
      <c r="CE81" s="1" t="str">
        <f t="shared" si="212"/>
        <v/>
      </c>
      <c r="CF81" s="1" t="str">
        <f t="shared" si="213"/>
        <v/>
      </c>
      <c r="CG81" s="1" t="str">
        <f t="shared" si="214"/>
        <v/>
      </c>
      <c r="CH81" s="1" t="str">
        <f t="shared" si="215"/>
        <v/>
      </c>
    </row>
    <row r="82" spans="2:86" ht="15.75" customHeight="1" x14ac:dyDescent="0.3">
      <c r="B82" s="779"/>
      <c r="C82" s="850"/>
      <c r="D82" s="814"/>
      <c r="E82" s="807"/>
      <c r="F82" s="807"/>
      <c r="G82" s="807"/>
      <c r="H82" s="807"/>
      <c r="I82" s="811"/>
      <c r="J82" s="721" t="s">
        <v>166</v>
      </c>
      <c r="K82" s="400" t="str">
        <f t="shared" si="242"/>
        <v/>
      </c>
      <c r="L82" s="400" t="str">
        <f t="shared" si="243"/>
        <v/>
      </c>
      <c r="M82" s="400" t="str">
        <f t="shared" si="244"/>
        <v/>
      </c>
      <c r="N82" s="400" t="str">
        <f t="shared" si="245"/>
        <v/>
      </c>
      <c r="O82" s="400" t="str">
        <f t="shared" si="246"/>
        <v/>
      </c>
      <c r="P82" s="401" t="str">
        <f t="shared" si="247"/>
        <v/>
      </c>
      <c r="Q82" s="237" t="s">
        <v>203</v>
      </c>
      <c r="R82" s="583">
        <f>'2020'!G82</f>
        <v>0</v>
      </c>
      <c r="S82" s="584">
        <f>'2021'!G82</f>
        <v>0</v>
      </c>
      <c r="T82" s="584">
        <f>'2022'!G82</f>
        <v>0</v>
      </c>
      <c r="U82" s="584">
        <f>'2023'!G82</f>
        <v>0</v>
      </c>
      <c r="V82" s="584">
        <f>'2024'!G82</f>
        <v>0</v>
      </c>
      <c r="W82" s="585">
        <f>'2025'!G82</f>
        <v>0</v>
      </c>
      <c r="X82" s="619">
        <f>'2020'!H82</f>
        <v>0</v>
      </c>
      <c r="Y82" s="584">
        <f>'2021'!H82</f>
        <v>0</v>
      </c>
      <c r="Z82" s="584">
        <f>'2022'!H82</f>
        <v>0</v>
      </c>
      <c r="AA82" s="584">
        <f>'2023'!H82</f>
        <v>0</v>
      </c>
      <c r="AB82" s="584">
        <f>'2024'!H82</f>
        <v>0</v>
      </c>
      <c r="AC82" s="585">
        <f>'2025'!H82</f>
        <v>0</v>
      </c>
      <c r="AD82" s="421">
        <f t="shared" si="192"/>
        <v>0</v>
      </c>
      <c r="AE82" s="422">
        <f t="shared" si="193"/>
        <v>0</v>
      </c>
      <c r="AF82" s="422">
        <f t="shared" si="194"/>
        <v>0</v>
      </c>
      <c r="AG82" s="422">
        <f t="shared" si="195"/>
        <v>0</v>
      </c>
      <c r="AH82" s="422">
        <f t="shared" si="196"/>
        <v>0</v>
      </c>
      <c r="AI82" s="423">
        <f t="shared" si="197"/>
        <v>0</v>
      </c>
      <c r="AJ82" s="619">
        <f>'2020'!J82</f>
        <v>0</v>
      </c>
      <c r="AK82" s="584">
        <f>'2021'!J82</f>
        <v>0</v>
      </c>
      <c r="AL82" s="584">
        <f>'2022'!J82</f>
        <v>0</v>
      </c>
      <c r="AM82" s="584">
        <f>'2023'!J82</f>
        <v>0</v>
      </c>
      <c r="AN82" s="584">
        <f>'2024'!J82</f>
        <v>0</v>
      </c>
      <c r="AO82" s="585">
        <f>'2025'!J82</f>
        <v>0</v>
      </c>
      <c r="AP82" s="421" t="str">
        <f t="shared" si="208"/>
        <v/>
      </c>
      <c r="AQ82" s="422" t="str">
        <f t="shared" si="198"/>
        <v/>
      </c>
      <c r="AR82" s="422" t="str">
        <f t="shared" si="199"/>
        <v/>
      </c>
      <c r="AS82" s="422" t="str">
        <f t="shared" si="200"/>
        <v/>
      </c>
      <c r="AT82" s="422" t="str">
        <f t="shared" si="201"/>
        <v/>
      </c>
      <c r="AU82" s="423" t="str">
        <f t="shared" si="202"/>
        <v/>
      </c>
      <c r="AV82" s="619">
        <f>'2020'!L82</f>
        <v>0</v>
      </c>
      <c r="AW82" s="584">
        <f>'2021'!L82</f>
        <v>0</v>
      </c>
      <c r="AX82" s="584">
        <f>'2022'!L82</f>
        <v>0</v>
      </c>
      <c r="AY82" s="584">
        <f>'2023'!L82</f>
        <v>0</v>
      </c>
      <c r="AZ82" s="584">
        <f>'2024'!L82</f>
        <v>0</v>
      </c>
      <c r="BA82" s="585">
        <f>'2025'!L82</f>
        <v>0</v>
      </c>
      <c r="BB82" s="421" t="str">
        <f t="shared" si="209"/>
        <v/>
      </c>
      <c r="BC82" s="422" t="str">
        <f t="shared" si="203"/>
        <v/>
      </c>
      <c r="BD82" s="422" t="str">
        <f t="shared" si="204"/>
        <v/>
      </c>
      <c r="BE82" s="422" t="str">
        <f t="shared" si="205"/>
        <v/>
      </c>
      <c r="BF82" s="422" t="str">
        <f t="shared" si="206"/>
        <v/>
      </c>
      <c r="BG82" s="423" t="str">
        <f t="shared" si="207"/>
        <v/>
      </c>
      <c r="BH82" s="732">
        <f>'2020'!N82</f>
        <v>0</v>
      </c>
      <c r="BI82" s="733">
        <f>'2021'!N82</f>
        <v>0</v>
      </c>
      <c r="BJ82" s="733">
        <f>'2022'!N82</f>
        <v>0</v>
      </c>
      <c r="BK82" s="733">
        <f>'2023'!N82</f>
        <v>0</v>
      </c>
      <c r="BL82" s="733">
        <f>'2024'!N82</f>
        <v>0</v>
      </c>
      <c r="BM82" s="734">
        <f>'2025'!N82</f>
        <v>0</v>
      </c>
      <c r="BN82" s="424" t="s">
        <v>21</v>
      </c>
      <c r="BO82" s="425" t="s">
        <v>21</v>
      </c>
      <c r="BP82" s="424" t="s">
        <v>21</v>
      </c>
      <c r="BQ82" s="425" t="s">
        <v>21</v>
      </c>
      <c r="BR82" s="446">
        <v>46</v>
      </c>
      <c r="BS82" s="447">
        <v>31</v>
      </c>
      <c r="BT82" s="446">
        <v>3</v>
      </c>
      <c r="BU82" s="448">
        <v>2</v>
      </c>
      <c r="CC82" s="1" t="str">
        <f t="shared" si="210"/>
        <v/>
      </c>
      <c r="CD82" s="1" t="str">
        <f t="shared" si="211"/>
        <v/>
      </c>
      <c r="CE82" s="1" t="str">
        <f t="shared" si="212"/>
        <v/>
      </c>
      <c r="CF82" s="1" t="str">
        <f t="shared" si="213"/>
        <v/>
      </c>
      <c r="CG82" s="1" t="str">
        <f t="shared" si="214"/>
        <v/>
      </c>
      <c r="CH82" s="1" t="str">
        <f t="shared" si="215"/>
        <v/>
      </c>
    </row>
    <row r="83" spans="2:86" ht="15.75" customHeight="1" x14ac:dyDescent="0.3">
      <c r="B83" s="779"/>
      <c r="C83" s="850"/>
      <c r="D83" s="814"/>
      <c r="E83" s="807"/>
      <c r="F83" s="807"/>
      <c r="G83" s="807"/>
      <c r="H83" s="807"/>
      <c r="I83" s="811"/>
      <c r="J83" s="721" t="s">
        <v>166</v>
      </c>
      <c r="K83" s="400" t="str">
        <f t="shared" si="242"/>
        <v/>
      </c>
      <c r="L83" s="400" t="str">
        <f t="shared" si="243"/>
        <v/>
      </c>
      <c r="M83" s="400" t="str">
        <f t="shared" si="244"/>
        <v/>
      </c>
      <c r="N83" s="400" t="str">
        <f t="shared" si="245"/>
        <v/>
      </c>
      <c r="O83" s="400" t="str">
        <f t="shared" si="246"/>
        <v/>
      </c>
      <c r="P83" s="401" t="str">
        <f t="shared" si="247"/>
        <v/>
      </c>
      <c r="Q83" s="237" t="s">
        <v>203</v>
      </c>
      <c r="R83" s="583">
        <f>'2020'!G83</f>
        <v>0</v>
      </c>
      <c r="S83" s="584">
        <f>'2021'!G83</f>
        <v>0</v>
      </c>
      <c r="T83" s="584">
        <f>'2022'!G83</f>
        <v>0</v>
      </c>
      <c r="U83" s="584">
        <f>'2023'!G83</f>
        <v>0</v>
      </c>
      <c r="V83" s="584">
        <f>'2024'!G83</f>
        <v>0</v>
      </c>
      <c r="W83" s="585">
        <f>'2025'!G83</f>
        <v>0</v>
      </c>
      <c r="X83" s="619">
        <f>'2020'!H83</f>
        <v>0</v>
      </c>
      <c r="Y83" s="584">
        <f>'2021'!H83</f>
        <v>0</v>
      </c>
      <c r="Z83" s="584">
        <f>'2022'!H83</f>
        <v>0</v>
      </c>
      <c r="AA83" s="584">
        <f>'2023'!H83</f>
        <v>0</v>
      </c>
      <c r="AB83" s="584">
        <f>'2024'!H83</f>
        <v>0</v>
      </c>
      <c r="AC83" s="585">
        <f>'2025'!H83</f>
        <v>0</v>
      </c>
      <c r="AD83" s="421">
        <f t="shared" si="192"/>
        <v>0</v>
      </c>
      <c r="AE83" s="422">
        <f t="shared" si="193"/>
        <v>0</v>
      </c>
      <c r="AF83" s="422">
        <f t="shared" ref="AF83:AF92" si="248">IF(T83="",0,IF(AL83=0,0,AL83/T83))</f>
        <v>0</v>
      </c>
      <c r="AG83" s="422">
        <f t="shared" si="195"/>
        <v>0</v>
      </c>
      <c r="AH83" s="422">
        <f t="shared" si="196"/>
        <v>0</v>
      </c>
      <c r="AI83" s="423">
        <f t="shared" si="197"/>
        <v>0</v>
      </c>
      <c r="AJ83" s="619">
        <f>'2020'!J83</f>
        <v>0</v>
      </c>
      <c r="AK83" s="584">
        <f>'2021'!J83</f>
        <v>0</v>
      </c>
      <c r="AL83" s="584">
        <f>'2022'!J83</f>
        <v>0</v>
      </c>
      <c r="AM83" s="584">
        <f>'2023'!J83</f>
        <v>0</v>
      </c>
      <c r="AN83" s="584">
        <f>'2024'!J83</f>
        <v>0</v>
      </c>
      <c r="AO83" s="585">
        <f>'2025'!J83</f>
        <v>0</v>
      </c>
      <c r="AP83" s="421" t="str">
        <f t="shared" si="208"/>
        <v/>
      </c>
      <c r="AQ83" s="422" t="str">
        <f t="shared" si="198"/>
        <v/>
      </c>
      <c r="AR83" s="422" t="str">
        <f t="shared" si="199"/>
        <v/>
      </c>
      <c r="AS83" s="422" t="str">
        <f t="shared" si="200"/>
        <v/>
      </c>
      <c r="AT83" s="422" t="str">
        <f t="shared" si="201"/>
        <v/>
      </c>
      <c r="AU83" s="423" t="str">
        <f t="shared" si="202"/>
        <v/>
      </c>
      <c r="AV83" s="619">
        <f>'2020'!L83</f>
        <v>0</v>
      </c>
      <c r="AW83" s="584">
        <f>'2021'!L83</f>
        <v>0</v>
      </c>
      <c r="AX83" s="584">
        <f>'2022'!L83</f>
        <v>0</v>
      </c>
      <c r="AY83" s="584">
        <f>'2023'!L83</f>
        <v>0</v>
      </c>
      <c r="AZ83" s="584">
        <f>'2024'!L83</f>
        <v>0</v>
      </c>
      <c r="BA83" s="585">
        <f>'2025'!L83</f>
        <v>0</v>
      </c>
      <c r="BB83" s="421" t="str">
        <f t="shared" si="209"/>
        <v/>
      </c>
      <c r="BC83" s="422" t="str">
        <f t="shared" si="203"/>
        <v/>
      </c>
      <c r="BD83" s="422" t="str">
        <f t="shared" si="204"/>
        <v/>
      </c>
      <c r="BE83" s="422" t="str">
        <f t="shared" si="205"/>
        <v/>
      </c>
      <c r="BF83" s="422" t="str">
        <f t="shared" si="206"/>
        <v/>
      </c>
      <c r="BG83" s="423" t="str">
        <f t="shared" si="207"/>
        <v/>
      </c>
      <c r="BH83" s="732">
        <f>'2020'!N83</f>
        <v>0</v>
      </c>
      <c r="BI83" s="733">
        <f>'2021'!N83</f>
        <v>0</v>
      </c>
      <c r="BJ83" s="733">
        <f>'2022'!N83</f>
        <v>0</v>
      </c>
      <c r="BK83" s="733">
        <f>'2023'!N83</f>
        <v>0</v>
      </c>
      <c r="BL83" s="733">
        <f>'2024'!N83</f>
        <v>0</v>
      </c>
      <c r="BM83" s="734">
        <f>'2025'!N83</f>
        <v>0</v>
      </c>
      <c r="BN83" s="424" t="s">
        <v>21</v>
      </c>
      <c r="BO83" s="425" t="s">
        <v>21</v>
      </c>
      <c r="BP83" s="424" t="s">
        <v>21</v>
      </c>
      <c r="BQ83" s="425" t="s">
        <v>21</v>
      </c>
      <c r="BR83" s="446">
        <v>46</v>
      </c>
      <c r="BS83" s="447">
        <v>31</v>
      </c>
      <c r="BT83" s="446">
        <v>3</v>
      </c>
      <c r="BU83" s="448">
        <v>2</v>
      </c>
      <c r="CC83" s="1" t="str">
        <f t="shared" si="210"/>
        <v/>
      </c>
      <c r="CD83" s="1" t="str">
        <f t="shared" si="211"/>
        <v/>
      </c>
      <c r="CE83" s="1" t="str">
        <f t="shared" si="212"/>
        <v/>
      </c>
      <c r="CF83" s="1" t="str">
        <f t="shared" si="213"/>
        <v/>
      </c>
      <c r="CG83" s="1" t="str">
        <f t="shared" si="214"/>
        <v/>
      </c>
      <c r="CH83" s="1" t="str">
        <f t="shared" si="215"/>
        <v/>
      </c>
    </row>
    <row r="84" spans="2:86" ht="15.75" customHeight="1" x14ac:dyDescent="0.3">
      <c r="B84" s="779"/>
      <c r="C84" s="850"/>
      <c r="D84" s="815"/>
      <c r="E84" s="808"/>
      <c r="F84" s="808"/>
      <c r="G84" s="808"/>
      <c r="H84" s="808"/>
      <c r="I84" s="812"/>
      <c r="J84" s="722" t="s">
        <v>166</v>
      </c>
      <c r="K84" s="402" t="str">
        <f t="shared" si="242"/>
        <v/>
      </c>
      <c r="L84" s="402" t="str">
        <f t="shared" si="243"/>
        <v/>
      </c>
      <c r="M84" s="402" t="str">
        <f t="shared" si="244"/>
        <v/>
      </c>
      <c r="N84" s="402" t="str">
        <f t="shared" si="245"/>
        <v/>
      </c>
      <c r="O84" s="402" t="str">
        <f t="shared" si="246"/>
        <v/>
      </c>
      <c r="P84" s="403" t="str">
        <f t="shared" si="247"/>
        <v/>
      </c>
      <c r="Q84" s="242"/>
      <c r="R84" s="586">
        <f>'2020'!G84</f>
        <v>0</v>
      </c>
      <c r="S84" s="587">
        <f>'2021'!G84</f>
        <v>0</v>
      </c>
      <c r="T84" s="587">
        <f>'2022'!G84</f>
        <v>0</v>
      </c>
      <c r="U84" s="587">
        <f>'2023'!G84</f>
        <v>0</v>
      </c>
      <c r="V84" s="587">
        <f>'2024'!G84</f>
        <v>0</v>
      </c>
      <c r="W84" s="588">
        <f>'2025'!G84</f>
        <v>0</v>
      </c>
      <c r="X84" s="620">
        <f>'2020'!H84</f>
        <v>0</v>
      </c>
      <c r="Y84" s="587">
        <f>'2021'!H84</f>
        <v>0</v>
      </c>
      <c r="Z84" s="587">
        <f>'2022'!H84</f>
        <v>0</v>
      </c>
      <c r="AA84" s="587">
        <f>'2023'!H84</f>
        <v>0</v>
      </c>
      <c r="AB84" s="587">
        <f>'2024'!H84</f>
        <v>0</v>
      </c>
      <c r="AC84" s="588">
        <f>'2025'!H84</f>
        <v>0</v>
      </c>
      <c r="AD84" s="429">
        <f t="shared" si="192"/>
        <v>0</v>
      </c>
      <c r="AE84" s="430">
        <f t="shared" si="193"/>
        <v>0</v>
      </c>
      <c r="AF84" s="430">
        <f t="shared" si="248"/>
        <v>0</v>
      </c>
      <c r="AG84" s="430">
        <f t="shared" si="195"/>
        <v>0</v>
      </c>
      <c r="AH84" s="430">
        <f t="shared" si="196"/>
        <v>0</v>
      </c>
      <c r="AI84" s="431">
        <f t="shared" si="197"/>
        <v>0</v>
      </c>
      <c r="AJ84" s="620">
        <f>'2020'!J84</f>
        <v>0</v>
      </c>
      <c r="AK84" s="587">
        <f>'2021'!J84</f>
        <v>0</v>
      </c>
      <c r="AL84" s="587">
        <f>'2022'!J84</f>
        <v>0</v>
      </c>
      <c r="AM84" s="587">
        <f>'2023'!J84</f>
        <v>0</v>
      </c>
      <c r="AN84" s="587">
        <f>'2024'!J84</f>
        <v>0</v>
      </c>
      <c r="AO84" s="588">
        <f>'2025'!J84</f>
        <v>0</v>
      </c>
      <c r="AP84" s="429" t="str">
        <f t="shared" si="208"/>
        <v/>
      </c>
      <c r="AQ84" s="430" t="str">
        <f t="shared" si="198"/>
        <v/>
      </c>
      <c r="AR84" s="430" t="str">
        <f t="shared" si="199"/>
        <v/>
      </c>
      <c r="AS84" s="430" t="str">
        <f t="shared" si="200"/>
        <v/>
      </c>
      <c r="AT84" s="430" t="str">
        <f t="shared" si="201"/>
        <v/>
      </c>
      <c r="AU84" s="431" t="str">
        <f t="shared" si="202"/>
        <v/>
      </c>
      <c r="AV84" s="620">
        <f>'2020'!L84</f>
        <v>0</v>
      </c>
      <c r="AW84" s="587">
        <f>'2021'!L84</f>
        <v>0</v>
      </c>
      <c r="AX84" s="587">
        <f>'2022'!L84</f>
        <v>0</v>
      </c>
      <c r="AY84" s="587">
        <f>'2023'!L84</f>
        <v>0</v>
      </c>
      <c r="AZ84" s="587">
        <f>'2024'!L84</f>
        <v>0</v>
      </c>
      <c r="BA84" s="588">
        <f>'2025'!L84</f>
        <v>0</v>
      </c>
      <c r="BB84" s="429" t="str">
        <f t="shared" si="209"/>
        <v/>
      </c>
      <c r="BC84" s="430" t="str">
        <f t="shared" si="203"/>
        <v/>
      </c>
      <c r="BD84" s="430" t="str">
        <f t="shared" si="204"/>
        <v/>
      </c>
      <c r="BE84" s="430" t="str">
        <f t="shared" si="205"/>
        <v/>
      </c>
      <c r="BF84" s="430" t="str">
        <f t="shared" si="206"/>
        <v/>
      </c>
      <c r="BG84" s="431" t="str">
        <f t="shared" si="207"/>
        <v/>
      </c>
      <c r="BH84" s="735">
        <f>'2020'!N84</f>
        <v>0</v>
      </c>
      <c r="BI84" s="736">
        <f>'2021'!N84</f>
        <v>0</v>
      </c>
      <c r="BJ84" s="736">
        <f>'2022'!N84</f>
        <v>0</v>
      </c>
      <c r="BK84" s="736">
        <f>'2023'!N84</f>
        <v>0</v>
      </c>
      <c r="BL84" s="736">
        <f>'2024'!N84</f>
        <v>0</v>
      </c>
      <c r="BM84" s="737">
        <f>'2025'!N84</f>
        <v>0</v>
      </c>
      <c r="BN84" s="432" t="s">
        <v>21</v>
      </c>
      <c r="BO84" s="433" t="s">
        <v>21</v>
      </c>
      <c r="BP84" s="432" t="s">
        <v>21</v>
      </c>
      <c r="BQ84" s="433" t="s">
        <v>21</v>
      </c>
      <c r="BR84" s="450">
        <v>40</v>
      </c>
      <c r="BS84" s="451">
        <v>40</v>
      </c>
      <c r="BT84" s="450">
        <v>4</v>
      </c>
      <c r="BU84" s="452">
        <v>4</v>
      </c>
      <c r="CC84" s="1" t="str">
        <f t="shared" si="210"/>
        <v/>
      </c>
      <c r="CD84" s="1" t="str">
        <f t="shared" si="211"/>
        <v/>
      </c>
      <c r="CE84" s="1" t="str">
        <f t="shared" si="212"/>
        <v/>
      </c>
      <c r="CF84" s="1" t="str">
        <f t="shared" si="213"/>
        <v/>
      </c>
      <c r="CG84" s="1" t="str">
        <f t="shared" si="214"/>
        <v/>
      </c>
      <c r="CH84" s="1" t="str">
        <f t="shared" si="215"/>
        <v/>
      </c>
    </row>
    <row r="85" spans="2:86" ht="15.6" x14ac:dyDescent="0.3">
      <c r="B85" s="784"/>
      <c r="C85" s="850"/>
      <c r="D85" s="380" t="s">
        <v>138</v>
      </c>
      <c r="E85" s="377"/>
      <c r="F85" s="377"/>
      <c r="G85" s="377"/>
      <c r="H85" s="377"/>
      <c r="I85" s="385"/>
      <c r="J85" s="718"/>
      <c r="K85" s="390">
        <f>COUNTIF(K78:K84,"X")</f>
        <v>0</v>
      </c>
      <c r="L85" s="390">
        <f t="shared" ref="L85:P85" si="249">COUNTIF(L78:L84,"X")</f>
        <v>1</v>
      </c>
      <c r="M85" s="390">
        <f t="shared" si="249"/>
        <v>2</v>
      </c>
      <c r="N85" s="390">
        <f t="shared" si="249"/>
        <v>2</v>
      </c>
      <c r="O85" s="390">
        <f t="shared" si="249"/>
        <v>0</v>
      </c>
      <c r="P85" s="391">
        <f t="shared" si="249"/>
        <v>0</v>
      </c>
      <c r="Q85" s="16"/>
      <c r="R85" s="600">
        <f>SUM(R78:R84)</f>
        <v>0</v>
      </c>
      <c r="S85" s="601">
        <f t="shared" ref="S85:W85" si="250">SUM(S78:S84)</f>
        <v>5</v>
      </c>
      <c r="T85" s="601">
        <f t="shared" si="250"/>
        <v>31</v>
      </c>
      <c r="U85" s="601">
        <f t="shared" si="250"/>
        <v>49</v>
      </c>
      <c r="V85" s="601">
        <f t="shared" si="250"/>
        <v>0</v>
      </c>
      <c r="W85" s="602">
        <f t="shared" si="250"/>
        <v>0</v>
      </c>
      <c r="X85" s="625">
        <f>SUM(X78:X84)</f>
        <v>0</v>
      </c>
      <c r="Y85" s="601">
        <f>SUM(Y78:Y84)</f>
        <v>4</v>
      </c>
      <c r="Z85" s="601">
        <f>SUM(Z78:Z84)</f>
        <v>12</v>
      </c>
      <c r="AA85" s="601">
        <f t="shared" ref="AA85:AC85" si="251">SUM(AA78:AA84)</f>
        <v>25</v>
      </c>
      <c r="AB85" s="601">
        <f t="shared" si="251"/>
        <v>0</v>
      </c>
      <c r="AC85" s="602">
        <f t="shared" si="251"/>
        <v>0</v>
      </c>
      <c r="AD85" s="315">
        <f t="shared" si="192"/>
        <v>0</v>
      </c>
      <c r="AE85" s="316">
        <f t="shared" si="193"/>
        <v>0.4</v>
      </c>
      <c r="AF85" s="316">
        <f t="shared" si="248"/>
        <v>0.61290322580645162</v>
      </c>
      <c r="AG85" s="316">
        <f t="shared" si="195"/>
        <v>0.65306122448979587</v>
      </c>
      <c r="AH85" s="316">
        <f t="shared" si="196"/>
        <v>0</v>
      </c>
      <c r="AI85" s="321">
        <f t="shared" si="197"/>
        <v>0</v>
      </c>
      <c r="AJ85" s="625">
        <f>SUM(AJ78:AJ84)</f>
        <v>0</v>
      </c>
      <c r="AK85" s="601">
        <f>SUM(AK78:AK84)</f>
        <v>2</v>
      </c>
      <c r="AL85" s="601">
        <f>SUM(AL78:AL84)</f>
        <v>19</v>
      </c>
      <c r="AM85" s="601">
        <f t="shared" ref="AM85" si="252">SUM(AM78:AM84)</f>
        <v>32</v>
      </c>
      <c r="AN85" s="601">
        <f t="shared" ref="AN85" si="253">SUM(AN78:AN84)</f>
        <v>0</v>
      </c>
      <c r="AO85" s="602">
        <f t="shared" ref="AO85" si="254">SUM(AO78:AO84)</f>
        <v>0</v>
      </c>
      <c r="AP85" s="315" t="str">
        <f t="shared" si="208"/>
        <v/>
      </c>
      <c r="AQ85" s="316">
        <f t="shared" si="198"/>
        <v>0.2</v>
      </c>
      <c r="AR85" s="316">
        <f t="shared" si="199"/>
        <v>0.22580645161290322</v>
      </c>
      <c r="AS85" s="316">
        <f t="shared" si="200"/>
        <v>0.22448979591836735</v>
      </c>
      <c r="AT85" s="316" t="str">
        <f t="shared" si="201"/>
        <v/>
      </c>
      <c r="AU85" s="321" t="str">
        <f t="shared" si="202"/>
        <v/>
      </c>
      <c r="AV85" s="625">
        <f>SUM(AV78:AV84)</f>
        <v>0</v>
      </c>
      <c r="AW85" s="601">
        <f>SUM(AW78:AW84)</f>
        <v>1</v>
      </c>
      <c r="AX85" s="601">
        <f>SUM(AX78:AX84)</f>
        <v>7</v>
      </c>
      <c r="AY85" s="601">
        <f t="shared" ref="AY85" si="255">SUM(AY78:AY84)</f>
        <v>11</v>
      </c>
      <c r="AZ85" s="601">
        <f t="shared" ref="AZ85" si="256">SUM(AZ78:AZ84)</f>
        <v>0</v>
      </c>
      <c r="BA85" s="602">
        <f t="shared" ref="BA85" si="257">SUM(BA78:BA84)</f>
        <v>0</v>
      </c>
      <c r="BB85" s="317" t="str">
        <f t="shared" si="209"/>
        <v/>
      </c>
      <c r="BC85" s="318">
        <f t="shared" si="203"/>
        <v>0</v>
      </c>
      <c r="BD85" s="318">
        <f t="shared" si="204"/>
        <v>0.7142857142857143</v>
      </c>
      <c r="BE85" s="318">
        <f t="shared" si="205"/>
        <v>0.72727272727272729</v>
      </c>
      <c r="BF85" s="318" t="str">
        <f t="shared" si="206"/>
        <v/>
      </c>
      <c r="BG85" s="322" t="str">
        <f t="shared" si="207"/>
        <v/>
      </c>
      <c r="BH85" s="625">
        <f>SUM(BH78:BH84)</f>
        <v>0</v>
      </c>
      <c r="BI85" s="601">
        <f>SUM(BI78:BI84)</f>
        <v>0</v>
      </c>
      <c r="BJ85" s="601">
        <f>SUM(BJ78:BJ84)</f>
        <v>5</v>
      </c>
      <c r="BK85" s="601">
        <f t="shared" ref="BK85" si="258">SUM(BK78:BK84)</f>
        <v>8</v>
      </c>
      <c r="BL85" s="601">
        <f t="shared" ref="BL85" si="259">SUM(BL78:BL84)</f>
        <v>0</v>
      </c>
      <c r="BM85" s="602">
        <f t="shared" ref="BM85" si="260">SUM(BM78:BM84)</f>
        <v>0</v>
      </c>
      <c r="BN85" s="331">
        <f t="shared" ref="BN85:BU85" si="261">SUM(BN78:BN84)</f>
        <v>0</v>
      </c>
      <c r="BO85" s="332">
        <f t="shared" si="261"/>
        <v>0</v>
      </c>
      <c r="BP85" s="331">
        <f t="shared" si="261"/>
        <v>0</v>
      </c>
      <c r="BQ85" s="332">
        <f t="shared" si="261"/>
        <v>0</v>
      </c>
      <c r="BR85" s="331">
        <f t="shared" si="261"/>
        <v>363</v>
      </c>
      <c r="BS85" s="332">
        <f t="shared" si="261"/>
        <v>271</v>
      </c>
      <c r="BT85" s="331">
        <f t="shared" si="261"/>
        <v>20</v>
      </c>
      <c r="BU85" s="333">
        <f t="shared" si="261"/>
        <v>16</v>
      </c>
      <c r="CC85" s="1">
        <f t="shared" si="210"/>
        <v>0</v>
      </c>
      <c r="CD85" s="1">
        <f t="shared" si="211"/>
        <v>0</v>
      </c>
      <c r="CE85" s="1">
        <f t="shared" si="212"/>
        <v>0</v>
      </c>
      <c r="CF85" s="1">
        <f t="shared" si="213"/>
        <v>0</v>
      </c>
      <c r="CG85" s="1">
        <f t="shared" si="214"/>
        <v>0</v>
      </c>
      <c r="CH85" s="1">
        <f t="shared" si="215"/>
        <v>0</v>
      </c>
    </row>
    <row r="86" spans="2:86" ht="15.75" customHeight="1" x14ac:dyDescent="0.3">
      <c r="B86" s="746" t="s">
        <v>1</v>
      </c>
      <c r="C86" s="802" t="s">
        <v>76</v>
      </c>
      <c r="D86" s="792">
        <f>'2020'!D86</f>
        <v>12</v>
      </c>
      <c r="E86" s="795">
        <f>'2021'!D86</f>
        <v>11</v>
      </c>
      <c r="F86" s="795">
        <f>'2022'!D86</f>
        <v>10</v>
      </c>
      <c r="G86" s="795">
        <f>'2023'!D86</f>
        <v>10</v>
      </c>
      <c r="H86" s="795"/>
      <c r="I86" s="789"/>
      <c r="J86" s="720" t="s">
        <v>27</v>
      </c>
      <c r="K86" s="398" t="str">
        <f t="shared" ref="K86:K94" si="262">IF(R86=0,"","X")</f>
        <v>X</v>
      </c>
      <c r="L86" s="398" t="str">
        <f t="shared" ref="L86:L94" si="263">IF(S86=0,"","X")</f>
        <v>X</v>
      </c>
      <c r="M86" s="398" t="str">
        <f t="shared" ref="M86:M94" si="264">IF(T86=0,"","X")</f>
        <v>X</v>
      </c>
      <c r="N86" s="398" t="str">
        <f t="shared" ref="N86:N94" si="265">IF(U86=0,"","X")</f>
        <v/>
      </c>
      <c r="O86" s="398" t="str">
        <f t="shared" ref="O86:O94" si="266">IF(V86=0,"","X")</f>
        <v/>
      </c>
      <c r="P86" s="399" t="str">
        <f t="shared" ref="P86:P94" si="267">IF(W86=0,"","X")</f>
        <v/>
      </c>
      <c r="Q86" s="232" t="s">
        <v>62</v>
      </c>
      <c r="R86" s="592">
        <f>'2020'!G86</f>
        <v>33</v>
      </c>
      <c r="S86" s="593">
        <f>'2021'!G86</f>
        <v>53</v>
      </c>
      <c r="T86" s="593">
        <f>'2022'!G86</f>
        <v>35</v>
      </c>
      <c r="U86" s="593">
        <f>'2023'!G86</f>
        <v>0</v>
      </c>
      <c r="V86" s="593">
        <f>'2024'!G86</f>
        <v>0</v>
      </c>
      <c r="W86" s="594">
        <f>'2025'!G86</f>
        <v>0</v>
      </c>
      <c r="X86" s="622">
        <f>'2020'!H86</f>
        <v>33</v>
      </c>
      <c r="Y86" s="593">
        <f>'2021'!H86</f>
        <v>38</v>
      </c>
      <c r="Z86" s="593">
        <f>'2022'!H86</f>
        <v>35</v>
      </c>
      <c r="AA86" s="593">
        <f>'2023'!H86</f>
        <v>0</v>
      </c>
      <c r="AB86" s="593">
        <f>'2024'!H86</f>
        <v>0</v>
      </c>
      <c r="AC86" s="594">
        <f>'2025'!H86</f>
        <v>0</v>
      </c>
      <c r="AD86" s="412">
        <f t="shared" si="192"/>
        <v>0.63636363636363635</v>
      </c>
      <c r="AE86" s="413">
        <f t="shared" si="193"/>
        <v>0.60377358490566035</v>
      </c>
      <c r="AF86" s="413">
        <f t="shared" si="248"/>
        <v>0.77142857142857146</v>
      </c>
      <c r="AG86" s="413">
        <f t="shared" si="195"/>
        <v>0</v>
      </c>
      <c r="AH86" s="413">
        <f t="shared" si="196"/>
        <v>0</v>
      </c>
      <c r="AI86" s="414">
        <f t="shared" si="197"/>
        <v>0</v>
      </c>
      <c r="AJ86" s="622">
        <f>'2020'!J86</f>
        <v>21</v>
      </c>
      <c r="AK86" s="593">
        <f>'2021'!J86</f>
        <v>32</v>
      </c>
      <c r="AL86" s="593">
        <f>'2022'!J86</f>
        <v>27</v>
      </c>
      <c r="AM86" s="593">
        <f>'2023'!J86</f>
        <v>0</v>
      </c>
      <c r="AN86" s="593">
        <f>'2024'!J86</f>
        <v>0</v>
      </c>
      <c r="AO86" s="594">
        <f>'2025'!J86</f>
        <v>0</v>
      </c>
      <c r="AP86" s="412">
        <f t="shared" si="208"/>
        <v>0.24242424242424243</v>
      </c>
      <c r="AQ86" s="413">
        <f t="shared" si="198"/>
        <v>0.22641509433962265</v>
      </c>
      <c r="AR86" s="413">
        <f t="shared" si="199"/>
        <v>0.4</v>
      </c>
      <c r="AS86" s="413" t="str">
        <f t="shared" si="200"/>
        <v/>
      </c>
      <c r="AT86" s="413" t="str">
        <f t="shared" si="201"/>
        <v/>
      </c>
      <c r="AU86" s="414" t="str">
        <f t="shared" si="202"/>
        <v/>
      </c>
      <c r="AV86" s="622">
        <f>'2020'!L86</f>
        <v>8</v>
      </c>
      <c r="AW86" s="593">
        <f>'2021'!L86</f>
        <v>12</v>
      </c>
      <c r="AX86" s="593">
        <f>'2022'!L86</f>
        <v>14</v>
      </c>
      <c r="AY86" s="593">
        <f>'2023'!L86</f>
        <v>0</v>
      </c>
      <c r="AZ86" s="593">
        <f>'2024'!L86</f>
        <v>0</v>
      </c>
      <c r="BA86" s="594">
        <f>'2025'!L86</f>
        <v>0</v>
      </c>
      <c r="BB86" s="412">
        <f t="shared" si="209"/>
        <v>0.875</v>
      </c>
      <c r="BC86" s="413">
        <f t="shared" si="203"/>
        <v>0.83333333333333337</v>
      </c>
      <c r="BD86" s="413">
        <f t="shared" si="204"/>
        <v>0.7142857142857143</v>
      </c>
      <c r="BE86" s="413" t="str">
        <f t="shared" si="205"/>
        <v/>
      </c>
      <c r="BF86" s="413" t="str">
        <f t="shared" si="206"/>
        <v/>
      </c>
      <c r="BG86" s="414" t="str">
        <f t="shared" si="207"/>
        <v/>
      </c>
      <c r="BH86" s="738">
        <f>'2020'!N86</f>
        <v>7</v>
      </c>
      <c r="BI86" s="739">
        <f>'2021'!N86</f>
        <v>10</v>
      </c>
      <c r="BJ86" s="739">
        <f>'2022'!N86</f>
        <v>10</v>
      </c>
      <c r="BK86" s="739">
        <f>'2023'!N86</f>
        <v>0</v>
      </c>
      <c r="BL86" s="739">
        <f>'2024'!N86</f>
        <v>0</v>
      </c>
      <c r="BM86" s="740">
        <f>'2025'!N86</f>
        <v>0</v>
      </c>
      <c r="BN86" s="415" t="s">
        <v>21</v>
      </c>
      <c r="BO86" s="416" t="s">
        <v>21</v>
      </c>
      <c r="BP86" s="415" t="s">
        <v>21</v>
      </c>
      <c r="BQ86" s="416" t="s">
        <v>21</v>
      </c>
      <c r="BR86" s="443">
        <v>51</v>
      </c>
      <c r="BS86" s="444">
        <v>36</v>
      </c>
      <c r="BT86" s="443">
        <v>2</v>
      </c>
      <c r="BU86" s="445">
        <v>2</v>
      </c>
      <c r="CC86" s="1" t="str">
        <f t="shared" si="210"/>
        <v>Frontière</v>
      </c>
      <c r="CD86" s="1" t="str">
        <f t="shared" si="211"/>
        <v>Frontière</v>
      </c>
      <c r="CE86" s="1" t="str">
        <f t="shared" si="212"/>
        <v>Frontière</v>
      </c>
      <c r="CF86" s="1" t="str">
        <f t="shared" si="213"/>
        <v/>
      </c>
      <c r="CG86" s="1" t="str">
        <f t="shared" si="214"/>
        <v/>
      </c>
      <c r="CH86" s="1" t="str">
        <f t="shared" si="215"/>
        <v/>
      </c>
    </row>
    <row r="87" spans="2:86" ht="15.75" customHeight="1" x14ac:dyDescent="0.3">
      <c r="B87" s="747"/>
      <c r="C87" s="803"/>
      <c r="D87" s="793"/>
      <c r="E87" s="796"/>
      <c r="F87" s="796"/>
      <c r="G87" s="796"/>
      <c r="H87" s="796"/>
      <c r="I87" s="790"/>
      <c r="J87" s="721" t="s">
        <v>28</v>
      </c>
      <c r="K87" s="400" t="str">
        <f t="shared" si="262"/>
        <v>X</v>
      </c>
      <c r="L87" s="400" t="str">
        <f t="shared" si="263"/>
        <v>X</v>
      </c>
      <c r="M87" s="400" t="str">
        <f t="shared" si="264"/>
        <v>X</v>
      </c>
      <c r="N87" s="400" t="str">
        <f t="shared" si="265"/>
        <v/>
      </c>
      <c r="O87" s="400" t="str">
        <f t="shared" si="266"/>
        <v/>
      </c>
      <c r="P87" s="401" t="str">
        <f t="shared" si="267"/>
        <v/>
      </c>
      <c r="Q87" s="237" t="s">
        <v>62</v>
      </c>
      <c r="R87" s="583">
        <f>'2020'!G87</f>
        <v>88</v>
      </c>
      <c r="S87" s="584">
        <f>'2021'!G87</f>
        <v>117</v>
      </c>
      <c r="T87" s="584">
        <f>'2022'!G87</f>
        <v>93</v>
      </c>
      <c r="U87" s="584">
        <f>'2023'!G87</f>
        <v>0</v>
      </c>
      <c r="V87" s="584">
        <f>'2024'!G87</f>
        <v>0</v>
      </c>
      <c r="W87" s="585">
        <f>'2025'!G87</f>
        <v>0</v>
      </c>
      <c r="X87" s="619">
        <f>'2020'!H87</f>
        <v>88</v>
      </c>
      <c r="Y87" s="584">
        <f>'2021'!H87</f>
        <v>86</v>
      </c>
      <c r="Z87" s="584">
        <f>'2022'!H87</f>
        <v>93</v>
      </c>
      <c r="AA87" s="584">
        <f>'2023'!H87</f>
        <v>0</v>
      </c>
      <c r="AB87" s="584">
        <f>'2024'!H87</f>
        <v>0</v>
      </c>
      <c r="AC87" s="585">
        <f>'2025'!H87</f>
        <v>0</v>
      </c>
      <c r="AD87" s="421">
        <f t="shared" si="192"/>
        <v>0.60227272727272729</v>
      </c>
      <c r="AE87" s="422">
        <f t="shared" si="193"/>
        <v>0.69230769230769229</v>
      </c>
      <c r="AF87" s="422">
        <f t="shared" si="248"/>
        <v>0.78494623655913975</v>
      </c>
      <c r="AG87" s="422">
        <f t="shared" si="195"/>
        <v>0</v>
      </c>
      <c r="AH87" s="422">
        <f t="shared" si="196"/>
        <v>0</v>
      </c>
      <c r="AI87" s="423">
        <f t="shared" si="197"/>
        <v>0</v>
      </c>
      <c r="AJ87" s="619">
        <f>'2020'!J87</f>
        <v>53</v>
      </c>
      <c r="AK87" s="584">
        <f>'2021'!J87</f>
        <v>81</v>
      </c>
      <c r="AL87" s="584">
        <f>'2022'!J87</f>
        <v>73</v>
      </c>
      <c r="AM87" s="584">
        <f>'2023'!J87</f>
        <v>0</v>
      </c>
      <c r="AN87" s="584">
        <f>'2024'!J87</f>
        <v>0</v>
      </c>
      <c r="AO87" s="585">
        <f>'2025'!J87</f>
        <v>0</v>
      </c>
      <c r="AP87" s="421">
        <f t="shared" si="208"/>
        <v>0.36363636363636365</v>
      </c>
      <c r="AQ87" s="422">
        <f t="shared" si="198"/>
        <v>0.40170940170940173</v>
      </c>
      <c r="AR87" s="422">
        <f t="shared" si="199"/>
        <v>0.37634408602150538</v>
      </c>
      <c r="AS87" s="422" t="str">
        <f t="shared" si="200"/>
        <v/>
      </c>
      <c r="AT87" s="422" t="str">
        <f t="shared" si="201"/>
        <v/>
      </c>
      <c r="AU87" s="423" t="str">
        <f t="shared" si="202"/>
        <v/>
      </c>
      <c r="AV87" s="619">
        <f>'2020'!L87</f>
        <v>32</v>
      </c>
      <c r="AW87" s="584">
        <f>'2021'!L87</f>
        <v>47</v>
      </c>
      <c r="AX87" s="584">
        <f>'2022'!L87</f>
        <v>35</v>
      </c>
      <c r="AY87" s="584">
        <f>'2023'!L87</f>
        <v>0</v>
      </c>
      <c r="AZ87" s="584">
        <f>'2024'!L87</f>
        <v>0</v>
      </c>
      <c r="BA87" s="585">
        <f>'2025'!L87</f>
        <v>0</v>
      </c>
      <c r="BB87" s="421">
        <f t="shared" si="209"/>
        <v>0.84375</v>
      </c>
      <c r="BC87" s="422">
        <f t="shared" si="203"/>
        <v>0.7021276595744681</v>
      </c>
      <c r="BD87" s="422">
        <f t="shared" si="204"/>
        <v>0.94285714285714284</v>
      </c>
      <c r="BE87" s="422" t="str">
        <f t="shared" si="205"/>
        <v/>
      </c>
      <c r="BF87" s="422" t="str">
        <f t="shared" si="206"/>
        <v/>
      </c>
      <c r="BG87" s="423" t="str">
        <f t="shared" si="207"/>
        <v/>
      </c>
      <c r="BH87" s="732">
        <f>'2020'!N87</f>
        <v>27</v>
      </c>
      <c r="BI87" s="733">
        <f>'2021'!N87</f>
        <v>33</v>
      </c>
      <c r="BJ87" s="733">
        <f>'2022'!N87</f>
        <v>33</v>
      </c>
      <c r="BK87" s="733">
        <f>'2023'!N87</f>
        <v>0</v>
      </c>
      <c r="BL87" s="733">
        <f>'2024'!N87</f>
        <v>0</v>
      </c>
      <c r="BM87" s="734">
        <f>'2025'!N87</f>
        <v>0</v>
      </c>
      <c r="BN87" s="424" t="s">
        <v>21</v>
      </c>
      <c r="BO87" s="425" t="s">
        <v>21</v>
      </c>
      <c r="BP87" s="424" t="s">
        <v>21</v>
      </c>
      <c r="BQ87" s="425" t="s">
        <v>21</v>
      </c>
      <c r="BR87" s="446">
        <v>112</v>
      </c>
      <c r="BS87" s="447">
        <v>82</v>
      </c>
      <c r="BT87" s="446">
        <v>5</v>
      </c>
      <c r="BU87" s="448">
        <v>4</v>
      </c>
      <c r="CC87" s="1" t="str">
        <f t="shared" si="210"/>
        <v>Frontière</v>
      </c>
      <c r="CD87" s="1" t="str">
        <f t="shared" si="211"/>
        <v>Frontière</v>
      </c>
      <c r="CE87" s="1" t="str">
        <f t="shared" si="212"/>
        <v>Frontière</v>
      </c>
      <c r="CF87" s="1" t="str">
        <f t="shared" si="213"/>
        <v/>
      </c>
      <c r="CG87" s="1" t="str">
        <f t="shared" si="214"/>
        <v/>
      </c>
      <c r="CH87" s="1" t="str">
        <f t="shared" si="215"/>
        <v/>
      </c>
    </row>
    <row r="88" spans="2:86" ht="15.75" customHeight="1" x14ac:dyDescent="0.3">
      <c r="B88" s="747"/>
      <c r="C88" s="803"/>
      <c r="D88" s="793"/>
      <c r="E88" s="796"/>
      <c r="F88" s="796"/>
      <c r="G88" s="796"/>
      <c r="H88" s="796"/>
      <c r="I88" s="790"/>
      <c r="J88" s="721" t="s">
        <v>29</v>
      </c>
      <c r="K88" s="400" t="str">
        <f t="shared" si="262"/>
        <v>X</v>
      </c>
      <c r="L88" s="400" t="str">
        <f t="shared" si="263"/>
        <v>X</v>
      </c>
      <c r="M88" s="400" t="str">
        <f t="shared" si="264"/>
        <v>X</v>
      </c>
      <c r="N88" s="400" t="str">
        <f t="shared" si="265"/>
        <v/>
      </c>
      <c r="O88" s="400" t="str">
        <f t="shared" si="266"/>
        <v/>
      </c>
      <c r="P88" s="401" t="str">
        <f t="shared" si="267"/>
        <v/>
      </c>
      <c r="Q88" s="237" t="s">
        <v>62</v>
      </c>
      <c r="R88" s="583">
        <f>'2020'!G88</f>
        <v>14</v>
      </c>
      <c r="S88" s="584">
        <f>'2021'!G88</f>
        <v>22</v>
      </c>
      <c r="T88" s="584">
        <f>'2022'!G88</f>
        <v>25</v>
      </c>
      <c r="U88" s="584">
        <f>'2023'!G88</f>
        <v>0</v>
      </c>
      <c r="V88" s="584">
        <f>'2024'!G88</f>
        <v>0</v>
      </c>
      <c r="W88" s="585">
        <f>'2025'!G88</f>
        <v>0</v>
      </c>
      <c r="X88" s="619">
        <f>'2020'!H88</f>
        <v>14</v>
      </c>
      <c r="Y88" s="584">
        <f>'2021'!H88</f>
        <v>20</v>
      </c>
      <c r="Z88" s="584">
        <f>'2022'!H88</f>
        <v>25</v>
      </c>
      <c r="AA88" s="584">
        <f>'2023'!H88</f>
        <v>0</v>
      </c>
      <c r="AB88" s="584">
        <f>'2024'!H88</f>
        <v>0</v>
      </c>
      <c r="AC88" s="585">
        <f>'2025'!H88</f>
        <v>0</v>
      </c>
      <c r="AD88" s="421">
        <f t="shared" si="192"/>
        <v>0.6428571428571429</v>
      </c>
      <c r="AE88" s="422">
        <f t="shared" si="193"/>
        <v>0.72727272727272729</v>
      </c>
      <c r="AF88" s="422">
        <f t="shared" si="248"/>
        <v>0.76</v>
      </c>
      <c r="AG88" s="422">
        <f t="shared" si="195"/>
        <v>0</v>
      </c>
      <c r="AH88" s="422">
        <f t="shared" si="196"/>
        <v>0</v>
      </c>
      <c r="AI88" s="423">
        <f t="shared" si="197"/>
        <v>0</v>
      </c>
      <c r="AJ88" s="619">
        <f>'2020'!J88</f>
        <v>9</v>
      </c>
      <c r="AK88" s="584">
        <f>'2021'!J88</f>
        <v>16</v>
      </c>
      <c r="AL88" s="584">
        <f>'2022'!J88</f>
        <v>19</v>
      </c>
      <c r="AM88" s="584">
        <f>'2023'!J88</f>
        <v>0</v>
      </c>
      <c r="AN88" s="584">
        <f>'2024'!J88</f>
        <v>0</v>
      </c>
      <c r="AO88" s="585">
        <f>'2025'!J88</f>
        <v>0</v>
      </c>
      <c r="AP88" s="421">
        <f t="shared" si="208"/>
        <v>0.5</v>
      </c>
      <c r="AQ88" s="422">
        <f t="shared" si="198"/>
        <v>0.54545454545454541</v>
      </c>
      <c r="AR88" s="422">
        <f t="shared" si="199"/>
        <v>0.44</v>
      </c>
      <c r="AS88" s="422" t="str">
        <f t="shared" si="200"/>
        <v/>
      </c>
      <c r="AT88" s="422" t="str">
        <f t="shared" si="201"/>
        <v/>
      </c>
      <c r="AU88" s="423" t="str">
        <f t="shared" si="202"/>
        <v/>
      </c>
      <c r="AV88" s="619">
        <f>'2020'!L88</f>
        <v>7</v>
      </c>
      <c r="AW88" s="584">
        <f>'2021'!L88</f>
        <v>12</v>
      </c>
      <c r="AX88" s="584">
        <f>'2022'!L88</f>
        <v>11</v>
      </c>
      <c r="AY88" s="584">
        <f>'2023'!L88</f>
        <v>0</v>
      </c>
      <c r="AZ88" s="584">
        <f>'2024'!L88</f>
        <v>0</v>
      </c>
      <c r="BA88" s="585">
        <f>'2025'!L88</f>
        <v>0</v>
      </c>
      <c r="BB88" s="421">
        <f t="shared" si="209"/>
        <v>0.5714285714285714</v>
      </c>
      <c r="BC88" s="422">
        <f t="shared" si="203"/>
        <v>0.75</v>
      </c>
      <c r="BD88" s="422">
        <f t="shared" si="204"/>
        <v>0.81818181818181823</v>
      </c>
      <c r="BE88" s="422" t="str">
        <f t="shared" si="205"/>
        <v/>
      </c>
      <c r="BF88" s="422" t="str">
        <f t="shared" si="206"/>
        <v/>
      </c>
      <c r="BG88" s="423" t="str">
        <f t="shared" si="207"/>
        <v/>
      </c>
      <c r="BH88" s="732">
        <f>'2020'!N88</f>
        <v>4</v>
      </c>
      <c r="BI88" s="733">
        <f>'2021'!N88</f>
        <v>9</v>
      </c>
      <c r="BJ88" s="733">
        <f>'2022'!N88</f>
        <v>9</v>
      </c>
      <c r="BK88" s="733">
        <f>'2023'!N88</f>
        <v>0</v>
      </c>
      <c r="BL88" s="733">
        <f>'2024'!N88</f>
        <v>0</v>
      </c>
      <c r="BM88" s="734">
        <f>'2025'!N88</f>
        <v>0</v>
      </c>
      <c r="BN88" s="424" t="s">
        <v>21</v>
      </c>
      <c r="BO88" s="425" t="s">
        <v>21</v>
      </c>
      <c r="BP88" s="424" t="s">
        <v>21</v>
      </c>
      <c r="BQ88" s="425" t="s">
        <v>21</v>
      </c>
      <c r="BR88" s="446">
        <v>22</v>
      </c>
      <c r="BS88" s="447">
        <v>20</v>
      </c>
      <c r="BT88" s="446">
        <v>0</v>
      </c>
      <c r="BU88" s="448">
        <v>0</v>
      </c>
      <c r="CC88" s="1" t="str">
        <f t="shared" si="210"/>
        <v>Frontière</v>
      </c>
      <c r="CD88" s="1" t="str">
        <f t="shared" si="211"/>
        <v>Frontière</v>
      </c>
      <c r="CE88" s="1" t="str">
        <f t="shared" si="212"/>
        <v>Frontière</v>
      </c>
      <c r="CF88" s="1" t="str">
        <f t="shared" si="213"/>
        <v/>
      </c>
      <c r="CG88" s="1" t="str">
        <f t="shared" si="214"/>
        <v/>
      </c>
      <c r="CH88" s="1" t="str">
        <f t="shared" si="215"/>
        <v/>
      </c>
    </row>
    <row r="89" spans="2:86" ht="15.75" customHeight="1" x14ac:dyDescent="0.3">
      <c r="B89" s="747"/>
      <c r="C89" s="803"/>
      <c r="D89" s="793"/>
      <c r="E89" s="796"/>
      <c r="F89" s="796"/>
      <c r="G89" s="796"/>
      <c r="H89" s="796"/>
      <c r="I89" s="790"/>
      <c r="J89" s="721" t="s">
        <v>30</v>
      </c>
      <c r="K89" s="400" t="str">
        <f t="shared" si="262"/>
        <v>X</v>
      </c>
      <c r="L89" s="400" t="str">
        <f t="shared" si="263"/>
        <v>X</v>
      </c>
      <c r="M89" s="400" t="str">
        <f t="shared" si="264"/>
        <v>X</v>
      </c>
      <c r="N89" s="400" t="str">
        <f t="shared" si="265"/>
        <v/>
      </c>
      <c r="O89" s="400" t="str">
        <f t="shared" si="266"/>
        <v/>
      </c>
      <c r="P89" s="401" t="str">
        <f t="shared" si="267"/>
        <v/>
      </c>
      <c r="Q89" s="237" t="s">
        <v>62</v>
      </c>
      <c r="R89" s="583">
        <f>'2020'!G89</f>
        <v>23</v>
      </c>
      <c r="S89" s="584">
        <f>'2021'!G89</f>
        <v>49</v>
      </c>
      <c r="T89" s="584">
        <f>'2022'!G89</f>
        <v>37</v>
      </c>
      <c r="U89" s="584">
        <f>'2023'!G89</f>
        <v>0</v>
      </c>
      <c r="V89" s="584">
        <f>'2024'!G89</f>
        <v>0</v>
      </c>
      <c r="W89" s="585">
        <f>'2025'!G89</f>
        <v>0</v>
      </c>
      <c r="X89" s="619">
        <f>'2020'!H89</f>
        <v>23</v>
      </c>
      <c r="Y89" s="584">
        <f>'2021'!H89</f>
        <v>33</v>
      </c>
      <c r="Z89" s="584">
        <f>'2022'!H89</f>
        <v>37</v>
      </c>
      <c r="AA89" s="584">
        <f>'2023'!H89</f>
        <v>0</v>
      </c>
      <c r="AB89" s="584">
        <f>'2024'!H89</f>
        <v>0</v>
      </c>
      <c r="AC89" s="585">
        <f>'2025'!H89</f>
        <v>0</v>
      </c>
      <c r="AD89" s="421">
        <f t="shared" si="192"/>
        <v>0.65217391304347827</v>
      </c>
      <c r="AE89" s="422">
        <f t="shared" si="193"/>
        <v>0.7142857142857143</v>
      </c>
      <c r="AF89" s="422">
        <f t="shared" si="248"/>
        <v>0.64864864864864868</v>
      </c>
      <c r="AG89" s="422">
        <f t="shared" si="195"/>
        <v>0</v>
      </c>
      <c r="AH89" s="422">
        <f t="shared" si="196"/>
        <v>0</v>
      </c>
      <c r="AI89" s="423">
        <f t="shared" si="197"/>
        <v>0</v>
      </c>
      <c r="AJ89" s="619">
        <f>'2020'!J89</f>
        <v>15</v>
      </c>
      <c r="AK89" s="584">
        <f>'2021'!J89</f>
        <v>35</v>
      </c>
      <c r="AL89" s="584">
        <f>'2022'!J89</f>
        <v>24</v>
      </c>
      <c r="AM89" s="584">
        <f>'2023'!J89</f>
        <v>0</v>
      </c>
      <c r="AN89" s="584">
        <f>'2024'!J89</f>
        <v>0</v>
      </c>
      <c r="AO89" s="585">
        <f>'2025'!J89</f>
        <v>0</v>
      </c>
      <c r="AP89" s="421">
        <f t="shared" si="208"/>
        <v>0.47826086956521741</v>
      </c>
      <c r="AQ89" s="422">
        <f t="shared" si="198"/>
        <v>0.40816326530612246</v>
      </c>
      <c r="AR89" s="422">
        <f t="shared" si="199"/>
        <v>0.40540540540540543</v>
      </c>
      <c r="AS89" s="422" t="str">
        <f t="shared" si="200"/>
        <v/>
      </c>
      <c r="AT89" s="422" t="str">
        <f t="shared" si="201"/>
        <v/>
      </c>
      <c r="AU89" s="423" t="str">
        <f t="shared" si="202"/>
        <v/>
      </c>
      <c r="AV89" s="619">
        <f>'2020'!L89</f>
        <v>11</v>
      </c>
      <c r="AW89" s="584">
        <f>'2021'!L89</f>
        <v>20</v>
      </c>
      <c r="AX89" s="584">
        <f>'2022'!L89</f>
        <v>15</v>
      </c>
      <c r="AY89" s="584">
        <f>'2023'!L89</f>
        <v>0</v>
      </c>
      <c r="AZ89" s="584">
        <f>'2024'!L89</f>
        <v>0</v>
      </c>
      <c r="BA89" s="585">
        <f>'2025'!L89</f>
        <v>0</v>
      </c>
      <c r="BB89" s="421">
        <f t="shared" si="209"/>
        <v>0.72727272727272729</v>
      </c>
      <c r="BC89" s="422">
        <f t="shared" si="203"/>
        <v>0.85</v>
      </c>
      <c r="BD89" s="422">
        <f t="shared" si="204"/>
        <v>0.73333333333333328</v>
      </c>
      <c r="BE89" s="422" t="str">
        <f t="shared" si="205"/>
        <v/>
      </c>
      <c r="BF89" s="422" t="str">
        <f t="shared" si="206"/>
        <v/>
      </c>
      <c r="BG89" s="423" t="str">
        <f t="shared" si="207"/>
        <v/>
      </c>
      <c r="BH89" s="732">
        <f>'2020'!N89</f>
        <v>8</v>
      </c>
      <c r="BI89" s="733">
        <f>'2021'!N89</f>
        <v>17</v>
      </c>
      <c r="BJ89" s="733">
        <f>'2022'!N89</f>
        <v>11</v>
      </c>
      <c r="BK89" s="733">
        <f>'2023'!N89</f>
        <v>0</v>
      </c>
      <c r="BL89" s="733">
        <f>'2024'!N89</f>
        <v>0</v>
      </c>
      <c r="BM89" s="734">
        <f>'2025'!N89</f>
        <v>0</v>
      </c>
      <c r="BN89" s="424" t="s">
        <v>21</v>
      </c>
      <c r="BO89" s="425" t="s">
        <v>21</v>
      </c>
      <c r="BP89" s="424" t="s">
        <v>21</v>
      </c>
      <c r="BQ89" s="425" t="s">
        <v>21</v>
      </c>
      <c r="BR89" s="446">
        <v>46</v>
      </c>
      <c r="BS89" s="447">
        <v>31</v>
      </c>
      <c r="BT89" s="446">
        <v>3</v>
      </c>
      <c r="BU89" s="448">
        <v>2</v>
      </c>
      <c r="CC89" s="1" t="str">
        <f t="shared" si="210"/>
        <v>Frontière</v>
      </c>
      <c r="CD89" s="1" t="str">
        <f t="shared" si="211"/>
        <v>Frontière</v>
      </c>
      <c r="CE89" s="1" t="str">
        <f t="shared" si="212"/>
        <v>Frontière</v>
      </c>
      <c r="CF89" s="1" t="str">
        <f t="shared" si="213"/>
        <v/>
      </c>
      <c r="CG89" s="1" t="str">
        <f t="shared" si="214"/>
        <v/>
      </c>
      <c r="CH89" s="1" t="str">
        <f t="shared" si="215"/>
        <v/>
      </c>
    </row>
    <row r="90" spans="2:86" ht="15.75" customHeight="1" x14ac:dyDescent="0.3">
      <c r="B90" s="747"/>
      <c r="C90" s="803"/>
      <c r="D90" s="793"/>
      <c r="E90" s="796"/>
      <c r="F90" s="796"/>
      <c r="G90" s="796"/>
      <c r="H90" s="796"/>
      <c r="I90" s="790"/>
      <c r="J90" s="721" t="s">
        <v>175</v>
      </c>
      <c r="K90" s="400" t="str">
        <f t="shared" si="262"/>
        <v/>
      </c>
      <c r="L90" s="400" t="str">
        <f t="shared" si="263"/>
        <v/>
      </c>
      <c r="M90" s="400" t="str">
        <f t="shared" si="264"/>
        <v>X</v>
      </c>
      <c r="N90" s="400" t="str">
        <f t="shared" si="265"/>
        <v/>
      </c>
      <c r="O90" s="400" t="str">
        <f t="shared" si="266"/>
        <v/>
      </c>
      <c r="P90" s="401" t="str">
        <f t="shared" si="267"/>
        <v/>
      </c>
      <c r="Q90" s="237" t="s">
        <v>62</v>
      </c>
      <c r="R90" s="583">
        <f>'2020'!G90</f>
        <v>0</v>
      </c>
      <c r="S90" s="584">
        <f>'2021'!G90</f>
        <v>0</v>
      </c>
      <c r="T90" s="584">
        <f>'2022'!G90</f>
        <v>11</v>
      </c>
      <c r="U90" s="584">
        <f>'2023'!G90</f>
        <v>0</v>
      </c>
      <c r="V90" s="584">
        <f>'2024'!G90</f>
        <v>0</v>
      </c>
      <c r="W90" s="585">
        <f>'2025'!G90</f>
        <v>0</v>
      </c>
      <c r="X90" s="619">
        <f>'2020'!H90</f>
        <v>0</v>
      </c>
      <c r="Y90" s="584">
        <f>'2021'!H90</f>
        <v>0</v>
      </c>
      <c r="Z90" s="584">
        <f>'2022'!H90</f>
        <v>11</v>
      </c>
      <c r="AA90" s="584">
        <f>'2023'!H90</f>
        <v>0</v>
      </c>
      <c r="AB90" s="584">
        <f>'2024'!H90</f>
        <v>0</v>
      </c>
      <c r="AC90" s="585">
        <f>'2025'!H90</f>
        <v>0</v>
      </c>
      <c r="AD90" s="421">
        <f t="shared" si="192"/>
        <v>0</v>
      </c>
      <c r="AE90" s="422">
        <f t="shared" si="193"/>
        <v>0</v>
      </c>
      <c r="AF90" s="422">
        <f t="shared" si="248"/>
        <v>0.81818181818181823</v>
      </c>
      <c r="AG90" s="422">
        <f t="shared" si="195"/>
        <v>0</v>
      </c>
      <c r="AH90" s="422">
        <f t="shared" si="196"/>
        <v>0</v>
      </c>
      <c r="AI90" s="423">
        <f t="shared" si="197"/>
        <v>0</v>
      </c>
      <c r="AJ90" s="619">
        <f>'2020'!J90</f>
        <v>0</v>
      </c>
      <c r="AK90" s="584">
        <f>'2021'!J90</f>
        <v>0</v>
      </c>
      <c r="AL90" s="584">
        <f>'2022'!J90</f>
        <v>9</v>
      </c>
      <c r="AM90" s="584">
        <f>'2023'!J90</f>
        <v>0</v>
      </c>
      <c r="AN90" s="584">
        <f>'2024'!J90</f>
        <v>0</v>
      </c>
      <c r="AO90" s="585">
        <f>'2025'!J90</f>
        <v>0</v>
      </c>
      <c r="AP90" s="421" t="str">
        <f t="shared" si="208"/>
        <v/>
      </c>
      <c r="AQ90" s="422" t="str">
        <f t="shared" si="198"/>
        <v/>
      </c>
      <c r="AR90" s="422">
        <f t="shared" si="199"/>
        <v>0.36363636363636365</v>
      </c>
      <c r="AS90" s="422" t="str">
        <f t="shared" si="200"/>
        <v/>
      </c>
      <c r="AT90" s="422" t="str">
        <f t="shared" si="201"/>
        <v/>
      </c>
      <c r="AU90" s="423" t="str">
        <f t="shared" si="202"/>
        <v/>
      </c>
      <c r="AV90" s="619">
        <f>'2020'!L90</f>
        <v>0</v>
      </c>
      <c r="AW90" s="584">
        <f>'2021'!L90</f>
        <v>0</v>
      </c>
      <c r="AX90" s="584">
        <f>'2022'!L90</f>
        <v>4</v>
      </c>
      <c r="AY90" s="584">
        <f>'2023'!L90</f>
        <v>0</v>
      </c>
      <c r="AZ90" s="584">
        <f>'2024'!L90</f>
        <v>0</v>
      </c>
      <c r="BA90" s="585">
        <f>'2025'!L90</f>
        <v>0</v>
      </c>
      <c r="BB90" s="421" t="str">
        <f t="shared" si="209"/>
        <v/>
      </c>
      <c r="BC90" s="422" t="str">
        <f t="shared" si="203"/>
        <v/>
      </c>
      <c r="BD90" s="422">
        <f t="shared" si="204"/>
        <v>1</v>
      </c>
      <c r="BE90" s="422" t="str">
        <f t="shared" si="205"/>
        <v/>
      </c>
      <c r="BF90" s="422" t="str">
        <f t="shared" si="206"/>
        <v/>
      </c>
      <c r="BG90" s="423" t="str">
        <f t="shared" si="207"/>
        <v/>
      </c>
      <c r="BH90" s="732">
        <f>'2020'!N90</f>
        <v>0</v>
      </c>
      <c r="BI90" s="733">
        <f>'2021'!N90</f>
        <v>0</v>
      </c>
      <c r="BJ90" s="733">
        <f>'2022'!N90</f>
        <v>4</v>
      </c>
      <c r="BK90" s="733">
        <f>'2023'!N90</f>
        <v>0</v>
      </c>
      <c r="BL90" s="733">
        <f>'2024'!N90</f>
        <v>0</v>
      </c>
      <c r="BM90" s="734">
        <f>'2025'!N90</f>
        <v>0</v>
      </c>
      <c r="BN90" s="424"/>
      <c r="BO90" s="425"/>
      <c r="BP90" s="424"/>
      <c r="BQ90" s="425"/>
      <c r="BR90" s="446"/>
      <c r="BS90" s="447"/>
      <c r="BT90" s="446"/>
      <c r="BU90" s="448"/>
      <c r="CC90" s="1" t="str">
        <f t="shared" si="210"/>
        <v/>
      </c>
      <c r="CD90" s="1" t="str">
        <f t="shared" si="211"/>
        <v/>
      </c>
      <c r="CE90" s="1" t="str">
        <f t="shared" si="212"/>
        <v>Frontière</v>
      </c>
      <c r="CF90" s="1" t="str">
        <f t="shared" si="213"/>
        <v/>
      </c>
      <c r="CG90" s="1" t="str">
        <f t="shared" si="214"/>
        <v/>
      </c>
      <c r="CH90" s="1" t="str">
        <f t="shared" si="215"/>
        <v/>
      </c>
    </row>
    <row r="91" spans="2:86" ht="15.75" customHeight="1" x14ac:dyDescent="0.3">
      <c r="B91" s="747"/>
      <c r="C91" s="803"/>
      <c r="D91" s="793"/>
      <c r="E91" s="796"/>
      <c r="F91" s="796"/>
      <c r="G91" s="796"/>
      <c r="H91" s="796"/>
      <c r="I91" s="790"/>
      <c r="J91" s="721" t="s">
        <v>166</v>
      </c>
      <c r="K91" s="400" t="str">
        <f t="shared" si="262"/>
        <v/>
      </c>
      <c r="L91" s="400" t="str">
        <f t="shared" si="263"/>
        <v/>
      </c>
      <c r="M91" s="400" t="str">
        <f t="shared" si="264"/>
        <v/>
      </c>
      <c r="N91" s="400" t="str">
        <f t="shared" si="265"/>
        <v/>
      </c>
      <c r="O91" s="400" t="str">
        <f t="shared" si="266"/>
        <v/>
      </c>
      <c r="P91" s="401" t="str">
        <f t="shared" si="267"/>
        <v/>
      </c>
      <c r="Q91" s="237" t="s">
        <v>203</v>
      </c>
      <c r="R91" s="583">
        <f>'2020'!G91</f>
        <v>0</v>
      </c>
      <c r="S91" s="584">
        <f>'2021'!G91</f>
        <v>0</v>
      </c>
      <c r="T91" s="584">
        <f>'2022'!G91</f>
        <v>0</v>
      </c>
      <c r="U91" s="584">
        <f>'2023'!G91</f>
        <v>0</v>
      </c>
      <c r="V91" s="584">
        <f>'2024'!G91</f>
        <v>0</v>
      </c>
      <c r="W91" s="585">
        <f>'2025'!G91</f>
        <v>0</v>
      </c>
      <c r="X91" s="619">
        <f>'2020'!H91</f>
        <v>0</v>
      </c>
      <c r="Y91" s="584">
        <f>'2021'!H91</f>
        <v>0</v>
      </c>
      <c r="Z91" s="584">
        <f>'2022'!H91</f>
        <v>0</v>
      </c>
      <c r="AA91" s="584">
        <f>'2023'!H91</f>
        <v>0</v>
      </c>
      <c r="AB91" s="584">
        <f>'2024'!H91</f>
        <v>0</v>
      </c>
      <c r="AC91" s="585">
        <f>'2025'!H91</f>
        <v>0</v>
      </c>
      <c r="AD91" s="421">
        <f t="shared" si="192"/>
        <v>0</v>
      </c>
      <c r="AE91" s="422">
        <f t="shared" si="193"/>
        <v>0</v>
      </c>
      <c r="AF91" s="422">
        <f t="shared" si="248"/>
        <v>0</v>
      </c>
      <c r="AG91" s="422">
        <f t="shared" si="195"/>
        <v>0</v>
      </c>
      <c r="AH91" s="422">
        <f t="shared" si="196"/>
        <v>0</v>
      </c>
      <c r="AI91" s="423">
        <f t="shared" si="197"/>
        <v>0</v>
      </c>
      <c r="AJ91" s="619">
        <f>'2020'!J91</f>
        <v>0</v>
      </c>
      <c r="AK91" s="584">
        <f>'2021'!J91</f>
        <v>0</v>
      </c>
      <c r="AL91" s="584">
        <f>'2022'!J91</f>
        <v>0</v>
      </c>
      <c r="AM91" s="584">
        <f>'2023'!J91</f>
        <v>0</v>
      </c>
      <c r="AN91" s="584">
        <f>'2024'!J91</f>
        <v>0</v>
      </c>
      <c r="AO91" s="585">
        <f>'2025'!J91</f>
        <v>0</v>
      </c>
      <c r="AP91" s="421" t="str">
        <f t="shared" si="208"/>
        <v/>
      </c>
      <c r="AQ91" s="422" t="str">
        <f t="shared" si="198"/>
        <v/>
      </c>
      <c r="AR91" s="422" t="str">
        <f t="shared" si="199"/>
        <v/>
      </c>
      <c r="AS91" s="422" t="str">
        <f t="shared" si="200"/>
        <v/>
      </c>
      <c r="AT91" s="422" t="str">
        <f t="shared" si="201"/>
        <v/>
      </c>
      <c r="AU91" s="423" t="str">
        <f t="shared" si="202"/>
        <v/>
      </c>
      <c r="AV91" s="619">
        <f>'2020'!L91</f>
        <v>0</v>
      </c>
      <c r="AW91" s="584">
        <f>'2021'!L91</f>
        <v>0</v>
      </c>
      <c r="AX91" s="584">
        <f>'2022'!L91</f>
        <v>0</v>
      </c>
      <c r="AY91" s="584">
        <f>'2023'!L91</f>
        <v>0</v>
      </c>
      <c r="AZ91" s="584">
        <f>'2024'!L91</f>
        <v>0</v>
      </c>
      <c r="BA91" s="585">
        <f>'2025'!L91</f>
        <v>0</v>
      </c>
      <c r="BB91" s="421" t="str">
        <f t="shared" si="209"/>
        <v/>
      </c>
      <c r="BC91" s="422" t="str">
        <f t="shared" si="203"/>
        <v/>
      </c>
      <c r="BD91" s="422" t="str">
        <f t="shared" si="204"/>
        <v/>
      </c>
      <c r="BE91" s="422" t="str">
        <f t="shared" si="205"/>
        <v/>
      </c>
      <c r="BF91" s="422" t="str">
        <f t="shared" si="206"/>
        <v/>
      </c>
      <c r="BG91" s="423" t="str">
        <f t="shared" si="207"/>
        <v/>
      </c>
      <c r="BH91" s="732">
        <f>'2020'!N91</f>
        <v>0</v>
      </c>
      <c r="BI91" s="733">
        <f>'2021'!N91</f>
        <v>0</v>
      </c>
      <c r="BJ91" s="733">
        <f>'2022'!N91</f>
        <v>0</v>
      </c>
      <c r="BK91" s="733">
        <f>'2023'!N91</f>
        <v>0</v>
      </c>
      <c r="BL91" s="733">
        <f>'2024'!N91</f>
        <v>0</v>
      </c>
      <c r="BM91" s="734">
        <f>'2025'!N91</f>
        <v>0</v>
      </c>
      <c r="BN91" s="424"/>
      <c r="BO91" s="425"/>
      <c r="BP91" s="424"/>
      <c r="BQ91" s="425"/>
      <c r="BR91" s="446"/>
      <c r="BS91" s="447"/>
      <c r="BT91" s="446"/>
      <c r="BU91" s="448"/>
      <c r="CC91" s="1" t="str">
        <f t="shared" si="210"/>
        <v/>
      </c>
      <c r="CD91" s="1" t="str">
        <f t="shared" si="211"/>
        <v/>
      </c>
      <c r="CE91" s="1" t="str">
        <f t="shared" si="212"/>
        <v/>
      </c>
      <c r="CF91" s="1" t="str">
        <f t="shared" si="213"/>
        <v/>
      </c>
      <c r="CG91" s="1" t="str">
        <f t="shared" si="214"/>
        <v/>
      </c>
      <c r="CH91" s="1" t="str">
        <f t="shared" si="215"/>
        <v/>
      </c>
    </row>
    <row r="92" spans="2:86" ht="15.75" customHeight="1" x14ac:dyDescent="0.3">
      <c r="B92" s="747"/>
      <c r="C92" s="803"/>
      <c r="D92" s="793"/>
      <c r="E92" s="796"/>
      <c r="F92" s="796"/>
      <c r="G92" s="796"/>
      <c r="H92" s="796"/>
      <c r="I92" s="790"/>
      <c r="J92" s="721" t="s">
        <v>166</v>
      </c>
      <c r="K92" s="400" t="str">
        <f t="shared" si="262"/>
        <v/>
      </c>
      <c r="L92" s="400" t="str">
        <f t="shared" si="263"/>
        <v/>
      </c>
      <c r="M92" s="400" t="str">
        <f t="shared" si="264"/>
        <v/>
      </c>
      <c r="N92" s="400" t="str">
        <f t="shared" si="265"/>
        <v/>
      </c>
      <c r="O92" s="400" t="str">
        <f t="shared" si="266"/>
        <v/>
      </c>
      <c r="P92" s="401" t="str">
        <f t="shared" si="267"/>
        <v/>
      </c>
      <c r="Q92" s="237"/>
      <c r="R92" s="583">
        <f>'2020'!G92</f>
        <v>0</v>
      </c>
      <c r="S92" s="584">
        <f>'2021'!G92</f>
        <v>0</v>
      </c>
      <c r="T92" s="584">
        <f>'2022'!G92</f>
        <v>0</v>
      </c>
      <c r="U92" s="584">
        <f>'2023'!G92</f>
        <v>0</v>
      </c>
      <c r="V92" s="584">
        <f>'2024'!G92</f>
        <v>0</v>
      </c>
      <c r="W92" s="585">
        <f>'2025'!G92</f>
        <v>0</v>
      </c>
      <c r="X92" s="619">
        <f>'2020'!H92</f>
        <v>0</v>
      </c>
      <c r="Y92" s="584">
        <f>'2021'!H92</f>
        <v>0</v>
      </c>
      <c r="Z92" s="584">
        <f>'2022'!H92</f>
        <v>0</v>
      </c>
      <c r="AA92" s="584">
        <f>'2023'!H92</f>
        <v>0</v>
      </c>
      <c r="AB92" s="584">
        <f>'2024'!H92</f>
        <v>0</v>
      </c>
      <c r="AC92" s="585">
        <f>'2025'!H92</f>
        <v>0</v>
      </c>
      <c r="AD92" s="421">
        <f t="shared" si="192"/>
        <v>0</v>
      </c>
      <c r="AE92" s="422">
        <f t="shared" si="193"/>
        <v>0</v>
      </c>
      <c r="AF92" s="422">
        <f t="shared" si="248"/>
        <v>0</v>
      </c>
      <c r="AG92" s="422">
        <f t="shared" si="195"/>
        <v>0</v>
      </c>
      <c r="AH92" s="422">
        <f t="shared" si="196"/>
        <v>0</v>
      </c>
      <c r="AI92" s="423">
        <f t="shared" si="197"/>
        <v>0</v>
      </c>
      <c r="AJ92" s="619">
        <f>'2020'!J92</f>
        <v>0</v>
      </c>
      <c r="AK92" s="584">
        <f>'2021'!J92</f>
        <v>0</v>
      </c>
      <c r="AL92" s="584">
        <f>'2022'!J92</f>
        <v>0</v>
      </c>
      <c r="AM92" s="584">
        <f>'2023'!J92</f>
        <v>0</v>
      </c>
      <c r="AN92" s="584">
        <f>'2024'!J92</f>
        <v>0</v>
      </c>
      <c r="AO92" s="585">
        <f>'2025'!J92</f>
        <v>0</v>
      </c>
      <c r="AP92" s="421" t="str">
        <f t="shared" si="208"/>
        <v/>
      </c>
      <c r="AQ92" s="422" t="str">
        <f t="shared" si="198"/>
        <v/>
      </c>
      <c r="AR92" s="422" t="str">
        <f t="shared" si="199"/>
        <v/>
      </c>
      <c r="AS92" s="422" t="str">
        <f t="shared" si="200"/>
        <v/>
      </c>
      <c r="AT92" s="422" t="str">
        <f t="shared" si="201"/>
        <v/>
      </c>
      <c r="AU92" s="423" t="str">
        <f t="shared" si="202"/>
        <v/>
      </c>
      <c r="AV92" s="619">
        <f>'2020'!L92</f>
        <v>0</v>
      </c>
      <c r="AW92" s="584">
        <f>'2021'!L92</f>
        <v>0</v>
      </c>
      <c r="AX92" s="584">
        <f>'2022'!L92</f>
        <v>0</v>
      </c>
      <c r="AY92" s="584">
        <f>'2023'!L92</f>
        <v>0</v>
      </c>
      <c r="AZ92" s="584">
        <f>'2024'!L92</f>
        <v>0</v>
      </c>
      <c r="BA92" s="585">
        <f>'2025'!L92</f>
        <v>0</v>
      </c>
      <c r="BB92" s="421" t="str">
        <f t="shared" si="209"/>
        <v/>
      </c>
      <c r="BC92" s="422" t="str">
        <f t="shared" si="203"/>
        <v/>
      </c>
      <c r="BD92" s="422" t="str">
        <f t="shared" si="204"/>
        <v/>
      </c>
      <c r="BE92" s="422" t="str">
        <f t="shared" si="205"/>
        <v/>
      </c>
      <c r="BF92" s="422" t="str">
        <f t="shared" si="206"/>
        <v/>
      </c>
      <c r="BG92" s="423" t="str">
        <f t="shared" si="207"/>
        <v/>
      </c>
      <c r="BH92" s="732">
        <f>'2020'!N92</f>
        <v>0</v>
      </c>
      <c r="BI92" s="733">
        <f>'2021'!N92</f>
        <v>0</v>
      </c>
      <c r="BJ92" s="733">
        <f>'2022'!N92</f>
        <v>0</v>
      </c>
      <c r="BK92" s="733">
        <f>'2023'!N92</f>
        <v>0</v>
      </c>
      <c r="BL92" s="733">
        <f>'2024'!N92</f>
        <v>0</v>
      </c>
      <c r="BM92" s="734">
        <f>'2025'!N92</f>
        <v>0</v>
      </c>
      <c r="BN92" s="424"/>
      <c r="BO92" s="425"/>
      <c r="BP92" s="424"/>
      <c r="BQ92" s="425"/>
      <c r="BR92" s="446"/>
      <c r="BS92" s="447"/>
      <c r="BT92" s="446"/>
      <c r="BU92" s="448"/>
      <c r="CC92" s="1" t="str">
        <f t="shared" si="210"/>
        <v/>
      </c>
      <c r="CD92" s="1" t="str">
        <f t="shared" si="211"/>
        <v/>
      </c>
      <c r="CE92" s="1" t="str">
        <f t="shared" si="212"/>
        <v/>
      </c>
      <c r="CF92" s="1" t="str">
        <f t="shared" si="213"/>
        <v/>
      </c>
      <c r="CG92" s="1" t="str">
        <f t="shared" si="214"/>
        <v/>
      </c>
      <c r="CH92" s="1" t="str">
        <f t="shared" si="215"/>
        <v/>
      </c>
    </row>
    <row r="93" spans="2:86" ht="15.75" customHeight="1" x14ac:dyDescent="0.3">
      <c r="B93" s="747"/>
      <c r="C93" s="803"/>
      <c r="D93" s="793"/>
      <c r="E93" s="796"/>
      <c r="F93" s="796"/>
      <c r="G93" s="796"/>
      <c r="H93" s="796"/>
      <c r="I93" s="790"/>
      <c r="J93" s="721" t="s">
        <v>166</v>
      </c>
      <c r="K93" s="400" t="str">
        <f t="shared" si="262"/>
        <v/>
      </c>
      <c r="L93" s="400" t="str">
        <f t="shared" si="263"/>
        <v/>
      </c>
      <c r="M93" s="400" t="str">
        <f t="shared" si="264"/>
        <v/>
      </c>
      <c r="N93" s="400" t="str">
        <f t="shared" si="265"/>
        <v/>
      </c>
      <c r="O93" s="400" t="str">
        <f t="shared" si="266"/>
        <v/>
      </c>
      <c r="P93" s="401" t="str">
        <f t="shared" si="267"/>
        <v/>
      </c>
      <c r="Q93" s="237"/>
      <c r="R93" s="583">
        <f>'2020'!G93</f>
        <v>0</v>
      </c>
      <c r="S93" s="584">
        <f>'2021'!G93</f>
        <v>0</v>
      </c>
      <c r="T93" s="584">
        <f>'2022'!G93</f>
        <v>0</v>
      </c>
      <c r="U93" s="584">
        <f>'2023'!G93</f>
        <v>0</v>
      </c>
      <c r="V93" s="584">
        <f>'2024'!G93</f>
        <v>0</v>
      </c>
      <c r="W93" s="585">
        <f>'2025'!G93</f>
        <v>0</v>
      </c>
      <c r="X93" s="619">
        <f>'2020'!H93</f>
        <v>0</v>
      </c>
      <c r="Y93" s="584">
        <f>'2021'!H93</f>
        <v>0</v>
      </c>
      <c r="Z93" s="584">
        <f>'2022'!H93</f>
        <v>0</v>
      </c>
      <c r="AA93" s="584">
        <f>'2023'!H93</f>
        <v>0</v>
      </c>
      <c r="AB93" s="584">
        <f>'2024'!H93</f>
        <v>0</v>
      </c>
      <c r="AC93" s="585">
        <f>'2025'!H93</f>
        <v>0</v>
      </c>
      <c r="AD93" s="421">
        <f t="shared" si="192"/>
        <v>0</v>
      </c>
      <c r="AE93" s="422">
        <f t="shared" si="193"/>
        <v>0</v>
      </c>
      <c r="AF93" s="422">
        <f t="shared" ref="AF93:AF157" si="268">IF(T93="",0,IF(AL93=0,0,AL93/T93))</f>
        <v>0</v>
      </c>
      <c r="AG93" s="422">
        <f t="shared" si="195"/>
        <v>0</v>
      </c>
      <c r="AH93" s="422">
        <f t="shared" si="196"/>
        <v>0</v>
      </c>
      <c r="AI93" s="423">
        <f t="shared" si="197"/>
        <v>0</v>
      </c>
      <c r="AJ93" s="619">
        <f>'2020'!J93</f>
        <v>0</v>
      </c>
      <c r="AK93" s="584">
        <f>'2021'!J93</f>
        <v>0</v>
      </c>
      <c r="AL93" s="584">
        <f>'2022'!J93</f>
        <v>0</v>
      </c>
      <c r="AM93" s="584">
        <f>'2023'!J93</f>
        <v>0</v>
      </c>
      <c r="AN93" s="584">
        <f>'2024'!J93</f>
        <v>0</v>
      </c>
      <c r="AO93" s="585">
        <f>'2025'!J93</f>
        <v>0</v>
      </c>
      <c r="AP93" s="421" t="str">
        <f t="shared" si="208"/>
        <v/>
      </c>
      <c r="AQ93" s="422" t="str">
        <f t="shared" si="198"/>
        <v/>
      </c>
      <c r="AR93" s="422" t="str">
        <f t="shared" si="199"/>
        <v/>
      </c>
      <c r="AS93" s="422" t="str">
        <f t="shared" si="200"/>
        <v/>
      </c>
      <c r="AT93" s="422" t="str">
        <f t="shared" si="201"/>
        <v/>
      </c>
      <c r="AU93" s="423" t="str">
        <f t="shared" si="202"/>
        <v/>
      </c>
      <c r="AV93" s="619">
        <f>'2020'!L93</f>
        <v>0</v>
      </c>
      <c r="AW93" s="584">
        <f>'2021'!L93</f>
        <v>0</v>
      </c>
      <c r="AX93" s="584">
        <f>'2022'!L93</f>
        <v>0</v>
      </c>
      <c r="AY93" s="584">
        <f>'2023'!L93</f>
        <v>0</v>
      </c>
      <c r="AZ93" s="584">
        <f>'2024'!L93</f>
        <v>0</v>
      </c>
      <c r="BA93" s="585">
        <f>'2025'!L93</f>
        <v>0</v>
      </c>
      <c r="BB93" s="421" t="str">
        <f t="shared" si="209"/>
        <v/>
      </c>
      <c r="BC93" s="422" t="str">
        <f t="shared" si="203"/>
        <v/>
      </c>
      <c r="BD93" s="422" t="str">
        <f t="shared" si="204"/>
        <v/>
      </c>
      <c r="BE93" s="422" t="str">
        <f t="shared" si="205"/>
        <v/>
      </c>
      <c r="BF93" s="422" t="str">
        <f t="shared" si="206"/>
        <v/>
      </c>
      <c r="BG93" s="423" t="str">
        <f t="shared" si="207"/>
        <v/>
      </c>
      <c r="BH93" s="732">
        <f>'2020'!N93</f>
        <v>0</v>
      </c>
      <c r="BI93" s="733">
        <f>'2021'!N93</f>
        <v>0</v>
      </c>
      <c r="BJ93" s="733">
        <f>'2022'!N93</f>
        <v>0</v>
      </c>
      <c r="BK93" s="733">
        <f>'2023'!N93</f>
        <v>0</v>
      </c>
      <c r="BL93" s="733">
        <f>'2024'!N93</f>
        <v>0</v>
      </c>
      <c r="BM93" s="734">
        <f>'2025'!N93</f>
        <v>0</v>
      </c>
      <c r="BN93" s="424"/>
      <c r="BO93" s="425"/>
      <c r="BP93" s="424"/>
      <c r="BQ93" s="425"/>
      <c r="BR93" s="446"/>
      <c r="BS93" s="447"/>
      <c r="BT93" s="446"/>
      <c r="BU93" s="448"/>
      <c r="CC93" s="1" t="str">
        <f t="shared" si="210"/>
        <v/>
      </c>
      <c r="CD93" s="1" t="str">
        <f t="shared" si="211"/>
        <v/>
      </c>
      <c r="CE93" s="1" t="str">
        <f t="shared" si="212"/>
        <v/>
      </c>
      <c r="CF93" s="1" t="str">
        <f t="shared" si="213"/>
        <v/>
      </c>
      <c r="CG93" s="1" t="str">
        <f t="shared" si="214"/>
        <v/>
      </c>
      <c r="CH93" s="1" t="str">
        <f t="shared" si="215"/>
        <v/>
      </c>
    </row>
    <row r="94" spans="2:86" ht="15.75" customHeight="1" x14ac:dyDescent="0.3">
      <c r="B94" s="747"/>
      <c r="C94" s="803"/>
      <c r="D94" s="794"/>
      <c r="E94" s="797"/>
      <c r="F94" s="797"/>
      <c r="G94" s="797"/>
      <c r="H94" s="797"/>
      <c r="I94" s="791"/>
      <c r="J94" s="722" t="s">
        <v>166</v>
      </c>
      <c r="K94" s="402" t="str">
        <f t="shared" si="262"/>
        <v/>
      </c>
      <c r="L94" s="402" t="str">
        <f t="shared" si="263"/>
        <v/>
      </c>
      <c r="M94" s="402" t="str">
        <f t="shared" si="264"/>
        <v/>
      </c>
      <c r="N94" s="402" t="str">
        <f t="shared" si="265"/>
        <v/>
      </c>
      <c r="O94" s="402" t="str">
        <f t="shared" si="266"/>
        <v/>
      </c>
      <c r="P94" s="403" t="str">
        <f t="shared" si="267"/>
        <v/>
      </c>
      <c r="Q94" s="242"/>
      <c r="R94" s="586">
        <f>'2020'!G94</f>
        <v>0</v>
      </c>
      <c r="S94" s="587">
        <f>'2021'!G94</f>
        <v>0</v>
      </c>
      <c r="T94" s="587">
        <f>'2022'!G94</f>
        <v>0</v>
      </c>
      <c r="U94" s="587">
        <f>'2023'!G94</f>
        <v>0</v>
      </c>
      <c r="V94" s="587">
        <f>'2024'!G94</f>
        <v>0</v>
      </c>
      <c r="W94" s="588">
        <f>'2025'!G94</f>
        <v>0</v>
      </c>
      <c r="X94" s="620">
        <f>'2020'!H94</f>
        <v>0</v>
      </c>
      <c r="Y94" s="587">
        <f>'2021'!H94</f>
        <v>0</v>
      </c>
      <c r="Z94" s="587">
        <f>'2022'!H94</f>
        <v>0</v>
      </c>
      <c r="AA94" s="587">
        <f>'2023'!H94</f>
        <v>0</v>
      </c>
      <c r="AB94" s="587">
        <f>'2024'!H94</f>
        <v>0</v>
      </c>
      <c r="AC94" s="588">
        <f>'2025'!H94</f>
        <v>0</v>
      </c>
      <c r="AD94" s="429">
        <f t="shared" si="192"/>
        <v>0</v>
      </c>
      <c r="AE94" s="430">
        <f t="shared" si="193"/>
        <v>0</v>
      </c>
      <c r="AF94" s="430">
        <f t="shared" si="268"/>
        <v>0</v>
      </c>
      <c r="AG94" s="430">
        <f t="shared" si="195"/>
        <v>0</v>
      </c>
      <c r="AH94" s="430">
        <f t="shared" si="196"/>
        <v>0</v>
      </c>
      <c r="AI94" s="431">
        <f t="shared" si="197"/>
        <v>0</v>
      </c>
      <c r="AJ94" s="620">
        <f>'2020'!J94</f>
        <v>0</v>
      </c>
      <c r="AK94" s="587">
        <f>'2021'!J94</f>
        <v>0</v>
      </c>
      <c r="AL94" s="587">
        <f>'2022'!J94</f>
        <v>0</v>
      </c>
      <c r="AM94" s="587">
        <f>'2023'!J94</f>
        <v>0</v>
      </c>
      <c r="AN94" s="587">
        <f>'2024'!J94</f>
        <v>0</v>
      </c>
      <c r="AO94" s="588">
        <f>'2025'!J94</f>
        <v>0</v>
      </c>
      <c r="AP94" s="429" t="str">
        <f t="shared" si="208"/>
        <v/>
      </c>
      <c r="AQ94" s="430" t="str">
        <f t="shared" si="198"/>
        <v/>
      </c>
      <c r="AR94" s="430" t="str">
        <f t="shared" si="199"/>
        <v/>
      </c>
      <c r="AS94" s="430" t="str">
        <f t="shared" si="200"/>
        <v/>
      </c>
      <c r="AT94" s="430" t="str">
        <f t="shared" si="201"/>
        <v/>
      </c>
      <c r="AU94" s="431" t="str">
        <f t="shared" si="202"/>
        <v/>
      </c>
      <c r="AV94" s="620">
        <f>'2020'!L94</f>
        <v>0</v>
      </c>
      <c r="AW94" s="587">
        <f>'2021'!L94</f>
        <v>0</v>
      </c>
      <c r="AX94" s="587">
        <f>'2022'!L94</f>
        <v>0</v>
      </c>
      <c r="AY94" s="587">
        <f>'2023'!L94</f>
        <v>0</v>
      </c>
      <c r="AZ94" s="587">
        <f>'2024'!L94</f>
        <v>0</v>
      </c>
      <c r="BA94" s="588">
        <f>'2025'!L94</f>
        <v>0</v>
      </c>
      <c r="BB94" s="429" t="str">
        <f t="shared" si="209"/>
        <v/>
      </c>
      <c r="BC94" s="430" t="str">
        <f t="shared" si="203"/>
        <v/>
      </c>
      <c r="BD94" s="430" t="str">
        <f t="shared" si="204"/>
        <v/>
      </c>
      <c r="BE94" s="430" t="str">
        <f t="shared" si="205"/>
        <v/>
      </c>
      <c r="BF94" s="430" t="str">
        <f t="shared" si="206"/>
        <v/>
      </c>
      <c r="BG94" s="431" t="str">
        <f t="shared" si="207"/>
        <v/>
      </c>
      <c r="BH94" s="735">
        <f>'2020'!N94</f>
        <v>0</v>
      </c>
      <c r="BI94" s="736">
        <f>'2021'!N94</f>
        <v>0</v>
      </c>
      <c r="BJ94" s="736">
        <f>'2022'!N94</f>
        <v>0</v>
      </c>
      <c r="BK94" s="736">
        <f>'2023'!N94</f>
        <v>0</v>
      </c>
      <c r="BL94" s="736">
        <f>'2024'!N94</f>
        <v>0</v>
      </c>
      <c r="BM94" s="737">
        <f>'2025'!N94</f>
        <v>0</v>
      </c>
      <c r="BN94" s="432"/>
      <c r="BO94" s="433"/>
      <c r="BP94" s="432"/>
      <c r="BQ94" s="433"/>
      <c r="BR94" s="450"/>
      <c r="BS94" s="451"/>
      <c r="BT94" s="450"/>
      <c r="BU94" s="452"/>
      <c r="CC94" s="1" t="str">
        <f t="shared" si="210"/>
        <v/>
      </c>
      <c r="CD94" s="1" t="str">
        <f t="shared" si="211"/>
        <v/>
      </c>
      <c r="CE94" s="1" t="str">
        <f t="shared" si="212"/>
        <v/>
      </c>
      <c r="CF94" s="1" t="str">
        <f t="shared" si="213"/>
        <v/>
      </c>
      <c r="CG94" s="1" t="str">
        <f t="shared" si="214"/>
        <v/>
      </c>
      <c r="CH94" s="1" t="str">
        <f t="shared" si="215"/>
        <v/>
      </c>
    </row>
    <row r="95" spans="2:86" ht="15.6" x14ac:dyDescent="0.3">
      <c r="B95" s="753"/>
      <c r="C95" s="804"/>
      <c r="D95" s="380" t="s">
        <v>138</v>
      </c>
      <c r="E95" s="377"/>
      <c r="F95" s="377"/>
      <c r="G95" s="377"/>
      <c r="H95" s="377"/>
      <c r="I95" s="385"/>
      <c r="J95" s="718"/>
      <c r="K95" s="390">
        <f t="shared" ref="K95:P95" si="269">COUNTIF(K86:K94,"X")</f>
        <v>4</v>
      </c>
      <c r="L95" s="390">
        <f t="shared" si="269"/>
        <v>4</v>
      </c>
      <c r="M95" s="390">
        <f t="shared" si="269"/>
        <v>5</v>
      </c>
      <c r="N95" s="390">
        <f t="shared" si="269"/>
        <v>0</v>
      </c>
      <c r="O95" s="390">
        <f t="shared" si="269"/>
        <v>0</v>
      </c>
      <c r="P95" s="391">
        <f t="shared" si="269"/>
        <v>0</v>
      </c>
      <c r="Q95" s="16"/>
      <c r="R95" s="600">
        <f t="shared" ref="R95:AC95" si="270">SUM(R86:R94)</f>
        <v>158</v>
      </c>
      <c r="S95" s="601">
        <f t="shared" si="270"/>
        <v>241</v>
      </c>
      <c r="T95" s="601">
        <f t="shared" si="270"/>
        <v>201</v>
      </c>
      <c r="U95" s="601">
        <f t="shared" si="270"/>
        <v>0</v>
      </c>
      <c r="V95" s="601">
        <f t="shared" si="270"/>
        <v>0</v>
      </c>
      <c r="W95" s="602">
        <f t="shared" si="270"/>
        <v>0</v>
      </c>
      <c r="X95" s="625">
        <f t="shared" si="270"/>
        <v>158</v>
      </c>
      <c r="Y95" s="601">
        <f t="shared" si="270"/>
        <v>177</v>
      </c>
      <c r="Z95" s="601">
        <f t="shared" si="270"/>
        <v>201</v>
      </c>
      <c r="AA95" s="601">
        <f t="shared" si="270"/>
        <v>0</v>
      </c>
      <c r="AB95" s="601">
        <f t="shared" si="270"/>
        <v>0</v>
      </c>
      <c r="AC95" s="602">
        <f t="shared" si="270"/>
        <v>0</v>
      </c>
      <c r="AD95" s="315">
        <f t="shared" si="192"/>
        <v>0.620253164556962</v>
      </c>
      <c r="AE95" s="316">
        <f t="shared" si="193"/>
        <v>0.68049792531120334</v>
      </c>
      <c r="AF95" s="316">
        <f t="shared" si="268"/>
        <v>0.75621890547263682</v>
      </c>
      <c r="AG95" s="316">
        <f t="shared" si="195"/>
        <v>0</v>
      </c>
      <c r="AH95" s="316">
        <f t="shared" si="196"/>
        <v>0</v>
      </c>
      <c r="AI95" s="321">
        <f t="shared" si="197"/>
        <v>0</v>
      </c>
      <c r="AJ95" s="625">
        <f t="shared" ref="AJ95:AO95" si="271">SUM(AJ86:AJ94)</f>
        <v>98</v>
      </c>
      <c r="AK95" s="601">
        <f t="shared" si="271"/>
        <v>164</v>
      </c>
      <c r="AL95" s="601">
        <f t="shared" si="271"/>
        <v>152</v>
      </c>
      <c r="AM95" s="601">
        <f t="shared" si="271"/>
        <v>0</v>
      </c>
      <c r="AN95" s="601">
        <f t="shared" si="271"/>
        <v>0</v>
      </c>
      <c r="AO95" s="602">
        <f t="shared" si="271"/>
        <v>0</v>
      </c>
      <c r="AP95" s="315">
        <f t="shared" si="208"/>
        <v>0.36708860759493672</v>
      </c>
      <c r="AQ95" s="316">
        <f t="shared" si="198"/>
        <v>0.37759336099585061</v>
      </c>
      <c r="AR95" s="316">
        <f t="shared" si="199"/>
        <v>0.39303482587064675</v>
      </c>
      <c r="AS95" s="316" t="str">
        <f t="shared" si="200"/>
        <v/>
      </c>
      <c r="AT95" s="316" t="str">
        <f t="shared" si="201"/>
        <v/>
      </c>
      <c r="AU95" s="321" t="str">
        <f t="shared" si="202"/>
        <v/>
      </c>
      <c r="AV95" s="625">
        <f t="shared" ref="AV95:BA95" si="272">SUM(AV86:AV94)</f>
        <v>58</v>
      </c>
      <c r="AW95" s="601">
        <f t="shared" si="272"/>
        <v>91</v>
      </c>
      <c r="AX95" s="601">
        <f t="shared" si="272"/>
        <v>79</v>
      </c>
      <c r="AY95" s="601">
        <f t="shared" si="272"/>
        <v>0</v>
      </c>
      <c r="AZ95" s="601">
        <f t="shared" si="272"/>
        <v>0</v>
      </c>
      <c r="BA95" s="602">
        <f t="shared" si="272"/>
        <v>0</v>
      </c>
      <c r="BB95" s="317">
        <f t="shared" si="209"/>
        <v>0.7931034482758621</v>
      </c>
      <c r="BC95" s="318">
        <f t="shared" si="203"/>
        <v>0.75824175824175821</v>
      </c>
      <c r="BD95" s="318">
        <f t="shared" si="204"/>
        <v>0.84810126582278478</v>
      </c>
      <c r="BE95" s="318" t="str">
        <f t="shared" si="205"/>
        <v/>
      </c>
      <c r="BF95" s="318" t="str">
        <f t="shared" si="206"/>
        <v/>
      </c>
      <c r="BG95" s="322" t="str">
        <f t="shared" si="207"/>
        <v/>
      </c>
      <c r="BH95" s="625">
        <f t="shared" ref="BH95:BM95" si="273">SUM(BH86:BH94)</f>
        <v>46</v>
      </c>
      <c r="BI95" s="601">
        <f t="shared" si="273"/>
        <v>69</v>
      </c>
      <c r="BJ95" s="601">
        <f t="shared" si="273"/>
        <v>67</v>
      </c>
      <c r="BK95" s="601">
        <f t="shared" si="273"/>
        <v>0</v>
      </c>
      <c r="BL95" s="601">
        <f t="shared" si="273"/>
        <v>0</v>
      </c>
      <c r="BM95" s="602">
        <f t="shared" si="273"/>
        <v>0</v>
      </c>
      <c r="BN95" s="331">
        <f t="shared" ref="BN95:BU95" ca="1" si="274">SUM(BN86:BN150)</f>
        <v>0</v>
      </c>
      <c r="BO95" s="332">
        <f t="shared" ca="1" si="274"/>
        <v>0</v>
      </c>
      <c r="BP95" s="331">
        <f t="shared" ca="1" si="274"/>
        <v>0</v>
      </c>
      <c r="BQ95" s="332">
        <f t="shared" ca="1" si="274"/>
        <v>0</v>
      </c>
      <c r="BR95" s="331">
        <f t="shared" ca="1" si="274"/>
        <v>271</v>
      </c>
      <c r="BS95" s="332">
        <f t="shared" ca="1" si="274"/>
        <v>209</v>
      </c>
      <c r="BT95" s="331">
        <f t="shared" ca="1" si="274"/>
        <v>14</v>
      </c>
      <c r="BU95" s="333">
        <f t="shared" ca="1" si="274"/>
        <v>12</v>
      </c>
      <c r="CC95" s="1">
        <f t="shared" si="210"/>
        <v>0</v>
      </c>
      <c r="CD95" s="1">
        <f t="shared" si="211"/>
        <v>0</v>
      </c>
      <c r="CE95" s="1">
        <f t="shared" si="212"/>
        <v>0</v>
      </c>
      <c r="CF95" s="1">
        <f t="shared" si="213"/>
        <v>0</v>
      </c>
      <c r="CG95" s="1">
        <f t="shared" si="214"/>
        <v>0</v>
      </c>
      <c r="CH95" s="1">
        <f t="shared" si="215"/>
        <v>0</v>
      </c>
    </row>
    <row r="96" spans="2:86" ht="15" customHeight="1" x14ac:dyDescent="0.3">
      <c r="B96" s="779" t="s">
        <v>45</v>
      </c>
      <c r="C96" s="845" t="s">
        <v>76</v>
      </c>
      <c r="D96" s="846">
        <f>'2020'!D96</f>
        <v>10</v>
      </c>
      <c r="E96" s="837">
        <f>'2021'!D96</f>
        <v>17</v>
      </c>
      <c r="F96" s="837">
        <f>'2022'!D96</f>
        <v>12</v>
      </c>
      <c r="G96" s="837">
        <f>'2023'!D96</f>
        <v>12</v>
      </c>
      <c r="H96" s="837"/>
      <c r="I96" s="842"/>
      <c r="J96" s="720" t="s">
        <v>32</v>
      </c>
      <c r="K96" s="404" t="str">
        <f t="shared" ref="K96:K108" si="275">IF(R96=0,"","X")</f>
        <v>X</v>
      </c>
      <c r="L96" s="404" t="str">
        <f t="shared" ref="L96:L108" si="276">IF(S96=0,"","X")</f>
        <v>X</v>
      </c>
      <c r="M96" s="404" t="str">
        <f t="shared" ref="M96:M108" si="277">IF(T96=0,"","X")</f>
        <v>X</v>
      </c>
      <c r="N96" s="404" t="str">
        <f t="shared" ref="N96:N108" si="278">IF(U96=0,"","X")</f>
        <v/>
      </c>
      <c r="O96" s="404" t="str">
        <f t="shared" ref="O96:O108" si="279">IF(V96=0,"","X")</f>
        <v/>
      </c>
      <c r="P96" s="405" t="str">
        <f t="shared" ref="P96:P108" si="280">IF(W96=0,"","X")</f>
        <v/>
      </c>
      <c r="Q96" s="232" t="s">
        <v>62</v>
      </c>
      <c r="R96" s="592">
        <f>'2020'!G96</f>
        <v>59</v>
      </c>
      <c r="S96" s="593">
        <f>'2021'!G96</f>
        <v>76</v>
      </c>
      <c r="T96" s="593">
        <f>'2022'!G96</f>
        <v>94</v>
      </c>
      <c r="U96" s="593">
        <f>'2023'!G96</f>
        <v>0</v>
      </c>
      <c r="V96" s="593">
        <f>'2024'!G96</f>
        <v>0</v>
      </c>
      <c r="W96" s="594">
        <f>'2025'!G96</f>
        <v>0</v>
      </c>
      <c r="X96" s="622">
        <f>'2020'!H96</f>
        <v>59</v>
      </c>
      <c r="Y96" s="593">
        <f>'2021'!H96</f>
        <v>76</v>
      </c>
      <c r="Z96" s="593">
        <f>'2022'!H96</f>
        <v>82</v>
      </c>
      <c r="AA96" s="593">
        <f>'2023'!H96</f>
        <v>0</v>
      </c>
      <c r="AB96" s="593">
        <f>'2024'!H96</f>
        <v>0</v>
      </c>
      <c r="AC96" s="594">
        <f>'2025'!H96</f>
        <v>0</v>
      </c>
      <c r="AD96" s="412">
        <f t="shared" si="192"/>
        <v>0.51</v>
      </c>
      <c r="AE96" s="413">
        <f t="shared" si="193"/>
        <v>0.5</v>
      </c>
      <c r="AF96" s="413">
        <f t="shared" si="268"/>
        <v>0.47872340425531917</v>
      </c>
      <c r="AG96" s="413">
        <f t="shared" si="195"/>
        <v>0</v>
      </c>
      <c r="AH96" s="413">
        <f t="shared" si="196"/>
        <v>0</v>
      </c>
      <c r="AI96" s="414">
        <f t="shared" si="197"/>
        <v>0</v>
      </c>
      <c r="AJ96" s="622">
        <f>'2020'!J96</f>
        <v>30.09</v>
      </c>
      <c r="AK96" s="593">
        <f>'2021'!J96</f>
        <v>38</v>
      </c>
      <c r="AL96" s="593">
        <f>'2022'!J96</f>
        <v>45</v>
      </c>
      <c r="AM96" s="593">
        <f>'2023'!J96</f>
        <v>0</v>
      </c>
      <c r="AN96" s="593">
        <f>'2024'!J96</f>
        <v>0</v>
      </c>
      <c r="AO96" s="594">
        <f>'2025'!J96</f>
        <v>0</v>
      </c>
      <c r="AP96" s="412">
        <f t="shared" si="208"/>
        <v>0.44</v>
      </c>
      <c r="AQ96" s="413">
        <f t="shared" si="198"/>
        <v>0.38157894736842107</v>
      </c>
      <c r="AR96" s="413">
        <f t="shared" si="199"/>
        <v>0.34042553191489361</v>
      </c>
      <c r="AS96" s="413" t="str">
        <f t="shared" si="200"/>
        <v/>
      </c>
      <c r="AT96" s="413" t="str">
        <f t="shared" si="201"/>
        <v/>
      </c>
      <c r="AU96" s="414" t="str">
        <f t="shared" si="202"/>
        <v/>
      </c>
      <c r="AV96" s="622">
        <f>'2020'!L96</f>
        <v>25.96</v>
      </c>
      <c r="AW96" s="593">
        <f>'2021'!L96</f>
        <v>29</v>
      </c>
      <c r="AX96" s="593">
        <f>'2022'!L96</f>
        <v>32</v>
      </c>
      <c r="AY96" s="593">
        <f>'2023'!L96</f>
        <v>0</v>
      </c>
      <c r="AZ96" s="593">
        <f>'2024'!L96</f>
        <v>0</v>
      </c>
      <c r="BA96" s="594">
        <f>'2025'!L96</f>
        <v>0</v>
      </c>
      <c r="BB96" s="412">
        <f t="shared" si="209"/>
        <v>0.62000000000000011</v>
      </c>
      <c r="BC96" s="413">
        <f t="shared" si="203"/>
        <v>0.72413793103448276</v>
      </c>
      <c r="BD96" s="413">
        <f t="shared" si="204"/>
        <v>0.59375</v>
      </c>
      <c r="BE96" s="413" t="str">
        <f t="shared" si="205"/>
        <v/>
      </c>
      <c r="BF96" s="413" t="str">
        <f t="shared" si="206"/>
        <v/>
      </c>
      <c r="BG96" s="414" t="str">
        <f t="shared" si="207"/>
        <v/>
      </c>
      <c r="BH96" s="738">
        <f>'2020'!N96</f>
        <v>16.095200000000002</v>
      </c>
      <c r="BI96" s="739">
        <f>'2021'!N96</f>
        <v>21</v>
      </c>
      <c r="BJ96" s="739">
        <f>'2022'!N96</f>
        <v>19</v>
      </c>
      <c r="BK96" s="739">
        <f>'2023'!N96</f>
        <v>0</v>
      </c>
      <c r="BL96" s="739">
        <f>'2024'!N96</f>
        <v>0</v>
      </c>
      <c r="BM96" s="740">
        <f>'2025'!N96</f>
        <v>0</v>
      </c>
      <c r="BN96" s="415" t="s">
        <v>21</v>
      </c>
      <c r="BO96" s="416" t="s">
        <v>21</v>
      </c>
      <c r="BP96" s="415" t="s">
        <v>21</v>
      </c>
      <c r="BQ96" s="416" t="s">
        <v>21</v>
      </c>
      <c r="BR96" s="443">
        <v>75</v>
      </c>
      <c r="BS96" s="444">
        <v>75</v>
      </c>
      <c r="BT96" s="443">
        <v>1</v>
      </c>
      <c r="BU96" s="445">
        <v>1</v>
      </c>
      <c r="CC96" s="1" t="str">
        <f t="shared" si="210"/>
        <v>Frontière</v>
      </c>
      <c r="CD96" s="1" t="str">
        <f t="shared" si="211"/>
        <v>Frontière</v>
      </c>
      <c r="CE96" s="1" t="str">
        <f t="shared" si="212"/>
        <v>Frontière</v>
      </c>
      <c r="CF96" s="1" t="str">
        <f t="shared" si="213"/>
        <v/>
      </c>
      <c r="CG96" s="1" t="str">
        <f t="shared" si="214"/>
        <v/>
      </c>
      <c r="CH96" s="1" t="str">
        <f t="shared" si="215"/>
        <v/>
      </c>
    </row>
    <row r="97" spans="2:86" ht="15" customHeight="1" x14ac:dyDescent="0.3">
      <c r="B97" s="779"/>
      <c r="C97" s="845"/>
      <c r="D97" s="847"/>
      <c r="E97" s="838"/>
      <c r="F97" s="838"/>
      <c r="G97" s="838"/>
      <c r="H97" s="838"/>
      <c r="I97" s="843"/>
      <c r="J97" s="721" t="s">
        <v>33</v>
      </c>
      <c r="K97" s="406" t="str">
        <f t="shared" si="275"/>
        <v>X</v>
      </c>
      <c r="L97" s="406" t="str">
        <f t="shared" si="276"/>
        <v>X</v>
      </c>
      <c r="M97" s="406" t="str">
        <f t="shared" si="277"/>
        <v>X</v>
      </c>
      <c r="N97" s="406" t="str">
        <f t="shared" si="278"/>
        <v/>
      </c>
      <c r="O97" s="406" t="str">
        <f t="shared" si="279"/>
        <v/>
      </c>
      <c r="P97" s="407" t="str">
        <f t="shared" si="280"/>
        <v/>
      </c>
      <c r="Q97" s="237" t="s">
        <v>62</v>
      </c>
      <c r="R97" s="583">
        <f>'2020'!G97</f>
        <v>45</v>
      </c>
      <c r="S97" s="584">
        <f>'2021'!G97</f>
        <v>80</v>
      </c>
      <c r="T97" s="584">
        <f>'2022'!G97</f>
        <v>100</v>
      </c>
      <c r="U97" s="584">
        <f>'2023'!G97</f>
        <v>0</v>
      </c>
      <c r="V97" s="584">
        <f>'2024'!G97</f>
        <v>0</v>
      </c>
      <c r="W97" s="585">
        <f>'2025'!G97</f>
        <v>0</v>
      </c>
      <c r="X97" s="619">
        <f>'2020'!H97</f>
        <v>45</v>
      </c>
      <c r="Y97" s="584">
        <f>'2021'!H97</f>
        <v>80</v>
      </c>
      <c r="Z97" s="584">
        <f>'2022'!H97</f>
        <v>70</v>
      </c>
      <c r="AA97" s="584">
        <f>'2023'!H97</f>
        <v>0</v>
      </c>
      <c r="AB97" s="584">
        <f>'2024'!H97</f>
        <v>0</v>
      </c>
      <c r="AC97" s="585">
        <f>'2025'!H97</f>
        <v>0</v>
      </c>
      <c r="AD97" s="421">
        <f t="shared" si="192"/>
        <v>0.57999999999999996</v>
      </c>
      <c r="AE97" s="422">
        <f t="shared" si="193"/>
        <v>0.63749999999999996</v>
      </c>
      <c r="AF97" s="422">
        <f t="shared" si="268"/>
        <v>0.61</v>
      </c>
      <c r="AG97" s="422">
        <f t="shared" si="195"/>
        <v>0</v>
      </c>
      <c r="AH97" s="422">
        <f t="shared" si="196"/>
        <v>0</v>
      </c>
      <c r="AI97" s="423">
        <f t="shared" si="197"/>
        <v>0</v>
      </c>
      <c r="AJ97" s="619">
        <f>'2020'!J97</f>
        <v>26.099999999999998</v>
      </c>
      <c r="AK97" s="584">
        <f>'2021'!J97</f>
        <v>51</v>
      </c>
      <c r="AL97" s="584">
        <f>'2022'!J97</f>
        <v>61</v>
      </c>
      <c r="AM97" s="584">
        <f>'2023'!J97</f>
        <v>0</v>
      </c>
      <c r="AN97" s="584">
        <f>'2024'!J97</f>
        <v>0</v>
      </c>
      <c r="AO97" s="585">
        <f>'2025'!J97</f>
        <v>0</v>
      </c>
      <c r="AP97" s="421">
        <f t="shared" si="208"/>
        <v>0.44</v>
      </c>
      <c r="AQ97" s="422">
        <f t="shared" si="198"/>
        <v>0.5</v>
      </c>
      <c r="AR97" s="422">
        <f t="shared" si="199"/>
        <v>0.32</v>
      </c>
      <c r="AS97" s="422" t="str">
        <f t="shared" si="200"/>
        <v/>
      </c>
      <c r="AT97" s="422" t="str">
        <f t="shared" si="201"/>
        <v/>
      </c>
      <c r="AU97" s="423" t="str">
        <f t="shared" si="202"/>
        <v/>
      </c>
      <c r="AV97" s="619">
        <f>'2020'!L97</f>
        <v>19.8</v>
      </c>
      <c r="AW97" s="584">
        <f>'2021'!L97</f>
        <v>40</v>
      </c>
      <c r="AX97" s="584">
        <f>'2022'!L97</f>
        <v>32</v>
      </c>
      <c r="AY97" s="584">
        <f>'2023'!L97</f>
        <v>0</v>
      </c>
      <c r="AZ97" s="584">
        <f>'2024'!L97</f>
        <v>0</v>
      </c>
      <c r="BA97" s="585">
        <f>'2025'!L97</f>
        <v>0</v>
      </c>
      <c r="BB97" s="421">
        <f t="shared" si="209"/>
        <v>0.65</v>
      </c>
      <c r="BC97" s="422">
        <f t="shared" si="203"/>
        <v>0.65</v>
      </c>
      <c r="BD97" s="422">
        <f t="shared" si="204"/>
        <v>0.625</v>
      </c>
      <c r="BE97" s="422" t="str">
        <f t="shared" si="205"/>
        <v/>
      </c>
      <c r="BF97" s="422" t="str">
        <f t="shared" si="206"/>
        <v/>
      </c>
      <c r="BG97" s="423" t="str">
        <f t="shared" si="207"/>
        <v/>
      </c>
      <c r="BH97" s="732">
        <f>'2020'!N97</f>
        <v>12.870000000000001</v>
      </c>
      <c r="BI97" s="733">
        <f>'2021'!N97</f>
        <v>26</v>
      </c>
      <c r="BJ97" s="733">
        <f>'2022'!N97</f>
        <v>20</v>
      </c>
      <c r="BK97" s="733">
        <f>'2023'!N97</f>
        <v>0</v>
      </c>
      <c r="BL97" s="733">
        <f>'2024'!N97</f>
        <v>0</v>
      </c>
      <c r="BM97" s="734">
        <f>'2025'!N97</f>
        <v>0</v>
      </c>
      <c r="BN97" s="424" t="s">
        <v>21</v>
      </c>
      <c r="BO97" s="425" t="s">
        <v>21</v>
      </c>
      <c r="BP97" s="424" t="s">
        <v>21</v>
      </c>
      <c r="BQ97" s="425" t="s">
        <v>21</v>
      </c>
      <c r="BR97" s="446">
        <v>74</v>
      </c>
      <c r="BS97" s="447">
        <v>74</v>
      </c>
      <c r="BT97" s="446">
        <v>6</v>
      </c>
      <c r="BU97" s="448">
        <v>6</v>
      </c>
      <c r="CC97" s="1" t="str">
        <f t="shared" si="210"/>
        <v>Frontière</v>
      </c>
      <c r="CD97" s="1" t="str">
        <f t="shared" si="211"/>
        <v>Frontière</v>
      </c>
      <c r="CE97" s="1" t="str">
        <f t="shared" si="212"/>
        <v>Frontière</v>
      </c>
      <c r="CF97" s="1" t="str">
        <f t="shared" si="213"/>
        <v/>
      </c>
      <c r="CG97" s="1" t="str">
        <f t="shared" si="214"/>
        <v/>
      </c>
      <c r="CH97" s="1" t="str">
        <f t="shared" si="215"/>
        <v/>
      </c>
    </row>
    <row r="98" spans="2:86" ht="15" customHeight="1" x14ac:dyDescent="0.3">
      <c r="B98" s="779"/>
      <c r="C98" s="845"/>
      <c r="D98" s="847"/>
      <c r="E98" s="838"/>
      <c r="F98" s="838"/>
      <c r="G98" s="838"/>
      <c r="H98" s="838"/>
      <c r="I98" s="843"/>
      <c r="J98" s="721" t="s">
        <v>47</v>
      </c>
      <c r="K98" s="406" t="str">
        <f t="shared" si="275"/>
        <v>X</v>
      </c>
      <c r="L98" s="406" t="str">
        <f t="shared" si="276"/>
        <v>X</v>
      </c>
      <c r="M98" s="406" t="str">
        <f t="shared" si="277"/>
        <v>X</v>
      </c>
      <c r="N98" s="406" t="str">
        <f t="shared" si="278"/>
        <v/>
      </c>
      <c r="O98" s="406" t="str">
        <f t="shared" si="279"/>
        <v/>
      </c>
      <c r="P98" s="407" t="str">
        <f t="shared" si="280"/>
        <v/>
      </c>
      <c r="Q98" s="237" t="s">
        <v>62</v>
      </c>
      <c r="R98" s="583">
        <f>'2020'!G98</f>
        <v>16</v>
      </c>
      <c r="S98" s="584">
        <f>'2021'!G98</f>
        <v>31</v>
      </c>
      <c r="T98" s="584">
        <f>'2022'!G98</f>
        <v>32</v>
      </c>
      <c r="U98" s="584">
        <f>'2023'!G98</f>
        <v>0</v>
      </c>
      <c r="V98" s="584">
        <f>'2024'!G98</f>
        <v>0</v>
      </c>
      <c r="W98" s="585">
        <f>'2025'!G98</f>
        <v>0</v>
      </c>
      <c r="X98" s="619">
        <f>'2020'!H98</f>
        <v>16</v>
      </c>
      <c r="Y98" s="584">
        <f>'2021'!H98</f>
        <v>31</v>
      </c>
      <c r="Z98" s="584">
        <f>'2022'!H98</f>
        <v>28</v>
      </c>
      <c r="AA98" s="584">
        <f>'2023'!H98</f>
        <v>0</v>
      </c>
      <c r="AB98" s="584">
        <f>'2024'!H98</f>
        <v>0</v>
      </c>
      <c r="AC98" s="585">
        <f>'2025'!H98</f>
        <v>0</v>
      </c>
      <c r="AD98" s="421">
        <f t="shared" si="192"/>
        <v>0.44</v>
      </c>
      <c r="AE98" s="422">
        <f t="shared" si="193"/>
        <v>0.32258064516129031</v>
      </c>
      <c r="AF98" s="422">
        <f t="shared" si="268"/>
        <v>0.59375</v>
      </c>
      <c r="AG98" s="422">
        <f t="shared" si="195"/>
        <v>0</v>
      </c>
      <c r="AH98" s="422">
        <f t="shared" si="196"/>
        <v>0</v>
      </c>
      <c r="AI98" s="423">
        <f t="shared" si="197"/>
        <v>0</v>
      </c>
      <c r="AJ98" s="619">
        <f>'2020'!J98</f>
        <v>7.04</v>
      </c>
      <c r="AK98" s="584">
        <f>'2021'!J98</f>
        <v>10</v>
      </c>
      <c r="AL98" s="584">
        <f>'2022'!J98</f>
        <v>19</v>
      </c>
      <c r="AM98" s="584">
        <f>'2023'!J98</f>
        <v>0</v>
      </c>
      <c r="AN98" s="584">
        <f>'2024'!J98</f>
        <v>0</v>
      </c>
      <c r="AO98" s="585">
        <f>'2025'!J98</f>
        <v>0</v>
      </c>
      <c r="AP98" s="421">
        <f t="shared" si="208"/>
        <v>0.31</v>
      </c>
      <c r="AQ98" s="422">
        <f t="shared" si="198"/>
        <v>0.35483870967741937</v>
      </c>
      <c r="AR98" s="422">
        <f t="shared" si="199"/>
        <v>0.28125</v>
      </c>
      <c r="AS98" s="422" t="str">
        <f t="shared" si="200"/>
        <v/>
      </c>
      <c r="AT98" s="422" t="str">
        <f t="shared" si="201"/>
        <v/>
      </c>
      <c r="AU98" s="423" t="str">
        <f t="shared" si="202"/>
        <v/>
      </c>
      <c r="AV98" s="619">
        <f>'2020'!L98</f>
        <v>4.96</v>
      </c>
      <c r="AW98" s="584">
        <f>'2021'!L98</f>
        <v>11</v>
      </c>
      <c r="AX98" s="584">
        <f>'2022'!L98</f>
        <v>9</v>
      </c>
      <c r="AY98" s="584">
        <f>'2023'!L98</f>
        <v>0</v>
      </c>
      <c r="AZ98" s="584">
        <f>'2024'!L98</f>
        <v>0</v>
      </c>
      <c r="BA98" s="585">
        <f>'2025'!L98</f>
        <v>0</v>
      </c>
      <c r="BB98" s="421">
        <f t="shared" si="209"/>
        <v>0.4</v>
      </c>
      <c r="BC98" s="422">
        <f t="shared" si="203"/>
        <v>0.45454545454545453</v>
      </c>
      <c r="BD98" s="422">
        <f t="shared" si="204"/>
        <v>0.66666666666666663</v>
      </c>
      <c r="BE98" s="422" t="str">
        <f t="shared" si="205"/>
        <v/>
      </c>
      <c r="BF98" s="422" t="str">
        <f t="shared" si="206"/>
        <v/>
      </c>
      <c r="BG98" s="423" t="str">
        <f t="shared" si="207"/>
        <v/>
      </c>
      <c r="BH98" s="732">
        <f>'2020'!N98</f>
        <v>1.984</v>
      </c>
      <c r="BI98" s="733">
        <f>'2021'!N98</f>
        <v>5</v>
      </c>
      <c r="BJ98" s="733">
        <f>'2022'!N98</f>
        <v>6</v>
      </c>
      <c r="BK98" s="733">
        <f>'2023'!N98</f>
        <v>0</v>
      </c>
      <c r="BL98" s="733">
        <f>'2024'!N98</f>
        <v>0</v>
      </c>
      <c r="BM98" s="734">
        <f>'2025'!N98</f>
        <v>0</v>
      </c>
      <c r="BN98" s="424" t="s">
        <v>21</v>
      </c>
      <c r="BO98" s="425" t="s">
        <v>21</v>
      </c>
      <c r="BP98" s="424" t="s">
        <v>21</v>
      </c>
      <c r="BQ98" s="425" t="s">
        <v>21</v>
      </c>
      <c r="BR98" s="446">
        <v>31</v>
      </c>
      <c r="BS98" s="447">
        <v>31</v>
      </c>
      <c r="BT98" s="446">
        <v>0</v>
      </c>
      <c r="BU98" s="448">
        <v>0</v>
      </c>
      <c r="CC98" s="1" t="str">
        <f t="shared" si="210"/>
        <v>Frontière</v>
      </c>
      <c r="CD98" s="1" t="str">
        <f t="shared" si="211"/>
        <v>Frontière</v>
      </c>
      <c r="CE98" s="1" t="str">
        <f t="shared" si="212"/>
        <v>Frontière</v>
      </c>
      <c r="CF98" s="1" t="str">
        <f t="shared" si="213"/>
        <v/>
      </c>
      <c r="CG98" s="1" t="str">
        <f t="shared" si="214"/>
        <v/>
      </c>
      <c r="CH98" s="1" t="str">
        <f t="shared" si="215"/>
        <v/>
      </c>
    </row>
    <row r="99" spans="2:86" ht="15" customHeight="1" x14ac:dyDescent="0.3">
      <c r="B99" s="779"/>
      <c r="C99" s="845"/>
      <c r="D99" s="847"/>
      <c r="E99" s="838"/>
      <c r="F99" s="838"/>
      <c r="G99" s="838"/>
      <c r="H99" s="838"/>
      <c r="I99" s="843"/>
      <c r="J99" s="721" t="s">
        <v>46</v>
      </c>
      <c r="K99" s="406" t="str">
        <f t="shared" si="275"/>
        <v>X</v>
      </c>
      <c r="L99" s="406" t="str">
        <f t="shared" si="276"/>
        <v>X</v>
      </c>
      <c r="M99" s="406" t="str">
        <f t="shared" si="277"/>
        <v>X</v>
      </c>
      <c r="N99" s="406" t="str">
        <f t="shared" si="278"/>
        <v/>
      </c>
      <c r="O99" s="406" t="str">
        <f t="shared" si="279"/>
        <v/>
      </c>
      <c r="P99" s="407" t="str">
        <f t="shared" si="280"/>
        <v/>
      </c>
      <c r="Q99" s="237" t="s">
        <v>62</v>
      </c>
      <c r="R99" s="583">
        <f>'2020'!G99</f>
        <v>31</v>
      </c>
      <c r="S99" s="584">
        <f>'2021'!G99</f>
        <v>15</v>
      </c>
      <c r="T99" s="584">
        <f>'2022'!G99</f>
        <v>42</v>
      </c>
      <c r="U99" s="584">
        <f>'2023'!G99</f>
        <v>0</v>
      </c>
      <c r="V99" s="584">
        <f>'2024'!G99</f>
        <v>0</v>
      </c>
      <c r="W99" s="585">
        <f>'2025'!G99</f>
        <v>0</v>
      </c>
      <c r="X99" s="619">
        <f>'2020'!H99</f>
        <v>31</v>
      </c>
      <c r="Y99" s="584">
        <f>'2021'!H99</f>
        <v>15</v>
      </c>
      <c r="Z99" s="584">
        <f>'2022'!H99</f>
        <v>16</v>
      </c>
      <c r="AA99" s="584">
        <f>'2023'!H99</f>
        <v>0</v>
      </c>
      <c r="AB99" s="584">
        <f>'2024'!H99</f>
        <v>0</v>
      </c>
      <c r="AC99" s="585">
        <f>'2025'!H99</f>
        <v>0</v>
      </c>
      <c r="AD99" s="421">
        <f t="shared" si="192"/>
        <v>0.28999999999999998</v>
      </c>
      <c r="AE99" s="422">
        <f t="shared" si="193"/>
        <v>0.33333333333333331</v>
      </c>
      <c r="AF99" s="422">
        <f t="shared" si="268"/>
        <v>0.69047619047619047</v>
      </c>
      <c r="AG99" s="422">
        <f t="shared" si="195"/>
        <v>0</v>
      </c>
      <c r="AH99" s="422">
        <f t="shared" si="196"/>
        <v>0</v>
      </c>
      <c r="AI99" s="423">
        <f t="shared" si="197"/>
        <v>0</v>
      </c>
      <c r="AJ99" s="619">
        <f>'2020'!J99</f>
        <v>8.99</v>
      </c>
      <c r="AK99" s="584">
        <f>'2021'!J99</f>
        <v>5</v>
      </c>
      <c r="AL99" s="584">
        <f>'2022'!J99</f>
        <v>29</v>
      </c>
      <c r="AM99" s="584">
        <f>'2023'!J99</f>
        <v>0</v>
      </c>
      <c r="AN99" s="584">
        <f>'2024'!J99</f>
        <v>0</v>
      </c>
      <c r="AO99" s="585">
        <f>'2025'!J99</f>
        <v>0</v>
      </c>
      <c r="AP99" s="421">
        <f t="shared" si="208"/>
        <v>0.32</v>
      </c>
      <c r="AQ99" s="422">
        <f t="shared" si="198"/>
        <v>0</v>
      </c>
      <c r="AR99" s="422">
        <f t="shared" si="199"/>
        <v>0.47619047619047616</v>
      </c>
      <c r="AS99" s="422" t="str">
        <f t="shared" si="200"/>
        <v/>
      </c>
      <c r="AT99" s="422" t="str">
        <f t="shared" si="201"/>
        <v/>
      </c>
      <c r="AU99" s="423" t="str">
        <f t="shared" si="202"/>
        <v/>
      </c>
      <c r="AV99" s="619">
        <f>'2020'!L99</f>
        <v>9.92</v>
      </c>
      <c r="AW99" s="584">
        <f>'2021'!L99</f>
        <v>0</v>
      </c>
      <c r="AX99" s="584">
        <f>'2022'!L99</f>
        <v>20</v>
      </c>
      <c r="AY99" s="584">
        <f>'2023'!L99</f>
        <v>0</v>
      </c>
      <c r="AZ99" s="584">
        <f>'2024'!L99</f>
        <v>0</v>
      </c>
      <c r="BA99" s="585">
        <f>'2025'!L99</f>
        <v>0</v>
      </c>
      <c r="BB99" s="421">
        <f t="shared" si="209"/>
        <v>0.3</v>
      </c>
      <c r="BC99" s="422" t="str">
        <f t="shared" si="203"/>
        <v/>
      </c>
      <c r="BD99" s="422">
        <f t="shared" si="204"/>
        <v>0.75</v>
      </c>
      <c r="BE99" s="422" t="str">
        <f t="shared" si="205"/>
        <v/>
      </c>
      <c r="BF99" s="422" t="str">
        <f t="shared" si="206"/>
        <v/>
      </c>
      <c r="BG99" s="423" t="str">
        <f t="shared" si="207"/>
        <v/>
      </c>
      <c r="BH99" s="732">
        <f>'2020'!N99</f>
        <v>2.976</v>
      </c>
      <c r="BI99" s="733">
        <f>'2021'!N99</f>
        <v>0</v>
      </c>
      <c r="BJ99" s="733">
        <f>'2022'!N99</f>
        <v>15</v>
      </c>
      <c r="BK99" s="733">
        <f>'2023'!N99</f>
        <v>0</v>
      </c>
      <c r="BL99" s="733">
        <f>'2024'!N99</f>
        <v>0</v>
      </c>
      <c r="BM99" s="734">
        <f>'2025'!N99</f>
        <v>0</v>
      </c>
      <c r="BN99" s="424" t="s">
        <v>21</v>
      </c>
      <c r="BO99" s="425" t="s">
        <v>21</v>
      </c>
      <c r="BP99" s="424" t="s">
        <v>21</v>
      </c>
      <c r="BQ99" s="425" t="s">
        <v>21</v>
      </c>
      <c r="BR99" s="446">
        <v>15</v>
      </c>
      <c r="BS99" s="447">
        <v>15</v>
      </c>
      <c r="BT99" s="446">
        <v>0</v>
      </c>
      <c r="BU99" s="448">
        <v>0</v>
      </c>
      <c r="CC99" s="1" t="str">
        <f t="shared" si="210"/>
        <v>Frontière</v>
      </c>
      <c r="CD99" s="1" t="str">
        <f t="shared" si="211"/>
        <v>Frontière</v>
      </c>
      <c r="CE99" s="1" t="str">
        <f t="shared" si="212"/>
        <v>Frontière</v>
      </c>
      <c r="CF99" s="1" t="str">
        <f t="shared" si="213"/>
        <v/>
      </c>
      <c r="CG99" s="1" t="str">
        <f t="shared" si="214"/>
        <v/>
      </c>
      <c r="CH99" s="1" t="str">
        <f t="shared" si="215"/>
        <v/>
      </c>
    </row>
    <row r="100" spans="2:86" ht="15" customHeight="1" x14ac:dyDescent="0.3">
      <c r="B100" s="779"/>
      <c r="C100" s="845"/>
      <c r="D100" s="847"/>
      <c r="E100" s="838"/>
      <c r="F100" s="838"/>
      <c r="G100" s="838"/>
      <c r="H100" s="838"/>
      <c r="I100" s="843"/>
      <c r="J100" s="721" t="s">
        <v>35</v>
      </c>
      <c r="K100" s="406" t="str">
        <f t="shared" si="275"/>
        <v>X</v>
      </c>
      <c r="L100" s="406" t="str">
        <f t="shared" si="276"/>
        <v>X</v>
      </c>
      <c r="M100" s="406" t="str">
        <f t="shared" si="277"/>
        <v/>
      </c>
      <c r="N100" s="406" t="str">
        <f t="shared" si="278"/>
        <v/>
      </c>
      <c r="O100" s="406" t="str">
        <f t="shared" si="279"/>
        <v/>
      </c>
      <c r="P100" s="407" t="str">
        <f t="shared" si="280"/>
        <v/>
      </c>
      <c r="Q100" s="237" t="s">
        <v>62</v>
      </c>
      <c r="R100" s="583">
        <f>'2020'!G100</f>
        <v>3</v>
      </c>
      <c r="S100" s="584">
        <f>'2021'!G100</f>
        <v>2</v>
      </c>
      <c r="T100" s="584">
        <f>'2022'!G100</f>
        <v>0</v>
      </c>
      <c r="U100" s="584">
        <f>'2023'!G100</f>
        <v>0</v>
      </c>
      <c r="V100" s="584">
        <f>'2024'!G100</f>
        <v>0</v>
      </c>
      <c r="W100" s="585">
        <f>'2025'!G100</f>
        <v>0</v>
      </c>
      <c r="X100" s="619">
        <f>'2020'!H100</f>
        <v>3</v>
      </c>
      <c r="Y100" s="584">
        <f>'2021'!H100</f>
        <v>2</v>
      </c>
      <c r="Z100" s="584">
        <f>'2022'!H100</f>
        <v>0</v>
      </c>
      <c r="AA100" s="584">
        <f>'2023'!H100</f>
        <v>0</v>
      </c>
      <c r="AB100" s="584">
        <f>'2024'!H100</f>
        <v>0</v>
      </c>
      <c r="AC100" s="585">
        <f>'2025'!H100</f>
        <v>0</v>
      </c>
      <c r="AD100" s="421">
        <f t="shared" si="192"/>
        <v>0</v>
      </c>
      <c r="AE100" s="422">
        <f t="shared" si="193"/>
        <v>0.5</v>
      </c>
      <c r="AF100" s="422">
        <f t="shared" si="268"/>
        <v>0</v>
      </c>
      <c r="AG100" s="422">
        <f t="shared" si="195"/>
        <v>0</v>
      </c>
      <c r="AH100" s="422">
        <f t="shared" si="196"/>
        <v>0</v>
      </c>
      <c r="AI100" s="423">
        <f t="shared" si="197"/>
        <v>0</v>
      </c>
      <c r="AJ100" s="619">
        <f>'2020'!J100</f>
        <v>0</v>
      </c>
      <c r="AK100" s="584">
        <f>'2021'!J100</f>
        <v>1</v>
      </c>
      <c r="AL100" s="584">
        <f>'2022'!J100</f>
        <v>0</v>
      </c>
      <c r="AM100" s="584">
        <f>'2023'!J100</f>
        <v>0</v>
      </c>
      <c r="AN100" s="584">
        <f>'2024'!J100</f>
        <v>0</v>
      </c>
      <c r="AO100" s="585">
        <f>'2025'!J100</f>
        <v>0</v>
      </c>
      <c r="AP100" s="421">
        <f t="shared" si="208"/>
        <v>0</v>
      </c>
      <c r="AQ100" s="422">
        <f t="shared" si="198"/>
        <v>0.5</v>
      </c>
      <c r="AR100" s="422" t="str">
        <f t="shared" si="199"/>
        <v/>
      </c>
      <c r="AS100" s="422" t="str">
        <f t="shared" si="200"/>
        <v/>
      </c>
      <c r="AT100" s="422" t="str">
        <f t="shared" si="201"/>
        <v/>
      </c>
      <c r="AU100" s="423" t="str">
        <f t="shared" si="202"/>
        <v/>
      </c>
      <c r="AV100" s="619">
        <f>'2020'!L100</f>
        <v>0</v>
      </c>
      <c r="AW100" s="584">
        <f>'2021'!L100</f>
        <v>1</v>
      </c>
      <c r="AX100" s="584">
        <f>'2022'!L100</f>
        <v>0</v>
      </c>
      <c r="AY100" s="584">
        <f>'2023'!L100</f>
        <v>0</v>
      </c>
      <c r="AZ100" s="584">
        <f>'2024'!L100</f>
        <v>0</v>
      </c>
      <c r="BA100" s="585">
        <f>'2025'!L100</f>
        <v>0</v>
      </c>
      <c r="BB100" s="421" t="str">
        <f t="shared" si="209"/>
        <v/>
      </c>
      <c r="BC100" s="422">
        <f t="shared" si="203"/>
        <v>1</v>
      </c>
      <c r="BD100" s="422" t="str">
        <f t="shared" si="204"/>
        <v/>
      </c>
      <c r="BE100" s="422" t="str">
        <f t="shared" si="205"/>
        <v/>
      </c>
      <c r="BF100" s="422" t="str">
        <f t="shared" si="206"/>
        <v/>
      </c>
      <c r="BG100" s="423" t="str">
        <f t="shared" si="207"/>
        <v/>
      </c>
      <c r="BH100" s="732" t="str">
        <f>'2020'!N100</f>
        <v>-</v>
      </c>
      <c r="BI100" s="733">
        <f>'2021'!N100</f>
        <v>1</v>
      </c>
      <c r="BJ100" s="733">
        <f>'2022'!N100</f>
        <v>0</v>
      </c>
      <c r="BK100" s="733">
        <f>'2023'!N100</f>
        <v>0</v>
      </c>
      <c r="BL100" s="733">
        <f>'2024'!N100</f>
        <v>0</v>
      </c>
      <c r="BM100" s="734">
        <f>'2025'!N100</f>
        <v>0</v>
      </c>
      <c r="BN100" s="424" t="s">
        <v>21</v>
      </c>
      <c r="BO100" s="425" t="s">
        <v>21</v>
      </c>
      <c r="BP100" s="424" t="s">
        <v>21</v>
      </c>
      <c r="BQ100" s="425" t="s">
        <v>21</v>
      </c>
      <c r="BR100" s="446">
        <v>1</v>
      </c>
      <c r="BS100" s="447">
        <v>1</v>
      </c>
      <c r="BT100" s="446">
        <v>1</v>
      </c>
      <c r="BU100" s="448">
        <v>1</v>
      </c>
      <c r="CC100" s="1" t="str">
        <f t="shared" si="210"/>
        <v>Frontière</v>
      </c>
      <c r="CD100" s="1" t="str">
        <f t="shared" si="211"/>
        <v>Frontière</v>
      </c>
      <c r="CE100" s="1" t="str">
        <f t="shared" si="212"/>
        <v/>
      </c>
      <c r="CF100" s="1" t="str">
        <f t="shared" si="213"/>
        <v/>
      </c>
      <c r="CG100" s="1" t="str">
        <f t="shared" si="214"/>
        <v/>
      </c>
      <c r="CH100" s="1" t="str">
        <f t="shared" si="215"/>
        <v/>
      </c>
    </row>
    <row r="101" spans="2:86" ht="15" customHeight="1" x14ac:dyDescent="0.3">
      <c r="B101" s="779"/>
      <c r="C101" s="845"/>
      <c r="D101" s="847"/>
      <c r="E101" s="838"/>
      <c r="F101" s="838"/>
      <c r="G101" s="838"/>
      <c r="H101" s="838"/>
      <c r="I101" s="843"/>
      <c r="J101" s="721" t="s">
        <v>34</v>
      </c>
      <c r="K101" s="406" t="str">
        <f t="shared" si="275"/>
        <v>X</v>
      </c>
      <c r="L101" s="406" t="str">
        <f t="shared" si="276"/>
        <v>X</v>
      </c>
      <c r="M101" s="406" t="str">
        <f t="shared" si="277"/>
        <v>X</v>
      </c>
      <c r="N101" s="406" t="str">
        <f t="shared" si="278"/>
        <v/>
      </c>
      <c r="O101" s="406" t="str">
        <f t="shared" si="279"/>
        <v/>
      </c>
      <c r="P101" s="407" t="str">
        <f t="shared" si="280"/>
        <v/>
      </c>
      <c r="Q101" s="237" t="s">
        <v>62</v>
      </c>
      <c r="R101" s="583">
        <f>'2020'!G101</f>
        <v>13</v>
      </c>
      <c r="S101" s="584">
        <f>'2021'!G101</f>
        <v>15</v>
      </c>
      <c r="T101" s="584">
        <f>'2022'!G101</f>
        <v>17</v>
      </c>
      <c r="U101" s="584">
        <f>'2023'!G101</f>
        <v>0</v>
      </c>
      <c r="V101" s="584">
        <f>'2024'!G101</f>
        <v>0</v>
      </c>
      <c r="W101" s="585">
        <f>'2025'!G101</f>
        <v>0</v>
      </c>
      <c r="X101" s="619">
        <f>'2020'!H101</f>
        <v>13</v>
      </c>
      <c r="Y101" s="584">
        <f>'2021'!H101</f>
        <v>15</v>
      </c>
      <c r="Z101" s="584">
        <f>'2022'!H101</f>
        <v>14</v>
      </c>
      <c r="AA101" s="584">
        <f>'2023'!H101</f>
        <v>0</v>
      </c>
      <c r="AB101" s="584">
        <f>'2024'!H101</f>
        <v>0</v>
      </c>
      <c r="AC101" s="585">
        <f>'2025'!H101</f>
        <v>0</v>
      </c>
      <c r="AD101" s="421">
        <f t="shared" si="192"/>
        <v>0.23</v>
      </c>
      <c r="AE101" s="422">
        <f t="shared" si="193"/>
        <v>0.53333333333333333</v>
      </c>
      <c r="AF101" s="422">
        <f t="shared" si="268"/>
        <v>0.29411764705882354</v>
      </c>
      <c r="AG101" s="422">
        <f t="shared" si="195"/>
        <v>0</v>
      </c>
      <c r="AH101" s="422">
        <f t="shared" si="196"/>
        <v>0</v>
      </c>
      <c r="AI101" s="423">
        <f t="shared" si="197"/>
        <v>0</v>
      </c>
      <c r="AJ101" s="619">
        <f>'2020'!J101</f>
        <v>2.99</v>
      </c>
      <c r="AK101" s="584">
        <f>'2021'!J101</f>
        <v>8</v>
      </c>
      <c r="AL101" s="584">
        <f>'2022'!J101</f>
        <v>5</v>
      </c>
      <c r="AM101" s="584">
        <f>'2023'!J101</f>
        <v>0</v>
      </c>
      <c r="AN101" s="584">
        <f>'2024'!J101</f>
        <v>0</v>
      </c>
      <c r="AO101" s="585">
        <f>'2025'!J101</f>
        <v>0</v>
      </c>
      <c r="AP101" s="421">
        <f t="shared" si="208"/>
        <v>0.15</v>
      </c>
      <c r="AQ101" s="422">
        <f t="shared" si="198"/>
        <v>0.26666666666666666</v>
      </c>
      <c r="AR101" s="422">
        <f t="shared" si="199"/>
        <v>0.11764705882352941</v>
      </c>
      <c r="AS101" s="422" t="str">
        <f t="shared" si="200"/>
        <v/>
      </c>
      <c r="AT101" s="422" t="str">
        <f t="shared" si="201"/>
        <v/>
      </c>
      <c r="AU101" s="423" t="str">
        <f t="shared" si="202"/>
        <v/>
      </c>
      <c r="AV101" s="619">
        <f>'2020'!L101</f>
        <v>1.95</v>
      </c>
      <c r="AW101" s="584">
        <f>'2021'!L101</f>
        <v>4</v>
      </c>
      <c r="AX101" s="584">
        <f>'2022'!L101</f>
        <v>2</v>
      </c>
      <c r="AY101" s="584">
        <f>'2023'!L101</f>
        <v>0</v>
      </c>
      <c r="AZ101" s="584">
        <f>'2024'!L101</f>
        <v>0</v>
      </c>
      <c r="BA101" s="585">
        <f>'2025'!L101</f>
        <v>0</v>
      </c>
      <c r="BB101" s="421">
        <f t="shared" si="209"/>
        <v>0.5</v>
      </c>
      <c r="BC101" s="422">
        <f t="shared" si="203"/>
        <v>0.5</v>
      </c>
      <c r="BD101" s="422">
        <f t="shared" si="204"/>
        <v>0.5</v>
      </c>
      <c r="BE101" s="422" t="str">
        <f t="shared" si="205"/>
        <v/>
      </c>
      <c r="BF101" s="422" t="str">
        <f t="shared" si="206"/>
        <v/>
      </c>
      <c r="BG101" s="423" t="str">
        <f t="shared" si="207"/>
        <v/>
      </c>
      <c r="BH101" s="732">
        <f>'2020'!N101</f>
        <v>0.97499999999999998</v>
      </c>
      <c r="BI101" s="733">
        <f>'2021'!N101</f>
        <v>2</v>
      </c>
      <c r="BJ101" s="733">
        <f>'2022'!N101</f>
        <v>1</v>
      </c>
      <c r="BK101" s="733">
        <f>'2023'!N101</f>
        <v>0</v>
      </c>
      <c r="BL101" s="733">
        <f>'2024'!N101</f>
        <v>0</v>
      </c>
      <c r="BM101" s="734">
        <f>'2025'!N101</f>
        <v>0</v>
      </c>
      <c r="BN101" s="424" t="s">
        <v>21</v>
      </c>
      <c r="BO101" s="425" t="s">
        <v>21</v>
      </c>
      <c r="BP101" s="424" t="s">
        <v>21</v>
      </c>
      <c r="BQ101" s="425" t="s">
        <v>21</v>
      </c>
      <c r="BR101" s="446">
        <v>13</v>
      </c>
      <c r="BS101" s="447">
        <v>13</v>
      </c>
      <c r="BT101" s="446">
        <v>2</v>
      </c>
      <c r="BU101" s="448">
        <v>2</v>
      </c>
      <c r="CC101" s="1" t="str">
        <f t="shared" si="210"/>
        <v>Frontière</v>
      </c>
      <c r="CD101" s="1" t="str">
        <f t="shared" si="211"/>
        <v>Frontière</v>
      </c>
      <c r="CE101" s="1" t="str">
        <f t="shared" si="212"/>
        <v>Frontière</v>
      </c>
      <c r="CF101" s="1" t="str">
        <f t="shared" si="213"/>
        <v/>
      </c>
      <c r="CG101" s="1" t="str">
        <f t="shared" si="214"/>
        <v/>
      </c>
      <c r="CH101" s="1" t="str">
        <f t="shared" si="215"/>
        <v/>
      </c>
    </row>
    <row r="102" spans="2:86" ht="15.75" customHeight="1" x14ac:dyDescent="0.3">
      <c r="B102" s="779"/>
      <c r="C102" s="845"/>
      <c r="D102" s="847"/>
      <c r="E102" s="838"/>
      <c r="F102" s="838"/>
      <c r="G102" s="838"/>
      <c r="H102" s="838"/>
      <c r="I102" s="843"/>
      <c r="J102" s="721" t="s">
        <v>147</v>
      </c>
      <c r="K102" s="406" t="str">
        <f t="shared" si="275"/>
        <v/>
      </c>
      <c r="L102" s="406" t="str">
        <f t="shared" si="276"/>
        <v>X</v>
      </c>
      <c r="M102" s="406" t="str">
        <f t="shared" si="277"/>
        <v>X</v>
      </c>
      <c r="N102" s="406" t="str">
        <f t="shared" si="278"/>
        <v/>
      </c>
      <c r="O102" s="406" t="str">
        <f t="shared" si="279"/>
        <v/>
      </c>
      <c r="P102" s="407" t="str">
        <f t="shared" si="280"/>
        <v/>
      </c>
      <c r="Q102" s="237" t="s">
        <v>62</v>
      </c>
      <c r="R102" s="583">
        <f>'2020'!G102</f>
        <v>0</v>
      </c>
      <c r="S102" s="584">
        <f>'2021'!G102</f>
        <v>12</v>
      </c>
      <c r="T102" s="584">
        <f>'2022'!G102</f>
        <v>12</v>
      </c>
      <c r="U102" s="584">
        <f>'2023'!G102</f>
        <v>0</v>
      </c>
      <c r="V102" s="584">
        <f>'2024'!G102</f>
        <v>0</v>
      </c>
      <c r="W102" s="585">
        <f>'2025'!G102</f>
        <v>0</v>
      </c>
      <c r="X102" s="619">
        <f>'2020'!H102</f>
        <v>0</v>
      </c>
      <c r="Y102" s="584">
        <f>'2021'!H102</f>
        <v>12</v>
      </c>
      <c r="Z102" s="584">
        <f>'2022'!H102</f>
        <v>12</v>
      </c>
      <c r="AA102" s="584">
        <f>'2023'!H102</f>
        <v>0</v>
      </c>
      <c r="AB102" s="584">
        <f>'2024'!H102</f>
        <v>0</v>
      </c>
      <c r="AC102" s="585">
        <f>'2025'!H102</f>
        <v>0</v>
      </c>
      <c r="AD102" s="421">
        <f t="shared" si="192"/>
        <v>0</v>
      </c>
      <c r="AE102" s="422">
        <f t="shared" si="193"/>
        <v>0.83333333333333337</v>
      </c>
      <c r="AF102" s="422">
        <f t="shared" si="268"/>
        <v>0.83333333333333337</v>
      </c>
      <c r="AG102" s="422">
        <f t="shared" si="195"/>
        <v>0</v>
      </c>
      <c r="AH102" s="422">
        <f t="shared" si="196"/>
        <v>0</v>
      </c>
      <c r="AI102" s="423">
        <f t="shared" si="197"/>
        <v>0</v>
      </c>
      <c r="AJ102" s="619">
        <f>'2020'!J102</f>
        <v>0</v>
      </c>
      <c r="AK102" s="584">
        <f>'2021'!J102</f>
        <v>10</v>
      </c>
      <c r="AL102" s="584">
        <f>'2022'!J102</f>
        <v>10</v>
      </c>
      <c r="AM102" s="584">
        <f>'2023'!J102</f>
        <v>0</v>
      </c>
      <c r="AN102" s="584">
        <f>'2024'!J102</f>
        <v>0</v>
      </c>
      <c r="AO102" s="585">
        <f>'2025'!J102</f>
        <v>0</v>
      </c>
      <c r="AP102" s="421" t="str">
        <f t="shared" si="208"/>
        <v/>
      </c>
      <c r="AQ102" s="422">
        <f t="shared" si="198"/>
        <v>0.58333333333333337</v>
      </c>
      <c r="AR102" s="422">
        <f t="shared" si="199"/>
        <v>0.58333333333333337</v>
      </c>
      <c r="AS102" s="422" t="str">
        <f t="shared" si="200"/>
        <v/>
      </c>
      <c r="AT102" s="422" t="str">
        <f t="shared" si="201"/>
        <v/>
      </c>
      <c r="AU102" s="423" t="str">
        <f t="shared" si="202"/>
        <v/>
      </c>
      <c r="AV102" s="619">
        <f>'2020'!L102</f>
        <v>0</v>
      </c>
      <c r="AW102" s="584">
        <f>'2021'!L102</f>
        <v>7</v>
      </c>
      <c r="AX102" s="584">
        <f>'2022'!L102</f>
        <v>7</v>
      </c>
      <c r="AY102" s="584">
        <f>'2023'!L102</f>
        <v>0</v>
      </c>
      <c r="AZ102" s="584">
        <f>'2024'!L102</f>
        <v>0</v>
      </c>
      <c r="BA102" s="585">
        <f>'2025'!L102</f>
        <v>0</v>
      </c>
      <c r="BB102" s="421" t="str">
        <f t="shared" si="209"/>
        <v/>
      </c>
      <c r="BC102" s="422">
        <f t="shared" si="203"/>
        <v>1</v>
      </c>
      <c r="BD102" s="422">
        <f t="shared" si="204"/>
        <v>1</v>
      </c>
      <c r="BE102" s="422" t="str">
        <f t="shared" si="205"/>
        <v/>
      </c>
      <c r="BF102" s="422" t="str">
        <f t="shared" si="206"/>
        <v/>
      </c>
      <c r="BG102" s="423" t="str">
        <f t="shared" si="207"/>
        <v/>
      </c>
      <c r="BH102" s="732">
        <f>'2020'!N102</f>
        <v>0</v>
      </c>
      <c r="BI102" s="733">
        <f>'2021'!N102</f>
        <v>7</v>
      </c>
      <c r="BJ102" s="733">
        <f>'2022'!N102</f>
        <v>7</v>
      </c>
      <c r="BK102" s="733">
        <f>'2023'!N102</f>
        <v>0</v>
      </c>
      <c r="BL102" s="733">
        <f>'2024'!N102</f>
        <v>0</v>
      </c>
      <c r="BM102" s="734">
        <f>'2025'!N102</f>
        <v>0</v>
      </c>
      <c r="BN102" s="424" t="s">
        <v>21</v>
      </c>
      <c r="BO102" s="425" t="s">
        <v>21</v>
      </c>
      <c r="BP102" s="424" t="s">
        <v>21</v>
      </c>
      <c r="BQ102" s="425" t="s">
        <v>21</v>
      </c>
      <c r="BR102" s="446">
        <v>12</v>
      </c>
      <c r="BS102" s="447">
        <v>12</v>
      </c>
      <c r="BT102" s="446">
        <v>0</v>
      </c>
      <c r="BU102" s="448">
        <v>0</v>
      </c>
      <c r="CC102" s="1" t="str">
        <f t="shared" si="210"/>
        <v/>
      </c>
      <c r="CD102" s="1" t="str">
        <f t="shared" si="211"/>
        <v>Frontière</v>
      </c>
      <c r="CE102" s="1" t="str">
        <f t="shared" si="212"/>
        <v>Frontière</v>
      </c>
      <c r="CF102" s="1" t="str">
        <f t="shared" si="213"/>
        <v/>
      </c>
      <c r="CG102" s="1" t="str">
        <f t="shared" si="214"/>
        <v/>
      </c>
      <c r="CH102" s="1" t="str">
        <f t="shared" si="215"/>
        <v/>
      </c>
    </row>
    <row r="103" spans="2:86" ht="15.75" customHeight="1" x14ac:dyDescent="0.3">
      <c r="B103" s="779"/>
      <c r="C103" s="845"/>
      <c r="D103" s="847"/>
      <c r="E103" s="838"/>
      <c r="F103" s="838"/>
      <c r="G103" s="838"/>
      <c r="H103" s="838"/>
      <c r="I103" s="843"/>
      <c r="J103" s="721" t="s">
        <v>166</v>
      </c>
      <c r="K103" s="406" t="str">
        <f t="shared" si="275"/>
        <v/>
      </c>
      <c r="L103" s="406" t="str">
        <f t="shared" si="276"/>
        <v/>
      </c>
      <c r="M103" s="406" t="str">
        <f t="shared" si="277"/>
        <v/>
      </c>
      <c r="N103" s="406" t="str">
        <f t="shared" si="278"/>
        <v/>
      </c>
      <c r="O103" s="406" t="str">
        <f t="shared" si="279"/>
        <v/>
      </c>
      <c r="P103" s="407" t="str">
        <f t="shared" si="280"/>
        <v/>
      </c>
      <c r="Q103" s="237" t="s">
        <v>62</v>
      </c>
      <c r="R103" s="583">
        <f>'2020'!G103</f>
        <v>0</v>
      </c>
      <c r="S103" s="584">
        <f>'2021'!G103</f>
        <v>0</v>
      </c>
      <c r="T103" s="584">
        <f>'2022'!G103</f>
        <v>0</v>
      </c>
      <c r="U103" s="584">
        <f>'2023'!G103</f>
        <v>0</v>
      </c>
      <c r="V103" s="584">
        <f>'2024'!G103</f>
        <v>0</v>
      </c>
      <c r="W103" s="585">
        <f>'2025'!G103</f>
        <v>0</v>
      </c>
      <c r="X103" s="619">
        <f>'2020'!H103</f>
        <v>0</v>
      </c>
      <c r="Y103" s="584">
        <f>'2021'!H103</f>
        <v>0</v>
      </c>
      <c r="Z103" s="584">
        <f>'2022'!H103</f>
        <v>0</v>
      </c>
      <c r="AA103" s="584">
        <f>'2023'!H103</f>
        <v>0</v>
      </c>
      <c r="AB103" s="584">
        <f>'2024'!H103</f>
        <v>0</v>
      </c>
      <c r="AC103" s="585">
        <f>'2025'!H103</f>
        <v>0</v>
      </c>
      <c r="AD103" s="421">
        <f t="shared" si="192"/>
        <v>0</v>
      </c>
      <c r="AE103" s="422">
        <f t="shared" si="193"/>
        <v>0</v>
      </c>
      <c r="AF103" s="422">
        <f t="shared" si="268"/>
        <v>0</v>
      </c>
      <c r="AG103" s="422">
        <f t="shared" si="195"/>
        <v>0</v>
      </c>
      <c r="AH103" s="422">
        <f t="shared" si="196"/>
        <v>0</v>
      </c>
      <c r="AI103" s="423">
        <f t="shared" si="197"/>
        <v>0</v>
      </c>
      <c r="AJ103" s="619">
        <f>'2020'!J103</f>
        <v>0</v>
      </c>
      <c r="AK103" s="584">
        <f>'2021'!J103</f>
        <v>0</v>
      </c>
      <c r="AL103" s="584">
        <f>'2022'!J103</f>
        <v>0</v>
      </c>
      <c r="AM103" s="584">
        <f>'2023'!J103</f>
        <v>0</v>
      </c>
      <c r="AN103" s="584">
        <f>'2024'!J103</f>
        <v>0</v>
      </c>
      <c r="AO103" s="585">
        <f>'2025'!J103</f>
        <v>0</v>
      </c>
      <c r="AP103" s="421" t="str">
        <f t="shared" si="208"/>
        <v/>
      </c>
      <c r="AQ103" s="422" t="str">
        <f t="shared" si="198"/>
        <v/>
      </c>
      <c r="AR103" s="422" t="str">
        <f t="shared" si="199"/>
        <v/>
      </c>
      <c r="AS103" s="422" t="str">
        <f t="shared" si="200"/>
        <v/>
      </c>
      <c r="AT103" s="422" t="str">
        <f t="shared" si="201"/>
        <v/>
      </c>
      <c r="AU103" s="423" t="str">
        <f t="shared" si="202"/>
        <v/>
      </c>
      <c r="AV103" s="619">
        <f>'2020'!L103</f>
        <v>0</v>
      </c>
      <c r="AW103" s="584">
        <f>'2021'!L103</f>
        <v>0</v>
      </c>
      <c r="AX103" s="584">
        <f>'2022'!L103</f>
        <v>0</v>
      </c>
      <c r="AY103" s="584">
        <f>'2023'!L103</f>
        <v>0</v>
      </c>
      <c r="AZ103" s="584">
        <f>'2024'!L103</f>
        <v>0</v>
      </c>
      <c r="BA103" s="585">
        <f>'2025'!L103</f>
        <v>0</v>
      </c>
      <c r="BB103" s="421" t="str">
        <f t="shared" si="209"/>
        <v/>
      </c>
      <c r="BC103" s="422" t="str">
        <f t="shared" si="203"/>
        <v/>
      </c>
      <c r="BD103" s="422" t="str">
        <f t="shared" si="204"/>
        <v/>
      </c>
      <c r="BE103" s="422" t="str">
        <f t="shared" si="205"/>
        <v/>
      </c>
      <c r="BF103" s="422" t="str">
        <f t="shared" si="206"/>
        <v/>
      </c>
      <c r="BG103" s="423" t="str">
        <f t="shared" si="207"/>
        <v/>
      </c>
      <c r="BH103" s="732">
        <f>'2020'!N103</f>
        <v>0</v>
      </c>
      <c r="BI103" s="733">
        <f>'2021'!N103</f>
        <v>0</v>
      </c>
      <c r="BJ103" s="733">
        <f>'2022'!N103</f>
        <v>0</v>
      </c>
      <c r="BK103" s="733">
        <f>'2023'!N103</f>
        <v>0</v>
      </c>
      <c r="BL103" s="733">
        <f>'2024'!N103</f>
        <v>0</v>
      </c>
      <c r="BM103" s="734">
        <f>'2025'!N103</f>
        <v>0</v>
      </c>
      <c r="BN103" s="424"/>
      <c r="BO103" s="425"/>
      <c r="BP103" s="424"/>
      <c r="BQ103" s="425"/>
      <c r="BR103" s="446"/>
      <c r="BS103" s="447"/>
      <c r="BT103" s="446"/>
      <c r="BU103" s="448"/>
      <c r="CC103" s="1" t="str">
        <f t="shared" si="210"/>
        <v/>
      </c>
      <c r="CD103" s="1" t="str">
        <f t="shared" si="211"/>
        <v/>
      </c>
      <c r="CE103" s="1" t="str">
        <f t="shared" si="212"/>
        <v/>
      </c>
      <c r="CF103" s="1" t="str">
        <f t="shared" si="213"/>
        <v/>
      </c>
      <c r="CG103" s="1" t="str">
        <f t="shared" si="214"/>
        <v/>
      </c>
      <c r="CH103" s="1" t="str">
        <f t="shared" si="215"/>
        <v/>
      </c>
    </row>
    <row r="104" spans="2:86" ht="15.75" customHeight="1" x14ac:dyDescent="0.3">
      <c r="B104" s="779"/>
      <c r="C104" s="845"/>
      <c r="D104" s="847"/>
      <c r="E104" s="838"/>
      <c r="F104" s="838"/>
      <c r="G104" s="838"/>
      <c r="H104" s="838"/>
      <c r="I104" s="843"/>
      <c r="J104" s="721" t="s">
        <v>166</v>
      </c>
      <c r="K104" s="406" t="str">
        <f t="shared" si="275"/>
        <v/>
      </c>
      <c r="L104" s="406" t="str">
        <f t="shared" si="276"/>
        <v/>
      </c>
      <c r="M104" s="406" t="str">
        <f t="shared" si="277"/>
        <v/>
      </c>
      <c r="N104" s="406" t="str">
        <f t="shared" si="278"/>
        <v/>
      </c>
      <c r="O104" s="406" t="str">
        <f t="shared" si="279"/>
        <v/>
      </c>
      <c r="P104" s="407" t="str">
        <f t="shared" si="280"/>
        <v/>
      </c>
      <c r="Q104" s="237" t="s">
        <v>62</v>
      </c>
      <c r="R104" s="583">
        <f>'2020'!G104</f>
        <v>0</v>
      </c>
      <c r="S104" s="584">
        <f>'2021'!G104</f>
        <v>0</v>
      </c>
      <c r="T104" s="584">
        <f>'2022'!G104</f>
        <v>0</v>
      </c>
      <c r="U104" s="584">
        <f>'2023'!G104</f>
        <v>0</v>
      </c>
      <c r="V104" s="584">
        <f>'2024'!G104</f>
        <v>0</v>
      </c>
      <c r="W104" s="585">
        <f>'2025'!G104</f>
        <v>0</v>
      </c>
      <c r="X104" s="619">
        <f>'2020'!H104</f>
        <v>0</v>
      </c>
      <c r="Y104" s="584">
        <f>'2021'!H104</f>
        <v>0</v>
      </c>
      <c r="Z104" s="584">
        <f>'2022'!H104</f>
        <v>0</v>
      </c>
      <c r="AA104" s="584">
        <f>'2023'!H104</f>
        <v>0</v>
      </c>
      <c r="AB104" s="584">
        <f>'2024'!H104</f>
        <v>0</v>
      </c>
      <c r="AC104" s="585">
        <f>'2025'!H104</f>
        <v>0</v>
      </c>
      <c r="AD104" s="421">
        <f t="shared" si="192"/>
        <v>0</v>
      </c>
      <c r="AE104" s="422">
        <f t="shared" si="193"/>
        <v>0</v>
      </c>
      <c r="AF104" s="422">
        <f t="shared" si="268"/>
        <v>0</v>
      </c>
      <c r="AG104" s="422">
        <f t="shared" si="195"/>
        <v>0</v>
      </c>
      <c r="AH104" s="422">
        <f t="shared" si="196"/>
        <v>0</v>
      </c>
      <c r="AI104" s="423">
        <f t="shared" si="197"/>
        <v>0</v>
      </c>
      <c r="AJ104" s="619">
        <f>'2020'!J104</f>
        <v>0</v>
      </c>
      <c r="AK104" s="584">
        <f>'2021'!J104</f>
        <v>0</v>
      </c>
      <c r="AL104" s="584">
        <f>'2022'!J104</f>
        <v>0</v>
      </c>
      <c r="AM104" s="584">
        <f>'2023'!J104</f>
        <v>0</v>
      </c>
      <c r="AN104" s="584">
        <f>'2024'!J104</f>
        <v>0</v>
      </c>
      <c r="AO104" s="585">
        <f>'2025'!J104</f>
        <v>0</v>
      </c>
      <c r="AP104" s="421" t="str">
        <f t="shared" si="208"/>
        <v/>
      </c>
      <c r="AQ104" s="422" t="str">
        <f t="shared" si="198"/>
        <v/>
      </c>
      <c r="AR104" s="422" t="str">
        <f t="shared" si="199"/>
        <v/>
      </c>
      <c r="AS104" s="422" t="str">
        <f t="shared" si="200"/>
        <v/>
      </c>
      <c r="AT104" s="422" t="str">
        <f t="shared" si="201"/>
        <v/>
      </c>
      <c r="AU104" s="423" t="str">
        <f t="shared" si="202"/>
        <v/>
      </c>
      <c r="AV104" s="619">
        <f>'2020'!L104</f>
        <v>0</v>
      </c>
      <c r="AW104" s="584">
        <f>'2021'!L104</f>
        <v>0</v>
      </c>
      <c r="AX104" s="584">
        <f>'2022'!L104</f>
        <v>0</v>
      </c>
      <c r="AY104" s="584">
        <f>'2023'!L104</f>
        <v>0</v>
      </c>
      <c r="AZ104" s="584">
        <f>'2024'!L104</f>
        <v>0</v>
      </c>
      <c r="BA104" s="585">
        <f>'2025'!L104</f>
        <v>0</v>
      </c>
      <c r="BB104" s="421" t="str">
        <f t="shared" si="209"/>
        <v/>
      </c>
      <c r="BC104" s="422" t="str">
        <f t="shared" si="203"/>
        <v/>
      </c>
      <c r="BD104" s="422" t="str">
        <f t="shared" si="204"/>
        <v/>
      </c>
      <c r="BE104" s="422" t="str">
        <f t="shared" si="205"/>
        <v/>
      </c>
      <c r="BF104" s="422" t="str">
        <f t="shared" si="206"/>
        <v/>
      </c>
      <c r="BG104" s="423" t="str">
        <f t="shared" si="207"/>
        <v/>
      </c>
      <c r="BH104" s="732">
        <f>'2020'!N104</f>
        <v>0</v>
      </c>
      <c r="BI104" s="733">
        <f>'2021'!N104</f>
        <v>0</v>
      </c>
      <c r="BJ104" s="733">
        <f>'2022'!N104</f>
        <v>0</v>
      </c>
      <c r="BK104" s="733">
        <f>'2023'!N104</f>
        <v>0</v>
      </c>
      <c r="BL104" s="733">
        <f>'2024'!N104</f>
        <v>0</v>
      </c>
      <c r="BM104" s="734">
        <f>'2025'!N104</f>
        <v>0</v>
      </c>
      <c r="BN104" s="424"/>
      <c r="BO104" s="425"/>
      <c r="BP104" s="424"/>
      <c r="BQ104" s="425"/>
      <c r="BR104" s="446"/>
      <c r="BS104" s="447"/>
      <c r="BT104" s="446"/>
      <c r="BU104" s="448"/>
      <c r="CC104" s="1" t="str">
        <f t="shared" si="210"/>
        <v/>
      </c>
      <c r="CD104" s="1" t="str">
        <f t="shared" si="211"/>
        <v/>
      </c>
      <c r="CE104" s="1" t="str">
        <f t="shared" si="212"/>
        <v/>
      </c>
      <c r="CF104" s="1" t="str">
        <f t="shared" si="213"/>
        <v/>
      </c>
      <c r="CG104" s="1" t="str">
        <f t="shared" si="214"/>
        <v/>
      </c>
      <c r="CH104" s="1" t="str">
        <f t="shared" si="215"/>
        <v/>
      </c>
    </row>
    <row r="105" spans="2:86" ht="15.75" customHeight="1" x14ac:dyDescent="0.3">
      <c r="B105" s="779"/>
      <c r="C105" s="845"/>
      <c r="D105" s="847"/>
      <c r="E105" s="838"/>
      <c r="F105" s="838"/>
      <c r="G105" s="838"/>
      <c r="H105" s="838"/>
      <c r="I105" s="843"/>
      <c r="J105" s="721" t="s">
        <v>146</v>
      </c>
      <c r="K105" s="406" t="str">
        <f t="shared" si="275"/>
        <v/>
      </c>
      <c r="L105" s="406" t="str">
        <f t="shared" si="276"/>
        <v>X</v>
      </c>
      <c r="M105" s="406" t="str">
        <f t="shared" si="277"/>
        <v>X</v>
      </c>
      <c r="N105" s="406" t="str">
        <f t="shared" si="278"/>
        <v/>
      </c>
      <c r="O105" s="406" t="str">
        <f t="shared" si="279"/>
        <v/>
      </c>
      <c r="P105" s="407" t="str">
        <f t="shared" si="280"/>
        <v/>
      </c>
      <c r="Q105" s="237" t="s">
        <v>62</v>
      </c>
      <c r="R105" s="583">
        <f>'2020'!G105</f>
        <v>0</v>
      </c>
      <c r="S105" s="584">
        <f>'2021'!G105</f>
        <v>14</v>
      </c>
      <c r="T105" s="584">
        <f>'2022'!G105</f>
        <v>5</v>
      </c>
      <c r="U105" s="584">
        <f>'2023'!G105</f>
        <v>0</v>
      </c>
      <c r="V105" s="584">
        <f>'2024'!G105</f>
        <v>0</v>
      </c>
      <c r="W105" s="585">
        <f>'2025'!G105</f>
        <v>0</v>
      </c>
      <c r="X105" s="619">
        <f>'2020'!H105</f>
        <v>0</v>
      </c>
      <c r="Y105" s="584">
        <f>'2021'!H105</f>
        <v>14</v>
      </c>
      <c r="Z105" s="584">
        <f>'2022'!H105</f>
        <v>5</v>
      </c>
      <c r="AA105" s="584">
        <f>'2023'!H105</f>
        <v>0</v>
      </c>
      <c r="AB105" s="584">
        <f>'2024'!H105</f>
        <v>0</v>
      </c>
      <c r="AC105" s="585">
        <f>'2025'!H105</f>
        <v>0</v>
      </c>
      <c r="AD105" s="421">
        <f t="shared" si="192"/>
        <v>0</v>
      </c>
      <c r="AE105" s="422">
        <f t="shared" si="193"/>
        <v>1</v>
      </c>
      <c r="AF105" s="422">
        <f t="shared" si="268"/>
        <v>0.4</v>
      </c>
      <c r="AG105" s="422">
        <f t="shared" si="195"/>
        <v>0</v>
      </c>
      <c r="AH105" s="422">
        <f t="shared" si="196"/>
        <v>0</v>
      </c>
      <c r="AI105" s="423">
        <f t="shared" si="197"/>
        <v>0</v>
      </c>
      <c r="AJ105" s="619">
        <f>'2020'!J105</f>
        <v>0</v>
      </c>
      <c r="AK105" s="584">
        <f>'2021'!J105</f>
        <v>14</v>
      </c>
      <c r="AL105" s="584">
        <f>'2022'!J105</f>
        <v>2</v>
      </c>
      <c r="AM105" s="584">
        <f>'2023'!J105</f>
        <v>0</v>
      </c>
      <c r="AN105" s="584">
        <f>'2024'!J105</f>
        <v>0</v>
      </c>
      <c r="AO105" s="585">
        <f>'2025'!J105</f>
        <v>0</v>
      </c>
      <c r="AP105" s="421" t="str">
        <f t="shared" si="208"/>
        <v/>
      </c>
      <c r="AQ105" s="422">
        <f t="shared" si="198"/>
        <v>0.35714285714285715</v>
      </c>
      <c r="AR105" s="422">
        <f t="shared" si="199"/>
        <v>0.2</v>
      </c>
      <c r="AS105" s="422" t="str">
        <f t="shared" si="200"/>
        <v/>
      </c>
      <c r="AT105" s="422" t="str">
        <f t="shared" si="201"/>
        <v/>
      </c>
      <c r="AU105" s="423" t="str">
        <f t="shared" si="202"/>
        <v/>
      </c>
      <c r="AV105" s="619">
        <f>'2020'!L105</f>
        <v>0</v>
      </c>
      <c r="AW105" s="584">
        <f>'2021'!L105</f>
        <v>5</v>
      </c>
      <c r="AX105" s="584">
        <f>'2022'!L105</f>
        <v>1</v>
      </c>
      <c r="AY105" s="584">
        <f>'2023'!L105</f>
        <v>0</v>
      </c>
      <c r="AZ105" s="584">
        <f>'2024'!L105</f>
        <v>0</v>
      </c>
      <c r="BA105" s="585">
        <f>'2025'!L105</f>
        <v>0</v>
      </c>
      <c r="BB105" s="421" t="str">
        <f t="shared" si="209"/>
        <v/>
      </c>
      <c r="BC105" s="422">
        <f t="shared" si="203"/>
        <v>1</v>
      </c>
      <c r="BD105" s="422">
        <f t="shared" si="204"/>
        <v>1</v>
      </c>
      <c r="BE105" s="422" t="str">
        <f t="shared" si="205"/>
        <v/>
      </c>
      <c r="BF105" s="422" t="str">
        <f t="shared" si="206"/>
        <v/>
      </c>
      <c r="BG105" s="423" t="str">
        <f t="shared" si="207"/>
        <v/>
      </c>
      <c r="BH105" s="732">
        <f>'2020'!N105</f>
        <v>0</v>
      </c>
      <c r="BI105" s="733">
        <f>'2021'!N105</f>
        <v>5</v>
      </c>
      <c r="BJ105" s="733">
        <f>'2022'!N105</f>
        <v>1</v>
      </c>
      <c r="BK105" s="733">
        <f>'2023'!N105</f>
        <v>0</v>
      </c>
      <c r="BL105" s="733">
        <f>'2024'!N105</f>
        <v>0</v>
      </c>
      <c r="BM105" s="734">
        <f>'2025'!N105</f>
        <v>0</v>
      </c>
      <c r="BN105" s="424" t="s">
        <v>21</v>
      </c>
      <c r="BO105" s="425" t="s">
        <v>21</v>
      </c>
      <c r="BP105" s="424" t="s">
        <v>21</v>
      </c>
      <c r="BQ105" s="425" t="s">
        <v>21</v>
      </c>
      <c r="BR105" s="446">
        <v>14</v>
      </c>
      <c r="BS105" s="447">
        <v>14</v>
      </c>
      <c r="BT105" s="446">
        <v>0</v>
      </c>
      <c r="BU105" s="448">
        <v>0</v>
      </c>
      <c r="CC105" s="1" t="str">
        <f t="shared" si="210"/>
        <v/>
      </c>
      <c r="CD105" s="1" t="str">
        <f t="shared" si="211"/>
        <v>Frontière</v>
      </c>
      <c r="CE105" s="1" t="str">
        <f t="shared" si="212"/>
        <v>Frontière</v>
      </c>
      <c r="CF105" s="1" t="str">
        <f t="shared" si="213"/>
        <v/>
      </c>
      <c r="CG105" s="1" t="str">
        <f t="shared" si="214"/>
        <v/>
      </c>
      <c r="CH105" s="1" t="str">
        <f t="shared" si="215"/>
        <v/>
      </c>
    </row>
    <row r="106" spans="2:86" ht="15.75" customHeight="1" x14ac:dyDescent="0.3">
      <c r="B106" s="779"/>
      <c r="C106" s="845"/>
      <c r="D106" s="847"/>
      <c r="E106" s="838"/>
      <c r="F106" s="838"/>
      <c r="G106" s="838"/>
      <c r="H106" s="838"/>
      <c r="I106" s="843"/>
      <c r="J106" s="721" t="s">
        <v>166</v>
      </c>
      <c r="K106" s="406" t="str">
        <f t="shared" si="275"/>
        <v/>
      </c>
      <c r="L106" s="406" t="str">
        <f t="shared" si="276"/>
        <v/>
      </c>
      <c r="M106" s="406" t="str">
        <f t="shared" si="277"/>
        <v/>
      </c>
      <c r="N106" s="406" t="str">
        <f t="shared" si="278"/>
        <v/>
      </c>
      <c r="O106" s="406" t="str">
        <f t="shared" si="279"/>
        <v/>
      </c>
      <c r="P106" s="407" t="str">
        <f t="shared" si="280"/>
        <v/>
      </c>
      <c r="Q106" s="237"/>
      <c r="R106" s="583">
        <f>'2020'!G106</f>
        <v>0</v>
      </c>
      <c r="S106" s="584">
        <f>'2021'!G106</f>
        <v>0</v>
      </c>
      <c r="T106" s="584">
        <f>'2022'!G106</f>
        <v>0</v>
      </c>
      <c r="U106" s="584">
        <f>'2023'!G106</f>
        <v>0</v>
      </c>
      <c r="V106" s="584">
        <f>'2024'!G106</f>
        <v>0</v>
      </c>
      <c r="W106" s="585">
        <f>'2025'!G106</f>
        <v>0</v>
      </c>
      <c r="X106" s="619">
        <f>'2020'!H106</f>
        <v>0</v>
      </c>
      <c r="Y106" s="584">
        <f>'2021'!H106</f>
        <v>0</v>
      </c>
      <c r="Z106" s="584">
        <f>'2022'!H106</f>
        <v>0</v>
      </c>
      <c r="AA106" s="584">
        <f>'2023'!H106</f>
        <v>0</v>
      </c>
      <c r="AB106" s="584">
        <f>'2024'!H106</f>
        <v>0</v>
      </c>
      <c r="AC106" s="585">
        <f>'2025'!H106</f>
        <v>0</v>
      </c>
      <c r="AD106" s="421">
        <f t="shared" si="192"/>
        <v>0</v>
      </c>
      <c r="AE106" s="422">
        <f t="shared" si="193"/>
        <v>0</v>
      </c>
      <c r="AF106" s="422">
        <f t="shared" si="268"/>
        <v>0</v>
      </c>
      <c r="AG106" s="422">
        <f t="shared" si="195"/>
        <v>0</v>
      </c>
      <c r="AH106" s="422">
        <f t="shared" si="196"/>
        <v>0</v>
      </c>
      <c r="AI106" s="423">
        <f t="shared" si="197"/>
        <v>0</v>
      </c>
      <c r="AJ106" s="619">
        <f>'2020'!J106</f>
        <v>0</v>
      </c>
      <c r="AK106" s="584">
        <f>'2021'!J106</f>
        <v>0</v>
      </c>
      <c r="AL106" s="584">
        <f>'2022'!J106</f>
        <v>0</v>
      </c>
      <c r="AM106" s="584">
        <f>'2023'!J106</f>
        <v>0</v>
      </c>
      <c r="AN106" s="584">
        <f>'2024'!J106</f>
        <v>0</v>
      </c>
      <c r="AO106" s="585">
        <f>'2025'!J106</f>
        <v>0</v>
      </c>
      <c r="AP106" s="421" t="str">
        <f t="shared" si="208"/>
        <v/>
      </c>
      <c r="AQ106" s="422" t="str">
        <f t="shared" si="198"/>
        <v/>
      </c>
      <c r="AR106" s="422" t="str">
        <f t="shared" si="199"/>
        <v/>
      </c>
      <c r="AS106" s="422" t="str">
        <f t="shared" si="200"/>
        <v/>
      </c>
      <c r="AT106" s="422" t="str">
        <f t="shared" si="201"/>
        <v/>
      </c>
      <c r="AU106" s="423" t="str">
        <f t="shared" si="202"/>
        <v/>
      </c>
      <c r="AV106" s="619">
        <f>'2020'!L106</f>
        <v>0</v>
      </c>
      <c r="AW106" s="584">
        <f>'2021'!L106</f>
        <v>0</v>
      </c>
      <c r="AX106" s="584">
        <f>'2022'!L106</f>
        <v>0</v>
      </c>
      <c r="AY106" s="584">
        <f>'2023'!L106</f>
        <v>0</v>
      </c>
      <c r="AZ106" s="584">
        <f>'2024'!L106</f>
        <v>0</v>
      </c>
      <c r="BA106" s="585">
        <f>'2025'!L106</f>
        <v>0</v>
      </c>
      <c r="BB106" s="421" t="str">
        <f t="shared" si="209"/>
        <v/>
      </c>
      <c r="BC106" s="422" t="str">
        <f t="shared" si="203"/>
        <v/>
      </c>
      <c r="BD106" s="422" t="str">
        <f t="shared" si="204"/>
        <v/>
      </c>
      <c r="BE106" s="422" t="str">
        <f t="shared" si="205"/>
        <v/>
      </c>
      <c r="BF106" s="422" t="str">
        <f t="shared" si="206"/>
        <v/>
      </c>
      <c r="BG106" s="423" t="str">
        <f t="shared" si="207"/>
        <v/>
      </c>
      <c r="BH106" s="732">
        <f>'2020'!N106</f>
        <v>0</v>
      </c>
      <c r="BI106" s="733">
        <f>'2021'!N106</f>
        <v>0</v>
      </c>
      <c r="BJ106" s="733">
        <f>'2022'!N106</f>
        <v>0</v>
      </c>
      <c r="BK106" s="733">
        <f>'2023'!N106</f>
        <v>0</v>
      </c>
      <c r="BL106" s="733">
        <f>'2024'!N106</f>
        <v>0</v>
      </c>
      <c r="BM106" s="734">
        <f>'2025'!N106</f>
        <v>0</v>
      </c>
      <c r="BN106" s="424"/>
      <c r="BO106" s="425"/>
      <c r="BP106" s="424"/>
      <c r="BQ106" s="425"/>
      <c r="BR106" s="446"/>
      <c r="BS106" s="447"/>
      <c r="BT106" s="446"/>
      <c r="BU106" s="448"/>
      <c r="CC106" s="1" t="str">
        <f t="shared" si="210"/>
        <v/>
      </c>
      <c r="CD106" s="1" t="str">
        <f t="shared" si="211"/>
        <v/>
      </c>
      <c r="CE106" s="1" t="str">
        <f t="shared" si="212"/>
        <v/>
      </c>
      <c r="CF106" s="1" t="str">
        <f t="shared" si="213"/>
        <v/>
      </c>
      <c r="CG106" s="1" t="str">
        <f t="shared" si="214"/>
        <v/>
      </c>
      <c r="CH106" s="1" t="str">
        <f t="shared" si="215"/>
        <v/>
      </c>
    </row>
    <row r="107" spans="2:86" ht="15.75" customHeight="1" x14ac:dyDescent="0.3">
      <c r="B107" s="779"/>
      <c r="C107" s="845"/>
      <c r="D107" s="847"/>
      <c r="E107" s="838"/>
      <c r="F107" s="838"/>
      <c r="G107" s="838"/>
      <c r="H107" s="838"/>
      <c r="I107" s="843"/>
      <c r="J107" s="721" t="s">
        <v>166</v>
      </c>
      <c r="K107" s="406" t="str">
        <f t="shared" si="275"/>
        <v/>
      </c>
      <c r="L107" s="406" t="str">
        <f t="shared" si="276"/>
        <v/>
      </c>
      <c r="M107" s="406" t="str">
        <f t="shared" si="277"/>
        <v/>
      </c>
      <c r="N107" s="406" t="str">
        <f t="shared" si="278"/>
        <v/>
      </c>
      <c r="O107" s="406" t="str">
        <f t="shared" si="279"/>
        <v/>
      </c>
      <c r="P107" s="407" t="str">
        <f t="shared" si="280"/>
        <v/>
      </c>
      <c r="Q107" s="237"/>
      <c r="R107" s="583">
        <f>'2020'!G107</f>
        <v>0</v>
      </c>
      <c r="S107" s="584">
        <f>'2021'!G107</f>
        <v>0</v>
      </c>
      <c r="T107" s="584">
        <f>'2022'!G107</f>
        <v>0</v>
      </c>
      <c r="U107" s="584">
        <f>'2023'!G107</f>
        <v>0</v>
      </c>
      <c r="V107" s="584">
        <f>'2024'!G107</f>
        <v>0</v>
      </c>
      <c r="W107" s="585">
        <f>'2025'!G107</f>
        <v>0</v>
      </c>
      <c r="X107" s="619">
        <f>'2020'!H107</f>
        <v>0</v>
      </c>
      <c r="Y107" s="584">
        <f>'2021'!H107</f>
        <v>0</v>
      </c>
      <c r="Z107" s="584">
        <f>'2022'!H107</f>
        <v>0</v>
      </c>
      <c r="AA107" s="584">
        <f>'2023'!H107</f>
        <v>0</v>
      </c>
      <c r="AB107" s="584">
        <f>'2024'!H107</f>
        <v>0</v>
      </c>
      <c r="AC107" s="585">
        <f>'2025'!H107</f>
        <v>0</v>
      </c>
      <c r="AD107" s="421">
        <f t="shared" si="192"/>
        <v>0</v>
      </c>
      <c r="AE107" s="422">
        <f t="shared" si="193"/>
        <v>0</v>
      </c>
      <c r="AF107" s="422">
        <f t="shared" si="268"/>
        <v>0</v>
      </c>
      <c r="AG107" s="422">
        <f t="shared" si="195"/>
        <v>0</v>
      </c>
      <c r="AH107" s="422">
        <f t="shared" si="196"/>
        <v>0</v>
      </c>
      <c r="AI107" s="423">
        <f t="shared" si="197"/>
        <v>0</v>
      </c>
      <c r="AJ107" s="619">
        <f>'2020'!J107</f>
        <v>0</v>
      </c>
      <c r="AK107" s="584">
        <f>'2021'!J107</f>
        <v>0</v>
      </c>
      <c r="AL107" s="584">
        <f>'2022'!J107</f>
        <v>0</v>
      </c>
      <c r="AM107" s="584">
        <f>'2023'!J107</f>
        <v>0</v>
      </c>
      <c r="AN107" s="584">
        <f>'2024'!J107</f>
        <v>0</v>
      </c>
      <c r="AO107" s="585">
        <f>'2025'!J107</f>
        <v>0</v>
      </c>
      <c r="AP107" s="421" t="str">
        <f t="shared" si="208"/>
        <v/>
      </c>
      <c r="AQ107" s="422" t="str">
        <f t="shared" si="198"/>
        <v/>
      </c>
      <c r="AR107" s="422" t="str">
        <f t="shared" si="199"/>
        <v/>
      </c>
      <c r="AS107" s="422" t="str">
        <f t="shared" si="200"/>
        <v/>
      </c>
      <c r="AT107" s="422" t="str">
        <f t="shared" si="201"/>
        <v/>
      </c>
      <c r="AU107" s="423" t="str">
        <f t="shared" si="202"/>
        <v/>
      </c>
      <c r="AV107" s="619">
        <f>'2020'!L107</f>
        <v>0</v>
      </c>
      <c r="AW107" s="584">
        <f>'2021'!L107</f>
        <v>0</v>
      </c>
      <c r="AX107" s="584">
        <f>'2022'!L107</f>
        <v>0</v>
      </c>
      <c r="AY107" s="584">
        <f>'2023'!L107</f>
        <v>0</v>
      </c>
      <c r="AZ107" s="584">
        <f>'2024'!L107</f>
        <v>0</v>
      </c>
      <c r="BA107" s="585">
        <f>'2025'!L107</f>
        <v>0</v>
      </c>
      <c r="BB107" s="421" t="str">
        <f t="shared" si="209"/>
        <v/>
      </c>
      <c r="BC107" s="422" t="str">
        <f t="shared" si="203"/>
        <v/>
      </c>
      <c r="BD107" s="422" t="str">
        <f t="shared" si="204"/>
        <v/>
      </c>
      <c r="BE107" s="422" t="str">
        <f t="shared" si="205"/>
        <v/>
      </c>
      <c r="BF107" s="422" t="str">
        <f t="shared" si="206"/>
        <v/>
      </c>
      <c r="BG107" s="423" t="str">
        <f t="shared" si="207"/>
        <v/>
      </c>
      <c r="BH107" s="732">
        <f>'2020'!N107</f>
        <v>0</v>
      </c>
      <c r="BI107" s="733">
        <f>'2021'!N107</f>
        <v>0</v>
      </c>
      <c r="BJ107" s="733">
        <f>'2022'!N107</f>
        <v>0</v>
      </c>
      <c r="BK107" s="733">
        <f>'2023'!N107</f>
        <v>0</v>
      </c>
      <c r="BL107" s="733">
        <f>'2024'!N107</f>
        <v>0</v>
      </c>
      <c r="BM107" s="734">
        <f>'2025'!N107</f>
        <v>0</v>
      </c>
      <c r="BN107" s="424"/>
      <c r="BO107" s="425"/>
      <c r="BP107" s="424"/>
      <c r="BQ107" s="425"/>
      <c r="BR107" s="446"/>
      <c r="BS107" s="447"/>
      <c r="BT107" s="446"/>
      <c r="BU107" s="448"/>
      <c r="CC107" s="1" t="str">
        <f t="shared" si="210"/>
        <v/>
      </c>
      <c r="CD107" s="1" t="str">
        <f t="shared" si="211"/>
        <v/>
      </c>
      <c r="CE107" s="1" t="str">
        <f t="shared" si="212"/>
        <v/>
      </c>
      <c r="CF107" s="1" t="str">
        <f t="shared" si="213"/>
        <v/>
      </c>
      <c r="CG107" s="1" t="str">
        <f t="shared" si="214"/>
        <v/>
      </c>
      <c r="CH107" s="1" t="str">
        <f t="shared" si="215"/>
        <v/>
      </c>
    </row>
    <row r="108" spans="2:86" ht="15.75" customHeight="1" x14ac:dyDescent="0.3">
      <c r="B108" s="779"/>
      <c r="C108" s="845"/>
      <c r="D108" s="848"/>
      <c r="E108" s="839"/>
      <c r="F108" s="839"/>
      <c r="G108" s="839"/>
      <c r="H108" s="839"/>
      <c r="I108" s="844"/>
      <c r="J108" s="722" t="s">
        <v>166</v>
      </c>
      <c r="K108" s="408" t="str">
        <f t="shared" si="275"/>
        <v/>
      </c>
      <c r="L108" s="408" t="str">
        <f t="shared" si="276"/>
        <v/>
      </c>
      <c r="M108" s="408" t="str">
        <f t="shared" si="277"/>
        <v/>
      </c>
      <c r="N108" s="408" t="str">
        <f t="shared" si="278"/>
        <v/>
      </c>
      <c r="O108" s="408" t="str">
        <f t="shared" si="279"/>
        <v/>
      </c>
      <c r="P108" s="409" t="str">
        <f t="shared" si="280"/>
        <v/>
      </c>
      <c r="Q108" s="242"/>
      <c r="R108" s="586">
        <f>'2020'!G108</f>
        <v>0</v>
      </c>
      <c r="S108" s="587">
        <f>'2021'!G108</f>
        <v>0</v>
      </c>
      <c r="T108" s="587">
        <f>'2022'!G108</f>
        <v>0</v>
      </c>
      <c r="U108" s="587">
        <f>'2023'!G108</f>
        <v>0</v>
      </c>
      <c r="V108" s="587">
        <f>'2024'!G108</f>
        <v>0</v>
      </c>
      <c r="W108" s="588">
        <f>'2025'!G108</f>
        <v>0</v>
      </c>
      <c r="X108" s="620">
        <f>'2020'!H108</f>
        <v>0</v>
      </c>
      <c r="Y108" s="587">
        <f>'2021'!H108</f>
        <v>0</v>
      </c>
      <c r="Z108" s="587">
        <f>'2022'!H108</f>
        <v>0</v>
      </c>
      <c r="AA108" s="587">
        <f>'2023'!H108</f>
        <v>0</v>
      </c>
      <c r="AB108" s="587">
        <f>'2024'!H108</f>
        <v>0</v>
      </c>
      <c r="AC108" s="588">
        <f>'2025'!H108</f>
        <v>0</v>
      </c>
      <c r="AD108" s="429">
        <f t="shared" si="192"/>
        <v>0</v>
      </c>
      <c r="AE108" s="430">
        <f t="shared" si="193"/>
        <v>0</v>
      </c>
      <c r="AF108" s="430">
        <f t="shared" si="268"/>
        <v>0</v>
      </c>
      <c r="AG108" s="430">
        <f t="shared" si="195"/>
        <v>0</v>
      </c>
      <c r="AH108" s="430">
        <f t="shared" si="196"/>
        <v>0</v>
      </c>
      <c r="AI108" s="431">
        <f t="shared" si="197"/>
        <v>0</v>
      </c>
      <c r="AJ108" s="620">
        <f>'2020'!J108</f>
        <v>0</v>
      </c>
      <c r="AK108" s="587">
        <f>'2021'!J108</f>
        <v>0</v>
      </c>
      <c r="AL108" s="587">
        <f>'2022'!J108</f>
        <v>0</v>
      </c>
      <c r="AM108" s="587">
        <f>'2023'!J108</f>
        <v>0</v>
      </c>
      <c r="AN108" s="587">
        <f>'2024'!J108</f>
        <v>0</v>
      </c>
      <c r="AO108" s="588">
        <f>'2025'!J108</f>
        <v>0</v>
      </c>
      <c r="AP108" s="429" t="str">
        <f t="shared" si="208"/>
        <v/>
      </c>
      <c r="AQ108" s="430" t="str">
        <f t="shared" si="198"/>
        <v/>
      </c>
      <c r="AR108" s="430" t="str">
        <f t="shared" si="199"/>
        <v/>
      </c>
      <c r="AS108" s="430" t="str">
        <f t="shared" si="200"/>
        <v/>
      </c>
      <c r="AT108" s="430" t="str">
        <f t="shared" si="201"/>
        <v/>
      </c>
      <c r="AU108" s="431" t="str">
        <f t="shared" si="202"/>
        <v/>
      </c>
      <c r="AV108" s="620">
        <f>'2020'!L108</f>
        <v>0</v>
      </c>
      <c r="AW108" s="587">
        <f>'2021'!L108</f>
        <v>0</v>
      </c>
      <c r="AX108" s="587">
        <f>'2022'!L108</f>
        <v>0</v>
      </c>
      <c r="AY108" s="587">
        <f>'2023'!L108</f>
        <v>0</v>
      </c>
      <c r="AZ108" s="587">
        <f>'2024'!L108</f>
        <v>0</v>
      </c>
      <c r="BA108" s="588">
        <f>'2025'!L108</f>
        <v>0</v>
      </c>
      <c r="BB108" s="429" t="str">
        <f t="shared" si="209"/>
        <v/>
      </c>
      <c r="BC108" s="430" t="str">
        <f t="shared" si="203"/>
        <v/>
      </c>
      <c r="BD108" s="430" t="str">
        <f t="shared" si="204"/>
        <v/>
      </c>
      <c r="BE108" s="430" t="str">
        <f t="shared" si="205"/>
        <v/>
      </c>
      <c r="BF108" s="430" t="str">
        <f t="shared" si="206"/>
        <v/>
      </c>
      <c r="BG108" s="431" t="str">
        <f t="shared" si="207"/>
        <v/>
      </c>
      <c r="BH108" s="735">
        <f>'2020'!N108</f>
        <v>0</v>
      </c>
      <c r="BI108" s="736">
        <f>'2021'!N108</f>
        <v>0</v>
      </c>
      <c r="BJ108" s="736">
        <f>'2022'!N108</f>
        <v>0</v>
      </c>
      <c r="BK108" s="736">
        <f>'2023'!N108</f>
        <v>0</v>
      </c>
      <c r="BL108" s="736">
        <f>'2024'!N108</f>
        <v>0</v>
      </c>
      <c r="BM108" s="737">
        <f>'2025'!N108</f>
        <v>0</v>
      </c>
      <c r="BN108" s="432"/>
      <c r="BO108" s="433"/>
      <c r="BP108" s="432"/>
      <c r="BQ108" s="433"/>
      <c r="BR108" s="450"/>
      <c r="BS108" s="451"/>
      <c r="BT108" s="450"/>
      <c r="BU108" s="452"/>
      <c r="CC108" s="1" t="str">
        <f t="shared" si="210"/>
        <v/>
      </c>
      <c r="CD108" s="1" t="str">
        <f t="shared" si="211"/>
        <v/>
      </c>
      <c r="CE108" s="1" t="str">
        <f t="shared" si="212"/>
        <v/>
      </c>
      <c r="CF108" s="1" t="str">
        <f t="shared" si="213"/>
        <v/>
      </c>
      <c r="CG108" s="1" t="str">
        <f t="shared" si="214"/>
        <v/>
      </c>
      <c r="CH108" s="1" t="str">
        <f t="shared" si="215"/>
        <v/>
      </c>
    </row>
    <row r="109" spans="2:86" ht="15.6" x14ac:dyDescent="0.3">
      <c r="B109" s="784"/>
      <c r="C109" s="845"/>
      <c r="D109" s="380" t="s">
        <v>138</v>
      </c>
      <c r="E109" s="377"/>
      <c r="F109" s="377"/>
      <c r="G109" s="377"/>
      <c r="H109" s="377"/>
      <c r="I109" s="385"/>
      <c r="J109" s="718"/>
      <c r="K109" s="390">
        <f>COUNTIF(K96:K108,"X")</f>
        <v>6</v>
      </c>
      <c r="L109" s="392">
        <f t="shared" ref="L109:P109" si="281">COUNTIF(L96:L108,"X")</f>
        <v>8</v>
      </c>
      <c r="M109" s="392">
        <f t="shared" si="281"/>
        <v>7</v>
      </c>
      <c r="N109" s="392">
        <f t="shared" si="281"/>
        <v>0</v>
      </c>
      <c r="O109" s="392">
        <f t="shared" si="281"/>
        <v>0</v>
      </c>
      <c r="P109" s="393">
        <f t="shared" si="281"/>
        <v>0</v>
      </c>
      <c r="Q109" s="16"/>
      <c r="R109" s="600">
        <f>SUM(R96:R108)</f>
        <v>167</v>
      </c>
      <c r="S109" s="601">
        <f t="shared" ref="S109:W109" si="282">SUM(S96:S108)</f>
        <v>245</v>
      </c>
      <c r="T109" s="601">
        <f t="shared" si="282"/>
        <v>302</v>
      </c>
      <c r="U109" s="601">
        <f t="shared" si="282"/>
        <v>0</v>
      </c>
      <c r="V109" s="601">
        <f t="shared" si="282"/>
        <v>0</v>
      </c>
      <c r="W109" s="602">
        <f t="shared" si="282"/>
        <v>0</v>
      </c>
      <c r="X109" s="625">
        <f>SUM(X96:X108)</f>
        <v>167</v>
      </c>
      <c r="Y109" s="601">
        <f t="shared" ref="Y109:AC109" si="283">SUM(Y96:Y108)</f>
        <v>245</v>
      </c>
      <c r="Z109" s="601">
        <f t="shared" si="283"/>
        <v>227</v>
      </c>
      <c r="AA109" s="601">
        <f t="shared" si="283"/>
        <v>0</v>
      </c>
      <c r="AB109" s="601">
        <f t="shared" si="283"/>
        <v>0</v>
      </c>
      <c r="AC109" s="602">
        <f t="shared" si="283"/>
        <v>0</v>
      </c>
      <c r="AD109" s="315">
        <f t="shared" si="192"/>
        <v>0.45035928143712572</v>
      </c>
      <c r="AE109" s="316">
        <f t="shared" si="193"/>
        <v>0.5591836734693878</v>
      </c>
      <c r="AF109" s="316">
        <f t="shared" si="268"/>
        <v>0.56622516556291391</v>
      </c>
      <c r="AG109" s="316">
        <f t="shared" si="195"/>
        <v>0</v>
      </c>
      <c r="AH109" s="316">
        <f t="shared" si="196"/>
        <v>0</v>
      </c>
      <c r="AI109" s="321">
        <f t="shared" si="197"/>
        <v>0</v>
      </c>
      <c r="AJ109" s="625">
        <f>SUM(AJ96:AJ108)</f>
        <v>75.209999999999994</v>
      </c>
      <c r="AK109" s="601">
        <f t="shared" ref="AK109" si="284">SUM(AK96:AK108)</f>
        <v>137</v>
      </c>
      <c r="AL109" s="601">
        <f t="shared" ref="AL109" si="285">SUM(AL96:AL108)</f>
        <v>171</v>
      </c>
      <c r="AM109" s="601">
        <f t="shared" ref="AM109" si="286">SUM(AM96:AM108)</f>
        <v>0</v>
      </c>
      <c r="AN109" s="601">
        <f t="shared" ref="AN109" si="287">SUM(AN96:AN108)</f>
        <v>0</v>
      </c>
      <c r="AO109" s="602">
        <f t="shared" ref="AO109" si="288">SUM(AO96:AO108)</f>
        <v>0</v>
      </c>
      <c r="AP109" s="315">
        <f t="shared" si="208"/>
        <v>0.37479041916167671</v>
      </c>
      <c r="AQ109" s="316">
        <f t="shared" si="198"/>
        <v>0.39591836734693875</v>
      </c>
      <c r="AR109" s="316">
        <f t="shared" si="199"/>
        <v>0.34105960264900664</v>
      </c>
      <c r="AS109" s="316" t="str">
        <f t="shared" si="200"/>
        <v/>
      </c>
      <c r="AT109" s="316" t="str">
        <f t="shared" si="201"/>
        <v/>
      </c>
      <c r="AU109" s="321" t="str">
        <f t="shared" si="202"/>
        <v/>
      </c>
      <c r="AV109" s="625">
        <f>SUM(AV96:AV108)</f>
        <v>62.590000000000011</v>
      </c>
      <c r="AW109" s="601">
        <f t="shared" ref="AW109" si="289">SUM(AW96:AW108)</f>
        <v>97</v>
      </c>
      <c r="AX109" s="601">
        <f t="shared" ref="AX109" si="290">SUM(AX96:AX108)</f>
        <v>103</v>
      </c>
      <c r="AY109" s="601">
        <f t="shared" ref="AY109" si="291">SUM(AY96:AY108)</f>
        <v>0</v>
      </c>
      <c r="AZ109" s="601">
        <f t="shared" ref="AZ109" si="292">SUM(AZ96:AZ108)</f>
        <v>0</v>
      </c>
      <c r="BA109" s="602">
        <f t="shared" ref="BA109" si="293">SUM(BA96:BA108)</f>
        <v>0</v>
      </c>
      <c r="BB109" s="317">
        <f t="shared" si="209"/>
        <v>0.55760025563189008</v>
      </c>
      <c r="BC109" s="318">
        <f t="shared" si="203"/>
        <v>0.69072164948453607</v>
      </c>
      <c r="BD109" s="318">
        <f t="shared" si="204"/>
        <v>0.66990291262135926</v>
      </c>
      <c r="BE109" s="318" t="str">
        <f t="shared" si="205"/>
        <v/>
      </c>
      <c r="BF109" s="318" t="str">
        <f t="shared" si="206"/>
        <v/>
      </c>
      <c r="BG109" s="322" t="str">
        <f t="shared" si="207"/>
        <v/>
      </c>
      <c r="BH109" s="625">
        <f>SUM(BH96:BH108)</f>
        <v>34.900200000000005</v>
      </c>
      <c r="BI109" s="601">
        <f t="shared" ref="BI109" si="294">SUM(BI96:BI108)</f>
        <v>67</v>
      </c>
      <c r="BJ109" s="601">
        <f t="shared" ref="BJ109" si="295">SUM(BJ96:BJ108)</f>
        <v>69</v>
      </c>
      <c r="BK109" s="601">
        <f t="shared" ref="BK109" si="296">SUM(BK96:BK108)</f>
        <v>0</v>
      </c>
      <c r="BL109" s="601">
        <f t="shared" ref="BL109" si="297">SUM(BL96:BL108)</f>
        <v>0</v>
      </c>
      <c r="BM109" s="602">
        <f t="shared" ref="BM109" si="298">SUM(BM96:BM108)</f>
        <v>0</v>
      </c>
      <c r="BN109" s="331">
        <f t="shared" ref="BN109" si="299">SUM(BN96:BN105)</f>
        <v>0</v>
      </c>
      <c r="BO109" s="332">
        <f t="shared" ref="BO109" si="300">SUM(BO96:BO105)</f>
        <v>0</v>
      </c>
      <c r="BP109" s="331">
        <f t="shared" ref="BP109" si="301">SUM(BP96:BP105)</f>
        <v>0</v>
      </c>
      <c r="BQ109" s="332">
        <f t="shared" ref="BQ109" si="302">SUM(BQ96:BQ105)</f>
        <v>0</v>
      </c>
      <c r="BR109" s="331">
        <f t="shared" ref="BR109" si="303">SUM(BR96:BR105)</f>
        <v>235</v>
      </c>
      <c r="BS109" s="332">
        <f t="shared" ref="BS109" si="304">SUM(BS96:BS105)</f>
        <v>235</v>
      </c>
      <c r="BT109" s="331">
        <f t="shared" ref="BT109" si="305">SUM(BT96:BT105)</f>
        <v>10</v>
      </c>
      <c r="BU109" s="333">
        <f t="shared" ref="BU109" si="306">SUM(BU96:BU105)</f>
        <v>10</v>
      </c>
      <c r="CC109" s="1">
        <f t="shared" si="210"/>
        <v>0</v>
      </c>
      <c r="CD109" s="1">
        <f t="shared" si="211"/>
        <v>0</v>
      </c>
      <c r="CE109" s="1">
        <f t="shared" si="212"/>
        <v>0</v>
      </c>
      <c r="CF109" s="1">
        <f t="shared" si="213"/>
        <v>0</v>
      </c>
      <c r="CG109" s="1">
        <f t="shared" si="214"/>
        <v>0</v>
      </c>
      <c r="CH109" s="1">
        <f t="shared" si="215"/>
        <v>0</v>
      </c>
    </row>
    <row r="110" spans="2:86" ht="15.75" customHeight="1" x14ac:dyDescent="0.3">
      <c r="B110" s="773" t="s">
        <v>151</v>
      </c>
      <c r="C110" s="850" t="s">
        <v>76</v>
      </c>
      <c r="D110" s="841">
        <f>'2020'!D110</f>
        <v>14</v>
      </c>
      <c r="E110" s="833">
        <f>'2021'!D110</f>
        <v>17</v>
      </c>
      <c r="F110" s="833">
        <f>'2022'!D110</f>
        <v>23</v>
      </c>
      <c r="G110" s="833">
        <f>'2023'!D110</f>
        <v>23</v>
      </c>
      <c r="H110" s="833"/>
      <c r="I110" s="840"/>
      <c r="J110" s="720" t="s">
        <v>154</v>
      </c>
      <c r="K110" s="404" t="str">
        <f t="shared" ref="K110:K124" si="307">IF(R110=0,"","X")</f>
        <v/>
      </c>
      <c r="L110" s="404" t="str">
        <f t="shared" ref="L110:L124" si="308">IF(S110=0,"","X")</f>
        <v/>
      </c>
      <c r="M110" s="404" t="str">
        <f t="shared" ref="M110:M124" si="309">IF(T110=0,"","X")</f>
        <v>X</v>
      </c>
      <c r="N110" s="404" t="str">
        <f t="shared" ref="N110:N124" si="310">IF(U110=0,"","X")</f>
        <v/>
      </c>
      <c r="O110" s="404" t="str">
        <f t="shared" ref="O110:O124" si="311">IF(V110=0,"","X")</f>
        <v/>
      </c>
      <c r="P110" s="405" t="str">
        <f t="shared" ref="P110:P124" si="312">IF(W110=0,"","X")</f>
        <v/>
      </c>
      <c r="Q110" s="232" t="s">
        <v>62</v>
      </c>
      <c r="R110" s="606">
        <f>'2020'!G110</f>
        <v>0</v>
      </c>
      <c r="S110" s="607">
        <f>'2021'!G110</f>
        <v>0</v>
      </c>
      <c r="T110" s="607">
        <f>'2022'!G110</f>
        <v>5</v>
      </c>
      <c r="U110" s="607">
        <f>'2023'!G110</f>
        <v>0</v>
      </c>
      <c r="V110" s="607">
        <f>'2024'!G110</f>
        <v>0</v>
      </c>
      <c r="W110" s="608">
        <f>'2025'!G110</f>
        <v>0</v>
      </c>
      <c r="X110" s="627">
        <f>'2020'!H110</f>
        <v>0</v>
      </c>
      <c r="Y110" s="607">
        <f>'2021'!H110</f>
        <v>0</v>
      </c>
      <c r="Z110" s="607">
        <f>'2022'!H110</f>
        <v>4</v>
      </c>
      <c r="AA110" s="607">
        <f>'2023'!H110</f>
        <v>0</v>
      </c>
      <c r="AB110" s="607">
        <f>'2024'!H110</f>
        <v>0</v>
      </c>
      <c r="AC110" s="608">
        <f>'2025'!H110</f>
        <v>0</v>
      </c>
      <c r="AD110" s="412">
        <f t="shared" si="192"/>
        <v>0</v>
      </c>
      <c r="AE110" s="413">
        <f t="shared" si="193"/>
        <v>0</v>
      </c>
      <c r="AF110" s="413">
        <f t="shared" si="268"/>
        <v>0</v>
      </c>
      <c r="AG110" s="413">
        <f t="shared" si="195"/>
        <v>0</v>
      </c>
      <c r="AH110" s="413">
        <f t="shared" si="196"/>
        <v>0</v>
      </c>
      <c r="AI110" s="414">
        <f t="shared" si="197"/>
        <v>0</v>
      </c>
      <c r="AJ110" s="627">
        <f>'2020'!J110</f>
        <v>0</v>
      </c>
      <c r="AK110" s="607">
        <f>'2021'!J110</f>
        <v>0</v>
      </c>
      <c r="AL110" s="607">
        <f>'2022'!J110</f>
        <v>0</v>
      </c>
      <c r="AM110" s="607">
        <f>'2023'!J110</f>
        <v>0</v>
      </c>
      <c r="AN110" s="607">
        <f>'2024'!J110</f>
        <v>0</v>
      </c>
      <c r="AO110" s="608">
        <f>'2025'!J110</f>
        <v>0</v>
      </c>
      <c r="AP110" s="412" t="str">
        <f t="shared" si="208"/>
        <v/>
      </c>
      <c r="AQ110" s="413" t="str">
        <f t="shared" si="198"/>
        <v/>
      </c>
      <c r="AR110" s="413">
        <f t="shared" si="199"/>
        <v>0.2</v>
      </c>
      <c r="AS110" s="413" t="str">
        <f t="shared" si="200"/>
        <v/>
      </c>
      <c r="AT110" s="413" t="str">
        <f t="shared" si="201"/>
        <v/>
      </c>
      <c r="AU110" s="414" t="str">
        <f t="shared" si="202"/>
        <v/>
      </c>
      <c r="AV110" s="627">
        <f>'2020'!L110</f>
        <v>0</v>
      </c>
      <c r="AW110" s="607">
        <f>'2021'!L110</f>
        <v>0</v>
      </c>
      <c r="AX110" s="607">
        <f>'2022'!L110</f>
        <v>1</v>
      </c>
      <c r="AY110" s="607">
        <f>'2023'!L110</f>
        <v>0</v>
      </c>
      <c r="AZ110" s="607">
        <f>'2024'!L110</f>
        <v>0</v>
      </c>
      <c r="BA110" s="608">
        <f>'2025'!L110</f>
        <v>0</v>
      </c>
      <c r="BB110" s="453" t="str">
        <f t="shared" si="209"/>
        <v/>
      </c>
      <c r="BC110" s="454" t="str">
        <f t="shared" si="203"/>
        <v/>
      </c>
      <c r="BD110" s="454">
        <f t="shared" si="204"/>
        <v>0</v>
      </c>
      <c r="BE110" s="454" t="str">
        <f t="shared" si="205"/>
        <v/>
      </c>
      <c r="BF110" s="454" t="str">
        <f t="shared" si="206"/>
        <v/>
      </c>
      <c r="BG110" s="455" t="str">
        <f t="shared" si="207"/>
        <v/>
      </c>
      <c r="BH110" s="738">
        <f>'2020'!N110</f>
        <v>0</v>
      </c>
      <c r="BI110" s="739">
        <f>'2021'!N110</f>
        <v>0</v>
      </c>
      <c r="BJ110" s="739">
        <f>'2022'!N110</f>
        <v>0</v>
      </c>
      <c r="BK110" s="739">
        <f>'2023'!N110</f>
        <v>0</v>
      </c>
      <c r="BL110" s="739">
        <f>'2024'!N110</f>
        <v>0</v>
      </c>
      <c r="BM110" s="740">
        <f>'2025'!N110</f>
        <v>0</v>
      </c>
      <c r="BN110" s="415"/>
      <c r="BO110" s="416"/>
      <c r="BP110" s="415"/>
      <c r="BQ110" s="416"/>
      <c r="BR110" s="443"/>
      <c r="BS110" s="444"/>
      <c r="BT110" s="443"/>
      <c r="BU110" s="445"/>
      <c r="BV110" s="221"/>
      <c r="CC110" s="1" t="str">
        <f t="shared" si="210"/>
        <v/>
      </c>
      <c r="CD110" s="1" t="str">
        <f t="shared" si="211"/>
        <v/>
      </c>
      <c r="CE110" s="1" t="str">
        <f t="shared" si="212"/>
        <v>Frontière</v>
      </c>
      <c r="CF110" s="1" t="str">
        <f t="shared" si="213"/>
        <v/>
      </c>
      <c r="CG110" s="1" t="str">
        <f t="shared" si="214"/>
        <v/>
      </c>
      <c r="CH110" s="1" t="str">
        <f t="shared" si="215"/>
        <v/>
      </c>
    </row>
    <row r="111" spans="2:86" ht="15.75" customHeight="1" x14ac:dyDescent="0.3">
      <c r="B111" s="773"/>
      <c r="C111" s="850"/>
      <c r="D111" s="828"/>
      <c r="E111" s="799"/>
      <c r="F111" s="799"/>
      <c r="G111" s="799"/>
      <c r="H111" s="799"/>
      <c r="I111" s="835"/>
      <c r="J111" s="721" t="s">
        <v>155</v>
      </c>
      <c r="K111" s="406" t="str">
        <f t="shared" si="307"/>
        <v/>
      </c>
      <c r="L111" s="406" t="str">
        <f t="shared" si="308"/>
        <v/>
      </c>
      <c r="M111" s="406" t="str">
        <f t="shared" si="309"/>
        <v>X</v>
      </c>
      <c r="N111" s="406" t="str">
        <f t="shared" si="310"/>
        <v/>
      </c>
      <c r="O111" s="406" t="str">
        <f t="shared" si="311"/>
        <v/>
      </c>
      <c r="P111" s="407" t="str">
        <f t="shared" si="312"/>
        <v/>
      </c>
      <c r="Q111" s="237" t="s">
        <v>62</v>
      </c>
      <c r="R111" s="609">
        <f>'2020'!G111</f>
        <v>0</v>
      </c>
      <c r="S111" s="610">
        <f>'2021'!G111</f>
        <v>0</v>
      </c>
      <c r="T111" s="610">
        <f>'2022'!G111</f>
        <v>14</v>
      </c>
      <c r="U111" s="610">
        <f>'2023'!G111</f>
        <v>0</v>
      </c>
      <c r="V111" s="610">
        <f>'2024'!G111</f>
        <v>0</v>
      </c>
      <c r="W111" s="611">
        <f>'2025'!G111</f>
        <v>0</v>
      </c>
      <c r="X111" s="628">
        <f>'2020'!H111</f>
        <v>0</v>
      </c>
      <c r="Y111" s="610">
        <f>'2021'!H111</f>
        <v>0</v>
      </c>
      <c r="Z111" s="610">
        <f>'2022'!H111</f>
        <v>6</v>
      </c>
      <c r="AA111" s="610">
        <f>'2023'!H111</f>
        <v>0</v>
      </c>
      <c r="AB111" s="610">
        <f>'2024'!H111</f>
        <v>0</v>
      </c>
      <c r="AC111" s="611">
        <f>'2025'!H111</f>
        <v>0</v>
      </c>
      <c r="AD111" s="421">
        <f t="shared" si="192"/>
        <v>0</v>
      </c>
      <c r="AE111" s="422">
        <f t="shared" si="193"/>
        <v>0</v>
      </c>
      <c r="AF111" s="422">
        <f t="shared" si="268"/>
        <v>0.5</v>
      </c>
      <c r="AG111" s="422">
        <f t="shared" si="195"/>
        <v>0</v>
      </c>
      <c r="AH111" s="422">
        <f t="shared" si="196"/>
        <v>0</v>
      </c>
      <c r="AI111" s="423">
        <f t="shared" si="197"/>
        <v>0</v>
      </c>
      <c r="AJ111" s="628">
        <f>'2020'!J111</f>
        <v>0</v>
      </c>
      <c r="AK111" s="610">
        <f>'2021'!J111</f>
        <v>0</v>
      </c>
      <c r="AL111" s="610">
        <f>'2022'!J111</f>
        <v>7</v>
      </c>
      <c r="AM111" s="610">
        <f>'2023'!J111</f>
        <v>0</v>
      </c>
      <c r="AN111" s="610">
        <f>'2024'!J111</f>
        <v>0</v>
      </c>
      <c r="AO111" s="611">
        <f>'2025'!J111</f>
        <v>0</v>
      </c>
      <c r="AP111" s="421" t="str">
        <f t="shared" si="208"/>
        <v/>
      </c>
      <c r="AQ111" s="422" t="str">
        <f t="shared" si="198"/>
        <v/>
      </c>
      <c r="AR111" s="422">
        <f t="shared" si="199"/>
        <v>0.14285714285714285</v>
      </c>
      <c r="AS111" s="422" t="str">
        <f t="shared" si="200"/>
        <v/>
      </c>
      <c r="AT111" s="422" t="str">
        <f t="shared" si="201"/>
        <v/>
      </c>
      <c r="AU111" s="423" t="str">
        <f t="shared" si="202"/>
        <v/>
      </c>
      <c r="AV111" s="628">
        <f>'2020'!L111</f>
        <v>0</v>
      </c>
      <c r="AW111" s="610">
        <f>'2021'!L111</f>
        <v>0</v>
      </c>
      <c r="AX111" s="610">
        <f>'2022'!L111</f>
        <v>2</v>
      </c>
      <c r="AY111" s="610">
        <f>'2023'!L111</f>
        <v>0</v>
      </c>
      <c r="AZ111" s="610">
        <f>'2024'!L111</f>
        <v>0</v>
      </c>
      <c r="BA111" s="611">
        <f>'2025'!L111</f>
        <v>0</v>
      </c>
      <c r="BB111" s="456" t="str">
        <f t="shared" si="209"/>
        <v/>
      </c>
      <c r="BC111" s="457" t="str">
        <f t="shared" si="203"/>
        <v/>
      </c>
      <c r="BD111" s="457">
        <f t="shared" si="204"/>
        <v>0.5</v>
      </c>
      <c r="BE111" s="457" t="str">
        <f t="shared" si="205"/>
        <v/>
      </c>
      <c r="BF111" s="457" t="str">
        <f t="shared" si="206"/>
        <v/>
      </c>
      <c r="BG111" s="458" t="str">
        <f t="shared" si="207"/>
        <v/>
      </c>
      <c r="BH111" s="732">
        <f>'2020'!N111</f>
        <v>0</v>
      </c>
      <c r="BI111" s="733">
        <f>'2021'!N111</f>
        <v>0</v>
      </c>
      <c r="BJ111" s="733">
        <f>'2022'!N111</f>
        <v>1</v>
      </c>
      <c r="BK111" s="733">
        <f>'2023'!N111</f>
        <v>0</v>
      </c>
      <c r="BL111" s="733">
        <f>'2024'!N111</f>
        <v>0</v>
      </c>
      <c r="BM111" s="734">
        <f>'2025'!N111</f>
        <v>0</v>
      </c>
      <c r="BN111" s="424"/>
      <c r="BO111" s="425"/>
      <c r="BP111" s="424"/>
      <c r="BQ111" s="425"/>
      <c r="BR111" s="446"/>
      <c r="BS111" s="447"/>
      <c r="BT111" s="446"/>
      <c r="BU111" s="448"/>
      <c r="BV111" s="222"/>
      <c r="CC111" s="1" t="str">
        <f t="shared" si="210"/>
        <v/>
      </c>
      <c r="CD111" s="1" t="str">
        <f t="shared" si="211"/>
        <v/>
      </c>
      <c r="CE111" s="1" t="str">
        <f t="shared" si="212"/>
        <v>Frontière</v>
      </c>
      <c r="CF111" s="1" t="str">
        <f t="shared" si="213"/>
        <v/>
      </c>
      <c r="CG111" s="1" t="str">
        <f t="shared" si="214"/>
        <v/>
      </c>
      <c r="CH111" s="1" t="str">
        <f t="shared" si="215"/>
        <v/>
      </c>
    </row>
    <row r="112" spans="2:86" ht="15.75" customHeight="1" x14ac:dyDescent="0.3">
      <c r="B112" s="773"/>
      <c r="C112" s="850"/>
      <c r="D112" s="828"/>
      <c r="E112" s="799"/>
      <c r="F112" s="799"/>
      <c r="G112" s="799"/>
      <c r="H112" s="799"/>
      <c r="I112" s="835"/>
      <c r="J112" s="721" t="s">
        <v>156</v>
      </c>
      <c r="K112" s="406" t="str">
        <f t="shared" si="307"/>
        <v/>
      </c>
      <c r="L112" s="406" t="str">
        <f t="shared" si="308"/>
        <v/>
      </c>
      <c r="M112" s="406" t="str">
        <f t="shared" si="309"/>
        <v>X</v>
      </c>
      <c r="N112" s="406" t="str">
        <f t="shared" si="310"/>
        <v/>
      </c>
      <c r="O112" s="406" t="str">
        <f t="shared" si="311"/>
        <v/>
      </c>
      <c r="P112" s="407" t="str">
        <f t="shared" si="312"/>
        <v/>
      </c>
      <c r="Q112" s="237" t="s">
        <v>62</v>
      </c>
      <c r="R112" s="609">
        <f>'2020'!G112</f>
        <v>0</v>
      </c>
      <c r="S112" s="610">
        <f>'2021'!G112</f>
        <v>0</v>
      </c>
      <c r="T112" s="610">
        <f>'2022'!G112</f>
        <v>8</v>
      </c>
      <c r="U112" s="610">
        <f>'2023'!G112</f>
        <v>0</v>
      </c>
      <c r="V112" s="610">
        <f>'2024'!G112</f>
        <v>0</v>
      </c>
      <c r="W112" s="611">
        <f>'2025'!G112</f>
        <v>0</v>
      </c>
      <c r="X112" s="628">
        <f>'2020'!H112</f>
        <v>0</v>
      </c>
      <c r="Y112" s="610">
        <f>'2021'!H112</f>
        <v>0</v>
      </c>
      <c r="Z112" s="610">
        <f>'2022'!H112</f>
        <v>3</v>
      </c>
      <c r="AA112" s="610">
        <f>'2023'!H112</f>
        <v>0</v>
      </c>
      <c r="AB112" s="610">
        <f>'2024'!H112</f>
        <v>0</v>
      </c>
      <c r="AC112" s="611">
        <f>'2025'!H112</f>
        <v>0</v>
      </c>
      <c r="AD112" s="421">
        <f t="shared" si="192"/>
        <v>0</v>
      </c>
      <c r="AE112" s="422">
        <f t="shared" si="193"/>
        <v>0</v>
      </c>
      <c r="AF112" s="422">
        <f t="shared" si="268"/>
        <v>0.5</v>
      </c>
      <c r="AG112" s="422">
        <f t="shared" si="195"/>
        <v>0</v>
      </c>
      <c r="AH112" s="422">
        <f t="shared" si="196"/>
        <v>0</v>
      </c>
      <c r="AI112" s="423">
        <f t="shared" si="197"/>
        <v>0</v>
      </c>
      <c r="AJ112" s="628">
        <f>'2020'!J112</f>
        <v>0</v>
      </c>
      <c r="AK112" s="610">
        <f>'2021'!J112</f>
        <v>0</v>
      </c>
      <c r="AL112" s="610">
        <f>'2022'!J112</f>
        <v>4</v>
      </c>
      <c r="AM112" s="610">
        <f>'2023'!J112</f>
        <v>0</v>
      </c>
      <c r="AN112" s="610">
        <f>'2024'!J112</f>
        <v>0</v>
      </c>
      <c r="AO112" s="611">
        <f>'2025'!J112</f>
        <v>0</v>
      </c>
      <c r="AP112" s="421" t="str">
        <f t="shared" si="208"/>
        <v/>
      </c>
      <c r="AQ112" s="422" t="str">
        <f t="shared" si="198"/>
        <v/>
      </c>
      <c r="AR112" s="422">
        <f t="shared" si="199"/>
        <v>0.375</v>
      </c>
      <c r="AS112" s="422" t="str">
        <f t="shared" si="200"/>
        <v/>
      </c>
      <c r="AT112" s="422" t="str">
        <f t="shared" si="201"/>
        <v/>
      </c>
      <c r="AU112" s="423" t="str">
        <f t="shared" si="202"/>
        <v/>
      </c>
      <c r="AV112" s="628">
        <f>'2020'!L112</f>
        <v>0</v>
      </c>
      <c r="AW112" s="610">
        <f>'2021'!L112</f>
        <v>0</v>
      </c>
      <c r="AX112" s="610">
        <f>'2022'!L112</f>
        <v>3</v>
      </c>
      <c r="AY112" s="610">
        <f>'2023'!L112</f>
        <v>0</v>
      </c>
      <c r="AZ112" s="610">
        <f>'2024'!L112</f>
        <v>0</v>
      </c>
      <c r="BA112" s="611">
        <f>'2025'!L112</f>
        <v>0</v>
      </c>
      <c r="BB112" s="456" t="str">
        <f t="shared" si="209"/>
        <v/>
      </c>
      <c r="BC112" s="457" t="str">
        <f t="shared" si="203"/>
        <v/>
      </c>
      <c r="BD112" s="457">
        <f t="shared" si="204"/>
        <v>0.66666666666666663</v>
      </c>
      <c r="BE112" s="457" t="str">
        <f t="shared" si="205"/>
        <v/>
      </c>
      <c r="BF112" s="457" t="str">
        <f t="shared" si="206"/>
        <v/>
      </c>
      <c r="BG112" s="458" t="str">
        <f t="shared" si="207"/>
        <v/>
      </c>
      <c r="BH112" s="732">
        <f>'2020'!N112</f>
        <v>0</v>
      </c>
      <c r="BI112" s="733">
        <f>'2021'!N112</f>
        <v>0</v>
      </c>
      <c r="BJ112" s="733">
        <f>'2022'!N112</f>
        <v>2</v>
      </c>
      <c r="BK112" s="733">
        <f>'2023'!N112</f>
        <v>0</v>
      </c>
      <c r="BL112" s="733">
        <f>'2024'!N112</f>
        <v>0</v>
      </c>
      <c r="BM112" s="734">
        <f>'2025'!N112</f>
        <v>0</v>
      </c>
      <c r="BN112" s="424"/>
      <c r="BO112" s="425"/>
      <c r="BP112" s="424"/>
      <c r="BQ112" s="425"/>
      <c r="BR112" s="446"/>
      <c r="BS112" s="447"/>
      <c r="BT112" s="446"/>
      <c r="BU112" s="448"/>
      <c r="BV112" s="222"/>
      <c r="CC112" s="1" t="str">
        <f t="shared" si="210"/>
        <v/>
      </c>
      <c r="CD112" s="1" t="str">
        <f t="shared" si="211"/>
        <v/>
      </c>
      <c r="CE112" s="1" t="str">
        <f t="shared" si="212"/>
        <v>Frontière</v>
      </c>
      <c r="CF112" s="1" t="str">
        <f t="shared" si="213"/>
        <v/>
      </c>
      <c r="CG112" s="1" t="str">
        <f t="shared" si="214"/>
        <v/>
      </c>
      <c r="CH112" s="1" t="str">
        <f t="shared" si="215"/>
        <v/>
      </c>
    </row>
    <row r="113" spans="2:86" ht="15" customHeight="1" x14ac:dyDescent="0.3">
      <c r="B113" s="773"/>
      <c r="C113" s="850"/>
      <c r="D113" s="828"/>
      <c r="E113" s="799"/>
      <c r="F113" s="799"/>
      <c r="G113" s="799"/>
      <c r="H113" s="799"/>
      <c r="I113" s="835"/>
      <c r="J113" s="721" t="s">
        <v>37</v>
      </c>
      <c r="K113" s="406" t="str">
        <f t="shared" si="307"/>
        <v>X</v>
      </c>
      <c r="L113" s="406" t="str">
        <f t="shared" si="308"/>
        <v>X</v>
      </c>
      <c r="M113" s="406" t="str">
        <f t="shared" si="309"/>
        <v>X</v>
      </c>
      <c r="N113" s="406" t="str">
        <f t="shared" si="310"/>
        <v/>
      </c>
      <c r="O113" s="406" t="str">
        <f t="shared" si="311"/>
        <v/>
      </c>
      <c r="P113" s="407" t="str">
        <f t="shared" si="312"/>
        <v/>
      </c>
      <c r="Q113" s="410" t="s">
        <v>62</v>
      </c>
      <c r="R113" s="583">
        <f>'2020'!G113</f>
        <v>217</v>
      </c>
      <c r="S113" s="584">
        <f>'2021'!G113</f>
        <v>346</v>
      </c>
      <c r="T113" s="584">
        <f>'2022'!G113</f>
        <v>458</v>
      </c>
      <c r="U113" s="584">
        <f>'2023'!G113</f>
        <v>0</v>
      </c>
      <c r="V113" s="584">
        <f>'2024'!G113</f>
        <v>0</v>
      </c>
      <c r="W113" s="585">
        <f>'2025'!G113</f>
        <v>0</v>
      </c>
      <c r="X113" s="619">
        <f>'2020'!H113</f>
        <v>102</v>
      </c>
      <c r="Y113" s="584">
        <f>'2021'!H113</f>
        <v>174</v>
      </c>
      <c r="Z113" s="584">
        <f>'2022'!H113</f>
        <v>230</v>
      </c>
      <c r="AA113" s="584">
        <f>'2023'!H113</f>
        <v>0</v>
      </c>
      <c r="AB113" s="584">
        <f>'2024'!H113</f>
        <v>0</v>
      </c>
      <c r="AC113" s="585">
        <f>'2025'!H113</f>
        <v>0</v>
      </c>
      <c r="AD113" s="421">
        <f t="shared" si="192"/>
        <v>0.28999999999999998</v>
      </c>
      <c r="AE113" s="422">
        <f t="shared" si="193"/>
        <v>0.31502890173410403</v>
      </c>
      <c r="AF113" s="422">
        <f t="shared" si="268"/>
        <v>0.27292576419213976</v>
      </c>
      <c r="AG113" s="422">
        <f t="shared" si="195"/>
        <v>0</v>
      </c>
      <c r="AH113" s="422">
        <f t="shared" si="196"/>
        <v>0</v>
      </c>
      <c r="AI113" s="423">
        <f t="shared" si="197"/>
        <v>0</v>
      </c>
      <c r="AJ113" s="619">
        <f>'2020'!J113</f>
        <v>62.929999999999993</v>
      </c>
      <c r="AK113" s="584">
        <f>'2021'!J113</f>
        <v>109</v>
      </c>
      <c r="AL113" s="584">
        <f>'2022'!J113</f>
        <v>125</v>
      </c>
      <c r="AM113" s="584">
        <f>'2023'!J113</f>
        <v>0</v>
      </c>
      <c r="AN113" s="584">
        <f>'2024'!J113</f>
        <v>0</v>
      </c>
      <c r="AO113" s="585">
        <f>'2025'!J113</f>
        <v>0</v>
      </c>
      <c r="AP113" s="421">
        <f t="shared" si="208"/>
        <v>0.31797235023041476</v>
      </c>
      <c r="AQ113" s="422">
        <f t="shared" si="198"/>
        <v>0.23699421965317918</v>
      </c>
      <c r="AR113" s="422">
        <f t="shared" si="199"/>
        <v>0.29039301310043669</v>
      </c>
      <c r="AS113" s="422" t="str">
        <f t="shared" si="200"/>
        <v/>
      </c>
      <c r="AT113" s="422" t="str">
        <f t="shared" si="201"/>
        <v/>
      </c>
      <c r="AU113" s="423" t="str">
        <f t="shared" si="202"/>
        <v/>
      </c>
      <c r="AV113" s="619">
        <f>'2020'!L113</f>
        <v>69</v>
      </c>
      <c r="AW113" s="584">
        <f>'2021'!L113</f>
        <v>82</v>
      </c>
      <c r="AX113" s="584">
        <f>'2022'!L113</f>
        <v>133</v>
      </c>
      <c r="AY113" s="584">
        <f>'2023'!L113</f>
        <v>0</v>
      </c>
      <c r="AZ113" s="584">
        <f>'2024'!L113</f>
        <v>0</v>
      </c>
      <c r="BA113" s="585">
        <f>'2025'!L113</f>
        <v>0</v>
      </c>
      <c r="BB113" s="421" t="str">
        <f t="shared" si="209"/>
        <v/>
      </c>
      <c r="BC113" s="422">
        <f t="shared" si="203"/>
        <v>0.52439024390243905</v>
      </c>
      <c r="BD113" s="422">
        <f t="shared" si="204"/>
        <v>0.33834586466165412</v>
      </c>
      <c r="BE113" s="422" t="str">
        <f t="shared" si="205"/>
        <v/>
      </c>
      <c r="BF113" s="422" t="str">
        <f t="shared" si="206"/>
        <v/>
      </c>
      <c r="BG113" s="423" t="str">
        <f t="shared" si="207"/>
        <v/>
      </c>
      <c r="BH113" s="732" t="str">
        <f>'2020'!N113</f>
        <v>-</v>
      </c>
      <c r="BI113" s="733">
        <f>'2021'!N113</f>
        <v>43</v>
      </c>
      <c r="BJ113" s="733">
        <f>'2022'!N113</f>
        <v>45</v>
      </c>
      <c r="BK113" s="733">
        <f>'2023'!N113</f>
        <v>0</v>
      </c>
      <c r="BL113" s="733">
        <f>'2024'!N113</f>
        <v>0</v>
      </c>
      <c r="BM113" s="734">
        <f>'2025'!N113</f>
        <v>0</v>
      </c>
      <c r="BN113" s="424">
        <v>11</v>
      </c>
      <c r="BO113" s="425">
        <v>7</v>
      </c>
      <c r="BP113" s="424">
        <v>50</v>
      </c>
      <c r="BQ113" s="425">
        <v>36</v>
      </c>
      <c r="BR113" s="446">
        <v>374</v>
      </c>
      <c r="BS113" s="447">
        <v>195</v>
      </c>
      <c r="BT113" s="446">
        <v>22</v>
      </c>
      <c r="BU113" s="448">
        <v>15</v>
      </c>
      <c r="BV113" s="222"/>
      <c r="CC113" s="1" t="str">
        <f t="shared" si="210"/>
        <v>Frontière</v>
      </c>
      <c r="CD113" s="1" t="str">
        <f t="shared" si="211"/>
        <v>Frontière</v>
      </c>
      <c r="CE113" s="1" t="str">
        <f t="shared" si="212"/>
        <v>Frontière</v>
      </c>
      <c r="CF113" s="1" t="str">
        <f t="shared" si="213"/>
        <v/>
      </c>
      <c r="CG113" s="1" t="str">
        <f t="shared" si="214"/>
        <v/>
      </c>
      <c r="CH113" s="1" t="str">
        <f t="shared" si="215"/>
        <v/>
      </c>
    </row>
    <row r="114" spans="2:86" ht="15" customHeight="1" x14ac:dyDescent="0.3">
      <c r="B114" s="773"/>
      <c r="C114" s="850"/>
      <c r="D114" s="828"/>
      <c r="E114" s="799"/>
      <c r="F114" s="799"/>
      <c r="G114" s="799"/>
      <c r="H114" s="799"/>
      <c r="I114" s="835"/>
      <c r="J114" s="721" t="s">
        <v>157</v>
      </c>
      <c r="K114" s="406" t="str">
        <f t="shared" si="307"/>
        <v>X</v>
      </c>
      <c r="L114" s="406" t="str">
        <f t="shared" si="308"/>
        <v>X</v>
      </c>
      <c r="M114" s="406" t="str">
        <f t="shared" si="309"/>
        <v>X</v>
      </c>
      <c r="N114" s="406" t="str">
        <f t="shared" si="310"/>
        <v/>
      </c>
      <c r="O114" s="406" t="str">
        <f t="shared" si="311"/>
        <v/>
      </c>
      <c r="P114" s="407" t="str">
        <f t="shared" si="312"/>
        <v/>
      </c>
      <c r="Q114" s="410" t="s">
        <v>62</v>
      </c>
      <c r="R114" s="583">
        <f>'2020'!G114</f>
        <v>156</v>
      </c>
      <c r="S114" s="584">
        <f>'2021'!G114</f>
        <v>230</v>
      </c>
      <c r="T114" s="584">
        <f>'2022'!G114</f>
        <v>283</v>
      </c>
      <c r="U114" s="584">
        <f>'2023'!G114</f>
        <v>0</v>
      </c>
      <c r="V114" s="584">
        <f>'2024'!G114</f>
        <v>0</v>
      </c>
      <c r="W114" s="585">
        <f>'2025'!G114</f>
        <v>0</v>
      </c>
      <c r="X114" s="619">
        <f>'2020'!H114</f>
        <v>87</v>
      </c>
      <c r="Y114" s="584">
        <f>'2021'!H114</f>
        <v>116</v>
      </c>
      <c r="Z114" s="584">
        <f>'2022'!H114</f>
        <v>161</v>
      </c>
      <c r="AA114" s="584">
        <f>'2023'!H114</f>
        <v>0</v>
      </c>
      <c r="AB114" s="584">
        <f>'2024'!H114</f>
        <v>0</v>
      </c>
      <c r="AC114" s="585">
        <f>'2025'!H114</f>
        <v>0</v>
      </c>
      <c r="AD114" s="421">
        <f t="shared" si="192"/>
        <v>0.4</v>
      </c>
      <c r="AE114" s="422">
        <f t="shared" si="193"/>
        <v>0.4</v>
      </c>
      <c r="AF114" s="422">
        <f t="shared" si="268"/>
        <v>0.52296819787985871</v>
      </c>
      <c r="AG114" s="422">
        <f t="shared" si="195"/>
        <v>0</v>
      </c>
      <c r="AH114" s="422">
        <f t="shared" si="196"/>
        <v>0</v>
      </c>
      <c r="AI114" s="423">
        <f t="shared" si="197"/>
        <v>0</v>
      </c>
      <c r="AJ114" s="619">
        <f>'2020'!J114</f>
        <v>62.400000000000006</v>
      </c>
      <c r="AK114" s="584">
        <f>'2021'!J114</f>
        <v>92</v>
      </c>
      <c r="AL114" s="584">
        <f>'2022'!J114</f>
        <v>148</v>
      </c>
      <c r="AM114" s="584">
        <f>'2023'!J114</f>
        <v>0</v>
      </c>
      <c r="AN114" s="584">
        <f>'2024'!J114</f>
        <v>0</v>
      </c>
      <c r="AO114" s="585">
        <f>'2025'!J114</f>
        <v>0</v>
      </c>
      <c r="AP114" s="421">
        <f t="shared" si="208"/>
        <v>0.39102564102564102</v>
      </c>
      <c r="AQ114" s="422">
        <f t="shared" si="198"/>
        <v>0.33478260869565218</v>
      </c>
      <c r="AR114" s="422">
        <f t="shared" si="199"/>
        <v>0.38162544169611307</v>
      </c>
      <c r="AS114" s="422" t="str">
        <f t="shared" si="200"/>
        <v/>
      </c>
      <c r="AT114" s="422" t="str">
        <f t="shared" si="201"/>
        <v/>
      </c>
      <c r="AU114" s="423" t="str">
        <f t="shared" si="202"/>
        <v/>
      </c>
      <c r="AV114" s="619">
        <f>'2020'!L114</f>
        <v>61</v>
      </c>
      <c r="AW114" s="584">
        <f>'2021'!L114</f>
        <v>77</v>
      </c>
      <c r="AX114" s="584">
        <f>'2022'!L114</f>
        <v>108</v>
      </c>
      <c r="AY114" s="584">
        <f>'2023'!L114</f>
        <v>0</v>
      </c>
      <c r="AZ114" s="584">
        <f>'2024'!L114</f>
        <v>0</v>
      </c>
      <c r="BA114" s="585">
        <f>'2025'!L114</f>
        <v>0</v>
      </c>
      <c r="BB114" s="421" t="str">
        <f t="shared" si="209"/>
        <v/>
      </c>
      <c r="BC114" s="422">
        <f t="shared" si="203"/>
        <v>0.45454545454545453</v>
      </c>
      <c r="BD114" s="422">
        <f t="shared" si="204"/>
        <v>0.67592592592592593</v>
      </c>
      <c r="BE114" s="422" t="str">
        <f t="shared" si="205"/>
        <v/>
      </c>
      <c r="BF114" s="422" t="str">
        <f t="shared" si="206"/>
        <v/>
      </c>
      <c r="BG114" s="423" t="str">
        <f t="shared" si="207"/>
        <v/>
      </c>
      <c r="BH114" s="732" t="str">
        <f>'2020'!N114</f>
        <v>-</v>
      </c>
      <c r="BI114" s="733">
        <f>'2021'!N114</f>
        <v>35</v>
      </c>
      <c r="BJ114" s="733">
        <f>'2022'!N114</f>
        <v>73</v>
      </c>
      <c r="BK114" s="733">
        <f>'2023'!N114</f>
        <v>0</v>
      </c>
      <c r="BL114" s="733">
        <f>'2024'!N114</f>
        <v>0</v>
      </c>
      <c r="BM114" s="734">
        <f>'2025'!N114</f>
        <v>0</v>
      </c>
      <c r="BN114" s="424">
        <v>20</v>
      </c>
      <c r="BO114" s="425">
        <v>9</v>
      </c>
      <c r="BP114" s="424">
        <v>4</v>
      </c>
      <c r="BQ114" s="425">
        <v>3</v>
      </c>
      <c r="BR114" s="446">
        <v>216</v>
      </c>
      <c r="BS114" s="447">
        <v>106</v>
      </c>
      <c r="BT114" s="446">
        <v>18</v>
      </c>
      <c r="BU114" s="448">
        <v>10</v>
      </c>
      <c r="BV114" s="222"/>
      <c r="CC114" s="1" t="str">
        <f t="shared" si="210"/>
        <v>Frontière</v>
      </c>
      <c r="CD114" s="1" t="str">
        <f t="shared" si="211"/>
        <v>Frontière</v>
      </c>
      <c r="CE114" s="1" t="str">
        <f t="shared" si="212"/>
        <v>Frontière</v>
      </c>
      <c r="CF114" s="1" t="str">
        <f t="shared" si="213"/>
        <v/>
      </c>
      <c r="CG114" s="1" t="str">
        <f t="shared" si="214"/>
        <v/>
      </c>
      <c r="CH114" s="1" t="str">
        <f t="shared" si="215"/>
        <v/>
      </c>
    </row>
    <row r="115" spans="2:86" ht="15" customHeight="1" x14ac:dyDescent="0.3">
      <c r="B115" s="773"/>
      <c r="C115" s="850"/>
      <c r="D115" s="828"/>
      <c r="E115" s="799"/>
      <c r="F115" s="799"/>
      <c r="G115" s="799"/>
      <c r="H115" s="799"/>
      <c r="I115" s="835"/>
      <c r="J115" s="721" t="s">
        <v>38</v>
      </c>
      <c r="K115" s="406" t="str">
        <f t="shared" si="307"/>
        <v>X</v>
      </c>
      <c r="L115" s="406" t="str">
        <f t="shared" si="308"/>
        <v>X</v>
      </c>
      <c r="M115" s="406" t="str">
        <f t="shared" si="309"/>
        <v>X</v>
      </c>
      <c r="N115" s="406" t="str">
        <f t="shared" si="310"/>
        <v/>
      </c>
      <c r="O115" s="406" t="str">
        <f t="shared" si="311"/>
        <v/>
      </c>
      <c r="P115" s="407" t="str">
        <f t="shared" si="312"/>
        <v/>
      </c>
      <c r="Q115" s="410" t="s">
        <v>62</v>
      </c>
      <c r="R115" s="583">
        <f>'2020'!G115</f>
        <v>167</v>
      </c>
      <c r="S115" s="584">
        <f>'2021'!G115</f>
        <v>239</v>
      </c>
      <c r="T115" s="584">
        <f>'2022'!G115</f>
        <v>312</v>
      </c>
      <c r="U115" s="584">
        <f>'2023'!G115</f>
        <v>0</v>
      </c>
      <c r="V115" s="584">
        <f>'2024'!G115</f>
        <v>0</v>
      </c>
      <c r="W115" s="585">
        <f>'2025'!G115</f>
        <v>0</v>
      </c>
      <c r="X115" s="619">
        <f>'2020'!H115</f>
        <v>80</v>
      </c>
      <c r="Y115" s="584">
        <f>'2021'!H115</f>
        <v>114</v>
      </c>
      <c r="Z115" s="584">
        <f>'2022'!H115</f>
        <v>170</v>
      </c>
      <c r="AA115" s="584">
        <f>'2023'!H115</f>
        <v>0</v>
      </c>
      <c r="AB115" s="584">
        <f>'2024'!H115</f>
        <v>0</v>
      </c>
      <c r="AC115" s="585">
        <f>'2025'!H115</f>
        <v>0</v>
      </c>
      <c r="AD115" s="421">
        <f t="shared" si="192"/>
        <v>0.26</v>
      </c>
      <c r="AE115" s="422">
        <f t="shared" si="193"/>
        <v>0.35564853556485354</v>
      </c>
      <c r="AF115" s="422">
        <f t="shared" si="268"/>
        <v>0.40064102564102566</v>
      </c>
      <c r="AG115" s="422">
        <f t="shared" si="195"/>
        <v>0</v>
      </c>
      <c r="AH115" s="422">
        <f t="shared" si="196"/>
        <v>0</v>
      </c>
      <c r="AI115" s="423">
        <f t="shared" si="197"/>
        <v>0</v>
      </c>
      <c r="AJ115" s="619">
        <f>'2020'!J115</f>
        <v>43.42</v>
      </c>
      <c r="AK115" s="584">
        <f>'2021'!J115</f>
        <v>85</v>
      </c>
      <c r="AL115" s="584">
        <f>'2022'!J115</f>
        <v>125</v>
      </c>
      <c r="AM115" s="584">
        <f>'2023'!J115</f>
        <v>0</v>
      </c>
      <c r="AN115" s="584">
        <f>'2024'!J115</f>
        <v>0</v>
      </c>
      <c r="AO115" s="585">
        <f>'2025'!J115</f>
        <v>0</v>
      </c>
      <c r="AP115" s="421">
        <f t="shared" si="208"/>
        <v>0.3712574850299401</v>
      </c>
      <c r="AQ115" s="422">
        <f t="shared" si="198"/>
        <v>0.32217573221757323</v>
      </c>
      <c r="AR115" s="422">
        <f t="shared" si="199"/>
        <v>0.30448717948717946</v>
      </c>
      <c r="AS115" s="422" t="str">
        <f t="shared" si="200"/>
        <v/>
      </c>
      <c r="AT115" s="422" t="str">
        <f t="shared" si="201"/>
        <v/>
      </c>
      <c r="AU115" s="423" t="str">
        <f t="shared" si="202"/>
        <v/>
      </c>
      <c r="AV115" s="619">
        <f>'2020'!L115</f>
        <v>62</v>
      </c>
      <c r="AW115" s="584">
        <f>'2021'!L115</f>
        <v>77</v>
      </c>
      <c r="AX115" s="584">
        <f>'2022'!L115</f>
        <v>95</v>
      </c>
      <c r="AY115" s="584">
        <f>'2023'!L115</f>
        <v>0</v>
      </c>
      <c r="AZ115" s="584">
        <f>'2024'!L115</f>
        <v>0</v>
      </c>
      <c r="BA115" s="585">
        <f>'2025'!L115</f>
        <v>0</v>
      </c>
      <c r="BB115" s="421" t="str">
        <f t="shared" si="209"/>
        <v/>
      </c>
      <c r="BC115" s="422">
        <f t="shared" si="203"/>
        <v>0.38961038961038963</v>
      </c>
      <c r="BD115" s="422">
        <f t="shared" si="204"/>
        <v>0.48421052631578948</v>
      </c>
      <c r="BE115" s="422" t="str">
        <f t="shared" si="205"/>
        <v/>
      </c>
      <c r="BF115" s="422" t="str">
        <f t="shared" si="206"/>
        <v/>
      </c>
      <c r="BG115" s="423" t="str">
        <f t="shared" si="207"/>
        <v/>
      </c>
      <c r="BH115" s="732" t="str">
        <f>'2020'!N115</f>
        <v>-</v>
      </c>
      <c r="BI115" s="733">
        <f>'2021'!N115</f>
        <v>30</v>
      </c>
      <c r="BJ115" s="733">
        <f>'2022'!N115</f>
        <v>46</v>
      </c>
      <c r="BK115" s="733">
        <f>'2023'!N115</f>
        <v>0</v>
      </c>
      <c r="BL115" s="733">
        <f>'2024'!N115</f>
        <v>0</v>
      </c>
      <c r="BM115" s="734">
        <f>'2025'!N115</f>
        <v>0</v>
      </c>
      <c r="BN115" s="424">
        <v>13</v>
      </c>
      <c r="BO115" s="425">
        <v>5</v>
      </c>
      <c r="BP115" s="424">
        <v>36</v>
      </c>
      <c r="BQ115" s="425">
        <v>17</v>
      </c>
      <c r="BR115" s="446">
        <v>228</v>
      </c>
      <c r="BS115" s="447">
        <v>105</v>
      </c>
      <c r="BT115" s="446">
        <v>47</v>
      </c>
      <c r="BU115" s="448">
        <v>26</v>
      </c>
      <c r="BV115" s="222"/>
      <c r="CC115" s="1" t="str">
        <f t="shared" si="210"/>
        <v>Frontière</v>
      </c>
      <c r="CD115" s="1" t="str">
        <f t="shared" si="211"/>
        <v>Frontière</v>
      </c>
      <c r="CE115" s="1" t="str">
        <f t="shared" si="212"/>
        <v>Frontière</v>
      </c>
      <c r="CF115" s="1" t="str">
        <f t="shared" si="213"/>
        <v/>
      </c>
      <c r="CG115" s="1" t="str">
        <f t="shared" si="214"/>
        <v/>
      </c>
      <c r="CH115" s="1" t="str">
        <f t="shared" si="215"/>
        <v/>
      </c>
    </row>
    <row r="116" spans="2:86" ht="15" customHeight="1" x14ac:dyDescent="0.3">
      <c r="B116" s="773"/>
      <c r="C116" s="850"/>
      <c r="D116" s="828"/>
      <c r="E116" s="799"/>
      <c r="F116" s="799"/>
      <c r="G116" s="799"/>
      <c r="H116" s="799"/>
      <c r="I116" s="835"/>
      <c r="J116" s="721" t="s">
        <v>158</v>
      </c>
      <c r="K116" s="406" t="str">
        <f t="shared" si="307"/>
        <v/>
      </c>
      <c r="L116" s="406" t="str">
        <f t="shared" si="308"/>
        <v/>
      </c>
      <c r="M116" s="406" t="str">
        <f t="shared" si="309"/>
        <v>X</v>
      </c>
      <c r="N116" s="406" t="str">
        <f t="shared" si="310"/>
        <v/>
      </c>
      <c r="O116" s="406" t="str">
        <f t="shared" si="311"/>
        <v/>
      </c>
      <c r="P116" s="407" t="str">
        <f t="shared" si="312"/>
        <v/>
      </c>
      <c r="Q116" s="237" t="s">
        <v>62</v>
      </c>
      <c r="R116" s="583">
        <f>'2020'!G116</f>
        <v>0</v>
      </c>
      <c r="S116" s="584">
        <f>'2021'!G116</f>
        <v>0</v>
      </c>
      <c r="T116" s="584">
        <f>'2022'!G116</f>
        <v>110</v>
      </c>
      <c r="U116" s="584">
        <f>'2023'!G116</f>
        <v>0</v>
      </c>
      <c r="V116" s="584">
        <f>'2024'!G116</f>
        <v>0</v>
      </c>
      <c r="W116" s="585">
        <f>'2025'!G116</f>
        <v>0</v>
      </c>
      <c r="X116" s="619">
        <f>'2020'!H116</f>
        <v>0</v>
      </c>
      <c r="Y116" s="584">
        <f>'2021'!H116</f>
        <v>0</v>
      </c>
      <c r="Z116" s="584">
        <f>'2022'!H116</f>
        <v>68</v>
      </c>
      <c r="AA116" s="584">
        <f>'2023'!H116</f>
        <v>0</v>
      </c>
      <c r="AB116" s="584">
        <f>'2024'!H116</f>
        <v>0</v>
      </c>
      <c r="AC116" s="585">
        <f>'2025'!H116</f>
        <v>0</v>
      </c>
      <c r="AD116" s="421">
        <f t="shared" si="192"/>
        <v>0</v>
      </c>
      <c r="AE116" s="422">
        <f t="shared" si="193"/>
        <v>0</v>
      </c>
      <c r="AF116" s="422">
        <f t="shared" si="268"/>
        <v>0.42727272727272725</v>
      </c>
      <c r="AG116" s="422">
        <f t="shared" si="195"/>
        <v>0</v>
      </c>
      <c r="AH116" s="422">
        <f t="shared" si="196"/>
        <v>0</v>
      </c>
      <c r="AI116" s="423">
        <f t="shared" si="197"/>
        <v>0</v>
      </c>
      <c r="AJ116" s="619">
        <f>'2020'!J116</f>
        <v>0</v>
      </c>
      <c r="AK116" s="584">
        <f>'2021'!J116</f>
        <v>0</v>
      </c>
      <c r="AL116" s="584">
        <f>'2022'!J116</f>
        <v>47</v>
      </c>
      <c r="AM116" s="584">
        <f>'2023'!J116</f>
        <v>0</v>
      </c>
      <c r="AN116" s="584">
        <f>'2024'!J116</f>
        <v>0</v>
      </c>
      <c r="AO116" s="585">
        <f>'2025'!J116</f>
        <v>0</v>
      </c>
      <c r="AP116" s="421" t="str">
        <f t="shared" si="208"/>
        <v/>
      </c>
      <c r="AQ116" s="422" t="str">
        <f t="shared" si="198"/>
        <v/>
      </c>
      <c r="AR116" s="422">
        <f t="shared" si="199"/>
        <v>0.36363636363636365</v>
      </c>
      <c r="AS116" s="422" t="str">
        <f t="shared" si="200"/>
        <v/>
      </c>
      <c r="AT116" s="422" t="str">
        <f t="shared" si="201"/>
        <v/>
      </c>
      <c r="AU116" s="423" t="str">
        <f t="shared" si="202"/>
        <v/>
      </c>
      <c r="AV116" s="619">
        <f>'2020'!L116</f>
        <v>0</v>
      </c>
      <c r="AW116" s="584">
        <f>'2021'!L116</f>
        <v>0</v>
      </c>
      <c r="AX116" s="584">
        <f>'2022'!L116</f>
        <v>40</v>
      </c>
      <c r="AY116" s="584">
        <f>'2023'!L116</f>
        <v>0</v>
      </c>
      <c r="AZ116" s="584">
        <f>'2024'!L116</f>
        <v>0</v>
      </c>
      <c r="BA116" s="585">
        <f>'2025'!L116</f>
        <v>0</v>
      </c>
      <c r="BB116" s="421" t="str">
        <f t="shared" si="209"/>
        <v/>
      </c>
      <c r="BC116" s="422" t="str">
        <f t="shared" si="203"/>
        <v/>
      </c>
      <c r="BD116" s="422">
        <f t="shared" si="204"/>
        <v>0.5</v>
      </c>
      <c r="BE116" s="422" t="str">
        <f t="shared" si="205"/>
        <v/>
      </c>
      <c r="BF116" s="422" t="str">
        <f t="shared" si="206"/>
        <v/>
      </c>
      <c r="BG116" s="423" t="str">
        <f t="shared" si="207"/>
        <v/>
      </c>
      <c r="BH116" s="732">
        <f>'2020'!N116</f>
        <v>0</v>
      </c>
      <c r="BI116" s="733">
        <f>'2021'!N116</f>
        <v>0</v>
      </c>
      <c r="BJ116" s="733">
        <f>'2022'!N116</f>
        <v>20</v>
      </c>
      <c r="BK116" s="733">
        <f>'2023'!N116</f>
        <v>0</v>
      </c>
      <c r="BL116" s="733">
        <f>'2024'!N116</f>
        <v>0</v>
      </c>
      <c r="BM116" s="734">
        <f>'2025'!N116</f>
        <v>0</v>
      </c>
      <c r="BN116" s="424"/>
      <c r="BO116" s="425"/>
      <c r="BP116" s="424"/>
      <c r="BQ116" s="425"/>
      <c r="BR116" s="446"/>
      <c r="BS116" s="447"/>
      <c r="BT116" s="446"/>
      <c r="BU116" s="448"/>
      <c r="BV116" s="222"/>
      <c r="CC116" s="1" t="str">
        <f t="shared" si="210"/>
        <v/>
      </c>
      <c r="CD116" s="1" t="str">
        <f t="shared" si="211"/>
        <v/>
      </c>
      <c r="CE116" s="1" t="str">
        <f t="shared" si="212"/>
        <v>Frontière</v>
      </c>
      <c r="CF116" s="1" t="str">
        <f t="shared" si="213"/>
        <v/>
      </c>
      <c r="CG116" s="1" t="str">
        <f t="shared" si="214"/>
        <v/>
      </c>
      <c r="CH116" s="1" t="str">
        <f t="shared" si="215"/>
        <v/>
      </c>
    </row>
    <row r="117" spans="2:86" ht="15" customHeight="1" x14ac:dyDescent="0.3">
      <c r="B117" s="773"/>
      <c r="C117" s="850"/>
      <c r="D117" s="828"/>
      <c r="E117" s="799"/>
      <c r="F117" s="799"/>
      <c r="G117" s="799"/>
      <c r="H117" s="799"/>
      <c r="I117" s="835"/>
      <c r="J117" s="721" t="s">
        <v>148</v>
      </c>
      <c r="K117" s="406" t="str">
        <f t="shared" si="307"/>
        <v/>
      </c>
      <c r="L117" s="406" t="str">
        <f t="shared" si="308"/>
        <v>X</v>
      </c>
      <c r="M117" s="406" t="str">
        <f t="shared" si="309"/>
        <v>X</v>
      </c>
      <c r="N117" s="406" t="str">
        <f t="shared" si="310"/>
        <v/>
      </c>
      <c r="O117" s="406" t="str">
        <f t="shared" si="311"/>
        <v/>
      </c>
      <c r="P117" s="407" t="str">
        <f t="shared" si="312"/>
        <v/>
      </c>
      <c r="Q117" s="237" t="s">
        <v>62</v>
      </c>
      <c r="R117" s="583">
        <f>'2020'!G117</f>
        <v>0</v>
      </c>
      <c r="S117" s="584">
        <f>'2021'!G117</f>
        <v>40</v>
      </c>
      <c r="T117" s="584">
        <f>'2022'!G117</f>
        <v>52</v>
      </c>
      <c r="U117" s="584">
        <f>'2023'!G117</f>
        <v>0</v>
      </c>
      <c r="V117" s="584">
        <f>'2024'!G117</f>
        <v>0</v>
      </c>
      <c r="W117" s="585">
        <f>'2025'!G117</f>
        <v>0</v>
      </c>
      <c r="X117" s="619">
        <f>'2020'!H117</f>
        <v>0</v>
      </c>
      <c r="Y117" s="584">
        <f>'2021'!H117</f>
        <v>20</v>
      </c>
      <c r="Z117" s="584">
        <f>'2022'!H117</f>
        <v>30</v>
      </c>
      <c r="AA117" s="584">
        <f>'2023'!H117</f>
        <v>0</v>
      </c>
      <c r="AB117" s="584">
        <f>'2024'!H117</f>
        <v>0</v>
      </c>
      <c r="AC117" s="585">
        <f>'2025'!H117</f>
        <v>0</v>
      </c>
      <c r="AD117" s="421">
        <f t="shared" si="192"/>
        <v>0</v>
      </c>
      <c r="AE117" s="422">
        <f t="shared" si="193"/>
        <v>0.375</v>
      </c>
      <c r="AF117" s="422">
        <f t="shared" si="268"/>
        <v>0.40384615384615385</v>
      </c>
      <c r="AG117" s="422">
        <f t="shared" si="195"/>
        <v>0</v>
      </c>
      <c r="AH117" s="422">
        <f t="shared" si="196"/>
        <v>0</v>
      </c>
      <c r="AI117" s="423">
        <f t="shared" si="197"/>
        <v>0</v>
      </c>
      <c r="AJ117" s="619">
        <f>'2020'!J117</f>
        <v>0</v>
      </c>
      <c r="AK117" s="584">
        <f>'2021'!J117</f>
        <v>15</v>
      </c>
      <c r="AL117" s="584">
        <f>'2022'!J117</f>
        <v>21</v>
      </c>
      <c r="AM117" s="584">
        <f>'2023'!J117</f>
        <v>0</v>
      </c>
      <c r="AN117" s="584">
        <f>'2024'!J117</f>
        <v>0</v>
      </c>
      <c r="AO117" s="585">
        <f>'2025'!J117</f>
        <v>0</v>
      </c>
      <c r="AP117" s="421" t="str">
        <f t="shared" si="208"/>
        <v/>
      </c>
      <c r="AQ117" s="422">
        <f t="shared" si="198"/>
        <v>0.32500000000000001</v>
      </c>
      <c r="AR117" s="422">
        <f t="shared" si="199"/>
        <v>0.32692307692307693</v>
      </c>
      <c r="AS117" s="422" t="str">
        <f t="shared" si="200"/>
        <v/>
      </c>
      <c r="AT117" s="422" t="str">
        <f t="shared" si="201"/>
        <v/>
      </c>
      <c r="AU117" s="423" t="str">
        <f t="shared" si="202"/>
        <v/>
      </c>
      <c r="AV117" s="619">
        <f>'2020'!L117</f>
        <v>0</v>
      </c>
      <c r="AW117" s="584">
        <f>'2021'!L117</f>
        <v>13</v>
      </c>
      <c r="AX117" s="584">
        <f>'2022'!L117</f>
        <v>17</v>
      </c>
      <c r="AY117" s="584">
        <f>'2023'!L117</f>
        <v>0</v>
      </c>
      <c r="AZ117" s="584">
        <f>'2024'!L117</f>
        <v>0</v>
      </c>
      <c r="BA117" s="585">
        <f>'2025'!L117</f>
        <v>0</v>
      </c>
      <c r="BB117" s="421" t="str">
        <f t="shared" si="209"/>
        <v/>
      </c>
      <c r="BC117" s="422">
        <f t="shared" si="203"/>
        <v>0.53846153846153844</v>
      </c>
      <c r="BD117" s="422">
        <f t="shared" si="204"/>
        <v>0.47058823529411764</v>
      </c>
      <c r="BE117" s="422" t="str">
        <f t="shared" si="205"/>
        <v/>
      </c>
      <c r="BF117" s="422" t="str">
        <f t="shared" si="206"/>
        <v/>
      </c>
      <c r="BG117" s="423" t="str">
        <f t="shared" si="207"/>
        <v/>
      </c>
      <c r="BH117" s="732">
        <f>'2020'!N117</f>
        <v>0</v>
      </c>
      <c r="BI117" s="733">
        <f>'2021'!N117</f>
        <v>7</v>
      </c>
      <c r="BJ117" s="733">
        <f>'2022'!N117</f>
        <v>8</v>
      </c>
      <c r="BK117" s="733">
        <f>'2023'!N117</f>
        <v>0</v>
      </c>
      <c r="BL117" s="733">
        <f>'2024'!N117</f>
        <v>0</v>
      </c>
      <c r="BM117" s="734">
        <f>'2025'!N117</f>
        <v>0</v>
      </c>
      <c r="BN117" s="424">
        <v>0</v>
      </c>
      <c r="BO117" s="425">
        <v>0</v>
      </c>
      <c r="BP117" s="424">
        <v>0</v>
      </c>
      <c r="BQ117" s="425">
        <v>0</v>
      </c>
      <c r="BR117" s="446">
        <v>28</v>
      </c>
      <c r="BS117" s="447">
        <v>15</v>
      </c>
      <c r="BT117" s="446">
        <v>12</v>
      </c>
      <c r="BU117" s="448">
        <v>5</v>
      </c>
      <c r="BV117" s="222"/>
      <c r="CC117" s="1" t="str">
        <f t="shared" si="210"/>
        <v/>
      </c>
      <c r="CD117" s="1" t="str">
        <f t="shared" si="211"/>
        <v>Frontière</v>
      </c>
      <c r="CE117" s="1" t="str">
        <f t="shared" si="212"/>
        <v>Frontière</v>
      </c>
      <c r="CF117" s="1" t="str">
        <f t="shared" si="213"/>
        <v/>
      </c>
      <c r="CG117" s="1" t="str">
        <f t="shared" si="214"/>
        <v/>
      </c>
      <c r="CH117" s="1" t="str">
        <f t="shared" si="215"/>
        <v/>
      </c>
    </row>
    <row r="118" spans="2:86" ht="15" customHeight="1" x14ac:dyDescent="0.3">
      <c r="B118" s="773"/>
      <c r="C118" s="850"/>
      <c r="D118" s="828"/>
      <c r="E118" s="799"/>
      <c r="F118" s="799"/>
      <c r="G118" s="799"/>
      <c r="H118" s="799"/>
      <c r="I118" s="835"/>
      <c r="J118" s="721" t="s">
        <v>149</v>
      </c>
      <c r="K118" s="406" t="str">
        <f t="shared" si="307"/>
        <v/>
      </c>
      <c r="L118" s="406" t="str">
        <f t="shared" si="308"/>
        <v>X</v>
      </c>
      <c r="M118" s="406" t="str">
        <f t="shared" si="309"/>
        <v/>
      </c>
      <c r="N118" s="406" t="str">
        <f t="shared" si="310"/>
        <v/>
      </c>
      <c r="O118" s="406" t="str">
        <f t="shared" si="311"/>
        <v/>
      </c>
      <c r="P118" s="407" t="str">
        <f t="shared" si="312"/>
        <v/>
      </c>
      <c r="Q118" s="410" t="s">
        <v>62</v>
      </c>
      <c r="R118" s="583">
        <f>'2020'!G118</f>
        <v>0</v>
      </c>
      <c r="S118" s="584">
        <f>'2021'!G118</f>
        <v>24</v>
      </c>
      <c r="T118" s="584">
        <f>'2022'!G118</f>
        <v>0</v>
      </c>
      <c r="U118" s="584">
        <f>'2023'!G118</f>
        <v>0</v>
      </c>
      <c r="V118" s="584">
        <f>'2024'!G118</f>
        <v>0</v>
      </c>
      <c r="W118" s="585">
        <f>'2025'!G118</f>
        <v>0</v>
      </c>
      <c r="X118" s="619">
        <f>'2020'!H118</f>
        <v>0</v>
      </c>
      <c r="Y118" s="584">
        <f>'2021'!H118</f>
        <v>18</v>
      </c>
      <c r="Z118" s="584">
        <f>'2022'!H118</f>
        <v>0</v>
      </c>
      <c r="AA118" s="584">
        <f>'2023'!H118</f>
        <v>0</v>
      </c>
      <c r="AB118" s="584">
        <f>'2024'!H118</f>
        <v>0</v>
      </c>
      <c r="AC118" s="585">
        <f>'2025'!H118</f>
        <v>0</v>
      </c>
      <c r="AD118" s="421">
        <f t="shared" si="192"/>
        <v>0</v>
      </c>
      <c r="AE118" s="422">
        <f t="shared" si="193"/>
        <v>0.45833333333333331</v>
      </c>
      <c r="AF118" s="422">
        <f t="shared" si="268"/>
        <v>0</v>
      </c>
      <c r="AG118" s="422">
        <f t="shared" si="195"/>
        <v>0</v>
      </c>
      <c r="AH118" s="422">
        <f t="shared" si="196"/>
        <v>0</v>
      </c>
      <c r="AI118" s="423">
        <f t="shared" si="197"/>
        <v>0</v>
      </c>
      <c r="AJ118" s="619">
        <f>'2020'!J118</f>
        <v>0</v>
      </c>
      <c r="AK118" s="584">
        <f>'2021'!J118</f>
        <v>11</v>
      </c>
      <c r="AL118" s="584">
        <f>'2022'!J118</f>
        <v>0</v>
      </c>
      <c r="AM118" s="584">
        <f>'2023'!J118</f>
        <v>0</v>
      </c>
      <c r="AN118" s="584">
        <f>'2024'!J118</f>
        <v>0</v>
      </c>
      <c r="AO118" s="585">
        <f>'2025'!J118</f>
        <v>0</v>
      </c>
      <c r="AP118" s="421" t="str">
        <f t="shared" si="208"/>
        <v/>
      </c>
      <c r="AQ118" s="422">
        <f t="shared" si="198"/>
        <v>0.33333333333333331</v>
      </c>
      <c r="AR118" s="422" t="str">
        <f t="shared" si="199"/>
        <v/>
      </c>
      <c r="AS118" s="422" t="str">
        <f t="shared" si="200"/>
        <v/>
      </c>
      <c r="AT118" s="422" t="str">
        <f t="shared" si="201"/>
        <v/>
      </c>
      <c r="AU118" s="423" t="str">
        <f t="shared" si="202"/>
        <v/>
      </c>
      <c r="AV118" s="619">
        <f>'2020'!L118</f>
        <v>0</v>
      </c>
      <c r="AW118" s="584">
        <f>'2021'!L118</f>
        <v>8</v>
      </c>
      <c r="AX118" s="584">
        <f>'2022'!L118</f>
        <v>0</v>
      </c>
      <c r="AY118" s="584">
        <f>'2023'!L118</f>
        <v>0</v>
      </c>
      <c r="AZ118" s="584">
        <f>'2024'!L118</f>
        <v>0</v>
      </c>
      <c r="BA118" s="585">
        <f>'2025'!L118</f>
        <v>0</v>
      </c>
      <c r="BB118" s="421" t="str">
        <f t="shared" si="209"/>
        <v/>
      </c>
      <c r="BC118" s="422">
        <f t="shared" si="203"/>
        <v>0.5</v>
      </c>
      <c r="BD118" s="422" t="str">
        <f t="shared" si="204"/>
        <v/>
      </c>
      <c r="BE118" s="422" t="str">
        <f t="shared" si="205"/>
        <v/>
      </c>
      <c r="BF118" s="422" t="str">
        <f t="shared" si="206"/>
        <v/>
      </c>
      <c r="BG118" s="423" t="str">
        <f t="shared" si="207"/>
        <v/>
      </c>
      <c r="BH118" s="732">
        <f>'2020'!N118</f>
        <v>0</v>
      </c>
      <c r="BI118" s="733">
        <f>'2021'!N118</f>
        <v>4</v>
      </c>
      <c r="BJ118" s="733">
        <f>'2022'!N118</f>
        <v>0</v>
      </c>
      <c r="BK118" s="733">
        <f>'2023'!N118</f>
        <v>0</v>
      </c>
      <c r="BL118" s="733">
        <f>'2024'!N118</f>
        <v>0</v>
      </c>
      <c r="BM118" s="734">
        <f>'2025'!N118</f>
        <v>0</v>
      </c>
      <c r="BN118" s="424">
        <v>1</v>
      </c>
      <c r="BO118" s="425">
        <v>1</v>
      </c>
      <c r="BP118" s="424">
        <v>10</v>
      </c>
      <c r="BQ118" s="425">
        <v>9</v>
      </c>
      <c r="BR118" s="446">
        <v>32</v>
      </c>
      <c r="BS118" s="447">
        <v>25</v>
      </c>
      <c r="BT118" s="446">
        <v>2</v>
      </c>
      <c r="BU118" s="448">
        <v>2</v>
      </c>
      <c r="BV118" s="222"/>
      <c r="CC118" s="1" t="str">
        <f t="shared" si="210"/>
        <v/>
      </c>
      <c r="CD118" s="1" t="str">
        <f t="shared" si="211"/>
        <v>Frontière</v>
      </c>
      <c r="CE118" s="1" t="str">
        <f t="shared" si="212"/>
        <v/>
      </c>
      <c r="CF118" s="1" t="str">
        <f t="shared" si="213"/>
        <v/>
      </c>
      <c r="CG118" s="1" t="str">
        <f t="shared" si="214"/>
        <v/>
      </c>
      <c r="CH118" s="1" t="str">
        <f t="shared" si="215"/>
        <v/>
      </c>
    </row>
    <row r="119" spans="2:86" ht="15" customHeight="1" x14ac:dyDescent="0.3">
      <c r="B119" s="773"/>
      <c r="C119" s="850"/>
      <c r="D119" s="828"/>
      <c r="E119" s="799"/>
      <c r="F119" s="799"/>
      <c r="G119" s="799"/>
      <c r="H119" s="799"/>
      <c r="I119" s="835"/>
      <c r="J119" s="721" t="s">
        <v>166</v>
      </c>
      <c r="K119" s="406" t="str">
        <f t="shared" si="307"/>
        <v/>
      </c>
      <c r="L119" s="406" t="str">
        <f t="shared" si="308"/>
        <v/>
      </c>
      <c r="M119" s="406" t="str">
        <f t="shared" si="309"/>
        <v/>
      </c>
      <c r="N119" s="406" t="str">
        <f t="shared" si="310"/>
        <v/>
      </c>
      <c r="O119" s="406" t="str">
        <f t="shared" si="311"/>
        <v/>
      </c>
      <c r="P119" s="407" t="str">
        <f t="shared" si="312"/>
        <v/>
      </c>
      <c r="Q119" s="410" t="s">
        <v>62</v>
      </c>
      <c r="R119" s="583">
        <f>'2020'!G119</f>
        <v>0</v>
      </c>
      <c r="S119" s="584">
        <f>'2021'!G119</f>
        <v>0</v>
      </c>
      <c r="T119" s="584">
        <f>'2022'!G119</f>
        <v>0</v>
      </c>
      <c r="U119" s="584">
        <f>'2023'!G119</f>
        <v>0</v>
      </c>
      <c r="V119" s="584">
        <f>'2024'!G119</f>
        <v>0</v>
      </c>
      <c r="W119" s="585">
        <f>'2025'!G119</f>
        <v>0</v>
      </c>
      <c r="X119" s="619">
        <f>'2020'!H119</f>
        <v>0</v>
      </c>
      <c r="Y119" s="584">
        <f>'2021'!H119</f>
        <v>0</v>
      </c>
      <c r="Z119" s="584">
        <f>'2022'!H119</f>
        <v>0</v>
      </c>
      <c r="AA119" s="584">
        <f>'2023'!H119</f>
        <v>0</v>
      </c>
      <c r="AB119" s="584">
        <f>'2024'!H119</f>
        <v>0</v>
      </c>
      <c r="AC119" s="585">
        <f>'2025'!H119</f>
        <v>0</v>
      </c>
      <c r="AD119" s="421">
        <f t="shared" si="192"/>
        <v>0</v>
      </c>
      <c r="AE119" s="422">
        <f t="shared" si="193"/>
        <v>0</v>
      </c>
      <c r="AF119" s="422">
        <f t="shared" si="268"/>
        <v>0</v>
      </c>
      <c r="AG119" s="422">
        <f t="shared" si="195"/>
        <v>0</v>
      </c>
      <c r="AH119" s="422">
        <f t="shared" si="196"/>
        <v>0</v>
      </c>
      <c r="AI119" s="423">
        <f t="shared" si="197"/>
        <v>0</v>
      </c>
      <c r="AJ119" s="619">
        <f>'2020'!J119</f>
        <v>0</v>
      </c>
      <c r="AK119" s="584">
        <f>'2021'!J119</f>
        <v>0</v>
      </c>
      <c r="AL119" s="584">
        <f>'2022'!J119</f>
        <v>0</v>
      </c>
      <c r="AM119" s="584">
        <f>'2023'!J119</f>
        <v>0</v>
      </c>
      <c r="AN119" s="584">
        <f>'2024'!J119</f>
        <v>0</v>
      </c>
      <c r="AO119" s="585">
        <f>'2025'!J119</f>
        <v>0</v>
      </c>
      <c r="AP119" s="421" t="str">
        <f t="shared" si="208"/>
        <v/>
      </c>
      <c r="AQ119" s="422" t="str">
        <f t="shared" si="198"/>
        <v/>
      </c>
      <c r="AR119" s="422" t="str">
        <f t="shared" si="199"/>
        <v/>
      </c>
      <c r="AS119" s="422" t="str">
        <f t="shared" si="200"/>
        <v/>
      </c>
      <c r="AT119" s="422" t="str">
        <f t="shared" si="201"/>
        <v/>
      </c>
      <c r="AU119" s="423" t="str">
        <f t="shared" si="202"/>
        <v/>
      </c>
      <c r="AV119" s="619">
        <f>'2020'!L119</f>
        <v>0</v>
      </c>
      <c r="AW119" s="584">
        <f>'2021'!L119</f>
        <v>0</v>
      </c>
      <c r="AX119" s="584">
        <f>'2022'!L119</f>
        <v>0</v>
      </c>
      <c r="AY119" s="584">
        <f>'2023'!L119</f>
        <v>0</v>
      </c>
      <c r="AZ119" s="584">
        <f>'2024'!L119</f>
        <v>0</v>
      </c>
      <c r="BA119" s="585">
        <f>'2025'!L119</f>
        <v>0</v>
      </c>
      <c r="BB119" s="421" t="str">
        <f t="shared" si="209"/>
        <v/>
      </c>
      <c r="BC119" s="422" t="str">
        <f t="shared" si="203"/>
        <v/>
      </c>
      <c r="BD119" s="422" t="str">
        <f t="shared" si="204"/>
        <v/>
      </c>
      <c r="BE119" s="422" t="str">
        <f t="shared" si="205"/>
        <v/>
      </c>
      <c r="BF119" s="422" t="str">
        <f t="shared" si="206"/>
        <v/>
      </c>
      <c r="BG119" s="423" t="str">
        <f t="shared" si="207"/>
        <v/>
      </c>
      <c r="BH119" s="732">
        <f>'2020'!N119</f>
        <v>0</v>
      </c>
      <c r="BI119" s="733">
        <f>'2021'!N119</f>
        <v>0</v>
      </c>
      <c r="BJ119" s="733">
        <f>'2022'!N119</f>
        <v>0</v>
      </c>
      <c r="BK119" s="733">
        <f>'2023'!N119</f>
        <v>0</v>
      </c>
      <c r="BL119" s="733">
        <f>'2024'!N119</f>
        <v>0</v>
      </c>
      <c r="BM119" s="734">
        <f>'2025'!N119</f>
        <v>0</v>
      </c>
      <c r="BN119" s="424"/>
      <c r="BO119" s="425"/>
      <c r="BP119" s="424"/>
      <c r="BQ119" s="425"/>
      <c r="BR119" s="446"/>
      <c r="BS119" s="447"/>
      <c r="BT119" s="446"/>
      <c r="BU119" s="448"/>
      <c r="BV119" s="222"/>
      <c r="CC119" s="1" t="str">
        <f t="shared" si="210"/>
        <v/>
      </c>
      <c r="CD119" s="1" t="str">
        <f t="shared" si="211"/>
        <v/>
      </c>
      <c r="CE119" s="1" t="str">
        <f t="shared" si="212"/>
        <v/>
      </c>
      <c r="CF119" s="1" t="str">
        <f t="shared" si="213"/>
        <v/>
      </c>
      <c r="CG119" s="1" t="str">
        <f t="shared" si="214"/>
        <v/>
      </c>
      <c r="CH119" s="1" t="str">
        <f t="shared" si="215"/>
        <v/>
      </c>
    </row>
    <row r="120" spans="2:86" ht="15" customHeight="1" x14ac:dyDescent="0.3">
      <c r="B120" s="773"/>
      <c r="C120" s="850"/>
      <c r="D120" s="828"/>
      <c r="E120" s="799"/>
      <c r="F120" s="799"/>
      <c r="G120" s="799"/>
      <c r="H120" s="799"/>
      <c r="I120" s="835"/>
      <c r="J120" s="721" t="s">
        <v>166</v>
      </c>
      <c r="K120" s="406" t="str">
        <f t="shared" si="307"/>
        <v/>
      </c>
      <c r="L120" s="406" t="str">
        <f t="shared" si="308"/>
        <v/>
      </c>
      <c r="M120" s="406" t="str">
        <f t="shared" si="309"/>
        <v/>
      </c>
      <c r="N120" s="406" t="str">
        <f t="shared" si="310"/>
        <v/>
      </c>
      <c r="O120" s="406" t="str">
        <f t="shared" si="311"/>
        <v/>
      </c>
      <c r="P120" s="407" t="str">
        <f t="shared" si="312"/>
        <v/>
      </c>
      <c r="Q120" s="410" t="s">
        <v>62</v>
      </c>
      <c r="R120" s="583">
        <f>'2020'!G120</f>
        <v>0</v>
      </c>
      <c r="S120" s="584">
        <f>'2021'!G120</f>
        <v>0</v>
      </c>
      <c r="T120" s="584">
        <f>'2022'!G120</f>
        <v>0</v>
      </c>
      <c r="U120" s="584">
        <f>'2023'!G120</f>
        <v>0</v>
      </c>
      <c r="V120" s="584">
        <f>'2024'!G120</f>
        <v>0</v>
      </c>
      <c r="W120" s="585">
        <f>'2025'!G120</f>
        <v>0</v>
      </c>
      <c r="X120" s="619">
        <f>'2020'!H120</f>
        <v>0</v>
      </c>
      <c r="Y120" s="584">
        <f>'2021'!H120</f>
        <v>0</v>
      </c>
      <c r="Z120" s="584">
        <f>'2022'!H120</f>
        <v>0</v>
      </c>
      <c r="AA120" s="584">
        <f>'2023'!H120</f>
        <v>0</v>
      </c>
      <c r="AB120" s="584">
        <f>'2024'!H120</f>
        <v>0</v>
      </c>
      <c r="AC120" s="585">
        <f>'2025'!H120</f>
        <v>0</v>
      </c>
      <c r="AD120" s="421">
        <f t="shared" si="192"/>
        <v>0</v>
      </c>
      <c r="AE120" s="422">
        <f t="shared" si="193"/>
        <v>0</v>
      </c>
      <c r="AF120" s="422">
        <f t="shared" si="268"/>
        <v>0</v>
      </c>
      <c r="AG120" s="422">
        <f t="shared" si="195"/>
        <v>0</v>
      </c>
      <c r="AH120" s="422">
        <f t="shared" si="196"/>
        <v>0</v>
      </c>
      <c r="AI120" s="423">
        <f t="shared" si="197"/>
        <v>0</v>
      </c>
      <c r="AJ120" s="619">
        <f>'2020'!J120</f>
        <v>0</v>
      </c>
      <c r="AK120" s="584">
        <f>'2021'!J120</f>
        <v>0</v>
      </c>
      <c r="AL120" s="584">
        <f>'2022'!J120</f>
        <v>0</v>
      </c>
      <c r="AM120" s="584">
        <f>'2023'!J120</f>
        <v>0</v>
      </c>
      <c r="AN120" s="584">
        <f>'2024'!J120</f>
        <v>0</v>
      </c>
      <c r="AO120" s="585">
        <f>'2025'!J120</f>
        <v>0</v>
      </c>
      <c r="AP120" s="421" t="str">
        <f t="shared" si="208"/>
        <v/>
      </c>
      <c r="AQ120" s="422" t="str">
        <f t="shared" si="198"/>
        <v/>
      </c>
      <c r="AR120" s="422" t="str">
        <f t="shared" si="199"/>
        <v/>
      </c>
      <c r="AS120" s="422" t="str">
        <f t="shared" si="200"/>
        <v/>
      </c>
      <c r="AT120" s="422" t="str">
        <f t="shared" si="201"/>
        <v/>
      </c>
      <c r="AU120" s="423" t="str">
        <f t="shared" si="202"/>
        <v/>
      </c>
      <c r="AV120" s="619">
        <f>'2020'!L120</f>
        <v>0</v>
      </c>
      <c r="AW120" s="584">
        <f>'2021'!L120</f>
        <v>0</v>
      </c>
      <c r="AX120" s="584">
        <f>'2022'!L120</f>
        <v>0</v>
      </c>
      <c r="AY120" s="584">
        <f>'2023'!L120</f>
        <v>0</v>
      </c>
      <c r="AZ120" s="584">
        <f>'2024'!L120</f>
        <v>0</v>
      </c>
      <c r="BA120" s="585">
        <f>'2025'!L120</f>
        <v>0</v>
      </c>
      <c r="BB120" s="421" t="str">
        <f t="shared" si="209"/>
        <v/>
      </c>
      <c r="BC120" s="422" t="str">
        <f t="shared" si="203"/>
        <v/>
      </c>
      <c r="BD120" s="422" t="str">
        <f t="shared" si="204"/>
        <v/>
      </c>
      <c r="BE120" s="422" t="str">
        <f t="shared" si="205"/>
        <v/>
      </c>
      <c r="BF120" s="422" t="str">
        <f t="shared" si="206"/>
        <v/>
      </c>
      <c r="BG120" s="423" t="str">
        <f t="shared" si="207"/>
        <v/>
      </c>
      <c r="BH120" s="732">
        <f>'2020'!N120</f>
        <v>0</v>
      </c>
      <c r="BI120" s="733">
        <f>'2021'!N120</f>
        <v>0</v>
      </c>
      <c r="BJ120" s="733">
        <f>'2022'!N120</f>
        <v>0</v>
      </c>
      <c r="BK120" s="733">
        <f>'2023'!N120</f>
        <v>0</v>
      </c>
      <c r="BL120" s="733">
        <f>'2024'!N120</f>
        <v>0</v>
      </c>
      <c r="BM120" s="734">
        <f>'2025'!N120</f>
        <v>0</v>
      </c>
      <c r="BN120" s="424"/>
      <c r="BO120" s="425"/>
      <c r="BP120" s="424"/>
      <c r="BQ120" s="425"/>
      <c r="BR120" s="446"/>
      <c r="BS120" s="447"/>
      <c r="BT120" s="446"/>
      <c r="BU120" s="448"/>
      <c r="BV120" s="222"/>
      <c r="CC120" s="1" t="str">
        <f t="shared" si="210"/>
        <v/>
      </c>
      <c r="CD120" s="1" t="str">
        <f t="shared" si="211"/>
        <v/>
      </c>
      <c r="CE120" s="1" t="str">
        <f t="shared" si="212"/>
        <v/>
      </c>
      <c r="CF120" s="1" t="str">
        <f t="shared" si="213"/>
        <v/>
      </c>
      <c r="CG120" s="1" t="str">
        <f t="shared" si="214"/>
        <v/>
      </c>
      <c r="CH120" s="1" t="str">
        <f t="shared" si="215"/>
        <v/>
      </c>
    </row>
    <row r="121" spans="2:86" ht="15" customHeight="1" x14ac:dyDescent="0.3">
      <c r="B121" s="773"/>
      <c r="C121" s="850"/>
      <c r="D121" s="828"/>
      <c r="E121" s="799"/>
      <c r="F121" s="799"/>
      <c r="G121" s="799"/>
      <c r="H121" s="799"/>
      <c r="I121" s="835"/>
      <c r="J121" s="721" t="s">
        <v>152</v>
      </c>
      <c r="K121" s="406" t="str">
        <f t="shared" si="307"/>
        <v/>
      </c>
      <c r="L121" s="406" t="str">
        <f t="shared" si="308"/>
        <v>X</v>
      </c>
      <c r="M121" s="406" t="str">
        <f t="shared" si="309"/>
        <v/>
      </c>
      <c r="N121" s="406" t="str">
        <f t="shared" si="310"/>
        <v/>
      </c>
      <c r="O121" s="406" t="str">
        <f t="shared" si="311"/>
        <v/>
      </c>
      <c r="P121" s="407" t="str">
        <f t="shared" si="312"/>
        <v/>
      </c>
      <c r="Q121" s="410" t="s">
        <v>62</v>
      </c>
      <c r="R121" s="583">
        <f>'2020'!G121</f>
        <v>0</v>
      </c>
      <c r="S121" s="584">
        <f>'2021'!G121</f>
        <v>3</v>
      </c>
      <c r="T121" s="584">
        <f>'2022'!G121</f>
        <v>0</v>
      </c>
      <c r="U121" s="584">
        <f>'2023'!G121</f>
        <v>0</v>
      </c>
      <c r="V121" s="584">
        <f>'2024'!G121</f>
        <v>0</v>
      </c>
      <c r="W121" s="585">
        <f>'2025'!G121</f>
        <v>0</v>
      </c>
      <c r="X121" s="619">
        <f>'2020'!H121</f>
        <v>0</v>
      </c>
      <c r="Y121" s="584">
        <f>'2021'!H121</f>
        <v>3</v>
      </c>
      <c r="Z121" s="584">
        <f>'2022'!H121</f>
        <v>0</v>
      </c>
      <c r="AA121" s="584">
        <f>'2023'!H121</f>
        <v>0</v>
      </c>
      <c r="AB121" s="584">
        <f>'2024'!H121</f>
        <v>0</v>
      </c>
      <c r="AC121" s="585">
        <f>'2025'!H121</f>
        <v>0</v>
      </c>
      <c r="AD121" s="421">
        <f t="shared" si="192"/>
        <v>0</v>
      </c>
      <c r="AE121" s="422">
        <f t="shared" si="193"/>
        <v>0.66666666666666663</v>
      </c>
      <c r="AF121" s="422">
        <f t="shared" si="268"/>
        <v>0</v>
      </c>
      <c r="AG121" s="422">
        <f t="shared" si="195"/>
        <v>0</v>
      </c>
      <c r="AH121" s="422">
        <f t="shared" si="196"/>
        <v>0</v>
      </c>
      <c r="AI121" s="423">
        <f t="shared" si="197"/>
        <v>0</v>
      </c>
      <c r="AJ121" s="619">
        <f>'2020'!J121</f>
        <v>0</v>
      </c>
      <c r="AK121" s="584">
        <f>'2021'!J121</f>
        <v>2</v>
      </c>
      <c r="AL121" s="584">
        <f>'2022'!J121</f>
        <v>0</v>
      </c>
      <c r="AM121" s="584">
        <f>'2023'!J121</f>
        <v>0</v>
      </c>
      <c r="AN121" s="584">
        <f>'2024'!J121</f>
        <v>0</v>
      </c>
      <c r="AO121" s="585">
        <f>'2025'!J121</f>
        <v>0</v>
      </c>
      <c r="AP121" s="421" t="str">
        <f t="shared" si="208"/>
        <v/>
      </c>
      <c r="AQ121" s="422">
        <f t="shared" si="198"/>
        <v>0.66666666666666663</v>
      </c>
      <c r="AR121" s="422" t="str">
        <f t="shared" si="199"/>
        <v/>
      </c>
      <c r="AS121" s="422" t="str">
        <f t="shared" si="200"/>
        <v/>
      </c>
      <c r="AT121" s="422" t="str">
        <f t="shared" si="201"/>
        <v/>
      </c>
      <c r="AU121" s="423" t="str">
        <f t="shared" si="202"/>
        <v/>
      </c>
      <c r="AV121" s="619">
        <f>'2020'!L121</f>
        <v>0</v>
      </c>
      <c r="AW121" s="584">
        <f>'2021'!L121</f>
        <v>2</v>
      </c>
      <c r="AX121" s="584">
        <f>'2022'!L121</f>
        <v>0</v>
      </c>
      <c r="AY121" s="584">
        <f>'2023'!L121</f>
        <v>0</v>
      </c>
      <c r="AZ121" s="584">
        <f>'2024'!L121</f>
        <v>0</v>
      </c>
      <c r="BA121" s="585">
        <f>'2025'!L121</f>
        <v>0</v>
      </c>
      <c r="BB121" s="421" t="str">
        <f t="shared" si="209"/>
        <v/>
      </c>
      <c r="BC121" s="422">
        <f t="shared" si="203"/>
        <v>0.5</v>
      </c>
      <c r="BD121" s="422" t="str">
        <f t="shared" si="204"/>
        <v/>
      </c>
      <c r="BE121" s="422" t="str">
        <f t="shared" si="205"/>
        <v/>
      </c>
      <c r="BF121" s="422" t="str">
        <f t="shared" si="206"/>
        <v/>
      </c>
      <c r="BG121" s="423" t="str">
        <f t="shared" si="207"/>
        <v/>
      </c>
      <c r="BH121" s="732">
        <f>'2020'!N121</f>
        <v>0</v>
      </c>
      <c r="BI121" s="733">
        <f>'2021'!N121</f>
        <v>1</v>
      </c>
      <c r="BJ121" s="733">
        <f>'2022'!N121</f>
        <v>0</v>
      </c>
      <c r="BK121" s="733">
        <f>'2023'!N121</f>
        <v>0</v>
      </c>
      <c r="BL121" s="733">
        <f>'2024'!N121</f>
        <v>0</v>
      </c>
      <c r="BM121" s="734">
        <f>'2025'!N121</f>
        <v>0</v>
      </c>
      <c r="BN121" s="424">
        <v>0</v>
      </c>
      <c r="BO121" s="425">
        <v>0</v>
      </c>
      <c r="BP121" s="424">
        <v>0</v>
      </c>
      <c r="BQ121" s="425">
        <v>0</v>
      </c>
      <c r="BR121" s="446">
        <v>3</v>
      </c>
      <c r="BS121" s="447">
        <v>3</v>
      </c>
      <c r="BT121" s="446">
        <v>0</v>
      </c>
      <c r="BU121" s="448">
        <v>0</v>
      </c>
      <c r="BV121" s="222"/>
      <c r="CC121" s="1" t="str">
        <f t="shared" si="210"/>
        <v/>
      </c>
      <c r="CD121" s="1" t="str">
        <f t="shared" si="211"/>
        <v>Frontière</v>
      </c>
      <c r="CE121" s="1" t="str">
        <f t="shared" si="212"/>
        <v/>
      </c>
      <c r="CF121" s="1" t="str">
        <f t="shared" si="213"/>
        <v/>
      </c>
      <c r="CG121" s="1" t="str">
        <f t="shared" si="214"/>
        <v/>
      </c>
      <c r="CH121" s="1" t="str">
        <f t="shared" si="215"/>
        <v/>
      </c>
    </row>
    <row r="122" spans="2:86" ht="15" customHeight="1" x14ac:dyDescent="0.3">
      <c r="B122" s="773"/>
      <c r="C122" s="850"/>
      <c r="D122" s="828"/>
      <c r="E122" s="799"/>
      <c r="F122" s="799"/>
      <c r="G122" s="799"/>
      <c r="H122" s="799"/>
      <c r="I122" s="835"/>
      <c r="J122" s="721" t="s">
        <v>166</v>
      </c>
      <c r="K122" s="406" t="str">
        <f t="shared" si="307"/>
        <v/>
      </c>
      <c r="L122" s="406" t="str">
        <f t="shared" si="308"/>
        <v/>
      </c>
      <c r="M122" s="406" t="str">
        <f t="shared" si="309"/>
        <v/>
      </c>
      <c r="N122" s="406" t="str">
        <f t="shared" si="310"/>
        <v/>
      </c>
      <c r="O122" s="406" t="str">
        <f t="shared" si="311"/>
        <v/>
      </c>
      <c r="P122" s="407" t="str">
        <f t="shared" si="312"/>
        <v/>
      </c>
      <c r="Q122" s="410"/>
      <c r="R122" s="583">
        <f>'2020'!G122</f>
        <v>0</v>
      </c>
      <c r="S122" s="584">
        <f>'2021'!G122</f>
        <v>0</v>
      </c>
      <c r="T122" s="584">
        <f>'2022'!G122</f>
        <v>0</v>
      </c>
      <c r="U122" s="584">
        <f>'2023'!G122</f>
        <v>0</v>
      </c>
      <c r="V122" s="584">
        <f>'2024'!G122</f>
        <v>0</v>
      </c>
      <c r="W122" s="585">
        <f>'2025'!G122</f>
        <v>0</v>
      </c>
      <c r="X122" s="619">
        <f>'2020'!H122</f>
        <v>0</v>
      </c>
      <c r="Y122" s="584">
        <f>'2021'!H122</f>
        <v>0</v>
      </c>
      <c r="Z122" s="584">
        <f>'2022'!H122</f>
        <v>0</v>
      </c>
      <c r="AA122" s="584">
        <f>'2023'!H122</f>
        <v>0</v>
      </c>
      <c r="AB122" s="584">
        <f>'2024'!H122</f>
        <v>0</v>
      </c>
      <c r="AC122" s="585">
        <f>'2025'!H122</f>
        <v>0</v>
      </c>
      <c r="AD122" s="421">
        <f t="shared" si="192"/>
        <v>0</v>
      </c>
      <c r="AE122" s="422">
        <f t="shared" si="193"/>
        <v>0</v>
      </c>
      <c r="AF122" s="422">
        <f t="shared" si="268"/>
        <v>0</v>
      </c>
      <c r="AG122" s="422">
        <f t="shared" si="195"/>
        <v>0</v>
      </c>
      <c r="AH122" s="422">
        <f t="shared" si="196"/>
        <v>0</v>
      </c>
      <c r="AI122" s="423">
        <f t="shared" si="197"/>
        <v>0</v>
      </c>
      <c r="AJ122" s="619">
        <f>'2020'!J122</f>
        <v>0</v>
      </c>
      <c r="AK122" s="584">
        <f>'2021'!J122</f>
        <v>0</v>
      </c>
      <c r="AL122" s="584">
        <f>'2022'!J122</f>
        <v>0</v>
      </c>
      <c r="AM122" s="584">
        <f>'2023'!J122</f>
        <v>0</v>
      </c>
      <c r="AN122" s="584">
        <f>'2024'!J122</f>
        <v>0</v>
      </c>
      <c r="AO122" s="585">
        <f>'2025'!J122</f>
        <v>0</v>
      </c>
      <c r="AP122" s="421" t="str">
        <f t="shared" si="208"/>
        <v/>
      </c>
      <c r="AQ122" s="422" t="str">
        <f t="shared" si="198"/>
        <v/>
      </c>
      <c r="AR122" s="422" t="str">
        <f t="shared" si="199"/>
        <v/>
      </c>
      <c r="AS122" s="422" t="str">
        <f t="shared" si="200"/>
        <v/>
      </c>
      <c r="AT122" s="422" t="str">
        <f t="shared" si="201"/>
        <v/>
      </c>
      <c r="AU122" s="423" t="str">
        <f t="shared" si="202"/>
        <v/>
      </c>
      <c r="AV122" s="619">
        <f>'2020'!L122</f>
        <v>0</v>
      </c>
      <c r="AW122" s="584">
        <f>'2021'!L122</f>
        <v>0</v>
      </c>
      <c r="AX122" s="584">
        <f>'2022'!L122</f>
        <v>0</v>
      </c>
      <c r="AY122" s="584">
        <f>'2023'!L122</f>
        <v>0</v>
      </c>
      <c r="AZ122" s="584">
        <f>'2024'!L122</f>
        <v>0</v>
      </c>
      <c r="BA122" s="585">
        <f>'2025'!L122</f>
        <v>0</v>
      </c>
      <c r="BB122" s="421" t="str">
        <f t="shared" si="209"/>
        <v/>
      </c>
      <c r="BC122" s="422" t="str">
        <f t="shared" si="203"/>
        <v/>
      </c>
      <c r="BD122" s="422" t="str">
        <f t="shared" si="204"/>
        <v/>
      </c>
      <c r="BE122" s="422" t="str">
        <f t="shared" si="205"/>
        <v/>
      </c>
      <c r="BF122" s="422" t="str">
        <f t="shared" si="206"/>
        <v/>
      </c>
      <c r="BG122" s="423" t="str">
        <f t="shared" si="207"/>
        <v/>
      </c>
      <c r="BH122" s="732">
        <f>'2020'!N122</f>
        <v>0</v>
      </c>
      <c r="BI122" s="733">
        <f>'2021'!N122</f>
        <v>0</v>
      </c>
      <c r="BJ122" s="733">
        <f>'2022'!N122</f>
        <v>0</v>
      </c>
      <c r="BK122" s="733">
        <f>'2023'!N122</f>
        <v>0</v>
      </c>
      <c r="BL122" s="733">
        <f>'2024'!N122</f>
        <v>0</v>
      </c>
      <c r="BM122" s="734">
        <f>'2025'!N122</f>
        <v>0</v>
      </c>
      <c r="BN122" s="424"/>
      <c r="BO122" s="425"/>
      <c r="BP122" s="424"/>
      <c r="BQ122" s="425"/>
      <c r="BR122" s="446"/>
      <c r="BS122" s="447"/>
      <c r="BT122" s="446"/>
      <c r="BU122" s="448"/>
      <c r="BV122" s="249"/>
      <c r="CC122" s="1" t="str">
        <f t="shared" si="210"/>
        <v/>
      </c>
      <c r="CD122" s="1" t="str">
        <f t="shared" si="211"/>
        <v/>
      </c>
      <c r="CE122" s="1" t="str">
        <f t="shared" si="212"/>
        <v/>
      </c>
      <c r="CF122" s="1" t="str">
        <f t="shared" si="213"/>
        <v/>
      </c>
      <c r="CG122" s="1" t="str">
        <f t="shared" si="214"/>
        <v/>
      </c>
      <c r="CH122" s="1" t="str">
        <f t="shared" si="215"/>
        <v/>
      </c>
    </row>
    <row r="123" spans="2:86" ht="15" customHeight="1" x14ac:dyDescent="0.3">
      <c r="B123" s="773"/>
      <c r="C123" s="850"/>
      <c r="D123" s="828"/>
      <c r="E123" s="799"/>
      <c r="F123" s="799"/>
      <c r="G123" s="799"/>
      <c r="H123" s="799"/>
      <c r="I123" s="835"/>
      <c r="J123" s="721" t="s">
        <v>166</v>
      </c>
      <c r="K123" s="406" t="str">
        <f t="shared" si="307"/>
        <v/>
      </c>
      <c r="L123" s="406" t="str">
        <f t="shared" si="308"/>
        <v/>
      </c>
      <c r="M123" s="406" t="str">
        <f t="shared" si="309"/>
        <v/>
      </c>
      <c r="N123" s="406" t="str">
        <f t="shared" si="310"/>
        <v/>
      </c>
      <c r="O123" s="406" t="str">
        <f t="shared" si="311"/>
        <v/>
      </c>
      <c r="P123" s="407" t="str">
        <f t="shared" si="312"/>
        <v/>
      </c>
      <c r="Q123" s="410"/>
      <c r="R123" s="583">
        <f>'2020'!G123</f>
        <v>0</v>
      </c>
      <c r="S123" s="584">
        <f>'2021'!G123</f>
        <v>0</v>
      </c>
      <c r="T123" s="584">
        <f>'2022'!G123</f>
        <v>0</v>
      </c>
      <c r="U123" s="584">
        <f>'2023'!G123</f>
        <v>0</v>
      </c>
      <c r="V123" s="584">
        <f>'2024'!G123</f>
        <v>0</v>
      </c>
      <c r="W123" s="585">
        <f>'2025'!G123</f>
        <v>0</v>
      </c>
      <c r="X123" s="619">
        <f>'2020'!H123</f>
        <v>0</v>
      </c>
      <c r="Y123" s="584">
        <f>'2021'!H123</f>
        <v>0</v>
      </c>
      <c r="Z123" s="584">
        <f>'2022'!H123</f>
        <v>0</v>
      </c>
      <c r="AA123" s="584">
        <f>'2023'!H123</f>
        <v>0</v>
      </c>
      <c r="AB123" s="584">
        <f>'2024'!H123</f>
        <v>0</v>
      </c>
      <c r="AC123" s="585">
        <f>'2025'!H123</f>
        <v>0</v>
      </c>
      <c r="AD123" s="421">
        <f t="shared" si="192"/>
        <v>0</v>
      </c>
      <c r="AE123" s="422">
        <f t="shared" si="193"/>
        <v>0</v>
      </c>
      <c r="AF123" s="422">
        <f t="shared" si="268"/>
        <v>0</v>
      </c>
      <c r="AG123" s="422">
        <f t="shared" si="195"/>
        <v>0</v>
      </c>
      <c r="AH123" s="422">
        <f t="shared" si="196"/>
        <v>0</v>
      </c>
      <c r="AI123" s="423">
        <f t="shared" si="197"/>
        <v>0</v>
      </c>
      <c r="AJ123" s="619">
        <f>'2020'!J123</f>
        <v>0</v>
      </c>
      <c r="AK123" s="584">
        <f>'2021'!J123</f>
        <v>0</v>
      </c>
      <c r="AL123" s="584">
        <f>'2022'!J123</f>
        <v>0</v>
      </c>
      <c r="AM123" s="584">
        <f>'2023'!J123</f>
        <v>0</v>
      </c>
      <c r="AN123" s="584">
        <f>'2024'!J123</f>
        <v>0</v>
      </c>
      <c r="AO123" s="585">
        <f>'2025'!J123</f>
        <v>0</v>
      </c>
      <c r="AP123" s="421" t="str">
        <f t="shared" si="208"/>
        <v/>
      </c>
      <c r="AQ123" s="422" t="str">
        <f t="shared" si="198"/>
        <v/>
      </c>
      <c r="AR123" s="422" t="str">
        <f t="shared" si="199"/>
        <v/>
      </c>
      <c r="AS123" s="422" t="str">
        <f t="shared" si="200"/>
        <v/>
      </c>
      <c r="AT123" s="422" t="str">
        <f t="shared" si="201"/>
        <v/>
      </c>
      <c r="AU123" s="423" t="str">
        <f t="shared" si="202"/>
        <v/>
      </c>
      <c r="AV123" s="619">
        <f>'2020'!L123</f>
        <v>0</v>
      </c>
      <c r="AW123" s="584">
        <f>'2021'!L123</f>
        <v>0</v>
      </c>
      <c r="AX123" s="584">
        <f>'2022'!L123</f>
        <v>0</v>
      </c>
      <c r="AY123" s="584">
        <f>'2023'!L123</f>
        <v>0</v>
      </c>
      <c r="AZ123" s="584">
        <f>'2024'!L123</f>
        <v>0</v>
      </c>
      <c r="BA123" s="585">
        <f>'2025'!L123</f>
        <v>0</v>
      </c>
      <c r="BB123" s="421" t="str">
        <f t="shared" si="209"/>
        <v/>
      </c>
      <c r="BC123" s="422" t="str">
        <f t="shared" si="203"/>
        <v/>
      </c>
      <c r="BD123" s="422" t="str">
        <f t="shared" si="204"/>
        <v/>
      </c>
      <c r="BE123" s="422" t="str">
        <f t="shared" si="205"/>
        <v/>
      </c>
      <c r="BF123" s="422" t="str">
        <f t="shared" si="206"/>
        <v/>
      </c>
      <c r="BG123" s="423" t="str">
        <f t="shared" si="207"/>
        <v/>
      </c>
      <c r="BH123" s="732">
        <f>'2020'!N123</f>
        <v>0</v>
      </c>
      <c r="BI123" s="733">
        <f>'2021'!N123</f>
        <v>0</v>
      </c>
      <c r="BJ123" s="733">
        <f>'2022'!N123</f>
        <v>0</v>
      </c>
      <c r="BK123" s="733">
        <f>'2023'!N123</f>
        <v>0</v>
      </c>
      <c r="BL123" s="733">
        <f>'2024'!N123</f>
        <v>0</v>
      </c>
      <c r="BM123" s="734">
        <f>'2025'!N123</f>
        <v>0</v>
      </c>
      <c r="BN123" s="424"/>
      <c r="BO123" s="425"/>
      <c r="BP123" s="424"/>
      <c r="BQ123" s="425"/>
      <c r="BR123" s="446"/>
      <c r="BS123" s="447"/>
      <c r="BT123" s="446"/>
      <c r="BU123" s="448"/>
      <c r="BV123" s="249"/>
      <c r="CC123" s="1" t="str">
        <f t="shared" si="210"/>
        <v/>
      </c>
      <c r="CD123" s="1" t="str">
        <f t="shared" si="211"/>
        <v/>
      </c>
      <c r="CE123" s="1" t="str">
        <f t="shared" si="212"/>
        <v/>
      </c>
      <c r="CF123" s="1" t="str">
        <f t="shared" si="213"/>
        <v/>
      </c>
      <c r="CG123" s="1" t="str">
        <f t="shared" si="214"/>
        <v/>
      </c>
      <c r="CH123" s="1" t="str">
        <f t="shared" si="215"/>
        <v/>
      </c>
    </row>
    <row r="124" spans="2:86" ht="15" customHeight="1" x14ac:dyDescent="0.3">
      <c r="B124" s="773"/>
      <c r="C124" s="850"/>
      <c r="D124" s="829"/>
      <c r="E124" s="800"/>
      <c r="F124" s="800"/>
      <c r="G124" s="800"/>
      <c r="H124" s="800"/>
      <c r="I124" s="836"/>
      <c r="J124" s="722" t="s">
        <v>166</v>
      </c>
      <c r="K124" s="408" t="str">
        <f t="shared" si="307"/>
        <v/>
      </c>
      <c r="L124" s="408" t="str">
        <f t="shared" si="308"/>
        <v/>
      </c>
      <c r="M124" s="408" t="str">
        <f t="shared" si="309"/>
        <v/>
      </c>
      <c r="N124" s="408" t="str">
        <f t="shared" si="310"/>
        <v/>
      </c>
      <c r="O124" s="408" t="str">
        <f t="shared" si="311"/>
        <v/>
      </c>
      <c r="P124" s="409" t="str">
        <f t="shared" si="312"/>
        <v/>
      </c>
      <c r="Q124" s="449"/>
      <c r="R124" s="586">
        <f>'2020'!G124</f>
        <v>0</v>
      </c>
      <c r="S124" s="587">
        <f>'2021'!G124</f>
        <v>0</v>
      </c>
      <c r="T124" s="587">
        <f>'2022'!G124</f>
        <v>0</v>
      </c>
      <c r="U124" s="587">
        <f>'2023'!G124</f>
        <v>0</v>
      </c>
      <c r="V124" s="587">
        <f>'2024'!G124</f>
        <v>0</v>
      </c>
      <c r="W124" s="588">
        <f>'2025'!G124</f>
        <v>0</v>
      </c>
      <c r="X124" s="620">
        <f>'2020'!H124</f>
        <v>0</v>
      </c>
      <c r="Y124" s="587">
        <f>'2021'!H124</f>
        <v>0</v>
      </c>
      <c r="Z124" s="587">
        <f>'2022'!H124</f>
        <v>0</v>
      </c>
      <c r="AA124" s="587">
        <f>'2023'!H124</f>
        <v>0</v>
      </c>
      <c r="AB124" s="587">
        <f>'2024'!H124</f>
        <v>0</v>
      </c>
      <c r="AC124" s="588">
        <f>'2025'!H124</f>
        <v>0</v>
      </c>
      <c r="AD124" s="429">
        <f t="shared" si="192"/>
        <v>0</v>
      </c>
      <c r="AE124" s="430">
        <f t="shared" si="193"/>
        <v>0</v>
      </c>
      <c r="AF124" s="430">
        <f t="shared" si="268"/>
        <v>0</v>
      </c>
      <c r="AG124" s="430">
        <f t="shared" si="195"/>
        <v>0</v>
      </c>
      <c r="AH124" s="430">
        <f t="shared" si="196"/>
        <v>0</v>
      </c>
      <c r="AI124" s="431">
        <f t="shared" si="197"/>
        <v>0</v>
      </c>
      <c r="AJ124" s="620">
        <f>'2020'!J124</f>
        <v>0</v>
      </c>
      <c r="AK124" s="587">
        <f>'2021'!J124</f>
        <v>0</v>
      </c>
      <c r="AL124" s="587">
        <f>'2022'!J124</f>
        <v>0</v>
      </c>
      <c r="AM124" s="587">
        <f>'2023'!J124</f>
        <v>0</v>
      </c>
      <c r="AN124" s="587">
        <f>'2024'!J124</f>
        <v>0</v>
      </c>
      <c r="AO124" s="588">
        <f>'2025'!J124</f>
        <v>0</v>
      </c>
      <c r="AP124" s="429" t="str">
        <f t="shared" si="208"/>
        <v/>
      </c>
      <c r="AQ124" s="430" t="str">
        <f t="shared" si="198"/>
        <v/>
      </c>
      <c r="AR124" s="430" t="str">
        <f t="shared" si="199"/>
        <v/>
      </c>
      <c r="AS124" s="430" t="str">
        <f t="shared" si="200"/>
        <v/>
      </c>
      <c r="AT124" s="430" t="str">
        <f t="shared" si="201"/>
        <v/>
      </c>
      <c r="AU124" s="431" t="str">
        <f t="shared" si="202"/>
        <v/>
      </c>
      <c r="AV124" s="620">
        <f>'2020'!L124</f>
        <v>0</v>
      </c>
      <c r="AW124" s="587">
        <f>'2021'!L124</f>
        <v>0</v>
      </c>
      <c r="AX124" s="587">
        <f>'2022'!L124</f>
        <v>0</v>
      </c>
      <c r="AY124" s="587">
        <f>'2023'!L124</f>
        <v>0</v>
      </c>
      <c r="AZ124" s="587">
        <f>'2024'!L124</f>
        <v>0</v>
      </c>
      <c r="BA124" s="588">
        <f>'2025'!L124</f>
        <v>0</v>
      </c>
      <c r="BB124" s="429" t="str">
        <f t="shared" si="209"/>
        <v/>
      </c>
      <c r="BC124" s="430" t="str">
        <f t="shared" si="203"/>
        <v/>
      </c>
      <c r="BD124" s="430" t="str">
        <f t="shared" si="204"/>
        <v/>
      </c>
      <c r="BE124" s="430" t="str">
        <f t="shared" si="205"/>
        <v/>
      </c>
      <c r="BF124" s="430" t="str">
        <f t="shared" si="206"/>
        <v/>
      </c>
      <c r="BG124" s="431" t="str">
        <f t="shared" si="207"/>
        <v/>
      </c>
      <c r="BH124" s="735">
        <f>'2020'!N124</f>
        <v>0</v>
      </c>
      <c r="BI124" s="736">
        <f>'2021'!N124</f>
        <v>0</v>
      </c>
      <c r="BJ124" s="736">
        <f>'2022'!N124</f>
        <v>0</v>
      </c>
      <c r="BK124" s="736">
        <f>'2023'!N124</f>
        <v>0</v>
      </c>
      <c r="BL124" s="736">
        <f>'2024'!N124</f>
        <v>0</v>
      </c>
      <c r="BM124" s="737">
        <f>'2025'!N124</f>
        <v>0</v>
      </c>
      <c r="BN124" s="432"/>
      <c r="BO124" s="433"/>
      <c r="BP124" s="432"/>
      <c r="BQ124" s="433"/>
      <c r="BR124" s="450"/>
      <c r="BS124" s="451"/>
      <c r="BT124" s="450"/>
      <c r="BU124" s="452"/>
      <c r="BV124" s="249"/>
      <c r="CC124" s="1" t="str">
        <f t="shared" si="210"/>
        <v/>
      </c>
      <c r="CD124" s="1" t="str">
        <f t="shared" si="211"/>
        <v/>
      </c>
      <c r="CE124" s="1" t="str">
        <f t="shared" si="212"/>
        <v/>
      </c>
      <c r="CF124" s="1" t="str">
        <f t="shared" si="213"/>
        <v/>
      </c>
      <c r="CG124" s="1" t="str">
        <f t="shared" si="214"/>
        <v/>
      </c>
      <c r="CH124" s="1" t="str">
        <f t="shared" si="215"/>
        <v/>
      </c>
    </row>
    <row r="125" spans="2:86" ht="15.6" x14ac:dyDescent="0.3">
      <c r="B125" s="773"/>
      <c r="C125" s="850"/>
      <c r="D125" s="383" t="s">
        <v>138</v>
      </c>
      <c r="E125" s="379"/>
      <c r="F125" s="379"/>
      <c r="G125" s="379"/>
      <c r="H125" s="379"/>
      <c r="I125" s="387"/>
      <c r="J125" s="718"/>
      <c r="K125" s="390">
        <f>COUNTIF(K110:K124,"X")</f>
        <v>3</v>
      </c>
      <c r="L125" s="392">
        <f t="shared" ref="L125:P125" si="313">COUNTIF(L110:L124,"X")</f>
        <v>6</v>
      </c>
      <c r="M125" s="392">
        <f t="shared" si="313"/>
        <v>8</v>
      </c>
      <c r="N125" s="392">
        <f t="shared" si="313"/>
        <v>0</v>
      </c>
      <c r="O125" s="392">
        <f t="shared" si="313"/>
        <v>0</v>
      </c>
      <c r="P125" s="393">
        <f t="shared" si="313"/>
        <v>0</v>
      </c>
      <c r="Q125" s="250"/>
      <c r="R125" s="600">
        <f>SUM(R110:R124)</f>
        <v>540</v>
      </c>
      <c r="S125" s="601">
        <f t="shared" ref="S125:W125" si="314">SUM(S110:S124)</f>
        <v>882</v>
      </c>
      <c r="T125" s="601">
        <f>SUM(T110:T124)</f>
        <v>1242</v>
      </c>
      <c r="U125" s="601">
        <f t="shared" si="314"/>
        <v>0</v>
      </c>
      <c r="V125" s="601">
        <f t="shared" si="314"/>
        <v>0</v>
      </c>
      <c r="W125" s="602">
        <f t="shared" si="314"/>
        <v>0</v>
      </c>
      <c r="X125" s="625">
        <f>SUM(X110:X124)</f>
        <v>269</v>
      </c>
      <c r="Y125" s="601">
        <f t="shared" ref="Y125:AC125" si="315">SUM(Y110:Y124)</f>
        <v>445</v>
      </c>
      <c r="Z125" s="601">
        <f t="shared" si="315"/>
        <v>672</v>
      </c>
      <c r="AA125" s="601">
        <f t="shared" si="315"/>
        <v>0</v>
      </c>
      <c r="AB125" s="601">
        <f t="shared" si="315"/>
        <v>0</v>
      </c>
      <c r="AC125" s="602">
        <f t="shared" si="315"/>
        <v>0</v>
      </c>
      <c r="AD125" s="315">
        <f t="shared" si="192"/>
        <v>0.3125</v>
      </c>
      <c r="AE125" s="316">
        <f t="shared" si="193"/>
        <v>0.35600907029478457</v>
      </c>
      <c r="AF125" s="316">
        <f t="shared" si="268"/>
        <v>0.38405797101449274</v>
      </c>
      <c r="AG125" s="316">
        <f t="shared" si="195"/>
        <v>0</v>
      </c>
      <c r="AH125" s="316">
        <f t="shared" si="196"/>
        <v>0</v>
      </c>
      <c r="AI125" s="321">
        <f t="shared" si="197"/>
        <v>0</v>
      </c>
      <c r="AJ125" s="625">
        <f>SUM(AJ110:AJ124)</f>
        <v>168.75</v>
      </c>
      <c r="AK125" s="601">
        <f t="shared" ref="AK125" si="316">SUM(AK110:AK124)</f>
        <v>314</v>
      </c>
      <c r="AL125" s="601">
        <f t="shared" ref="AL125" si="317">SUM(AL110:AL124)</f>
        <v>477</v>
      </c>
      <c r="AM125" s="601">
        <f t="shared" ref="AM125" si="318">SUM(AM110:AM124)</f>
        <v>0</v>
      </c>
      <c r="AN125" s="601">
        <f t="shared" ref="AN125" si="319">SUM(AN110:AN124)</f>
        <v>0</v>
      </c>
      <c r="AO125" s="602">
        <f t="shared" ref="AO125" si="320">SUM(AO110:AO124)</f>
        <v>0</v>
      </c>
      <c r="AP125" s="315">
        <f t="shared" si="208"/>
        <v>0.35555555555555557</v>
      </c>
      <c r="AQ125" s="316">
        <f t="shared" si="198"/>
        <v>0.29365079365079366</v>
      </c>
      <c r="AR125" s="316">
        <f t="shared" si="199"/>
        <v>0.32125603864734298</v>
      </c>
      <c r="AS125" s="316" t="str">
        <f t="shared" si="200"/>
        <v/>
      </c>
      <c r="AT125" s="316" t="str">
        <f t="shared" si="201"/>
        <v/>
      </c>
      <c r="AU125" s="321" t="str">
        <f t="shared" si="202"/>
        <v/>
      </c>
      <c r="AV125" s="625">
        <f>SUM(AV110:AV124)</f>
        <v>192</v>
      </c>
      <c r="AW125" s="601">
        <f t="shared" ref="AW125" si="321">SUM(AW110:AW124)</f>
        <v>259</v>
      </c>
      <c r="AX125" s="601">
        <f t="shared" ref="AX125" si="322">SUM(AX110:AX124)</f>
        <v>399</v>
      </c>
      <c r="AY125" s="601">
        <f t="shared" ref="AY125" si="323">SUM(AY110:AY124)</f>
        <v>0</v>
      </c>
      <c r="AZ125" s="601">
        <f t="shared" ref="AZ125" si="324">SUM(AZ110:AZ124)</f>
        <v>0</v>
      </c>
      <c r="BA125" s="602">
        <f t="shared" ref="BA125" si="325">SUM(BA110:BA124)</f>
        <v>0</v>
      </c>
      <c r="BB125" s="317">
        <f t="shared" si="209"/>
        <v>0</v>
      </c>
      <c r="BC125" s="318">
        <f t="shared" si="203"/>
        <v>0.46332046332046334</v>
      </c>
      <c r="BD125" s="318">
        <f t="shared" si="204"/>
        <v>0.48872180451127817</v>
      </c>
      <c r="BE125" s="318" t="str">
        <f t="shared" si="205"/>
        <v/>
      </c>
      <c r="BF125" s="318" t="str">
        <f t="shared" si="206"/>
        <v/>
      </c>
      <c r="BG125" s="322" t="str">
        <f t="shared" si="207"/>
        <v/>
      </c>
      <c r="BH125" s="625">
        <f>SUM(BH110:BH124)</f>
        <v>0</v>
      </c>
      <c r="BI125" s="601">
        <f t="shared" ref="BI125" si="326">SUM(BI110:BI124)</f>
        <v>120</v>
      </c>
      <c r="BJ125" s="601">
        <f t="shared" ref="BJ125" si="327">SUM(BJ110:BJ124)</f>
        <v>195</v>
      </c>
      <c r="BK125" s="601">
        <f t="shared" ref="BK125" si="328">SUM(BK110:BK124)</f>
        <v>0</v>
      </c>
      <c r="BL125" s="601">
        <f t="shared" ref="BL125" si="329">SUM(BL110:BL124)</f>
        <v>0</v>
      </c>
      <c r="BM125" s="602">
        <f t="shared" ref="BM125" si="330">SUM(BM110:BM124)</f>
        <v>0</v>
      </c>
      <c r="BN125" s="331">
        <f t="shared" ref="BN125:BU125" si="331">SUM(BN110:BN121)</f>
        <v>45</v>
      </c>
      <c r="BO125" s="332">
        <f t="shared" si="331"/>
        <v>22</v>
      </c>
      <c r="BP125" s="331">
        <f t="shared" si="331"/>
        <v>100</v>
      </c>
      <c r="BQ125" s="332">
        <f t="shared" si="331"/>
        <v>65</v>
      </c>
      <c r="BR125" s="331">
        <f t="shared" si="331"/>
        <v>881</v>
      </c>
      <c r="BS125" s="332">
        <f t="shared" si="331"/>
        <v>449</v>
      </c>
      <c r="BT125" s="331">
        <f t="shared" si="331"/>
        <v>101</v>
      </c>
      <c r="BU125" s="333">
        <f t="shared" si="331"/>
        <v>58</v>
      </c>
      <c r="BV125" s="249"/>
      <c r="CC125" s="1">
        <f t="shared" si="210"/>
        <v>0</v>
      </c>
      <c r="CD125" s="1">
        <f t="shared" si="211"/>
        <v>0</v>
      </c>
      <c r="CE125" s="1">
        <f t="shared" si="212"/>
        <v>0</v>
      </c>
      <c r="CF125" s="1">
        <f t="shared" si="213"/>
        <v>0</v>
      </c>
      <c r="CG125" s="1">
        <f t="shared" si="214"/>
        <v>0</v>
      </c>
      <c r="CH125" s="1">
        <f t="shared" si="215"/>
        <v>0</v>
      </c>
    </row>
    <row r="126" spans="2:86" ht="15.75" customHeight="1" x14ac:dyDescent="0.3">
      <c r="B126" s="788" t="s">
        <v>72</v>
      </c>
      <c r="C126" s="850" t="s">
        <v>76</v>
      </c>
      <c r="D126" s="841">
        <f>'2020'!D126</f>
        <v>2</v>
      </c>
      <c r="E126" s="833">
        <f>'2021'!D126</f>
        <v>5</v>
      </c>
      <c r="F126" s="833">
        <f>'2022'!D126</f>
        <v>3</v>
      </c>
      <c r="G126" s="833">
        <f>'2023'!D126</f>
        <v>3</v>
      </c>
      <c r="H126" s="833"/>
      <c r="I126" s="840"/>
      <c r="J126" s="720" t="s">
        <v>150</v>
      </c>
      <c r="K126" s="404" t="str">
        <f t="shared" ref="K126:K133" si="332">IF(R126=0,"","X")</f>
        <v>X</v>
      </c>
      <c r="L126" s="404" t="str">
        <f t="shared" ref="L126:L133" si="333">IF(S126=0,"","X")</f>
        <v>X</v>
      </c>
      <c r="M126" s="404" t="str">
        <f t="shared" ref="M126:M133" si="334">IF(T126=0,"","X")</f>
        <v>X</v>
      </c>
      <c r="N126" s="404" t="str">
        <f t="shared" ref="N126:N133" si="335">IF(U126=0,"","X")</f>
        <v/>
      </c>
      <c r="O126" s="404" t="str">
        <f t="shared" ref="O126:O133" si="336">IF(V126=0,"","X")</f>
        <v/>
      </c>
      <c r="P126" s="405" t="str">
        <f t="shared" ref="P126:P133" si="337">IF(W126=0,"","X")</f>
        <v/>
      </c>
      <c r="Q126" s="442" t="s">
        <v>62</v>
      </c>
      <c r="R126" s="592">
        <f>'2020'!G126</f>
        <v>21</v>
      </c>
      <c r="S126" s="593">
        <f>'2021'!G126</f>
        <v>47</v>
      </c>
      <c r="T126" s="593">
        <f>'2022'!G126</f>
        <v>45</v>
      </c>
      <c r="U126" s="593">
        <f>'2023'!G126</f>
        <v>0</v>
      </c>
      <c r="V126" s="593">
        <f>'2024'!G126</f>
        <v>0</v>
      </c>
      <c r="W126" s="594">
        <f>'2025'!G126</f>
        <v>0</v>
      </c>
      <c r="X126" s="622">
        <f>'2020'!H126</f>
        <v>8</v>
      </c>
      <c r="Y126" s="593">
        <f>'2021'!H126</f>
        <v>38</v>
      </c>
      <c r="Z126" s="593">
        <f>'2022'!H126</f>
        <v>24</v>
      </c>
      <c r="AA126" s="593">
        <f>'2023'!H126</f>
        <v>0</v>
      </c>
      <c r="AB126" s="593">
        <f>'2024'!H126</f>
        <v>0</v>
      </c>
      <c r="AC126" s="594">
        <f>'2025'!H126</f>
        <v>0</v>
      </c>
      <c r="AD126" s="412">
        <f t="shared" si="192"/>
        <v>0.28999999999999998</v>
      </c>
      <c r="AE126" s="413">
        <f t="shared" si="193"/>
        <v>0.19148936170212766</v>
      </c>
      <c r="AF126" s="413">
        <f t="shared" si="268"/>
        <v>0.28888888888888886</v>
      </c>
      <c r="AG126" s="413">
        <f t="shared" si="195"/>
        <v>0</v>
      </c>
      <c r="AH126" s="413">
        <f t="shared" si="196"/>
        <v>0</v>
      </c>
      <c r="AI126" s="414">
        <f t="shared" si="197"/>
        <v>0</v>
      </c>
      <c r="AJ126" s="622">
        <f>'2020'!J126</f>
        <v>6.09</v>
      </c>
      <c r="AK126" s="593">
        <f>'2021'!J126</f>
        <v>9</v>
      </c>
      <c r="AL126" s="593">
        <f>'2022'!J126</f>
        <v>13</v>
      </c>
      <c r="AM126" s="593">
        <f>'2023'!J126</f>
        <v>0</v>
      </c>
      <c r="AN126" s="593">
        <f>'2024'!J126</f>
        <v>0</v>
      </c>
      <c r="AO126" s="594">
        <f>'2025'!J126</f>
        <v>0</v>
      </c>
      <c r="AP126" s="412">
        <f t="shared" si="208"/>
        <v>0.32</v>
      </c>
      <c r="AQ126" s="413">
        <f t="shared" si="198"/>
        <v>0.23404255319148937</v>
      </c>
      <c r="AR126" s="413">
        <f t="shared" si="199"/>
        <v>0.24444444444444444</v>
      </c>
      <c r="AS126" s="413" t="str">
        <f t="shared" si="200"/>
        <v/>
      </c>
      <c r="AT126" s="413" t="str">
        <f t="shared" si="201"/>
        <v/>
      </c>
      <c r="AU126" s="414" t="str">
        <f t="shared" si="202"/>
        <v/>
      </c>
      <c r="AV126" s="622">
        <f>'2020'!L126</f>
        <v>6.72</v>
      </c>
      <c r="AW126" s="593">
        <f>'2021'!L126</f>
        <v>11</v>
      </c>
      <c r="AX126" s="593">
        <f>'2022'!L126</f>
        <v>11</v>
      </c>
      <c r="AY126" s="593">
        <f>'2023'!L126</f>
        <v>0</v>
      </c>
      <c r="AZ126" s="593">
        <f>'2024'!L126</f>
        <v>0</v>
      </c>
      <c r="BA126" s="594">
        <f>'2025'!L126</f>
        <v>0</v>
      </c>
      <c r="BB126" s="412">
        <f t="shared" si="209"/>
        <v>0</v>
      </c>
      <c r="BC126" s="413">
        <f t="shared" si="203"/>
        <v>0.54545454545454541</v>
      </c>
      <c r="BD126" s="413">
        <f t="shared" si="204"/>
        <v>0.45454545454545453</v>
      </c>
      <c r="BE126" s="413" t="str">
        <f t="shared" si="205"/>
        <v/>
      </c>
      <c r="BF126" s="413" t="str">
        <f t="shared" si="206"/>
        <v/>
      </c>
      <c r="BG126" s="414" t="str">
        <f t="shared" si="207"/>
        <v/>
      </c>
      <c r="BH126" s="738">
        <f>'2020'!N126</f>
        <v>0</v>
      </c>
      <c r="BI126" s="739">
        <f>'2021'!N126</f>
        <v>6</v>
      </c>
      <c r="BJ126" s="739">
        <f>'2022'!N126</f>
        <v>5</v>
      </c>
      <c r="BK126" s="739">
        <f>'2023'!N126</f>
        <v>0</v>
      </c>
      <c r="BL126" s="739">
        <f>'2024'!N126</f>
        <v>0</v>
      </c>
      <c r="BM126" s="740">
        <f>'2025'!N126</f>
        <v>0</v>
      </c>
      <c r="BN126" s="415">
        <v>1</v>
      </c>
      <c r="BO126" s="416">
        <v>0</v>
      </c>
      <c r="BP126" s="415">
        <v>1</v>
      </c>
      <c r="BQ126" s="416">
        <v>1</v>
      </c>
      <c r="BR126" s="443">
        <v>45</v>
      </c>
      <c r="BS126" s="444">
        <v>38</v>
      </c>
      <c r="BT126" s="443">
        <v>3</v>
      </c>
      <c r="BU126" s="445">
        <v>1</v>
      </c>
      <c r="CC126" s="1" t="str">
        <f t="shared" si="210"/>
        <v>Frontière</v>
      </c>
      <c r="CD126" s="1" t="str">
        <f t="shared" si="211"/>
        <v>Frontière</v>
      </c>
      <c r="CE126" s="1" t="str">
        <f t="shared" si="212"/>
        <v>Frontière</v>
      </c>
      <c r="CF126" s="1" t="str">
        <f t="shared" si="213"/>
        <v/>
      </c>
      <c r="CG126" s="1" t="str">
        <f t="shared" si="214"/>
        <v/>
      </c>
      <c r="CH126" s="1" t="str">
        <f t="shared" si="215"/>
        <v/>
      </c>
    </row>
    <row r="127" spans="2:86" ht="15.75" customHeight="1" x14ac:dyDescent="0.3">
      <c r="B127" s="788"/>
      <c r="C127" s="850"/>
      <c r="D127" s="828"/>
      <c r="E127" s="799"/>
      <c r="F127" s="799"/>
      <c r="G127" s="799"/>
      <c r="H127" s="799"/>
      <c r="I127" s="835"/>
      <c r="J127" s="721" t="s">
        <v>153</v>
      </c>
      <c r="K127" s="406" t="str">
        <f t="shared" si="332"/>
        <v/>
      </c>
      <c r="L127" s="406" t="str">
        <f t="shared" si="333"/>
        <v>X</v>
      </c>
      <c r="M127" s="406" t="str">
        <f t="shared" si="334"/>
        <v>X</v>
      </c>
      <c r="N127" s="406" t="str">
        <f t="shared" si="335"/>
        <v/>
      </c>
      <c r="O127" s="406" t="str">
        <f t="shared" si="336"/>
        <v/>
      </c>
      <c r="P127" s="407" t="str">
        <f t="shared" si="337"/>
        <v/>
      </c>
      <c r="Q127" s="410" t="s">
        <v>62</v>
      </c>
      <c r="R127" s="583">
        <f>'2020'!G127</f>
        <v>0</v>
      </c>
      <c r="S127" s="584">
        <f>'2021'!G127</f>
        <v>23</v>
      </c>
      <c r="T127" s="584">
        <f>'2022'!G127</f>
        <v>16</v>
      </c>
      <c r="U127" s="584">
        <f>'2023'!G127</f>
        <v>0</v>
      </c>
      <c r="V127" s="584">
        <f>'2024'!G127</f>
        <v>0</v>
      </c>
      <c r="W127" s="585">
        <f>'2025'!G127</f>
        <v>0</v>
      </c>
      <c r="X127" s="619">
        <f>'2020'!H127</f>
        <v>0</v>
      </c>
      <c r="Y127" s="584">
        <f>'2021'!H127</f>
        <v>7</v>
      </c>
      <c r="Z127" s="584">
        <f>'2022'!H127</f>
        <v>10</v>
      </c>
      <c r="AA127" s="584">
        <f>'2023'!H127</f>
        <v>0</v>
      </c>
      <c r="AB127" s="584">
        <f>'2024'!H127</f>
        <v>0</v>
      </c>
      <c r="AC127" s="585">
        <f>'2025'!H127</f>
        <v>0</v>
      </c>
      <c r="AD127" s="421">
        <f t="shared" si="192"/>
        <v>0</v>
      </c>
      <c r="AE127" s="422">
        <f t="shared" si="193"/>
        <v>0.39130434782608697</v>
      </c>
      <c r="AF127" s="422">
        <f t="shared" si="268"/>
        <v>0.25</v>
      </c>
      <c r="AG127" s="422">
        <f t="shared" si="195"/>
        <v>0</v>
      </c>
      <c r="AH127" s="422">
        <f t="shared" si="196"/>
        <v>0</v>
      </c>
      <c r="AI127" s="423">
        <f t="shared" si="197"/>
        <v>0</v>
      </c>
      <c r="AJ127" s="619">
        <f>'2020'!J127</f>
        <v>0</v>
      </c>
      <c r="AK127" s="584">
        <f>'2021'!J127</f>
        <v>9</v>
      </c>
      <c r="AL127" s="584">
        <f>'2022'!J127</f>
        <v>4</v>
      </c>
      <c r="AM127" s="584">
        <f>'2023'!J127</f>
        <v>0</v>
      </c>
      <c r="AN127" s="584">
        <f>'2024'!J127</f>
        <v>0</v>
      </c>
      <c r="AO127" s="585">
        <f>'2025'!J127</f>
        <v>0</v>
      </c>
      <c r="AP127" s="421" t="str">
        <f t="shared" si="208"/>
        <v/>
      </c>
      <c r="AQ127" s="422">
        <f t="shared" si="198"/>
        <v>0.39130434782608697</v>
      </c>
      <c r="AR127" s="422">
        <f t="shared" si="199"/>
        <v>0.3125</v>
      </c>
      <c r="AS127" s="422" t="str">
        <f t="shared" si="200"/>
        <v/>
      </c>
      <c r="AT127" s="422" t="str">
        <f t="shared" si="201"/>
        <v/>
      </c>
      <c r="AU127" s="423" t="str">
        <f t="shared" si="202"/>
        <v/>
      </c>
      <c r="AV127" s="619">
        <f>'2020'!L127</f>
        <v>0</v>
      </c>
      <c r="AW127" s="584">
        <f>'2021'!L127</f>
        <v>9</v>
      </c>
      <c r="AX127" s="584">
        <f>'2022'!L127</f>
        <v>5</v>
      </c>
      <c r="AY127" s="584">
        <f>'2023'!L127</f>
        <v>0</v>
      </c>
      <c r="AZ127" s="584">
        <f>'2024'!L127</f>
        <v>0</v>
      </c>
      <c r="BA127" s="585">
        <f>'2025'!L127</f>
        <v>0</v>
      </c>
      <c r="BB127" s="421" t="str">
        <f t="shared" si="209"/>
        <v/>
      </c>
      <c r="BC127" s="422">
        <f t="shared" si="203"/>
        <v>0.55555555555555558</v>
      </c>
      <c r="BD127" s="422">
        <f t="shared" si="204"/>
        <v>0.2</v>
      </c>
      <c r="BE127" s="422" t="str">
        <f t="shared" si="205"/>
        <v/>
      </c>
      <c r="BF127" s="422" t="str">
        <f t="shared" si="206"/>
        <v/>
      </c>
      <c r="BG127" s="423" t="str">
        <f t="shared" si="207"/>
        <v/>
      </c>
      <c r="BH127" s="732">
        <f>'2020'!N127</f>
        <v>0</v>
      </c>
      <c r="BI127" s="733">
        <f>'2021'!N127</f>
        <v>5</v>
      </c>
      <c r="BJ127" s="733">
        <f>'2022'!N127</f>
        <v>1</v>
      </c>
      <c r="BK127" s="733">
        <f>'2023'!N127</f>
        <v>0</v>
      </c>
      <c r="BL127" s="733">
        <f>'2024'!N127</f>
        <v>0</v>
      </c>
      <c r="BM127" s="734">
        <f>'2025'!N127</f>
        <v>0</v>
      </c>
      <c r="BN127" s="424">
        <v>0</v>
      </c>
      <c r="BO127" s="425">
        <v>0</v>
      </c>
      <c r="BP127" s="424">
        <v>8</v>
      </c>
      <c r="BQ127" s="425">
        <v>7</v>
      </c>
      <c r="BR127" s="446">
        <v>22</v>
      </c>
      <c r="BS127" s="447">
        <v>10</v>
      </c>
      <c r="BT127" s="446">
        <v>9</v>
      </c>
      <c r="BU127" s="448">
        <v>4</v>
      </c>
      <c r="CC127" s="1" t="str">
        <f t="shared" si="210"/>
        <v/>
      </c>
      <c r="CD127" s="1" t="str">
        <f t="shared" si="211"/>
        <v>Frontière</v>
      </c>
      <c r="CE127" s="1" t="str">
        <f t="shared" si="212"/>
        <v>Frontière</v>
      </c>
      <c r="CF127" s="1" t="str">
        <f t="shared" si="213"/>
        <v/>
      </c>
      <c r="CG127" s="1" t="str">
        <f t="shared" si="214"/>
        <v/>
      </c>
      <c r="CH127" s="1" t="str">
        <f t="shared" si="215"/>
        <v/>
      </c>
    </row>
    <row r="128" spans="2:86" ht="15.75" customHeight="1" x14ac:dyDescent="0.3">
      <c r="B128" s="788"/>
      <c r="C128" s="850"/>
      <c r="D128" s="828"/>
      <c r="E128" s="799"/>
      <c r="F128" s="799"/>
      <c r="G128" s="799"/>
      <c r="H128" s="799"/>
      <c r="I128" s="835"/>
      <c r="J128" s="721" t="s">
        <v>166</v>
      </c>
      <c r="K128" s="406" t="str">
        <f t="shared" si="332"/>
        <v/>
      </c>
      <c r="L128" s="406" t="str">
        <f t="shared" si="333"/>
        <v/>
      </c>
      <c r="M128" s="406" t="str">
        <f t="shared" si="334"/>
        <v/>
      </c>
      <c r="N128" s="406" t="str">
        <f t="shared" si="335"/>
        <v/>
      </c>
      <c r="O128" s="406" t="str">
        <f t="shared" si="336"/>
        <v/>
      </c>
      <c r="P128" s="407" t="str">
        <f t="shared" si="337"/>
        <v/>
      </c>
      <c r="Q128" s="410" t="s">
        <v>62</v>
      </c>
      <c r="R128" s="583">
        <f>'2020'!G128</f>
        <v>0</v>
      </c>
      <c r="S128" s="584">
        <f>'2021'!G128</f>
        <v>0</v>
      </c>
      <c r="T128" s="584">
        <f>'2022'!G128</f>
        <v>0</v>
      </c>
      <c r="U128" s="584">
        <f>'2023'!G128</f>
        <v>0</v>
      </c>
      <c r="V128" s="584">
        <f>'2024'!G128</f>
        <v>0</v>
      </c>
      <c r="W128" s="585">
        <f>'2025'!G128</f>
        <v>0</v>
      </c>
      <c r="X128" s="619">
        <f>'2020'!H128</f>
        <v>0</v>
      </c>
      <c r="Y128" s="584">
        <f>'2021'!H128</f>
        <v>0</v>
      </c>
      <c r="Z128" s="584">
        <f>'2022'!H128</f>
        <v>0</v>
      </c>
      <c r="AA128" s="584">
        <f>'2023'!H128</f>
        <v>0</v>
      </c>
      <c r="AB128" s="584">
        <f>'2024'!H128</f>
        <v>0</v>
      </c>
      <c r="AC128" s="585">
        <f>'2025'!H128</f>
        <v>0</v>
      </c>
      <c r="AD128" s="421">
        <f t="shared" si="192"/>
        <v>0</v>
      </c>
      <c r="AE128" s="422">
        <f t="shared" si="193"/>
        <v>0</v>
      </c>
      <c r="AF128" s="422">
        <f t="shared" si="268"/>
        <v>0</v>
      </c>
      <c r="AG128" s="422">
        <f t="shared" si="195"/>
        <v>0</v>
      </c>
      <c r="AH128" s="422">
        <f t="shared" si="196"/>
        <v>0</v>
      </c>
      <c r="AI128" s="423">
        <f t="shared" si="197"/>
        <v>0</v>
      </c>
      <c r="AJ128" s="619">
        <f>'2020'!J128</f>
        <v>0</v>
      </c>
      <c r="AK128" s="584">
        <f>'2021'!J128</f>
        <v>0</v>
      </c>
      <c r="AL128" s="584">
        <f>'2022'!J128</f>
        <v>0</v>
      </c>
      <c r="AM128" s="584">
        <f>'2023'!J128</f>
        <v>0</v>
      </c>
      <c r="AN128" s="584">
        <f>'2024'!J128</f>
        <v>0</v>
      </c>
      <c r="AO128" s="585">
        <f>'2025'!J128</f>
        <v>0</v>
      </c>
      <c r="AP128" s="421" t="str">
        <f t="shared" si="208"/>
        <v/>
      </c>
      <c r="AQ128" s="422" t="str">
        <f t="shared" si="198"/>
        <v/>
      </c>
      <c r="AR128" s="422" t="str">
        <f t="shared" si="199"/>
        <v/>
      </c>
      <c r="AS128" s="422" t="str">
        <f t="shared" si="200"/>
        <v/>
      </c>
      <c r="AT128" s="422" t="str">
        <f t="shared" si="201"/>
        <v/>
      </c>
      <c r="AU128" s="423" t="str">
        <f t="shared" si="202"/>
        <v/>
      </c>
      <c r="AV128" s="619">
        <f>'2020'!L128</f>
        <v>0</v>
      </c>
      <c r="AW128" s="584">
        <f>'2021'!L128</f>
        <v>0</v>
      </c>
      <c r="AX128" s="584">
        <f>'2022'!L128</f>
        <v>0</v>
      </c>
      <c r="AY128" s="584">
        <f>'2023'!L128</f>
        <v>0</v>
      </c>
      <c r="AZ128" s="584">
        <f>'2024'!L128</f>
        <v>0</v>
      </c>
      <c r="BA128" s="585">
        <f>'2025'!L128</f>
        <v>0</v>
      </c>
      <c r="BB128" s="421" t="str">
        <f t="shared" si="209"/>
        <v/>
      </c>
      <c r="BC128" s="422" t="str">
        <f t="shared" si="203"/>
        <v/>
      </c>
      <c r="BD128" s="422" t="str">
        <f t="shared" si="204"/>
        <v/>
      </c>
      <c r="BE128" s="422" t="str">
        <f t="shared" si="205"/>
        <v/>
      </c>
      <c r="BF128" s="422" t="str">
        <f t="shared" si="206"/>
        <v/>
      </c>
      <c r="BG128" s="423" t="str">
        <f t="shared" si="207"/>
        <v/>
      </c>
      <c r="BH128" s="732">
        <f>'2020'!N128</f>
        <v>0</v>
      </c>
      <c r="BI128" s="733">
        <f>'2021'!N128</f>
        <v>0</v>
      </c>
      <c r="BJ128" s="733">
        <f>'2022'!N128</f>
        <v>0</v>
      </c>
      <c r="BK128" s="733">
        <f>'2023'!N128</f>
        <v>0</v>
      </c>
      <c r="BL128" s="733">
        <f>'2024'!N128</f>
        <v>0</v>
      </c>
      <c r="BM128" s="734">
        <f>'2025'!N128</f>
        <v>0</v>
      </c>
      <c r="BN128" s="424"/>
      <c r="BO128" s="425"/>
      <c r="BP128" s="424"/>
      <c r="BQ128" s="425"/>
      <c r="BR128" s="446"/>
      <c r="BS128" s="447"/>
      <c r="BT128" s="446"/>
      <c r="BU128" s="448"/>
      <c r="CC128" s="1" t="str">
        <f t="shared" si="210"/>
        <v/>
      </c>
      <c r="CD128" s="1" t="str">
        <f t="shared" si="211"/>
        <v/>
      </c>
      <c r="CE128" s="1" t="str">
        <f t="shared" si="212"/>
        <v/>
      </c>
      <c r="CF128" s="1" t="str">
        <f t="shared" si="213"/>
        <v/>
      </c>
      <c r="CG128" s="1" t="str">
        <f t="shared" si="214"/>
        <v/>
      </c>
      <c r="CH128" s="1" t="str">
        <f t="shared" si="215"/>
        <v/>
      </c>
    </row>
    <row r="129" spans="2:86" ht="15.75" customHeight="1" x14ac:dyDescent="0.3">
      <c r="B129" s="788"/>
      <c r="C129" s="850"/>
      <c r="D129" s="828"/>
      <c r="E129" s="799"/>
      <c r="F129" s="799"/>
      <c r="G129" s="799"/>
      <c r="H129" s="799"/>
      <c r="I129" s="835"/>
      <c r="J129" s="721" t="s">
        <v>166</v>
      </c>
      <c r="K129" s="406" t="str">
        <f t="shared" si="332"/>
        <v/>
      </c>
      <c r="L129" s="406" t="str">
        <f t="shared" si="333"/>
        <v/>
      </c>
      <c r="M129" s="406" t="str">
        <f t="shared" si="334"/>
        <v/>
      </c>
      <c r="N129" s="406" t="str">
        <f t="shared" si="335"/>
        <v/>
      </c>
      <c r="O129" s="406" t="str">
        <f t="shared" si="336"/>
        <v/>
      </c>
      <c r="P129" s="407" t="str">
        <f t="shared" si="337"/>
        <v/>
      </c>
      <c r="Q129" s="410" t="s">
        <v>62</v>
      </c>
      <c r="R129" s="583">
        <f>'2020'!G129</f>
        <v>0</v>
      </c>
      <c r="S129" s="584">
        <f>'2021'!G129</f>
        <v>0</v>
      </c>
      <c r="T129" s="584">
        <f>'2022'!G129</f>
        <v>0</v>
      </c>
      <c r="U129" s="584">
        <f>'2023'!G129</f>
        <v>0</v>
      </c>
      <c r="V129" s="584">
        <f>'2024'!G129</f>
        <v>0</v>
      </c>
      <c r="W129" s="585">
        <f>'2025'!G129</f>
        <v>0</v>
      </c>
      <c r="X129" s="619">
        <f>'2020'!H129</f>
        <v>0</v>
      </c>
      <c r="Y129" s="584">
        <f>'2021'!H129</f>
        <v>0</v>
      </c>
      <c r="Z129" s="584">
        <f>'2022'!H129</f>
        <v>0</v>
      </c>
      <c r="AA129" s="584">
        <f>'2023'!H129</f>
        <v>0</v>
      </c>
      <c r="AB129" s="584">
        <f>'2024'!H129</f>
        <v>0</v>
      </c>
      <c r="AC129" s="585">
        <f>'2025'!H129</f>
        <v>0</v>
      </c>
      <c r="AD129" s="421">
        <f t="shared" si="192"/>
        <v>0</v>
      </c>
      <c r="AE129" s="422">
        <f t="shared" si="193"/>
        <v>0</v>
      </c>
      <c r="AF129" s="422">
        <f t="shared" si="268"/>
        <v>0</v>
      </c>
      <c r="AG129" s="422">
        <f t="shared" si="195"/>
        <v>0</v>
      </c>
      <c r="AH129" s="422">
        <f t="shared" si="196"/>
        <v>0</v>
      </c>
      <c r="AI129" s="423">
        <f t="shared" si="197"/>
        <v>0</v>
      </c>
      <c r="AJ129" s="619">
        <f>'2020'!J129</f>
        <v>0</v>
      </c>
      <c r="AK129" s="584">
        <f>'2021'!J129</f>
        <v>0</v>
      </c>
      <c r="AL129" s="584">
        <f>'2022'!J129</f>
        <v>0</v>
      </c>
      <c r="AM129" s="584">
        <f>'2023'!J129</f>
        <v>0</v>
      </c>
      <c r="AN129" s="584">
        <f>'2024'!J129</f>
        <v>0</v>
      </c>
      <c r="AO129" s="585">
        <f>'2025'!J129</f>
        <v>0</v>
      </c>
      <c r="AP129" s="421" t="str">
        <f t="shared" si="208"/>
        <v/>
      </c>
      <c r="AQ129" s="422" t="str">
        <f t="shared" si="198"/>
        <v/>
      </c>
      <c r="AR129" s="422" t="str">
        <f t="shared" si="199"/>
        <v/>
      </c>
      <c r="AS129" s="422" t="str">
        <f t="shared" si="200"/>
        <v/>
      </c>
      <c r="AT129" s="422" t="str">
        <f t="shared" si="201"/>
        <v/>
      </c>
      <c r="AU129" s="423" t="str">
        <f t="shared" si="202"/>
        <v/>
      </c>
      <c r="AV129" s="619">
        <f>'2020'!L129</f>
        <v>0</v>
      </c>
      <c r="AW129" s="584">
        <f>'2021'!L129</f>
        <v>0</v>
      </c>
      <c r="AX129" s="584">
        <f>'2022'!L129</f>
        <v>0</v>
      </c>
      <c r="AY129" s="584">
        <f>'2023'!L129</f>
        <v>0</v>
      </c>
      <c r="AZ129" s="584">
        <f>'2024'!L129</f>
        <v>0</v>
      </c>
      <c r="BA129" s="585">
        <f>'2025'!L129</f>
        <v>0</v>
      </c>
      <c r="BB129" s="421" t="str">
        <f t="shared" si="209"/>
        <v/>
      </c>
      <c r="BC129" s="422" t="str">
        <f t="shared" si="203"/>
        <v/>
      </c>
      <c r="BD129" s="422" t="str">
        <f t="shared" si="204"/>
        <v/>
      </c>
      <c r="BE129" s="422" t="str">
        <f t="shared" si="205"/>
        <v/>
      </c>
      <c r="BF129" s="422" t="str">
        <f t="shared" si="206"/>
        <v/>
      </c>
      <c r="BG129" s="423" t="str">
        <f t="shared" si="207"/>
        <v/>
      </c>
      <c r="BH129" s="732">
        <f>'2020'!N129</f>
        <v>0</v>
      </c>
      <c r="BI129" s="733">
        <f>'2021'!N129</f>
        <v>0</v>
      </c>
      <c r="BJ129" s="733">
        <f>'2022'!N129</f>
        <v>0</v>
      </c>
      <c r="BK129" s="733">
        <f>'2023'!N129</f>
        <v>0</v>
      </c>
      <c r="BL129" s="733">
        <f>'2024'!N129</f>
        <v>0</v>
      </c>
      <c r="BM129" s="734">
        <f>'2025'!N129</f>
        <v>0</v>
      </c>
      <c r="BN129" s="424"/>
      <c r="BO129" s="425"/>
      <c r="BP129" s="424"/>
      <c r="BQ129" s="425"/>
      <c r="BR129" s="446"/>
      <c r="BS129" s="447"/>
      <c r="BT129" s="446"/>
      <c r="BU129" s="448"/>
      <c r="CC129" s="1" t="str">
        <f t="shared" si="210"/>
        <v/>
      </c>
      <c r="CD129" s="1" t="str">
        <f t="shared" si="211"/>
        <v/>
      </c>
      <c r="CE129" s="1" t="str">
        <f t="shared" si="212"/>
        <v/>
      </c>
      <c r="CF129" s="1" t="str">
        <f t="shared" si="213"/>
        <v/>
      </c>
      <c r="CG129" s="1" t="str">
        <f t="shared" si="214"/>
        <v/>
      </c>
      <c r="CH129" s="1" t="str">
        <f t="shared" si="215"/>
        <v/>
      </c>
    </row>
    <row r="130" spans="2:86" ht="15.75" customHeight="1" x14ac:dyDescent="0.3">
      <c r="B130" s="788"/>
      <c r="C130" s="850"/>
      <c r="D130" s="828"/>
      <c r="E130" s="799"/>
      <c r="F130" s="799"/>
      <c r="G130" s="799"/>
      <c r="H130" s="799"/>
      <c r="I130" s="835"/>
      <c r="J130" s="721" t="s">
        <v>36</v>
      </c>
      <c r="K130" s="406" t="str">
        <f t="shared" si="332"/>
        <v/>
      </c>
      <c r="L130" s="406" t="str">
        <f t="shared" si="333"/>
        <v>X</v>
      </c>
      <c r="M130" s="406" t="str">
        <f t="shared" si="334"/>
        <v>X</v>
      </c>
      <c r="N130" s="406" t="str">
        <f t="shared" si="335"/>
        <v/>
      </c>
      <c r="O130" s="406" t="str">
        <f t="shared" si="336"/>
        <v/>
      </c>
      <c r="P130" s="407" t="str">
        <f t="shared" si="337"/>
        <v/>
      </c>
      <c r="Q130" s="410" t="s">
        <v>62</v>
      </c>
      <c r="R130" s="583">
        <f>'2020'!G130</f>
        <v>0</v>
      </c>
      <c r="S130" s="584">
        <f>'2021'!G130</f>
        <v>13</v>
      </c>
      <c r="T130" s="584">
        <f>'2022'!G130</f>
        <v>9</v>
      </c>
      <c r="U130" s="584">
        <f>'2023'!G130</f>
        <v>0</v>
      </c>
      <c r="V130" s="584">
        <f>'2024'!G130</f>
        <v>0</v>
      </c>
      <c r="W130" s="585">
        <f>'2025'!G130</f>
        <v>0</v>
      </c>
      <c r="X130" s="619">
        <f>'2020'!H130</f>
        <v>0</v>
      </c>
      <c r="Y130" s="584">
        <f>'2021'!H130</f>
        <v>11</v>
      </c>
      <c r="Z130" s="584">
        <f>'2022'!H130</f>
        <v>8</v>
      </c>
      <c r="AA130" s="584">
        <f>'2023'!H130</f>
        <v>0</v>
      </c>
      <c r="AB130" s="584">
        <f>'2024'!H130</f>
        <v>0</v>
      </c>
      <c r="AC130" s="585">
        <f>'2025'!H130</f>
        <v>0</v>
      </c>
      <c r="AD130" s="421">
        <f t="shared" si="192"/>
        <v>0</v>
      </c>
      <c r="AE130" s="422">
        <f t="shared" si="193"/>
        <v>0.38461538461538464</v>
      </c>
      <c r="AF130" s="422">
        <f t="shared" si="268"/>
        <v>0.22222222222222221</v>
      </c>
      <c r="AG130" s="422">
        <f t="shared" si="195"/>
        <v>0</v>
      </c>
      <c r="AH130" s="422">
        <f t="shared" si="196"/>
        <v>0</v>
      </c>
      <c r="AI130" s="423">
        <f t="shared" si="197"/>
        <v>0</v>
      </c>
      <c r="AJ130" s="619">
        <f>'2020'!J130</f>
        <v>0</v>
      </c>
      <c r="AK130" s="584">
        <f>'2021'!J130</f>
        <v>5</v>
      </c>
      <c r="AL130" s="584">
        <f>'2022'!J130</f>
        <v>2</v>
      </c>
      <c r="AM130" s="584">
        <f>'2023'!J130</f>
        <v>0</v>
      </c>
      <c r="AN130" s="584">
        <f>'2024'!J130</f>
        <v>0</v>
      </c>
      <c r="AO130" s="585">
        <f>'2025'!J130</f>
        <v>0</v>
      </c>
      <c r="AP130" s="421" t="str">
        <f t="shared" si="208"/>
        <v/>
      </c>
      <c r="AQ130" s="422">
        <f t="shared" si="198"/>
        <v>0.23076923076923078</v>
      </c>
      <c r="AR130" s="422">
        <f t="shared" si="199"/>
        <v>0.44444444444444442</v>
      </c>
      <c r="AS130" s="422" t="str">
        <f t="shared" si="200"/>
        <v/>
      </c>
      <c r="AT130" s="422" t="str">
        <f t="shared" si="201"/>
        <v/>
      </c>
      <c r="AU130" s="423" t="str">
        <f t="shared" si="202"/>
        <v/>
      </c>
      <c r="AV130" s="619">
        <f>'2020'!L130</f>
        <v>0</v>
      </c>
      <c r="AW130" s="584">
        <f>'2021'!L130</f>
        <v>3</v>
      </c>
      <c r="AX130" s="584">
        <f>'2022'!L130</f>
        <v>4</v>
      </c>
      <c r="AY130" s="584">
        <f>'2023'!L130</f>
        <v>0</v>
      </c>
      <c r="AZ130" s="584">
        <f>'2024'!L130</f>
        <v>0</v>
      </c>
      <c r="BA130" s="585">
        <f>'2025'!L130</f>
        <v>0</v>
      </c>
      <c r="BB130" s="421" t="str">
        <f t="shared" si="209"/>
        <v/>
      </c>
      <c r="BC130" s="422">
        <f t="shared" si="203"/>
        <v>0.66666666666666663</v>
      </c>
      <c r="BD130" s="422">
        <f t="shared" si="204"/>
        <v>0.25</v>
      </c>
      <c r="BE130" s="422" t="str">
        <f t="shared" si="205"/>
        <v/>
      </c>
      <c r="BF130" s="422" t="str">
        <f t="shared" si="206"/>
        <v/>
      </c>
      <c r="BG130" s="423" t="str">
        <f t="shared" si="207"/>
        <v/>
      </c>
      <c r="BH130" s="732">
        <f>'2020'!N130</f>
        <v>0</v>
      </c>
      <c r="BI130" s="733">
        <f>'2021'!N130</f>
        <v>2</v>
      </c>
      <c r="BJ130" s="733">
        <f>'2022'!N130</f>
        <v>1</v>
      </c>
      <c r="BK130" s="733">
        <f>'2023'!N130</f>
        <v>0</v>
      </c>
      <c r="BL130" s="733">
        <f>'2024'!N130</f>
        <v>0</v>
      </c>
      <c r="BM130" s="734">
        <f>'2025'!N130</f>
        <v>0</v>
      </c>
      <c r="BN130" s="424">
        <v>0</v>
      </c>
      <c r="BO130" s="425">
        <v>0</v>
      </c>
      <c r="BP130" s="424">
        <v>2</v>
      </c>
      <c r="BQ130" s="425">
        <v>1</v>
      </c>
      <c r="BR130" s="446">
        <v>11</v>
      </c>
      <c r="BS130" s="447">
        <v>8</v>
      </c>
      <c r="BT130" s="446">
        <v>4</v>
      </c>
      <c r="BU130" s="448">
        <v>4</v>
      </c>
      <c r="CC130" s="1" t="str">
        <f t="shared" si="210"/>
        <v/>
      </c>
      <c r="CD130" s="1" t="str">
        <f t="shared" si="211"/>
        <v>Frontière</v>
      </c>
      <c r="CE130" s="1" t="str">
        <f t="shared" si="212"/>
        <v>Frontière</v>
      </c>
      <c r="CF130" s="1" t="str">
        <f t="shared" si="213"/>
        <v/>
      </c>
      <c r="CG130" s="1" t="str">
        <f t="shared" si="214"/>
        <v/>
      </c>
      <c r="CH130" s="1" t="str">
        <f t="shared" si="215"/>
        <v/>
      </c>
    </row>
    <row r="131" spans="2:86" ht="15.75" customHeight="1" x14ac:dyDescent="0.3">
      <c r="B131" s="788"/>
      <c r="C131" s="850"/>
      <c r="D131" s="828"/>
      <c r="E131" s="799"/>
      <c r="F131" s="799"/>
      <c r="G131" s="799"/>
      <c r="H131" s="799"/>
      <c r="I131" s="835"/>
      <c r="J131" s="721" t="s">
        <v>166</v>
      </c>
      <c r="K131" s="406" t="str">
        <f t="shared" si="332"/>
        <v/>
      </c>
      <c r="L131" s="406" t="str">
        <f t="shared" si="333"/>
        <v/>
      </c>
      <c r="M131" s="406" t="str">
        <f t="shared" si="334"/>
        <v/>
      </c>
      <c r="N131" s="406" t="str">
        <f t="shared" si="335"/>
        <v/>
      </c>
      <c r="O131" s="406" t="str">
        <f t="shared" si="336"/>
        <v/>
      </c>
      <c r="P131" s="407" t="str">
        <f t="shared" si="337"/>
        <v/>
      </c>
      <c r="Q131" s="410"/>
      <c r="R131" s="583">
        <f>'2020'!G131</f>
        <v>0</v>
      </c>
      <c r="S131" s="584">
        <f>'2021'!G131</f>
        <v>0</v>
      </c>
      <c r="T131" s="584">
        <f>'2022'!G131</f>
        <v>0</v>
      </c>
      <c r="U131" s="584">
        <f>'2023'!G131</f>
        <v>0</v>
      </c>
      <c r="V131" s="584">
        <f>'2024'!G131</f>
        <v>0</v>
      </c>
      <c r="W131" s="585">
        <f>'2025'!G131</f>
        <v>0</v>
      </c>
      <c r="X131" s="619">
        <f>'2020'!H131</f>
        <v>0</v>
      </c>
      <c r="Y131" s="584">
        <f>'2021'!H131</f>
        <v>0</v>
      </c>
      <c r="Z131" s="584">
        <f>'2022'!H131</f>
        <v>0</v>
      </c>
      <c r="AA131" s="584">
        <f>'2023'!H131</f>
        <v>0</v>
      </c>
      <c r="AB131" s="584">
        <f>'2024'!H131</f>
        <v>0</v>
      </c>
      <c r="AC131" s="585">
        <f>'2025'!H131</f>
        <v>0</v>
      </c>
      <c r="AD131" s="421">
        <f t="shared" si="192"/>
        <v>0</v>
      </c>
      <c r="AE131" s="422">
        <f t="shared" si="193"/>
        <v>0</v>
      </c>
      <c r="AF131" s="422">
        <f t="shared" si="268"/>
        <v>0</v>
      </c>
      <c r="AG131" s="422">
        <f t="shared" si="195"/>
        <v>0</v>
      </c>
      <c r="AH131" s="422">
        <f t="shared" si="196"/>
        <v>0</v>
      </c>
      <c r="AI131" s="423">
        <f t="shared" si="197"/>
        <v>0</v>
      </c>
      <c r="AJ131" s="619">
        <f>'2020'!J131</f>
        <v>0</v>
      </c>
      <c r="AK131" s="584">
        <f>'2021'!J131</f>
        <v>0</v>
      </c>
      <c r="AL131" s="584">
        <f>'2022'!J131</f>
        <v>0</v>
      </c>
      <c r="AM131" s="584">
        <f>'2023'!J131</f>
        <v>0</v>
      </c>
      <c r="AN131" s="584">
        <f>'2024'!J131</f>
        <v>0</v>
      </c>
      <c r="AO131" s="585">
        <f>'2025'!J131</f>
        <v>0</v>
      </c>
      <c r="AP131" s="421" t="str">
        <f t="shared" si="208"/>
        <v/>
      </c>
      <c r="AQ131" s="422" t="str">
        <f t="shared" si="198"/>
        <v/>
      </c>
      <c r="AR131" s="422" t="str">
        <f t="shared" si="199"/>
        <v/>
      </c>
      <c r="AS131" s="422" t="str">
        <f t="shared" si="200"/>
        <v/>
      </c>
      <c r="AT131" s="422" t="str">
        <f t="shared" si="201"/>
        <v/>
      </c>
      <c r="AU131" s="423" t="str">
        <f t="shared" si="202"/>
        <v/>
      </c>
      <c r="AV131" s="619">
        <f>'2020'!L131</f>
        <v>0</v>
      </c>
      <c r="AW131" s="584">
        <f>'2021'!L131</f>
        <v>0</v>
      </c>
      <c r="AX131" s="584">
        <f>'2022'!L131</f>
        <v>0</v>
      </c>
      <c r="AY131" s="584">
        <f>'2023'!L131</f>
        <v>0</v>
      </c>
      <c r="AZ131" s="584">
        <f>'2024'!L131</f>
        <v>0</v>
      </c>
      <c r="BA131" s="585">
        <f>'2025'!L131</f>
        <v>0</v>
      </c>
      <c r="BB131" s="421" t="str">
        <f t="shared" si="209"/>
        <v/>
      </c>
      <c r="BC131" s="422" t="str">
        <f t="shared" si="203"/>
        <v/>
      </c>
      <c r="BD131" s="422" t="str">
        <f t="shared" si="204"/>
        <v/>
      </c>
      <c r="BE131" s="422" t="str">
        <f t="shared" si="205"/>
        <v/>
      </c>
      <c r="BF131" s="422" t="str">
        <f t="shared" si="206"/>
        <v/>
      </c>
      <c r="BG131" s="423" t="str">
        <f t="shared" si="207"/>
        <v/>
      </c>
      <c r="BH131" s="732">
        <f>'2020'!N131</f>
        <v>0</v>
      </c>
      <c r="BI131" s="733">
        <f>'2021'!N131</f>
        <v>0</v>
      </c>
      <c r="BJ131" s="733">
        <f>'2022'!N131</f>
        <v>0</v>
      </c>
      <c r="BK131" s="733">
        <f>'2023'!N131</f>
        <v>0</v>
      </c>
      <c r="BL131" s="733">
        <f>'2024'!N131</f>
        <v>0</v>
      </c>
      <c r="BM131" s="734">
        <f>'2025'!N131</f>
        <v>0</v>
      </c>
      <c r="BN131" s="424"/>
      <c r="BO131" s="425"/>
      <c r="BP131" s="424"/>
      <c r="BQ131" s="425"/>
      <c r="BR131" s="446"/>
      <c r="BS131" s="447"/>
      <c r="BT131" s="446"/>
      <c r="BU131" s="448"/>
      <c r="CC131" s="1" t="str">
        <f t="shared" si="210"/>
        <v/>
      </c>
      <c r="CD131" s="1" t="str">
        <f t="shared" si="211"/>
        <v/>
      </c>
      <c r="CE131" s="1" t="str">
        <f t="shared" si="212"/>
        <v/>
      </c>
      <c r="CF131" s="1" t="str">
        <f t="shared" si="213"/>
        <v/>
      </c>
      <c r="CG131" s="1" t="str">
        <f t="shared" si="214"/>
        <v/>
      </c>
      <c r="CH131" s="1" t="str">
        <f t="shared" si="215"/>
        <v/>
      </c>
    </row>
    <row r="132" spans="2:86" ht="15.75" customHeight="1" x14ac:dyDescent="0.3">
      <c r="B132" s="788"/>
      <c r="C132" s="850"/>
      <c r="D132" s="828"/>
      <c r="E132" s="799"/>
      <c r="F132" s="799"/>
      <c r="G132" s="799"/>
      <c r="H132" s="799"/>
      <c r="I132" s="835"/>
      <c r="J132" s="721" t="s">
        <v>166</v>
      </c>
      <c r="K132" s="406" t="str">
        <f t="shared" si="332"/>
        <v/>
      </c>
      <c r="L132" s="406" t="str">
        <f t="shared" si="333"/>
        <v/>
      </c>
      <c r="M132" s="406" t="str">
        <f t="shared" si="334"/>
        <v/>
      </c>
      <c r="N132" s="406" t="str">
        <f t="shared" si="335"/>
        <v/>
      </c>
      <c r="O132" s="406" t="str">
        <f t="shared" si="336"/>
        <v/>
      </c>
      <c r="P132" s="407" t="str">
        <f t="shared" si="337"/>
        <v/>
      </c>
      <c r="Q132" s="410"/>
      <c r="R132" s="583">
        <f>'2020'!G132</f>
        <v>0</v>
      </c>
      <c r="S132" s="584">
        <f>'2021'!G132</f>
        <v>0</v>
      </c>
      <c r="T132" s="584">
        <f>'2022'!G132</f>
        <v>0</v>
      </c>
      <c r="U132" s="584">
        <f>'2023'!G132</f>
        <v>0</v>
      </c>
      <c r="V132" s="584">
        <f>'2024'!G132</f>
        <v>0</v>
      </c>
      <c r="W132" s="585">
        <f>'2025'!G132</f>
        <v>0</v>
      </c>
      <c r="X132" s="619">
        <f>'2020'!H132</f>
        <v>0</v>
      </c>
      <c r="Y132" s="584">
        <f>'2021'!H132</f>
        <v>0</v>
      </c>
      <c r="Z132" s="584">
        <f>'2022'!H132</f>
        <v>0</v>
      </c>
      <c r="AA132" s="584">
        <f>'2023'!H132</f>
        <v>0</v>
      </c>
      <c r="AB132" s="584">
        <f>'2024'!H132</f>
        <v>0</v>
      </c>
      <c r="AC132" s="585">
        <f>'2025'!H132</f>
        <v>0</v>
      </c>
      <c r="AD132" s="421">
        <f t="shared" ref="AD132:AD161" si="338">IF(R132="",0,IF(AJ132=0,0,AJ132/R132))</f>
        <v>0</v>
      </c>
      <c r="AE132" s="422">
        <f t="shared" ref="AE132:AE161" si="339">IF(S132="",0,IF(AK132=0,0,AK132/S132))</f>
        <v>0</v>
      </c>
      <c r="AF132" s="422">
        <f t="shared" si="268"/>
        <v>0</v>
      </c>
      <c r="AG132" s="422">
        <f t="shared" ref="AG132:AG161" si="340">IF(U132="",0,IF(AM132=0,0,AM132/U132))</f>
        <v>0</v>
      </c>
      <c r="AH132" s="422">
        <f t="shared" ref="AH132:AH161" si="341">IF(V132="",0,IF(AN132=0,0,AN132/V132))</f>
        <v>0</v>
      </c>
      <c r="AI132" s="423">
        <f t="shared" ref="AI132:AI161" si="342">IF(W132="",0,IF(AO132=0,0,AO132/W132))</f>
        <v>0</v>
      </c>
      <c r="AJ132" s="619">
        <f>'2020'!J132</f>
        <v>0</v>
      </c>
      <c r="AK132" s="584">
        <f>'2021'!J132</f>
        <v>0</v>
      </c>
      <c r="AL132" s="584">
        <f>'2022'!J132</f>
        <v>0</v>
      </c>
      <c r="AM132" s="584">
        <f>'2023'!J132</f>
        <v>0</v>
      </c>
      <c r="AN132" s="584">
        <f>'2024'!J132</f>
        <v>0</v>
      </c>
      <c r="AO132" s="585">
        <f>'2025'!J132</f>
        <v>0</v>
      </c>
      <c r="AP132" s="421" t="str">
        <f t="shared" si="208"/>
        <v/>
      </c>
      <c r="AQ132" s="422" t="str">
        <f t="shared" ref="AQ132:AQ161" si="343">IF(S132=0,"",IF(AW132="","",AW132/S132))</f>
        <v/>
      </c>
      <c r="AR132" s="422" t="str">
        <f t="shared" ref="AR132:AR161" si="344">IF(T132=0,"",IF(AX132="","",AX132/T132))</f>
        <v/>
      </c>
      <c r="AS132" s="422" t="str">
        <f t="shared" ref="AS132:AS161" si="345">IF(U132=0,"",IF(AY132="","",AY132/U132))</f>
        <v/>
      </c>
      <c r="AT132" s="422" t="str">
        <f t="shared" ref="AT132:AT161" si="346">IF(V132=0,"",IF(AZ132="","",AZ132/V132))</f>
        <v/>
      </c>
      <c r="AU132" s="423" t="str">
        <f t="shared" ref="AU132:AU161" si="347">IF(W132=0,"",IF(BA132="","",BA132/W132))</f>
        <v/>
      </c>
      <c r="AV132" s="619">
        <f>'2020'!L132</f>
        <v>0</v>
      </c>
      <c r="AW132" s="584">
        <f>'2021'!L132</f>
        <v>0</v>
      </c>
      <c r="AX132" s="584">
        <f>'2022'!L132</f>
        <v>0</v>
      </c>
      <c r="AY132" s="584">
        <f>'2023'!L132</f>
        <v>0</v>
      </c>
      <c r="AZ132" s="584">
        <f>'2024'!L132</f>
        <v>0</v>
      </c>
      <c r="BA132" s="585">
        <f>'2025'!L132</f>
        <v>0</v>
      </c>
      <c r="BB132" s="421" t="str">
        <f t="shared" si="209"/>
        <v/>
      </c>
      <c r="BC132" s="422" t="str">
        <f t="shared" ref="BC132:BC161" si="348">IF(AW132=0,"",IF(BI132="-","",BI132/AW132))</f>
        <v/>
      </c>
      <c r="BD132" s="422" t="str">
        <f t="shared" ref="BD132:BD161" si="349">IF(AX132=0,"",IF(BJ132="-","",BJ132/AX132))</f>
        <v/>
      </c>
      <c r="BE132" s="422" t="str">
        <f t="shared" ref="BE132:BE161" si="350">IF(AY132=0,"",IF(BK132="-","",BK132/AY132))</f>
        <v/>
      </c>
      <c r="BF132" s="422" t="str">
        <f t="shared" ref="BF132:BF161" si="351">IF(AZ132=0,"",IF(BL132="-","",BL132/AZ132))</f>
        <v/>
      </c>
      <c r="BG132" s="423" t="str">
        <f t="shared" ref="BG132:BG161" si="352">IF(BA132=0,"",IF(BM132="-","",BM132/BA132))</f>
        <v/>
      </c>
      <c r="BH132" s="732">
        <f>'2020'!N132</f>
        <v>0</v>
      </c>
      <c r="BI132" s="733">
        <f>'2021'!N132</f>
        <v>0</v>
      </c>
      <c r="BJ132" s="733">
        <f>'2022'!N132</f>
        <v>0</v>
      </c>
      <c r="BK132" s="733">
        <f>'2023'!N132</f>
        <v>0</v>
      </c>
      <c r="BL132" s="733">
        <f>'2024'!N132</f>
        <v>0</v>
      </c>
      <c r="BM132" s="734">
        <f>'2025'!N132</f>
        <v>0</v>
      </c>
      <c r="BN132" s="424"/>
      <c r="BO132" s="425"/>
      <c r="BP132" s="424"/>
      <c r="BQ132" s="425"/>
      <c r="BR132" s="446"/>
      <c r="BS132" s="447"/>
      <c r="BT132" s="446"/>
      <c r="BU132" s="448"/>
      <c r="CC132" s="1" t="str">
        <f t="shared" si="210"/>
        <v/>
      </c>
      <c r="CD132" s="1" t="str">
        <f t="shared" si="211"/>
        <v/>
      </c>
      <c r="CE132" s="1" t="str">
        <f t="shared" si="212"/>
        <v/>
      </c>
      <c r="CF132" s="1" t="str">
        <f t="shared" si="213"/>
        <v/>
      </c>
      <c r="CG132" s="1" t="str">
        <f t="shared" si="214"/>
        <v/>
      </c>
      <c r="CH132" s="1" t="str">
        <f t="shared" si="215"/>
        <v/>
      </c>
    </row>
    <row r="133" spans="2:86" ht="15.75" customHeight="1" x14ac:dyDescent="0.3">
      <c r="B133" s="788"/>
      <c r="C133" s="850"/>
      <c r="D133" s="829"/>
      <c r="E133" s="800"/>
      <c r="F133" s="800"/>
      <c r="G133" s="800"/>
      <c r="H133" s="800"/>
      <c r="I133" s="836"/>
      <c r="J133" s="722" t="s">
        <v>166</v>
      </c>
      <c r="K133" s="408" t="str">
        <f t="shared" si="332"/>
        <v/>
      </c>
      <c r="L133" s="408" t="str">
        <f t="shared" si="333"/>
        <v/>
      </c>
      <c r="M133" s="408" t="str">
        <f t="shared" si="334"/>
        <v/>
      </c>
      <c r="N133" s="408" t="str">
        <f t="shared" si="335"/>
        <v/>
      </c>
      <c r="O133" s="408" t="str">
        <f t="shared" si="336"/>
        <v/>
      </c>
      <c r="P133" s="409" t="str">
        <f t="shared" si="337"/>
        <v/>
      </c>
      <c r="Q133" s="449"/>
      <c r="R133" s="586">
        <f>'2020'!G133</f>
        <v>0</v>
      </c>
      <c r="S133" s="587">
        <f>'2021'!G133</f>
        <v>0</v>
      </c>
      <c r="T133" s="587">
        <f>'2022'!G133</f>
        <v>0</v>
      </c>
      <c r="U133" s="587">
        <f>'2023'!G133</f>
        <v>0</v>
      </c>
      <c r="V133" s="587">
        <f>'2024'!G133</f>
        <v>0</v>
      </c>
      <c r="W133" s="588">
        <f>'2025'!G133</f>
        <v>0</v>
      </c>
      <c r="X133" s="620">
        <f>'2020'!H133</f>
        <v>0</v>
      </c>
      <c r="Y133" s="587">
        <f>'2021'!H133</f>
        <v>0</v>
      </c>
      <c r="Z133" s="587">
        <f>'2022'!H133</f>
        <v>0</v>
      </c>
      <c r="AA133" s="587">
        <f>'2023'!H133</f>
        <v>0</v>
      </c>
      <c r="AB133" s="587">
        <f>'2024'!H133</f>
        <v>0</v>
      </c>
      <c r="AC133" s="588">
        <f>'2025'!H133</f>
        <v>0</v>
      </c>
      <c r="AD133" s="429">
        <f t="shared" si="338"/>
        <v>0</v>
      </c>
      <c r="AE133" s="430">
        <f t="shared" si="339"/>
        <v>0</v>
      </c>
      <c r="AF133" s="430">
        <f t="shared" si="268"/>
        <v>0</v>
      </c>
      <c r="AG133" s="430">
        <f t="shared" si="340"/>
        <v>0</v>
      </c>
      <c r="AH133" s="430">
        <f t="shared" si="341"/>
        <v>0</v>
      </c>
      <c r="AI133" s="431">
        <f t="shared" si="342"/>
        <v>0</v>
      </c>
      <c r="AJ133" s="620">
        <f>'2020'!J133</f>
        <v>0</v>
      </c>
      <c r="AK133" s="587">
        <f>'2021'!J133</f>
        <v>0</v>
      </c>
      <c r="AL133" s="587">
        <f>'2022'!J133</f>
        <v>0</v>
      </c>
      <c r="AM133" s="587">
        <f>'2023'!J133</f>
        <v>0</v>
      </c>
      <c r="AN133" s="587">
        <f>'2024'!J133</f>
        <v>0</v>
      </c>
      <c r="AO133" s="588">
        <f>'2025'!J133</f>
        <v>0</v>
      </c>
      <c r="AP133" s="429" t="str">
        <f t="shared" ref="AP133:AP161" si="353">IF(R133=0,"",IF(AV133="","",AV133/R133))</f>
        <v/>
      </c>
      <c r="AQ133" s="430" t="str">
        <f t="shared" si="343"/>
        <v/>
      </c>
      <c r="AR133" s="430" t="str">
        <f t="shared" si="344"/>
        <v/>
      </c>
      <c r="AS133" s="430" t="str">
        <f t="shared" si="345"/>
        <v/>
      </c>
      <c r="AT133" s="430" t="str">
        <f t="shared" si="346"/>
        <v/>
      </c>
      <c r="AU133" s="431" t="str">
        <f t="shared" si="347"/>
        <v/>
      </c>
      <c r="AV133" s="620">
        <f>'2020'!L133</f>
        <v>0</v>
      </c>
      <c r="AW133" s="587">
        <f>'2021'!L133</f>
        <v>0</v>
      </c>
      <c r="AX133" s="587">
        <f>'2022'!L133</f>
        <v>0</v>
      </c>
      <c r="AY133" s="587">
        <f>'2023'!L133</f>
        <v>0</v>
      </c>
      <c r="AZ133" s="587">
        <f>'2024'!L133</f>
        <v>0</v>
      </c>
      <c r="BA133" s="588">
        <f>'2025'!L133</f>
        <v>0</v>
      </c>
      <c r="BB133" s="429" t="str">
        <f t="shared" ref="BB133:BB161" si="354">IF(AV133=0,"",IF(BH133="-","",BH133/AV133))</f>
        <v/>
      </c>
      <c r="BC133" s="430" t="str">
        <f t="shared" si="348"/>
        <v/>
      </c>
      <c r="BD133" s="430" t="str">
        <f t="shared" si="349"/>
        <v/>
      </c>
      <c r="BE133" s="430" t="str">
        <f t="shared" si="350"/>
        <v/>
      </c>
      <c r="BF133" s="430" t="str">
        <f t="shared" si="351"/>
        <v/>
      </c>
      <c r="BG133" s="431" t="str">
        <f t="shared" si="352"/>
        <v/>
      </c>
      <c r="BH133" s="735">
        <f>'2020'!N133</f>
        <v>0</v>
      </c>
      <c r="BI133" s="736">
        <f>'2021'!N133</f>
        <v>0</v>
      </c>
      <c r="BJ133" s="736">
        <f>'2022'!N133</f>
        <v>0</v>
      </c>
      <c r="BK133" s="736">
        <f>'2023'!N133</f>
        <v>0</v>
      </c>
      <c r="BL133" s="736">
        <f>'2024'!N133</f>
        <v>0</v>
      </c>
      <c r="BM133" s="737">
        <f>'2025'!N133</f>
        <v>0</v>
      </c>
      <c r="BN133" s="432"/>
      <c r="BO133" s="433"/>
      <c r="BP133" s="432"/>
      <c r="BQ133" s="433"/>
      <c r="BR133" s="450"/>
      <c r="BS133" s="451"/>
      <c r="BT133" s="450"/>
      <c r="BU133" s="452"/>
      <c r="CC133" s="1" t="str">
        <f t="shared" ref="CC133:CC159" si="355">IF(K133&lt;&gt;"",$Q133,"")</f>
        <v/>
      </c>
      <c r="CD133" s="1" t="str">
        <f t="shared" ref="CD133:CD159" si="356">IF(L133&lt;&gt;"",$Q133,"")</f>
        <v/>
      </c>
      <c r="CE133" s="1" t="str">
        <f t="shared" ref="CE133:CE159" si="357">IF(M133&lt;&gt;"",$Q133,"")</f>
        <v/>
      </c>
      <c r="CF133" s="1" t="str">
        <f t="shared" ref="CF133:CF159" si="358">IF(N133&lt;&gt;"",$Q133,"")</f>
        <v/>
      </c>
      <c r="CG133" s="1" t="str">
        <f t="shared" ref="CG133:CG159" si="359">IF(O133&lt;&gt;"",$Q133,"")</f>
        <v/>
      </c>
      <c r="CH133" s="1" t="str">
        <f t="shared" ref="CH133:CH159" si="360">IF(P133&lt;&gt;"",$Q133,"")</f>
        <v/>
      </c>
    </row>
    <row r="134" spans="2:86" ht="15.75" customHeight="1" x14ac:dyDescent="0.3">
      <c r="B134" s="788"/>
      <c r="C134" s="850"/>
      <c r="D134" s="383" t="s">
        <v>138</v>
      </c>
      <c r="E134" s="379"/>
      <c r="F134" s="379"/>
      <c r="G134" s="379"/>
      <c r="H134" s="379"/>
      <c r="I134" s="387"/>
      <c r="J134" s="718"/>
      <c r="K134" s="390">
        <f>COUNTIF(K126:K133,"X")</f>
        <v>1</v>
      </c>
      <c r="L134" s="392">
        <f t="shared" ref="L134:P134" si="361">COUNTIF(L126:L133,"X")</f>
        <v>3</v>
      </c>
      <c r="M134" s="392">
        <f t="shared" si="361"/>
        <v>3</v>
      </c>
      <c r="N134" s="392">
        <f t="shared" si="361"/>
        <v>0</v>
      </c>
      <c r="O134" s="392">
        <f t="shared" si="361"/>
        <v>0</v>
      </c>
      <c r="P134" s="393">
        <f t="shared" si="361"/>
        <v>0</v>
      </c>
      <c r="Q134" s="250"/>
      <c r="R134" s="600">
        <f>SUM(R126:R133)</f>
        <v>21</v>
      </c>
      <c r="S134" s="601">
        <f t="shared" ref="S134:W134" si="362">SUM(S126:S133)</f>
        <v>83</v>
      </c>
      <c r="T134" s="601">
        <f t="shared" si="362"/>
        <v>70</v>
      </c>
      <c r="U134" s="601">
        <f t="shared" si="362"/>
        <v>0</v>
      </c>
      <c r="V134" s="601">
        <f t="shared" si="362"/>
        <v>0</v>
      </c>
      <c r="W134" s="602">
        <f t="shared" si="362"/>
        <v>0</v>
      </c>
      <c r="X134" s="625">
        <f>SUM(X126:X133)</f>
        <v>8</v>
      </c>
      <c r="Y134" s="601">
        <f t="shared" ref="Y134:AC134" si="363">SUM(Y126:Y133)</f>
        <v>56</v>
      </c>
      <c r="Z134" s="601">
        <f t="shared" si="363"/>
        <v>42</v>
      </c>
      <c r="AA134" s="601">
        <f t="shared" si="363"/>
        <v>0</v>
      </c>
      <c r="AB134" s="601">
        <f t="shared" si="363"/>
        <v>0</v>
      </c>
      <c r="AC134" s="602">
        <f t="shared" si="363"/>
        <v>0</v>
      </c>
      <c r="AD134" s="315">
        <f t="shared" si="338"/>
        <v>0.28999999999999998</v>
      </c>
      <c r="AE134" s="316">
        <f t="shared" si="339"/>
        <v>0.27710843373493976</v>
      </c>
      <c r="AF134" s="316">
        <f t="shared" si="268"/>
        <v>0.27142857142857141</v>
      </c>
      <c r="AG134" s="316">
        <f t="shared" si="340"/>
        <v>0</v>
      </c>
      <c r="AH134" s="316">
        <f t="shared" si="341"/>
        <v>0</v>
      </c>
      <c r="AI134" s="321">
        <f t="shared" si="342"/>
        <v>0</v>
      </c>
      <c r="AJ134" s="625">
        <f>SUM(AJ126:AJ133)</f>
        <v>6.09</v>
      </c>
      <c r="AK134" s="601">
        <f t="shared" ref="AK134" si="364">SUM(AK126:AK133)</f>
        <v>23</v>
      </c>
      <c r="AL134" s="601">
        <f t="shared" ref="AL134" si="365">SUM(AL126:AL133)</f>
        <v>19</v>
      </c>
      <c r="AM134" s="601">
        <f t="shared" ref="AM134" si="366">SUM(AM126:AM133)</f>
        <v>0</v>
      </c>
      <c r="AN134" s="601">
        <f t="shared" ref="AN134" si="367">SUM(AN126:AN133)</f>
        <v>0</v>
      </c>
      <c r="AO134" s="602">
        <f t="shared" ref="AO134" si="368">SUM(AO126:AO133)</f>
        <v>0</v>
      </c>
      <c r="AP134" s="315">
        <f t="shared" si="353"/>
        <v>0.32</v>
      </c>
      <c r="AQ134" s="316">
        <f t="shared" si="343"/>
        <v>0.27710843373493976</v>
      </c>
      <c r="AR134" s="316">
        <f t="shared" si="344"/>
        <v>0.2857142857142857</v>
      </c>
      <c r="AS134" s="316" t="str">
        <f t="shared" si="345"/>
        <v/>
      </c>
      <c r="AT134" s="316" t="str">
        <f t="shared" si="346"/>
        <v/>
      </c>
      <c r="AU134" s="321" t="str">
        <f t="shared" si="347"/>
        <v/>
      </c>
      <c r="AV134" s="625">
        <f>SUM(AV126:AV133)</f>
        <v>6.72</v>
      </c>
      <c r="AW134" s="601">
        <f t="shared" ref="AW134" si="369">SUM(AW126:AW133)</f>
        <v>23</v>
      </c>
      <c r="AX134" s="601">
        <f t="shared" ref="AX134" si="370">SUM(AX126:AX133)</f>
        <v>20</v>
      </c>
      <c r="AY134" s="601">
        <f t="shared" ref="AY134" si="371">SUM(AY126:AY133)</f>
        <v>0</v>
      </c>
      <c r="AZ134" s="601">
        <f t="shared" ref="AZ134" si="372">SUM(AZ126:AZ133)</f>
        <v>0</v>
      </c>
      <c r="BA134" s="602">
        <f t="shared" ref="BA134" si="373">SUM(BA126:BA133)</f>
        <v>0</v>
      </c>
      <c r="BB134" s="317">
        <f t="shared" si="354"/>
        <v>0</v>
      </c>
      <c r="BC134" s="318">
        <f t="shared" si="348"/>
        <v>0.56521739130434778</v>
      </c>
      <c r="BD134" s="318">
        <f t="shared" si="349"/>
        <v>0.35</v>
      </c>
      <c r="BE134" s="318" t="str">
        <f t="shared" si="350"/>
        <v/>
      </c>
      <c r="BF134" s="318" t="str">
        <f t="shared" si="351"/>
        <v/>
      </c>
      <c r="BG134" s="322" t="str">
        <f t="shared" si="352"/>
        <v/>
      </c>
      <c r="BH134" s="625">
        <f>SUM(BH126:BH133)</f>
        <v>0</v>
      </c>
      <c r="BI134" s="601">
        <f t="shared" ref="BI134" si="374">SUM(BI126:BI133)</f>
        <v>13</v>
      </c>
      <c r="BJ134" s="601">
        <f t="shared" ref="BJ134" si="375">SUM(BJ126:BJ133)</f>
        <v>7</v>
      </c>
      <c r="BK134" s="601">
        <f t="shared" ref="BK134" si="376">SUM(BK126:BK133)</f>
        <v>0</v>
      </c>
      <c r="BL134" s="601">
        <f t="shared" ref="BL134" si="377">SUM(BL126:BL133)</f>
        <v>0</v>
      </c>
      <c r="BM134" s="602">
        <f t="shared" ref="BM134" si="378">SUM(BM126:BM133)</f>
        <v>0</v>
      </c>
      <c r="BN134" s="331">
        <f t="shared" ref="BN134:BU134" si="379">SUM(BN126:BN130)</f>
        <v>1</v>
      </c>
      <c r="BO134" s="332">
        <f t="shared" si="379"/>
        <v>0</v>
      </c>
      <c r="BP134" s="331">
        <f t="shared" si="379"/>
        <v>11</v>
      </c>
      <c r="BQ134" s="332">
        <f t="shared" si="379"/>
        <v>9</v>
      </c>
      <c r="BR134" s="331">
        <f t="shared" si="379"/>
        <v>78</v>
      </c>
      <c r="BS134" s="332">
        <f t="shared" si="379"/>
        <v>56</v>
      </c>
      <c r="BT134" s="331">
        <f t="shared" si="379"/>
        <v>16</v>
      </c>
      <c r="BU134" s="333">
        <f t="shared" si="379"/>
        <v>9</v>
      </c>
      <c r="CC134" s="1">
        <f t="shared" si="355"/>
        <v>0</v>
      </c>
      <c r="CD134" s="1">
        <f t="shared" si="356"/>
        <v>0</v>
      </c>
      <c r="CE134" s="1">
        <f t="shared" si="357"/>
        <v>0</v>
      </c>
      <c r="CF134" s="1">
        <f t="shared" si="358"/>
        <v>0</v>
      </c>
      <c r="CG134" s="1">
        <f t="shared" si="359"/>
        <v>0</v>
      </c>
      <c r="CH134" s="1">
        <f t="shared" si="360"/>
        <v>0</v>
      </c>
    </row>
    <row r="135" spans="2:86" ht="15.75" customHeight="1" x14ac:dyDescent="0.3">
      <c r="B135" s="746" t="s">
        <v>3</v>
      </c>
      <c r="C135" s="802" t="s">
        <v>76</v>
      </c>
      <c r="D135" s="792">
        <f>'2020'!D135</f>
        <v>14</v>
      </c>
      <c r="E135" s="795">
        <f>'2021'!D135</f>
        <v>11</v>
      </c>
      <c r="F135" s="795">
        <f>'2022'!D135</f>
        <v>17</v>
      </c>
      <c r="G135" s="795">
        <f>'2023'!D135</f>
        <v>17</v>
      </c>
      <c r="H135" s="795"/>
      <c r="I135" s="789"/>
      <c r="J135" s="720" t="s">
        <v>48</v>
      </c>
      <c r="K135" s="398" t="str">
        <f t="shared" ref="K135:K158" si="380">IF(R135=0,"","X")</f>
        <v>X</v>
      </c>
      <c r="L135" s="398" t="str">
        <f t="shared" ref="L135:L158" si="381">IF(S135=0,"","X")</f>
        <v/>
      </c>
      <c r="M135" s="398" t="str">
        <f t="shared" ref="M135:M158" si="382">IF(T135=0,"","X")</f>
        <v/>
      </c>
      <c r="N135" s="398" t="str">
        <f t="shared" ref="N135:N158" si="383">IF(U135=0,"","X")</f>
        <v/>
      </c>
      <c r="O135" s="398" t="str">
        <f t="shared" ref="O135:O158" si="384">IF(V135=0,"","X")</f>
        <v/>
      </c>
      <c r="P135" s="399" t="str">
        <f t="shared" ref="P135:P158" si="385">IF(W135=0,"","X")</f>
        <v/>
      </c>
      <c r="Q135" s="232" t="s">
        <v>61</v>
      </c>
      <c r="R135" s="592">
        <f>'2020'!G135</f>
        <v>42</v>
      </c>
      <c r="S135" s="593">
        <f>'2021'!G135</f>
        <v>0</v>
      </c>
      <c r="T135" s="593">
        <f>'2022'!G135</f>
        <v>0</v>
      </c>
      <c r="U135" s="593">
        <f>'2023'!G135</f>
        <v>0</v>
      </c>
      <c r="V135" s="593">
        <f>'2024'!G135</f>
        <v>0</v>
      </c>
      <c r="W135" s="594">
        <f>'2025'!G135</f>
        <v>0</v>
      </c>
      <c r="X135" s="622">
        <f>'2020'!H135</f>
        <v>42</v>
      </c>
      <c r="Y135" s="593">
        <f>'2021'!H135</f>
        <v>0</v>
      </c>
      <c r="Z135" s="593">
        <f>'2022'!H135</f>
        <v>0</v>
      </c>
      <c r="AA135" s="593">
        <f>'2023'!H135</f>
        <v>0</v>
      </c>
      <c r="AB135" s="593">
        <f>'2024'!H135</f>
        <v>0</v>
      </c>
      <c r="AC135" s="594">
        <f>'2025'!H135</f>
        <v>0</v>
      </c>
      <c r="AD135" s="412">
        <f t="shared" si="338"/>
        <v>0.40476190476190477</v>
      </c>
      <c r="AE135" s="413">
        <f t="shared" si="339"/>
        <v>0</v>
      </c>
      <c r="AF135" s="413">
        <f t="shared" si="268"/>
        <v>0</v>
      </c>
      <c r="AG135" s="413">
        <f t="shared" si="340"/>
        <v>0</v>
      </c>
      <c r="AH135" s="413">
        <f t="shared" si="341"/>
        <v>0</v>
      </c>
      <c r="AI135" s="414">
        <f t="shared" si="342"/>
        <v>0</v>
      </c>
      <c r="AJ135" s="622">
        <f>'2020'!J135</f>
        <v>17</v>
      </c>
      <c r="AK135" s="593">
        <f>'2021'!J135</f>
        <v>0</v>
      </c>
      <c r="AL135" s="593">
        <f>'2022'!J135</f>
        <v>0</v>
      </c>
      <c r="AM135" s="593">
        <f>'2023'!J135</f>
        <v>0</v>
      </c>
      <c r="AN135" s="593">
        <f>'2024'!J135</f>
        <v>0</v>
      </c>
      <c r="AO135" s="594">
        <f>'2025'!J135</f>
        <v>0</v>
      </c>
      <c r="AP135" s="412">
        <f t="shared" si="353"/>
        <v>0.5</v>
      </c>
      <c r="AQ135" s="413" t="str">
        <f t="shared" si="343"/>
        <v/>
      </c>
      <c r="AR135" s="413" t="str">
        <f t="shared" si="344"/>
        <v/>
      </c>
      <c r="AS135" s="413" t="str">
        <f t="shared" si="345"/>
        <v/>
      </c>
      <c r="AT135" s="413" t="str">
        <f t="shared" si="346"/>
        <v/>
      </c>
      <c r="AU135" s="414" t="str">
        <f t="shared" si="347"/>
        <v/>
      </c>
      <c r="AV135" s="622">
        <f>'2020'!L135</f>
        <v>21</v>
      </c>
      <c r="AW135" s="593">
        <f>'2021'!L135</f>
        <v>0</v>
      </c>
      <c r="AX135" s="593">
        <f>'2022'!L135</f>
        <v>0</v>
      </c>
      <c r="AY135" s="593">
        <f>'2023'!L135</f>
        <v>0</v>
      </c>
      <c r="AZ135" s="593">
        <f>'2024'!L135</f>
        <v>0</v>
      </c>
      <c r="BA135" s="594">
        <f>'2025'!L135</f>
        <v>0</v>
      </c>
      <c r="BB135" s="412">
        <f t="shared" si="354"/>
        <v>0</v>
      </c>
      <c r="BC135" s="413" t="str">
        <f t="shared" si="348"/>
        <v/>
      </c>
      <c r="BD135" s="413" t="str">
        <f t="shared" si="349"/>
        <v/>
      </c>
      <c r="BE135" s="413" t="str">
        <f t="shared" si="350"/>
        <v/>
      </c>
      <c r="BF135" s="413" t="str">
        <f t="shared" si="351"/>
        <v/>
      </c>
      <c r="BG135" s="414" t="str">
        <f t="shared" si="352"/>
        <v/>
      </c>
      <c r="BH135" s="738">
        <f>'2020'!N135</f>
        <v>0</v>
      </c>
      <c r="BI135" s="739">
        <f>'2021'!N135</f>
        <v>0</v>
      </c>
      <c r="BJ135" s="739">
        <f>'2022'!N135</f>
        <v>0</v>
      </c>
      <c r="BK135" s="739">
        <f>'2023'!N135</f>
        <v>0</v>
      </c>
      <c r="BL135" s="739">
        <f>'2024'!N135</f>
        <v>0</v>
      </c>
      <c r="BM135" s="740">
        <f>'2025'!N135</f>
        <v>0</v>
      </c>
      <c r="BN135" s="415" t="s">
        <v>21</v>
      </c>
      <c r="BO135" s="416" t="s">
        <v>21</v>
      </c>
      <c r="BP135" s="415" t="s">
        <v>21</v>
      </c>
      <c r="BQ135" s="416" t="s">
        <v>21</v>
      </c>
      <c r="BR135" s="417"/>
      <c r="BS135" s="418"/>
      <c r="BT135" s="417"/>
      <c r="BU135" s="419"/>
      <c r="CC135" s="1" t="str">
        <f t="shared" si="355"/>
        <v>Suisse</v>
      </c>
      <c r="CD135" s="1" t="str">
        <f t="shared" si="356"/>
        <v/>
      </c>
      <c r="CE135" s="1" t="str">
        <f t="shared" si="357"/>
        <v/>
      </c>
      <c r="CF135" s="1" t="str">
        <f t="shared" si="358"/>
        <v/>
      </c>
      <c r="CG135" s="1" t="str">
        <f t="shared" si="359"/>
        <v/>
      </c>
      <c r="CH135" s="1" t="str">
        <f t="shared" si="360"/>
        <v/>
      </c>
    </row>
    <row r="136" spans="2:86" ht="15.75" customHeight="1" x14ac:dyDescent="0.3">
      <c r="B136" s="747"/>
      <c r="C136" s="803"/>
      <c r="D136" s="793"/>
      <c r="E136" s="796"/>
      <c r="F136" s="796"/>
      <c r="G136" s="796"/>
      <c r="H136" s="796"/>
      <c r="I136" s="790"/>
      <c r="J136" s="721" t="s">
        <v>49</v>
      </c>
      <c r="K136" s="400" t="str">
        <f t="shared" si="380"/>
        <v>X</v>
      </c>
      <c r="L136" s="400" t="str">
        <f t="shared" si="381"/>
        <v/>
      </c>
      <c r="M136" s="400" t="str">
        <f t="shared" si="382"/>
        <v/>
      </c>
      <c r="N136" s="400" t="str">
        <f t="shared" si="383"/>
        <v/>
      </c>
      <c r="O136" s="400" t="str">
        <f t="shared" si="384"/>
        <v/>
      </c>
      <c r="P136" s="401" t="str">
        <f t="shared" si="385"/>
        <v/>
      </c>
      <c r="Q136" s="237" t="s">
        <v>61</v>
      </c>
      <c r="R136" s="583">
        <f>'2020'!G136</f>
        <v>283</v>
      </c>
      <c r="S136" s="584">
        <f>'2021'!G136</f>
        <v>0</v>
      </c>
      <c r="T136" s="584">
        <f>'2022'!G136</f>
        <v>0</v>
      </c>
      <c r="U136" s="584">
        <f>'2023'!G136</f>
        <v>0</v>
      </c>
      <c r="V136" s="584">
        <f>'2024'!G136</f>
        <v>0</v>
      </c>
      <c r="W136" s="585">
        <f>'2025'!G136</f>
        <v>0</v>
      </c>
      <c r="X136" s="619">
        <f>'2020'!H136</f>
        <v>283</v>
      </c>
      <c r="Y136" s="584">
        <f>'2021'!H136</f>
        <v>0</v>
      </c>
      <c r="Z136" s="584">
        <f>'2022'!H136</f>
        <v>0</v>
      </c>
      <c r="AA136" s="584">
        <f>'2023'!H136</f>
        <v>0</v>
      </c>
      <c r="AB136" s="584">
        <f>'2024'!H136</f>
        <v>0</v>
      </c>
      <c r="AC136" s="585">
        <f>'2025'!H136</f>
        <v>0</v>
      </c>
      <c r="AD136" s="421">
        <f t="shared" si="338"/>
        <v>0.14840989399293286</v>
      </c>
      <c r="AE136" s="422">
        <f t="shared" si="339"/>
        <v>0</v>
      </c>
      <c r="AF136" s="422">
        <f t="shared" si="268"/>
        <v>0</v>
      </c>
      <c r="AG136" s="422">
        <f t="shared" si="340"/>
        <v>0</v>
      </c>
      <c r="AH136" s="422">
        <f t="shared" si="341"/>
        <v>0</v>
      </c>
      <c r="AI136" s="423">
        <f t="shared" si="342"/>
        <v>0</v>
      </c>
      <c r="AJ136" s="619">
        <f>'2020'!J136</f>
        <v>42</v>
      </c>
      <c r="AK136" s="584">
        <f>'2021'!J136</f>
        <v>0</v>
      </c>
      <c r="AL136" s="584">
        <f>'2022'!J136</f>
        <v>0</v>
      </c>
      <c r="AM136" s="584">
        <f>'2023'!J136</f>
        <v>0</v>
      </c>
      <c r="AN136" s="584">
        <f>'2024'!J136</f>
        <v>0</v>
      </c>
      <c r="AO136" s="585">
        <f>'2025'!J136</f>
        <v>0</v>
      </c>
      <c r="AP136" s="421">
        <f t="shared" si="353"/>
        <v>0.39575971731448761</v>
      </c>
      <c r="AQ136" s="422" t="str">
        <f t="shared" si="343"/>
        <v/>
      </c>
      <c r="AR136" s="422" t="str">
        <f t="shared" si="344"/>
        <v/>
      </c>
      <c r="AS136" s="422" t="str">
        <f t="shared" si="345"/>
        <v/>
      </c>
      <c r="AT136" s="422" t="str">
        <f t="shared" si="346"/>
        <v/>
      </c>
      <c r="AU136" s="423" t="str">
        <f t="shared" si="347"/>
        <v/>
      </c>
      <c r="AV136" s="619">
        <f>'2020'!L136</f>
        <v>112</v>
      </c>
      <c r="AW136" s="584">
        <f>'2021'!L136</f>
        <v>0</v>
      </c>
      <c r="AX136" s="584">
        <f>'2022'!L136</f>
        <v>0</v>
      </c>
      <c r="AY136" s="584">
        <f>'2023'!L136</f>
        <v>0</v>
      </c>
      <c r="AZ136" s="584">
        <f>'2024'!L136</f>
        <v>0</v>
      </c>
      <c r="BA136" s="585">
        <f>'2025'!L136</f>
        <v>0</v>
      </c>
      <c r="BB136" s="421">
        <f t="shared" si="354"/>
        <v>0</v>
      </c>
      <c r="BC136" s="422" t="str">
        <f t="shared" si="348"/>
        <v/>
      </c>
      <c r="BD136" s="422" t="str">
        <f t="shared" si="349"/>
        <v/>
      </c>
      <c r="BE136" s="422" t="str">
        <f t="shared" si="350"/>
        <v/>
      </c>
      <c r="BF136" s="422" t="str">
        <f t="shared" si="351"/>
        <v/>
      </c>
      <c r="BG136" s="423" t="str">
        <f t="shared" si="352"/>
        <v/>
      </c>
      <c r="BH136" s="732">
        <f>'2020'!N136</f>
        <v>0</v>
      </c>
      <c r="BI136" s="733">
        <f>'2021'!N136</f>
        <v>0</v>
      </c>
      <c r="BJ136" s="733">
        <f>'2022'!N136</f>
        <v>0</v>
      </c>
      <c r="BK136" s="733">
        <f>'2023'!N136</f>
        <v>0</v>
      </c>
      <c r="BL136" s="733">
        <f>'2024'!N136</f>
        <v>0</v>
      </c>
      <c r="BM136" s="734">
        <f>'2025'!N136</f>
        <v>0</v>
      </c>
      <c r="BN136" s="424" t="s">
        <v>21</v>
      </c>
      <c r="BO136" s="425" t="s">
        <v>21</v>
      </c>
      <c r="BP136" s="424" t="s">
        <v>21</v>
      </c>
      <c r="BQ136" s="425" t="s">
        <v>21</v>
      </c>
      <c r="BR136" s="426"/>
      <c r="BS136" s="427"/>
      <c r="BT136" s="426"/>
      <c r="BU136" s="428"/>
      <c r="CC136" s="1" t="str">
        <f t="shared" si="355"/>
        <v>Suisse</v>
      </c>
      <c r="CD136" s="1" t="str">
        <f t="shared" si="356"/>
        <v/>
      </c>
      <c r="CE136" s="1" t="str">
        <f t="shared" si="357"/>
        <v/>
      </c>
      <c r="CF136" s="1" t="str">
        <f t="shared" si="358"/>
        <v/>
      </c>
      <c r="CG136" s="1" t="str">
        <f t="shared" si="359"/>
        <v/>
      </c>
      <c r="CH136" s="1" t="str">
        <f t="shared" si="360"/>
        <v/>
      </c>
    </row>
    <row r="137" spans="2:86" ht="15.75" customHeight="1" x14ac:dyDescent="0.3">
      <c r="B137" s="747"/>
      <c r="C137" s="803"/>
      <c r="D137" s="793"/>
      <c r="E137" s="796"/>
      <c r="F137" s="796"/>
      <c r="G137" s="796"/>
      <c r="H137" s="796"/>
      <c r="I137" s="790"/>
      <c r="J137" s="721" t="s">
        <v>81</v>
      </c>
      <c r="K137" s="400" t="str">
        <f t="shared" si="380"/>
        <v>X</v>
      </c>
      <c r="L137" s="400" t="str">
        <f t="shared" si="381"/>
        <v/>
      </c>
      <c r="M137" s="400" t="str">
        <f t="shared" si="382"/>
        <v/>
      </c>
      <c r="N137" s="400" t="str">
        <f t="shared" si="383"/>
        <v/>
      </c>
      <c r="O137" s="400" t="str">
        <f t="shared" si="384"/>
        <v/>
      </c>
      <c r="P137" s="401" t="str">
        <f t="shared" si="385"/>
        <v/>
      </c>
      <c r="Q137" s="237" t="s">
        <v>61</v>
      </c>
      <c r="R137" s="583">
        <f>'2020'!G137</f>
        <v>79</v>
      </c>
      <c r="S137" s="584">
        <f>'2021'!G137</f>
        <v>0</v>
      </c>
      <c r="T137" s="584">
        <f>'2022'!G137</f>
        <v>0</v>
      </c>
      <c r="U137" s="584">
        <f>'2023'!G137</f>
        <v>0</v>
      </c>
      <c r="V137" s="584">
        <f>'2024'!G137</f>
        <v>0</v>
      </c>
      <c r="W137" s="585">
        <f>'2025'!G137</f>
        <v>0</v>
      </c>
      <c r="X137" s="619">
        <f>'2020'!H137</f>
        <v>79</v>
      </c>
      <c r="Y137" s="584">
        <f>'2021'!H137</f>
        <v>0</v>
      </c>
      <c r="Z137" s="584">
        <f>'2022'!H137</f>
        <v>0</v>
      </c>
      <c r="AA137" s="584">
        <f>'2023'!H137</f>
        <v>0</v>
      </c>
      <c r="AB137" s="584">
        <f>'2024'!H137</f>
        <v>0</v>
      </c>
      <c r="AC137" s="585">
        <f>'2025'!H137</f>
        <v>0</v>
      </c>
      <c r="AD137" s="421">
        <f t="shared" si="338"/>
        <v>0.36708860759493672</v>
      </c>
      <c r="AE137" s="422">
        <f t="shared" si="339"/>
        <v>0</v>
      </c>
      <c r="AF137" s="422">
        <f t="shared" si="268"/>
        <v>0</v>
      </c>
      <c r="AG137" s="422">
        <f t="shared" si="340"/>
        <v>0</v>
      </c>
      <c r="AH137" s="422">
        <f t="shared" si="341"/>
        <v>0</v>
      </c>
      <c r="AI137" s="423">
        <f t="shared" si="342"/>
        <v>0</v>
      </c>
      <c r="AJ137" s="619">
        <f>'2020'!J137</f>
        <v>29</v>
      </c>
      <c r="AK137" s="584">
        <f>'2021'!J137</f>
        <v>0</v>
      </c>
      <c r="AL137" s="584">
        <f>'2022'!J137</f>
        <v>0</v>
      </c>
      <c r="AM137" s="584">
        <f>'2023'!J137</f>
        <v>0</v>
      </c>
      <c r="AN137" s="584">
        <f>'2024'!J137</f>
        <v>0</v>
      </c>
      <c r="AO137" s="585">
        <f>'2025'!J137</f>
        <v>0</v>
      </c>
      <c r="AP137" s="421">
        <f t="shared" si="353"/>
        <v>0.41772151898734178</v>
      </c>
      <c r="AQ137" s="422" t="str">
        <f t="shared" si="343"/>
        <v/>
      </c>
      <c r="AR137" s="422" t="str">
        <f t="shared" si="344"/>
        <v/>
      </c>
      <c r="AS137" s="422" t="str">
        <f t="shared" si="345"/>
        <v/>
      </c>
      <c r="AT137" s="422" t="str">
        <f t="shared" si="346"/>
        <v/>
      </c>
      <c r="AU137" s="423" t="str">
        <f t="shared" si="347"/>
        <v/>
      </c>
      <c r="AV137" s="619">
        <f>'2020'!L137</f>
        <v>33</v>
      </c>
      <c r="AW137" s="584">
        <f>'2021'!L137</f>
        <v>0</v>
      </c>
      <c r="AX137" s="584">
        <f>'2022'!L137</f>
        <v>0</v>
      </c>
      <c r="AY137" s="584">
        <f>'2023'!L137</f>
        <v>0</v>
      </c>
      <c r="AZ137" s="584">
        <f>'2024'!L137</f>
        <v>0</v>
      </c>
      <c r="BA137" s="585">
        <f>'2025'!L137</f>
        <v>0</v>
      </c>
      <c r="BB137" s="421">
        <f t="shared" si="354"/>
        <v>0</v>
      </c>
      <c r="BC137" s="422" t="str">
        <f t="shared" si="348"/>
        <v/>
      </c>
      <c r="BD137" s="422" t="str">
        <f t="shared" si="349"/>
        <v/>
      </c>
      <c r="BE137" s="422" t="str">
        <f t="shared" si="350"/>
        <v/>
      </c>
      <c r="BF137" s="422" t="str">
        <f t="shared" si="351"/>
        <v/>
      </c>
      <c r="BG137" s="423" t="str">
        <f t="shared" si="352"/>
        <v/>
      </c>
      <c r="BH137" s="732">
        <f>'2020'!N137</f>
        <v>0</v>
      </c>
      <c r="BI137" s="733">
        <f>'2021'!N137</f>
        <v>0</v>
      </c>
      <c r="BJ137" s="733">
        <f>'2022'!N137</f>
        <v>0</v>
      </c>
      <c r="BK137" s="733">
        <f>'2023'!N137</f>
        <v>0</v>
      </c>
      <c r="BL137" s="733">
        <f>'2024'!N137</f>
        <v>0</v>
      </c>
      <c r="BM137" s="734">
        <f>'2025'!N137</f>
        <v>0</v>
      </c>
      <c r="BN137" s="424" t="s">
        <v>21</v>
      </c>
      <c r="BO137" s="425" t="s">
        <v>21</v>
      </c>
      <c r="BP137" s="424" t="s">
        <v>21</v>
      </c>
      <c r="BQ137" s="425" t="s">
        <v>21</v>
      </c>
      <c r="BR137" s="426"/>
      <c r="BS137" s="427"/>
      <c r="BT137" s="426"/>
      <c r="BU137" s="428"/>
      <c r="CC137" s="1" t="str">
        <f t="shared" si="355"/>
        <v>Suisse</v>
      </c>
      <c r="CD137" s="1" t="str">
        <f t="shared" si="356"/>
        <v/>
      </c>
      <c r="CE137" s="1" t="str">
        <f t="shared" si="357"/>
        <v/>
      </c>
      <c r="CF137" s="1" t="str">
        <f t="shared" si="358"/>
        <v/>
      </c>
      <c r="CG137" s="1" t="str">
        <f t="shared" si="359"/>
        <v/>
      </c>
      <c r="CH137" s="1" t="str">
        <f t="shared" si="360"/>
        <v/>
      </c>
    </row>
    <row r="138" spans="2:86" ht="15.75" customHeight="1" x14ac:dyDescent="0.3">
      <c r="B138" s="747"/>
      <c r="C138" s="803"/>
      <c r="D138" s="793"/>
      <c r="E138" s="796"/>
      <c r="F138" s="796"/>
      <c r="G138" s="796"/>
      <c r="H138" s="796"/>
      <c r="I138" s="790"/>
      <c r="J138" s="721" t="s">
        <v>73</v>
      </c>
      <c r="K138" s="400" t="str">
        <f t="shared" si="380"/>
        <v>X</v>
      </c>
      <c r="L138" s="400" t="str">
        <f t="shared" si="381"/>
        <v/>
      </c>
      <c r="M138" s="400" t="str">
        <f t="shared" si="382"/>
        <v/>
      </c>
      <c r="N138" s="400" t="str">
        <f t="shared" si="383"/>
        <v/>
      </c>
      <c r="O138" s="400" t="str">
        <f t="shared" si="384"/>
        <v/>
      </c>
      <c r="P138" s="401" t="str">
        <f t="shared" si="385"/>
        <v/>
      </c>
      <c r="Q138" s="237" t="s">
        <v>61</v>
      </c>
      <c r="R138" s="583">
        <f>'2020'!G138</f>
        <v>108</v>
      </c>
      <c r="S138" s="584">
        <f>'2021'!G138</f>
        <v>0</v>
      </c>
      <c r="T138" s="584">
        <f>'2022'!G138</f>
        <v>0</v>
      </c>
      <c r="U138" s="584">
        <f>'2023'!G138</f>
        <v>0</v>
      </c>
      <c r="V138" s="584">
        <f>'2024'!G138</f>
        <v>0</v>
      </c>
      <c r="W138" s="585">
        <f>'2025'!G138</f>
        <v>0</v>
      </c>
      <c r="X138" s="619">
        <f>'2020'!H138</f>
        <v>108</v>
      </c>
      <c r="Y138" s="584">
        <f>'2021'!H138</f>
        <v>0</v>
      </c>
      <c r="Z138" s="584">
        <f>'2022'!H138</f>
        <v>0</v>
      </c>
      <c r="AA138" s="584">
        <f>'2023'!H138</f>
        <v>0</v>
      </c>
      <c r="AB138" s="584">
        <f>'2024'!H138</f>
        <v>0</v>
      </c>
      <c r="AC138" s="585">
        <f>'2025'!H138</f>
        <v>0</v>
      </c>
      <c r="AD138" s="421">
        <f t="shared" si="338"/>
        <v>0.43518518518518517</v>
      </c>
      <c r="AE138" s="422">
        <f t="shared" si="339"/>
        <v>0</v>
      </c>
      <c r="AF138" s="422">
        <f t="shared" si="268"/>
        <v>0</v>
      </c>
      <c r="AG138" s="422">
        <f t="shared" si="340"/>
        <v>0</v>
      </c>
      <c r="AH138" s="422">
        <f t="shared" si="341"/>
        <v>0</v>
      </c>
      <c r="AI138" s="423">
        <f t="shared" si="342"/>
        <v>0</v>
      </c>
      <c r="AJ138" s="619">
        <f>'2020'!J138</f>
        <v>47</v>
      </c>
      <c r="AK138" s="584">
        <f>'2021'!J138</f>
        <v>0</v>
      </c>
      <c r="AL138" s="584">
        <f>'2022'!J138</f>
        <v>0</v>
      </c>
      <c r="AM138" s="584">
        <f>'2023'!J138</f>
        <v>0</v>
      </c>
      <c r="AN138" s="584">
        <f>'2024'!J138</f>
        <v>0</v>
      </c>
      <c r="AO138" s="585">
        <f>'2025'!J138</f>
        <v>0</v>
      </c>
      <c r="AP138" s="421">
        <f t="shared" si="353"/>
        <v>0.47222222222222221</v>
      </c>
      <c r="AQ138" s="422" t="str">
        <f t="shared" si="343"/>
        <v/>
      </c>
      <c r="AR138" s="422" t="str">
        <f t="shared" si="344"/>
        <v/>
      </c>
      <c r="AS138" s="422" t="str">
        <f t="shared" si="345"/>
        <v/>
      </c>
      <c r="AT138" s="422" t="str">
        <f t="shared" si="346"/>
        <v/>
      </c>
      <c r="AU138" s="423" t="str">
        <f t="shared" si="347"/>
        <v/>
      </c>
      <c r="AV138" s="619">
        <f>'2020'!L138</f>
        <v>51</v>
      </c>
      <c r="AW138" s="584">
        <f>'2021'!L138</f>
        <v>0</v>
      </c>
      <c r="AX138" s="584">
        <f>'2022'!L138</f>
        <v>0</v>
      </c>
      <c r="AY138" s="584">
        <f>'2023'!L138</f>
        <v>0</v>
      </c>
      <c r="AZ138" s="584">
        <f>'2024'!L138</f>
        <v>0</v>
      </c>
      <c r="BA138" s="585">
        <f>'2025'!L138</f>
        <v>0</v>
      </c>
      <c r="BB138" s="421">
        <f t="shared" si="354"/>
        <v>0</v>
      </c>
      <c r="BC138" s="422" t="str">
        <f t="shared" si="348"/>
        <v/>
      </c>
      <c r="BD138" s="422" t="str">
        <f t="shared" si="349"/>
        <v/>
      </c>
      <c r="BE138" s="422" t="str">
        <f t="shared" si="350"/>
        <v/>
      </c>
      <c r="BF138" s="422" t="str">
        <f t="shared" si="351"/>
        <v/>
      </c>
      <c r="BG138" s="423" t="str">
        <f t="shared" si="352"/>
        <v/>
      </c>
      <c r="BH138" s="732">
        <f>'2020'!N138</f>
        <v>0</v>
      </c>
      <c r="BI138" s="733">
        <f>'2021'!N138</f>
        <v>0</v>
      </c>
      <c r="BJ138" s="733">
        <f>'2022'!N138</f>
        <v>0</v>
      </c>
      <c r="BK138" s="733">
        <f>'2023'!N138</f>
        <v>0</v>
      </c>
      <c r="BL138" s="733">
        <f>'2024'!N138</f>
        <v>0</v>
      </c>
      <c r="BM138" s="734">
        <f>'2025'!N138</f>
        <v>0</v>
      </c>
      <c r="BN138" s="424" t="s">
        <v>21</v>
      </c>
      <c r="BO138" s="425" t="s">
        <v>21</v>
      </c>
      <c r="BP138" s="424" t="s">
        <v>21</v>
      </c>
      <c r="BQ138" s="425" t="s">
        <v>21</v>
      </c>
      <c r="BR138" s="426"/>
      <c r="BS138" s="427"/>
      <c r="BT138" s="426"/>
      <c r="BU138" s="428"/>
      <c r="CC138" s="1" t="str">
        <f t="shared" si="355"/>
        <v>Suisse</v>
      </c>
      <c r="CD138" s="1" t="str">
        <f t="shared" si="356"/>
        <v/>
      </c>
      <c r="CE138" s="1" t="str">
        <f t="shared" si="357"/>
        <v/>
      </c>
      <c r="CF138" s="1" t="str">
        <f t="shared" si="358"/>
        <v/>
      </c>
      <c r="CG138" s="1" t="str">
        <f t="shared" si="359"/>
        <v/>
      </c>
      <c r="CH138" s="1" t="str">
        <f t="shared" si="360"/>
        <v/>
      </c>
    </row>
    <row r="139" spans="2:86" ht="15.75" customHeight="1" x14ac:dyDescent="0.3">
      <c r="B139" s="747"/>
      <c r="C139" s="803"/>
      <c r="D139" s="793"/>
      <c r="E139" s="796"/>
      <c r="F139" s="796"/>
      <c r="G139" s="796"/>
      <c r="H139" s="796"/>
      <c r="I139" s="790"/>
      <c r="J139" s="721" t="s">
        <v>50</v>
      </c>
      <c r="K139" s="400" t="str">
        <f t="shared" si="380"/>
        <v>X</v>
      </c>
      <c r="L139" s="400" t="str">
        <f t="shared" si="381"/>
        <v/>
      </c>
      <c r="M139" s="400" t="str">
        <f t="shared" si="382"/>
        <v/>
      </c>
      <c r="N139" s="400" t="str">
        <f t="shared" si="383"/>
        <v/>
      </c>
      <c r="O139" s="400" t="str">
        <f t="shared" si="384"/>
        <v/>
      </c>
      <c r="P139" s="401" t="str">
        <f t="shared" si="385"/>
        <v/>
      </c>
      <c r="Q139" s="237" t="s">
        <v>61</v>
      </c>
      <c r="R139" s="583">
        <f>'2020'!G139</f>
        <v>117</v>
      </c>
      <c r="S139" s="584">
        <f>'2021'!G139</f>
        <v>0</v>
      </c>
      <c r="T139" s="584">
        <f>'2022'!G139</f>
        <v>0</v>
      </c>
      <c r="U139" s="584">
        <f>'2023'!G139</f>
        <v>0</v>
      </c>
      <c r="V139" s="584">
        <f>'2024'!G139</f>
        <v>0</v>
      </c>
      <c r="W139" s="585">
        <f>'2025'!G139</f>
        <v>0</v>
      </c>
      <c r="X139" s="619">
        <f>'2020'!H139</f>
        <v>117</v>
      </c>
      <c r="Y139" s="584">
        <f>'2021'!H139</f>
        <v>0</v>
      </c>
      <c r="Z139" s="584">
        <f>'2022'!H139</f>
        <v>0</v>
      </c>
      <c r="AA139" s="584">
        <f>'2023'!H139</f>
        <v>0</v>
      </c>
      <c r="AB139" s="584">
        <f>'2024'!H139</f>
        <v>0</v>
      </c>
      <c r="AC139" s="585">
        <f>'2025'!H139</f>
        <v>0</v>
      </c>
      <c r="AD139" s="421">
        <f t="shared" si="338"/>
        <v>0.35897435897435898</v>
      </c>
      <c r="AE139" s="422">
        <f t="shared" si="339"/>
        <v>0</v>
      </c>
      <c r="AF139" s="422">
        <f t="shared" si="268"/>
        <v>0</v>
      </c>
      <c r="AG139" s="422">
        <f t="shared" si="340"/>
        <v>0</v>
      </c>
      <c r="AH139" s="422">
        <f t="shared" si="341"/>
        <v>0</v>
      </c>
      <c r="AI139" s="423">
        <f t="shared" si="342"/>
        <v>0</v>
      </c>
      <c r="AJ139" s="619">
        <f>'2020'!J139</f>
        <v>42</v>
      </c>
      <c r="AK139" s="584">
        <f>'2021'!J139</f>
        <v>0</v>
      </c>
      <c r="AL139" s="584">
        <f>'2022'!J139</f>
        <v>0</v>
      </c>
      <c r="AM139" s="584">
        <f>'2023'!J139</f>
        <v>0</v>
      </c>
      <c r="AN139" s="584">
        <f>'2024'!J139</f>
        <v>0</v>
      </c>
      <c r="AO139" s="585">
        <f>'2025'!J139</f>
        <v>0</v>
      </c>
      <c r="AP139" s="421">
        <f t="shared" si="353"/>
        <v>0.44444444444444442</v>
      </c>
      <c r="AQ139" s="422" t="str">
        <f t="shared" si="343"/>
        <v/>
      </c>
      <c r="AR139" s="422" t="str">
        <f t="shared" si="344"/>
        <v/>
      </c>
      <c r="AS139" s="422" t="str">
        <f t="shared" si="345"/>
        <v/>
      </c>
      <c r="AT139" s="422" t="str">
        <f t="shared" si="346"/>
        <v/>
      </c>
      <c r="AU139" s="423" t="str">
        <f t="shared" si="347"/>
        <v/>
      </c>
      <c r="AV139" s="619">
        <f>'2020'!L139</f>
        <v>52</v>
      </c>
      <c r="AW139" s="584">
        <f>'2021'!L139</f>
        <v>0</v>
      </c>
      <c r="AX139" s="584">
        <f>'2022'!L139</f>
        <v>0</v>
      </c>
      <c r="AY139" s="584">
        <f>'2023'!L139</f>
        <v>0</v>
      </c>
      <c r="AZ139" s="584">
        <f>'2024'!L139</f>
        <v>0</v>
      </c>
      <c r="BA139" s="585">
        <f>'2025'!L139</f>
        <v>0</v>
      </c>
      <c r="BB139" s="421">
        <f t="shared" si="354"/>
        <v>0</v>
      </c>
      <c r="BC139" s="422" t="str">
        <f t="shared" si="348"/>
        <v/>
      </c>
      <c r="BD139" s="422" t="str">
        <f t="shared" si="349"/>
        <v/>
      </c>
      <c r="BE139" s="422" t="str">
        <f t="shared" si="350"/>
        <v/>
      </c>
      <c r="BF139" s="422" t="str">
        <f t="shared" si="351"/>
        <v/>
      </c>
      <c r="BG139" s="423" t="str">
        <f t="shared" si="352"/>
        <v/>
      </c>
      <c r="BH139" s="732">
        <f>'2020'!N139</f>
        <v>0</v>
      </c>
      <c r="BI139" s="733">
        <f>'2021'!N139</f>
        <v>0</v>
      </c>
      <c r="BJ139" s="733">
        <f>'2022'!N139</f>
        <v>0</v>
      </c>
      <c r="BK139" s="733">
        <f>'2023'!N139</f>
        <v>0</v>
      </c>
      <c r="BL139" s="733">
        <f>'2024'!N139</f>
        <v>0</v>
      </c>
      <c r="BM139" s="734">
        <f>'2025'!N139</f>
        <v>0</v>
      </c>
      <c r="BN139" s="424" t="s">
        <v>21</v>
      </c>
      <c r="BO139" s="425" t="s">
        <v>21</v>
      </c>
      <c r="BP139" s="424" t="s">
        <v>21</v>
      </c>
      <c r="BQ139" s="425" t="s">
        <v>21</v>
      </c>
      <c r="BR139" s="426"/>
      <c r="BS139" s="427"/>
      <c r="BT139" s="426"/>
      <c r="BU139" s="428"/>
      <c r="CC139" s="1" t="str">
        <f t="shared" si="355"/>
        <v>Suisse</v>
      </c>
      <c r="CD139" s="1" t="str">
        <f t="shared" si="356"/>
        <v/>
      </c>
      <c r="CE139" s="1" t="str">
        <f t="shared" si="357"/>
        <v/>
      </c>
      <c r="CF139" s="1" t="str">
        <f t="shared" si="358"/>
        <v/>
      </c>
      <c r="CG139" s="1" t="str">
        <f t="shared" si="359"/>
        <v/>
      </c>
      <c r="CH139" s="1" t="str">
        <f t="shared" si="360"/>
        <v/>
      </c>
    </row>
    <row r="140" spans="2:86" ht="15.75" customHeight="1" x14ac:dyDescent="0.3">
      <c r="B140" s="747"/>
      <c r="C140" s="803"/>
      <c r="D140" s="793"/>
      <c r="E140" s="796"/>
      <c r="F140" s="796"/>
      <c r="G140" s="796"/>
      <c r="H140" s="796"/>
      <c r="I140" s="790"/>
      <c r="J140" s="721" t="s">
        <v>144</v>
      </c>
      <c r="K140" s="400" t="str">
        <f t="shared" si="380"/>
        <v/>
      </c>
      <c r="L140" s="400" t="str">
        <f t="shared" si="381"/>
        <v>X</v>
      </c>
      <c r="M140" s="400" t="str">
        <f t="shared" si="382"/>
        <v/>
      </c>
      <c r="N140" s="400" t="str">
        <f t="shared" si="383"/>
        <v/>
      </c>
      <c r="O140" s="400" t="str">
        <f t="shared" si="384"/>
        <v/>
      </c>
      <c r="P140" s="401" t="str">
        <f t="shared" si="385"/>
        <v/>
      </c>
      <c r="Q140" s="237" t="s">
        <v>61</v>
      </c>
      <c r="R140" s="583">
        <f>'2020'!G140</f>
        <v>0</v>
      </c>
      <c r="S140" s="584">
        <f>'2021'!G140</f>
        <v>159</v>
      </c>
      <c r="T140" s="584">
        <f>'2022'!G140</f>
        <v>0</v>
      </c>
      <c r="U140" s="584">
        <f>'2023'!G140</f>
        <v>0</v>
      </c>
      <c r="V140" s="584">
        <f>'2024'!G140</f>
        <v>0</v>
      </c>
      <c r="W140" s="585">
        <f>'2025'!G140</f>
        <v>0</v>
      </c>
      <c r="X140" s="619">
        <f>'2020'!H140</f>
        <v>0</v>
      </c>
      <c r="Y140" s="584">
        <f>'2021'!H140</f>
        <v>159</v>
      </c>
      <c r="Z140" s="584">
        <f>'2022'!H140</f>
        <v>0</v>
      </c>
      <c r="AA140" s="584">
        <f>'2023'!H140</f>
        <v>0</v>
      </c>
      <c r="AB140" s="584">
        <f>'2024'!H140</f>
        <v>0</v>
      </c>
      <c r="AC140" s="585">
        <f>'2025'!H140</f>
        <v>0</v>
      </c>
      <c r="AD140" s="421">
        <f t="shared" si="338"/>
        <v>0</v>
      </c>
      <c r="AE140" s="422">
        <f t="shared" si="339"/>
        <v>0.34591194968553457</v>
      </c>
      <c r="AF140" s="422">
        <f t="shared" si="268"/>
        <v>0</v>
      </c>
      <c r="AG140" s="422">
        <f t="shared" si="340"/>
        <v>0</v>
      </c>
      <c r="AH140" s="422">
        <f t="shared" si="341"/>
        <v>0</v>
      </c>
      <c r="AI140" s="423">
        <f t="shared" si="342"/>
        <v>0</v>
      </c>
      <c r="AJ140" s="619">
        <f>'2020'!J140</f>
        <v>0</v>
      </c>
      <c r="AK140" s="584">
        <f>'2021'!J140</f>
        <v>55</v>
      </c>
      <c r="AL140" s="584">
        <f>'2022'!J140</f>
        <v>0</v>
      </c>
      <c r="AM140" s="584">
        <f>'2023'!J140</f>
        <v>0</v>
      </c>
      <c r="AN140" s="584">
        <f>'2024'!J140</f>
        <v>0</v>
      </c>
      <c r="AO140" s="585">
        <f>'2025'!J140</f>
        <v>0</v>
      </c>
      <c r="AP140" s="421" t="str">
        <f t="shared" si="353"/>
        <v/>
      </c>
      <c r="AQ140" s="422">
        <f t="shared" si="343"/>
        <v>0.41509433962264153</v>
      </c>
      <c r="AR140" s="422" t="str">
        <f t="shared" si="344"/>
        <v/>
      </c>
      <c r="AS140" s="422" t="str">
        <f t="shared" si="345"/>
        <v/>
      </c>
      <c r="AT140" s="422" t="str">
        <f t="shared" si="346"/>
        <v/>
      </c>
      <c r="AU140" s="423" t="str">
        <f t="shared" si="347"/>
        <v/>
      </c>
      <c r="AV140" s="619">
        <f>'2020'!L140</f>
        <v>0</v>
      </c>
      <c r="AW140" s="584">
        <f>'2021'!L140</f>
        <v>66</v>
      </c>
      <c r="AX140" s="584">
        <f>'2022'!L140</f>
        <v>0</v>
      </c>
      <c r="AY140" s="584">
        <f>'2023'!L140</f>
        <v>0</v>
      </c>
      <c r="AZ140" s="584">
        <f>'2024'!L140</f>
        <v>0</v>
      </c>
      <c r="BA140" s="585">
        <f>'2025'!L140</f>
        <v>0</v>
      </c>
      <c r="BB140" s="421" t="str">
        <f t="shared" si="354"/>
        <v/>
      </c>
      <c r="BC140" s="422">
        <f t="shared" si="348"/>
        <v>0.46969696969696972</v>
      </c>
      <c r="BD140" s="422" t="str">
        <f t="shared" si="349"/>
        <v/>
      </c>
      <c r="BE140" s="422" t="str">
        <f t="shared" si="350"/>
        <v/>
      </c>
      <c r="BF140" s="422" t="str">
        <f t="shared" si="351"/>
        <v/>
      </c>
      <c r="BG140" s="423" t="str">
        <f t="shared" si="352"/>
        <v/>
      </c>
      <c r="BH140" s="732">
        <f>'2020'!N140</f>
        <v>0</v>
      </c>
      <c r="BI140" s="733">
        <f>'2021'!N140</f>
        <v>31</v>
      </c>
      <c r="BJ140" s="733">
        <f>'2022'!N140</f>
        <v>0</v>
      </c>
      <c r="BK140" s="733">
        <f>'2023'!N140</f>
        <v>0</v>
      </c>
      <c r="BL140" s="733">
        <f>'2024'!N140</f>
        <v>0</v>
      </c>
      <c r="BM140" s="734">
        <f>'2025'!N140</f>
        <v>0</v>
      </c>
      <c r="BN140" s="424" t="s">
        <v>21</v>
      </c>
      <c r="BO140" s="425" t="s">
        <v>21</v>
      </c>
      <c r="BP140" s="424" t="s">
        <v>21</v>
      </c>
      <c r="BQ140" s="425" t="s">
        <v>21</v>
      </c>
      <c r="BR140" s="426"/>
      <c r="BS140" s="427"/>
      <c r="BT140" s="426"/>
      <c r="BU140" s="428"/>
      <c r="CC140" s="1" t="str">
        <f t="shared" si="355"/>
        <v/>
      </c>
      <c r="CD140" s="1" t="str">
        <f t="shared" si="356"/>
        <v>Suisse</v>
      </c>
      <c r="CE140" s="1" t="str">
        <f t="shared" si="357"/>
        <v/>
      </c>
      <c r="CF140" s="1" t="str">
        <f t="shared" si="358"/>
        <v/>
      </c>
      <c r="CG140" s="1" t="str">
        <f t="shared" si="359"/>
        <v/>
      </c>
      <c r="CH140" s="1" t="str">
        <f t="shared" si="360"/>
        <v/>
      </c>
    </row>
    <row r="141" spans="2:86" ht="15.75" customHeight="1" x14ac:dyDescent="0.3">
      <c r="B141" s="747"/>
      <c r="C141" s="803"/>
      <c r="D141" s="793"/>
      <c r="E141" s="796"/>
      <c r="F141" s="796"/>
      <c r="G141" s="796"/>
      <c r="H141" s="796"/>
      <c r="I141" s="790"/>
      <c r="J141" s="721" t="s">
        <v>143</v>
      </c>
      <c r="K141" s="400" t="str">
        <f t="shared" si="380"/>
        <v/>
      </c>
      <c r="L141" s="400" t="str">
        <f t="shared" si="381"/>
        <v>X</v>
      </c>
      <c r="M141" s="400" t="str">
        <f t="shared" si="382"/>
        <v/>
      </c>
      <c r="N141" s="400" t="str">
        <f t="shared" si="383"/>
        <v/>
      </c>
      <c r="O141" s="400" t="str">
        <f t="shared" si="384"/>
        <v/>
      </c>
      <c r="P141" s="401" t="str">
        <f t="shared" si="385"/>
        <v/>
      </c>
      <c r="Q141" s="237" t="s">
        <v>61</v>
      </c>
      <c r="R141" s="583">
        <f>'2020'!G141</f>
        <v>0</v>
      </c>
      <c r="S141" s="584">
        <f>'2021'!G141</f>
        <v>165</v>
      </c>
      <c r="T141" s="584">
        <f>'2022'!G141</f>
        <v>0</v>
      </c>
      <c r="U141" s="584">
        <f>'2023'!G141</f>
        <v>0</v>
      </c>
      <c r="V141" s="584">
        <f>'2024'!G141</f>
        <v>0</v>
      </c>
      <c r="W141" s="585">
        <f>'2025'!G141</f>
        <v>0</v>
      </c>
      <c r="X141" s="619">
        <f>'2020'!H141</f>
        <v>0</v>
      </c>
      <c r="Y141" s="584">
        <f>'2021'!H141</f>
        <v>165</v>
      </c>
      <c r="Z141" s="584">
        <f>'2022'!H141</f>
        <v>0</v>
      </c>
      <c r="AA141" s="584">
        <f>'2023'!H141</f>
        <v>0</v>
      </c>
      <c r="AB141" s="584">
        <f>'2024'!H141</f>
        <v>0</v>
      </c>
      <c r="AC141" s="585">
        <f>'2025'!H141</f>
        <v>0</v>
      </c>
      <c r="AD141" s="421">
        <f t="shared" si="338"/>
        <v>0</v>
      </c>
      <c r="AE141" s="422">
        <f t="shared" si="339"/>
        <v>0</v>
      </c>
      <c r="AF141" s="422">
        <f t="shared" si="268"/>
        <v>0</v>
      </c>
      <c r="AG141" s="422">
        <f t="shared" si="340"/>
        <v>0</v>
      </c>
      <c r="AH141" s="422">
        <f t="shared" si="341"/>
        <v>0</v>
      </c>
      <c r="AI141" s="423">
        <f t="shared" si="342"/>
        <v>0</v>
      </c>
      <c r="AJ141" s="619">
        <f>'2020'!J141</f>
        <v>0</v>
      </c>
      <c r="AK141" s="584">
        <f>'2021'!J141</f>
        <v>0</v>
      </c>
      <c r="AL141" s="584">
        <f>'2022'!J141</f>
        <v>0</v>
      </c>
      <c r="AM141" s="584">
        <f>'2023'!J141</f>
        <v>0</v>
      </c>
      <c r="AN141" s="584">
        <f>'2024'!J141</f>
        <v>0</v>
      </c>
      <c r="AO141" s="585">
        <f>'2025'!J141</f>
        <v>0</v>
      </c>
      <c r="AP141" s="421" t="str">
        <f t="shared" si="353"/>
        <v/>
      </c>
      <c r="AQ141" s="422">
        <f t="shared" si="343"/>
        <v>0</v>
      </c>
      <c r="AR141" s="422" t="str">
        <f t="shared" si="344"/>
        <v/>
      </c>
      <c r="AS141" s="422" t="str">
        <f t="shared" si="345"/>
        <v/>
      </c>
      <c r="AT141" s="422" t="str">
        <f t="shared" si="346"/>
        <v/>
      </c>
      <c r="AU141" s="423" t="str">
        <f t="shared" si="347"/>
        <v/>
      </c>
      <c r="AV141" s="619">
        <f>'2020'!L141</f>
        <v>0</v>
      </c>
      <c r="AW141" s="584">
        <f>'2021'!L141</f>
        <v>0</v>
      </c>
      <c r="AX141" s="584">
        <f>'2022'!L141</f>
        <v>0</v>
      </c>
      <c r="AY141" s="584">
        <f>'2023'!L141</f>
        <v>0</v>
      </c>
      <c r="AZ141" s="584">
        <f>'2024'!L141</f>
        <v>0</v>
      </c>
      <c r="BA141" s="585">
        <f>'2025'!L141</f>
        <v>0</v>
      </c>
      <c r="BB141" s="421" t="str">
        <f t="shared" si="354"/>
        <v/>
      </c>
      <c r="BC141" s="422" t="str">
        <f t="shared" si="348"/>
        <v/>
      </c>
      <c r="BD141" s="422" t="str">
        <f t="shared" si="349"/>
        <v/>
      </c>
      <c r="BE141" s="422" t="str">
        <f t="shared" si="350"/>
        <v/>
      </c>
      <c r="BF141" s="422" t="str">
        <f t="shared" si="351"/>
        <v/>
      </c>
      <c r="BG141" s="423" t="str">
        <f t="shared" si="352"/>
        <v/>
      </c>
      <c r="BH141" s="732">
        <f>'2020'!N141</f>
        <v>0</v>
      </c>
      <c r="BI141" s="733">
        <f>'2021'!N141</f>
        <v>0</v>
      </c>
      <c r="BJ141" s="733">
        <f>'2022'!N141</f>
        <v>0</v>
      </c>
      <c r="BK141" s="733">
        <f>'2023'!N141</f>
        <v>0</v>
      </c>
      <c r="BL141" s="733">
        <f>'2024'!N141</f>
        <v>0</v>
      </c>
      <c r="BM141" s="734">
        <f>'2025'!N141</f>
        <v>0</v>
      </c>
      <c r="BN141" s="424" t="s">
        <v>21</v>
      </c>
      <c r="BO141" s="425" t="s">
        <v>21</v>
      </c>
      <c r="BP141" s="424" t="s">
        <v>21</v>
      </c>
      <c r="BQ141" s="425" t="s">
        <v>21</v>
      </c>
      <c r="BR141" s="426"/>
      <c r="BS141" s="427"/>
      <c r="BT141" s="426"/>
      <c r="BU141" s="428"/>
      <c r="CC141" s="1" t="str">
        <f t="shared" si="355"/>
        <v/>
      </c>
      <c r="CD141" s="1" t="str">
        <f t="shared" si="356"/>
        <v>Suisse</v>
      </c>
      <c r="CE141" s="1" t="str">
        <f t="shared" si="357"/>
        <v/>
      </c>
      <c r="CF141" s="1" t="str">
        <f t="shared" si="358"/>
        <v/>
      </c>
      <c r="CG141" s="1" t="str">
        <f t="shared" si="359"/>
        <v/>
      </c>
      <c r="CH141" s="1" t="str">
        <f t="shared" si="360"/>
        <v/>
      </c>
    </row>
    <row r="142" spans="2:86" ht="15.75" customHeight="1" x14ac:dyDescent="0.3">
      <c r="B142" s="747"/>
      <c r="C142" s="803"/>
      <c r="D142" s="793"/>
      <c r="E142" s="796"/>
      <c r="F142" s="796"/>
      <c r="G142" s="796"/>
      <c r="H142" s="796"/>
      <c r="I142" s="790"/>
      <c r="J142" s="721" t="s">
        <v>176</v>
      </c>
      <c r="K142" s="400" t="str">
        <f t="shared" si="380"/>
        <v/>
      </c>
      <c r="L142" s="400" t="str">
        <f t="shared" si="381"/>
        <v/>
      </c>
      <c r="M142" s="400" t="str">
        <f t="shared" si="382"/>
        <v>X</v>
      </c>
      <c r="N142" s="400" t="str">
        <f t="shared" si="383"/>
        <v/>
      </c>
      <c r="O142" s="400" t="str">
        <f t="shared" si="384"/>
        <v/>
      </c>
      <c r="P142" s="401" t="str">
        <f t="shared" si="385"/>
        <v/>
      </c>
      <c r="Q142" s="237" t="s">
        <v>61</v>
      </c>
      <c r="R142" s="583">
        <f>'2020'!G142</f>
        <v>0</v>
      </c>
      <c r="S142" s="584">
        <f>'2021'!G142</f>
        <v>0</v>
      </c>
      <c r="T142" s="584">
        <f>'2022'!G142</f>
        <v>299</v>
      </c>
      <c r="U142" s="584">
        <f>'2023'!G142</f>
        <v>0</v>
      </c>
      <c r="V142" s="584">
        <f>'2024'!G142</f>
        <v>0</v>
      </c>
      <c r="W142" s="585">
        <f>'2025'!G142</f>
        <v>0</v>
      </c>
      <c r="X142" s="619">
        <f>'2020'!H142</f>
        <v>0</v>
      </c>
      <c r="Y142" s="584">
        <f>'2021'!H142</f>
        <v>0</v>
      </c>
      <c r="Z142" s="584">
        <f>'2022'!H142</f>
        <v>299</v>
      </c>
      <c r="AA142" s="584">
        <f>'2023'!H142</f>
        <v>0</v>
      </c>
      <c r="AB142" s="584">
        <f>'2024'!H142</f>
        <v>0</v>
      </c>
      <c r="AC142" s="585">
        <f>'2025'!H142</f>
        <v>0</v>
      </c>
      <c r="AD142" s="421">
        <f t="shared" si="338"/>
        <v>0</v>
      </c>
      <c r="AE142" s="422">
        <f t="shared" si="339"/>
        <v>0</v>
      </c>
      <c r="AF142" s="422">
        <f t="shared" si="268"/>
        <v>0.51170568561872909</v>
      </c>
      <c r="AG142" s="422">
        <f t="shared" si="340"/>
        <v>0</v>
      </c>
      <c r="AH142" s="422">
        <f t="shared" si="341"/>
        <v>0</v>
      </c>
      <c r="AI142" s="423">
        <f t="shared" si="342"/>
        <v>0</v>
      </c>
      <c r="AJ142" s="619">
        <f>'2020'!J142</f>
        <v>0</v>
      </c>
      <c r="AK142" s="584">
        <f>'2021'!J142</f>
        <v>0</v>
      </c>
      <c r="AL142" s="584">
        <f>'2022'!J142</f>
        <v>153</v>
      </c>
      <c r="AM142" s="584">
        <f>'2023'!J142</f>
        <v>0</v>
      </c>
      <c r="AN142" s="584">
        <f>'2024'!J142</f>
        <v>0</v>
      </c>
      <c r="AO142" s="585">
        <f>'2025'!J142</f>
        <v>0</v>
      </c>
      <c r="AP142" s="421" t="str">
        <f t="shared" si="353"/>
        <v/>
      </c>
      <c r="AQ142" s="422" t="str">
        <f t="shared" si="343"/>
        <v/>
      </c>
      <c r="AR142" s="422">
        <f t="shared" si="344"/>
        <v>0.37123745819397991</v>
      </c>
      <c r="AS142" s="422" t="str">
        <f t="shared" si="345"/>
        <v/>
      </c>
      <c r="AT142" s="422" t="str">
        <f t="shared" si="346"/>
        <v/>
      </c>
      <c r="AU142" s="423" t="str">
        <f t="shared" si="347"/>
        <v/>
      </c>
      <c r="AV142" s="619">
        <f>'2020'!L142</f>
        <v>0</v>
      </c>
      <c r="AW142" s="584">
        <f>'2021'!L142</f>
        <v>0</v>
      </c>
      <c r="AX142" s="584">
        <f>'2022'!L142</f>
        <v>111</v>
      </c>
      <c r="AY142" s="584">
        <f>'2023'!L142</f>
        <v>0</v>
      </c>
      <c r="AZ142" s="584">
        <f>'2024'!L142</f>
        <v>0</v>
      </c>
      <c r="BA142" s="585">
        <f>'2025'!L142</f>
        <v>0</v>
      </c>
      <c r="BB142" s="421" t="str">
        <f t="shared" si="354"/>
        <v/>
      </c>
      <c r="BC142" s="422" t="str">
        <f t="shared" si="348"/>
        <v/>
      </c>
      <c r="BD142" s="422">
        <f t="shared" si="349"/>
        <v>0.70270270270270274</v>
      </c>
      <c r="BE142" s="422" t="str">
        <f t="shared" si="350"/>
        <v/>
      </c>
      <c r="BF142" s="422" t="str">
        <f t="shared" si="351"/>
        <v/>
      </c>
      <c r="BG142" s="423" t="str">
        <f t="shared" si="352"/>
        <v/>
      </c>
      <c r="BH142" s="732">
        <f>'2020'!N142</f>
        <v>0</v>
      </c>
      <c r="BI142" s="733">
        <f>'2021'!N142</f>
        <v>0</v>
      </c>
      <c r="BJ142" s="733">
        <f>'2022'!N142</f>
        <v>78</v>
      </c>
      <c r="BK142" s="733">
        <f>'2023'!N142</f>
        <v>0</v>
      </c>
      <c r="BL142" s="733">
        <f>'2024'!N142</f>
        <v>0</v>
      </c>
      <c r="BM142" s="734">
        <f>'2025'!N142</f>
        <v>0</v>
      </c>
      <c r="BN142" s="424" t="s">
        <v>21</v>
      </c>
      <c r="BO142" s="425" t="s">
        <v>21</v>
      </c>
      <c r="BP142" s="424" t="s">
        <v>21</v>
      </c>
      <c r="BQ142" s="425" t="s">
        <v>21</v>
      </c>
      <c r="BR142" s="426"/>
      <c r="BS142" s="427"/>
      <c r="BT142" s="426"/>
      <c r="BU142" s="428"/>
      <c r="CC142" s="1" t="str">
        <f t="shared" si="355"/>
        <v/>
      </c>
      <c r="CD142" s="1" t="str">
        <f t="shared" si="356"/>
        <v/>
      </c>
      <c r="CE142" s="1" t="str">
        <f t="shared" si="357"/>
        <v>Suisse</v>
      </c>
      <c r="CF142" s="1" t="str">
        <f t="shared" si="358"/>
        <v/>
      </c>
      <c r="CG142" s="1" t="str">
        <f t="shared" si="359"/>
        <v/>
      </c>
      <c r="CH142" s="1" t="str">
        <f t="shared" si="360"/>
        <v/>
      </c>
    </row>
    <row r="143" spans="2:86" ht="15.75" customHeight="1" x14ac:dyDescent="0.3">
      <c r="B143" s="747"/>
      <c r="C143" s="803"/>
      <c r="D143" s="793"/>
      <c r="E143" s="796"/>
      <c r="F143" s="796"/>
      <c r="G143" s="796"/>
      <c r="H143" s="796"/>
      <c r="I143" s="790"/>
      <c r="J143" s="721" t="s">
        <v>177</v>
      </c>
      <c r="K143" s="400" t="str">
        <f t="shared" si="380"/>
        <v/>
      </c>
      <c r="L143" s="400" t="str">
        <f t="shared" si="381"/>
        <v/>
      </c>
      <c r="M143" s="400" t="str">
        <f t="shared" si="382"/>
        <v>X</v>
      </c>
      <c r="N143" s="400" t="str">
        <f t="shared" si="383"/>
        <v/>
      </c>
      <c r="O143" s="400" t="str">
        <f t="shared" si="384"/>
        <v/>
      </c>
      <c r="P143" s="401" t="str">
        <f t="shared" si="385"/>
        <v/>
      </c>
      <c r="Q143" s="237" t="s">
        <v>61</v>
      </c>
      <c r="R143" s="583">
        <f>'2020'!G143</f>
        <v>0</v>
      </c>
      <c r="S143" s="584">
        <f>'2021'!G143</f>
        <v>0</v>
      </c>
      <c r="T143" s="584">
        <f>'2022'!G143</f>
        <v>385</v>
      </c>
      <c r="U143" s="584">
        <f>'2023'!G143</f>
        <v>0</v>
      </c>
      <c r="V143" s="584">
        <f>'2024'!G143</f>
        <v>0</v>
      </c>
      <c r="W143" s="585">
        <f>'2025'!G143</f>
        <v>0</v>
      </c>
      <c r="X143" s="619">
        <f>'2020'!H143</f>
        <v>0</v>
      </c>
      <c r="Y143" s="584">
        <f>'2021'!H143</f>
        <v>0</v>
      </c>
      <c r="Z143" s="584">
        <f>'2022'!H143</f>
        <v>385</v>
      </c>
      <c r="AA143" s="584">
        <f>'2023'!H143</f>
        <v>0</v>
      </c>
      <c r="AB143" s="584">
        <f>'2024'!H143</f>
        <v>0</v>
      </c>
      <c r="AC143" s="585">
        <f>'2025'!H143</f>
        <v>0</v>
      </c>
      <c r="AD143" s="421">
        <f t="shared" si="338"/>
        <v>0</v>
      </c>
      <c r="AE143" s="422">
        <f t="shared" si="339"/>
        <v>0</v>
      </c>
      <c r="AF143" s="422">
        <f t="shared" si="268"/>
        <v>0.55844155844155841</v>
      </c>
      <c r="AG143" s="422">
        <f t="shared" si="340"/>
        <v>0</v>
      </c>
      <c r="AH143" s="422">
        <f t="shared" si="341"/>
        <v>0</v>
      </c>
      <c r="AI143" s="423">
        <f t="shared" si="342"/>
        <v>0</v>
      </c>
      <c r="AJ143" s="619">
        <f>'2020'!J143</f>
        <v>0</v>
      </c>
      <c r="AK143" s="584">
        <f>'2021'!J143</f>
        <v>0</v>
      </c>
      <c r="AL143" s="584">
        <f>'2022'!J143</f>
        <v>215</v>
      </c>
      <c r="AM143" s="584">
        <f>'2023'!J143</f>
        <v>0</v>
      </c>
      <c r="AN143" s="584">
        <f>'2024'!J143</f>
        <v>0</v>
      </c>
      <c r="AO143" s="585">
        <f>'2025'!J143</f>
        <v>0</v>
      </c>
      <c r="AP143" s="421" t="str">
        <f t="shared" si="353"/>
        <v/>
      </c>
      <c r="AQ143" s="422" t="str">
        <f t="shared" si="343"/>
        <v/>
      </c>
      <c r="AR143" s="422">
        <f t="shared" si="344"/>
        <v>0.41558441558441561</v>
      </c>
      <c r="AS143" s="422" t="str">
        <f t="shared" si="345"/>
        <v/>
      </c>
      <c r="AT143" s="422" t="str">
        <f t="shared" si="346"/>
        <v/>
      </c>
      <c r="AU143" s="423" t="str">
        <f t="shared" si="347"/>
        <v/>
      </c>
      <c r="AV143" s="619">
        <f>'2020'!L143</f>
        <v>0</v>
      </c>
      <c r="AW143" s="584">
        <f>'2021'!L143</f>
        <v>0</v>
      </c>
      <c r="AX143" s="584">
        <f>'2022'!L143</f>
        <v>160</v>
      </c>
      <c r="AY143" s="584">
        <f>'2023'!L143</f>
        <v>0</v>
      </c>
      <c r="AZ143" s="584">
        <f>'2024'!L143</f>
        <v>0</v>
      </c>
      <c r="BA143" s="585">
        <f>'2025'!L143</f>
        <v>0</v>
      </c>
      <c r="BB143" s="421" t="str">
        <f t="shared" si="354"/>
        <v/>
      </c>
      <c r="BC143" s="422" t="str">
        <f t="shared" si="348"/>
        <v/>
      </c>
      <c r="BD143" s="422">
        <f t="shared" si="349"/>
        <v>0.71250000000000002</v>
      </c>
      <c r="BE143" s="422" t="str">
        <f t="shared" si="350"/>
        <v/>
      </c>
      <c r="BF143" s="422" t="str">
        <f t="shared" si="351"/>
        <v/>
      </c>
      <c r="BG143" s="423" t="str">
        <f t="shared" si="352"/>
        <v/>
      </c>
      <c r="BH143" s="732">
        <f>'2020'!N143</f>
        <v>0</v>
      </c>
      <c r="BI143" s="733">
        <f>'2021'!N143</f>
        <v>0</v>
      </c>
      <c r="BJ143" s="733">
        <f>'2022'!N143</f>
        <v>114</v>
      </c>
      <c r="BK143" s="733">
        <f>'2023'!N143</f>
        <v>0</v>
      </c>
      <c r="BL143" s="733">
        <f>'2024'!N143</f>
        <v>0</v>
      </c>
      <c r="BM143" s="734">
        <f>'2025'!N143</f>
        <v>0</v>
      </c>
      <c r="BN143" s="424" t="s">
        <v>21</v>
      </c>
      <c r="BO143" s="425" t="s">
        <v>21</v>
      </c>
      <c r="BP143" s="424" t="s">
        <v>21</v>
      </c>
      <c r="BQ143" s="425" t="s">
        <v>21</v>
      </c>
      <c r="BR143" s="426"/>
      <c r="BS143" s="427"/>
      <c r="BT143" s="426"/>
      <c r="BU143" s="428"/>
      <c r="CC143" s="1" t="str">
        <f t="shared" si="355"/>
        <v/>
      </c>
      <c r="CD143" s="1" t="str">
        <f t="shared" si="356"/>
        <v/>
      </c>
      <c r="CE143" s="1" t="str">
        <f t="shared" si="357"/>
        <v>Suisse</v>
      </c>
      <c r="CF143" s="1" t="str">
        <f t="shared" si="358"/>
        <v/>
      </c>
      <c r="CG143" s="1" t="str">
        <f t="shared" si="359"/>
        <v/>
      </c>
      <c r="CH143" s="1" t="str">
        <f t="shared" si="360"/>
        <v/>
      </c>
    </row>
    <row r="144" spans="2:86" ht="15.75" customHeight="1" x14ac:dyDescent="0.3">
      <c r="B144" s="747"/>
      <c r="C144" s="803"/>
      <c r="D144" s="793"/>
      <c r="E144" s="796"/>
      <c r="F144" s="796"/>
      <c r="G144" s="796"/>
      <c r="H144" s="796"/>
      <c r="I144" s="790"/>
      <c r="J144" s="721" t="s">
        <v>178</v>
      </c>
      <c r="K144" s="400" t="str">
        <f t="shared" si="380"/>
        <v/>
      </c>
      <c r="L144" s="400" t="str">
        <f t="shared" si="381"/>
        <v/>
      </c>
      <c r="M144" s="400" t="str">
        <f t="shared" si="382"/>
        <v/>
      </c>
      <c r="N144" s="400" t="str">
        <f t="shared" si="383"/>
        <v/>
      </c>
      <c r="O144" s="400" t="str">
        <f t="shared" si="384"/>
        <v/>
      </c>
      <c r="P144" s="401" t="str">
        <f t="shared" si="385"/>
        <v/>
      </c>
      <c r="Q144" s="237" t="s">
        <v>61</v>
      </c>
      <c r="R144" s="583">
        <f>'2020'!G144</f>
        <v>0</v>
      </c>
      <c r="S144" s="584">
        <f>'2021'!G144</f>
        <v>0</v>
      </c>
      <c r="T144" s="584">
        <f>'2022'!G144</f>
        <v>0</v>
      </c>
      <c r="U144" s="584">
        <f>'2023'!G144</f>
        <v>0</v>
      </c>
      <c r="V144" s="584">
        <f>'2024'!G144</f>
        <v>0</v>
      </c>
      <c r="W144" s="585">
        <f>'2025'!G144</f>
        <v>0</v>
      </c>
      <c r="X144" s="619">
        <f>'2020'!H144</f>
        <v>0</v>
      </c>
      <c r="Y144" s="584">
        <f>'2021'!H144</f>
        <v>0</v>
      </c>
      <c r="Z144" s="584">
        <f>'2022'!H144</f>
        <v>0</v>
      </c>
      <c r="AA144" s="584">
        <f>'2023'!H144</f>
        <v>0</v>
      </c>
      <c r="AB144" s="584">
        <f>'2024'!H144</f>
        <v>0</v>
      </c>
      <c r="AC144" s="585">
        <f>'2025'!H144</f>
        <v>0</v>
      </c>
      <c r="AD144" s="421">
        <f t="shared" si="338"/>
        <v>0</v>
      </c>
      <c r="AE144" s="422">
        <f t="shared" si="339"/>
        <v>0</v>
      </c>
      <c r="AF144" s="422">
        <f t="shared" si="268"/>
        <v>0</v>
      </c>
      <c r="AG144" s="422">
        <f t="shared" si="340"/>
        <v>0</v>
      </c>
      <c r="AH144" s="422">
        <f t="shared" si="341"/>
        <v>0</v>
      </c>
      <c r="AI144" s="423">
        <f t="shared" si="342"/>
        <v>0</v>
      </c>
      <c r="AJ144" s="619">
        <f>'2020'!J144</f>
        <v>0</v>
      </c>
      <c r="AK144" s="584">
        <f>'2021'!J144</f>
        <v>0</v>
      </c>
      <c r="AL144" s="584">
        <f>'2022'!J144</f>
        <v>0</v>
      </c>
      <c r="AM144" s="584">
        <f>'2023'!J144</f>
        <v>0</v>
      </c>
      <c r="AN144" s="584">
        <f>'2024'!J144</f>
        <v>0</v>
      </c>
      <c r="AO144" s="585">
        <f>'2025'!J144</f>
        <v>0</v>
      </c>
      <c r="AP144" s="421" t="str">
        <f t="shared" si="353"/>
        <v/>
      </c>
      <c r="AQ144" s="422" t="str">
        <f t="shared" si="343"/>
        <v/>
      </c>
      <c r="AR144" s="422" t="str">
        <f t="shared" si="344"/>
        <v/>
      </c>
      <c r="AS144" s="422" t="str">
        <f t="shared" si="345"/>
        <v/>
      </c>
      <c r="AT144" s="422" t="str">
        <f t="shared" si="346"/>
        <v/>
      </c>
      <c r="AU144" s="423" t="str">
        <f t="shared" si="347"/>
        <v/>
      </c>
      <c r="AV144" s="619">
        <f>'2020'!L144</f>
        <v>0</v>
      </c>
      <c r="AW144" s="584">
        <f>'2021'!L144</f>
        <v>0</v>
      </c>
      <c r="AX144" s="584">
        <f>'2022'!L144</f>
        <v>0</v>
      </c>
      <c r="AY144" s="584">
        <f>'2023'!L144</f>
        <v>0</v>
      </c>
      <c r="AZ144" s="584">
        <f>'2024'!L144</f>
        <v>0</v>
      </c>
      <c r="BA144" s="585">
        <f>'2025'!L144</f>
        <v>0</v>
      </c>
      <c r="BB144" s="421" t="str">
        <f t="shared" si="354"/>
        <v/>
      </c>
      <c r="BC144" s="422" t="str">
        <f t="shared" si="348"/>
        <v/>
      </c>
      <c r="BD144" s="422" t="str">
        <f t="shared" si="349"/>
        <v/>
      </c>
      <c r="BE144" s="422" t="str">
        <f t="shared" si="350"/>
        <v/>
      </c>
      <c r="BF144" s="422" t="str">
        <f t="shared" si="351"/>
        <v/>
      </c>
      <c r="BG144" s="423" t="str">
        <f t="shared" si="352"/>
        <v/>
      </c>
      <c r="BH144" s="732">
        <f>'2020'!N144</f>
        <v>0</v>
      </c>
      <c r="BI144" s="733">
        <f>'2021'!N144</f>
        <v>0</v>
      </c>
      <c r="BJ144" s="733">
        <f>'2022'!N144</f>
        <v>0</v>
      </c>
      <c r="BK144" s="733">
        <f>'2023'!N144</f>
        <v>0</v>
      </c>
      <c r="BL144" s="733">
        <f>'2024'!N144</f>
        <v>0</v>
      </c>
      <c r="BM144" s="734">
        <f>'2025'!N144</f>
        <v>0</v>
      </c>
      <c r="BN144" s="424" t="s">
        <v>21</v>
      </c>
      <c r="BO144" s="425" t="s">
        <v>21</v>
      </c>
      <c r="BP144" s="424" t="s">
        <v>21</v>
      </c>
      <c r="BQ144" s="425" t="s">
        <v>21</v>
      </c>
      <c r="BR144" s="426"/>
      <c r="BS144" s="427"/>
      <c r="BT144" s="426"/>
      <c r="BU144" s="428"/>
      <c r="CC144" s="1" t="str">
        <f t="shared" si="355"/>
        <v/>
      </c>
      <c r="CD144" s="1" t="str">
        <f t="shared" si="356"/>
        <v/>
      </c>
      <c r="CE144" s="1" t="str">
        <f t="shared" si="357"/>
        <v/>
      </c>
      <c r="CF144" s="1" t="str">
        <f t="shared" si="358"/>
        <v/>
      </c>
      <c r="CG144" s="1" t="str">
        <f t="shared" si="359"/>
        <v/>
      </c>
      <c r="CH144" s="1" t="str">
        <f t="shared" si="360"/>
        <v/>
      </c>
    </row>
    <row r="145" spans="1:86" ht="15.75" customHeight="1" x14ac:dyDescent="0.3">
      <c r="B145" s="747"/>
      <c r="C145" s="803"/>
      <c r="D145" s="793"/>
      <c r="E145" s="796"/>
      <c r="F145" s="796"/>
      <c r="G145" s="796"/>
      <c r="H145" s="796"/>
      <c r="I145" s="790"/>
      <c r="J145" s="721" t="s">
        <v>179</v>
      </c>
      <c r="K145" s="400" t="str">
        <f t="shared" si="380"/>
        <v/>
      </c>
      <c r="L145" s="400" t="str">
        <f t="shared" si="381"/>
        <v/>
      </c>
      <c r="M145" s="400" t="str">
        <f t="shared" si="382"/>
        <v>X</v>
      </c>
      <c r="N145" s="400" t="str">
        <f t="shared" si="383"/>
        <v/>
      </c>
      <c r="O145" s="400" t="str">
        <f t="shared" si="384"/>
        <v/>
      </c>
      <c r="P145" s="401" t="str">
        <f t="shared" si="385"/>
        <v/>
      </c>
      <c r="Q145" s="237" t="s">
        <v>61</v>
      </c>
      <c r="R145" s="583">
        <f>'2020'!G145</f>
        <v>0</v>
      </c>
      <c r="S145" s="584">
        <f>'2021'!G145</f>
        <v>0</v>
      </c>
      <c r="T145" s="584">
        <f>'2022'!G145</f>
        <v>252</v>
      </c>
      <c r="U145" s="584">
        <f>'2023'!G145</f>
        <v>0</v>
      </c>
      <c r="V145" s="584">
        <f>'2024'!G145</f>
        <v>0</v>
      </c>
      <c r="W145" s="585">
        <f>'2025'!G145</f>
        <v>0</v>
      </c>
      <c r="X145" s="619">
        <f>'2020'!H145</f>
        <v>0</v>
      </c>
      <c r="Y145" s="584">
        <f>'2021'!H145</f>
        <v>0</v>
      </c>
      <c r="Z145" s="584">
        <f>'2022'!H145</f>
        <v>252</v>
      </c>
      <c r="AA145" s="584">
        <f>'2023'!H145</f>
        <v>0</v>
      </c>
      <c r="AB145" s="584">
        <f>'2024'!H145</f>
        <v>0</v>
      </c>
      <c r="AC145" s="585">
        <f>'2025'!H145</f>
        <v>0</v>
      </c>
      <c r="AD145" s="421">
        <f t="shared" si="338"/>
        <v>0</v>
      </c>
      <c r="AE145" s="422">
        <f t="shared" si="339"/>
        <v>0</v>
      </c>
      <c r="AF145" s="422">
        <f t="shared" si="268"/>
        <v>0.31746031746031744</v>
      </c>
      <c r="AG145" s="422">
        <f t="shared" si="340"/>
        <v>0</v>
      </c>
      <c r="AH145" s="422">
        <f t="shared" si="341"/>
        <v>0</v>
      </c>
      <c r="AI145" s="423">
        <f t="shared" si="342"/>
        <v>0</v>
      </c>
      <c r="AJ145" s="619">
        <f>'2020'!J145</f>
        <v>0</v>
      </c>
      <c r="AK145" s="584">
        <f>'2021'!J145</f>
        <v>0</v>
      </c>
      <c r="AL145" s="584">
        <f>'2022'!J145</f>
        <v>80</v>
      </c>
      <c r="AM145" s="584">
        <f>'2023'!J145</f>
        <v>0</v>
      </c>
      <c r="AN145" s="584">
        <f>'2024'!J145</f>
        <v>0</v>
      </c>
      <c r="AO145" s="585">
        <f>'2025'!J145</f>
        <v>0</v>
      </c>
      <c r="AP145" s="421" t="str">
        <f t="shared" si="353"/>
        <v/>
      </c>
      <c r="AQ145" s="422" t="str">
        <f t="shared" si="343"/>
        <v/>
      </c>
      <c r="AR145" s="422">
        <f t="shared" si="344"/>
        <v>0.40079365079365081</v>
      </c>
      <c r="AS145" s="422" t="str">
        <f t="shared" si="345"/>
        <v/>
      </c>
      <c r="AT145" s="422" t="str">
        <f t="shared" si="346"/>
        <v/>
      </c>
      <c r="AU145" s="423" t="str">
        <f t="shared" si="347"/>
        <v/>
      </c>
      <c r="AV145" s="619">
        <f>'2020'!L145</f>
        <v>0</v>
      </c>
      <c r="AW145" s="584">
        <f>'2021'!L145</f>
        <v>0</v>
      </c>
      <c r="AX145" s="584">
        <f>'2022'!L145</f>
        <v>101</v>
      </c>
      <c r="AY145" s="584">
        <f>'2023'!L145</f>
        <v>0</v>
      </c>
      <c r="AZ145" s="584">
        <f>'2024'!L145</f>
        <v>0</v>
      </c>
      <c r="BA145" s="585">
        <f>'2025'!L145</f>
        <v>0</v>
      </c>
      <c r="BB145" s="421" t="str">
        <f t="shared" si="354"/>
        <v/>
      </c>
      <c r="BC145" s="422" t="str">
        <f t="shared" si="348"/>
        <v/>
      </c>
      <c r="BD145" s="422">
        <f t="shared" si="349"/>
        <v>0.37623762376237624</v>
      </c>
      <c r="BE145" s="422" t="str">
        <f t="shared" si="350"/>
        <v/>
      </c>
      <c r="BF145" s="422" t="str">
        <f t="shared" si="351"/>
        <v/>
      </c>
      <c r="BG145" s="423" t="str">
        <f t="shared" si="352"/>
        <v/>
      </c>
      <c r="BH145" s="732">
        <f>'2020'!N145</f>
        <v>0</v>
      </c>
      <c r="BI145" s="733">
        <f>'2021'!N145</f>
        <v>0</v>
      </c>
      <c r="BJ145" s="733">
        <f>'2022'!N145</f>
        <v>38</v>
      </c>
      <c r="BK145" s="733">
        <f>'2023'!N145</f>
        <v>0</v>
      </c>
      <c r="BL145" s="733">
        <f>'2024'!N145</f>
        <v>0</v>
      </c>
      <c r="BM145" s="734">
        <f>'2025'!N145</f>
        <v>0</v>
      </c>
      <c r="BN145" s="424" t="s">
        <v>21</v>
      </c>
      <c r="BO145" s="425" t="s">
        <v>21</v>
      </c>
      <c r="BP145" s="424" t="s">
        <v>21</v>
      </c>
      <c r="BQ145" s="425" t="s">
        <v>21</v>
      </c>
      <c r="BR145" s="426"/>
      <c r="BS145" s="427"/>
      <c r="BT145" s="426"/>
      <c r="BU145" s="428"/>
      <c r="CC145" s="1" t="str">
        <f t="shared" si="355"/>
        <v/>
      </c>
      <c r="CD145" s="1" t="str">
        <f t="shared" si="356"/>
        <v/>
      </c>
      <c r="CE145" s="1" t="str">
        <f t="shared" si="357"/>
        <v>Suisse</v>
      </c>
      <c r="CF145" s="1" t="str">
        <f t="shared" si="358"/>
        <v/>
      </c>
      <c r="CG145" s="1" t="str">
        <f t="shared" si="359"/>
        <v/>
      </c>
      <c r="CH145" s="1" t="str">
        <f t="shared" si="360"/>
        <v/>
      </c>
    </row>
    <row r="146" spans="1:86" ht="15.75" customHeight="1" x14ac:dyDescent="0.3">
      <c r="B146" s="747"/>
      <c r="C146" s="803"/>
      <c r="D146" s="793"/>
      <c r="E146" s="796"/>
      <c r="F146" s="796"/>
      <c r="G146" s="796"/>
      <c r="H146" s="796"/>
      <c r="I146" s="790"/>
      <c r="J146" s="721" t="s">
        <v>180</v>
      </c>
      <c r="K146" s="400" t="str">
        <f t="shared" si="380"/>
        <v/>
      </c>
      <c r="L146" s="400" t="str">
        <f t="shared" si="381"/>
        <v/>
      </c>
      <c r="M146" s="400" t="str">
        <f t="shared" si="382"/>
        <v>X</v>
      </c>
      <c r="N146" s="400" t="str">
        <f t="shared" si="383"/>
        <v/>
      </c>
      <c r="O146" s="400" t="str">
        <f t="shared" si="384"/>
        <v/>
      </c>
      <c r="P146" s="401" t="str">
        <f t="shared" si="385"/>
        <v/>
      </c>
      <c r="Q146" s="237" t="s">
        <v>61</v>
      </c>
      <c r="R146" s="583">
        <f>'2020'!G146</f>
        <v>0</v>
      </c>
      <c r="S146" s="584">
        <f>'2021'!G146</f>
        <v>0</v>
      </c>
      <c r="T146" s="584">
        <f>'2022'!G146</f>
        <v>17</v>
      </c>
      <c r="U146" s="584">
        <f>'2023'!G146</f>
        <v>0</v>
      </c>
      <c r="V146" s="584">
        <f>'2024'!G146</f>
        <v>0</v>
      </c>
      <c r="W146" s="585">
        <f>'2025'!G146</f>
        <v>0</v>
      </c>
      <c r="X146" s="619">
        <f>'2020'!H146</f>
        <v>0</v>
      </c>
      <c r="Y146" s="584">
        <f>'2021'!H146</f>
        <v>0</v>
      </c>
      <c r="Z146" s="584">
        <f>'2022'!H146</f>
        <v>17</v>
      </c>
      <c r="AA146" s="584">
        <f>'2023'!H146</f>
        <v>0</v>
      </c>
      <c r="AB146" s="584">
        <f>'2024'!H146</f>
        <v>0</v>
      </c>
      <c r="AC146" s="585">
        <f>'2025'!H146</f>
        <v>0</v>
      </c>
      <c r="AD146" s="421">
        <f t="shared" si="338"/>
        <v>0</v>
      </c>
      <c r="AE146" s="422">
        <f t="shared" si="339"/>
        <v>0</v>
      </c>
      <c r="AF146" s="422">
        <f t="shared" si="268"/>
        <v>0.47058823529411764</v>
      </c>
      <c r="AG146" s="422">
        <f t="shared" si="340"/>
        <v>0</v>
      </c>
      <c r="AH146" s="422">
        <f t="shared" si="341"/>
        <v>0</v>
      </c>
      <c r="AI146" s="423">
        <f t="shared" si="342"/>
        <v>0</v>
      </c>
      <c r="AJ146" s="619">
        <f>'2020'!J146</f>
        <v>0</v>
      </c>
      <c r="AK146" s="584">
        <f>'2021'!J146</f>
        <v>0</v>
      </c>
      <c r="AL146" s="584">
        <f>'2022'!J146</f>
        <v>8</v>
      </c>
      <c r="AM146" s="584">
        <f>'2023'!J146</f>
        <v>0</v>
      </c>
      <c r="AN146" s="584">
        <f>'2024'!J146</f>
        <v>0</v>
      </c>
      <c r="AO146" s="585">
        <f>'2025'!J146</f>
        <v>0</v>
      </c>
      <c r="AP146" s="421" t="str">
        <f t="shared" si="353"/>
        <v/>
      </c>
      <c r="AQ146" s="422" t="str">
        <f t="shared" si="343"/>
        <v/>
      </c>
      <c r="AR146" s="422">
        <f t="shared" si="344"/>
        <v>0.35294117647058826</v>
      </c>
      <c r="AS146" s="422" t="str">
        <f t="shared" si="345"/>
        <v/>
      </c>
      <c r="AT146" s="422" t="str">
        <f t="shared" si="346"/>
        <v/>
      </c>
      <c r="AU146" s="423" t="str">
        <f t="shared" si="347"/>
        <v/>
      </c>
      <c r="AV146" s="619">
        <f>'2020'!L146</f>
        <v>0</v>
      </c>
      <c r="AW146" s="584">
        <f>'2021'!L146</f>
        <v>0</v>
      </c>
      <c r="AX146" s="584">
        <f>'2022'!L146</f>
        <v>6</v>
      </c>
      <c r="AY146" s="584">
        <f>'2023'!L146</f>
        <v>0</v>
      </c>
      <c r="AZ146" s="584">
        <f>'2024'!L146</f>
        <v>0</v>
      </c>
      <c r="BA146" s="585">
        <f>'2025'!L146</f>
        <v>0</v>
      </c>
      <c r="BB146" s="421" t="str">
        <f t="shared" si="354"/>
        <v/>
      </c>
      <c r="BC146" s="422" t="str">
        <f t="shared" si="348"/>
        <v/>
      </c>
      <c r="BD146" s="422">
        <f t="shared" si="349"/>
        <v>0.83333333333333337</v>
      </c>
      <c r="BE146" s="422" t="str">
        <f t="shared" si="350"/>
        <v/>
      </c>
      <c r="BF146" s="422" t="str">
        <f t="shared" si="351"/>
        <v/>
      </c>
      <c r="BG146" s="423" t="str">
        <f t="shared" si="352"/>
        <v/>
      </c>
      <c r="BH146" s="732">
        <f>'2020'!N146</f>
        <v>0</v>
      </c>
      <c r="BI146" s="733">
        <f>'2021'!N146</f>
        <v>0</v>
      </c>
      <c r="BJ146" s="733">
        <f>'2022'!N146</f>
        <v>5</v>
      </c>
      <c r="BK146" s="733">
        <f>'2023'!N146</f>
        <v>0</v>
      </c>
      <c r="BL146" s="733">
        <f>'2024'!N146</f>
        <v>0</v>
      </c>
      <c r="BM146" s="734">
        <f>'2025'!N146</f>
        <v>0</v>
      </c>
      <c r="BN146" s="424" t="s">
        <v>21</v>
      </c>
      <c r="BO146" s="425" t="s">
        <v>21</v>
      </c>
      <c r="BP146" s="424" t="s">
        <v>21</v>
      </c>
      <c r="BQ146" s="425" t="s">
        <v>21</v>
      </c>
      <c r="BR146" s="426"/>
      <c r="BS146" s="427"/>
      <c r="BT146" s="426"/>
      <c r="BU146" s="428"/>
      <c r="CC146" s="1" t="str">
        <f t="shared" si="355"/>
        <v/>
      </c>
      <c r="CD146" s="1" t="str">
        <f t="shared" si="356"/>
        <v/>
      </c>
      <c r="CE146" s="1" t="str">
        <f t="shared" si="357"/>
        <v>Suisse</v>
      </c>
      <c r="CF146" s="1" t="str">
        <f t="shared" si="358"/>
        <v/>
      </c>
      <c r="CG146" s="1" t="str">
        <f t="shared" si="359"/>
        <v/>
      </c>
      <c r="CH146" s="1" t="str">
        <f t="shared" si="360"/>
        <v/>
      </c>
    </row>
    <row r="147" spans="1:86" ht="15.75" customHeight="1" x14ac:dyDescent="0.3">
      <c r="B147" s="747"/>
      <c r="C147" s="803"/>
      <c r="D147" s="793"/>
      <c r="E147" s="796"/>
      <c r="F147" s="796"/>
      <c r="G147" s="796"/>
      <c r="H147" s="796"/>
      <c r="I147" s="790"/>
      <c r="J147" s="721" t="s">
        <v>181</v>
      </c>
      <c r="K147" s="400" t="str">
        <f t="shared" si="380"/>
        <v/>
      </c>
      <c r="L147" s="400" t="str">
        <f t="shared" si="381"/>
        <v/>
      </c>
      <c r="M147" s="400" t="str">
        <f t="shared" si="382"/>
        <v>X</v>
      </c>
      <c r="N147" s="400" t="str">
        <f t="shared" si="383"/>
        <v/>
      </c>
      <c r="O147" s="400" t="str">
        <f t="shared" si="384"/>
        <v/>
      </c>
      <c r="P147" s="401" t="str">
        <f t="shared" si="385"/>
        <v/>
      </c>
      <c r="Q147" s="237" t="s">
        <v>61</v>
      </c>
      <c r="R147" s="583">
        <f>'2020'!G147</f>
        <v>0</v>
      </c>
      <c r="S147" s="584">
        <f>'2021'!G147</f>
        <v>0</v>
      </c>
      <c r="T147" s="584">
        <f>'2022'!G147</f>
        <v>24</v>
      </c>
      <c r="U147" s="584">
        <f>'2023'!G147</f>
        <v>0</v>
      </c>
      <c r="V147" s="584">
        <f>'2024'!G147</f>
        <v>0</v>
      </c>
      <c r="W147" s="585">
        <f>'2025'!G147</f>
        <v>0</v>
      </c>
      <c r="X147" s="619">
        <f>'2020'!H147</f>
        <v>0</v>
      </c>
      <c r="Y147" s="584">
        <f>'2021'!H147</f>
        <v>0</v>
      </c>
      <c r="Z147" s="584">
        <f>'2022'!H147</f>
        <v>24</v>
      </c>
      <c r="AA147" s="584">
        <f>'2023'!H147</f>
        <v>0</v>
      </c>
      <c r="AB147" s="584">
        <f>'2024'!H147</f>
        <v>0</v>
      </c>
      <c r="AC147" s="585">
        <f>'2025'!H147</f>
        <v>0</v>
      </c>
      <c r="AD147" s="421">
        <f t="shared" si="338"/>
        <v>0</v>
      </c>
      <c r="AE147" s="422">
        <f t="shared" si="339"/>
        <v>0</v>
      </c>
      <c r="AF147" s="422">
        <f t="shared" si="268"/>
        <v>0.41666666666666669</v>
      </c>
      <c r="AG147" s="422">
        <f t="shared" si="340"/>
        <v>0</v>
      </c>
      <c r="AH147" s="422">
        <f t="shared" si="341"/>
        <v>0</v>
      </c>
      <c r="AI147" s="423">
        <f t="shared" si="342"/>
        <v>0</v>
      </c>
      <c r="AJ147" s="619">
        <f>'2020'!J147</f>
        <v>0</v>
      </c>
      <c r="AK147" s="584">
        <f>'2021'!J147</f>
        <v>0</v>
      </c>
      <c r="AL147" s="584">
        <f>'2022'!J147</f>
        <v>10</v>
      </c>
      <c r="AM147" s="584">
        <f>'2023'!J147</f>
        <v>0</v>
      </c>
      <c r="AN147" s="584">
        <f>'2024'!J147</f>
        <v>0</v>
      </c>
      <c r="AO147" s="585">
        <f>'2025'!J147</f>
        <v>0</v>
      </c>
      <c r="AP147" s="421" t="str">
        <f t="shared" si="353"/>
        <v/>
      </c>
      <c r="AQ147" s="422" t="str">
        <f t="shared" si="343"/>
        <v/>
      </c>
      <c r="AR147" s="422">
        <f t="shared" si="344"/>
        <v>0.33333333333333331</v>
      </c>
      <c r="AS147" s="422" t="str">
        <f t="shared" si="345"/>
        <v/>
      </c>
      <c r="AT147" s="422" t="str">
        <f t="shared" si="346"/>
        <v/>
      </c>
      <c r="AU147" s="423" t="str">
        <f t="shared" si="347"/>
        <v/>
      </c>
      <c r="AV147" s="619">
        <f>'2020'!L147</f>
        <v>0</v>
      </c>
      <c r="AW147" s="584">
        <f>'2021'!L147</f>
        <v>0</v>
      </c>
      <c r="AX147" s="584">
        <f>'2022'!L147</f>
        <v>8</v>
      </c>
      <c r="AY147" s="584">
        <f>'2023'!L147</f>
        <v>0</v>
      </c>
      <c r="AZ147" s="584">
        <f>'2024'!L147</f>
        <v>0</v>
      </c>
      <c r="BA147" s="585">
        <f>'2025'!L147</f>
        <v>0</v>
      </c>
      <c r="BB147" s="421" t="str">
        <f t="shared" si="354"/>
        <v/>
      </c>
      <c r="BC147" s="422" t="str">
        <f t="shared" si="348"/>
        <v/>
      </c>
      <c r="BD147" s="422">
        <f t="shared" si="349"/>
        <v>0.75</v>
      </c>
      <c r="BE147" s="422" t="str">
        <f t="shared" si="350"/>
        <v/>
      </c>
      <c r="BF147" s="422" t="str">
        <f t="shared" si="351"/>
        <v/>
      </c>
      <c r="BG147" s="423" t="str">
        <f t="shared" si="352"/>
        <v/>
      </c>
      <c r="BH147" s="732">
        <f>'2020'!N147</f>
        <v>0</v>
      </c>
      <c r="BI147" s="733">
        <f>'2021'!N147</f>
        <v>0</v>
      </c>
      <c r="BJ147" s="733">
        <f>'2022'!N147</f>
        <v>6</v>
      </c>
      <c r="BK147" s="733">
        <f>'2023'!N147</f>
        <v>0</v>
      </c>
      <c r="BL147" s="733">
        <f>'2024'!N147</f>
        <v>0</v>
      </c>
      <c r="BM147" s="734">
        <f>'2025'!N147</f>
        <v>0</v>
      </c>
      <c r="BN147" s="424" t="s">
        <v>21</v>
      </c>
      <c r="BO147" s="425" t="s">
        <v>21</v>
      </c>
      <c r="BP147" s="424" t="s">
        <v>21</v>
      </c>
      <c r="BQ147" s="425" t="s">
        <v>21</v>
      </c>
      <c r="BR147" s="426"/>
      <c r="BS147" s="427"/>
      <c r="BT147" s="426"/>
      <c r="BU147" s="428"/>
      <c r="CC147" s="1" t="str">
        <f t="shared" si="355"/>
        <v/>
      </c>
      <c r="CD147" s="1" t="str">
        <f t="shared" si="356"/>
        <v/>
      </c>
      <c r="CE147" s="1" t="str">
        <f t="shared" si="357"/>
        <v>Suisse</v>
      </c>
      <c r="CF147" s="1" t="str">
        <f t="shared" si="358"/>
        <v/>
      </c>
      <c r="CG147" s="1" t="str">
        <f t="shared" si="359"/>
        <v/>
      </c>
      <c r="CH147" s="1" t="str">
        <f t="shared" si="360"/>
        <v/>
      </c>
    </row>
    <row r="148" spans="1:86" ht="15.75" customHeight="1" x14ac:dyDescent="0.3">
      <c r="B148" s="747"/>
      <c r="C148" s="803"/>
      <c r="D148" s="793"/>
      <c r="E148" s="796"/>
      <c r="F148" s="796"/>
      <c r="G148" s="796"/>
      <c r="H148" s="796"/>
      <c r="I148" s="790"/>
      <c r="J148" s="721" t="s">
        <v>80</v>
      </c>
      <c r="K148" s="400" t="str">
        <f t="shared" si="380"/>
        <v>X</v>
      </c>
      <c r="L148" s="400" t="str">
        <f t="shared" si="381"/>
        <v>X</v>
      </c>
      <c r="M148" s="400" t="str">
        <f t="shared" si="382"/>
        <v>X</v>
      </c>
      <c r="N148" s="400" t="str">
        <f t="shared" si="383"/>
        <v/>
      </c>
      <c r="O148" s="400" t="str">
        <f t="shared" si="384"/>
        <v/>
      </c>
      <c r="P148" s="401" t="str">
        <f t="shared" si="385"/>
        <v/>
      </c>
      <c r="Q148" s="237" t="s">
        <v>61</v>
      </c>
      <c r="R148" s="583">
        <f>'2020'!G148</f>
        <v>651</v>
      </c>
      <c r="S148" s="584">
        <f>'2021'!G148</f>
        <v>773</v>
      </c>
      <c r="T148" s="584">
        <f>'2022'!G148</f>
        <v>853</v>
      </c>
      <c r="U148" s="584">
        <f>'2023'!G148</f>
        <v>0</v>
      </c>
      <c r="V148" s="584">
        <f>'2024'!G148</f>
        <v>0</v>
      </c>
      <c r="W148" s="585">
        <f>'2025'!G148</f>
        <v>0</v>
      </c>
      <c r="X148" s="619">
        <f>'2020'!H148</f>
        <v>651</v>
      </c>
      <c r="Y148" s="584">
        <f>'2021'!H148</f>
        <v>773</v>
      </c>
      <c r="Z148" s="584">
        <f>'2022'!H148</f>
        <v>853</v>
      </c>
      <c r="AA148" s="584">
        <f>'2023'!H148</f>
        <v>0</v>
      </c>
      <c r="AB148" s="584">
        <f>'2024'!H148</f>
        <v>0</v>
      </c>
      <c r="AC148" s="585">
        <f>'2025'!H148</f>
        <v>0</v>
      </c>
      <c r="AD148" s="421">
        <f t="shared" si="338"/>
        <v>0</v>
      </c>
      <c r="AE148" s="422">
        <f t="shared" si="339"/>
        <v>0.39327296248382926</v>
      </c>
      <c r="AF148" s="422">
        <f t="shared" si="268"/>
        <v>0.43259085580304807</v>
      </c>
      <c r="AG148" s="422">
        <f t="shared" si="340"/>
        <v>0</v>
      </c>
      <c r="AH148" s="422">
        <f t="shared" si="341"/>
        <v>0</v>
      </c>
      <c r="AI148" s="423">
        <f t="shared" si="342"/>
        <v>0</v>
      </c>
      <c r="AJ148" s="619">
        <f>'2020'!J148</f>
        <v>0</v>
      </c>
      <c r="AK148" s="584">
        <f>'2021'!J148</f>
        <v>304</v>
      </c>
      <c r="AL148" s="584">
        <f>'2022'!J148</f>
        <v>369</v>
      </c>
      <c r="AM148" s="584">
        <f>'2023'!J148</f>
        <v>0</v>
      </c>
      <c r="AN148" s="584">
        <f>'2024'!J148</f>
        <v>0</v>
      </c>
      <c r="AO148" s="585">
        <f>'2025'!J148</f>
        <v>0</v>
      </c>
      <c r="AP148" s="421">
        <f t="shared" si="353"/>
        <v>0.38402457757296465</v>
      </c>
      <c r="AQ148" s="422">
        <f t="shared" si="343"/>
        <v>0.43078913324708928</v>
      </c>
      <c r="AR148" s="422">
        <f t="shared" si="344"/>
        <v>0.38452520515826494</v>
      </c>
      <c r="AS148" s="422" t="str">
        <f t="shared" si="345"/>
        <v/>
      </c>
      <c r="AT148" s="422" t="str">
        <f t="shared" si="346"/>
        <v/>
      </c>
      <c r="AU148" s="423" t="str">
        <f t="shared" si="347"/>
        <v/>
      </c>
      <c r="AV148" s="619">
        <f>'2020'!L148</f>
        <v>250</v>
      </c>
      <c r="AW148" s="584">
        <f>'2021'!L148</f>
        <v>333</v>
      </c>
      <c r="AX148" s="584">
        <f>'2022'!L148</f>
        <v>328</v>
      </c>
      <c r="AY148" s="584">
        <f>'2023'!L148</f>
        <v>0</v>
      </c>
      <c r="AZ148" s="584">
        <f>'2024'!L148</f>
        <v>0</v>
      </c>
      <c r="BA148" s="585">
        <f>'2025'!L148</f>
        <v>0</v>
      </c>
      <c r="BB148" s="421">
        <f t="shared" si="354"/>
        <v>0</v>
      </c>
      <c r="BC148" s="422">
        <f t="shared" si="348"/>
        <v>0.57657657657657657</v>
      </c>
      <c r="BD148" s="422">
        <f t="shared" si="349"/>
        <v>0.61280487804878048</v>
      </c>
      <c r="BE148" s="422" t="str">
        <f t="shared" si="350"/>
        <v/>
      </c>
      <c r="BF148" s="422" t="str">
        <f t="shared" si="351"/>
        <v/>
      </c>
      <c r="BG148" s="423" t="str">
        <f t="shared" si="352"/>
        <v/>
      </c>
      <c r="BH148" s="732">
        <f>'2020'!N148</f>
        <v>0</v>
      </c>
      <c r="BI148" s="733">
        <f>'2021'!N148</f>
        <v>192</v>
      </c>
      <c r="BJ148" s="733">
        <f>'2022'!N148</f>
        <v>201</v>
      </c>
      <c r="BK148" s="733">
        <f>'2023'!N148</f>
        <v>0</v>
      </c>
      <c r="BL148" s="733">
        <f>'2024'!N148</f>
        <v>0</v>
      </c>
      <c r="BM148" s="734">
        <f>'2025'!N148</f>
        <v>0</v>
      </c>
      <c r="BN148" s="424" t="s">
        <v>21</v>
      </c>
      <c r="BO148" s="425" t="s">
        <v>21</v>
      </c>
      <c r="BP148" s="424" t="s">
        <v>21</v>
      </c>
      <c r="BQ148" s="425" t="s">
        <v>21</v>
      </c>
      <c r="BR148" s="426"/>
      <c r="BS148" s="427"/>
      <c r="BT148" s="426"/>
      <c r="BU148" s="428"/>
      <c r="CC148" s="1" t="str">
        <f t="shared" si="355"/>
        <v>Suisse</v>
      </c>
      <c r="CD148" s="1" t="str">
        <f t="shared" si="356"/>
        <v>Suisse</v>
      </c>
      <c r="CE148" s="1" t="str">
        <f t="shared" si="357"/>
        <v>Suisse</v>
      </c>
      <c r="CF148" s="1" t="str">
        <f t="shared" si="358"/>
        <v/>
      </c>
      <c r="CG148" s="1" t="str">
        <f t="shared" si="359"/>
        <v/>
      </c>
      <c r="CH148" s="1" t="str">
        <f t="shared" si="360"/>
        <v/>
      </c>
    </row>
    <row r="149" spans="1:86" ht="15.75" customHeight="1" x14ac:dyDescent="0.3">
      <c r="B149" s="747"/>
      <c r="C149" s="803"/>
      <c r="D149" s="793"/>
      <c r="E149" s="796"/>
      <c r="F149" s="796"/>
      <c r="G149" s="796"/>
      <c r="H149" s="796"/>
      <c r="I149" s="790"/>
      <c r="J149" s="721" t="s">
        <v>51</v>
      </c>
      <c r="K149" s="400" t="str">
        <f t="shared" si="380"/>
        <v>X</v>
      </c>
      <c r="L149" s="400" t="str">
        <f t="shared" si="381"/>
        <v>X</v>
      </c>
      <c r="M149" s="400" t="str">
        <f t="shared" si="382"/>
        <v>X</v>
      </c>
      <c r="N149" s="400" t="str">
        <f t="shared" si="383"/>
        <v/>
      </c>
      <c r="O149" s="400" t="str">
        <f t="shared" si="384"/>
        <v/>
      </c>
      <c r="P149" s="401" t="str">
        <f t="shared" si="385"/>
        <v/>
      </c>
      <c r="Q149" s="237" t="s">
        <v>61</v>
      </c>
      <c r="R149" s="583">
        <f>'2020'!G149</f>
        <v>615</v>
      </c>
      <c r="S149" s="584">
        <f>'2021'!G149</f>
        <v>629</v>
      </c>
      <c r="T149" s="584">
        <f>'2022'!G149</f>
        <v>822</v>
      </c>
      <c r="U149" s="584">
        <f>'2023'!G149</f>
        <v>0</v>
      </c>
      <c r="V149" s="584">
        <f>'2024'!G149</f>
        <v>0</v>
      </c>
      <c r="W149" s="585">
        <f>'2025'!G149</f>
        <v>0</v>
      </c>
      <c r="X149" s="619">
        <f>'2020'!H149</f>
        <v>615</v>
      </c>
      <c r="Y149" s="584">
        <f>'2021'!H149</f>
        <v>629</v>
      </c>
      <c r="Z149" s="584">
        <f>'2022'!H149</f>
        <v>822</v>
      </c>
      <c r="AA149" s="584">
        <f>'2023'!H149</f>
        <v>0</v>
      </c>
      <c r="AB149" s="584">
        <f>'2024'!H149</f>
        <v>0</v>
      </c>
      <c r="AC149" s="585">
        <f>'2025'!H149</f>
        <v>0</v>
      </c>
      <c r="AD149" s="421">
        <f t="shared" si="338"/>
        <v>0</v>
      </c>
      <c r="AE149" s="422">
        <f t="shared" si="339"/>
        <v>0.47058823529411764</v>
      </c>
      <c r="AF149" s="422">
        <f t="shared" si="268"/>
        <v>0.38442822384428221</v>
      </c>
      <c r="AG149" s="422">
        <f t="shared" si="340"/>
        <v>0</v>
      </c>
      <c r="AH149" s="422">
        <f t="shared" si="341"/>
        <v>0</v>
      </c>
      <c r="AI149" s="423">
        <f t="shared" si="342"/>
        <v>0</v>
      </c>
      <c r="AJ149" s="619">
        <f>'2020'!J149</f>
        <v>0</v>
      </c>
      <c r="AK149" s="584">
        <f>'2021'!J149</f>
        <v>296</v>
      </c>
      <c r="AL149" s="584">
        <f>'2022'!J149</f>
        <v>316</v>
      </c>
      <c r="AM149" s="584">
        <f>'2023'!J149</f>
        <v>0</v>
      </c>
      <c r="AN149" s="584">
        <f>'2024'!J149</f>
        <v>0</v>
      </c>
      <c r="AO149" s="585">
        <f>'2025'!J149</f>
        <v>0</v>
      </c>
      <c r="AP149" s="421">
        <f t="shared" si="353"/>
        <v>0.39186991869918697</v>
      </c>
      <c r="AQ149" s="422">
        <f t="shared" si="343"/>
        <v>0.49443561208267089</v>
      </c>
      <c r="AR149" s="422">
        <f t="shared" si="344"/>
        <v>0.4002433090024331</v>
      </c>
      <c r="AS149" s="422" t="str">
        <f t="shared" si="345"/>
        <v/>
      </c>
      <c r="AT149" s="422" t="str">
        <f t="shared" si="346"/>
        <v/>
      </c>
      <c r="AU149" s="423" t="str">
        <f t="shared" si="347"/>
        <v/>
      </c>
      <c r="AV149" s="619">
        <f>'2020'!L149</f>
        <v>241</v>
      </c>
      <c r="AW149" s="584">
        <f>'2021'!L149</f>
        <v>311</v>
      </c>
      <c r="AX149" s="584">
        <f>'2022'!L149</f>
        <v>329</v>
      </c>
      <c r="AY149" s="584">
        <f>'2023'!L149</f>
        <v>0</v>
      </c>
      <c r="AZ149" s="584">
        <f>'2024'!L149</f>
        <v>0</v>
      </c>
      <c r="BA149" s="585">
        <f>'2025'!L149</f>
        <v>0</v>
      </c>
      <c r="BB149" s="421">
        <f t="shared" si="354"/>
        <v>0</v>
      </c>
      <c r="BC149" s="422">
        <f t="shared" si="348"/>
        <v>0.58520900321543412</v>
      </c>
      <c r="BD149" s="422">
        <f t="shared" si="349"/>
        <v>0.49240121580547114</v>
      </c>
      <c r="BE149" s="422" t="str">
        <f t="shared" si="350"/>
        <v/>
      </c>
      <c r="BF149" s="422" t="str">
        <f t="shared" si="351"/>
        <v/>
      </c>
      <c r="BG149" s="423" t="str">
        <f t="shared" si="352"/>
        <v/>
      </c>
      <c r="BH149" s="732">
        <f>'2020'!N149</f>
        <v>0</v>
      </c>
      <c r="BI149" s="733">
        <f>'2021'!N149</f>
        <v>182</v>
      </c>
      <c r="BJ149" s="733">
        <f>'2022'!N149</f>
        <v>162</v>
      </c>
      <c r="BK149" s="733">
        <f>'2023'!N149</f>
        <v>0</v>
      </c>
      <c r="BL149" s="733">
        <f>'2024'!N149</f>
        <v>0</v>
      </c>
      <c r="BM149" s="734">
        <f>'2025'!N149</f>
        <v>0</v>
      </c>
      <c r="BN149" s="424" t="s">
        <v>21</v>
      </c>
      <c r="BO149" s="425" t="s">
        <v>21</v>
      </c>
      <c r="BP149" s="424" t="s">
        <v>21</v>
      </c>
      <c r="BQ149" s="425" t="s">
        <v>21</v>
      </c>
      <c r="BR149" s="426"/>
      <c r="BS149" s="427"/>
      <c r="BT149" s="426"/>
      <c r="BU149" s="428"/>
      <c r="CC149" s="1" t="str">
        <f t="shared" si="355"/>
        <v>Suisse</v>
      </c>
      <c r="CD149" s="1" t="str">
        <f t="shared" si="356"/>
        <v>Suisse</v>
      </c>
      <c r="CE149" s="1" t="str">
        <f t="shared" si="357"/>
        <v>Suisse</v>
      </c>
      <c r="CF149" s="1" t="str">
        <f t="shared" si="358"/>
        <v/>
      </c>
      <c r="CG149" s="1" t="str">
        <f t="shared" si="359"/>
        <v/>
      </c>
      <c r="CH149" s="1" t="str">
        <f t="shared" si="360"/>
        <v/>
      </c>
    </row>
    <row r="150" spans="1:86" ht="15.75" customHeight="1" x14ac:dyDescent="0.3">
      <c r="B150" s="747"/>
      <c r="C150" s="803"/>
      <c r="D150" s="793"/>
      <c r="E150" s="796"/>
      <c r="F150" s="796"/>
      <c r="G150" s="796"/>
      <c r="H150" s="796"/>
      <c r="I150" s="790"/>
      <c r="J150" s="721" t="s">
        <v>31</v>
      </c>
      <c r="K150" s="400" t="str">
        <f t="shared" ref="K150:P150" si="386">IF(R150=0,"","X")</f>
        <v>X</v>
      </c>
      <c r="L150" s="400" t="str">
        <f t="shared" si="386"/>
        <v>X</v>
      </c>
      <c r="M150" s="400" t="str">
        <f t="shared" si="386"/>
        <v/>
      </c>
      <c r="N150" s="400" t="str">
        <f t="shared" si="386"/>
        <v/>
      </c>
      <c r="O150" s="400" t="str">
        <f t="shared" si="386"/>
        <v/>
      </c>
      <c r="P150" s="401" t="str">
        <f t="shared" si="386"/>
        <v/>
      </c>
      <c r="Q150" s="237" t="s">
        <v>62</v>
      </c>
      <c r="R150" s="583">
        <f>'2020'!G150</f>
        <v>36</v>
      </c>
      <c r="S150" s="584">
        <f>'2021'!G150</f>
        <v>44</v>
      </c>
      <c r="T150" s="584">
        <f>'2022'!G150</f>
        <v>0</v>
      </c>
      <c r="U150" s="584">
        <f>'2023'!G150</f>
        <v>0</v>
      </c>
      <c r="V150" s="584">
        <f>'2024'!G150</f>
        <v>0</v>
      </c>
      <c r="W150" s="585">
        <f>'2025'!G150</f>
        <v>0</v>
      </c>
      <c r="X150" s="619">
        <f>'2020'!H150</f>
        <v>36</v>
      </c>
      <c r="Y150" s="584">
        <f>'2021'!H150</f>
        <v>44</v>
      </c>
      <c r="Z150" s="584">
        <f>'2022'!H150</f>
        <v>0</v>
      </c>
      <c r="AA150" s="584">
        <f>'2023'!H150</f>
        <v>0</v>
      </c>
      <c r="AB150" s="584">
        <f>'2024'!H150</f>
        <v>0</v>
      </c>
      <c r="AC150" s="585">
        <f>'2025'!H150</f>
        <v>0</v>
      </c>
      <c r="AD150" s="421">
        <f t="shared" ref="AD150:AI150" si="387">IF(R150="",0,IF(AJ150=0,0,AJ150/R150))</f>
        <v>0.5</v>
      </c>
      <c r="AE150" s="422">
        <f t="shared" si="387"/>
        <v>0.63636363636363635</v>
      </c>
      <c r="AF150" s="422">
        <f t="shared" si="387"/>
        <v>0</v>
      </c>
      <c r="AG150" s="422">
        <f t="shared" si="387"/>
        <v>0</v>
      </c>
      <c r="AH150" s="422">
        <f t="shared" si="387"/>
        <v>0</v>
      </c>
      <c r="AI150" s="423">
        <f t="shared" si="387"/>
        <v>0</v>
      </c>
      <c r="AJ150" s="619">
        <f>'2020'!J150</f>
        <v>18</v>
      </c>
      <c r="AK150" s="584">
        <f>'2021'!J150</f>
        <v>28</v>
      </c>
      <c r="AL150" s="584">
        <f>'2022'!J150</f>
        <v>0</v>
      </c>
      <c r="AM150" s="584">
        <f>'2023'!J150</f>
        <v>0</v>
      </c>
      <c r="AN150" s="584">
        <f>'2024'!J150</f>
        <v>0</v>
      </c>
      <c r="AO150" s="585">
        <f>'2025'!J150</f>
        <v>0</v>
      </c>
      <c r="AP150" s="421">
        <f t="shared" ref="AP150:AU150" si="388">IF(R150=0,"",IF(AV150="","",AV150/R150))</f>
        <v>0.47222222222222221</v>
      </c>
      <c r="AQ150" s="422">
        <f t="shared" si="388"/>
        <v>0.36363636363636365</v>
      </c>
      <c r="AR150" s="422" t="str">
        <f t="shared" si="388"/>
        <v/>
      </c>
      <c r="AS150" s="422" t="str">
        <f t="shared" si="388"/>
        <v/>
      </c>
      <c r="AT150" s="422" t="str">
        <f t="shared" si="388"/>
        <v/>
      </c>
      <c r="AU150" s="423" t="str">
        <f t="shared" si="388"/>
        <v/>
      </c>
      <c r="AV150" s="619">
        <f>'2020'!L150</f>
        <v>17</v>
      </c>
      <c r="AW150" s="584">
        <f>'2021'!L150</f>
        <v>16</v>
      </c>
      <c r="AX150" s="584">
        <f>'2022'!L150</f>
        <v>0</v>
      </c>
      <c r="AY150" s="584">
        <f>'2023'!L150</f>
        <v>0</v>
      </c>
      <c r="AZ150" s="584">
        <f>'2024'!L150</f>
        <v>0</v>
      </c>
      <c r="BA150" s="585">
        <f>'2025'!L150</f>
        <v>0</v>
      </c>
      <c r="BB150" s="421">
        <f t="shared" ref="BB150:BG150" si="389">IF(AV150=0,"",IF(BH150="-","",BH150/AV150))</f>
        <v>0.76470588235294112</v>
      </c>
      <c r="BC150" s="422">
        <f t="shared" si="389"/>
        <v>0.9375</v>
      </c>
      <c r="BD150" s="422" t="str">
        <f t="shared" si="389"/>
        <v/>
      </c>
      <c r="BE150" s="422" t="str">
        <f t="shared" si="389"/>
        <v/>
      </c>
      <c r="BF150" s="422" t="str">
        <f t="shared" si="389"/>
        <v/>
      </c>
      <c r="BG150" s="423" t="str">
        <f t="shared" si="389"/>
        <v/>
      </c>
      <c r="BH150" s="732">
        <f>'2020'!N150</f>
        <v>13</v>
      </c>
      <c r="BI150" s="733">
        <f>'2021'!N150</f>
        <v>15</v>
      </c>
      <c r="BJ150" s="733">
        <f>'2022'!N150</f>
        <v>0</v>
      </c>
      <c r="BK150" s="733">
        <f>'2023'!N150</f>
        <v>0</v>
      </c>
      <c r="BL150" s="733">
        <f>'2024'!N150</f>
        <v>0</v>
      </c>
      <c r="BM150" s="734">
        <f>'2025'!N150</f>
        <v>0</v>
      </c>
      <c r="BN150" s="424" t="s">
        <v>21</v>
      </c>
      <c r="BO150" s="425" t="s">
        <v>21</v>
      </c>
      <c r="BP150" s="424" t="s">
        <v>21</v>
      </c>
      <c r="BQ150" s="425" t="s">
        <v>21</v>
      </c>
      <c r="BR150" s="446">
        <v>40</v>
      </c>
      <c r="BS150" s="447">
        <v>40</v>
      </c>
      <c r="BT150" s="446">
        <v>4</v>
      </c>
      <c r="BU150" s="448">
        <v>4</v>
      </c>
      <c r="BW150" s="1" t="s">
        <v>199</v>
      </c>
      <c r="CC150" s="1" t="str">
        <f t="shared" ref="CC150:CH150" si="390">IF(K150&lt;&gt;"",$Q150,"")</f>
        <v>Frontière</v>
      </c>
      <c r="CD150" s="1" t="str">
        <f t="shared" si="390"/>
        <v>Frontière</v>
      </c>
      <c r="CE150" s="1" t="str">
        <f t="shared" si="390"/>
        <v/>
      </c>
      <c r="CF150" s="1" t="str">
        <f t="shared" si="390"/>
        <v/>
      </c>
      <c r="CG150" s="1" t="str">
        <f t="shared" si="390"/>
        <v/>
      </c>
      <c r="CH150" s="1" t="str">
        <f t="shared" si="390"/>
        <v/>
      </c>
    </row>
    <row r="151" spans="1:86" ht="15.75" customHeight="1" x14ac:dyDescent="0.3">
      <c r="B151" s="747"/>
      <c r="C151" s="803"/>
      <c r="D151" s="793"/>
      <c r="E151" s="796"/>
      <c r="F151" s="796"/>
      <c r="G151" s="796"/>
      <c r="H151" s="796"/>
      <c r="I151" s="790"/>
      <c r="J151" s="721" t="s">
        <v>166</v>
      </c>
      <c r="K151" s="400" t="str">
        <f t="shared" si="380"/>
        <v/>
      </c>
      <c r="L151" s="400" t="str">
        <f t="shared" si="381"/>
        <v/>
      </c>
      <c r="M151" s="400" t="str">
        <f t="shared" si="382"/>
        <v/>
      </c>
      <c r="N151" s="400" t="str">
        <f t="shared" si="383"/>
        <v/>
      </c>
      <c r="O151" s="400" t="str">
        <f t="shared" si="384"/>
        <v/>
      </c>
      <c r="P151" s="401" t="str">
        <f t="shared" si="385"/>
        <v/>
      </c>
      <c r="Q151" s="237" t="s">
        <v>203</v>
      </c>
      <c r="R151" s="583">
        <f>'2020'!G151</f>
        <v>0</v>
      </c>
      <c r="S151" s="584">
        <f>'2021'!G151</f>
        <v>0</v>
      </c>
      <c r="T151" s="584">
        <f>'2022'!G151</f>
        <v>0</v>
      </c>
      <c r="U151" s="584">
        <f>'2023'!G151</f>
        <v>0</v>
      </c>
      <c r="V151" s="584">
        <f>'2024'!G151</f>
        <v>0</v>
      </c>
      <c r="W151" s="585">
        <f>'2025'!G151</f>
        <v>0</v>
      </c>
      <c r="X151" s="619">
        <f>'2020'!H151</f>
        <v>0</v>
      </c>
      <c r="Y151" s="584">
        <f>'2021'!H151</f>
        <v>0</v>
      </c>
      <c r="Z151" s="584">
        <f>'2022'!H151</f>
        <v>0</v>
      </c>
      <c r="AA151" s="584">
        <f>'2023'!H151</f>
        <v>0</v>
      </c>
      <c r="AB151" s="584">
        <f>'2024'!H151</f>
        <v>0</v>
      </c>
      <c r="AC151" s="585">
        <f>'2025'!H151</f>
        <v>0</v>
      </c>
      <c r="AD151" s="421">
        <f t="shared" si="338"/>
        <v>0</v>
      </c>
      <c r="AE151" s="422">
        <f t="shared" si="339"/>
        <v>0</v>
      </c>
      <c r="AF151" s="422">
        <f t="shared" si="268"/>
        <v>0</v>
      </c>
      <c r="AG151" s="422">
        <f t="shared" si="340"/>
        <v>0</v>
      </c>
      <c r="AH151" s="422">
        <f t="shared" si="341"/>
        <v>0</v>
      </c>
      <c r="AI151" s="423">
        <f t="shared" si="342"/>
        <v>0</v>
      </c>
      <c r="AJ151" s="619">
        <f>'2020'!J151</f>
        <v>0</v>
      </c>
      <c r="AK151" s="584">
        <f>'2021'!J151</f>
        <v>0</v>
      </c>
      <c r="AL151" s="584">
        <f>'2022'!J151</f>
        <v>0</v>
      </c>
      <c r="AM151" s="584">
        <f>'2023'!J151</f>
        <v>0</v>
      </c>
      <c r="AN151" s="584">
        <f>'2024'!J151</f>
        <v>0</v>
      </c>
      <c r="AO151" s="585">
        <f>'2025'!J151</f>
        <v>0</v>
      </c>
      <c r="AP151" s="421" t="str">
        <f t="shared" si="353"/>
        <v/>
      </c>
      <c r="AQ151" s="422" t="str">
        <f t="shared" si="343"/>
        <v/>
      </c>
      <c r="AR151" s="422" t="str">
        <f t="shared" si="344"/>
        <v/>
      </c>
      <c r="AS151" s="422" t="str">
        <f t="shared" si="345"/>
        <v/>
      </c>
      <c r="AT151" s="422" t="str">
        <f t="shared" si="346"/>
        <v/>
      </c>
      <c r="AU151" s="423" t="str">
        <f t="shared" si="347"/>
        <v/>
      </c>
      <c r="AV151" s="619">
        <f>'2020'!L151</f>
        <v>0</v>
      </c>
      <c r="AW151" s="584">
        <f>'2021'!L151</f>
        <v>0</v>
      </c>
      <c r="AX151" s="584">
        <f>'2022'!L151</f>
        <v>0</v>
      </c>
      <c r="AY151" s="584">
        <f>'2023'!L151</f>
        <v>0</v>
      </c>
      <c r="AZ151" s="584">
        <f>'2024'!L151</f>
        <v>0</v>
      </c>
      <c r="BA151" s="585">
        <f>'2025'!L151</f>
        <v>0</v>
      </c>
      <c r="BB151" s="421" t="str">
        <f t="shared" si="354"/>
        <v/>
      </c>
      <c r="BC151" s="422" t="str">
        <f t="shared" si="348"/>
        <v/>
      </c>
      <c r="BD151" s="422" t="str">
        <f t="shared" si="349"/>
        <v/>
      </c>
      <c r="BE151" s="422" t="str">
        <f t="shared" si="350"/>
        <v/>
      </c>
      <c r="BF151" s="422" t="str">
        <f t="shared" si="351"/>
        <v/>
      </c>
      <c r="BG151" s="423" t="str">
        <f t="shared" si="352"/>
        <v/>
      </c>
      <c r="BH151" s="732">
        <f>'2020'!N151</f>
        <v>0</v>
      </c>
      <c r="BI151" s="733">
        <f>'2021'!N151</f>
        <v>0</v>
      </c>
      <c r="BJ151" s="733">
        <f>'2022'!N151</f>
        <v>0</v>
      </c>
      <c r="BK151" s="733">
        <f>'2023'!N151</f>
        <v>0</v>
      </c>
      <c r="BL151" s="733">
        <f>'2024'!N151</f>
        <v>0</v>
      </c>
      <c r="BM151" s="734">
        <f>'2025'!N151</f>
        <v>0</v>
      </c>
      <c r="BN151" s="424"/>
      <c r="BO151" s="425"/>
      <c r="BP151" s="424"/>
      <c r="BQ151" s="425"/>
      <c r="BR151" s="426"/>
      <c r="BS151" s="427"/>
      <c r="BT151" s="426"/>
      <c r="BU151" s="428"/>
      <c r="CC151" s="1" t="str">
        <f t="shared" si="355"/>
        <v/>
      </c>
      <c r="CD151" s="1" t="str">
        <f t="shared" si="356"/>
        <v/>
      </c>
      <c r="CE151" s="1" t="str">
        <f t="shared" si="357"/>
        <v/>
      </c>
      <c r="CF151" s="1" t="str">
        <f t="shared" si="358"/>
        <v/>
      </c>
      <c r="CG151" s="1" t="str">
        <f t="shared" si="359"/>
        <v/>
      </c>
      <c r="CH151" s="1" t="str">
        <f t="shared" si="360"/>
        <v/>
      </c>
    </row>
    <row r="152" spans="1:86" ht="15.75" customHeight="1" x14ac:dyDescent="0.3">
      <c r="B152" s="747"/>
      <c r="C152" s="803"/>
      <c r="D152" s="793"/>
      <c r="E152" s="796"/>
      <c r="F152" s="796"/>
      <c r="G152" s="796"/>
      <c r="H152" s="796"/>
      <c r="I152" s="790"/>
      <c r="J152" s="721" t="s">
        <v>166</v>
      </c>
      <c r="K152" s="400" t="str">
        <f t="shared" si="380"/>
        <v/>
      </c>
      <c r="L152" s="400" t="str">
        <f t="shared" si="381"/>
        <v/>
      </c>
      <c r="M152" s="400" t="str">
        <f t="shared" si="382"/>
        <v/>
      </c>
      <c r="N152" s="400" t="str">
        <f t="shared" si="383"/>
        <v/>
      </c>
      <c r="O152" s="400" t="str">
        <f t="shared" si="384"/>
        <v/>
      </c>
      <c r="P152" s="401" t="str">
        <f t="shared" si="385"/>
        <v/>
      </c>
      <c r="Q152" s="237" t="s">
        <v>203</v>
      </c>
      <c r="R152" s="583">
        <f>'2020'!G152</f>
        <v>0</v>
      </c>
      <c r="S152" s="584">
        <f>'2021'!G152</f>
        <v>0</v>
      </c>
      <c r="T152" s="584">
        <f>'2022'!G152</f>
        <v>0</v>
      </c>
      <c r="U152" s="584">
        <f>'2023'!G152</f>
        <v>0</v>
      </c>
      <c r="V152" s="584">
        <f>'2024'!G152</f>
        <v>0</v>
      </c>
      <c r="W152" s="585">
        <f>'2025'!G152</f>
        <v>0</v>
      </c>
      <c r="X152" s="619">
        <f>'2020'!H152</f>
        <v>0</v>
      </c>
      <c r="Y152" s="584">
        <f>'2021'!H152</f>
        <v>0</v>
      </c>
      <c r="Z152" s="584">
        <f>'2022'!H152</f>
        <v>0</v>
      </c>
      <c r="AA152" s="584">
        <f>'2023'!H152</f>
        <v>0</v>
      </c>
      <c r="AB152" s="584">
        <f>'2024'!H152</f>
        <v>0</v>
      </c>
      <c r="AC152" s="585">
        <f>'2025'!H152</f>
        <v>0</v>
      </c>
      <c r="AD152" s="421">
        <f t="shared" si="338"/>
        <v>0</v>
      </c>
      <c r="AE152" s="422">
        <f t="shared" si="339"/>
        <v>0</v>
      </c>
      <c r="AF152" s="422">
        <f t="shared" si="268"/>
        <v>0</v>
      </c>
      <c r="AG152" s="422">
        <f t="shared" si="340"/>
        <v>0</v>
      </c>
      <c r="AH152" s="422">
        <f t="shared" si="341"/>
        <v>0</v>
      </c>
      <c r="AI152" s="423">
        <f t="shared" si="342"/>
        <v>0</v>
      </c>
      <c r="AJ152" s="619">
        <f>'2020'!J152</f>
        <v>0</v>
      </c>
      <c r="AK152" s="584">
        <f>'2021'!J152</f>
        <v>0</v>
      </c>
      <c r="AL152" s="584">
        <f>'2022'!J152</f>
        <v>0</v>
      </c>
      <c r="AM152" s="584">
        <f>'2023'!J152</f>
        <v>0</v>
      </c>
      <c r="AN152" s="584">
        <f>'2024'!J152</f>
        <v>0</v>
      </c>
      <c r="AO152" s="585">
        <f>'2025'!J152</f>
        <v>0</v>
      </c>
      <c r="AP152" s="421" t="str">
        <f t="shared" si="353"/>
        <v/>
      </c>
      <c r="AQ152" s="422" t="str">
        <f t="shared" si="343"/>
        <v/>
      </c>
      <c r="AR152" s="422" t="str">
        <f t="shared" si="344"/>
        <v/>
      </c>
      <c r="AS152" s="422" t="str">
        <f t="shared" si="345"/>
        <v/>
      </c>
      <c r="AT152" s="422" t="str">
        <f t="shared" si="346"/>
        <v/>
      </c>
      <c r="AU152" s="423" t="str">
        <f t="shared" si="347"/>
        <v/>
      </c>
      <c r="AV152" s="619">
        <f>'2020'!L152</f>
        <v>0</v>
      </c>
      <c r="AW152" s="584">
        <f>'2021'!L152</f>
        <v>0</v>
      </c>
      <c r="AX152" s="584">
        <f>'2022'!L152</f>
        <v>0</v>
      </c>
      <c r="AY152" s="584">
        <f>'2023'!L152</f>
        <v>0</v>
      </c>
      <c r="AZ152" s="584">
        <f>'2024'!L152</f>
        <v>0</v>
      </c>
      <c r="BA152" s="585">
        <f>'2025'!L152</f>
        <v>0</v>
      </c>
      <c r="BB152" s="421" t="str">
        <f t="shared" si="354"/>
        <v/>
      </c>
      <c r="BC152" s="422" t="str">
        <f t="shared" si="348"/>
        <v/>
      </c>
      <c r="BD152" s="422" t="str">
        <f t="shared" si="349"/>
        <v/>
      </c>
      <c r="BE152" s="422" t="str">
        <f t="shared" si="350"/>
        <v/>
      </c>
      <c r="BF152" s="422" t="str">
        <f t="shared" si="351"/>
        <v/>
      </c>
      <c r="BG152" s="423" t="str">
        <f t="shared" si="352"/>
        <v/>
      </c>
      <c r="BH152" s="732">
        <f>'2020'!N152</f>
        <v>0</v>
      </c>
      <c r="BI152" s="733">
        <f>'2021'!N152</f>
        <v>0</v>
      </c>
      <c r="BJ152" s="733">
        <f>'2022'!N152</f>
        <v>0</v>
      </c>
      <c r="BK152" s="733">
        <f>'2023'!N152</f>
        <v>0</v>
      </c>
      <c r="BL152" s="733">
        <f>'2024'!N152</f>
        <v>0</v>
      </c>
      <c r="BM152" s="734">
        <f>'2025'!N152</f>
        <v>0</v>
      </c>
      <c r="BN152" s="424"/>
      <c r="BO152" s="425"/>
      <c r="BP152" s="424"/>
      <c r="BQ152" s="425"/>
      <c r="BR152" s="426"/>
      <c r="BS152" s="427"/>
      <c r="BT152" s="426"/>
      <c r="BU152" s="428"/>
      <c r="CC152" s="1" t="str">
        <f t="shared" si="355"/>
        <v/>
      </c>
      <c r="CD152" s="1" t="str">
        <f t="shared" si="356"/>
        <v/>
      </c>
      <c r="CE152" s="1" t="str">
        <f t="shared" si="357"/>
        <v/>
      </c>
      <c r="CF152" s="1" t="str">
        <f t="shared" si="358"/>
        <v/>
      </c>
      <c r="CG152" s="1" t="str">
        <f t="shared" si="359"/>
        <v/>
      </c>
      <c r="CH152" s="1" t="str">
        <f t="shared" si="360"/>
        <v/>
      </c>
    </row>
    <row r="153" spans="1:86" ht="15.75" customHeight="1" x14ac:dyDescent="0.3">
      <c r="B153" s="747"/>
      <c r="C153" s="803"/>
      <c r="D153" s="793"/>
      <c r="E153" s="796"/>
      <c r="F153" s="796"/>
      <c r="G153" s="796"/>
      <c r="H153" s="796"/>
      <c r="I153" s="790"/>
      <c r="J153" s="721" t="s">
        <v>52</v>
      </c>
      <c r="K153" s="400" t="str">
        <f t="shared" si="380"/>
        <v>X</v>
      </c>
      <c r="L153" s="400" t="str">
        <f t="shared" si="381"/>
        <v/>
      </c>
      <c r="M153" s="400" t="str">
        <f t="shared" si="382"/>
        <v/>
      </c>
      <c r="N153" s="400" t="str">
        <f t="shared" si="383"/>
        <v/>
      </c>
      <c r="O153" s="400" t="str">
        <f t="shared" si="384"/>
        <v/>
      </c>
      <c r="P153" s="401" t="str">
        <f t="shared" si="385"/>
        <v/>
      </c>
      <c r="Q153" s="237" t="s">
        <v>61</v>
      </c>
      <c r="R153" s="583">
        <f>'2020'!G153</f>
        <v>316</v>
      </c>
      <c r="S153" s="584">
        <f>'2021'!G153</f>
        <v>0</v>
      </c>
      <c r="T153" s="584">
        <f>'2022'!G153</f>
        <v>0</v>
      </c>
      <c r="U153" s="584">
        <f>'2023'!G153</f>
        <v>0</v>
      </c>
      <c r="V153" s="584">
        <f>'2024'!G153</f>
        <v>0</v>
      </c>
      <c r="W153" s="585">
        <f>'2025'!G153</f>
        <v>0</v>
      </c>
      <c r="X153" s="619">
        <f>'2020'!H153</f>
        <v>316</v>
      </c>
      <c r="Y153" s="584">
        <f>'2021'!H153</f>
        <v>0</v>
      </c>
      <c r="Z153" s="584">
        <f>'2022'!H153</f>
        <v>0</v>
      </c>
      <c r="AA153" s="584">
        <f>'2023'!H153</f>
        <v>0</v>
      </c>
      <c r="AB153" s="584">
        <f>'2024'!H153</f>
        <v>0</v>
      </c>
      <c r="AC153" s="585">
        <f>'2025'!H153</f>
        <v>0</v>
      </c>
      <c r="AD153" s="421">
        <f t="shared" si="338"/>
        <v>0.2848101265822785</v>
      </c>
      <c r="AE153" s="422">
        <f t="shared" si="339"/>
        <v>0</v>
      </c>
      <c r="AF153" s="422">
        <f t="shared" si="268"/>
        <v>0</v>
      </c>
      <c r="AG153" s="422">
        <f t="shared" si="340"/>
        <v>0</v>
      </c>
      <c r="AH153" s="422">
        <f t="shared" si="341"/>
        <v>0</v>
      </c>
      <c r="AI153" s="423">
        <f t="shared" si="342"/>
        <v>0</v>
      </c>
      <c r="AJ153" s="619">
        <f>'2020'!J153</f>
        <v>90</v>
      </c>
      <c r="AK153" s="584">
        <f>'2021'!J153</f>
        <v>0</v>
      </c>
      <c r="AL153" s="584">
        <f>'2022'!J153</f>
        <v>0</v>
      </c>
      <c r="AM153" s="584">
        <f>'2023'!J153</f>
        <v>0</v>
      </c>
      <c r="AN153" s="584">
        <f>'2024'!J153</f>
        <v>0</v>
      </c>
      <c r="AO153" s="585">
        <f>'2025'!J153</f>
        <v>0</v>
      </c>
      <c r="AP153" s="421">
        <f t="shared" si="353"/>
        <v>0.39240506329113922</v>
      </c>
      <c r="AQ153" s="422" t="str">
        <f t="shared" si="343"/>
        <v/>
      </c>
      <c r="AR153" s="422" t="str">
        <f t="shared" si="344"/>
        <v/>
      </c>
      <c r="AS153" s="422" t="str">
        <f t="shared" si="345"/>
        <v/>
      </c>
      <c r="AT153" s="422" t="str">
        <f t="shared" si="346"/>
        <v/>
      </c>
      <c r="AU153" s="423" t="str">
        <f t="shared" si="347"/>
        <v/>
      </c>
      <c r="AV153" s="619">
        <f>'2020'!L153</f>
        <v>124</v>
      </c>
      <c r="AW153" s="584">
        <f>'2021'!L153</f>
        <v>0</v>
      </c>
      <c r="AX153" s="584">
        <f>'2022'!L153</f>
        <v>0</v>
      </c>
      <c r="AY153" s="584">
        <f>'2023'!L153</f>
        <v>0</v>
      </c>
      <c r="AZ153" s="584">
        <f>'2024'!L153</f>
        <v>0</v>
      </c>
      <c r="BA153" s="585">
        <f>'2025'!L153</f>
        <v>0</v>
      </c>
      <c r="BB153" s="421">
        <f t="shared" si="354"/>
        <v>0</v>
      </c>
      <c r="BC153" s="422" t="str">
        <f t="shared" si="348"/>
        <v/>
      </c>
      <c r="BD153" s="422" t="str">
        <f t="shared" si="349"/>
        <v/>
      </c>
      <c r="BE153" s="422" t="str">
        <f t="shared" si="350"/>
        <v/>
      </c>
      <c r="BF153" s="422" t="str">
        <f t="shared" si="351"/>
        <v/>
      </c>
      <c r="BG153" s="423" t="str">
        <f t="shared" si="352"/>
        <v/>
      </c>
      <c r="BH153" s="732">
        <f>'2020'!N153</f>
        <v>0</v>
      </c>
      <c r="BI153" s="733">
        <f>'2021'!N153</f>
        <v>0</v>
      </c>
      <c r="BJ153" s="733">
        <f>'2022'!N153</f>
        <v>0</v>
      </c>
      <c r="BK153" s="733">
        <f>'2023'!N153</f>
        <v>0</v>
      </c>
      <c r="BL153" s="733">
        <f>'2024'!N153</f>
        <v>0</v>
      </c>
      <c r="BM153" s="734">
        <f>'2025'!N153</f>
        <v>0</v>
      </c>
      <c r="BN153" s="424" t="s">
        <v>21</v>
      </c>
      <c r="BO153" s="425" t="s">
        <v>21</v>
      </c>
      <c r="BP153" s="424" t="s">
        <v>21</v>
      </c>
      <c r="BQ153" s="425" t="s">
        <v>21</v>
      </c>
      <c r="BR153" s="426"/>
      <c r="BS153" s="427"/>
      <c r="BT153" s="426"/>
      <c r="BU153" s="428"/>
      <c r="CC153" s="1" t="str">
        <f t="shared" si="355"/>
        <v>Suisse</v>
      </c>
      <c r="CD153" s="1" t="str">
        <f t="shared" si="356"/>
        <v/>
      </c>
      <c r="CE153" s="1" t="str">
        <f t="shared" si="357"/>
        <v/>
      </c>
      <c r="CF153" s="1" t="str">
        <f t="shared" si="358"/>
        <v/>
      </c>
      <c r="CG153" s="1" t="str">
        <f t="shared" si="359"/>
        <v/>
      </c>
      <c r="CH153" s="1" t="str">
        <f t="shared" si="360"/>
        <v/>
      </c>
    </row>
    <row r="154" spans="1:86" ht="15.75" customHeight="1" x14ac:dyDescent="0.3">
      <c r="B154" s="747"/>
      <c r="C154" s="803"/>
      <c r="D154" s="793"/>
      <c r="E154" s="796"/>
      <c r="F154" s="796"/>
      <c r="G154" s="796"/>
      <c r="H154" s="796"/>
      <c r="I154" s="790"/>
      <c r="J154" s="721" t="s">
        <v>166</v>
      </c>
      <c r="K154" s="400" t="str">
        <f t="shared" si="380"/>
        <v/>
      </c>
      <c r="L154" s="400" t="str">
        <f t="shared" si="381"/>
        <v/>
      </c>
      <c r="M154" s="400" t="str">
        <f t="shared" si="382"/>
        <v/>
      </c>
      <c r="N154" s="400" t="str">
        <f t="shared" si="383"/>
        <v/>
      </c>
      <c r="O154" s="400" t="str">
        <f t="shared" si="384"/>
        <v/>
      </c>
      <c r="P154" s="401" t="str">
        <f t="shared" si="385"/>
        <v/>
      </c>
      <c r="Q154" s="237"/>
      <c r="R154" s="583">
        <f>'2020'!G154</f>
        <v>0</v>
      </c>
      <c r="S154" s="584">
        <f>'2021'!G154</f>
        <v>0</v>
      </c>
      <c r="T154" s="584">
        <f>'2022'!G154</f>
        <v>0</v>
      </c>
      <c r="U154" s="584">
        <f>'2023'!G154</f>
        <v>0</v>
      </c>
      <c r="V154" s="584">
        <f>'2024'!G154</f>
        <v>0</v>
      </c>
      <c r="W154" s="585">
        <f>'2025'!G154</f>
        <v>0</v>
      </c>
      <c r="X154" s="619">
        <f>'2020'!H154</f>
        <v>0</v>
      </c>
      <c r="Y154" s="584">
        <f>'2021'!H154</f>
        <v>0</v>
      </c>
      <c r="Z154" s="584">
        <f>'2022'!H154</f>
        <v>0</v>
      </c>
      <c r="AA154" s="584">
        <f>'2023'!H154</f>
        <v>0</v>
      </c>
      <c r="AB154" s="584">
        <f>'2024'!H154</f>
        <v>0</v>
      </c>
      <c r="AC154" s="585">
        <f>'2025'!H154</f>
        <v>0</v>
      </c>
      <c r="AD154" s="421">
        <f t="shared" si="338"/>
        <v>0</v>
      </c>
      <c r="AE154" s="422">
        <f t="shared" si="339"/>
        <v>0</v>
      </c>
      <c r="AF154" s="422">
        <f t="shared" si="268"/>
        <v>0</v>
      </c>
      <c r="AG154" s="422">
        <f t="shared" si="340"/>
        <v>0</v>
      </c>
      <c r="AH154" s="422">
        <f t="shared" si="341"/>
        <v>0</v>
      </c>
      <c r="AI154" s="423">
        <f t="shared" si="342"/>
        <v>0</v>
      </c>
      <c r="AJ154" s="619">
        <f>'2020'!J154</f>
        <v>0</v>
      </c>
      <c r="AK154" s="584">
        <f>'2021'!J154</f>
        <v>0</v>
      </c>
      <c r="AL154" s="584">
        <f>'2022'!J154</f>
        <v>0</v>
      </c>
      <c r="AM154" s="584">
        <f>'2023'!J154</f>
        <v>0</v>
      </c>
      <c r="AN154" s="584">
        <f>'2024'!J154</f>
        <v>0</v>
      </c>
      <c r="AO154" s="585">
        <f>'2025'!J154</f>
        <v>0</v>
      </c>
      <c r="AP154" s="421" t="str">
        <f t="shared" si="353"/>
        <v/>
      </c>
      <c r="AQ154" s="422" t="str">
        <f t="shared" si="343"/>
        <v/>
      </c>
      <c r="AR154" s="422" t="str">
        <f t="shared" si="344"/>
        <v/>
      </c>
      <c r="AS154" s="422" t="str">
        <f t="shared" si="345"/>
        <v/>
      </c>
      <c r="AT154" s="422" t="str">
        <f t="shared" si="346"/>
        <v/>
      </c>
      <c r="AU154" s="423" t="str">
        <f t="shared" si="347"/>
        <v/>
      </c>
      <c r="AV154" s="619">
        <f>'2020'!L154</f>
        <v>0</v>
      </c>
      <c r="AW154" s="584">
        <f>'2021'!L154</f>
        <v>0</v>
      </c>
      <c r="AX154" s="584">
        <f>'2022'!L154</f>
        <v>0</v>
      </c>
      <c r="AY154" s="584">
        <f>'2023'!L154</f>
        <v>0</v>
      </c>
      <c r="AZ154" s="584">
        <f>'2024'!L154</f>
        <v>0</v>
      </c>
      <c r="BA154" s="585">
        <f>'2025'!L154</f>
        <v>0</v>
      </c>
      <c r="BB154" s="421" t="str">
        <f t="shared" si="354"/>
        <v/>
      </c>
      <c r="BC154" s="422" t="str">
        <f t="shared" si="348"/>
        <v/>
      </c>
      <c r="BD154" s="422" t="str">
        <f t="shared" si="349"/>
        <v/>
      </c>
      <c r="BE154" s="422" t="str">
        <f t="shared" si="350"/>
        <v/>
      </c>
      <c r="BF154" s="422" t="str">
        <f t="shared" si="351"/>
        <v/>
      </c>
      <c r="BG154" s="423" t="str">
        <f t="shared" si="352"/>
        <v/>
      </c>
      <c r="BH154" s="732">
        <f>'2020'!N154</f>
        <v>0</v>
      </c>
      <c r="BI154" s="733">
        <f>'2021'!N154</f>
        <v>0</v>
      </c>
      <c r="BJ154" s="733">
        <f>'2022'!N154</f>
        <v>0</v>
      </c>
      <c r="BK154" s="733">
        <f>'2023'!N154</f>
        <v>0</v>
      </c>
      <c r="BL154" s="733">
        <f>'2024'!N154</f>
        <v>0</v>
      </c>
      <c r="BM154" s="734">
        <f>'2025'!N154</f>
        <v>0</v>
      </c>
      <c r="BN154" s="424"/>
      <c r="BO154" s="425"/>
      <c r="BP154" s="424"/>
      <c r="BQ154" s="425"/>
      <c r="BR154" s="426"/>
      <c r="BS154" s="427"/>
      <c r="BT154" s="426"/>
      <c r="BU154" s="428"/>
      <c r="CC154" s="1" t="str">
        <f t="shared" si="355"/>
        <v/>
      </c>
      <c r="CD154" s="1" t="str">
        <f t="shared" si="356"/>
        <v/>
      </c>
      <c r="CE154" s="1" t="str">
        <f t="shared" si="357"/>
        <v/>
      </c>
      <c r="CF154" s="1" t="str">
        <f t="shared" si="358"/>
        <v/>
      </c>
      <c r="CG154" s="1" t="str">
        <f t="shared" si="359"/>
        <v/>
      </c>
      <c r="CH154" s="1" t="str">
        <f t="shared" si="360"/>
        <v/>
      </c>
    </row>
    <row r="155" spans="1:86" ht="15.75" customHeight="1" x14ac:dyDescent="0.3">
      <c r="B155" s="747"/>
      <c r="C155" s="803"/>
      <c r="D155" s="793"/>
      <c r="E155" s="796"/>
      <c r="F155" s="796"/>
      <c r="G155" s="796"/>
      <c r="H155" s="796"/>
      <c r="I155" s="790"/>
      <c r="J155" s="721" t="s">
        <v>166</v>
      </c>
      <c r="K155" s="400" t="str">
        <f t="shared" si="380"/>
        <v/>
      </c>
      <c r="L155" s="400" t="str">
        <f t="shared" si="381"/>
        <v/>
      </c>
      <c r="M155" s="400" t="str">
        <f t="shared" si="382"/>
        <v/>
      </c>
      <c r="N155" s="400" t="str">
        <f t="shared" si="383"/>
        <v/>
      </c>
      <c r="O155" s="400" t="str">
        <f t="shared" si="384"/>
        <v/>
      </c>
      <c r="P155" s="401" t="str">
        <f t="shared" si="385"/>
        <v/>
      </c>
      <c r="Q155" s="237"/>
      <c r="R155" s="583">
        <f>'2020'!G155</f>
        <v>0</v>
      </c>
      <c r="S155" s="584">
        <f>'2021'!G155</f>
        <v>0</v>
      </c>
      <c r="T155" s="584">
        <f>'2022'!G155</f>
        <v>0</v>
      </c>
      <c r="U155" s="584">
        <f>'2023'!G155</f>
        <v>0</v>
      </c>
      <c r="V155" s="584">
        <f>'2024'!G155</f>
        <v>0</v>
      </c>
      <c r="W155" s="585">
        <f>'2025'!G155</f>
        <v>0</v>
      </c>
      <c r="X155" s="619">
        <f>'2020'!H155</f>
        <v>0</v>
      </c>
      <c r="Y155" s="584">
        <f>'2021'!H155</f>
        <v>0</v>
      </c>
      <c r="Z155" s="584">
        <f>'2022'!H155</f>
        <v>0</v>
      </c>
      <c r="AA155" s="584">
        <f>'2023'!H155</f>
        <v>0</v>
      </c>
      <c r="AB155" s="584">
        <f>'2024'!H155</f>
        <v>0</v>
      </c>
      <c r="AC155" s="585">
        <f>'2025'!H155</f>
        <v>0</v>
      </c>
      <c r="AD155" s="421">
        <f t="shared" si="338"/>
        <v>0</v>
      </c>
      <c r="AE155" s="422">
        <f t="shared" si="339"/>
        <v>0</v>
      </c>
      <c r="AF155" s="422">
        <f t="shared" si="268"/>
        <v>0</v>
      </c>
      <c r="AG155" s="422">
        <f t="shared" si="340"/>
        <v>0</v>
      </c>
      <c r="AH155" s="422">
        <f t="shared" si="341"/>
        <v>0</v>
      </c>
      <c r="AI155" s="423">
        <f t="shared" si="342"/>
        <v>0</v>
      </c>
      <c r="AJ155" s="619">
        <f>'2020'!J155</f>
        <v>0</v>
      </c>
      <c r="AK155" s="584">
        <f>'2021'!J155</f>
        <v>0</v>
      </c>
      <c r="AL155" s="584">
        <f>'2022'!J155</f>
        <v>0</v>
      </c>
      <c r="AM155" s="584">
        <f>'2023'!J155</f>
        <v>0</v>
      </c>
      <c r="AN155" s="584">
        <f>'2024'!J155</f>
        <v>0</v>
      </c>
      <c r="AO155" s="585">
        <f>'2025'!J155</f>
        <v>0</v>
      </c>
      <c r="AP155" s="421" t="str">
        <f t="shared" si="353"/>
        <v/>
      </c>
      <c r="AQ155" s="422" t="str">
        <f t="shared" si="343"/>
        <v/>
      </c>
      <c r="AR155" s="422" t="str">
        <f t="shared" si="344"/>
        <v/>
      </c>
      <c r="AS155" s="422" t="str">
        <f t="shared" si="345"/>
        <v/>
      </c>
      <c r="AT155" s="422" t="str">
        <f t="shared" si="346"/>
        <v/>
      </c>
      <c r="AU155" s="423" t="str">
        <f t="shared" si="347"/>
        <v/>
      </c>
      <c r="AV155" s="619">
        <f>'2020'!L155</f>
        <v>0</v>
      </c>
      <c r="AW155" s="584">
        <f>'2021'!L155</f>
        <v>0</v>
      </c>
      <c r="AX155" s="584">
        <f>'2022'!L155</f>
        <v>0</v>
      </c>
      <c r="AY155" s="584">
        <f>'2023'!L155</f>
        <v>0</v>
      </c>
      <c r="AZ155" s="584">
        <f>'2024'!L155</f>
        <v>0</v>
      </c>
      <c r="BA155" s="585">
        <f>'2025'!L155</f>
        <v>0</v>
      </c>
      <c r="BB155" s="421" t="str">
        <f t="shared" si="354"/>
        <v/>
      </c>
      <c r="BC155" s="422" t="str">
        <f t="shared" si="348"/>
        <v/>
      </c>
      <c r="BD155" s="422" t="str">
        <f t="shared" si="349"/>
        <v/>
      </c>
      <c r="BE155" s="422" t="str">
        <f t="shared" si="350"/>
        <v/>
      </c>
      <c r="BF155" s="422" t="str">
        <f t="shared" si="351"/>
        <v/>
      </c>
      <c r="BG155" s="423" t="str">
        <f t="shared" si="352"/>
        <v/>
      </c>
      <c r="BH155" s="732">
        <f>'2020'!N155</f>
        <v>0</v>
      </c>
      <c r="BI155" s="733">
        <f>'2021'!N155</f>
        <v>0</v>
      </c>
      <c r="BJ155" s="733">
        <f>'2022'!N155</f>
        <v>0</v>
      </c>
      <c r="BK155" s="733">
        <f>'2023'!N155</f>
        <v>0</v>
      </c>
      <c r="BL155" s="733">
        <f>'2024'!N155</f>
        <v>0</v>
      </c>
      <c r="BM155" s="734">
        <f>'2025'!N155</f>
        <v>0</v>
      </c>
      <c r="BN155" s="424"/>
      <c r="BO155" s="425"/>
      <c r="BP155" s="424"/>
      <c r="BQ155" s="425"/>
      <c r="BR155" s="426"/>
      <c r="BS155" s="427"/>
      <c r="BT155" s="426"/>
      <c r="BU155" s="428"/>
      <c r="CC155" s="1" t="str">
        <f t="shared" si="355"/>
        <v/>
      </c>
      <c r="CD155" s="1" t="str">
        <f t="shared" si="356"/>
        <v/>
      </c>
      <c r="CE155" s="1" t="str">
        <f t="shared" si="357"/>
        <v/>
      </c>
      <c r="CF155" s="1" t="str">
        <f t="shared" si="358"/>
        <v/>
      </c>
      <c r="CG155" s="1" t="str">
        <f t="shared" si="359"/>
        <v/>
      </c>
      <c r="CH155" s="1" t="str">
        <f t="shared" si="360"/>
        <v/>
      </c>
    </row>
    <row r="156" spans="1:86" ht="15.75" customHeight="1" x14ac:dyDescent="0.3">
      <c r="B156" s="747"/>
      <c r="C156" s="803"/>
      <c r="D156" s="793"/>
      <c r="E156" s="796"/>
      <c r="F156" s="796"/>
      <c r="G156" s="796"/>
      <c r="H156" s="796"/>
      <c r="I156" s="790"/>
      <c r="J156" s="721" t="s">
        <v>166</v>
      </c>
      <c r="K156" s="400" t="str">
        <f t="shared" si="380"/>
        <v/>
      </c>
      <c r="L156" s="400" t="str">
        <f t="shared" si="381"/>
        <v/>
      </c>
      <c r="M156" s="400" t="str">
        <f t="shared" si="382"/>
        <v/>
      </c>
      <c r="N156" s="400" t="str">
        <f t="shared" si="383"/>
        <v/>
      </c>
      <c r="O156" s="400" t="str">
        <f t="shared" si="384"/>
        <v/>
      </c>
      <c r="P156" s="401" t="str">
        <f t="shared" si="385"/>
        <v/>
      </c>
      <c r="Q156" s="237"/>
      <c r="R156" s="583">
        <f>'2020'!G156</f>
        <v>0</v>
      </c>
      <c r="S156" s="584">
        <f>'2021'!G156</f>
        <v>0</v>
      </c>
      <c r="T156" s="584">
        <f>'2022'!G156</f>
        <v>0</v>
      </c>
      <c r="U156" s="584">
        <f>'2023'!G156</f>
        <v>0</v>
      </c>
      <c r="V156" s="584">
        <f>'2024'!G156</f>
        <v>0</v>
      </c>
      <c r="W156" s="585">
        <f>'2025'!G156</f>
        <v>0</v>
      </c>
      <c r="X156" s="619">
        <f>'2020'!H156</f>
        <v>0</v>
      </c>
      <c r="Y156" s="584">
        <f>'2021'!H156</f>
        <v>0</v>
      </c>
      <c r="Z156" s="584">
        <f>'2022'!H156</f>
        <v>0</v>
      </c>
      <c r="AA156" s="584">
        <f>'2023'!H156</f>
        <v>0</v>
      </c>
      <c r="AB156" s="584">
        <f>'2024'!H156</f>
        <v>0</v>
      </c>
      <c r="AC156" s="585">
        <f>'2025'!H156</f>
        <v>0</v>
      </c>
      <c r="AD156" s="421">
        <f t="shared" si="338"/>
        <v>0</v>
      </c>
      <c r="AE156" s="422">
        <f t="shared" si="339"/>
        <v>0</v>
      </c>
      <c r="AF156" s="422">
        <f t="shared" si="268"/>
        <v>0</v>
      </c>
      <c r="AG156" s="422">
        <f t="shared" si="340"/>
        <v>0</v>
      </c>
      <c r="AH156" s="422">
        <f t="shared" si="341"/>
        <v>0</v>
      </c>
      <c r="AI156" s="423">
        <f t="shared" si="342"/>
        <v>0</v>
      </c>
      <c r="AJ156" s="619">
        <f>'2020'!J156</f>
        <v>0</v>
      </c>
      <c r="AK156" s="584">
        <f>'2021'!J156</f>
        <v>0</v>
      </c>
      <c r="AL156" s="584">
        <f>'2022'!J156</f>
        <v>0</v>
      </c>
      <c r="AM156" s="584">
        <f>'2023'!J156</f>
        <v>0</v>
      </c>
      <c r="AN156" s="584">
        <f>'2024'!J156</f>
        <v>0</v>
      </c>
      <c r="AO156" s="585">
        <f>'2025'!J156</f>
        <v>0</v>
      </c>
      <c r="AP156" s="421" t="str">
        <f t="shared" si="353"/>
        <v/>
      </c>
      <c r="AQ156" s="422" t="str">
        <f t="shared" si="343"/>
        <v/>
      </c>
      <c r="AR156" s="422" t="str">
        <f t="shared" si="344"/>
        <v/>
      </c>
      <c r="AS156" s="422" t="str">
        <f t="shared" si="345"/>
        <v/>
      </c>
      <c r="AT156" s="422" t="str">
        <f t="shared" si="346"/>
        <v/>
      </c>
      <c r="AU156" s="423" t="str">
        <f t="shared" si="347"/>
        <v/>
      </c>
      <c r="AV156" s="619">
        <f>'2020'!L156</f>
        <v>0</v>
      </c>
      <c r="AW156" s="584">
        <f>'2021'!L156</f>
        <v>0</v>
      </c>
      <c r="AX156" s="584">
        <f>'2022'!L156</f>
        <v>0</v>
      </c>
      <c r="AY156" s="584">
        <f>'2023'!L156</f>
        <v>0</v>
      </c>
      <c r="AZ156" s="584">
        <f>'2024'!L156</f>
        <v>0</v>
      </c>
      <c r="BA156" s="585">
        <f>'2025'!L156</f>
        <v>0</v>
      </c>
      <c r="BB156" s="421" t="str">
        <f t="shared" si="354"/>
        <v/>
      </c>
      <c r="BC156" s="422" t="str">
        <f t="shared" si="348"/>
        <v/>
      </c>
      <c r="BD156" s="422" t="str">
        <f t="shared" si="349"/>
        <v/>
      </c>
      <c r="BE156" s="422" t="str">
        <f t="shared" si="350"/>
        <v/>
      </c>
      <c r="BF156" s="422" t="str">
        <f t="shared" si="351"/>
        <v/>
      </c>
      <c r="BG156" s="423" t="str">
        <f t="shared" si="352"/>
        <v/>
      </c>
      <c r="BH156" s="732">
        <f>'2020'!N156</f>
        <v>0</v>
      </c>
      <c r="BI156" s="733">
        <f>'2021'!N156</f>
        <v>0</v>
      </c>
      <c r="BJ156" s="733">
        <f>'2022'!N156</f>
        <v>0</v>
      </c>
      <c r="BK156" s="733">
        <f>'2023'!N156</f>
        <v>0</v>
      </c>
      <c r="BL156" s="733">
        <f>'2024'!N156</f>
        <v>0</v>
      </c>
      <c r="BM156" s="734">
        <f>'2025'!N156</f>
        <v>0</v>
      </c>
      <c r="BN156" s="424"/>
      <c r="BO156" s="425"/>
      <c r="BP156" s="424"/>
      <c r="BQ156" s="425"/>
      <c r="BR156" s="426"/>
      <c r="BS156" s="427"/>
      <c r="BT156" s="426"/>
      <c r="BU156" s="428"/>
      <c r="CC156" s="1" t="str">
        <f t="shared" si="355"/>
        <v/>
      </c>
      <c r="CD156" s="1" t="str">
        <f t="shared" si="356"/>
        <v/>
      </c>
      <c r="CE156" s="1" t="str">
        <f t="shared" si="357"/>
        <v/>
      </c>
      <c r="CF156" s="1" t="str">
        <f t="shared" si="358"/>
        <v/>
      </c>
      <c r="CG156" s="1" t="str">
        <f t="shared" si="359"/>
        <v/>
      </c>
      <c r="CH156" s="1" t="str">
        <f t="shared" si="360"/>
        <v/>
      </c>
    </row>
    <row r="157" spans="1:86" ht="15.75" customHeight="1" x14ac:dyDescent="0.3">
      <c r="B157" s="747"/>
      <c r="C157" s="803"/>
      <c r="D157" s="793"/>
      <c r="E157" s="796"/>
      <c r="F157" s="796"/>
      <c r="G157" s="796"/>
      <c r="H157" s="796"/>
      <c r="I157" s="790"/>
      <c r="J157" s="721" t="s">
        <v>166</v>
      </c>
      <c r="K157" s="400" t="str">
        <f t="shared" si="380"/>
        <v/>
      </c>
      <c r="L157" s="400" t="str">
        <f t="shared" si="381"/>
        <v/>
      </c>
      <c r="M157" s="400" t="str">
        <f t="shared" si="382"/>
        <v/>
      </c>
      <c r="N157" s="400" t="str">
        <f t="shared" si="383"/>
        <v/>
      </c>
      <c r="O157" s="400" t="str">
        <f t="shared" si="384"/>
        <v/>
      </c>
      <c r="P157" s="401" t="str">
        <f t="shared" si="385"/>
        <v/>
      </c>
      <c r="Q157" s="237"/>
      <c r="R157" s="583">
        <f>'2020'!G157</f>
        <v>0</v>
      </c>
      <c r="S157" s="584">
        <f>'2021'!G157</f>
        <v>0</v>
      </c>
      <c r="T157" s="584">
        <f>'2022'!G157</f>
        <v>0</v>
      </c>
      <c r="U157" s="584">
        <f>'2023'!G157</f>
        <v>0</v>
      </c>
      <c r="V157" s="584">
        <f>'2024'!G157</f>
        <v>0</v>
      </c>
      <c r="W157" s="585">
        <f>'2025'!G157</f>
        <v>0</v>
      </c>
      <c r="X157" s="619">
        <f>'2020'!H157</f>
        <v>0</v>
      </c>
      <c r="Y157" s="584">
        <f>'2021'!H157</f>
        <v>0</v>
      </c>
      <c r="Z157" s="584">
        <f>'2022'!H157</f>
        <v>0</v>
      </c>
      <c r="AA157" s="584">
        <f>'2023'!H157</f>
        <v>0</v>
      </c>
      <c r="AB157" s="584">
        <f>'2024'!H157</f>
        <v>0</v>
      </c>
      <c r="AC157" s="585">
        <f>'2025'!H157</f>
        <v>0</v>
      </c>
      <c r="AD157" s="421">
        <f t="shared" si="338"/>
        <v>0</v>
      </c>
      <c r="AE157" s="422">
        <f t="shared" si="339"/>
        <v>0</v>
      </c>
      <c r="AF157" s="422">
        <f t="shared" si="268"/>
        <v>0</v>
      </c>
      <c r="AG157" s="422">
        <f t="shared" si="340"/>
        <v>0</v>
      </c>
      <c r="AH157" s="422">
        <f t="shared" si="341"/>
        <v>0</v>
      </c>
      <c r="AI157" s="423">
        <f t="shared" si="342"/>
        <v>0</v>
      </c>
      <c r="AJ157" s="619">
        <f>'2020'!J157</f>
        <v>0</v>
      </c>
      <c r="AK157" s="584">
        <f>'2021'!J157</f>
        <v>0</v>
      </c>
      <c r="AL157" s="584">
        <f>'2022'!J157</f>
        <v>0</v>
      </c>
      <c r="AM157" s="584">
        <f>'2023'!J157</f>
        <v>0</v>
      </c>
      <c r="AN157" s="584">
        <f>'2024'!J157</f>
        <v>0</v>
      </c>
      <c r="AO157" s="585">
        <f>'2025'!J157</f>
        <v>0</v>
      </c>
      <c r="AP157" s="421" t="str">
        <f t="shared" si="353"/>
        <v/>
      </c>
      <c r="AQ157" s="422" t="str">
        <f t="shared" si="343"/>
        <v/>
      </c>
      <c r="AR157" s="422" t="str">
        <f t="shared" si="344"/>
        <v/>
      </c>
      <c r="AS157" s="422" t="str">
        <f t="shared" si="345"/>
        <v/>
      </c>
      <c r="AT157" s="422" t="str">
        <f t="shared" si="346"/>
        <v/>
      </c>
      <c r="AU157" s="423" t="str">
        <f t="shared" si="347"/>
        <v/>
      </c>
      <c r="AV157" s="619">
        <f>'2020'!L157</f>
        <v>0</v>
      </c>
      <c r="AW157" s="584">
        <f>'2021'!L157</f>
        <v>0</v>
      </c>
      <c r="AX157" s="584">
        <f>'2022'!L157</f>
        <v>0</v>
      </c>
      <c r="AY157" s="584">
        <f>'2023'!L157</f>
        <v>0</v>
      </c>
      <c r="AZ157" s="584">
        <f>'2024'!L157</f>
        <v>0</v>
      </c>
      <c r="BA157" s="585">
        <f>'2025'!L157</f>
        <v>0</v>
      </c>
      <c r="BB157" s="421" t="str">
        <f t="shared" si="354"/>
        <v/>
      </c>
      <c r="BC157" s="422" t="str">
        <f t="shared" si="348"/>
        <v/>
      </c>
      <c r="BD157" s="422" t="str">
        <f t="shared" si="349"/>
        <v/>
      </c>
      <c r="BE157" s="422" t="str">
        <f t="shared" si="350"/>
        <v/>
      </c>
      <c r="BF157" s="422" t="str">
        <f t="shared" si="351"/>
        <v/>
      </c>
      <c r="BG157" s="423" t="str">
        <f t="shared" si="352"/>
        <v/>
      </c>
      <c r="BH157" s="732">
        <f>'2020'!N157</f>
        <v>0</v>
      </c>
      <c r="BI157" s="733">
        <f>'2021'!N157</f>
        <v>0</v>
      </c>
      <c r="BJ157" s="733">
        <f>'2022'!N157</f>
        <v>0</v>
      </c>
      <c r="BK157" s="733">
        <f>'2023'!N157</f>
        <v>0</v>
      </c>
      <c r="BL157" s="733">
        <f>'2024'!N157</f>
        <v>0</v>
      </c>
      <c r="BM157" s="734">
        <f>'2025'!N157</f>
        <v>0</v>
      </c>
      <c r="BN157" s="424"/>
      <c r="BO157" s="425"/>
      <c r="BP157" s="424"/>
      <c r="BQ157" s="425"/>
      <c r="BR157" s="426"/>
      <c r="BS157" s="427"/>
      <c r="BT157" s="426"/>
      <c r="BU157" s="428"/>
      <c r="CC157" s="1" t="str">
        <f t="shared" si="355"/>
        <v/>
      </c>
      <c r="CD157" s="1" t="str">
        <f t="shared" si="356"/>
        <v/>
      </c>
      <c r="CE157" s="1" t="str">
        <f t="shared" si="357"/>
        <v/>
      </c>
      <c r="CF157" s="1" t="str">
        <f t="shared" si="358"/>
        <v/>
      </c>
      <c r="CG157" s="1" t="str">
        <f t="shared" si="359"/>
        <v/>
      </c>
      <c r="CH157" s="1" t="str">
        <f t="shared" si="360"/>
        <v/>
      </c>
    </row>
    <row r="158" spans="1:86" ht="15.75" customHeight="1" x14ac:dyDescent="0.3">
      <c r="B158" s="747"/>
      <c r="C158" s="803"/>
      <c r="D158" s="794"/>
      <c r="E158" s="797"/>
      <c r="F158" s="797"/>
      <c r="G158" s="797"/>
      <c r="H158" s="797"/>
      <c r="I158" s="791"/>
      <c r="J158" s="722" t="s">
        <v>166</v>
      </c>
      <c r="K158" s="402" t="str">
        <f t="shared" si="380"/>
        <v/>
      </c>
      <c r="L158" s="402" t="str">
        <f t="shared" si="381"/>
        <v/>
      </c>
      <c r="M158" s="402" t="str">
        <f t="shared" si="382"/>
        <v/>
      </c>
      <c r="N158" s="402" t="str">
        <f t="shared" si="383"/>
        <v/>
      </c>
      <c r="O158" s="402" t="str">
        <f t="shared" si="384"/>
        <v/>
      </c>
      <c r="P158" s="403" t="str">
        <f t="shared" si="385"/>
        <v/>
      </c>
      <c r="Q158" s="242"/>
      <c r="R158" s="586">
        <f>'2020'!G158</f>
        <v>0</v>
      </c>
      <c r="S158" s="587">
        <f>'2021'!G158</f>
        <v>0</v>
      </c>
      <c r="T158" s="587">
        <f>'2022'!G158</f>
        <v>0</v>
      </c>
      <c r="U158" s="587">
        <f>'2023'!G158</f>
        <v>0</v>
      </c>
      <c r="V158" s="587">
        <f>'2024'!G158</f>
        <v>0</v>
      </c>
      <c r="W158" s="588">
        <f>'2025'!G158</f>
        <v>0</v>
      </c>
      <c r="X158" s="620">
        <f>'2020'!H158</f>
        <v>0</v>
      </c>
      <c r="Y158" s="587">
        <f>'2021'!H158</f>
        <v>0</v>
      </c>
      <c r="Z158" s="587">
        <f>'2022'!H158</f>
        <v>0</v>
      </c>
      <c r="AA158" s="587">
        <f>'2023'!H158</f>
        <v>0</v>
      </c>
      <c r="AB158" s="587">
        <f>'2024'!H158</f>
        <v>0</v>
      </c>
      <c r="AC158" s="588">
        <f>'2025'!H158</f>
        <v>0</v>
      </c>
      <c r="AD158" s="429">
        <f t="shared" si="338"/>
        <v>0</v>
      </c>
      <c r="AE158" s="430">
        <f t="shared" si="339"/>
        <v>0</v>
      </c>
      <c r="AF158" s="430">
        <f t="shared" ref="AF158:AF161" si="391">IF(T158="",0,IF(AL158=0,0,AL158/T158))</f>
        <v>0</v>
      </c>
      <c r="AG158" s="430">
        <f t="shared" si="340"/>
        <v>0</v>
      </c>
      <c r="AH158" s="430">
        <f t="shared" si="341"/>
        <v>0</v>
      </c>
      <c r="AI158" s="431">
        <f t="shared" si="342"/>
        <v>0</v>
      </c>
      <c r="AJ158" s="620">
        <f>'2020'!J158</f>
        <v>0</v>
      </c>
      <c r="AK158" s="587">
        <f>'2021'!J158</f>
        <v>0</v>
      </c>
      <c r="AL158" s="587">
        <f>'2022'!J158</f>
        <v>0</v>
      </c>
      <c r="AM158" s="587">
        <f>'2023'!J158</f>
        <v>0</v>
      </c>
      <c r="AN158" s="587">
        <f>'2024'!J158</f>
        <v>0</v>
      </c>
      <c r="AO158" s="588">
        <f>'2025'!J158</f>
        <v>0</v>
      </c>
      <c r="AP158" s="429" t="str">
        <f t="shared" si="353"/>
        <v/>
      </c>
      <c r="AQ158" s="430" t="str">
        <f t="shared" si="343"/>
        <v/>
      </c>
      <c r="AR158" s="430" t="str">
        <f t="shared" si="344"/>
        <v/>
      </c>
      <c r="AS158" s="430" t="str">
        <f t="shared" si="345"/>
        <v/>
      </c>
      <c r="AT158" s="430" t="str">
        <f t="shared" si="346"/>
        <v/>
      </c>
      <c r="AU158" s="431" t="str">
        <f t="shared" si="347"/>
        <v/>
      </c>
      <c r="AV158" s="620">
        <f>'2020'!L158</f>
        <v>0</v>
      </c>
      <c r="AW158" s="587">
        <f>'2021'!L158</f>
        <v>0</v>
      </c>
      <c r="AX158" s="587">
        <f>'2022'!L158</f>
        <v>0</v>
      </c>
      <c r="AY158" s="587">
        <f>'2023'!L158</f>
        <v>0</v>
      </c>
      <c r="AZ158" s="587">
        <f>'2024'!L158</f>
        <v>0</v>
      </c>
      <c r="BA158" s="588">
        <f>'2025'!L158</f>
        <v>0</v>
      </c>
      <c r="BB158" s="429" t="str">
        <f t="shared" si="354"/>
        <v/>
      </c>
      <c r="BC158" s="430" t="str">
        <f t="shared" si="348"/>
        <v/>
      </c>
      <c r="BD158" s="430" t="str">
        <f t="shared" si="349"/>
        <v/>
      </c>
      <c r="BE158" s="430" t="str">
        <f t="shared" si="350"/>
        <v/>
      </c>
      <c r="BF158" s="430" t="str">
        <f t="shared" si="351"/>
        <v/>
      </c>
      <c r="BG158" s="431" t="str">
        <f t="shared" si="352"/>
        <v/>
      </c>
      <c r="BH158" s="735">
        <f>'2020'!N158</f>
        <v>0</v>
      </c>
      <c r="BI158" s="736">
        <f>'2021'!N158</f>
        <v>0</v>
      </c>
      <c r="BJ158" s="736">
        <f>'2022'!N158</f>
        <v>0</v>
      </c>
      <c r="BK158" s="736">
        <f>'2023'!N158</f>
        <v>0</v>
      </c>
      <c r="BL158" s="736">
        <f>'2024'!N158</f>
        <v>0</v>
      </c>
      <c r="BM158" s="737">
        <f>'2025'!N158</f>
        <v>0</v>
      </c>
      <c r="BN158" s="432"/>
      <c r="BO158" s="433"/>
      <c r="BP158" s="432"/>
      <c r="BQ158" s="433"/>
      <c r="BR158" s="434"/>
      <c r="BS158" s="435"/>
      <c r="BT158" s="434"/>
      <c r="BU158" s="436"/>
      <c r="CC158" s="1" t="str">
        <f t="shared" si="355"/>
        <v/>
      </c>
      <c r="CD158" s="1" t="str">
        <f t="shared" si="356"/>
        <v/>
      </c>
      <c r="CE158" s="1" t="str">
        <f t="shared" si="357"/>
        <v/>
      </c>
      <c r="CF158" s="1" t="str">
        <f t="shared" si="358"/>
        <v/>
      </c>
      <c r="CG158" s="1" t="str">
        <f t="shared" si="359"/>
        <v/>
      </c>
      <c r="CH158" s="1" t="str">
        <f t="shared" si="360"/>
        <v/>
      </c>
    </row>
    <row r="159" spans="1:86" ht="16.2" thickBot="1" x14ac:dyDescent="0.35">
      <c r="B159" s="748"/>
      <c r="C159" s="805"/>
      <c r="D159" s="459" t="s">
        <v>138</v>
      </c>
      <c r="E159" s="460"/>
      <c r="F159" s="460"/>
      <c r="G159" s="460"/>
      <c r="H159" s="460"/>
      <c r="I159" s="725"/>
      <c r="J159" s="388"/>
      <c r="K159" s="394">
        <f>COUNTIF(K135:K158,"X")</f>
        <v>9</v>
      </c>
      <c r="L159" s="394">
        <f t="shared" ref="L159:P159" si="392">COUNTIF(L135:L158,"X")</f>
        <v>5</v>
      </c>
      <c r="M159" s="394">
        <f t="shared" si="392"/>
        <v>7</v>
      </c>
      <c r="N159" s="394">
        <f t="shared" si="392"/>
        <v>0</v>
      </c>
      <c r="O159" s="394">
        <f t="shared" si="392"/>
        <v>0</v>
      </c>
      <c r="P159" s="395">
        <f t="shared" si="392"/>
        <v>0</v>
      </c>
      <c r="Q159" s="198"/>
      <c r="R159" s="612">
        <f>SUM(R135:R158)</f>
        <v>2247</v>
      </c>
      <c r="S159" s="613">
        <f t="shared" ref="S159:W159" si="393">SUM(S135:S158)</f>
        <v>1770</v>
      </c>
      <c r="T159" s="613">
        <f t="shared" si="393"/>
        <v>2652</v>
      </c>
      <c r="U159" s="613">
        <f t="shared" si="393"/>
        <v>0</v>
      </c>
      <c r="V159" s="613">
        <f t="shared" si="393"/>
        <v>0</v>
      </c>
      <c r="W159" s="614">
        <f t="shared" si="393"/>
        <v>0</v>
      </c>
      <c r="X159" s="629">
        <f>SUM(X135:X158)</f>
        <v>2247</v>
      </c>
      <c r="Y159" s="613">
        <f t="shared" ref="Y159:AC159" si="394">SUM(Y135:Y158)</f>
        <v>1770</v>
      </c>
      <c r="Z159" s="613">
        <f t="shared" si="394"/>
        <v>2652</v>
      </c>
      <c r="AA159" s="613">
        <f t="shared" si="394"/>
        <v>0</v>
      </c>
      <c r="AB159" s="613">
        <f t="shared" si="394"/>
        <v>0</v>
      </c>
      <c r="AC159" s="614">
        <f t="shared" si="394"/>
        <v>0</v>
      </c>
      <c r="AD159" s="650">
        <f t="shared" si="338"/>
        <v>0.12683578104138851</v>
      </c>
      <c r="AE159" s="651">
        <f t="shared" si="339"/>
        <v>0.38587570621468925</v>
      </c>
      <c r="AF159" s="651">
        <f t="shared" si="391"/>
        <v>0.43401206636500755</v>
      </c>
      <c r="AG159" s="651">
        <f t="shared" si="340"/>
        <v>0</v>
      </c>
      <c r="AH159" s="651">
        <f t="shared" si="341"/>
        <v>0</v>
      </c>
      <c r="AI159" s="652">
        <f t="shared" si="342"/>
        <v>0</v>
      </c>
      <c r="AJ159" s="629">
        <f>SUM(AJ135:AJ158)</f>
        <v>285</v>
      </c>
      <c r="AK159" s="613">
        <f t="shared" ref="AK159" si="395">SUM(AK135:AK158)</f>
        <v>683</v>
      </c>
      <c r="AL159" s="613">
        <f t="shared" ref="AL159" si="396">SUM(AL135:AL158)</f>
        <v>1151</v>
      </c>
      <c r="AM159" s="613">
        <f t="shared" ref="AM159" si="397">SUM(AM135:AM158)</f>
        <v>0</v>
      </c>
      <c r="AN159" s="613">
        <f t="shared" ref="AN159" si="398">SUM(AN135:AN158)</f>
        <v>0</v>
      </c>
      <c r="AO159" s="614">
        <f t="shared" ref="AO159" si="399">SUM(AO135:AO158)</f>
        <v>0</v>
      </c>
      <c r="AP159" s="650">
        <f t="shared" si="353"/>
        <v>0.40097908322207387</v>
      </c>
      <c r="AQ159" s="651">
        <f t="shared" si="343"/>
        <v>0.4101694915254237</v>
      </c>
      <c r="AR159" s="651">
        <f t="shared" si="344"/>
        <v>0.39328808446455504</v>
      </c>
      <c r="AS159" s="651" t="str">
        <f t="shared" si="345"/>
        <v/>
      </c>
      <c r="AT159" s="651" t="str">
        <f t="shared" si="346"/>
        <v/>
      </c>
      <c r="AU159" s="652" t="str">
        <f t="shared" si="347"/>
        <v/>
      </c>
      <c r="AV159" s="629">
        <f>SUM(AV135:AV158)</f>
        <v>901</v>
      </c>
      <c r="AW159" s="613">
        <f t="shared" ref="AW159" si="400">SUM(AW135:AW158)</f>
        <v>726</v>
      </c>
      <c r="AX159" s="613">
        <f t="shared" ref="AX159" si="401">SUM(AX135:AX158)</f>
        <v>1043</v>
      </c>
      <c r="AY159" s="613">
        <f t="shared" ref="AY159" si="402">SUM(AY135:AY158)</f>
        <v>0</v>
      </c>
      <c r="AZ159" s="613">
        <f t="shared" ref="AZ159" si="403">SUM(AZ135:AZ158)</f>
        <v>0</v>
      </c>
      <c r="BA159" s="614">
        <f t="shared" ref="BA159" si="404">SUM(BA135:BA158)</f>
        <v>0</v>
      </c>
      <c r="BB159" s="317">
        <f t="shared" si="354"/>
        <v>1.4428412874583796E-2</v>
      </c>
      <c r="BC159" s="319">
        <f t="shared" si="348"/>
        <v>0.57851239669421484</v>
      </c>
      <c r="BD159" s="319">
        <f t="shared" si="349"/>
        <v>0.57909875359539786</v>
      </c>
      <c r="BE159" s="319" t="str">
        <f t="shared" si="350"/>
        <v/>
      </c>
      <c r="BF159" s="319" t="str">
        <f t="shared" si="351"/>
        <v/>
      </c>
      <c r="BG159" s="323" t="str">
        <f t="shared" si="352"/>
        <v/>
      </c>
      <c r="BH159" s="629">
        <f>SUM(BH135:BH158)</f>
        <v>13</v>
      </c>
      <c r="BI159" s="613">
        <f t="shared" ref="BI159" si="405">SUM(BI135:BI158)</f>
        <v>420</v>
      </c>
      <c r="BJ159" s="613">
        <f t="shared" ref="BJ159" si="406">SUM(BJ135:BJ158)</f>
        <v>604</v>
      </c>
      <c r="BK159" s="613">
        <f t="shared" ref="BK159" si="407">SUM(BK135:BK158)</f>
        <v>0</v>
      </c>
      <c r="BL159" s="613">
        <f t="shared" ref="BL159" si="408">SUM(BL135:BL158)</f>
        <v>0</v>
      </c>
      <c r="BM159" s="614">
        <f t="shared" ref="BM159" si="409">SUM(BM135:BM158)</f>
        <v>0</v>
      </c>
      <c r="BN159" s="334">
        <f t="shared" ref="BN159:BU159" si="410">SUM(BN135:BN153)</f>
        <v>0</v>
      </c>
      <c r="BO159" s="335">
        <f t="shared" si="410"/>
        <v>0</v>
      </c>
      <c r="BP159" s="334">
        <f t="shared" si="410"/>
        <v>0</v>
      </c>
      <c r="BQ159" s="335">
        <f t="shared" si="410"/>
        <v>0</v>
      </c>
      <c r="BR159" s="334">
        <f t="shared" si="410"/>
        <v>40</v>
      </c>
      <c r="BS159" s="335">
        <f t="shared" si="410"/>
        <v>40</v>
      </c>
      <c r="BT159" s="334">
        <f t="shared" si="410"/>
        <v>4</v>
      </c>
      <c r="BU159" s="336">
        <f t="shared" si="410"/>
        <v>4</v>
      </c>
      <c r="CC159" s="1">
        <f t="shared" si="355"/>
        <v>0</v>
      </c>
      <c r="CD159" s="1">
        <f t="shared" si="356"/>
        <v>0</v>
      </c>
      <c r="CE159" s="1">
        <f t="shared" si="357"/>
        <v>0</v>
      </c>
      <c r="CF159" s="1">
        <f t="shared" si="358"/>
        <v>0</v>
      </c>
      <c r="CG159" s="1">
        <f t="shared" si="359"/>
        <v>0</v>
      </c>
      <c r="CH159" s="1">
        <f t="shared" si="360"/>
        <v>0</v>
      </c>
    </row>
    <row r="160" spans="1:86" s="362" customFormat="1" ht="31.5" customHeight="1" thickBot="1" x14ac:dyDescent="0.35">
      <c r="A160" s="20"/>
      <c r="B160" s="355" t="s">
        <v>77</v>
      </c>
      <c r="C160" s="381"/>
      <c r="D160" s="382">
        <f t="shared" ref="D160:I160" si="411">SUM(D66:D159)</f>
        <v>83</v>
      </c>
      <c r="E160" s="378">
        <f t="shared" si="411"/>
        <v>67</v>
      </c>
      <c r="F160" s="378">
        <f t="shared" si="411"/>
        <v>79</v>
      </c>
      <c r="G160" s="378">
        <f t="shared" si="411"/>
        <v>79</v>
      </c>
      <c r="H160" s="378">
        <f t="shared" si="411"/>
        <v>0</v>
      </c>
      <c r="I160" s="386">
        <f t="shared" si="411"/>
        <v>0</v>
      </c>
      <c r="J160" s="631" t="s">
        <v>79</v>
      </c>
      <c r="K160" s="604">
        <f>COUNTIF(K$66:K$159,"X")</f>
        <v>29</v>
      </c>
      <c r="L160" s="604">
        <f t="shared" ref="L160:P160" si="412">COUNTIF(L$66:L$159,"X")</f>
        <v>31</v>
      </c>
      <c r="M160" s="604">
        <f t="shared" si="412"/>
        <v>37</v>
      </c>
      <c r="N160" s="604">
        <f t="shared" si="412"/>
        <v>2</v>
      </c>
      <c r="O160" s="604">
        <f t="shared" si="412"/>
        <v>0</v>
      </c>
      <c r="P160" s="605">
        <f t="shared" si="412"/>
        <v>0</v>
      </c>
      <c r="Q160" s="372"/>
      <c r="R160" s="603">
        <f t="shared" ref="R160:AC160" si="413">R77+R85+R95+R109+R125+R134+R159</f>
        <v>4797</v>
      </c>
      <c r="S160" s="604">
        <f t="shared" si="413"/>
        <v>3986</v>
      </c>
      <c r="T160" s="604">
        <f t="shared" si="413"/>
        <v>6112</v>
      </c>
      <c r="U160" s="604">
        <f t="shared" si="413"/>
        <v>49</v>
      </c>
      <c r="V160" s="604">
        <f t="shared" si="413"/>
        <v>0</v>
      </c>
      <c r="W160" s="605">
        <f t="shared" si="413"/>
        <v>0</v>
      </c>
      <c r="X160" s="626">
        <f t="shared" si="413"/>
        <v>3358</v>
      </c>
      <c r="Y160" s="604">
        <f t="shared" si="413"/>
        <v>3111</v>
      </c>
      <c r="Z160" s="604">
        <f t="shared" si="413"/>
        <v>4726</v>
      </c>
      <c r="AA160" s="604">
        <f t="shared" si="413"/>
        <v>25</v>
      </c>
      <c r="AB160" s="604">
        <f t="shared" si="413"/>
        <v>0</v>
      </c>
      <c r="AC160" s="605">
        <f t="shared" si="413"/>
        <v>0</v>
      </c>
      <c r="AD160" s="356">
        <f t="shared" si="338"/>
        <v>0.27893475088597036</v>
      </c>
      <c r="AE160" s="357">
        <f t="shared" si="339"/>
        <v>0.40466633216256898</v>
      </c>
      <c r="AF160" s="357">
        <f t="shared" si="391"/>
        <v>0.44273560209424084</v>
      </c>
      <c r="AG160" s="357">
        <f t="shared" si="340"/>
        <v>0.65306122448979587</v>
      </c>
      <c r="AH160" s="357">
        <f t="shared" si="341"/>
        <v>0</v>
      </c>
      <c r="AI160" s="358">
        <f t="shared" si="342"/>
        <v>0</v>
      </c>
      <c r="AJ160" s="626">
        <f t="shared" ref="AJ160:AO160" si="414">AJ77+AJ85+AJ95+AJ109+AJ125+AJ134+AJ159</f>
        <v>1338.05</v>
      </c>
      <c r="AK160" s="604">
        <f t="shared" si="414"/>
        <v>1613</v>
      </c>
      <c r="AL160" s="604">
        <f t="shared" si="414"/>
        <v>2706</v>
      </c>
      <c r="AM160" s="604">
        <f t="shared" si="414"/>
        <v>32</v>
      </c>
      <c r="AN160" s="604">
        <f t="shared" si="414"/>
        <v>0</v>
      </c>
      <c r="AO160" s="605">
        <f t="shared" si="414"/>
        <v>0</v>
      </c>
      <c r="AP160" s="356">
        <f t="shared" si="353"/>
        <v>0.39968938920158431</v>
      </c>
      <c r="AQ160" s="357">
        <f t="shared" si="343"/>
        <v>0.37907676869041645</v>
      </c>
      <c r="AR160" s="357">
        <f t="shared" si="344"/>
        <v>0.37107329842931935</v>
      </c>
      <c r="AS160" s="357">
        <f t="shared" si="345"/>
        <v>0.22448979591836735</v>
      </c>
      <c r="AT160" s="357" t="str">
        <f t="shared" si="346"/>
        <v/>
      </c>
      <c r="AU160" s="358" t="str">
        <f t="shared" si="347"/>
        <v/>
      </c>
      <c r="AV160" s="626">
        <f t="shared" ref="AV160:BA160" si="415">AV77+AV85+AV95+AV109+AV125+AV134+AV159</f>
        <v>1917.31</v>
      </c>
      <c r="AW160" s="604">
        <f t="shared" si="415"/>
        <v>1511</v>
      </c>
      <c r="AX160" s="604">
        <f t="shared" si="415"/>
        <v>2268</v>
      </c>
      <c r="AY160" s="604">
        <f t="shared" si="415"/>
        <v>11</v>
      </c>
      <c r="AZ160" s="604">
        <f t="shared" si="415"/>
        <v>0</v>
      </c>
      <c r="BA160" s="605">
        <f t="shared" si="415"/>
        <v>0</v>
      </c>
      <c r="BB160" s="356">
        <f t="shared" si="354"/>
        <v>4.8974970140457208E-2</v>
      </c>
      <c r="BC160" s="357">
        <f t="shared" si="348"/>
        <v>0.45598941098610191</v>
      </c>
      <c r="BD160" s="357">
        <f t="shared" si="349"/>
        <v>0.41754850088183421</v>
      </c>
      <c r="BE160" s="357">
        <f t="shared" si="350"/>
        <v>0.72727272727272729</v>
      </c>
      <c r="BF160" s="357" t="str">
        <f t="shared" si="351"/>
        <v/>
      </c>
      <c r="BG160" s="358" t="str">
        <f t="shared" si="352"/>
        <v/>
      </c>
      <c r="BH160" s="626">
        <f t="shared" ref="BH160:BM160" si="416">BH77+BH85+BH95+BH109+BH125+BH134+BH159</f>
        <v>93.900200000000012</v>
      </c>
      <c r="BI160" s="604">
        <f t="shared" si="416"/>
        <v>689</v>
      </c>
      <c r="BJ160" s="604">
        <f t="shared" si="416"/>
        <v>947</v>
      </c>
      <c r="BK160" s="604">
        <f t="shared" si="416"/>
        <v>8</v>
      </c>
      <c r="BL160" s="604">
        <f t="shared" si="416"/>
        <v>0</v>
      </c>
      <c r="BM160" s="605">
        <f t="shared" si="416"/>
        <v>0</v>
      </c>
      <c r="BN160" s="359"/>
      <c r="BO160" s="360"/>
      <c r="BP160" s="359"/>
      <c r="BQ160" s="360"/>
      <c r="BR160" s="359">
        <f ca="1">BR77+BR95+BR109+BR125+BR134</f>
        <v>1465</v>
      </c>
      <c r="BS160" s="360">
        <f ca="1">BS77+BS95+BS109+BS125+BS134</f>
        <v>949</v>
      </c>
      <c r="BT160" s="359">
        <f ca="1">BT77+BT95+BT109+BT125+BT134</f>
        <v>141</v>
      </c>
      <c r="BU160" s="361">
        <f ca="1">BU77+BU95+BU109+BU125+BU134</f>
        <v>89</v>
      </c>
      <c r="CC160" s="1" t="str">
        <f t="shared" ref="CC160:CC161" si="417">IF(K160="X",$Q160,"")</f>
        <v/>
      </c>
      <c r="CD160" s="1" t="str">
        <f t="shared" ref="CD160:CD161" si="418">IF(L160="X",$Q160,"")</f>
        <v/>
      </c>
      <c r="CE160" s="1" t="str">
        <f t="shared" ref="CE160:CE161" si="419">IF(M160="X",$Q160,"")</f>
        <v/>
      </c>
    </row>
    <row r="161" spans="1:83" s="371" customFormat="1" ht="31.5" customHeight="1" thickBot="1" x14ac:dyDescent="0.35">
      <c r="A161" s="20"/>
      <c r="B161" s="363" t="s">
        <v>66</v>
      </c>
      <c r="C161" s="384"/>
      <c r="D161" s="461">
        <f t="shared" ref="D161:I161" si="420">D160+D65</f>
        <v>102</v>
      </c>
      <c r="E161" s="571">
        <f t="shared" si="420"/>
        <v>87</v>
      </c>
      <c r="F161" s="571">
        <f t="shared" si="420"/>
        <v>116</v>
      </c>
      <c r="G161" s="571">
        <f t="shared" si="420"/>
        <v>119</v>
      </c>
      <c r="H161" s="571">
        <f t="shared" si="420"/>
        <v>0</v>
      </c>
      <c r="I161" s="572">
        <f t="shared" si="420"/>
        <v>0</v>
      </c>
      <c r="J161" s="632" t="s">
        <v>79</v>
      </c>
      <c r="K161" s="616">
        <f t="shared" ref="K161:P161" si="421">K65+K160</f>
        <v>46</v>
      </c>
      <c r="L161" s="616">
        <f t="shared" si="421"/>
        <v>48</v>
      </c>
      <c r="M161" s="616">
        <f t="shared" si="421"/>
        <v>72</v>
      </c>
      <c r="N161" s="616">
        <f t="shared" si="421"/>
        <v>11</v>
      </c>
      <c r="O161" s="616">
        <f t="shared" si="421"/>
        <v>0</v>
      </c>
      <c r="P161" s="617">
        <f t="shared" si="421"/>
        <v>0</v>
      </c>
      <c r="Q161" s="364"/>
      <c r="R161" s="615">
        <f t="shared" ref="R161:AC161" si="422">R65+R160</f>
        <v>5191</v>
      </c>
      <c r="S161" s="616">
        <f t="shared" si="422"/>
        <v>4581</v>
      </c>
      <c r="T161" s="616">
        <f t="shared" si="422"/>
        <v>7331</v>
      </c>
      <c r="U161" s="616">
        <f t="shared" si="422"/>
        <v>581</v>
      </c>
      <c r="V161" s="616">
        <f t="shared" si="422"/>
        <v>0</v>
      </c>
      <c r="W161" s="617">
        <f t="shared" si="422"/>
        <v>0</v>
      </c>
      <c r="X161" s="630">
        <f t="shared" si="422"/>
        <v>3593</v>
      </c>
      <c r="Y161" s="616">
        <f t="shared" si="422"/>
        <v>3526</v>
      </c>
      <c r="Z161" s="616">
        <f t="shared" si="422"/>
        <v>5620</v>
      </c>
      <c r="AA161" s="616">
        <f t="shared" si="422"/>
        <v>241</v>
      </c>
      <c r="AB161" s="616">
        <f t="shared" si="422"/>
        <v>0</v>
      </c>
      <c r="AC161" s="617">
        <f t="shared" si="422"/>
        <v>0</v>
      </c>
      <c r="AD161" s="365">
        <f t="shared" si="338"/>
        <v>0.27490271623964552</v>
      </c>
      <c r="AE161" s="366">
        <f t="shared" si="339"/>
        <v>0.38921632831259551</v>
      </c>
      <c r="AF161" s="366">
        <f t="shared" si="391"/>
        <v>0.41563224662392578</v>
      </c>
      <c r="AG161" s="366">
        <f t="shared" si="340"/>
        <v>5.5077452667814115E-2</v>
      </c>
      <c r="AH161" s="366">
        <f t="shared" si="341"/>
        <v>0</v>
      </c>
      <c r="AI161" s="367">
        <f t="shared" si="342"/>
        <v>0</v>
      </c>
      <c r="AJ161" s="630">
        <f t="shared" ref="AJ161:AO161" si="423">AJ65+AJ160</f>
        <v>1427.02</v>
      </c>
      <c r="AK161" s="616">
        <f t="shared" si="423"/>
        <v>1783</v>
      </c>
      <c r="AL161" s="616">
        <f t="shared" si="423"/>
        <v>3047</v>
      </c>
      <c r="AM161" s="616">
        <f t="shared" si="423"/>
        <v>32</v>
      </c>
      <c r="AN161" s="616">
        <f t="shared" si="423"/>
        <v>0</v>
      </c>
      <c r="AO161" s="617">
        <f t="shared" si="423"/>
        <v>0</v>
      </c>
      <c r="AP161" s="365">
        <f t="shared" si="353"/>
        <v>0.38650163744943167</v>
      </c>
      <c r="AQ161" s="366">
        <f t="shared" si="343"/>
        <v>0.36280288146692863</v>
      </c>
      <c r="AR161" s="366">
        <f t="shared" si="344"/>
        <v>0.36066021006683946</v>
      </c>
      <c r="AS161" s="366">
        <f t="shared" si="345"/>
        <v>1.8932874354561102E-2</v>
      </c>
      <c r="AT161" s="366" t="str">
        <f t="shared" si="346"/>
        <v/>
      </c>
      <c r="AU161" s="367" t="str">
        <f t="shared" si="347"/>
        <v/>
      </c>
      <c r="AV161" s="630">
        <f t="shared" ref="AV161:BA161" si="424">AV65+AV160</f>
        <v>2006.33</v>
      </c>
      <c r="AW161" s="616">
        <f t="shared" si="424"/>
        <v>1662</v>
      </c>
      <c r="AX161" s="616">
        <f t="shared" si="424"/>
        <v>2644</v>
      </c>
      <c r="AY161" s="616">
        <f t="shared" si="424"/>
        <v>11</v>
      </c>
      <c r="AZ161" s="616">
        <f t="shared" si="424"/>
        <v>0</v>
      </c>
      <c r="BA161" s="617">
        <f t="shared" si="424"/>
        <v>0</v>
      </c>
      <c r="BB161" s="365">
        <f t="shared" si="354"/>
        <v>5.4258372251822992E-2</v>
      </c>
      <c r="BC161" s="366">
        <f t="shared" si="348"/>
        <v>0.43321299638989169</v>
      </c>
      <c r="BD161" s="366">
        <f t="shared" si="349"/>
        <v>0.40317700453857791</v>
      </c>
      <c r="BE161" s="366">
        <f t="shared" si="350"/>
        <v>0.72727272727272729</v>
      </c>
      <c r="BF161" s="366" t="str">
        <f t="shared" si="351"/>
        <v/>
      </c>
      <c r="BG161" s="367" t="str">
        <f t="shared" si="352"/>
        <v/>
      </c>
      <c r="BH161" s="630">
        <f t="shared" ref="BH161:BM161" si="425">BH65+BH160</f>
        <v>108.86020000000002</v>
      </c>
      <c r="BI161" s="616">
        <f t="shared" si="425"/>
        <v>720</v>
      </c>
      <c r="BJ161" s="616">
        <f t="shared" si="425"/>
        <v>1066</v>
      </c>
      <c r="BK161" s="616">
        <f t="shared" si="425"/>
        <v>8</v>
      </c>
      <c r="BL161" s="616">
        <f t="shared" si="425"/>
        <v>0</v>
      </c>
      <c r="BM161" s="617">
        <f t="shared" si="425"/>
        <v>0</v>
      </c>
      <c r="BN161" s="368"/>
      <c r="BO161" s="369"/>
      <c r="BP161" s="368"/>
      <c r="BQ161" s="369"/>
      <c r="BR161" s="368">
        <f ca="1">BR160</f>
        <v>1465</v>
      </c>
      <c r="BS161" s="369">
        <f ca="1">BS160</f>
        <v>949</v>
      </c>
      <c r="BT161" s="368">
        <f ca="1">BT160</f>
        <v>141</v>
      </c>
      <c r="BU161" s="370">
        <f ca="1">BU160</f>
        <v>89</v>
      </c>
      <c r="CC161" s="1" t="str">
        <f t="shared" si="417"/>
        <v/>
      </c>
      <c r="CD161" s="1" t="str">
        <f t="shared" si="418"/>
        <v/>
      </c>
      <c r="CE161" s="1" t="str">
        <f t="shared" si="419"/>
        <v/>
      </c>
    </row>
    <row r="162" spans="1:83" ht="15" thickBot="1" x14ac:dyDescent="0.35">
      <c r="B162" s="5"/>
      <c r="C162" s="14"/>
      <c r="D162" s="14"/>
      <c r="E162" s="14"/>
      <c r="F162" s="14"/>
      <c r="G162" s="14"/>
      <c r="H162" s="14"/>
      <c r="I162" s="14"/>
      <c r="J162" s="5"/>
      <c r="K162" s="14"/>
      <c r="L162" s="14"/>
      <c r="M162" s="14"/>
      <c r="N162" s="14"/>
      <c r="O162" s="14"/>
      <c r="P162" s="14"/>
      <c r="Q162" s="14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8"/>
      <c r="AE162" s="58"/>
      <c r="AF162" s="58"/>
      <c r="AG162" s="58"/>
      <c r="AH162" s="58"/>
      <c r="AI162" s="58"/>
      <c r="AJ162" s="57"/>
      <c r="AK162" s="57"/>
      <c r="AL162" s="57"/>
      <c r="AM162" s="57"/>
      <c r="AN162" s="57"/>
      <c r="AO162" s="57"/>
      <c r="AP162" s="58"/>
      <c r="AQ162" s="58"/>
      <c r="AR162" s="58"/>
      <c r="AS162" s="58"/>
      <c r="AT162" s="58"/>
      <c r="AU162" s="58"/>
      <c r="AV162" s="57"/>
      <c r="AW162" s="57"/>
      <c r="AX162" s="57"/>
      <c r="AY162" s="57"/>
      <c r="AZ162" s="57"/>
      <c r="BA162" s="57"/>
      <c r="BB162" s="758" t="s">
        <v>68</v>
      </c>
      <c r="BC162" s="758"/>
      <c r="BD162" s="758"/>
      <c r="BE162" s="758"/>
      <c r="BF162" s="758"/>
      <c r="BG162" s="758"/>
      <c r="BH162" s="758"/>
      <c r="BI162" s="476"/>
      <c r="BJ162" s="476"/>
      <c r="BK162" s="476"/>
      <c r="BL162" s="476"/>
      <c r="BM162" s="476"/>
      <c r="BN162" s="337"/>
      <c r="BO162" s="337"/>
      <c r="BP162" s="337"/>
      <c r="BQ162" s="337"/>
      <c r="BR162" s="337"/>
      <c r="BS162" s="337"/>
      <c r="BT162" s="337"/>
      <c r="BU162" s="337"/>
    </row>
    <row r="163" spans="1:83" x14ac:dyDescent="0.3">
      <c r="R163" s="480" t="s">
        <v>159</v>
      </c>
      <c r="S163" s="481"/>
      <c r="T163" s="482"/>
      <c r="U163" s="556"/>
      <c r="V163" s="556"/>
      <c r="W163" s="556"/>
      <c r="X163" s="480" t="s">
        <v>44</v>
      </c>
      <c r="Y163" s="481"/>
      <c r="Z163" s="482"/>
      <c r="AA163" s="556"/>
      <c r="AB163" s="556"/>
      <c r="AC163" s="556"/>
      <c r="AD163" s="478"/>
      <c r="AE163" s="478"/>
      <c r="AF163" s="478"/>
      <c r="AG163" s="478"/>
      <c r="AH163" s="478"/>
      <c r="AI163" s="478"/>
      <c r="AJ163" s="480" t="s">
        <v>209</v>
      </c>
      <c r="AK163" s="481"/>
      <c r="AL163" s="482"/>
      <c r="AM163" s="661"/>
      <c r="AN163" s="661"/>
      <c r="AO163" s="662"/>
      <c r="AP163" s="478"/>
      <c r="AQ163" s="478"/>
      <c r="AR163" s="478"/>
      <c r="AS163" s="478"/>
      <c r="AT163" s="478"/>
      <c r="AU163" s="478"/>
      <c r="AV163" s="480" t="s">
        <v>208</v>
      </c>
      <c r="AW163" s="481"/>
      <c r="AX163" s="482"/>
      <c r="AY163" s="661"/>
      <c r="AZ163" s="661"/>
      <c r="BA163" s="662"/>
      <c r="BC163" s="478"/>
      <c r="BD163" s="478"/>
      <c r="BE163" s="478"/>
      <c r="BF163" s="478"/>
      <c r="BG163" s="478"/>
      <c r="BH163" s="480" t="s">
        <v>207</v>
      </c>
      <c r="BI163" s="481"/>
      <c r="BJ163" s="482"/>
      <c r="BK163" s="661"/>
      <c r="BL163" s="661"/>
      <c r="BM163" s="662"/>
    </row>
    <row r="164" spans="1:83" x14ac:dyDescent="0.3">
      <c r="H164" s="801" t="s">
        <v>66</v>
      </c>
      <c r="J164" s="26" t="s">
        <v>205</v>
      </c>
      <c r="K164" s="389">
        <v>2020</v>
      </c>
      <c r="L164" s="389">
        <v>2021</v>
      </c>
      <c r="M164" s="389">
        <v>2022</v>
      </c>
      <c r="N164" s="389">
        <v>2023</v>
      </c>
      <c r="O164" s="389">
        <v>2024</v>
      </c>
      <c r="P164" s="389">
        <v>2025</v>
      </c>
      <c r="Q164" s="496"/>
      <c r="R164" s="483">
        <f t="shared" ref="R164:AC164" si="426">R4</f>
        <v>2020</v>
      </c>
      <c r="S164" s="484">
        <f t="shared" si="426"/>
        <v>2021</v>
      </c>
      <c r="T164" s="484">
        <f t="shared" si="426"/>
        <v>2022</v>
      </c>
      <c r="U164" s="484">
        <f t="shared" si="426"/>
        <v>2023</v>
      </c>
      <c r="V164" s="484">
        <f t="shared" si="426"/>
        <v>2024</v>
      </c>
      <c r="W164" s="485">
        <f t="shared" si="426"/>
        <v>2025</v>
      </c>
      <c r="X164" s="483">
        <f t="shared" si="426"/>
        <v>2020</v>
      </c>
      <c r="Y164" s="484">
        <f t="shared" si="426"/>
        <v>2021</v>
      </c>
      <c r="Z164" s="484">
        <f t="shared" si="426"/>
        <v>2022</v>
      </c>
      <c r="AA164" s="484">
        <f t="shared" si="426"/>
        <v>2023</v>
      </c>
      <c r="AB164" s="484">
        <f t="shared" si="426"/>
        <v>2024</v>
      </c>
      <c r="AC164" s="485">
        <f t="shared" si="426"/>
        <v>2025</v>
      </c>
      <c r="AG164" s="653"/>
      <c r="AI164" s="499"/>
      <c r="AJ164" s="483">
        <f t="shared" ref="AJ164:AO164" si="427">AJ4</f>
        <v>2020</v>
      </c>
      <c r="AK164" s="484">
        <f t="shared" si="427"/>
        <v>2021</v>
      </c>
      <c r="AL164" s="484">
        <f t="shared" si="427"/>
        <v>2022</v>
      </c>
      <c r="AM164" s="484">
        <f t="shared" si="427"/>
        <v>2023</v>
      </c>
      <c r="AN164" s="484">
        <f t="shared" si="427"/>
        <v>2024</v>
      </c>
      <c r="AO164" s="485">
        <f t="shared" si="427"/>
        <v>2025</v>
      </c>
      <c r="AS164" s="653"/>
      <c r="AU164" s="499"/>
      <c r="AV164" s="483">
        <f t="shared" ref="AV164:BA164" si="428">AV4</f>
        <v>2020</v>
      </c>
      <c r="AW164" s="484">
        <f t="shared" si="428"/>
        <v>2021</v>
      </c>
      <c r="AX164" s="484">
        <f t="shared" si="428"/>
        <v>2022</v>
      </c>
      <c r="AY164" s="484">
        <f t="shared" si="428"/>
        <v>2023</v>
      </c>
      <c r="AZ164" s="484">
        <f t="shared" si="428"/>
        <v>2024</v>
      </c>
      <c r="BA164" s="485">
        <f t="shared" si="428"/>
        <v>2025</v>
      </c>
      <c r="BC164" s="4"/>
      <c r="BD164" s="4"/>
      <c r="BE164" s="653"/>
      <c r="BF164" s="4"/>
      <c r="BG164" s="499"/>
      <c r="BH164" s="483">
        <f t="shared" ref="BH164:BM164" si="429">BH4</f>
        <v>2020</v>
      </c>
      <c r="BI164" s="484">
        <f t="shared" si="429"/>
        <v>2021</v>
      </c>
      <c r="BJ164" s="484">
        <f t="shared" si="429"/>
        <v>2022</v>
      </c>
      <c r="BK164" s="484">
        <f t="shared" si="429"/>
        <v>2023</v>
      </c>
      <c r="BL164" s="484">
        <f t="shared" si="429"/>
        <v>2024</v>
      </c>
      <c r="BM164" s="485">
        <f t="shared" si="429"/>
        <v>2025</v>
      </c>
    </row>
    <row r="165" spans="1:83" x14ac:dyDescent="0.3">
      <c r="H165" s="801"/>
      <c r="J165" s="1" t="s">
        <v>60</v>
      </c>
      <c r="K165" s="2">
        <f t="shared" ref="K165:P167" si="430">COUNTIF(CC$5:CC$153,$J165)</f>
        <v>21</v>
      </c>
      <c r="L165" s="2">
        <f t="shared" si="430"/>
        <v>19</v>
      </c>
      <c r="M165" s="2">
        <f t="shared" si="430"/>
        <v>36</v>
      </c>
      <c r="N165" s="2">
        <f t="shared" si="430"/>
        <v>9</v>
      </c>
      <c r="O165" s="2">
        <f t="shared" si="430"/>
        <v>0</v>
      </c>
      <c r="P165" s="2">
        <f t="shared" si="430"/>
        <v>0</v>
      </c>
      <c r="Q165" s="497" t="s">
        <v>60</v>
      </c>
      <c r="R165" s="486">
        <f t="shared" ref="R165:AC167" si="431">SUMIF($Q$5:$Q$159,$J165,R$5:R$159)</f>
        <v>1779</v>
      </c>
      <c r="S165" s="487">
        <f t="shared" si="431"/>
        <v>1057</v>
      </c>
      <c r="T165" s="487">
        <f t="shared" si="431"/>
        <v>2388</v>
      </c>
      <c r="U165" s="487">
        <f t="shared" si="431"/>
        <v>532</v>
      </c>
      <c r="V165" s="487">
        <f t="shared" si="431"/>
        <v>0</v>
      </c>
      <c r="W165" s="488">
        <f t="shared" si="431"/>
        <v>0</v>
      </c>
      <c r="X165" s="486">
        <f t="shared" si="431"/>
        <v>647</v>
      </c>
      <c r="Y165" s="487">
        <f t="shared" si="431"/>
        <v>667</v>
      </c>
      <c r="Z165" s="487">
        <f t="shared" si="431"/>
        <v>1559</v>
      </c>
      <c r="AA165" s="487">
        <f t="shared" si="431"/>
        <v>216</v>
      </c>
      <c r="AB165" s="487">
        <f t="shared" si="431"/>
        <v>0</v>
      </c>
      <c r="AC165" s="488">
        <f t="shared" si="431"/>
        <v>0</v>
      </c>
      <c r="AG165" s="1"/>
      <c r="AH165" s="635" t="s">
        <v>60</v>
      </c>
      <c r="AI165" s="497"/>
      <c r="AJ165" s="486">
        <f t="shared" ref="AJ165:AO167" si="432">SUMIF($Q$5:$Q$159,$J165,AJ$5:AJ$159)</f>
        <v>715.97</v>
      </c>
      <c r="AK165" s="487">
        <f t="shared" si="432"/>
        <v>359</v>
      </c>
      <c r="AL165" s="487">
        <f t="shared" si="432"/>
        <v>882</v>
      </c>
      <c r="AM165" s="487">
        <f t="shared" si="432"/>
        <v>235</v>
      </c>
      <c r="AN165" s="487">
        <f t="shared" si="432"/>
        <v>0</v>
      </c>
      <c r="AO165" s="488">
        <f t="shared" si="432"/>
        <v>0</v>
      </c>
      <c r="AS165" s="1"/>
      <c r="AT165" s="635" t="s">
        <v>60</v>
      </c>
      <c r="AU165" s="497"/>
      <c r="AV165" s="486">
        <f t="shared" ref="AV165:BA167" si="433">SUMIF($Q$5:$Q$159,$J165,AV$5:AV$159)</f>
        <v>663.02</v>
      </c>
      <c r="AW165" s="487">
        <f t="shared" si="433"/>
        <v>354</v>
      </c>
      <c r="AX165" s="487">
        <f t="shared" si="433"/>
        <v>820</v>
      </c>
      <c r="AY165" s="487">
        <f t="shared" si="433"/>
        <v>176</v>
      </c>
      <c r="AZ165" s="487">
        <f t="shared" si="433"/>
        <v>0</v>
      </c>
      <c r="BA165" s="488">
        <f t="shared" si="433"/>
        <v>0</v>
      </c>
      <c r="BC165" s="4"/>
      <c r="BD165" s="4"/>
      <c r="BE165" s="1"/>
      <c r="BF165" s="635" t="s">
        <v>60</v>
      </c>
      <c r="BG165" s="497"/>
      <c r="BH165" s="486">
        <f t="shared" ref="BH165:BM167" si="434">SUMIF($Q$5:$Q$159,$J165,BH$5:BH$159)</f>
        <v>14.96</v>
      </c>
      <c r="BI165" s="487">
        <f t="shared" si="434"/>
        <v>31</v>
      </c>
      <c r="BJ165" s="487">
        <f t="shared" si="434"/>
        <v>90</v>
      </c>
      <c r="BK165" s="487">
        <f t="shared" si="434"/>
        <v>97</v>
      </c>
      <c r="BL165" s="487">
        <f t="shared" si="434"/>
        <v>0</v>
      </c>
      <c r="BM165" s="488">
        <f t="shared" si="434"/>
        <v>0</v>
      </c>
    </row>
    <row r="166" spans="1:83" x14ac:dyDescent="0.3">
      <c r="H166" s="801"/>
      <c r="J166" s="1" t="s">
        <v>61</v>
      </c>
      <c r="K166" s="2">
        <f t="shared" si="430"/>
        <v>8</v>
      </c>
      <c r="L166" s="2">
        <f t="shared" si="430"/>
        <v>4</v>
      </c>
      <c r="M166" s="2">
        <f t="shared" si="430"/>
        <v>7</v>
      </c>
      <c r="N166" s="2">
        <f t="shared" si="430"/>
        <v>0</v>
      </c>
      <c r="O166" s="2">
        <f t="shared" si="430"/>
        <v>0</v>
      </c>
      <c r="P166" s="2">
        <f t="shared" si="430"/>
        <v>0</v>
      </c>
      <c r="Q166" s="497" t="s">
        <v>61</v>
      </c>
      <c r="R166" s="486">
        <f t="shared" si="431"/>
        <v>2211</v>
      </c>
      <c r="S166" s="487">
        <f t="shared" si="431"/>
        <v>1726</v>
      </c>
      <c r="T166" s="487">
        <f t="shared" si="431"/>
        <v>2652</v>
      </c>
      <c r="U166" s="487">
        <f t="shared" si="431"/>
        <v>0</v>
      </c>
      <c r="V166" s="487">
        <f t="shared" si="431"/>
        <v>0</v>
      </c>
      <c r="W166" s="488">
        <f t="shared" si="431"/>
        <v>0</v>
      </c>
      <c r="X166" s="486">
        <f t="shared" si="431"/>
        <v>2211</v>
      </c>
      <c r="Y166" s="487">
        <f t="shared" si="431"/>
        <v>1726</v>
      </c>
      <c r="Z166" s="487">
        <f t="shared" si="431"/>
        <v>2652</v>
      </c>
      <c r="AA166" s="487">
        <f t="shared" si="431"/>
        <v>0</v>
      </c>
      <c r="AB166" s="487">
        <f t="shared" si="431"/>
        <v>0</v>
      </c>
      <c r="AC166" s="488">
        <f t="shared" si="431"/>
        <v>0</v>
      </c>
      <c r="AG166" s="1"/>
      <c r="AH166" s="635" t="s">
        <v>61</v>
      </c>
      <c r="AI166" s="497"/>
      <c r="AJ166" s="486">
        <f t="shared" si="432"/>
        <v>267</v>
      </c>
      <c r="AK166" s="487">
        <f t="shared" si="432"/>
        <v>655</v>
      </c>
      <c r="AL166" s="487">
        <f t="shared" si="432"/>
        <v>1151</v>
      </c>
      <c r="AM166" s="487">
        <f t="shared" si="432"/>
        <v>0</v>
      </c>
      <c r="AN166" s="487">
        <f t="shared" si="432"/>
        <v>0</v>
      </c>
      <c r="AO166" s="488">
        <f t="shared" si="432"/>
        <v>0</v>
      </c>
      <c r="AS166" s="1"/>
      <c r="AT166" s="635" t="s">
        <v>61</v>
      </c>
      <c r="AU166" s="497"/>
      <c r="AV166" s="486">
        <f t="shared" si="433"/>
        <v>884</v>
      </c>
      <c r="AW166" s="487">
        <f t="shared" si="433"/>
        <v>710</v>
      </c>
      <c r="AX166" s="487">
        <f t="shared" si="433"/>
        <v>1043</v>
      </c>
      <c r="AY166" s="487">
        <f t="shared" si="433"/>
        <v>0</v>
      </c>
      <c r="AZ166" s="487">
        <f t="shared" si="433"/>
        <v>0</v>
      </c>
      <c r="BA166" s="488">
        <f t="shared" si="433"/>
        <v>0</v>
      </c>
      <c r="BC166" s="4"/>
      <c r="BD166" s="4"/>
      <c r="BE166" s="1"/>
      <c r="BF166" s="635" t="s">
        <v>61</v>
      </c>
      <c r="BG166" s="497"/>
      <c r="BH166" s="486">
        <f t="shared" si="434"/>
        <v>0</v>
      </c>
      <c r="BI166" s="487">
        <f t="shared" si="434"/>
        <v>405</v>
      </c>
      <c r="BJ166" s="487">
        <f t="shared" si="434"/>
        <v>604</v>
      </c>
      <c r="BK166" s="487">
        <f t="shared" si="434"/>
        <v>0</v>
      </c>
      <c r="BL166" s="487">
        <f t="shared" si="434"/>
        <v>0</v>
      </c>
      <c r="BM166" s="488">
        <f t="shared" si="434"/>
        <v>0</v>
      </c>
    </row>
    <row r="167" spans="1:83" ht="15" thickBot="1" x14ac:dyDescent="0.35">
      <c r="H167" s="801"/>
      <c r="J167" s="509" t="s">
        <v>62</v>
      </c>
      <c r="K167" s="510">
        <f t="shared" si="430"/>
        <v>17</v>
      </c>
      <c r="L167" s="510">
        <f t="shared" si="430"/>
        <v>25</v>
      </c>
      <c r="M167" s="510">
        <f t="shared" si="430"/>
        <v>29</v>
      </c>
      <c r="N167" s="510">
        <f t="shared" si="430"/>
        <v>2</v>
      </c>
      <c r="O167" s="510">
        <f t="shared" si="430"/>
        <v>0</v>
      </c>
      <c r="P167" s="510">
        <f t="shared" si="430"/>
        <v>0</v>
      </c>
      <c r="Q167" s="498" t="s">
        <v>62</v>
      </c>
      <c r="R167" s="489">
        <f t="shared" si="431"/>
        <v>1201</v>
      </c>
      <c r="S167" s="490">
        <f t="shared" si="431"/>
        <v>1798</v>
      </c>
      <c r="T167" s="490">
        <f t="shared" si="431"/>
        <v>2291</v>
      </c>
      <c r="U167" s="490">
        <f t="shared" si="431"/>
        <v>49</v>
      </c>
      <c r="V167" s="490">
        <f t="shared" si="431"/>
        <v>0</v>
      </c>
      <c r="W167" s="491">
        <f t="shared" si="431"/>
        <v>0</v>
      </c>
      <c r="X167" s="489">
        <f t="shared" si="431"/>
        <v>735</v>
      </c>
      <c r="Y167" s="490">
        <f t="shared" si="431"/>
        <v>1133</v>
      </c>
      <c r="Z167" s="490">
        <f t="shared" si="431"/>
        <v>1409</v>
      </c>
      <c r="AA167" s="490">
        <f t="shared" si="431"/>
        <v>25</v>
      </c>
      <c r="AB167" s="490">
        <f t="shared" si="431"/>
        <v>0</v>
      </c>
      <c r="AC167" s="491">
        <f t="shared" si="431"/>
        <v>0</v>
      </c>
      <c r="AG167" s="1"/>
      <c r="AH167" s="636" t="s">
        <v>62</v>
      </c>
      <c r="AI167" s="498"/>
      <c r="AJ167" s="489">
        <f t="shared" si="432"/>
        <v>444.04999999999995</v>
      </c>
      <c r="AK167" s="490">
        <f t="shared" si="432"/>
        <v>769</v>
      </c>
      <c r="AL167" s="490">
        <f t="shared" si="432"/>
        <v>1014</v>
      </c>
      <c r="AM167" s="490">
        <f t="shared" si="432"/>
        <v>32</v>
      </c>
      <c r="AN167" s="490">
        <f t="shared" si="432"/>
        <v>0</v>
      </c>
      <c r="AO167" s="491">
        <f t="shared" si="432"/>
        <v>0</v>
      </c>
      <c r="AS167" s="1"/>
      <c r="AT167" s="636" t="s">
        <v>62</v>
      </c>
      <c r="AU167" s="498"/>
      <c r="AV167" s="489">
        <f t="shared" si="433"/>
        <v>459.31000000000006</v>
      </c>
      <c r="AW167" s="490">
        <f t="shared" si="433"/>
        <v>598</v>
      </c>
      <c r="AX167" s="490">
        <f t="shared" si="433"/>
        <v>781</v>
      </c>
      <c r="AY167" s="490">
        <f t="shared" si="433"/>
        <v>11</v>
      </c>
      <c r="AZ167" s="490">
        <f t="shared" si="433"/>
        <v>0</v>
      </c>
      <c r="BA167" s="491">
        <f t="shared" si="433"/>
        <v>0</v>
      </c>
      <c r="BC167" s="4"/>
      <c r="BD167" s="4"/>
      <c r="BE167" s="1"/>
      <c r="BF167" s="636" t="s">
        <v>62</v>
      </c>
      <c r="BG167" s="498"/>
      <c r="BH167" s="489">
        <f t="shared" si="434"/>
        <v>93.900199999999998</v>
      </c>
      <c r="BI167" s="490">
        <f t="shared" si="434"/>
        <v>284</v>
      </c>
      <c r="BJ167" s="490">
        <f t="shared" si="434"/>
        <v>372</v>
      </c>
      <c r="BK167" s="490">
        <f t="shared" si="434"/>
        <v>8</v>
      </c>
      <c r="BL167" s="490">
        <f t="shared" si="434"/>
        <v>0</v>
      </c>
      <c r="BM167" s="491">
        <f t="shared" si="434"/>
        <v>0</v>
      </c>
    </row>
    <row r="168" spans="1:83" ht="15" thickBot="1" x14ac:dyDescent="0.35">
      <c r="H168" s="801"/>
      <c r="J168" s="511" t="s">
        <v>66</v>
      </c>
      <c r="K168" s="512">
        <f>SUM(K165:K167)</f>
        <v>46</v>
      </c>
      <c r="L168" s="512">
        <f t="shared" ref="L168:M168" si="435">SUM(L165:L167)</f>
        <v>48</v>
      </c>
      <c r="M168" s="512">
        <f t="shared" si="435"/>
        <v>72</v>
      </c>
      <c r="N168" s="512">
        <f t="shared" ref="N168:P168" si="436">SUM(N165:N167)</f>
        <v>11</v>
      </c>
      <c r="O168" s="512">
        <f t="shared" si="436"/>
        <v>0</v>
      </c>
      <c r="P168" s="512">
        <f t="shared" si="436"/>
        <v>0</v>
      </c>
      <c r="Q168" s="495" t="s">
        <v>66</v>
      </c>
      <c r="R168" s="492">
        <f>SUM(R165:R167)</f>
        <v>5191</v>
      </c>
      <c r="S168" s="493">
        <f t="shared" ref="S168:AC168" si="437">SUM(S165:S167)</f>
        <v>4581</v>
      </c>
      <c r="T168" s="493">
        <f t="shared" si="437"/>
        <v>7331</v>
      </c>
      <c r="U168" s="493">
        <f t="shared" si="437"/>
        <v>581</v>
      </c>
      <c r="V168" s="493">
        <f t="shared" si="437"/>
        <v>0</v>
      </c>
      <c r="W168" s="494">
        <f t="shared" si="437"/>
        <v>0</v>
      </c>
      <c r="X168" s="492">
        <f t="shared" si="437"/>
        <v>3593</v>
      </c>
      <c r="Y168" s="493">
        <f t="shared" si="437"/>
        <v>3526</v>
      </c>
      <c r="Z168" s="493">
        <f t="shared" si="437"/>
        <v>5620</v>
      </c>
      <c r="AA168" s="493">
        <f t="shared" si="437"/>
        <v>241</v>
      </c>
      <c r="AB168" s="493">
        <f t="shared" si="437"/>
        <v>0</v>
      </c>
      <c r="AC168" s="494">
        <f t="shared" si="437"/>
        <v>0</v>
      </c>
      <c r="AG168" s="31"/>
      <c r="AH168" s="511" t="s">
        <v>66</v>
      </c>
      <c r="AI168" s="495"/>
      <c r="AJ168" s="492">
        <f t="shared" ref="AJ168" si="438">SUM(AJ165:AJ167)</f>
        <v>1427.02</v>
      </c>
      <c r="AK168" s="493">
        <f t="shared" ref="AK168" si="439">SUM(AK165:AK167)</f>
        <v>1783</v>
      </c>
      <c r="AL168" s="493">
        <f t="shared" ref="AL168:AO168" si="440">SUM(AL165:AL167)</f>
        <v>3047</v>
      </c>
      <c r="AM168" s="493">
        <f t="shared" si="440"/>
        <v>267</v>
      </c>
      <c r="AN168" s="493">
        <f t="shared" si="440"/>
        <v>0</v>
      </c>
      <c r="AO168" s="494">
        <f t="shared" si="440"/>
        <v>0</v>
      </c>
      <c r="AS168" s="31"/>
      <c r="AT168" s="511" t="s">
        <v>66</v>
      </c>
      <c r="AU168" s="495"/>
      <c r="AV168" s="492">
        <f t="shared" ref="AV168" si="441">SUM(AV165:AV167)</f>
        <v>2006.33</v>
      </c>
      <c r="AW168" s="493">
        <f t="shared" ref="AW168:AY168" si="442">SUM(AW165:AW167)</f>
        <v>1662</v>
      </c>
      <c r="AX168" s="493">
        <f t="shared" si="442"/>
        <v>2644</v>
      </c>
      <c r="AY168" s="493">
        <f t="shared" si="442"/>
        <v>187</v>
      </c>
      <c r="AZ168" s="493">
        <f t="shared" ref="AZ168" si="443">SUM(AZ165:AZ167)</f>
        <v>0</v>
      </c>
      <c r="BA168" s="494">
        <f t="shared" ref="BA168" si="444">SUM(BA165:BA167)</f>
        <v>0</v>
      </c>
      <c r="BC168" s="4"/>
      <c r="BD168" s="4"/>
      <c r="BE168" s="31"/>
      <c r="BF168" s="511" t="s">
        <v>66</v>
      </c>
      <c r="BG168" s="495"/>
      <c r="BH168" s="492">
        <f t="shared" ref="BH168" si="445">SUM(BH165:BH167)</f>
        <v>108.86019999999999</v>
      </c>
      <c r="BI168" s="493">
        <f t="shared" ref="BI168:BL168" si="446">SUM(BI165:BI167)</f>
        <v>720</v>
      </c>
      <c r="BJ168" s="493">
        <f t="shared" si="446"/>
        <v>1066</v>
      </c>
      <c r="BK168" s="493">
        <f t="shared" si="446"/>
        <v>105</v>
      </c>
      <c r="BL168" s="493">
        <f t="shared" si="446"/>
        <v>0</v>
      </c>
      <c r="BM168" s="494">
        <f t="shared" ref="BM168" si="447">SUM(BM165:BM167)</f>
        <v>0</v>
      </c>
    </row>
    <row r="169" spans="1:83" x14ac:dyDescent="0.3">
      <c r="J169" s="31"/>
      <c r="K169" s="479"/>
      <c r="L169" s="479"/>
      <c r="M169" s="479"/>
      <c r="N169" s="479"/>
      <c r="O169" s="479"/>
      <c r="P169" s="479"/>
      <c r="AG169" s="2"/>
      <c r="AH169" s="2"/>
      <c r="AI169" s="2"/>
      <c r="AJ169" s="517">
        <f>AJ168/R168</f>
        <v>0.27490271623964552</v>
      </c>
      <c r="AK169" s="517">
        <f>AK168/S168</f>
        <v>0.38921632831259551</v>
      </c>
      <c r="AL169" s="517">
        <f>AL168/T168</f>
        <v>0.41563224662392578</v>
      </c>
      <c r="AM169" s="517">
        <f t="shared" ref="AM169:AO169" si="448">AM168/U168</f>
        <v>0.45955249569707401</v>
      </c>
      <c r="AN169" s="517" t="e">
        <f t="shared" si="448"/>
        <v>#DIV/0!</v>
      </c>
      <c r="AO169" s="517" t="e">
        <f t="shared" si="448"/>
        <v>#DIV/0!</v>
      </c>
      <c r="AS169" s="2"/>
      <c r="AT169" s="2"/>
      <c r="AU169" s="2"/>
      <c r="AV169" s="517">
        <f>AV168/R168</f>
        <v>0.38650163744943167</v>
      </c>
      <c r="AW169" s="517">
        <f>AW168/S168</f>
        <v>0.36280288146692863</v>
      </c>
      <c r="AX169" s="517">
        <f t="shared" ref="AX169:AY169" si="449">AX168/T168</f>
        <v>0.36066021006683946</v>
      </c>
      <c r="AY169" s="517">
        <f t="shared" si="449"/>
        <v>0.32185886402753872</v>
      </c>
      <c r="AZ169" s="517" t="e">
        <f>AZ168/V168</f>
        <v>#DIV/0!</v>
      </c>
      <c r="BA169" s="517" t="e">
        <f>BA168/W168</f>
        <v>#DIV/0!</v>
      </c>
      <c r="BC169" s="4"/>
      <c r="BD169" s="4"/>
      <c r="BE169" s="2"/>
      <c r="BF169" s="2"/>
      <c r="BG169" s="2"/>
      <c r="BH169" s="2"/>
      <c r="BI169" s="2"/>
      <c r="BJ169" s="2"/>
      <c r="BK169" s="2"/>
      <c r="BL169" s="2"/>
      <c r="BM169" s="2"/>
    </row>
    <row r="170" spans="1:83" ht="15" thickBot="1" x14ac:dyDescent="0.35">
      <c r="J170" s="31"/>
      <c r="K170" s="479"/>
      <c r="L170" s="479"/>
      <c r="M170" s="479"/>
      <c r="N170" s="479"/>
      <c r="O170" s="479"/>
      <c r="P170" s="479"/>
      <c r="R170" s="513"/>
      <c r="S170" s="514"/>
      <c r="T170" s="514"/>
      <c r="U170" s="514"/>
      <c r="V170" s="514"/>
      <c r="W170" s="514"/>
      <c r="X170" s="513"/>
      <c r="Y170" s="514"/>
      <c r="Z170" s="514"/>
      <c r="AA170" s="514"/>
      <c r="AB170" s="514"/>
      <c r="AC170" s="514"/>
      <c r="AD170" s="515"/>
      <c r="AG170" s="2"/>
      <c r="AH170" s="2"/>
      <c r="AI170" s="2"/>
      <c r="AJ170" s="513"/>
      <c r="AK170" s="514"/>
      <c r="AL170" s="514"/>
      <c r="AM170" s="514"/>
      <c r="AN170" s="514"/>
      <c r="AO170" s="514"/>
      <c r="AP170" s="515"/>
      <c r="AS170" s="2"/>
      <c r="AT170" s="2"/>
      <c r="AU170" s="2"/>
      <c r="AV170" s="513"/>
      <c r="AW170" s="514"/>
      <c r="AX170" s="514"/>
      <c r="AY170" s="514"/>
      <c r="AZ170" s="514"/>
      <c r="BA170" s="514"/>
      <c r="BB170" s="516"/>
      <c r="BC170" s="4"/>
      <c r="BD170" s="4"/>
      <c r="BE170" s="2"/>
      <c r="BF170" s="2"/>
      <c r="BG170" s="2"/>
      <c r="BH170" s="513"/>
      <c r="BI170" s="514"/>
      <c r="BJ170" s="514"/>
      <c r="BK170" s="514"/>
      <c r="BL170" s="514"/>
      <c r="BM170" s="514"/>
    </row>
    <row r="171" spans="1:83" x14ac:dyDescent="0.3">
      <c r="R171" s="480" t="s">
        <v>159</v>
      </c>
      <c r="S171" s="481"/>
      <c r="T171" s="482"/>
      <c r="U171" s="556"/>
      <c r="V171" s="556"/>
      <c r="W171" s="556"/>
      <c r="X171" s="480" t="s">
        <v>44</v>
      </c>
      <c r="Y171" s="481"/>
      <c r="Z171" s="482"/>
      <c r="AA171" s="556"/>
      <c r="AB171" s="556"/>
      <c r="AC171" s="556"/>
      <c r="AD171" s="478"/>
      <c r="AE171" s="478"/>
      <c r="AF171" s="478"/>
      <c r="AG171" s="478"/>
      <c r="AH171" s="478"/>
      <c r="AI171" s="478"/>
      <c r="AJ171" s="480" t="s">
        <v>209</v>
      </c>
      <c r="AK171" s="481"/>
      <c r="AL171" s="482"/>
      <c r="AM171" s="661"/>
      <c r="AN171" s="661"/>
      <c r="AO171" s="662"/>
      <c r="AP171" s="478"/>
      <c r="AQ171" s="478"/>
      <c r="AR171" s="478"/>
      <c r="AS171" s="478"/>
      <c r="AT171" s="478"/>
      <c r="AU171" s="478"/>
      <c r="AV171" s="480" t="s">
        <v>208</v>
      </c>
      <c r="AW171" s="481"/>
      <c r="AX171" s="482"/>
      <c r="AY171" s="661"/>
      <c r="AZ171" s="661"/>
      <c r="BA171" s="662"/>
      <c r="BC171" s="478"/>
      <c r="BD171" s="478"/>
      <c r="BE171" s="478"/>
      <c r="BF171" s="478"/>
      <c r="BG171" s="478"/>
      <c r="BH171" s="480" t="s">
        <v>207</v>
      </c>
      <c r="BI171" s="481"/>
      <c r="BJ171" s="482"/>
      <c r="BK171" s="661"/>
      <c r="BL171" s="661"/>
      <c r="BM171" s="662"/>
    </row>
    <row r="172" spans="1:83" x14ac:dyDescent="0.3">
      <c r="H172" s="801" t="s">
        <v>230</v>
      </c>
      <c r="J172" s="26" t="s">
        <v>205</v>
      </c>
      <c r="K172" s="389">
        <v>2020</v>
      </c>
      <c r="L172" s="389">
        <v>2021</v>
      </c>
      <c r="M172" s="389">
        <v>2022</v>
      </c>
      <c r="N172" s="389">
        <v>2023</v>
      </c>
      <c r="O172" s="389">
        <v>2024</v>
      </c>
      <c r="P172" s="389">
        <v>2025</v>
      </c>
      <c r="Q172" s="496"/>
      <c r="R172" s="483">
        <f>R4</f>
        <v>2020</v>
      </c>
      <c r="S172" s="484">
        <f t="shared" ref="S172:AC172" si="450">S4</f>
        <v>2021</v>
      </c>
      <c r="T172" s="484">
        <f t="shared" si="450"/>
        <v>2022</v>
      </c>
      <c r="U172" s="484">
        <f t="shared" si="450"/>
        <v>2023</v>
      </c>
      <c r="V172" s="484">
        <f t="shared" si="450"/>
        <v>2024</v>
      </c>
      <c r="W172" s="485">
        <f t="shared" si="450"/>
        <v>2025</v>
      </c>
      <c r="X172" s="483">
        <f t="shared" si="450"/>
        <v>2020</v>
      </c>
      <c r="Y172" s="484">
        <f t="shared" si="450"/>
        <v>2021</v>
      </c>
      <c r="Z172" s="484">
        <f t="shared" si="450"/>
        <v>2022</v>
      </c>
      <c r="AA172" s="484">
        <f t="shared" si="450"/>
        <v>2023</v>
      </c>
      <c r="AB172" s="484">
        <f t="shared" si="450"/>
        <v>2024</v>
      </c>
      <c r="AC172" s="485">
        <f t="shared" si="450"/>
        <v>2025</v>
      </c>
      <c r="AG172" s="653"/>
      <c r="AI172" s="499"/>
      <c r="AJ172" s="483">
        <f>AJ4</f>
        <v>2020</v>
      </c>
      <c r="AK172" s="484">
        <f t="shared" ref="AK172:AO172" si="451">AK4</f>
        <v>2021</v>
      </c>
      <c r="AL172" s="484">
        <f t="shared" si="451"/>
        <v>2022</v>
      </c>
      <c r="AM172" s="484">
        <f t="shared" si="451"/>
        <v>2023</v>
      </c>
      <c r="AN172" s="484">
        <f t="shared" si="451"/>
        <v>2024</v>
      </c>
      <c r="AO172" s="485">
        <f t="shared" si="451"/>
        <v>2025</v>
      </c>
      <c r="AS172" s="653"/>
      <c r="AU172" s="499"/>
      <c r="AV172" s="483">
        <f>AV4</f>
        <v>2020</v>
      </c>
      <c r="AW172" s="484">
        <f t="shared" ref="AW172:BA172" si="452">AW4</f>
        <v>2021</v>
      </c>
      <c r="AX172" s="484">
        <f t="shared" si="452"/>
        <v>2022</v>
      </c>
      <c r="AY172" s="484">
        <f t="shared" si="452"/>
        <v>2023</v>
      </c>
      <c r="AZ172" s="484">
        <f t="shared" si="452"/>
        <v>2024</v>
      </c>
      <c r="BA172" s="485">
        <f t="shared" si="452"/>
        <v>2025</v>
      </c>
      <c r="BC172" s="4"/>
      <c r="BD172" s="4"/>
      <c r="BE172" s="653"/>
      <c r="BF172" s="4"/>
      <c r="BG172" s="499"/>
      <c r="BH172" s="483">
        <f t="shared" ref="BH172:BM172" si="453">BH4</f>
        <v>2020</v>
      </c>
      <c r="BI172" s="484">
        <f t="shared" si="453"/>
        <v>2021</v>
      </c>
      <c r="BJ172" s="484">
        <f t="shared" si="453"/>
        <v>2022</v>
      </c>
      <c r="BK172" s="484">
        <f t="shared" si="453"/>
        <v>2023</v>
      </c>
      <c r="BL172" s="484">
        <f t="shared" si="453"/>
        <v>2024</v>
      </c>
      <c r="BM172" s="485">
        <f t="shared" si="453"/>
        <v>2025</v>
      </c>
    </row>
    <row r="173" spans="1:83" x14ac:dyDescent="0.3">
      <c r="H173" s="801"/>
      <c r="J173" s="1" t="s">
        <v>60</v>
      </c>
      <c r="K173" s="2">
        <f t="shared" ref="K173:P175" si="454">COUNTIF(CC$5:CC$153,$J173)</f>
        <v>21</v>
      </c>
      <c r="L173" s="2">
        <f t="shared" si="454"/>
        <v>19</v>
      </c>
      <c r="M173" s="2">
        <f t="shared" si="454"/>
        <v>36</v>
      </c>
      <c r="N173" s="2">
        <f t="shared" si="454"/>
        <v>9</v>
      </c>
      <c r="O173" s="2">
        <f t="shared" si="454"/>
        <v>0</v>
      </c>
      <c r="P173" s="2">
        <f t="shared" si="454"/>
        <v>0</v>
      </c>
      <c r="Q173" s="497" t="s">
        <v>60</v>
      </c>
      <c r="R173" s="486">
        <f t="shared" ref="R173:AC175" si="455">AVERAGEIF($Q$5:$Q$159,$J173,R$5:R$159)</f>
        <v>42.357142857142854</v>
      </c>
      <c r="S173" s="487">
        <f t="shared" si="455"/>
        <v>25.166666666666668</v>
      </c>
      <c r="T173" s="487">
        <f t="shared" si="455"/>
        <v>58.243902439024389</v>
      </c>
      <c r="U173" s="487">
        <f t="shared" si="455"/>
        <v>12.666666666666666</v>
      </c>
      <c r="V173" s="487">
        <f t="shared" si="455"/>
        <v>0</v>
      </c>
      <c r="W173" s="488">
        <f t="shared" si="455"/>
        <v>0</v>
      </c>
      <c r="X173" s="486">
        <f t="shared" si="455"/>
        <v>15.404761904761905</v>
      </c>
      <c r="Y173" s="487">
        <f t="shared" si="455"/>
        <v>15.880952380952381</v>
      </c>
      <c r="Z173" s="487">
        <f t="shared" si="455"/>
        <v>38.024390243902438</v>
      </c>
      <c r="AA173" s="487">
        <f t="shared" si="455"/>
        <v>5.1428571428571432</v>
      </c>
      <c r="AB173" s="487">
        <f t="shared" si="455"/>
        <v>0</v>
      </c>
      <c r="AC173" s="488">
        <f t="shared" si="455"/>
        <v>0</v>
      </c>
      <c r="AG173" s="1"/>
      <c r="AH173" s="635" t="s">
        <v>60</v>
      </c>
      <c r="AI173" s="497"/>
      <c r="AJ173" s="486">
        <f t="shared" ref="AJ173:AO175" si="456">AVERAGEIF($Q$5:$Q$159,$J173,AJ$5:AJ$159)</f>
        <v>17.046904761904763</v>
      </c>
      <c r="AK173" s="487">
        <f t="shared" si="456"/>
        <v>8.5476190476190474</v>
      </c>
      <c r="AL173" s="487">
        <f t="shared" si="456"/>
        <v>21.512195121951219</v>
      </c>
      <c r="AM173" s="487">
        <f t="shared" si="456"/>
        <v>5.5952380952380949</v>
      </c>
      <c r="AN173" s="487">
        <f t="shared" si="456"/>
        <v>0</v>
      </c>
      <c r="AO173" s="488">
        <f t="shared" si="456"/>
        <v>0</v>
      </c>
      <c r="AS173" s="1"/>
      <c r="AT173" s="635" t="s">
        <v>60</v>
      </c>
      <c r="AU173" s="497"/>
      <c r="AV173" s="486">
        <f t="shared" ref="AV173:BA175" si="457">AVERAGEIF($Q$5:$Q$159,$J173,AV$5:AV$159)</f>
        <v>15.786190476190475</v>
      </c>
      <c r="AW173" s="487">
        <f t="shared" si="457"/>
        <v>8.4285714285714288</v>
      </c>
      <c r="AX173" s="487">
        <f t="shared" si="457"/>
        <v>20</v>
      </c>
      <c r="AY173" s="487">
        <f t="shared" si="457"/>
        <v>4.1904761904761907</v>
      </c>
      <c r="AZ173" s="487">
        <f t="shared" si="457"/>
        <v>0</v>
      </c>
      <c r="BA173" s="488">
        <f t="shared" si="457"/>
        <v>0</v>
      </c>
      <c r="BC173" s="4"/>
      <c r="BD173" s="4"/>
      <c r="BE173" s="1"/>
      <c r="BF173" s="635" t="s">
        <v>60</v>
      </c>
      <c r="BG173" s="497"/>
      <c r="BH173" s="486">
        <f t="shared" ref="BH173:BM175" si="458">AVERAGEIF($Q$5:$Q$159,$J173,BH$5:BH$159)</f>
        <v>1.1507692307692308</v>
      </c>
      <c r="BI173" s="487">
        <f t="shared" si="458"/>
        <v>2.3846153846153846</v>
      </c>
      <c r="BJ173" s="487">
        <f t="shared" si="458"/>
        <v>2.4324324324324325</v>
      </c>
      <c r="BK173" s="487">
        <f t="shared" si="458"/>
        <v>2.4871794871794872</v>
      </c>
      <c r="BL173" s="487">
        <f t="shared" si="458"/>
        <v>0</v>
      </c>
      <c r="BM173" s="488">
        <f t="shared" si="458"/>
        <v>0</v>
      </c>
    </row>
    <row r="174" spans="1:83" x14ac:dyDescent="0.3">
      <c r="H174" s="801"/>
      <c r="J174" s="1" t="s">
        <v>61</v>
      </c>
      <c r="K174" s="2">
        <f t="shared" si="454"/>
        <v>8</v>
      </c>
      <c r="L174" s="2">
        <f t="shared" si="454"/>
        <v>4</v>
      </c>
      <c r="M174" s="2">
        <f t="shared" si="454"/>
        <v>7</v>
      </c>
      <c r="N174" s="2">
        <f t="shared" si="454"/>
        <v>0</v>
      </c>
      <c r="O174" s="2">
        <f t="shared" si="454"/>
        <v>0</v>
      </c>
      <c r="P174" s="2">
        <f t="shared" si="454"/>
        <v>0</v>
      </c>
      <c r="Q174" s="497" t="s">
        <v>61</v>
      </c>
      <c r="R174" s="486">
        <f t="shared" si="455"/>
        <v>138.1875</v>
      </c>
      <c r="S174" s="487">
        <f t="shared" si="455"/>
        <v>107.875</v>
      </c>
      <c r="T174" s="487">
        <f t="shared" si="455"/>
        <v>165.75</v>
      </c>
      <c r="U174" s="487">
        <f t="shared" si="455"/>
        <v>0</v>
      </c>
      <c r="V174" s="487">
        <f t="shared" si="455"/>
        <v>0</v>
      </c>
      <c r="W174" s="488">
        <f t="shared" si="455"/>
        <v>0</v>
      </c>
      <c r="X174" s="486">
        <f t="shared" si="455"/>
        <v>138.1875</v>
      </c>
      <c r="Y174" s="487">
        <f t="shared" si="455"/>
        <v>107.875</v>
      </c>
      <c r="Z174" s="487">
        <f t="shared" si="455"/>
        <v>165.75</v>
      </c>
      <c r="AA174" s="487">
        <f t="shared" si="455"/>
        <v>0</v>
      </c>
      <c r="AB174" s="487">
        <f t="shared" si="455"/>
        <v>0</v>
      </c>
      <c r="AC174" s="488">
        <f t="shared" si="455"/>
        <v>0</v>
      </c>
      <c r="AG174" s="1"/>
      <c r="AH174" s="635" t="s">
        <v>61</v>
      </c>
      <c r="AI174" s="497"/>
      <c r="AJ174" s="486">
        <f t="shared" si="456"/>
        <v>16.6875</v>
      </c>
      <c r="AK174" s="487">
        <f t="shared" si="456"/>
        <v>40.9375</v>
      </c>
      <c r="AL174" s="487">
        <f t="shared" si="456"/>
        <v>71.9375</v>
      </c>
      <c r="AM174" s="487">
        <f t="shared" si="456"/>
        <v>0</v>
      </c>
      <c r="AN174" s="487">
        <f t="shared" si="456"/>
        <v>0</v>
      </c>
      <c r="AO174" s="488">
        <f t="shared" si="456"/>
        <v>0</v>
      </c>
      <c r="AS174" s="1"/>
      <c r="AT174" s="635" t="s">
        <v>61</v>
      </c>
      <c r="AU174" s="497"/>
      <c r="AV174" s="486">
        <f t="shared" si="457"/>
        <v>55.25</v>
      </c>
      <c r="AW174" s="487">
        <f t="shared" si="457"/>
        <v>44.375</v>
      </c>
      <c r="AX174" s="487">
        <f t="shared" si="457"/>
        <v>65.1875</v>
      </c>
      <c r="AY174" s="487">
        <f t="shared" si="457"/>
        <v>0</v>
      </c>
      <c r="AZ174" s="487">
        <f t="shared" si="457"/>
        <v>0</v>
      </c>
      <c r="BA174" s="488">
        <f t="shared" si="457"/>
        <v>0</v>
      </c>
      <c r="BC174" s="4"/>
      <c r="BD174" s="4"/>
      <c r="BE174" s="1"/>
      <c r="BF174" s="635" t="s">
        <v>61</v>
      </c>
      <c r="BG174" s="497"/>
      <c r="BH174" s="486">
        <f t="shared" si="458"/>
        <v>0</v>
      </c>
      <c r="BI174" s="487">
        <f t="shared" si="458"/>
        <v>25.3125</v>
      </c>
      <c r="BJ174" s="487">
        <f t="shared" si="458"/>
        <v>37.75</v>
      </c>
      <c r="BK174" s="487">
        <f t="shared" si="458"/>
        <v>0</v>
      </c>
      <c r="BL174" s="487">
        <f t="shared" si="458"/>
        <v>0</v>
      </c>
      <c r="BM174" s="488">
        <f t="shared" si="458"/>
        <v>0</v>
      </c>
    </row>
    <row r="175" spans="1:83" ht="15" thickBot="1" x14ac:dyDescent="0.35">
      <c r="H175" s="801"/>
      <c r="J175" s="509" t="s">
        <v>62</v>
      </c>
      <c r="K175" s="510">
        <f t="shared" si="454"/>
        <v>17</v>
      </c>
      <c r="L175" s="510">
        <f t="shared" si="454"/>
        <v>25</v>
      </c>
      <c r="M175" s="510">
        <f t="shared" si="454"/>
        <v>29</v>
      </c>
      <c r="N175" s="510">
        <f t="shared" si="454"/>
        <v>2</v>
      </c>
      <c r="O175" s="510">
        <f t="shared" si="454"/>
        <v>0</v>
      </c>
      <c r="P175" s="510">
        <f t="shared" si="454"/>
        <v>0</v>
      </c>
      <c r="Q175" s="498" t="s">
        <v>62</v>
      </c>
      <c r="R175" s="489">
        <f t="shared" si="455"/>
        <v>30.794871794871796</v>
      </c>
      <c r="S175" s="490">
        <f t="shared" si="455"/>
        <v>46.102564102564102</v>
      </c>
      <c r="T175" s="490">
        <f t="shared" si="455"/>
        <v>58.743589743589745</v>
      </c>
      <c r="U175" s="490">
        <f t="shared" si="455"/>
        <v>1.2564102564102564</v>
      </c>
      <c r="V175" s="490">
        <f t="shared" si="455"/>
        <v>0</v>
      </c>
      <c r="W175" s="491">
        <f t="shared" si="455"/>
        <v>0</v>
      </c>
      <c r="X175" s="489">
        <f t="shared" si="455"/>
        <v>18.846153846153847</v>
      </c>
      <c r="Y175" s="490">
        <f t="shared" si="455"/>
        <v>29.051282051282051</v>
      </c>
      <c r="Z175" s="490">
        <f t="shared" si="455"/>
        <v>36.128205128205131</v>
      </c>
      <c r="AA175" s="490">
        <f t="shared" si="455"/>
        <v>0.64102564102564108</v>
      </c>
      <c r="AB175" s="490">
        <f t="shared" si="455"/>
        <v>0</v>
      </c>
      <c r="AC175" s="491">
        <f t="shared" si="455"/>
        <v>0</v>
      </c>
      <c r="AG175" s="1"/>
      <c r="AH175" s="636" t="s">
        <v>62</v>
      </c>
      <c r="AI175" s="498"/>
      <c r="AJ175" s="489">
        <f t="shared" si="456"/>
        <v>11.385897435897435</v>
      </c>
      <c r="AK175" s="490">
        <f t="shared" si="456"/>
        <v>19.717948717948719</v>
      </c>
      <c r="AL175" s="490">
        <f t="shared" si="456"/>
        <v>26</v>
      </c>
      <c r="AM175" s="490">
        <f t="shared" si="456"/>
        <v>0.82051282051282048</v>
      </c>
      <c r="AN175" s="490">
        <f t="shared" si="456"/>
        <v>0</v>
      </c>
      <c r="AO175" s="491">
        <f t="shared" si="456"/>
        <v>0</v>
      </c>
      <c r="AS175" s="1"/>
      <c r="AT175" s="636" t="s">
        <v>62</v>
      </c>
      <c r="AU175" s="498"/>
      <c r="AV175" s="489">
        <f t="shared" si="457"/>
        <v>11.777179487179488</v>
      </c>
      <c r="AW175" s="490">
        <f t="shared" si="457"/>
        <v>15.333333333333334</v>
      </c>
      <c r="AX175" s="490">
        <f t="shared" si="457"/>
        <v>20.025641025641026</v>
      </c>
      <c r="AY175" s="490">
        <f t="shared" si="457"/>
        <v>0.28205128205128205</v>
      </c>
      <c r="AZ175" s="490">
        <f t="shared" si="457"/>
        <v>0</v>
      </c>
      <c r="BA175" s="491">
        <f t="shared" si="457"/>
        <v>0</v>
      </c>
      <c r="BC175" s="4"/>
      <c r="BD175" s="4"/>
      <c r="BE175" s="1"/>
      <c r="BF175" s="636" t="s">
        <v>62</v>
      </c>
      <c r="BG175" s="498"/>
      <c r="BH175" s="489">
        <f t="shared" si="458"/>
        <v>3.0290387096774194</v>
      </c>
      <c r="BI175" s="490">
        <f t="shared" si="458"/>
        <v>8.1142857142857139</v>
      </c>
      <c r="BJ175" s="490">
        <f t="shared" si="458"/>
        <v>9.5384615384615383</v>
      </c>
      <c r="BK175" s="490">
        <f t="shared" si="458"/>
        <v>0.20512820512820512</v>
      </c>
      <c r="BL175" s="490">
        <f t="shared" si="458"/>
        <v>0</v>
      </c>
      <c r="BM175" s="491">
        <f t="shared" si="458"/>
        <v>0</v>
      </c>
    </row>
    <row r="176" spans="1:83" ht="15" thickBot="1" x14ac:dyDescent="0.35">
      <c r="H176" s="801"/>
      <c r="J176" s="511" t="s">
        <v>66</v>
      </c>
      <c r="K176" s="512">
        <f>SUM(K173:K175)</f>
        <v>46</v>
      </c>
      <c r="L176" s="512">
        <f t="shared" ref="L176:P176" si="459">SUM(L173:L175)</f>
        <v>48</v>
      </c>
      <c r="M176" s="512">
        <f t="shared" si="459"/>
        <v>72</v>
      </c>
      <c r="N176" s="512">
        <f t="shared" si="459"/>
        <v>11</v>
      </c>
      <c r="O176" s="512">
        <f t="shared" si="459"/>
        <v>0</v>
      </c>
      <c r="P176" s="512">
        <f t="shared" si="459"/>
        <v>0</v>
      </c>
      <c r="Q176" s="495" t="s">
        <v>66</v>
      </c>
      <c r="R176" s="492">
        <f>SUM(R173:R175)</f>
        <v>211.33951465201466</v>
      </c>
      <c r="S176" s="493">
        <f t="shared" ref="S176:AC176" si="460">SUM(S173:S175)</f>
        <v>179.14423076923077</v>
      </c>
      <c r="T176" s="493">
        <f t="shared" si="460"/>
        <v>282.73749218261412</v>
      </c>
      <c r="U176" s="493">
        <f t="shared" si="460"/>
        <v>13.923076923076923</v>
      </c>
      <c r="V176" s="493">
        <f t="shared" si="460"/>
        <v>0</v>
      </c>
      <c r="W176" s="494">
        <f t="shared" si="460"/>
        <v>0</v>
      </c>
      <c r="X176" s="492">
        <f t="shared" si="460"/>
        <v>172.43841575091574</v>
      </c>
      <c r="Y176" s="493">
        <f t="shared" si="460"/>
        <v>152.80723443223442</v>
      </c>
      <c r="Z176" s="493">
        <f t="shared" si="460"/>
        <v>239.90259537210758</v>
      </c>
      <c r="AA176" s="493">
        <f t="shared" si="460"/>
        <v>5.7838827838827847</v>
      </c>
      <c r="AB176" s="493">
        <f t="shared" si="460"/>
        <v>0</v>
      </c>
      <c r="AC176" s="494">
        <f t="shared" si="460"/>
        <v>0</v>
      </c>
      <c r="AG176" s="31"/>
      <c r="AH176" s="511" t="s">
        <v>66</v>
      </c>
      <c r="AI176" s="495"/>
      <c r="AJ176" s="492">
        <f t="shared" ref="AJ176:AO176" si="461">SUM(AJ173:AJ175)</f>
        <v>45.120302197802197</v>
      </c>
      <c r="AK176" s="493">
        <f t="shared" si="461"/>
        <v>69.203067765567766</v>
      </c>
      <c r="AL176" s="493">
        <f t="shared" si="461"/>
        <v>119.44969512195122</v>
      </c>
      <c r="AM176" s="493">
        <f t="shared" si="461"/>
        <v>6.4157509157509152</v>
      </c>
      <c r="AN176" s="493">
        <f t="shared" si="461"/>
        <v>0</v>
      </c>
      <c r="AO176" s="494">
        <f t="shared" si="461"/>
        <v>0</v>
      </c>
      <c r="AS176" s="31"/>
      <c r="AT176" s="511" t="s">
        <v>66</v>
      </c>
      <c r="AU176" s="495"/>
      <c r="AV176" s="492">
        <f t="shared" ref="AV176:BA176" si="462">SUM(AV173:AV175)</f>
        <v>82.813369963369951</v>
      </c>
      <c r="AW176" s="493">
        <f t="shared" si="462"/>
        <v>68.136904761904759</v>
      </c>
      <c r="AX176" s="493">
        <f t="shared" si="462"/>
        <v>105.21314102564102</v>
      </c>
      <c r="AY176" s="493">
        <f t="shared" si="462"/>
        <v>4.4725274725274726</v>
      </c>
      <c r="AZ176" s="493">
        <f t="shared" si="462"/>
        <v>0</v>
      </c>
      <c r="BA176" s="494">
        <f t="shared" si="462"/>
        <v>0</v>
      </c>
      <c r="BC176" s="4"/>
      <c r="BD176" s="4"/>
      <c r="BE176" s="31"/>
      <c r="BF176" s="511" t="s">
        <v>66</v>
      </c>
      <c r="BG176" s="495"/>
      <c r="BH176" s="492">
        <f t="shared" ref="BH176:BM176" si="463">SUM(BH173:BH175)</f>
        <v>4.1798079404466506</v>
      </c>
      <c r="BI176" s="493">
        <f t="shared" si="463"/>
        <v>35.811401098901101</v>
      </c>
      <c r="BJ176" s="493">
        <f t="shared" si="463"/>
        <v>49.720893970893975</v>
      </c>
      <c r="BK176" s="493">
        <f t="shared" si="463"/>
        <v>2.6923076923076925</v>
      </c>
      <c r="BL176" s="493">
        <f t="shared" si="463"/>
        <v>0</v>
      </c>
      <c r="BM176" s="494">
        <f t="shared" si="463"/>
        <v>0</v>
      </c>
    </row>
    <row r="177" spans="1:73" ht="15" thickBot="1" x14ac:dyDescent="0.35">
      <c r="J177" s="31"/>
      <c r="K177" s="479"/>
      <c r="L177" s="479"/>
      <c r="M177" s="479"/>
      <c r="N177" s="479"/>
      <c r="O177" s="479"/>
      <c r="P177" s="479"/>
      <c r="AG177" s="2"/>
      <c r="AH177" s="2"/>
      <c r="AI177" s="2"/>
      <c r="AJ177" s="517">
        <f>AJ176/R176</f>
        <v>0.2134967626479882</v>
      </c>
      <c r="AK177" s="517">
        <f>AK176/S176</f>
        <v>0.38629805419027685</v>
      </c>
      <c r="AL177" s="517">
        <f>AL176/T176</f>
        <v>0.42247561227147479</v>
      </c>
      <c r="AM177" s="517">
        <f t="shared" ref="AM177" si="464">AM176/U176</f>
        <v>0.46079978952907125</v>
      </c>
      <c r="AN177" s="517" t="e">
        <f t="shared" ref="AN177" si="465">AN176/V176</f>
        <v>#DIV/0!</v>
      </c>
      <c r="AO177" s="517" t="e">
        <f t="shared" ref="AO177" si="466">AO176/W176</f>
        <v>#DIV/0!</v>
      </c>
      <c r="AS177" s="2"/>
      <c r="AT177" s="2"/>
      <c r="AU177" s="2"/>
      <c r="AV177" s="517">
        <f>AV176/R176</f>
        <v>0.39184991079272596</v>
      </c>
      <c r="AW177" s="517">
        <f>AW176/S176</f>
        <v>0.38034663170189981</v>
      </c>
      <c r="AX177" s="517">
        <f t="shared" ref="AX177" si="467">AX176/T176</f>
        <v>0.3721230609122263</v>
      </c>
      <c r="AY177" s="517">
        <f t="shared" ref="AY177" si="468">AY176/U176</f>
        <v>0.32123125493291238</v>
      </c>
      <c r="AZ177" s="517" t="e">
        <f>AZ176/V176</f>
        <v>#DIV/0!</v>
      </c>
      <c r="BA177" s="517" t="e">
        <f>BA176/W176</f>
        <v>#DIV/0!</v>
      </c>
      <c r="BC177" s="4"/>
      <c r="BD177" s="4"/>
      <c r="BE177" s="2"/>
      <c r="BF177" s="2"/>
      <c r="BG177" s="2"/>
      <c r="BH177" s="2"/>
      <c r="BI177" s="2"/>
      <c r="BJ177" s="2"/>
      <c r="BK177" s="2"/>
      <c r="BL177" s="2"/>
      <c r="BM177" s="2"/>
    </row>
    <row r="178" spans="1:73" x14ac:dyDescent="0.3">
      <c r="J178" s="31"/>
      <c r="K178" s="479"/>
      <c r="M178" s="479"/>
      <c r="N178" s="479"/>
      <c r="O178" s="831" t="s">
        <v>216</v>
      </c>
      <c r="P178" s="479"/>
      <c r="R178" s="480" t="s">
        <v>159</v>
      </c>
      <c r="S178" s="481"/>
      <c r="T178" s="482"/>
      <c r="U178" s="556"/>
      <c r="V178" s="556"/>
      <c r="W178" s="556"/>
      <c r="X178" s="480" t="s">
        <v>44</v>
      </c>
      <c r="Y178" s="481"/>
      <c r="Z178" s="482"/>
      <c r="AA178" s="556"/>
      <c r="AB178" s="556"/>
      <c r="AC178" s="556"/>
      <c r="AD178" s="478"/>
      <c r="AG178" s="478"/>
      <c r="AH178" s="478"/>
      <c r="AI178" s="478"/>
      <c r="AJ178" s="480" t="s">
        <v>209</v>
      </c>
      <c r="AK178" s="481"/>
      <c r="AL178" s="482"/>
      <c r="AM178" s="661"/>
      <c r="AN178" s="661"/>
      <c r="AO178" s="662"/>
      <c r="AP178" s="478"/>
      <c r="AS178" s="478"/>
      <c r="AT178" s="478"/>
      <c r="AU178" s="478"/>
      <c r="AV178" s="480" t="s">
        <v>208</v>
      </c>
      <c r="AW178" s="481"/>
      <c r="AX178" s="482"/>
      <c r="AY178" s="661"/>
      <c r="AZ178" s="661"/>
      <c r="BA178" s="662"/>
      <c r="BC178" s="4"/>
      <c r="BD178" s="4"/>
      <c r="BE178" s="478"/>
      <c r="BF178" s="478"/>
      <c r="BG178" s="478"/>
      <c r="BH178" s="480" t="s">
        <v>207</v>
      </c>
      <c r="BI178" s="481"/>
      <c r="BJ178" s="482"/>
      <c r="BK178" s="661"/>
      <c r="BL178" s="661"/>
      <c r="BM178" s="662"/>
    </row>
    <row r="179" spans="1:73" ht="15" thickBot="1" x14ac:dyDescent="0.35">
      <c r="J179" s="31"/>
      <c r="K179" s="479"/>
      <c r="M179" s="479"/>
      <c r="N179" s="479"/>
      <c r="O179" s="831"/>
      <c r="P179" s="479"/>
      <c r="R179" s="521">
        <f>R$164</f>
        <v>2020</v>
      </c>
      <c r="S179" s="522">
        <f t="shared" ref="S179:AC179" si="469">S$164</f>
        <v>2021</v>
      </c>
      <c r="T179" s="522">
        <f t="shared" si="469"/>
        <v>2022</v>
      </c>
      <c r="U179" s="522">
        <f t="shared" si="469"/>
        <v>2023</v>
      </c>
      <c r="V179" s="522">
        <f t="shared" si="469"/>
        <v>2024</v>
      </c>
      <c r="W179" s="523">
        <f t="shared" si="469"/>
        <v>2025</v>
      </c>
      <c r="X179" s="521">
        <f t="shared" si="469"/>
        <v>2020</v>
      </c>
      <c r="Y179" s="522">
        <f t="shared" si="469"/>
        <v>2021</v>
      </c>
      <c r="Z179" s="522">
        <f t="shared" si="469"/>
        <v>2022</v>
      </c>
      <c r="AA179" s="522">
        <f t="shared" si="469"/>
        <v>2023</v>
      </c>
      <c r="AB179" s="522">
        <f t="shared" si="469"/>
        <v>2024</v>
      </c>
      <c r="AC179" s="523">
        <f t="shared" si="469"/>
        <v>2025</v>
      </c>
      <c r="AG179" s="653"/>
      <c r="AH179" s="634"/>
      <c r="AI179" s="499"/>
      <c r="AJ179" s="483">
        <f t="shared" ref="AJ179:AO179" si="470">AJ$164</f>
        <v>2020</v>
      </c>
      <c r="AK179" s="484">
        <f t="shared" si="470"/>
        <v>2021</v>
      </c>
      <c r="AL179" s="484">
        <f t="shared" si="470"/>
        <v>2022</v>
      </c>
      <c r="AM179" s="484">
        <f t="shared" si="470"/>
        <v>2023</v>
      </c>
      <c r="AN179" s="484">
        <f t="shared" si="470"/>
        <v>2024</v>
      </c>
      <c r="AO179" s="485">
        <f t="shared" si="470"/>
        <v>2025</v>
      </c>
      <c r="AS179" s="653"/>
      <c r="AT179" s="634"/>
      <c r="AU179" s="499"/>
      <c r="AV179" s="483">
        <f t="shared" ref="AV179:BA179" si="471">AV$164</f>
        <v>2020</v>
      </c>
      <c r="AW179" s="484">
        <f t="shared" si="471"/>
        <v>2021</v>
      </c>
      <c r="AX179" s="484">
        <f t="shared" si="471"/>
        <v>2022</v>
      </c>
      <c r="AY179" s="484">
        <f t="shared" si="471"/>
        <v>2023</v>
      </c>
      <c r="AZ179" s="484">
        <f t="shared" si="471"/>
        <v>2024</v>
      </c>
      <c r="BA179" s="485">
        <f t="shared" si="471"/>
        <v>2025</v>
      </c>
      <c r="BC179" s="4"/>
      <c r="BD179" s="4"/>
      <c r="BE179" s="653"/>
      <c r="BF179" s="634"/>
      <c r="BG179" s="499"/>
      <c r="BH179" s="483">
        <f t="shared" ref="BH179:BM179" si="472">BH$164</f>
        <v>2020</v>
      </c>
      <c r="BI179" s="484">
        <f t="shared" si="472"/>
        <v>2021</v>
      </c>
      <c r="BJ179" s="484">
        <f t="shared" si="472"/>
        <v>2022</v>
      </c>
      <c r="BK179" s="484">
        <f t="shared" si="472"/>
        <v>2023</v>
      </c>
      <c r="BL179" s="484">
        <f t="shared" si="472"/>
        <v>2024</v>
      </c>
      <c r="BM179" s="485">
        <f t="shared" si="472"/>
        <v>2025</v>
      </c>
    </row>
    <row r="180" spans="1:73" x14ac:dyDescent="0.3">
      <c r="B180" s="1" t="str">
        <f>B5</f>
        <v>UP Cluses</v>
      </c>
      <c r="N180" s="479"/>
      <c r="O180" s="831"/>
      <c r="Q180" s="528" t="s">
        <v>70</v>
      </c>
      <c r="R180" s="529">
        <f t="shared" ref="R180:AC180" si="473">R8</f>
        <v>63</v>
      </c>
      <c r="S180" s="524">
        <f t="shared" si="473"/>
        <v>102</v>
      </c>
      <c r="T180" s="524">
        <f t="shared" si="473"/>
        <v>72</v>
      </c>
      <c r="U180" s="524">
        <f t="shared" si="473"/>
        <v>176</v>
      </c>
      <c r="V180" s="524">
        <f t="shared" si="473"/>
        <v>0</v>
      </c>
      <c r="W180" s="525">
        <f t="shared" si="473"/>
        <v>0</v>
      </c>
      <c r="X180" s="529">
        <f t="shared" si="473"/>
        <v>29</v>
      </c>
      <c r="Y180" s="524">
        <f t="shared" si="473"/>
        <v>94</v>
      </c>
      <c r="Z180" s="524">
        <f t="shared" si="473"/>
        <v>72</v>
      </c>
      <c r="AA180" s="524">
        <f t="shared" si="473"/>
        <v>0</v>
      </c>
      <c r="AB180" s="524">
        <f t="shared" si="473"/>
        <v>0</v>
      </c>
      <c r="AC180" s="525">
        <f t="shared" si="473"/>
        <v>0</v>
      </c>
      <c r="AD180" s="519"/>
      <c r="AG180" s="654"/>
      <c r="AH180" s="637" t="s">
        <v>70</v>
      </c>
      <c r="AI180" s="656"/>
      <c r="AJ180" s="529">
        <f t="shared" ref="AJ180:AO180" si="474">AJ8</f>
        <v>2</v>
      </c>
      <c r="AK180" s="524">
        <f t="shared" si="474"/>
        <v>2</v>
      </c>
      <c r="AL180" s="524">
        <f t="shared" si="474"/>
        <v>0</v>
      </c>
      <c r="AM180" s="524">
        <f t="shared" si="474"/>
        <v>45</v>
      </c>
      <c r="AN180" s="524">
        <f t="shared" si="474"/>
        <v>0</v>
      </c>
      <c r="AO180" s="525">
        <f t="shared" si="474"/>
        <v>0</v>
      </c>
      <c r="AP180" s="519"/>
      <c r="AS180" s="654"/>
      <c r="AT180" s="637" t="s">
        <v>70</v>
      </c>
      <c r="AU180" s="656"/>
      <c r="AV180" s="529">
        <f t="shared" ref="AV180:BA180" si="475">AV8</f>
        <v>17</v>
      </c>
      <c r="AW180" s="524">
        <f t="shared" si="475"/>
        <v>18</v>
      </c>
      <c r="AX180" s="524">
        <f t="shared" si="475"/>
        <v>0</v>
      </c>
      <c r="AY180" s="524">
        <f t="shared" si="475"/>
        <v>60</v>
      </c>
      <c r="AZ180" s="524">
        <f t="shared" si="475"/>
        <v>0</v>
      </c>
      <c r="BA180" s="525">
        <f t="shared" si="475"/>
        <v>0</v>
      </c>
      <c r="BB180" s="519"/>
      <c r="BC180" s="4"/>
      <c r="BD180" s="4"/>
      <c r="BE180" s="654"/>
      <c r="BF180" s="637" t="s">
        <v>70</v>
      </c>
      <c r="BG180" s="656"/>
      <c r="BH180" s="529">
        <f t="shared" ref="BH180:BM180" si="476">BH8</f>
        <v>2</v>
      </c>
      <c r="BI180" s="524">
        <f t="shared" si="476"/>
        <v>2</v>
      </c>
      <c r="BJ180" s="524">
        <f t="shared" si="476"/>
        <v>0</v>
      </c>
      <c r="BK180" s="524">
        <f t="shared" si="476"/>
        <v>16</v>
      </c>
      <c r="BL180" s="524">
        <f t="shared" si="476"/>
        <v>0</v>
      </c>
      <c r="BM180" s="525">
        <f t="shared" si="476"/>
        <v>0</v>
      </c>
      <c r="BN180" s="1"/>
      <c r="BO180" s="1"/>
      <c r="BP180" s="1"/>
      <c r="BQ180" s="1"/>
      <c r="BR180" s="1"/>
      <c r="BS180" s="1"/>
      <c r="BT180" s="1"/>
    </row>
    <row r="181" spans="1:73" x14ac:dyDescent="0.3">
      <c r="B181" s="1" t="str">
        <f>B9</f>
        <v>L'Abeille (Contamine)</v>
      </c>
      <c r="N181" s="479"/>
      <c r="O181" s="831"/>
      <c r="Q181" s="530" t="s">
        <v>210</v>
      </c>
      <c r="R181" s="531">
        <f t="shared" ref="R181:AC181" si="477">R12</f>
        <v>0</v>
      </c>
      <c r="S181" s="526">
        <f t="shared" si="477"/>
        <v>0</v>
      </c>
      <c r="T181" s="526">
        <f t="shared" si="477"/>
        <v>20</v>
      </c>
      <c r="U181" s="526">
        <f t="shared" si="477"/>
        <v>0</v>
      </c>
      <c r="V181" s="526">
        <f t="shared" si="477"/>
        <v>0</v>
      </c>
      <c r="W181" s="527">
        <f t="shared" si="477"/>
        <v>0</v>
      </c>
      <c r="X181" s="531">
        <f t="shared" si="477"/>
        <v>0</v>
      </c>
      <c r="Y181" s="526">
        <f t="shared" si="477"/>
        <v>0</v>
      </c>
      <c r="Z181" s="526">
        <f t="shared" si="477"/>
        <v>9</v>
      </c>
      <c r="AA181" s="526">
        <f t="shared" si="477"/>
        <v>0</v>
      </c>
      <c r="AB181" s="526">
        <f t="shared" si="477"/>
        <v>0</v>
      </c>
      <c r="AC181" s="527">
        <f t="shared" si="477"/>
        <v>0</v>
      </c>
      <c r="AD181" s="519"/>
      <c r="AG181" s="654"/>
      <c r="AH181" s="638" t="s">
        <v>210</v>
      </c>
      <c r="AI181" s="657"/>
      <c r="AJ181" s="531">
        <f t="shared" ref="AJ181:AO181" si="478">AJ12</f>
        <v>0</v>
      </c>
      <c r="AK181" s="526">
        <f t="shared" si="478"/>
        <v>0</v>
      </c>
      <c r="AL181" s="526">
        <f t="shared" si="478"/>
        <v>8</v>
      </c>
      <c r="AM181" s="526">
        <f t="shared" si="478"/>
        <v>0</v>
      </c>
      <c r="AN181" s="526">
        <f t="shared" si="478"/>
        <v>0</v>
      </c>
      <c r="AO181" s="527">
        <f t="shared" si="478"/>
        <v>0</v>
      </c>
      <c r="AP181" s="519"/>
      <c r="AS181" s="654"/>
      <c r="AT181" s="638" t="s">
        <v>210</v>
      </c>
      <c r="AU181" s="657"/>
      <c r="AV181" s="531">
        <f t="shared" ref="AV181:BA181" si="479">AV12</f>
        <v>0</v>
      </c>
      <c r="AW181" s="526">
        <f t="shared" si="479"/>
        <v>0</v>
      </c>
      <c r="AX181" s="526">
        <f t="shared" si="479"/>
        <v>4</v>
      </c>
      <c r="AY181" s="526">
        <f t="shared" si="479"/>
        <v>0</v>
      </c>
      <c r="AZ181" s="526">
        <f t="shared" si="479"/>
        <v>0</v>
      </c>
      <c r="BA181" s="527">
        <f t="shared" si="479"/>
        <v>0</v>
      </c>
      <c r="BB181" s="519"/>
      <c r="BC181" s="4"/>
      <c r="BD181" s="4"/>
      <c r="BE181" s="654"/>
      <c r="BF181" s="638" t="s">
        <v>210</v>
      </c>
      <c r="BG181" s="657"/>
      <c r="BH181" s="531">
        <f t="shared" ref="BH181:BM181" si="480">BH12</f>
        <v>0</v>
      </c>
      <c r="BI181" s="526">
        <f t="shared" si="480"/>
        <v>0</v>
      </c>
      <c r="BJ181" s="526">
        <f t="shared" si="480"/>
        <v>2</v>
      </c>
      <c r="BK181" s="526">
        <f t="shared" si="480"/>
        <v>0</v>
      </c>
      <c r="BL181" s="526">
        <f t="shared" si="480"/>
        <v>0</v>
      </c>
      <c r="BM181" s="527">
        <f t="shared" si="480"/>
        <v>0</v>
      </c>
      <c r="BN181" s="1"/>
      <c r="BO181" s="1"/>
      <c r="BP181" s="1"/>
      <c r="BQ181" s="1"/>
      <c r="BR181" s="1"/>
      <c r="BS181" s="1"/>
      <c r="BT181" s="1"/>
    </row>
    <row r="182" spans="1:73" x14ac:dyDescent="0.3">
      <c r="B182" s="1" t="str">
        <f>B13</f>
        <v>AMDC (Chablais)</v>
      </c>
      <c r="N182" s="479"/>
      <c r="O182" s="831"/>
      <c r="Q182" s="530" t="s">
        <v>211</v>
      </c>
      <c r="R182" s="531">
        <f t="shared" ref="R182:AC182" si="481">R34</f>
        <v>0</v>
      </c>
      <c r="S182" s="526">
        <f t="shared" si="481"/>
        <v>0</v>
      </c>
      <c r="T182" s="526">
        <f t="shared" si="481"/>
        <v>694</v>
      </c>
      <c r="U182" s="526">
        <f t="shared" si="481"/>
        <v>0</v>
      </c>
      <c r="V182" s="526">
        <f t="shared" si="481"/>
        <v>0</v>
      </c>
      <c r="W182" s="527">
        <f t="shared" si="481"/>
        <v>0</v>
      </c>
      <c r="X182" s="531">
        <f t="shared" si="481"/>
        <v>0</v>
      </c>
      <c r="Y182" s="526">
        <f t="shared" si="481"/>
        <v>0</v>
      </c>
      <c r="Z182" s="526">
        <f t="shared" si="481"/>
        <v>611</v>
      </c>
      <c r="AA182" s="526">
        <f t="shared" si="481"/>
        <v>0</v>
      </c>
      <c r="AB182" s="526">
        <f t="shared" si="481"/>
        <v>0</v>
      </c>
      <c r="AC182" s="527">
        <f t="shared" si="481"/>
        <v>0</v>
      </c>
      <c r="AD182" s="519"/>
      <c r="AG182" s="654"/>
      <c r="AH182" s="638" t="s">
        <v>211</v>
      </c>
      <c r="AI182" s="657"/>
      <c r="AJ182" s="531">
        <f t="shared" ref="AJ182:AO182" si="482">AJ34</f>
        <v>0</v>
      </c>
      <c r="AK182" s="526">
        <f t="shared" si="482"/>
        <v>0</v>
      </c>
      <c r="AL182" s="526">
        <f t="shared" si="482"/>
        <v>171</v>
      </c>
      <c r="AM182" s="526">
        <f t="shared" si="482"/>
        <v>0</v>
      </c>
      <c r="AN182" s="526">
        <f t="shared" si="482"/>
        <v>0</v>
      </c>
      <c r="AO182" s="527">
        <f t="shared" si="482"/>
        <v>0</v>
      </c>
      <c r="AP182" s="519"/>
      <c r="AS182" s="654"/>
      <c r="AT182" s="638" t="s">
        <v>211</v>
      </c>
      <c r="AU182" s="657"/>
      <c r="AV182" s="531">
        <f t="shared" ref="AV182:BA182" si="483">AV34</f>
        <v>0</v>
      </c>
      <c r="AW182" s="526">
        <f t="shared" si="483"/>
        <v>0</v>
      </c>
      <c r="AX182" s="526">
        <f t="shared" si="483"/>
        <v>267</v>
      </c>
      <c r="AY182" s="526">
        <f t="shared" si="483"/>
        <v>0</v>
      </c>
      <c r="AZ182" s="526">
        <f t="shared" si="483"/>
        <v>0</v>
      </c>
      <c r="BA182" s="527">
        <f t="shared" si="483"/>
        <v>0</v>
      </c>
      <c r="BB182" s="519"/>
      <c r="BC182" s="4"/>
      <c r="BD182" s="4"/>
      <c r="BE182" s="654"/>
      <c r="BF182" s="638" t="s">
        <v>211</v>
      </c>
      <c r="BG182" s="657"/>
      <c r="BH182" s="531">
        <f t="shared" ref="BH182:BM182" si="484">BH34</f>
        <v>0</v>
      </c>
      <c r="BI182" s="526">
        <f t="shared" si="484"/>
        <v>0</v>
      </c>
      <c r="BJ182" s="526">
        <f t="shared" si="484"/>
        <v>93</v>
      </c>
      <c r="BK182" s="526">
        <f t="shared" si="484"/>
        <v>0</v>
      </c>
      <c r="BL182" s="526">
        <f t="shared" si="484"/>
        <v>0</v>
      </c>
      <c r="BM182" s="527">
        <f t="shared" si="484"/>
        <v>0</v>
      </c>
      <c r="BN182" s="1"/>
      <c r="BO182" s="1"/>
      <c r="BP182" s="1"/>
      <c r="BQ182" s="1"/>
      <c r="BR182" s="1"/>
      <c r="BS182" s="1"/>
      <c r="BT182" s="1"/>
    </row>
    <row r="183" spans="1:73" x14ac:dyDescent="0.3">
      <c r="B183" s="1" t="str">
        <f>B35</f>
        <v>NatEnv (Nature Environnement en Pays rochois)
Fabrique à Biclou
Pays rochois en Transition</v>
      </c>
      <c r="N183" s="479"/>
      <c r="O183" s="831"/>
      <c r="Q183" s="532" t="s">
        <v>212</v>
      </c>
      <c r="R183" s="531">
        <f t="shared" ref="R183:AC183" si="485">R49</f>
        <v>172</v>
      </c>
      <c r="S183" s="526">
        <f t="shared" si="485"/>
        <v>295</v>
      </c>
      <c r="T183" s="526">
        <f t="shared" si="485"/>
        <v>285</v>
      </c>
      <c r="U183" s="526">
        <f t="shared" si="485"/>
        <v>0</v>
      </c>
      <c r="V183" s="526">
        <f t="shared" si="485"/>
        <v>0</v>
      </c>
      <c r="W183" s="527">
        <f t="shared" si="485"/>
        <v>0</v>
      </c>
      <c r="X183" s="531">
        <f t="shared" si="485"/>
        <v>111</v>
      </c>
      <c r="Y183" s="526">
        <f t="shared" si="485"/>
        <v>193</v>
      </c>
      <c r="Z183" s="526">
        <f t="shared" si="485"/>
        <v>106</v>
      </c>
      <c r="AA183" s="526">
        <f t="shared" si="485"/>
        <v>0</v>
      </c>
      <c r="AB183" s="526">
        <f t="shared" si="485"/>
        <v>0</v>
      </c>
      <c r="AC183" s="527">
        <f t="shared" si="485"/>
        <v>0</v>
      </c>
      <c r="AD183" s="519"/>
      <c r="AG183" s="655"/>
      <c r="AH183" s="639" t="s">
        <v>212</v>
      </c>
      <c r="AI183" s="658"/>
      <c r="AJ183" s="531">
        <f t="shared" ref="AJ183:AO183" si="486">AJ49</f>
        <v>42</v>
      </c>
      <c r="AK183" s="526">
        <f t="shared" si="486"/>
        <v>74</v>
      </c>
      <c r="AL183" s="526">
        <f t="shared" si="486"/>
        <v>89</v>
      </c>
      <c r="AM183" s="526">
        <f t="shared" si="486"/>
        <v>0</v>
      </c>
      <c r="AN183" s="526">
        <f t="shared" si="486"/>
        <v>0</v>
      </c>
      <c r="AO183" s="527">
        <f t="shared" si="486"/>
        <v>0</v>
      </c>
      <c r="AP183" s="519"/>
      <c r="AS183" s="655"/>
      <c r="AT183" s="639" t="s">
        <v>212</v>
      </c>
      <c r="AU183" s="658"/>
      <c r="AV183" s="531">
        <f t="shared" ref="AV183:BA183" si="487">AV49</f>
        <v>53</v>
      </c>
      <c r="AW183" s="526">
        <f t="shared" si="487"/>
        <v>87</v>
      </c>
      <c r="AX183" s="526">
        <f t="shared" si="487"/>
        <v>72</v>
      </c>
      <c r="AY183" s="526">
        <f t="shared" si="487"/>
        <v>0</v>
      </c>
      <c r="AZ183" s="526">
        <f t="shared" si="487"/>
        <v>0</v>
      </c>
      <c r="BA183" s="527">
        <f t="shared" si="487"/>
        <v>0</v>
      </c>
      <c r="BB183" s="519"/>
      <c r="BC183" s="4"/>
      <c r="BD183" s="4"/>
      <c r="BE183" s="655"/>
      <c r="BF183" s="639" t="s">
        <v>212</v>
      </c>
      <c r="BG183" s="658"/>
      <c r="BH183" s="531">
        <f t="shared" ref="BH183:BM183" si="488">BH49</f>
        <v>0</v>
      </c>
      <c r="BI183" s="526">
        <f t="shared" si="488"/>
        <v>0</v>
      </c>
      <c r="BJ183" s="526">
        <f t="shared" si="488"/>
        <v>0</v>
      </c>
      <c r="BK183" s="526">
        <f t="shared" si="488"/>
        <v>0</v>
      </c>
      <c r="BL183" s="526">
        <f t="shared" si="488"/>
        <v>0</v>
      </c>
      <c r="BM183" s="527">
        <f t="shared" si="488"/>
        <v>0</v>
      </c>
      <c r="BN183" s="1"/>
      <c r="BO183" s="1"/>
      <c r="BP183" s="1"/>
      <c r="BQ183" s="1"/>
      <c r="BR183" s="1"/>
      <c r="BS183" s="1"/>
      <c r="BT183" s="1"/>
    </row>
    <row r="184" spans="1:73" x14ac:dyDescent="0.3">
      <c r="B184" s="1" t="str">
        <f>B50</f>
        <v>AERE (Association Environnement Reignier-Esery)</v>
      </c>
      <c r="N184" s="479"/>
      <c r="O184" s="831"/>
      <c r="Q184" s="530" t="s">
        <v>0</v>
      </c>
      <c r="R184" s="531">
        <f t="shared" ref="R184:AC184" si="489">R64</f>
        <v>159</v>
      </c>
      <c r="S184" s="526">
        <f t="shared" si="489"/>
        <v>198</v>
      </c>
      <c r="T184" s="526">
        <f t="shared" si="489"/>
        <v>148</v>
      </c>
      <c r="U184" s="526">
        <f t="shared" si="489"/>
        <v>356</v>
      </c>
      <c r="V184" s="526">
        <f t="shared" si="489"/>
        <v>0</v>
      </c>
      <c r="W184" s="527">
        <f t="shared" si="489"/>
        <v>0</v>
      </c>
      <c r="X184" s="531">
        <f t="shared" si="489"/>
        <v>95</v>
      </c>
      <c r="Y184" s="526">
        <f t="shared" si="489"/>
        <v>128</v>
      </c>
      <c r="Z184" s="526">
        <f t="shared" si="489"/>
        <v>96</v>
      </c>
      <c r="AA184" s="526">
        <f t="shared" si="489"/>
        <v>216</v>
      </c>
      <c r="AB184" s="526">
        <f t="shared" si="489"/>
        <v>0</v>
      </c>
      <c r="AC184" s="527">
        <f t="shared" si="489"/>
        <v>0</v>
      </c>
      <c r="AD184" s="519"/>
      <c r="AG184" s="654"/>
      <c r="AH184" s="638" t="s">
        <v>0</v>
      </c>
      <c r="AI184" s="657"/>
      <c r="AJ184" s="531">
        <f t="shared" ref="AJ184:AO184" si="490">AJ64</f>
        <v>44.97</v>
      </c>
      <c r="AK184" s="526">
        <f t="shared" si="490"/>
        <v>94</v>
      </c>
      <c r="AL184" s="526">
        <f t="shared" si="490"/>
        <v>73</v>
      </c>
      <c r="AM184" s="526">
        <f t="shared" si="490"/>
        <v>190</v>
      </c>
      <c r="AN184" s="526">
        <f t="shared" si="490"/>
        <v>0</v>
      </c>
      <c r="AO184" s="527">
        <f t="shared" si="490"/>
        <v>0</v>
      </c>
      <c r="AP184" s="519"/>
      <c r="AS184" s="654"/>
      <c r="AT184" s="638" t="s">
        <v>0</v>
      </c>
      <c r="AU184" s="657"/>
      <c r="AV184" s="531">
        <f t="shared" ref="AV184:BA184" si="491">AV64</f>
        <v>19.020000000000003</v>
      </c>
      <c r="AW184" s="526">
        <f t="shared" si="491"/>
        <v>46</v>
      </c>
      <c r="AX184" s="526">
        <f t="shared" si="491"/>
        <v>33</v>
      </c>
      <c r="AY184" s="526">
        <f t="shared" si="491"/>
        <v>116</v>
      </c>
      <c r="AZ184" s="526">
        <f t="shared" si="491"/>
        <v>0</v>
      </c>
      <c r="BA184" s="527">
        <f t="shared" si="491"/>
        <v>0</v>
      </c>
      <c r="BB184" s="519"/>
      <c r="BC184" s="4"/>
      <c r="BD184" s="4"/>
      <c r="BE184" s="654"/>
      <c r="BF184" s="638" t="s">
        <v>0</v>
      </c>
      <c r="BG184" s="657"/>
      <c r="BH184" s="531">
        <f t="shared" ref="BH184:BM184" si="492">BH64</f>
        <v>12.96</v>
      </c>
      <c r="BI184" s="526">
        <f t="shared" si="492"/>
        <v>29</v>
      </c>
      <c r="BJ184" s="526">
        <f t="shared" si="492"/>
        <v>24</v>
      </c>
      <c r="BK184" s="526">
        <f t="shared" si="492"/>
        <v>81</v>
      </c>
      <c r="BL184" s="526">
        <f t="shared" si="492"/>
        <v>0</v>
      </c>
      <c r="BM184" s="527">
        <f t="shared" si="492"/>
        <v>0</v>
      </c>
      <c r="BN184" s="1"/>
      <c r="BO184" s="1"/>
      <c r="BP184" s="1"/>
      <c r="BQ184" s="1"/>
      <c r="BR184" s="1"/>
      <c r="BS184" s="1"/>
      <c r="BT184" s="1"/>
    </row>
    <row r="185" spans="1:73" x14ac:dyDescent="0.3">
      <c r="B185" s="1" t="str">
        <f>B66</f>
        <v>EVAV (En Ville A Vélo)</v>
      </c>
      <c r="N185" s="479"/>
      <c r="O185" s="831"/>
      <c r="Q185" s="530" t="s">
        <v>4</v>
      </c>
      <c r="R185" s="531">
        <f t="shared" ref="R185:AC185" si="493">R77</f>
        <v>1664</v>
      </c>
      <c r="S185" s="526">
        <f t="shared" si="493"/>
        <v>760</v>
      </c>
      <c r="T185" s="526">
        <f t="shared" si="493"/>
        <v>1614</v>
      </c>
      <c r="U185" s="526">
        <f t="shared" si="493"/>
        <v>0</v>
      </c>
      <c r="V185" s="526">
        <f t="shared" si="493"/>
        <v>0</v>
      </c>
      <c r="W185" s="527">
        <f t="shared" si="493"/>
        <v>0</v>
      </c>
      <c r="X185" s="531">
        <f t="shared" si="493"/>
        <v>509</v>
      </c>
      <c r="Y185" s="526">
        <f t="shared" si="493"/>
        <v>414</v>
      </c>
      <c r="Z185" s="526">
        <f t="shared" si="493"/>
        <v>920</v>
      </c>
      <c r="AA185" s="526">
        <f t="shared" si="493"/>
        <v>0</v>
      </c>
      <c r="AB185" s="526">
        <f t="shared" si="493"/>
        <v>0</v>
      </c>
      <c r="AC185" s="527">
        <f t="shared" si="493"/>
        <v>0</v>
      </c>
      <c r="AD185" s="519"/>
      <c r="AG185" s="654"/>
      <c r="AH185" s="638" t="s">
        <v>4</v>
      </c>
      <c r="AI185" s="657"/>
      <c r="AJ185" s="531">
        <f t="shared" ref="AJ185:AO185" si="494">AJ77</f>
        <v>705</v>
      </c>
      <c r="AK185" s="526">
        <f t="shared" si="494"/>
        <v>290</v>
      </c>
      <c r="AL185" s="526">
        <f t="shared" si="494"/>
        <v>717</v>
      </c>
      <c r="AM185" s="526">
        <f t="shared" si="494"/>
        <v>0</v>
      </c>
      <c r="AN185" s="526">
        <f t="shared" si="494"/>
        <v>0</v>
      </c>
      <c r="AO185" s="527">
        <f t="shared" si="494"/>
        <v>0</v>
      </c>
      <c r="AP185" s="519"/>
      <c r="AS185" s="654"/>
      <c r="AT185" s="638" t="s">
        <v>4</v>
      </c>
      <c r="AU185" s="657"/>
      <c r="AV185" s="531">
        <f t="shared" ref="AV185:BA185" si="495">AV77</f>
        <v>697</v>
      </c>
      <c r="AW185" s="526">
        <f t="shared" si="495"/>
        <v>314</v>
      </c>
      <c r="AX185" s="526">
        <f t="shared" si="495"/>
        <v>617</v>
      </c>
      <c r="AY185" s="526">
        <f t="shared" si="495"/>
        <v>0</v>
      </c>
      <c r="AZ185" s="526">
        <f t="shared" si="495"/>
        <v>0</v>
      </c>
      <c r="BA185" s="527">
        <f t="shared" si="495"/>
        <v>0</v>
      </c>
      <c r="BB185" s="519"/>
      <c r="BC185" s="4"/>
      <c r="BD185" s="4"/>
      <c r="BE185" s="654"/>
      <c r="BF185" s="638" t="s">
        <v>4</v>
      </c>
      <c r="BG185" s="657"/>
      <c r="BH185" s="531">
        <f t="shared" ref="BH185:BM185" si="496">BH77</f>
        <v>0</v>
      </c>
      <c r="BI185" s="526">
        <f t="shared" si="496"/>
        <v>0</v>
      </c>
      <c r="BJ185" s="526">
        <f t="shared" si="496"/>
        <v>0</v>
      </c>
      <c r="BK185" s="526">
        <f t="shared" si="496"/>
        <v>0</v>
      </c>
      <c r="BL185" s="526">
        <f t="shared" si="496"/>
        <v>0</v>
      </c>
      <c r="BM185" s="527">
        <f t="shared" si="496"/>
        <v>0</v>
      </c>
      <c r="BN185" s="1"/>
      <c r="BO185" s="1"/>
      <c r="BP185" s="1"/>
      <c r="BQ185" s="1"/>
      <c r="BR185" s="1"/>
      <c r="BS185" s="1"/>
      <c r="BT185" s="1"/>
    </row>
    <row r="186" spans="1:73" x14ac:dyDescent="0.3">
      <c r="B186" s="1" t="str">
        <f>B78</f>
        <v>Le Préau</v>
      </c>
      <c r="N186" s="479"/>
      <c r="O186" s="831"/>
      <c r="Q186" s="530" t="s">
        <v>167</v>
      </c>
      <c r="R186" s="531">
        <f t="shared" ref="R186:AC186" si="497">R85</f>
        <v>0</v>
      </c>
      <c r="S186" s="526">
        <f t="shared" si="497"/>
        <v>5</v>
      </c>
      <c r="T186" s="526">
        <f t="shared" si="497"/>
        <v>31</v>
      </c>
      <c r="U186" s="526">
        <f t="shared" si="497"/>
        <v>49</v>
      </c>
      <c r="V186" s="526">
        <f t="shared" si="497"/>
        <v>0</v>
      </c>
      <c r="W186" s="527">
        <f t="shared" si="497"/>
        <v>0</v>
      </c>
      <c r="X186" s="531">
        <f t="shared" si="497"/>
        <v>0</v>
      </c>
      <c r="Y186" s="526">
        <f t="shared" si="497"/>
        <v>4</v>
      </c>
      <c r="Z186" s="526">
        <f t="shared" si="497"/>
        <v>12</v>
      </c>
      <c r="AA186" s="526">
        <f t="shared" si="497"/>
        <v>25</v>
      </c>
      <c r="AB186" s="526">
        <f t="shared" si="497"/>
        <v>0</v>
      </c>
      <c r="AC186" s="527">
        <f t="shared" si="497"/>
        <v>0</v>
      </c>
      <c r="AD186" s="519"/>
      <c r="AG186" s="654"/>
      <c r="AH186" s="638" t="s">
        <v>167</v>
      </c>
      <c r="AI186" s="657"/>
      <c r="AJ186" s="531">
        <f t="shared" ref="AJ186:AO186" si="498">AJ85</f>
        <v>0</v>
      </c>
      <c r="AK186" s="526">
        <f t="shared" si="498"/>
        <v>2</v>
      </c>
      <c r="AL186" s="526">
        <f t="shared" si="498"/>
        <v>19</v>
      </c>
      <c r="AM186" s="526">
        <f t="shared" si="498"/>
        <v>32</v>
      </c>
      <c r="AN186" s="526">
        <f t="shared" si="498"/>
        <v>0</v>
      </c>
      <c r="AO186" s="527">
        <f t="shared" si="498"/>
        <v>0</v>
      </c>
      <c r="AP186" s="519"/>
      <c r="AS186" s="654"/>
      <c r="AT186" s="638" t="s">
        <v>167</v>
      </c>
      <c r="AU186" s="657"/>
      <c r="AV186" s="531">
        <f t="shared" ref="AV186:BA186" si="499">AV85</f>
        <v>0</v>
      </c>
      <c r="AW186" s="526">
        <f t="shared" si="499"/>
        <v>1</v>
      </c>
      <c r="AX186" s="526">
        <f t="shared" si="499"/>
        <v>7</v>
      </c>
      <c r="AY186" s="526">
        <f t="shared" si="499"/>
        <v>11</v>
      </c>
      <c r="AZ186" s="526">
        <f t="shared" si="499"/>
        <v>0</v>
      </c>
      <c r="BA186" s="527">
        <f t="shared" si="499"/>
        <v>0</v>
      </c>
      <c r="BB186" s="519"/>
      <c r="BC186" s="4"/>
      <c r="BD186" s="4"/>
      <c r="BE186" s="654"/>
      <c r="BF186" s="638" t="s">
        <v>167</v>
      </c>
      <c r="BG186" s="657"/>
      <c r="BH186" s="531">
        <f t="shared" ref="BH186:BM186" si="500">BH85</f>
        <v>0</v>
      </c>
      <c r="BI186" s="526">
        <f t="shared" si="500"/>
        <v>0</v>
      </c>
      <c r="BJ186" s="526">
        <f t="shared" si="500"/>
        <v>5</v>
      </c>
      <c r="BK186" s="526">
        <f t="shared" si="500"/>
        <v>8</v>
      </c>
      <c r="BL186" s="526">
        <f t="shared" si="500"/>
        <v>0</v>
      </c>
      <c r="BM186" s="527">
        <f t="shared" si="500"/>
        <v>0</v>
      </c>
      <c r="BN186" s="1"/>
      <c r="BO186" s="1"/>
      <c r="BP186" s="1"/>
      <c r="BQ186" s="1"/>
      <c r="BR186" s="1"/>
      <c r="BS186" s="1"/>
      <c r="BT186" s="1"/>
    </row>
    <row r="187" spans="1:73" x14ac:dyDescent="0.3">
      <c r="B187" s="1" t="str">
        <f>B86</f>
        <v>Salève Vivant</v>
      </c>
      <c r="N187" s="479"/>
      <c r="O187" s="831"/>
      <c r="Q187" s="530" t="s">
        <v>1</v>
      </c>
      <c r="R187" s="531">
        <f>R95</f>
        <v>158</v>
      </c>
      <c r="S187" s="526">
        <f t="shared" ref="S187:Z187" si="501">S95</f>
        <v>241</v>
      </c>
      <c r="T187" s="526">
        <f t="shared" si="501"/>
        <v>201</v>
      </c>
      <c r="U187" s="526">
        <f t="shared" ref="U187:W187" si="502">U95</f>
        <v>0</v>
      </c>
      <c r="V187" s="526">
        <f t="shared" si="502"/>
        <v>0</v>
      </c>
      <c r="W187" s="527">
        <f t="shared" si="502"/>
        <v>0</v>
      </c>
      <c r="X187" s="531">
        <f t="shared" si="501"/>
        <v>158</v>
      </c>
      <c r="Y187" s="526">
        <f t="shared" si="501"/>
        <v>177</v>
      </c>
      <c r="Z187" s="526">
        <f t="shared" si="501"/>
        <v>201</v>
      </c>
      <c r="AA187" s="526">
        <f t="shared" ref="AA187:AC187" si="503">AA95</f>
        <v>0</v>
      </c>
      <c r="AB187" s="526">
        <f t="shared" si="503"/>
        <v>0</v>
      </c>
      <c r="AC187" s="527">
        <f t="shared" si="503"/>
        <v>0</v>
      </c>
      <c r="AD187" s="519"/>
      <c r="AG187" s="654"/>
      <c r="AH187" s="638" t="s">
        <v>1</v>
      </c>
      <c r="AI187" s="657"/>
      <c r="AJ187" s="531">
        <f>AJ95</f>
        <v>98</v>
      </c>
      <c r="AK187" s="526">
        <f t="shared" ref="AK187:AL187" si="504">AK95</f>
        <v>164</v>
      </c>
      <c r="AL187" s="526">
        <f t="shared" si="504"/>
        <v>152</v>
      </c>
      <c r="AM187" s="526">
        <f t="shared" ref="AM187:AO187" si="505">AM95</f>
        <v>0</v>
      </c>
      <c r="AN187" s="526">
        <f t="shared" si="505"/>
        <v>0</v>
      </c>
      <c r="AO187" s="527">
        <f t="shared" si="505"/>
        <v>0</v>
      </c>
      <c r="AP187" s="519"/>
      <c r="AS187" s="654"/>
      <c r="AT187" s="638" t="s">
        <v>1</v>
      </c>
      <c r="AU187" s="657"/>
      <c r="AV187" s="531">
        <f>AV95</f>
        <v>58</v>
      </c>
      <c r="AW187" s="526">
        <f t="shared" ref="AW187" si="506">AW95</f>
        <v>91</v>
      </c>
      <c r="AX187" s="526">
        <f t="shared" ref="AX187:AZ187" si="507">AX95</f>
        <v>79</v>
      </c>
      <c r="AY187" s="526">
        <f t="shared" si="507"/>
        <v>0</v>
      </c>
      <c r="AZ187" s="526">
        <f t="shared" si="507"/>
        <v>0</v>
      </c>
      <c r="BA187" s="527">
        <f t="shared" ref="BA187" si="508">BA95</f>
        <v>0</v>
      </c>
      <c r="BB187" s="519"/>
      <c r="BC187" s="4"/>
      <c r="BD187" s="4"/>
      <c r="BE187" s="654"/>
      <c r="BF187" s="638" t="s">
        <v>1</v>
      </c>
      <c r="BG187" s="657"/>
      <c r="BH187" s="531">
        <f>BH95</f>
        <v>46</v>
      </c>
      <c r="BI187" s="526">
        <f t="shared" ref="BI187" si="509">BI95</f>
        <v>69</v>
      </c>
      <c r="BJ187" s="526">
        <f t="shared" ref="BJ187:BL187" si="510">BJ95</f>
        <v>67</v>
      </c>
      <c r="BK187" s="526">
        <f t="shared" si="510"/>
        <v>0</v>
      </c>
      <c r="BL187" s="526">
        <f t="shared" si="510"/>
        <v>0</v>
      </c>
      <c r="BM187" s="527">
        <f t="shared" ref="BM187" si="511">BM95</f>
        <v>0</v>
      </c>
      <c r="BN187" s="1"/>
      <c r="BO187" s="1"/>
      <c r="BP187" s="1"/>
      <c r="BQ187" s="1"/>
      <c r="BR187" s="1"/>
      <c r="BS187" s="1"/>
      <c r="BT187" s="1"/>
    </row>
    <row r="188" spans="1:73" x14ac:dyDescent="0.3">
      <c r="B188" s="1" t="str">
        <f>B96</f>
        <v>Groupe St-Julien</v>
      </c>
      <c r="N188" s="479"/>
      <c r="O188" s="831"/>
      <c r="Q188" s="530" t="s">
        <v>45</v>
      </c>
      <c r="R188" s="531">
        <f>R109</f>
        <v>167</v>
      </c>
      <c r="S188" s="526">
        <f t="shared" ref="S188:Z188" si="512">S109</f>
        <v>245</v>
      </c>
      <c r="T188" s="526">
        <f t="shared" si="512"/>
        <v>302</v>
      </c>
      <c r="U188" s="526">
        <f t="shared" ref="U188:W188" si="513">U109</f>
        <v>0</v>
      </c>
      <c r="V188" s="526">
        <f t="shared" si="513"/>
        <v>0</v>
      </c>
      <c r="W188" s="527">
        <f t="shared" si="513"/>
        <v>0</v>
      </c>
      <c r="X188" s="531">
        <f t="shared" si="512"/>
        <v>167</v>
      </c>
      <c r="Y188" s="526">
        <f t="shared" si="512"/>
        <v>245</v>
      </c>
      <c r="Z188" s="526">
        <f t="shared" si="512"/>
        <v>227</v>
      </c>
      <c r="AA188" s="526">
        <f t="shared" ref="AA188:AC188" si="514">AA109</f>
        <v>0</v>
      </c>
      <c r="AB188" s="526">
        <f t="shared" si="514"/>
        <v>0</v>
      </c>
      <c r="AC188" s="527">
        <f t="shared" si="514"/>
        <v>0</v>
      </c>
      <c r="AD188" s="519"/>
      <c r="AG188" s="654"/>
      <c r="AH188" s="638" t="s">
        <v>45</v>
      </c>
      <c r="AI188" s="657"/>
      <c r="AJ188" s="531">
        <f>AJ109</f>
        <v>75.209999999999994</v>
      </c>
      <c r="AK188" s="526">
        <f t="shared" ref="AK188:AL188" si="515">AK109</f>
        <v>137</v>
      </c>
      <c r="AL188" s="526">
        <f t="shared" si="515"/>
        <v>171</v>
      </c>
      <c r="AM188" s="526">
        <f t="shared" ref="AM188:AO188" si="516">AM109</f>
        <v>0</v>
      </c>
      <c r="AN188" s="526">
        <f t="shared" si="516"/>
        <v>0</v>
      </c>
      <c r="AO188" s="527">
        <f t="shared" si="516"/>
        <v>0</v>
      </c>
      <c r="AP188" s="519"/>
      <c r="AS188" s="654"/>
      <c r="AT188" s="638" t="s">
        <v>45</v>
      </c>
      <c r="AU188" s="657"/>
      <c r="AV188" s="531">
        <f>AV109</f>
        <v>62.590000000000011</v>
      </c>
      <c r="AW188" s="526">
        <f t="shared" ref="AW188" si="517">AW109</f>
        <v>97</v>
      </c>
      <c r="AX188" s="526">
        <f t="shared" ref="AX188:AZ188" si="518">AX109</f>
        <v>103</v>
      </c>
      <c r="AY188" s="526">
        <f t="shared" si="518"/>
        <v>0</v>
      </c>
      <c r="AZ188" s="526">
        <f t="shared" si="518"/>
        <v>0</v>
      </c>
      <c r="BA188" s="527">
        <f t="shared" ref="BA188" si="519">BA109</f>
        <v>0</v>
      </c>
      <c r="BB188" s="519"/>
      <c r="BC188" s="4"/>
      <c r="BD188" s="4"/>
      <c r="BE188" s="654"/>
      <c r="BF188" s="638" t="s">
        <v>45</v>
      </c>
      <c r="BG188" s="657"/>
      <c r="BH188" s="531">
        <f>BH109</f>
        <v>34.900200000000005</v>
      </c>
      <c r="BI188" s="526">
        <f t="shared" ref="BI188" si="520">BI109</f>
        <v>67</v>
      </c>
      <c r="BJ188" s="526">
        <f t="shared" ref="BJ188:BL188" si="521">BJ109</f>
        <v>69</v>
      </c>
      <c r="BK188" s="526">
        <f t="shared" si="521"/>
        <v>0</v>
      </c>
      <c r="BL188" s="526">
        <f t="shared" si="521"/>
        <v>0</v>
      </c>
      <c r="BM188" s="527">
        <f t="shared" ref="BM188" si="522">BM109</f>
        <v>0</v>
      </c>
      <c r="BN188" s="1"/>
      <c r="BO188" s="1"/>
      <c r="BP188" s="1"/>
      <c r="BQ188" s="1"/>
      <c r="BR188" s="1"/>
      <c r="BS188" s="1"/>
      <c r="BT188" s="1"/>
    </row>
    <row r="189" spans="1:73" x14ac:dyDescent="0.3">
      <c r="B189" s="1" t="str">
        <f>B110</f>
        <v>APiCy (Association des Piétons et Cyclistes du Pays de Gex)
+ ProVélo La Côte et ATE Vaud</v>
      </c>
      <c r="N189" s="479"/>
      <c r="O189" s="831"/>
      <c r="Q189" s="532" t="s">
        <v>214</v>
      </c>
      <c r="R189" s="531">
        <f>R125</f>
        <v>540</v>
      </c>
      <c r="S189" s="526">
        <f t="shared" ref="S189:Z189" si="523">S125</f>
        <v>882</v>
      </c>
      <c r="T189" s="526">
        <f t="shared" si="523"/>
        <v>1242</v>
      </c>
      <c r="U189" s="526">
        <f t="shared" ref="U189:W189" si="524">U125</f>
        <v>0</v>
      </c>
      <c r="V189" s="526">
        <f t="shared" si="524"/>
        <v>0</v>
      </c>
      <c r="W189" s="527">
        <f t="shared" si="524"/>
        <v>0</v>
      </c>
      <c r="X189" s="531">
        <f t="shared" si="523"/>
        <v>269</v>
      </c>
      <c r="Y189" s="526">
        <f t="shared" si="523"/>
        <v>445</v>
      </c>
      <c r="Z189" s="526">
        <f t="shared" si="523"/>
        <v>672</v>
      </c>
      <c r="AA189" s="526">
        <f t="shared" ref="AA189:AC189" si="525">AA125</f>
        <v>0</v>
      </c>
      <c r="AB189" s="526">
        <f t="shared" si="525"/>
        <v>0</v>
      </c>
      <c r="AC189" s="527">
        <f t="shared" si="525"/>
        <v>0</v>
      </c>
      <c r="AD189" s="519"/>
      <c r="AG189" s="655"/>
      <c r="AH189" s="639" t="s">
        <v>214</v>
      </c>
      <c r="AI189" s="658"/>
      <c r="AJ189" s="531">
        <f>AJ125</f>
        <v>168.75</v>
      </c>
      <c r="AK189" s="526">
        <f t="shared" ref="AK189:AL189" si="526">AK125</f>
        <v>314</v>
      </c>
      <c r="AL189" s="526">
        <f t="shared" si="526"/>
        <v>477</v>
      </c>
      <c r="AM189" s="526">
        <f t="shared" ref="AM189:AO189" si="527">AM125</f>
        <v>0</v>
      </c>
      <c r="AN189" s="526">
        <f t="shared" si="527"/>
        <v>0</v>
      </c>
      <c r="AO189" s="527">
        <f t="shared" si="527"/>
        <v>0</v>
      </c>
      <c r="AP189" s="519"/>
      <c r="AS189" s="655"/>
      <c r="AT189" s="639" t="s">
        <v>214</v>
      </c>
      <c r="AU189" s="658"/>
      <c r="AV189" s="531">
        <f>AV125</f>
        <v>192</v>
      </c>
      <c r="AW189" s="526">
        <f t="shared" ref="AW189" si="528">AW125</f>
        <v>259</v>
      </c>
      <c r="AX189" s="526">
        <f t="shared" ref="AX189:AZ189" si="529">AX125</f>
        <v>399</v>
      </c>
      <c r="AY189" s="526">
        <f t="shared" si="529"/>
        <v>0</v>
      </c>
      <c r="AZ189" s="526">
        <f t="shared" si="529"/>
        <v>0</v>
      </c>
      <c r="BA189" s="527">
        <f t="shared" ref="BA189" si="530">BA125</f>
        <v>0</v>
      </c>
      <c r="BB189" s="519"/>
      <c r="BC189" s="4"/>
      <c r="BD189" s="4"/>
      <c r="BE189" s="655"/>
      <c r="BF189" s="639" t="s">
        <v>214</v>
      </c>
      <c r="BG189" s="658"/>
      <c r="BH189" s="531">
        <f>BH125</f>
        <v>0</v>
      </c>
      <c r="BI189" s="526">
        <f t="shared" ref="BI189" si="531">BI125</f>
        <v>120</v>
      </c>
      <c r="BJ189" s="526">
        <f t="shared" ref="BJ189:BL189" si="532">BJ125</f>
        <v>195</v>
      </c>
      <c r="BK189" s="526">
        <f t="shared" si="532"/>
        <v>0</v>
      </c>
      <c r="BL189" s="526">
        <f t="shared" si="532"/>
        <v>0</v>
      </c>
      <c r="BM189" s="527">
        <f t="shared" ref="BM189" si="533">BM125</f>
        <v>0</v>
      </c>
      <c r="BN189" s="1"/>
      <c r="BO189" s="1"/>
      <c r="BP189" s="1"/>
      <c r="BQ189" s="1"/>
      <c r="BR189" s="1"/>
      <c r="BS189" s="1"/>
      <c r="BT189" s="1"/>
    </row>
    <row r="190" spans="1:73" x14ac:dyDescent="0.3">
      <c r="B190" s="1" t="str">
        <f>B126</f>
        <v>ATE Vaud / ProVélo La Côte</v>
      </c>
      <c r="N190" s="479"/>
      <c r="O190" s="831"/>
      <c r="Q190" s="532" t="s">
        <v>213</v>
      </c>
      <c r="R190" s="531">
        <f>R134</f>
        <v>21</v>
      </c>
      <c r="S190" s="526">
        <f t="shared" ref="S190:Z190" si="534">S134</f>
        <v>83</v>
      </c>
      <c r="T190" s="526">
        <f t="shared" si="534"/>
        <v>70</v>
      </c>
      <c r="U190" s="526">
        <f t="shared" ref="U190:W190" si="535">U134</f>
        <v>0</v>
      </c>
      <c r="V190" s="526">
        <f t="shared" si="535"/>
        <v>0</v>
      </c>
      <c r="W190" s="527">
        <f t="shared" si="535"/>
        <v>0</v>
      </c>
      <c r="X190" s="531">
        <f t="shared" si="534"/>
        <v>8</v>
      </c>
      <c r="Y190" s="526">
        <f t="shared" si="534"/>
        <v>56</v>
      </c>
      <c r="Z190" s="526">
        <f t="shared" si="534"/>
        <v>42</v>
      </c>
      <c r="AA190" s="526">
        <f t="shared" ref="AA190:AC190" si="536">AA134</f>
        <v>0</v>
      </c>
      <c r="AB190" s="526">
        <f t="shared" si="536"/>
        <v>0</v>
      </c>
      <c r="AC190" s="527">
        <f t="shared" si="536"/>
        <v>0</v>
      </c>
      <c r="AD190" s="519"/>
      <c r="AG190" s="655"/>
      <c r="AH190" s="639" t="s">
        <v>213</v>
      </c>
      <c r="AI190" s="658"/>
      <c r="AJ190" s="531">
        <f>AJ134</f>
        <v>6.09</v>
      </c>
      <c r="AK190" s="526">
        <f t="shared" ref="AK190:AL190" si="537">AK134</f>
        <v>23</v>
      </c>
      <c r="AL190" s="526">
        <f t="shared" si="537"/>
        <v>19</v>
      </c>
      <c r="AM190" s="526">
        <f t="shared" ref="AM190:AO190" si="538">AM134</f>
        <v>0</v>
      </c>
      <c r="AN190" s="526">
        <f t="shared" si="538"/>
        <v>0</v>
      </c>
      <c r="AO190" s="527">
        <f t="shared" si="538"/>
        <v>0</v>
      </c>
      <c r="AP190" s="519"/>
      <c r="AS190" s="655"/>
      <c r="AT190" s="639" t="s">
        <v>213</v>
      </c>
      <c r="AU190" s="658"/>
      <c r="AV190" s="531">
        <f>AV134</f>
        <v>6.72</v>
      </c>
      <c r="AW190" s="526">
        <f t="shared" ref="AW190" si="539">AW134</f>
        <v>23</v>
      </c>
      <c r="AX190" s="526">
        <f t="shared" ref="AX190:AZ190" si="540">AX134</f>
        <v>20</v>
      </c>
      <c r="AY190" s="526">
        <f t="shared" si="540"/>
        <v>0</v>
      </c>
      <c r="AZ190" s="526">
        <f t="shared" si="540"/>
        <v>0</v>
      </c>
      <c r="BA190" s="527">
        <f t="shared" ref="BA190" si="541">BA134</f>
        <v>0</v>
      </c>
      <c r="BB190" s="519"/>
      <c r="BC190" s="4"/>
      <c r="BD190" s="4"/>
      <c r="BE190" s="655"/>
      <c r="BF190" s="639" t="s">
        <v>213</v>
      </c>
      <c r="BG190" s="658"/>
      <c r="BH190" s="531">
        <f>BH134</f>
        <v>0</v>
      </c>
      <c r="BI190" s="526">
        <f t="shared" ref="BI190" si="542">BI134</f>
        <v>13</v>
      </c>
      <c r="BJ190" s="526">
        <f t="shared" ref="BJ190:BL190" si="543">BJ134</f>
        <v>7</v>
      </c>
      <c r="BK190" s="526">
        <f t="shared" si="543"/>
        <v>0</v>
      </c>
      <c r="BL190" s="526">
        <f t="shared" si="543"/>
        <v>0</v>
      </c>
      <c r="BM190" s="527">
        <f t="shared" ref="BM190" si="544">BM134</f>
        <v>0</v>
      </c>
      <c r="BN190" s="1"/>
      <c r="BO190" s="1"/>
      <c r="BP190" s="1"/>
      <c r="BQ190" s="1"/>
      <c r="BR190" s="1"/>
      <c r="BS190" s="1"/>
      <c r="BT190" s="1"/>
    </row>
    <row r="191" spans="1:73" ht="15" thickBot="1" x14ac:dyDescent="0.35">
      <c r="B191" s="1" t="str">
        <f>B135</f>
        <v>ProVélo GE</v>
      </c>
      <c r="N191" s="479"/>
      <c r="O191" s="831"/>
      <c r="Q191" s="533" t="s">
        <v>3</v>
      </c>
      <c r="R191" s="534">
        <f>R159</f>
        <v>2247</v>
      </c>
      <c r="S191" s="535">
        <f t="shared" ref="S191:Z191" si="545">S159</f>
        <v>1770</v>
      </c>
      <c r="T191" s="535">
        <f t="shared" si="545"/>
        <v>2652</v>
      </c>
      <c r="U191" s="535">
        <f t="shared" ref="U191:W191" si="546">U159</f>
        <v>0</v>
      </c>
      <c r="V191" s="535">
        <f t="shared" si="546"/>
        <v>0</v>
      </c>
      <c r="W191" s="536">
        <f t="shared" si="546"/>
        <v>0</v>
      </c>
      <c r="X191" s="534">
        <f t="shared" si="545"/>
        <v>2247</v>
      </c>
      <c r="Y191" s="535">
        <f t="shared" si="545"/>
        <v>1770</v>
      </c>
      <c r="Z191" s="535">
        <f t="shared" si="545"/>
        <v>2652</v>
      </c>
      <c r="AA191" s="535">
        <f t="shared" ref="AA191:AC191" si="547">AA159</f>
        <v>0</v>
      </c>
      <c r="AB191" s="535">
        <f t="shared" si="547"/>
        <v>0</v>
      </c>
      <c r="AC191" s="536">
        <f t="shared" si="547"/>
        <v>0</v>
      </c>
      <c r="AD191" s="519"/>
      <c r="AG191" s="654"/>
      <c r="AH191" s="640" t="s">
        <v>3</v>
      </c>
      <c r="AI191" s="659"/>
      <c r="AJ191" s="534">
        <f>AJ159</f>
        <v>285</v>
      </c>
      <c r="AK191" s="535">
        <f t="shared" ref="AK191:AL191" si="548">AK159</f>
        <v>683</v>
      </c>
      <c r="AL191" s="535">
        <f t="shared" si="548"/>
        <v>1151</v>
      </c>
      <c r="AM191" s="535">
        <f t="shared" ref="AM191:AO191" si="549">AM159</f>
        <v>0</v>
      </c>
      <c r="AN191" s="535">
        <f t="shared" si="549"/>
        <v>0</v>
      </c>
      <c r="AO191" s="536">
        <f t="shared" si="549"/>
        <v>0</v>
      </c>
      <c r="AP191" s="519"/>
      <c r="AS191" s="654"/>
      <c r="AT191" s="640" t="s">
        <v>3</v>
      </c>
      <c r="AU191" s="659"/>
      <c r="AV191" s="534">
        <f>AV159</f>
        <v>901</v>
      </c>
      <c r="AW191" s="535">
        <f t="shared" ref="AW191" si="550">AW159</f>
        <v>726</v>
      </c>
      <c r="AX191" s="535">
        <f t="shared" ref="AX191:AZ191" si="551">AX159</f>
        <v>1043</v>
      </c>
      <c r="AY191" s="535">
        <f t="shared" si="551"/>
        <v>0</v>
      </c>
      <c r="AZ191" s="535">
        <f t="shared" si="551"/>
        <v>0</v>
      </c>
      <c r="BA191" s="536">
        <f t="shared" ref="BA191" si="552">BA159</f>
        <v>0</v>
      </c>
      <c r="BB191" s="519"/>
      <c r="BC191" s="4"/>
      <c r="BD191" s="4"/>
      <c r="BE191" s="654"/>
      <c r="BF191" s="640" t="s">
        <v>3</v>
      </c>
      <c r="BG191" s="659"/>
      <c r="BH191" s="534">
        <f>BH159</f>
        <v>13</v>
      </c>
      <c r="BI191" s="535">
        <f t="shared" ref="BI191" si="553">BI159</f>
        <v>420</v>
      </c>
      <c r="BJ191" s="535">
        <f t="shared" ref="BJ191:BL191" si="554">BJ159</f>
        <v>604</v>
      </c>
      <c r="BK191" s="535">
        <f t="shared" si="554"/>
        <v>0</v>
      </c>
      <c r="BL191" s="535">
        <f t="shared" si="554"/>
        <v>0</v>
      </c>
      <c r="BM191" s="536">
        <f t="shared" ref="BM191" si="555">BM159</f>
        <v>0</v>
      </c>
      <c r="BN191" s="1"/>
      <c r="BO191" s="1"/>
      <c r="BP191" s="1"/>
      <c r="BQ191" s="1"/>
      <c r="BR191" s="1"/>
      <c r="BS191" s="1"/>
      <c r="BT191" s="1"/>
    </row>
    <row r="192" spans="1:73" s="31" customFormat="1" ht="15" thickBot="1" x14ac:dyDescent="0.35">
      <c r="A192" s="20"/>
      <c r="C192" s="479"/>
      <c r="D192" s="479"/>
      <c r="E192" s="479"/>
      <c r="F192" s="479"/>
      <c r="G192" s="479"/>
      <c r="H192" s="479"/>
      <c r="I192" s="479"/>
      <c r="K192" s="479"/>
      <c r="M192" s="479"/>
      <c r="N192" s="479"/>
      <c r="O192" s="831"/>
      <c r="P192" s="479"/>
      <c r="Q192" s="537" t="s">
        <v>66</v>
      </c>
      <c r="R192" s="538">
        <f>SUBTOTAL(9,R180:R191)</f>
        <v>5191</v>
      </c>
      <c r="S192" s="539">
        <f t="shared" ref="S192:Z192" si="556">SUBTOTAL(9,S180:S191)</f>
        <v>4581</v>
      </c>
      <c r="T192" s="539">
        <f t="shared" si="556"/>
        <v>7331</v>
      </c>
      <c r="U192" s="539">
        <f t="shared" ref="U192:W192" si="557">SUBTOTAL(9,U180:U191)</f>
        <v>581</v>
      </c>
      <c r="V192" s="539">
        <f t="shared" si="557"/>
        <v>0</v>
      </c>
      <c r="W192" s="540">
        <f t="shared" si="557"/>
        <v>0</v>
      </c>
      <c r="X192" s="538">
        <f t="shared" si="556"/>
        <v>3593</v>
      </c>
      <c r="Y192" s="539">
        <f t="shared" si="556"/>
        <v>3526</v>
      </c>
      <c r="Z192" s="539">
        <f t="shared" si="556"/>
        <v>5620</v>
      </c>
      <c r="AA192" s="539">
        <f t="shared" ref="AA192:AC192" si="558">SUBTOTAL(9,AA180:AA191)</f>
        <v>241</v>
      </c>
      <c r="AB192" s="539">
        <f t="shared" si="558"/>
        <v>0</v>
      </c>
      <c r="AC192" s="540">
        <f t="shared" si="558"/>
        <v>0</v>
      </c>
      <c r="AD192" s="520"/>
      <c r="AH192" s="641" t="s">
        <v>66</v>
      </c>
      <c r="AI192" s="660"/>
      <c r="AJ192" s="538">
        <f>SUBTOTAL(9,AJ180:AJ191)</f>
        <v>1427.02</v>
      </c>
      <c r="AK192" s="539">
        <f t="shared" ref="AK192" si="559">SUBTOTAL(9,AK180:AK191)</f>
        <v>1783</v>
      </c>
      <c r="AL192" s="539">
        <f t="shared" ref="AL192:AO192" si="560">SUBTOTAL(9,AL180:AL191)</f>
        <v>3047</v>
      </c>
      <c r="AM192" s="539">
        <f t="shared" si="560"/>
        <v>267</v>
      </c>
      <c r="AN192" s="539">
        <f t="shared" si="560"/>
        <v>0</v>
      </c>
      <c r="AO192" s="540">
        <f t="shared" si="560"/>
        <v>0</v>
      </c>
      <c r="AP192" s="520"/>
      <c r="AT192" s="641" t="s">
        <v>66</v>
      </c>
      <c r="AU192" s="660"/>
      <c r="AV192" s="538">
        <f>SUBTOTAL(9,AV180:AV191)</f>
        <v>2006.3300000000002</v>
      </c>
      <c r="AW192" s="539">
        <f t="shared" ref="AW192:AZ192" si="561">SUBTOTAL(9,AW180:AW191)</f>
        <v>1662</v>
      </c>
      <c r="AX192" s="539">
        <f t="shared" si="561"/>
        <v>2644</v>
      </c>
      <c r="AY192" s="539">
        <f t="shared" si="561"/>
        <v>187</v>
      </c>
      <c r="AZ192" s="539">
        <f t="shared" si="561"/>
        <v>0</v>
      </c>
      <c r="BA192" s="540">
        <f t="shared" ref="BA192" si="562">SUBTOTAL(9,BA180:BA191)</f>
        <v>0</v>
      </c>
      <c r="BB192" s="520"/>
      <c r="BF192" s="641" t="s">
        <v>66</v>
      </c>
      <c r="BG192" s="660"/>
      <c r="BH192" s="538">
        <f>SUBTOTAL(9,BH180:BH191)</f>
        <v>108.86020000000001</v>
      </c>
      <c r="BI192" s="539">
        <f t="shared" ref="BI192:BL192" si="563">SUBTOTAL(9,BI180:BI191)</f>
        <v>720</v>
      </c>
      <c r="BJ192" s="539">
        <f t="shared" si="563"/>
        <v>1066</v>
      </c>
      <c r="BK192" s="539">
        <f t="shared" si="563"/>
        <v>105</v>
      </c>
      <c r="BL192" s="539">
        <f t="shared" si="563"/>
        <v>0</v>
      </c>
      <c r="BM192" s="540">
        <f t="shared" ref="BM192" si="564">SUBTOTAL(9,BM180:BM191)</f>
        <v>0</v>
      </c>
      <c r="BU192" s="518"/>
    </row>
    <row r="193" spans="1:73" ht="15" customHeight="1" thickBot="1" x14ac:dyDescent="0.35">
      <c r="N193" s="479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4"/>
      <c r="BD193" s="4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</row>
    <row r="194" spans="1:73" x14ac:dyDescent="0.3">
      <c r="J194" s="31"/>
      <c r="K194" s="479"/>
      <c r="M194" s="479"/>
      <c r="N194" s="479"/>
      <c r="O194" s="831" t="s">
        <v>217</v>
      </c>
      <c r="P194" s="479"/>
      <c r="R194" s="555" t="s">
        <v>159</v>
      </c>
      <c r="S194" s="556" t="s">
        <v>215</v>
      </c>
      <c r="T194" s="557"/>
      <c r="U194" s="556"/>
      <c r="V194" s="556"/>
      <c r="W194" s="556"/>
      <c r="X194" s="555" t="s">
        <v>44</v>
      </c>
      <c r="Y194" s="556" t="s">
        <v>215</v>
      </c>
      <c r="Z194" s="557"/>
      <c r="AA194" s="556"/>
      <c r="AB194" s="556"/>
      <c r="AC194" s="556"/>
      <c r="AD194" s="478"/>
      <c r="AG194" s="478"/>
      <c r="AH194" s="478"/>
      <c r="AI194" s="478"/>
      <c r="AJ194" s="480" t="s">
        <v>209</v>
      </c>
      <c r="AK194" s="663" t="s">
        <v>215</v>
      </c>
      <c r="AL194" s="556"/>
      <c r="AM194" s="556"/>
      <c r="AN194" s="556"/>
      <c r="AO194" s="557"/>
      <c r="AP194" s="478"/>
      <c r="AS194" s="478"/>
      <c r="AT194" s="478"/>
      <c r="AU194" s="478"/>
      <c r="AV194" s="555" t="s">
        <v>208</v>
      </c>
      <c r="AW194" s="556" t="s">
        <v>215</v>
      </c>
      <c r="AX194" s="557"/>
      <c r="AY194" s="661"/>
      <c r="AZ194" s="661"/>
      <c r="BA194" s="662"/>
      <c r="BC194" s="4"/>
      <c r="BD194" s="4"/>
      <c r="BE194" s="478"/>
      <c r="BF194" s="478"/>
      <c r="BG194" s="478"/>
      <c r="BH194" s="555" t="s">
        <v>207</v>
      </c>
      <c r="BI194" s="556" t="s">
        <v>215</v>
      </c>
      <c r="BJ194" s="557"/>
      <c r="BK194" s="661"/>
      <c r="BL194" s="661"/>
      <c r="BM194" s="662"/>
    </row>
    <row r="195" spans="1:73" ht="15" thickBot="1" x14ac:dyDescent="0.35">
      <c r="J195" s="31"/>
      <c r="K195" s="479"/>
      <c r="M195" s="479"/>
      <c r="N195" s="479"/>
      <c r="O195" s="831"/>
      <c r="P195" s="479"/>
      <c r="R195" s="521">
        <f>R$164</f>
        <v>2020</v>
      </c>
      <c r="S195" s="522">
        <f t="shared" ref="S195:AC195" si="565">S$164</f>
        <v>2021</v>
      </c>
      <c r="T195" s="522">
        <f t="shared" si="565"/>
        <v>2022</v>
      </c>
      <c r="U195" s="522">
        <f t="shared" si="565"/>
        <v>2023</v>
      </c>
      <c r="V195" s="522">
        <f t="shared" si="565"/>
        <v>2024</v>
      </c>
      <c r="W195" s="523">
        <f t="shared" si="565"/>
        <v>2025</v>
      </c>
      <c r="X195" s="521">
        <f t="shared" si="565"/>
        <v>2020</v>
      </c>
      <c r="Y195" s="522">
        <f t="shared" si="565"/>
        <v>2021</v>
      </c>
      <c r="Z195" s="522">
        <f t="shared" si="565"/>
        <v>2022</v>
      </c>
      <c r="AA195" s="522">
        <f t="shared" si="565"/>
        <v>2023</v>
      </c>
      <c r="AB195" s="522">
        <f t="shared" si="565"/>
        <v>2024</v>
      </c>
      <c r="AC195" s="523">
        <f t="shared" si="565"/>
        <v>2025</v>
      </c>
      <c r="AG195" s="653"/>
      <c r="AH195" s="634"/>
      <c r="AI195" s="499"/>
      <c r="AJ195" s="483">
        <f t="shared" ref="AJ195:AO195" si="566">AJ$164</f>
        <v>2020</v>
      </c>
      <c r="AK195" s="484">
        <f t="shared" si="566"/>
        <v>2021</v>
      </c>
      <c r="AL195" s="484">
        <f t="shared" si="566"/>
        <v>2022</v>
      </c>
      <c r="AM195" s="484">
        <f t="shared" si="566"/>
        <v>2023</v>
      </c>
      <c r="AN195" s="484">
        <f t="shared" si="566"/>
        <v>2024</v>
      </c>
      <c r="AO195" s="485">
        <f t="shared" si="566"/>
        <v>2025</v>
      </c>
      <c r="AS195" s="653"/>
      <c r="AT195" s="634"/>
      <c r="AU195" s="499"/>
      <c r="AV195" s="483">
        <f t="shared" ref="AV195:BA195" si="567">AV$164</f>
        <v>2020</v>
      </c>
      <c r="AW195" s="484">
        <f t="shared" si="567"/>
        <v>2021</v>
      </c>
      <c r="AX195" s="484">
        <f t="shared" si="567"/>
        <v>2022</v>
      </c>
      <c r="AY195" s="484">
        <f t="shared" si="567"/>
        <v>2023</v>
      </c>
      <c r="AZ195" s="484">
        <f t="shared" si="567"/>
        <v>2024</v>
      </c>
      <c r="BA195" s="485">
        <f t="shared" si="567"/>
        <v>2025</v>
      </c>
      <c r="BC195" s="4"/>
      <c r="BD195" s="4"/>
      <c r="BE195" s="653"/>
      <c r="BF195" s="634"/>
      <c r="BG195" s="499"/>
      <c r="BH195" s="483">
        <f t="shared" ref="BH195:BM195" si="568">BH$164</f>
        <v>2020</v>
      </c>
      <c r="BI195" s="484">
        <f t="shared" si="568"/>
        <v>2021</v>
      </c>
      <c r="BJ195" s="484">
        <f t="shared" si="568"/>
        <v>2022</v>
      </c>
      <c r="BK195" s="484">
        <f t="shared" si="568"/>
        <v>2023</v>
      </c>
      <c r="BL195" s="484">
        <f t="shared" si="568"/>
        <v>2024</v>
      </c>
      <c r="BM195" s="485">
        <f t="shared" si="568"/>
        <v>2025</v>
      </c>
    </row>
    <row r="196" spans="1:73" x14ac:dyDescent="0.3">
      <c r="N196" s="479"/>
      <c r="O196" s="831"/>
      <c r="Q196" s="528" t="s">
        <v>70</v>
      </c>
      <c r="R196" s="551" t="str">
        <f>IF(R180=0,"","100%")</f>
        <v>100%</v>
      </c>
      <c r="S196" s="543" t="str">
        <f>IF(R180=0,"",
  IF(S180=0,"",
  IF(S180&gt;R180,"+"&amp;ROUND((S180/R180-1)*100,0)&amp;"%",
  IF(S180&lt;R180,ROUND((S180/R180-1)*100,0)&amp;"%",
  ""))))</f>
        <v>+62%</v>
      </c>
      <c r="T196" s="543" t="str">
        <f t="shared" ref="S196:T206" si="569">IF(S180=0,"",
  IF(T180=0,"",
  IF(T180&gt;S180,"+"&amp;ROUND((T180/S180-1)*100,0)&amp;"%",
  IF(T180&lt;S180,ROUND((T180/S180-1)*100,0)&amp;"%",
  ""))))</f>
        <v>-29%</v>
      </c>
      <c r="U196" s="543" t="str">
        <f t="shared" ref="U196:U208" si="570">IF(T180=0,"",
  IF(U180=0,"",
  IF(U180&gt;T180,"+"&amp;ROUND((U180/T180-1)*100,0)&amp;"%",
  IF(U180&lt;T180,ROUND((U180/T180-1)*100,0)&amp;"%",
  ""))))</f>
        <v>+144%</v>
      </c>
      <c r="V196" s="543" t="str">
        <f t="shared" ref="V196:V208" si="571">IF(U180=0,"",
  IF(V180=0,"",
  IF(V180&gt;U180,"+"&amp;ROUND((V180/U180-1)*100,0)&amp;"%",
  IF(V180&lt;U180,ROUND((V180/U180-1)*100,0)&amp;"%",
  ""))))</f>
        <v/>
      </c>
      <c r="W196" s="544" t="str">
        <f t="shared" ref="W196:W208" si="572">IF(V180=0,"",
  IF(W180=0,"",
  IF(W180&gt;V180,"+"&amp;ROUND((W180/V180-1)*100,0)&amp;"%",
  IF(W180&lt;V180,ROUND((W180/V180-1)*100,0)&amp;"%",
  ""))))</f>
        <v/>
      </c>
      <c r="X196" s="551">
        <v>1</v>
      </c>
      <c r="Y196" s="543" t="str">
        <f t="shared" ref="Y196:Z196" si="573">IF(X180=0,"",
  IF(Y180=0,"",
  IF(Y180&gt;X180,"+"&amp;ROUND((Y180/X180-1)*100,0)&amp;"%",
  IF(Y180&lt;X180,ROUND((Y180/X180-1)*100,0)&amp;"%",
  ""))))</f>
        <v>+224%</v>
      </c>
      <c r="Z196" s="543" t="str">
        <f t="shared" si="573"/>
        <v>-23%</v>
      </c>
      <c r="AA196" s="543" t="str">
        <f t="shared" ref="AA196:AA208" si="574">IF(Z180=0,"",
  IF(AA180=0,"",
  IF(AA180&gt;Z180,"+"&amp;ROUND((AA180/Z180-1)*100,0)&amp;"%",
  IF(AA180&lt;Z180,ROUND((AA180/Z180-1)*100,0)&amp;"%",
  ""))))</f>
        <v/>
      </c>
      <c r="AB196" s="543" t="str">
        <f t="shared" ref="AB196:AB208" si="575">IF(AA180=0,"",
  IF(AB180=0,"",
  IF(AB180&gt;AA180,"+"&amp;ROUND((AB180/AA180-1)*100,0)&amp;"%",
  IF(AB180&lt;AA180,ROUND((AB180/AA180-1)*100,0)&amp;"%",
  ""))))</f>
        <v/>
      </c>
      <c r="AC196" s="544" t="str">
        <f t="shared" ref="AC196:AC208" si="576">IF(AB180=0,"",
  IF(AC180=0,"",
  IF(AC180&gt;AB180,"+"&amp;ROUND((AC180/AB180-1)*100,0)&amp;"%",
  IF(AC180&lt;AB180,ROUND((AC180/AB180-1)*100,0)&amp;"%",
  ""))))</f>
        <v/>
      </c>
      <c r="AD196" s="519"/>
      <c r="AG196" s="654"/>
      <c r="AH196" s="637" t="s">
        <v>70</v>
      </c>
      <c r="AI196" s="656"/>
      <c r="AJ196" s="551" t="str">
        <f>IF(AJ180=0,"","100%")</f>
        <v>100%</v>
      </c>
      <c r="AK196" s="543" t="str">
        <f t="shared" ref="AK196" si="577">IF(AJ180=0,"",
  IF(AK180=0,"",
  IF(AK180&gt;AJ180,"+"&amp;ROUND((AK180/AJ180-1)*100,0)&amp;"%",
  IF(AK180&lt;AJ180,ROUND((AK180/AJ180-1)*100,0)&amp;"%",
  ""))))</f>
        <v/>
      </c>
      <c r="AL196" s="543" t="str">
        <f t="shared" ref="AL196:AL208" si="578">IF(AK180=0,"",
  IF(AL180=0,"",
  IF(AL180&gt;AK180,"+"&amp;ROUND((AL180/AK180-1)*100,0)&amp;"%",
  IF(AL180&lt;AK180,ROUND((AL180/AK180-1)*100,0)&amp;"%",
  ""))))</f>
        <v/>
      </c>
      <c r="AM196" s="543" t="str">
        <f t="shared" ref="AM196:AM208" si="579">IF(AL180=0,"",
  IF(AM180=0,"",
  IF(AM180&gt;AL180,"+"&amp;ROUND((AM180/AL180-1)*100,0)&amp;"%",
  IF(AM180&lt;AL180,ROUND((AM180/AL180-1)*100,0)&amp;"%",
  ""))))</f>
        <v/>
      </c>
      <c r="AN196" s="543" t="str">
        <f t="shared" ref="AN196:AN208" si="580">IF(AM180=0,"",
  IF(AN180=0,"",
  IF(AN180&gt;AM180,"+"&amp;ROUND((AN180/AM180-1)*100,0)&amp;"%",
  IF(AN180&lt;AM180,ROUND((AN180/AM180-1)*100,0)&amp;"%",
  ""))))</f>
        <v/>
      </c>
      <c r="AO196" s="544" t="str">
        <f t="shared" ref="AO196:AO206" si="581">IF(AN180=0,"",
  IF(AO180=0,"",
  IF(AO180&gt;AN180,"+"&amp;ROUND((AO180/AN180-1)*100,0)&amp;"%",
  IF(AO180&lt;AN180,ROUND((AO180/AN180-1)*100,0)&amp;"%",
  ""))))</f>
        <v/>
      </c>
      <c r="AP196" s="519"/>
      <c r="AS196" s="654"/>
      <c r="AT196" s="637" t="s">
        <v>70</v>
      </c>
      <c r="AU196" s="656"/>
      <c r="AV196" s="551" t="str">
        <f>IF(AV180=0,"","100%")</f>
        <v>100%</v>
      </c>
      <c r="AW196" s="543" t="str">
        <f t="shared" ref="AW196" si="582">IF(AV180=0,"",
  IF(AW180=0,"",
  IF(AW180&gt;AV180,"+"&amp;ROUND((AW180/AV180-1)*100,0)&amp;"%",
  IF(AW180&lt;AV180,ROUND((AW180/AV180-1)*100,0)&amp;"%",
  ""))))</f>
        <v>+6%</v>
      </c>
      <c r="AX196" s="543" t="str">
        <f t="shared" ref="AX196:AX208" si="583">IF(AW180=0,"",
  IF(AX180=0,"",
  IF(AX180&gt;AW180,"+"&amp;ROUND((AX180/AW180-1)*100,0)&amp;"%",
  IF(AX180&lt;AW180,ROUND((AX180/AW180-1)*100,0)&amp;"%",
  ""))))</f>
        <v/>
      </c>
      <c r="AY196" s="543" t="str">
        <f t="shared" ref="AY196:AY208" si="584">IF(AX180=0,"",
  IF(AY180=0,"",
  IF(AY180&gt;AX180,"+"&amp;ROUND((AY180/AX180-1)*100,0)&amp;"%",
  IF(AY180&lt;AX180,ROUND((AY180/AX180-1)*100,0)&amp;"%",
  ""))))</f>
        <v/>
      </c>
      <c r="AZ196" s="543" t="str">
        <f t="shared" ref="AZ196:AZ208" si="585">IF(AY180=0,"",
  IF(AZ180=0,"",
  IF(AZ180&gt;AY180,"+"&amp;ROUND((AZ180/AY180-1)*100,0)&amp;"%",
  IF(AZ180&lt;AY180,ROUND((AZ180/AY180-1)*100,0)&amp;"%",
  ""))))</f>
        <v/>
      </c>
      <c r="BA196" s="544" t="str">
        <f t="shared" ref="BA196:BA206" si="586">IF(AZ180=0,"",
  IF(BA180=0,"",
  IF(BA180&gt;AZ180,"+"&amp;ROUND((BA180/AZ180-1)*100,0)&amp;"%",
  IF(BA180&lt;AZ180,ROUND((BA180/AZ180-1)*100,0)&amp;"%",
  ""))))</f>
        <v/>
      </c>
      <c r="BB196" s="519"/>
      <c r="BC196" s="4"/>
      <c r="BD196" s="4"/>
      <c r="BE196" s="654"/>
      <c r="BF196" s="637" t="s">
        <v>70</v>
      </c>
      <c r="BG196" s="656"/>
      <c r="BH196" s="551" t="str">
        <f>IF(BH180=0,"","100%")</f>
        <v>100%</v>
      </c>
      <c r="BI196" s="543" t="str">
        <f t="shared" ref="BI196" si="587">IF(BH180=0,"",
  IF(BI180=0,"",
  IF(BI180&gt;BH180,"+"&amp;ROUND((BI180/BH180-1)*100,0)&amp;"%",
  IF(BI180&lt;BH180,ROUND((BI180/BH180-1)*100,0)&amp;"%",
  ""))))</f>
        <v/>
      </c>
      <c r="BJ196" s="543" t="str">
        <f t="shared" ref="BJ196:BJ208" si="588">IF(BI180=0,"",
  IF(BJ180=0,"",
  IF(BJ180&gt;BI180,"+"&amp;ROUND((BJ180/BI180-1)*100,0)&amp;"%",
  IF(BJ180&lt;BI180,ROUND((BJ180/BI180-1)*100,0)&amp;"%",
  ""))))</f>
        <v/>
      </c>
      <c r="BK196" s="543" t="str">
        <f t="shared" ref="BK196:BK208" si="589">IF(BJ180=0,"",
  IF(BK180=0,"",
  IF(BK180&gt;BJ180,"+"&amp;ROUND((BK180/BJ180-1)*100,0)&amp;"%",
  IF(BK180&lt;BJ180,ROUND((BK180/BJ180-1)*100,0)&amp;"%",
  ""))))</f>
        <v/>
      </c>
      <c r="BL196" s="543" t="str">
        <f t="shared" ref="BL196:BL208" si="590">IF(BK180=0,"",
  IF(BL180=0,"",
  IF(BL180&gt;BK180,"+"&amp;ROUND((BL180/BK180-1)*100,0)&amp;"%",
  IF(BL180&lt;BK180,ROUND((BL180/BK180-1)*100,0)&amp;"%",
  ""))))</f>
        <v/>
      </c>
      <c r="BM196" s="544" t="str">
        <f t="shared" ref="BM196:BM206" si="591">IF(BL180=0,"",
  IF(BM180=0,"",
  IF(BM180&gt;BL180,"+"&amp;ROUND((BM180/BL180-1)*100,0)&amp;"%",
  IF(BM180&lt;BL180,ROUND((BM180/BL180-1)*100,0)&amp;"%",
  ""))))</f>
        <v/>
      </c>
      <c r="BN196" s="1"/>
      <c r="BO196" s="1"/>
      <c r="BP196" s="1"/>
      <c r="BQ196" s="1"/>
      <c r="BR196" s="1"/>
      <c r="BS196" s="1"/>
      <c r="BT196" s="1"/>
    </row>
    <row r="197" spans="1:73" x14ac:dyDescent="0.3">
      <c r="N197" s="479"/>
      <c r="O197" s="831"/>
      <c r="Q197" s="530" t="s">
        <v>210</v>
      </c>
      <c r="R197" s="552" t="str">
        <f t="shared" ref="R197:R208" si="592">IF(R181=0,"","100%")</f>
        <v/>
      </c>
      <c r="S197" s="541" t="str">
        <f t="shared" si="569"/>
        <v/>
      </c>
      <c r="T197" s="541" t="str">
        <f t="shared" si="569"/>
        <v/>
      </c>
      <c r="U197" s="541" t="str">
        <f t="shared" si="570"/>
        <v/>
      </c>
      <c r="V197" s="541" t="str">
        <f t="shared" si="571"/>
        <v/>
      </c>
      <c r="W197" s="542" t="str">
        <f t="shared" si="572"/>
        <v/>
      </c>
      <c r="X197" s="552">
        <v>1</v>
      </c>
      <c r="Y197" s="541" t="str">
        <f t="shared" ref="Y197:Z197" si="593">IF(X181=0,"",
  IF(Y181=0,"",
  IF(Y181&gt;X181,"+"&amp;ROUND((Y181/X181-1)*100,0)&amp;"%",
  IF(Y181&lt;X181,ROUND((Y181/X181-1)*100,0)&amp;"%",
  ""))))</f>
        <v/>
      </c>
      <c r="Z197" s="541" t="str">
        <f t="shared" si="593"/>
        <v/>
      </c>
      <c r="AA197" s="541" t="str">
        <f t="shared" si="574"/>
        <v/>
      </c>
      <c r="AB197" s="541" t="str">
        <f t="shared" si="575"/>
        <v/>
      </c>
      <c r="AC197" s="542" t="str">
        <f t="shared" si="576"/>
        <v/>
      </c>
      <c r="AD197" s="519"/>
      <c r="AG197" s="654"/>
      <c r="AH197" s="638" t="s">
        <v>210</v>
      </c>
      <c r="AI197" s="657"/>
      <c r="AJ197" s="552" t="str">
        <f t="shared" ref="AJ197:AJ208" si="594">IF(AJ181=0,"","100%")</f>
        <v/>
      </c>
      <c r="AK197" s="541" t="str">
        <f t="shared" ref="AK197" si="595">IF(AJ181=0,"",
  IF(AK181=0,"",
  IF(AK181&gt;AJ181,"+"&amp;ROUND((AK181/AJ181-1)*100,0)&amp;"%",
  IF(AK181&lt;AJ181,ROUND((AK181/AJ181-1)*100,0)&amp;"%",
  ""))))</f>
        <v/>
      </c>
      <c r="AL197" s="541" t="str">
        <f t="shared" si="578"/>
        <v/>
      </c>
      <c r="AM197" s="541" t="str">
        <f t="shared" si="579"/>
        <v/>
      </c>
      <c r="AN197" s="541" t="str">
        <f t="shared" si="580"/>
        <v/>
      </c>
      <c r="AO197" s="542" t="str">
        <f t="shared" si="581"/>
        <v/>
      </c>
      <c r="AP197" s="519"/>
      <c r="AS197" s="654"/>
      <c r="AT197" s="638" t="s">
        <v>210</v>
      </c>
      <c r="AU197" s="657"/>
      <c r="AV197" s="552" t="str">
        <f t="shared" ref="AV197:AV208" si="596">IF(AV181=0,"","100%")</f>
        <v/>
      </c>
      <c r="AW197" s="541" t="str">
        <f t="shared" ref="AW197" si="597">IF(AV181=0,"",
  IF(AW181=0,"",
  IF(AW181&gt;AV181,"+"&amp;ROUND((AW181/AV181-1)*100,0)&amp;"%",
  IF(AW181&lt;AV181,ROUND((AW181/AV181-1)*100,0)&amp;"%",
  ""))))</f>
        <v/>
      </c>
      <c r="AX197" s="541" t="str">
        <f t="shared" si="583"/>
        <v/>
      </c>
      <c r="AY197" s="541" t="str">
        <f t="shared" si="584"/>
        <v/>
      </c>
      <c r="AZ197" s="541" t="str">
        <f t="shared" si="585"/>
        <v/>
      </c>
      <c r="BA197" s="542" t="str">
        <f t="shared" si="586"/>
        <v/>
      </c>
      <c r="BB197" s="519"/>
      <c r="BC197" s="4"/>
      <c r="BD197" s="4"/>
      <c r="BE197" s="654"/>
      <c r="BF197" s="638" t="s">
        <v>210</v>
      </c>
      <c r="BG197" s="657"/>
      <c r="BH197" s="552" t="str">
        <f t="shared" ref="BH197:BH208" si="598">IF(BH181=0,"","100%")</f>
        <v/>
      </c>
      <c r="BI197" s="541" t="str">
        <f t="shared" ref="BI197" si="599">IF(BH181=0,"",
  IF(BI181=0,"",
  IF(BI181&gt;BH181,"+"&amp;ROUND((BI181/BH181-1)*100,0)&amp;"%",
  IF(BI181&lt;BH181,ROUND((BI181/BH181-1)*100,0)&amp;"%",
  ""))))</f>
        <v/>
      </c>
      <c r="BJ197" s="541" t="str">
        <f t="shared" si="588"/>
        <v/>
      </c>
      <c r="BK197" s="541" t="str">
        <f t="shared" si="589"/>
        <v/>
      </c>
      <c r="BL197" s="541" t="str">
        <f t="shared" si="590"/>
        <v/>
      </c>
      <c r="BM197" s="542" t="str">
        <f t="shared" si="591"/>
        <v/>
      </c>
      <c r="BN197" s="1"/>
      <c r="BO197" s="1"/>
      <c r="BP197" s="1"/>
      <c r="BQ197" s="1"/>
      <c r="BR197" s="1"/>
      <c r="BS197" s="1"/>
      <c r="BT197" s="1"/>
    </row>
    <row r="198" spans="1:73" x14ac:dyDescent="0.3">
      <c r="N198" s="479"/>
      <c r="O198" s="831"/>
      <c r="Q198" s="530" t="s">
        <v>211</v>
      </c>
      <c r="R198" s="552" t="str">
        <f t="shared" si="592"/>
        <v/>
      </c>
      <c r="S198" s="545" t="str">
        <f t="shared" si="569"/>
        <v/>
      </c>
      <c r="T198" s="545" t="str">
        <f t="shared" si="569"/>
        <v/>
      </c>
      <c r="U198" s="545" t="str">
        <f t="shared" si="570"/>
        <v/>
      </c>
      <c r="V198" s="545" t="str">
        <f t="shared" si="571"/>
        <v/>
      </c>
      <c r="W198" s="546" t="str">
        <f t="shared" si="572"/>
        <v/>
      </c>
      <c r="X198" s="552">
        <v>1</v>
      </c>
      <c r="Y198" s="545" t="str">
        <f t="shared" ref="Y198:Z198" si="600">IF(X182=0,"",
  IF(Y182=0,"",
  IF(Y182&gt;X182,"+"&amp;ROUND((Y182/X182-1)*100,0)&amp;"%",
  IF(Y182&lt;X182,ROUND((Y182/X182-1)*100,0)&amp;"%",
  ""))))</f>
        <v/>
      </c>
      <c r="Z198" s="545" t="str">
        <f t="shared" si="600"/>
        <v/>
      </c>
      <c r="AA198" s="545" t="str">
        <f t="shared" si="574"/>
        <v/>
      </c>
      <c r="AB198" s="545" t="str">
        <f t="shared" si="575"/>
        <v/>
      </c>
      <c r="AC198" s="546" t="str">
        <f t="shared" si="576"/>
        <v/>
      </c>
      <c r="AD198" s="519"/>
      <c r="AG198" s="654"/>
      <c r="AH198" s="638" t="s">
        <v>211</v>
      </c>
      <c r="AI198" s="657"/>
      <c r="AJ198" s="552" t="str">
        <f t="shared" si="594"/>
        <v/>
      </c>
      <c r="AK198" s="545" t="str">
        <f t="shared" ref="AK198" si="601">IF(AJ182=0,"",
  IF(AK182=0,"",
  IF(AK182&gt;AJ182,"+"&amp;ROUND((AK182/AJ182-1)*100,0)&amp;"%",
  IF(AK182&lt;AJ182,ROUND((AK182/AJ182-1)*100,0)&amp;"%",
  ""))))</f>
        <v/>
      </c>
      <c r="AL198" s="545" t="str">
        <f t="shared" si="578"/>
        <v/>
      </c>
      <c r="AM198" s="545" t="str">
        <f t="shared" si="579"/>
        <v/>
      </c>
      <c r="AN198" s="545" t="str">
        <f t="shared" si="580"/>
        <v/>
      </c>
      <c r="AO198" s="546" t="str">
        <f t="shared" si="581"/>
        <v/>
      </c>
      <c r="AP198" s="519"/>
      <c r="AS198" s="654"/>
      <c r="AT198" s="638" t="s">
        <v>211</v>
      </c>
      <c r="AU198" s="657"/>
      <c r="AV198" s="552" t="str">
        <f t="shared" si="596"/>
        <v/>
      </c>
      <c r="AW198" s="545" t="str">
        <f t="shared" ref="AW198" si="602">IF(AV182=0,"",
  IF(AW182=0,"",
  IF(AW182&gt;AV182,"+"&amp;ROUND((AW182/AV182-1)*100,0)&amp;"%",
  IF(AW182&lt;AV182,ROUND((AW182/AV182-1)*100,0)&amp;"%",
  ""))))</f>
        <v/>
      </c>
      <c r="AX198" s="545" t="str">
        <f t="shared" si="583"/>
        <v/>
      </c>
      <c r="AY198" s="545" t="str">
        <f t="shared" si="584"/>
        <v/>
      </c>
      <c r="AZ198" s="545" t="str">
        <f t="shared" si="585"/>
        <v/>
      </c>
      <c r="BA198" s="546" t="str">
        <f t="shared" si="586"/>
        <v/>
      </c>
      <c r="BB198" s="519"/>
      <c r="BC198" s="4"/>
      <c r="BD198" s="4"/>
      <c r="BE198" s="654"/>
      <c r="BF198" s="638" t="s">
        <v>211</v>
      </c>
      <c r="BG198" s="657"/>
      <c r="BH198" s="552" t="str">
        <f t="shared" si="598"/>
        <v/>
      </c>
      <c r="BI198" s="545" t="str">
        <f t="shared" ref="BI198" si="603">IF(BH182=0,"",
  IF(BI182=0,"",
  IF(BI182&gt;BH182,"+"&amp;ROUND((BI182/BH182-1)*100,0)&amp;"%",
  IF(BI182&lt;BH182,ROUND((BI182/BH182-1)*100,0)&amp;"%",
  ""))))</f>
        <v/>
      </c>
      <c r="BJ198" s="545" t="str">
        <f t="shared" si="588"/>
        <v/>
      </c>
      <c r="BK198" s="545" t="str">
        <f t="shared" si="589"/>
        <v/>
      </c>
      <c r="BL198" s="545" t="str">
        <f t="shared" si="590"/>
        <v/>
      </c>
      <c r="BM198" s="546" t="str">
        <f t="shared" si="591"/>
        <v/>
      </c>
      <c r="BN198" s="1"/>
      <c r="BO198" s="1"/>
      <c r="BP198" s="1"/>
      <c r="BQ198" s="1"/>
      <c r="BR198" s="1"/>
      <c r="BS198" s="1"/>
      <c r="BT198" s="1"/>
    </row>
    <row r="199" spans="1:73" x14ac:dyDescent="0.3">
      <c r="N199" s="479"/>
      <c r="O199" s="831"/>
      <c r="Q199" s="532" t="s">
        <v>212</v>
      </c>
      <c r="R199" s="552" t="str">
        <f t="shared" si="592"/>
        <v>100%</v>
      </c>
      <c r="S199" s="545" t="str">
        <f>IF(R183=0,"",
  IF(S183=0,"",
  IF(S183&gt;R183,"+"&amp;ROUND((S183/R183-1)*100,0)&amp;"%",
  IF(S183&lt;R183,ROUND((S183/R183-1)*100,0)&amp;"%",
  ""))))</f>
        <v>+72%</v>
      </c>
      <c r="T199" s="545" t="str">
        <f t="shared" si="569"/>
        <v>-3%</v>
      </c>
      <c r="U199" s="545" t="str">
        <f t="shared" si="570"/>
        <v/>
      </c>
      <c r="V199" s="545" t="str">
        <f t="shared" si="571"/>
        <v/>
      </c>
      <c r="W199" s="546" t="str">
        <f t="shared" si="572"/>
        <v/>
      </c>
      <c r="X199" s="552">
        <v>1</v>
      </c>
      <c r="Y199" s="545" t="str">
        <f t="shared" ref="Y199:Z199" si="604">IF(X183=0,"",
  IF(Y183=0,"",
  IF(Y183&gt;X183,"+"&amp;ROUND((Y183/X183-1)*100,0)&amp;"%",
  IF(Y183&lt;X183,ROUND((Y183/X183-1)*100,0)&amp;"%",
  ""))))</f>
        <v>+74%</v>
      </c>
      <c r="Z199" s="545" t="str">
        <f t="shared" si="604"/>
        <v>-45%</v>
      </c>
      <c r="AA199" s="545" t="str">
        <f t="shared" si="574"/>
        <v/>
      </c>
      <c r="AB199" s="545" t="str">
        <f t="shared" si="575"/>
        <v/>
      </c>
      <c r="AC199" s="546" t="str">
        <f t="shared" si="576"/>
        <v/>
      </c>
      <c r="AD199" s="519"/>
      <c r="AG199" s="655"/>
      <c r="AH199" s="639" t="s">
        <v>212</v>
      </c>
      <c r="AI199" s="658"/>
      <c r="AJ199" s="552" t="str">
        <f t="shared" si="594"/>
        <v>100%</v>
      </c>
      <c r="AK199" s="545" t="str">
        <f t="shared" ref="AK199" si="605">IF(AJ183=0,"",
  IF(AK183=0,"",
  IF(AK183&gt;AJ183,"+"&amp;ROUND((AK183/AJ183-1)*100,0)&amp;"%",
  IF(AK183&lt;AJ183,ROUND((AK183/AJ183-1)*100,0)&amp;"%",
  ""))))</f>
        <v>+76%</v>
      </c>
      <c r="AL199" s="545" t="str">
        <f t="shared" si="578"/>
        <v>+20%</v>
      </c>
      <c r="AM199" s="545" t="str">
        <f t="shared" si="579"/>
        <v/>
      </c>
      <c r="AN199" s="545" t="str">
        <f t="shared" si="580"/>
        <v/>
      </c>
      <c r="AO199" s="546" t="str">
        <f t="shared" si="581"/>
        <v/>
      </c>
      <c r="AP199" s="519"/>
      <c r="AS199" s="655"/>
      <c r="AT199" s="639" t="s">
        <v>212</v>
      </c>
      <c r="AU199" s="658"/>
      <c r="AV199" s="552" t="str">
        <f t="shared" si="596"/>
        <v>100%</v>
      </c>
      <c r="AW199" s="545" t="str">
        <f t="shared" ref="AW199" si="606">IF(AV183=0,"",
  IF(AW183=0,"",
  IF(AW183&gt;AV183,"+"&amp;ROUND((AW183/AV183-1)*100,0)&amp;"%",
  IF(AW183&lt;AV183,ROUND((AW183/AV183-1)*100,0)&amp;"%",
  ""))))</f>
        <v>+64%</v>
      </c>
      <c r="AX199" s="545" t="str">
        <f t="shared" si="583"/>
        <v>-17%</v>
      </c>
      <c r="AY199" s="545" t="str">
        <f t="shared" si="584"/>
        <v/>
      </c>
      <c r="AZ199" s="545" t="str">
        <f t="shared" si="585"/>
        <v/>
      </c>
      <c r="BA199" s="546" t="str">
        <f t="shared" si="586"/>
        <v/>
      </c>
      <c r="BB199" s="519"/>
      <c r="BC199" s="4"/>
      <c r="BD199" s="4"/>
      <c r="BE199" s="655"/>
      <c r="BF199" s="639" t="s">
        <v>212</v>
      </c>
      <c r="BG199" s="658"/>
      <c r="BH199" s="552" t="str">
        <f t="shared" si="598"/>
        <v/>
      </c>
      <c r="BI199" s="545" t="str">
        <f t="shared" ref="BI199" si="607">IF(BH183=0,"",
  IF(BI183=0,"",
  IF(BI183&gt;BH183,"+"&amp;ROUND((BI183/BH183-1)*100,0)&amp;"%",
  IF(BI183&lt;BH183,ROUND((BI183/BH183-1)*100,0)&amp;"%",
  ""))))</f>
        <v/>
      </c>
      <c r="BJ199" s="545" t="str">
        <f t="shared" si="588"/>
        <v/>
      </c>
      <c r="BK199" s="545" t="str">
        <f t="shared" si="589"/>
        <v/>
      </c>
      <c r="BL199" s="545" t="str">
        <f t="shared" si="590"/>
        <v/>
      </c>
      <c r="BM199" s="546" t="str">
        <f t="shared" si="591"/>
        <v/>
      </c>
      <c r="BN199" s="1"/>
      <c r="BO199" s="1"/>
      <c r="BP199" s="1"/>
      <c r="BQ199" s="1"/>
      <c r="BR199" s="1"/>
      <c r="BS199" s="1"/>
      <c r="BT199" s="1"/>
    </row>
    <row r="200" spans="1:73" x14ac:dyDescent="0.3">
      <c r="N200" s="479"/>
      <c r="O200" s="831"/>
      <c r="Q200" s="530" t="s">
        <v>0</v>
      </c>
      <c r="R200" s="552" t="str">
        <f t="shared" si="592"/>
        <v>100%</v>
      </c>
      <c r="S200" s="545" t="str">
        <f t="shared" si="569"/>
        <v>+25%</v>
      </c>
      <c r="T200" s="545" t="str">
        <f t="shared" si="569"/>
        <v>-25%</v>
      </c>
      <c r="U200" s="545" t="str">
        <f t="shared" si="570"/>
        <v>+141%</v>
      </c>
      <c r="V200" s="545" t="str">
        <f t="shared" si="571"/>
        <v/>
      </c>
      <c r="W200" s="546" t="str">
        <f t="shared" si="572"/>
        <v/>
      </c>
      <c r="X200" s="552">
        <v>1</v>
      </c>
      <c r="Y200" s="545" t="str">
        <f t="shared" ref="Y200:Z200" si="608">IF(X184=0,"",
  IF(Y184=0,"",
  IF(Y184&gt;X184,"+"&amp;ROUND((Y184/X184-1)*100,0)&amp;"%",
  IF(Y184&lt;X184,ROUND((Y184/X184-1)*100,0)&amp;"%",
  ""))))</f>
        <v>+35%</v>
      </c>
      <c r="Z200" s="545" t="str">
        <f t="shared" si="608"/>
        <v>-25%</v>
      </c>
      <c r="AA200" s="545" t="str">
        <f t="shared" si="574"/>
        <v>+125%</v>
      </c>
      <c r="AB200" s="545" t="str">
        <f t="shared" si="575"/>
        <v/>
      </c>
      <c r="AC200" s="546" t="str">
        <f t="shared" si="576"/>
        <v/>
      </c>
      <c r="AD200" s="519"/>
      <c r="AG200" s="654"/>
      <c r="AH200" s="638" t="s">
        <v>0</v>
      </c>
      <c r="AI200" s="657"/>
      <c r="AJ200" s="552" t="str">
        <f t="shared" si="594"/>
        <v>100%</v>
      </c>
      <c r="AK200" s="545" t="str">
        <f t="shared" ref="AK200" si="609">IF(AJ184=0,"",
  IF(AK184=0,"",
  IF(AK184&gt;AJ184,"+"&amp;ROUND((AK184/AJ184-1)*100,0)&amp;"%",
  IF(AK184&lt;AJ184,ROUND((AK184/AJ184-1)*100,0)&amp;"%",
  ""))))</f>
        <v>+109%</v>
      </c>
      <c r="AL200" s="545" t="str">
        <f t="shared" si="578"/>
        <v>-22%</v>
      </c>
      <c r="AM200" s="545" t="str">
        <f t="shared" si="579"/>
        <v>+160%</v>
      </c>
      <c r="AN200" s="545" t="str">
        <f t="shared" si="580"/>
        <v/>
      </c>
      <c r="AO200" s="546" t="str">
        <f t="shared" si="581"/>
        <v/>
      </c>
      <c r="AP200" s="519"/>
      <c r="AS200" s="654"/>
      <c r="AT200" s="638" t="s">
        <v>0</v>
      </c>
      <c r="AU200" s="657"/>
      <c r="AV200" s="552" t="str">
        <f t="shared" si="596"/>
        <v>100%</v>
      </c>
      <c r="AW200" s="545" t="str">
        <f t="shared" ref="AW200" si="610">IF(AV184=0,"",
  IF(AW184=0,"",
  IF(AW184&gt;AV184,"+"&amp;ROUND((AW184/AV184-1)*100,0)&amp;"%",
  IF(AW184&lt;AV184,ROUND((AW184/AV184-1)*100,0)&amp;"%",
  ""))))</f>
        <v>+142%</v>
      </c>
      <c r="AX200" s="545" t="str">
        <f t="shared" si="583"/>
        <v>-28%</v>
      </c>
      <c r="AY200" s="545" t="str">
        <f t="shared" si="584"/>
        <v>+252%</v>
      </c>
      <c r="AZ200" s="545" t="str">
        <f t="shared" si="585"/>
        <v/>
      </c>
      <c r="BA200" s="546" t="str">
        <f t="shared" si="586"/>
        <v/>
      </c>
      <c r="BB200" s="519"/>
      <c r="BC200" s="4"/>
      <c r="BD200" s="4"/>
      <c r="BE200" s="654"/>
      <c r="BF200" s="638" t="s">
        <v>0</v>
      </c>
      <c r="BG200" s="657"/>
      <c r="BH200" s="552" t="str">
        <f t="shared" si="598"/>
        <v>100%</v>
      </c>
      <c r="BI200" s="545" t="str">
        <f t="shared" ref="BI200" si="611">IF(BH184=0,"",
  IF(BI184=0,"",
  IF(BI184&gt;BH184,"+"&amp;ROUND((BI184/BH184-1)*100,0)&amp;"%",
  IF(BI184&lt;BH184,ROUND((BI184/BH184-1)*100,0)&amp;"%",
  ""))))</f>
        <v>+124%</v>
      </c>
      <c r="BJ200" s="545" t="str">
        <f t="shared" si="588"/>
        <v>-17%</v>
      </c>
      <c r="BK200" s="545" t="str">
        <f t="shared" si="589"/>
        <v>+238%</v>
      </c>
      <c r="BL200" s="545" t="str">
        <f t="shared" si="590"/>
        <v/>
      </c>
      <c r="BM200" s="546" t="str">
        <f t="shared" si="591"/>
        <v/>
      </c>
      <c r="BN200" s="1"/>
      <c r="BO200" s="1"/>
      <c r="BP200" s="1"/>
      <c r="BQ200" s="1"/>
      <c r="BR200" s="1"/>
      <c r="BS200" s="1"/>
      <c r="BT200" s="1"/>
    </row>
    <row r="201" spans="1:73" x14ac:dyDescent="0.3">
      <c r="N201" s="479"/>
      <c r="O201" s="831"/>
      <c r="Q201" s="530" t="s">
        <v>4</v>
      </c>
      <c r="R201" s="552" t="str">
        <f t="shared" si="592"/>
        <v>100%</v>
      </c>
      <c r="S201" s="545" t="str">
        <f t="shared" si="569"/>
        <v>-54%</v>
      </c>
      <c r="T201" s="545" t="str">
        <f t="shared" si="569"/>
        <v>+112%</v>
      </c>
      <c r="U201" s="545" t="str">
        <f t="shared" si="570"/>
        <v/>
      </c>
      <c r="V201" s="545" t="str">
        <f t="shared" si="571"/>
        <v/>
      </c>
      <c r="W201" s="546" t="str">
        <f t="shared" si="572"/>
        <v/>
      </c>
      <c r="X201" s="552">
        <v>1</v>
      </c>
      <c r="Y201" s="545" t="str">
        <f t="shared" ref="Y201:Z201" si="612">IF(X185=0,"",
  IF(Y185=0,"",
  IF(Y185&gt;X185,"+"&amp;ROUND((Y185/X185-1)*100,0)&amp;"%",
  IF(Y185&lt;X185,ROUND((Y185/X185-1)*100,0)&amp;"%",
  ""))))</f>
        <v>-19%</v>
      </c>
      <c r="Z201" s="545" t="str">
        <f t="shared" si="612"/>
        <v>+122%</v>
      </c>
      <c r="AA201" s="545" t="str">
        <f t="shared" si="574"/>
        <v/>
      </c>
      <c r="AB201" s="545" t="str">
        <f t="shared" si="575"/>
        <v/>
      </c>
      <c r="AC201" s="546" t="str">
        <f t="shared" si="576"/>
        <v/>
      </c>
      <c r="AD201" s="519"/>
      <c r="AG201" s="654"/>
      <c r="AH201" s="638" t="s">
        <v>4</v>
      </c>
      <c r="AI201" s="657"/>
      <c r="AJ201" s="552" t="str">
        <f t="shared" si="594"/>
        <v>100%</v>
      </c>
      <c r="AK201" s="545" t="str">
        <f t="shared" ref="AK201" si="613">IF(AJ185=0,"",
  IF(AK185=0,"",
  IF(AK185&gt;AJ185,"+"&amp;ROUND((AK185/AJ185-1)*100,0)&amp;"%",
  IF(AK185&lt;AJ185,ROUND((AK185/AJ185-1)*100,0)&amp;"%",
  ""))))</f>
        <v>-59%</v>
      </c>
      <c r="AL201" s="545" t="str">
        <f t="shared" si="578"/>
        <v>+147%</v>
      </c>
      <c r="AM201" s="545" t="str">
        <f t="shared" si="579"/>
        <v/>
      </c>
      <c r="AN201" s="545" t="str">
        <f t="shared" si="580"/>
        <v/>
      </c>
      <c r="AO201" s="546" t="str">
        <f t="shared" si="581"/>
        <v/>
      </c>
      <c r="AP201" s="519"/>
      <c r="AS201" s="654"/>
      <c r="AT201" s="638" t="s">
        <v>4</v>
      </c>
      <c r="AU201" s="657"/>
      <c r="AV201" s="552" t="str">
        <f t="shared" si="596"/>
        <v>100%</v>
      </c>
      <c r="AW201" s="545" t="str">
        <f t="shared" ref="AW201" si="614">IF(AV185=0,"",
  IF(AW185=0,"",
  IF(AW185&gt;AV185,"+"&amp;ROUND((AW185/AV185-1)*100,0)&amp;"%",
  IF(AW185&lt;AV185,ROUND((AW185/AV185-1)*100,0)&amp;"%",
  ""))))</f>
        <v>-55%</v>
      </c>
      <c r="AX201" s="545" t="str">
        <f t="shared" si="583"/>
        <v>+96%</v>
      </c>
      <c r="AY201" s="545" t="str">
        <f t="shared" si="584"/>
        <v/>
      </c>
      <c r="AZ201" s="545" t="str">
        <f t="shared" si="585"/>
        <v/>
      </c>
      <c r="BA201" s="546" t="str">
        <f t="shared" si="586"/>
        <v/>
      </c>
      <c r="BB201" s="519"/>
      <c r="BC201" s="4"/>
      <c r="BD201" s="4"/>
      <c r="BE201" s="654"/>
      <c r="BF201" s="638" t="s">
        <v>4</v>
      </c>
      <c r="BG201" s="657"/>
      <c r="BH201" s="552" t="str">
        <f t="shared" si="598"/>
        <v/>
      </c>
      <c r="BI201" s="545" t="str">
        <f t="shared" ref="BI201" si="615">IF(BH185=0,"",
  IF(BI185=0,"",
  IF(BI185&gt;BH185,"+"&amp;ROUND((BI185/BH185-1)*100,0)&amp;"%",
  IF(BI185&lt;BH185,ROUND((BI185/BH185-1)*100,0)&amp;"%",
  ""))))</f>
        <v/>
      </c>
      <c r="BJ201" s="545" t="str">
        <f t="shared" si="588"/>
        <v/>
      </c>
      <c r="BK201" s="545" t="str">
        <f t="shared" si="589"/>
        <v/>
      </c>
      <c r="BL201" s="545" t="str">
        <f t="shared" si="590"/>
        <v/>
      </c>
      <c r="BM201" s="546" t="str">
        <f t="shared" si="591"/>
        <v/>
      </c>
      <c r="BN201" s="1"/>
      <c r="BO201" s="1"/>
      <c r="BP201" s="1"/>
      <c r="BQ201" s="1"/>
      <c r="BR201" s="1"/>
      <c r="BS201" s="1"/>
      <c r="BT201" s="1"/>
    </row>
    <row r="202" spans="1:73" x14ac:dyDescent="0.3">
      <c r="N202" s="479"/>
      <c r="O202" s="831"/>
      <c r="Q202" s="530" t="s">
        <v>167</v>
      </c>
      <c r="R202" s="552" t="str">
        <f t="shared" si="592"/>
        <v/>
      </c>
      <c r="S202" s="545" t="str">
        <f t="shared" si="569"/>
        <v/>
      </c>
      <c r="T202" s="545" t="str">
        <f t="shared" si="569"/>
        <v>+520%</v>
      </c>
      <c r="U202" s="545" t="str">
        <f t="shared" si="570"/>
        <v>+58%</v>
      </c>
      <c r="V202" s="545" t="str">
        <f t="shared" si="571"/>
        <v/>
      </c>
      <c r="W202" s="546" t="str">
        <f t="shared" si="572"/>
        <v/>
      </c>
      <c r="X202" s="552">
        <v>1</v>
      </c>
      <c r="Y202" s="545" t="str">
        <f t="shared" ref="Y202:Z202" si="616">IF(X186=0,"",
  IF(Y186=0,"",
  IF(Y186&gt;X186,"+"&amp;ROUND((Y186/X186-1)*100,0)&amp;"%",
  IF(Y186&lt;X186,ROUND((Y186/X186-1)*100,0)&amp;"%",
  ""))))</f>
        <v/>
      </c>
      <c r="Z202" s="545" t="str">
        <f t="shared" si="616"/>
        <v>+200%</v>
      </c>
      <c r="AA202" s="545" t="str">
        <f t="shared" si="574"/>
        <v>+108%</v>
      </c>
      <c r="AB202" s="545" t="str">
        <f t="shared" si="575"/>
        <v/>
      </c>
      <c r="AC202" s="546" t="str">
        <f t="shared" si="576"/>
        <v/>
      </c>
      <c r="AD202" s="519"/>
      <c r="AG202" s="654"/>
      <c r="AH202" s="638" t="s">
        <v>167</v>
      </c>
      <c r="AI202" s="657"/>
      <c r="AJ202" s="552" t="str">
        <f t="shared" si="594"/>
        <v/>
      </c>
      <c r="AK202" s="545" t="str">
        <f t="shared" ref="AK202" si="617">IF(AJ186=0,"",
  IF(AK186=0,"",
  IF(AK186&gt;AJ186,"+"&amp;ROUND((AK186/AJ186-1)*100,0)&amp;"%",
  IF(AK186&lt;AJ186,ROUND((AK186/AJ186-1)*100,0)&amp;"%",
  ""))))</f>
        <v/>
      </c>
      <c r="AL202" s="545" t="str">
        <f t="shared" si="578"/>
        <v>+850%</v>
      </c>
      <c r="AM202" s="545" t="str">
        <f t="shared" si="579"/>
        <v>+68%</v>
      </c>
      <c r="AN202" s="545" t="str">
        <f t="shared" si="580"/>
        <v/>
      </c>
      <c r="AO202" s="546" t="str">
        <f t="shared" si="581"/>
        <v/>
      </c>
      <c r="AP202" s="519"/>
      <c r="AS202" s="654"/>
      <c r="AT202" s="638" t="s">
        <v>167</v>
      </c>
      <c r="AU202" s="657"/>
      <c r="AV202" s="552" t="str">
        <f t="shared" si="596"/>
        <v/>
      </c>
      <c r="AW202" s="545" t="str">
        <f t="shared" ref="AW202" si="618">IF(AV186=0,"",
  IF(AW186=0,"",
  IF(AW186&gt;AV186,"+"&amp;ROUND((AW186/AV186-1)*100,0)&amp;"%",
  IF(AW186&lt;AV186,ROUND((AW186/AV186-1)*100,0)&amp;"%",
  ""))))</f>
        <v/>
      </c>
      <c r="AX202" s="545" t="str">
        <f t="shared" si="583"/>
        <v>+600%</v>
      </c>
      <c r="AY202" s="545" t="str">
        <f t="shared" si="584"/>
        <v>+57%</v>
      </c>
      <c r="AZ202" s="545" t="str">
        <f t="shared" si="585"/>
        <v/>
      </c>
      <c r="BA202" s="546" t="str">
        <f t="shared" si="586"/>
        <v/>
      </c>
      <c r="BB202" s="519"/>
      <c r="BC202" s="4"/>
      <c r="BD202" s="4"/>
      <c r="BE202" s="654"/>
      <c r="BF202" s="638" t="s">
        <v>167</v>
      </c>
      <c r="BG202" s="657"/>
      <c r="BH202" s="552" t="str">
        <f t="shared" si="598"/>
        <v/>
      </c>
      <c r="BI202" s="545" t="str">
        <f t="shared" ref="BI202" si="619">IF(BH186=0,"",
  IF(BI186=0,"",
  IF(BI186&gt;BH186,"+"&amp;ROUND((BI186/BH186-1)*100,0)&amp;"%",
  IF(BI186&lt;BH186,ROUND((BI186/BH186-1)*100,0)&amp;"%",
  ""))))</f>
        <v/>
      </c>
      <c r="BJ202" s="545" t="str">
        <f t="shared" si="588"/>
        <v/>
      </c>
      <c r="BK202" s="545" t="str">
        <f t="shared" si="589"/>
        <v>+60%</v>
      </c>
      <c r="BL202" s="545" t="str">
        <f t="shared" si="590"/>
        <v/>
      </c>
      <c r="BM202" s="546" t="str">
        <f t="shared" si="591"/>
        <v/>
      </c>
      <c r="BN202" s="1"/>
      <c r="BO202" s="1"/>
      <c r="BP202" s="1"/>
      <c r="BQ202" s="1"/>
      <c r="BR202" s="1"/>
      <c r="BS202" s="1"/>
      <c r="BT202" s="1"/>
    </row>
    <row r="203" spans="1:73" x14ac:dyDescent="0.3">
      <c r="N203" s="479"/>
      <c r="O203" s="831"/>
      <c r="Q203" s="530" t="s">
        <v>1</v>
      </c>
      <c r="R203" s="552" t="str">
        <f t="shared" si="592"/>
        <v>100%</v>
      </c>
      <c r="S203" s="545" t="str">
        <f t="shared" si="569"/>
        <v>+53%</v>
      </c>
      <c r="T203" s="545" t="str">
        <f t="shared" si="569"/>
        <v>-17%</v>
      </c>
      <c r="U203" s="545" t="str">
        <f t="shared" si="570"/>
        <v/>
      </c>
      <c r="V203" s="545" t="str">
        <f t="shared" si="571"/>
        <v/>
      </c>
      <c r="W203" s="546" t="str">
        <f t="shared" si="572"/>
        <v/>
      </c>
      <c r="X203" s="552">
        <v>1</v>
      </c>
      <c r="Y203" s="545" t="str">
        <f t="shared" ref="Y203:Z203" si="620">IF(X187=0,"",
  IF(Y187=0,"",
  IF(Y187&gt;X187,"+"&amp;ROUND((Y187/X187-1)*100,0)&amp;"%",
  IF(Y187&lt;X187,ROUND((Y187/X187-1)*100,0)&amp;"%",
  ""))))</f>
        <v>+12%</v>
      </c>
      <c r="Z203" s="545" t="str">
        <f t="shared" si="620"/>
        <v>+14%</v>
      </c>
      <c r="AA203" s="545" t="str">
        <f t="shared" si="574"/>
        <v/>
      </c>
      <c r="AB203" s="545" t="str">
        <f t="shared" si="575"/>
        <v/>
      </c>
      <c r="AC203" s="546" t="str">
        <f t="shared" si="576"/>
        <v/>
      </c>
      <c r="AD203" s="519"/>
      <c r="AG203" s="654"/>
      <c r="AH203" s="638" t="s">
        <v>1</v>
      </c>
      <c r="AI203" s="657"/>
      <c r="AJ203" s="552" t="str">
        <f t="shared" si="594"/>
        <v>100%</v>
      </c>
      <c r="AK203" s="545" t="str">
        <f t="shared" ref="AK203" si="621">IF(AJ187=0,"",
  IF(AK187=0,"",
  IF(AK187&gt;AJ187,"+"&amp;ROUND((AK187/AJ187-1)*100,0)&amp;"%",
  IF(AK187&lt;AJ187,ROUND((AK187/AJ187-1)*100,0)&amp;"%",
  ""))))</f>
        <v>+67%</v>
      </c>
      <c r="AL203" s="545" t="str">
        <f t="shared" si="578"/>
        <v>-7%</v>
      </c>
      <c r="AM203" s="545" t="str">
        <f t="shared" si="579"/>
        <v/>
      </c>
      <c r="AN203" s="545" t="str">
        <f t="shared" si="580"/>
        <v/>
      </c>
      <c r="AO203" s="546" t="str">
        <f t="shared" si="581"/>
        <v/>
      </c>
      <c r="AP203" s="519"/>
      <c r="AS203" s="654"/>
      <c r="AT203" s="638" t="s">
        <v>1</v>
      </c>
      <c r="AU203" s="657"/>
      <c r="AV203" s="552" t="str">
        <f t="shared" si="596"/>
        <v>100%</v>
      </c>
      <c r="AW203" s="545" t="str">
        <f t="shared" ref="AW203" si="622">IF(AV187=0,"",
  IF(AW187=0,"",
  IF(AW187&gt;AV187,"+"&amp;ROUND((AW187/AV187-1)*100,0)&amp;"%",
  IF(AW187&lt;AV187,ROUND((AW187/AV187-1)*100,0)&amp;"%",
  ""))))</f>
        <v>+57%</v>
      </c>
      <c r="AX203" s="545" t="str">
        <f t="shared" si="583"/>
        <v>-13%</v>
      </c>
      <c r="AY203" s="545" t="str">
        <f t="shared" si="584"/>
        <v/>
      </c>
      <c r="AZ203" s="545" t="str">
        <f t="shared" si="585"/>
        <v/>
      </c>
      <c r="BA203" s="546" t="str">
        <f t="shared" si="586"/>
        <v/>
      </c>
      <c r="BB203" s="519"/>
      <c r="BC203" s="4"/>
      <c r="BD203" s="4"/>
      <c r="BE203" s="654"/>
      <c r="BF203" s="638" t="s">
        <v>1</v>
      </c>
      <c r="BG203" s="657"/>
      <c r="BH203" s="552" t="str">
        <f t="shared" si="598"/>
        <v>100%</v>
      </c>
      <c r="BI203" s="545" t="str">
        <f t="shared" ref="BI203" si="623">IF(BH187=0,"",
  IF(BI187=0,"",
  IF(BI187&gt;BH187,"+"&amp;ROUND((BI187/BH187-1)*100,0)&amp;"%",
  IF(BI187&lt;BH187,ROUND((BI187/BH187-1)*100,0)&amp;"%",
  ""))))</f>
        <v>+50%</v>
      </c>
      <c r="BJ203" s="545" t="str">
        <f t="shared" si="588"/>
        <v>-3%</v>
      </c>
      <c r="BK203" s="545" t="str">
        <f t="shared" si="589"/>
        <v/>
      </c>
      <c r="BL203" s="545" t="str">
        <f t="shared" si="590"/>
        <v/>
      </c>
      <c r="BM203" s="546" t="str">
        <f t="shared" si="591"/>
        <v/>
      </c>
      <c r="BN203" s="1"/>
      <c r="BO203" s="1"/>
      <c r="BP203" s="1"/>
      <c r="BQ203" s="1"/>
      <c r="BR203" s="1"/>
      <c r="BS203" s="1"/>
      <c r="BT203" s="1"/>
    </row>
    <row r="204" spans="1:73" x14ac:dyDescent="0.3">
      <c r="N204" s="479"/>
      <c r="O204" s="831"/>
      <c r="Q204" s="530" t="s">
        <v>45</v>
      </c>
      <c r="R204" s="552" t="str">
        <f t="shared" si="592"/>
        <v>100%</v>
      </c>
      <c r="S204" s="545" t="str">
        <f t="shared" si="569"/>
        <v>+47%</v>
      </c>
      <c r="T204" s="545" t="str">
        <f t="shared" si="569"/>
        <v>+23%</v>
      </c>
      <c r="U204" s="545" t="str">
        <f t="shared" si="570"/>
        <v/>
      </c>
      <c r="V204" s="545" t="str">
        <f t="shared" si="571"/>
        <v/>
      </c>
      <c r="W204" s="546" t="str">
        <f t="shared" si="572"/>
        <v/>
      </c>
      <c r="X204" s="552">
        <v>1</v>
      </c>
      <c r="Y204" s="545" t="str">
        <f t="shared" ref="Y204:Z204" si="624">IF(X188=0,"",
  IF(Y188=0,"",
  IF(Y188&gt;X188,"+"&amp;ROUND((Y188/X188-1)*100,0)&amp;"%",
  IF(Y188&lt;X188,ROUND((Y188/X188-1)*100,0)&amp;"%",
  ""))))</f>
        <v>+47%</v>
      </c>
      <c r="Z204" s="545" t="str">
        <f t="shared" si="624"/>
        <v>-7%</v>
      </c>
      <c r="AA204" s="545" t="str">
        <f t="shared" si="574"/>
        <v/>
      </c>
      <c r="AB204" s="545" t="str">
        <f t="shared" si="575"/>
        <v/>
      </c>
      <c r="AC204" s="546" t="str">
        <f t="shared" si="576"/>
        <v/>
      </c>
      <c r="AD204" s="519"/>
      <c r="AG204" s="654"/>
      <c r="AH204" s="638" t="s">
        <v>45</v>
      </c>
      <c r="AI204" s="657"/>
      <c r="AJ204" s="552" t="str">
        <f t="shared" si="594"/>
        <v>100%</v>
      </c>
      <c r="AK204" s="545" t="str">
        <f t="shared" ref="AK204" si="625">IF(AJ188=0,"",
  IF(AK188=0,"",
  IF(AK188&gt;AJ188,"+"&amp;ROUND((AK188/AJ188-1)*100,0)&amp;"%",
  IF(AK188&lt;AJ188,ROUND((AK188/AJ188-1)*100,0)&amp;"%",
  ""))))</f>
        <v>+82%</v>
      </c>
      <c r="AL204" s="545" t="str">
        <f t="shared" si="578"/>
        <v>+25%</v>
      </c>
      <c r="AM204" s="545" t="str">
        <f t="shared" si="579"/>
        <v/>
      </c>
      <c r="AN204" s="545" t="str">
        <f t="shared" si="580"/>
        <v/>
      </c>
      <c r="AO204" s="546" t="str">
        <f t="shared" si="581"/>
        <v/>
      </c>
      <c r="AP204" s="519"/>
      <c r="AS204" s="654"/>
      <c r="AT204" s="638" t="s">
        <v>45</v>
      </c>
      <c r="AU204" s="657"/>
      <c r="AV204" s="552" t="str">
        <f t="shared" si="596"/>
        <v>100%</v>
      </c>
      <c r="AW204" s="545" t="str">
        <f t="shared" ref="AW204" si="626">IF(AV188=0,"",
  IF(AW188=0,"",
  IF(AW188&gt;AV188,"+"&amp;ROUND((AW188/AV188-1)*100,0)&amp;"%",
  IF(AW188&lt;AV188,ROUND((AW188/AV188-1)*100,0)&amp;"%",
  ""))))</f>
        <v>+55%</v>
      </c>
      <c r="AX204" s="545" t="str">
        <f t="shared" si="583"/>
        <v>+6%</v>
      </c>
      <c r="AY204" s="545" t="str">
        <f t="shared" si="584"/>
        <v/>
      </c>
      <c r="AZ204" s="545" t="str">
        <f t="shared" si="585"/>
        <v/>
      </c>
      <c r="BA204" s="546" t="str">
        <f t="shared" si="586"/>
        <v/>
      </c>
      <c r="BB204" s="519"/>
      <c r="BC204" s="4"/>
      <c r="BD204" s="4"/>
      <c r="BE204" s="654"/>
      <c r="BF204" s="638" t="s">
        <v>45</v>
      </c>
      <c r="BG204" s="657"/>
      <c r="BH204" s="552" t="str">
        <f t="shared" si="598"/>
        <v>100%</v>
      </c>
      <c r="BI204" s="545" t="str">
        <f t="shared" ref="BI204" si="627">IF(BH188=0,"",
  IF(BI188=0,"",
  IF(BI188&gt;BH188,"+"&amp;ROUND((BI188/BH188-1)*100,0)&amp;"%",
  IF(BI188&lt;BH188,ROUND((BI188/BH188-1)*100,0)&amp;"%",
  ""))))</f>
        <v>+92%</v>
      </c>
      <c r="BJ204" s="545" t="str">
        <f t="shared" si="588"/>
        <v>+3%</v>
      </c>
      <c r="BK204" s="545" t="str">
        <f t="shared" si="589"/>
        <v/>
      </c>
      <c r="BL204" s="545" t="str">
        <f t="shared" si="590"/>
        <v/>
      </c>
      <c r="BM204" s="546" t="str">
        <f t="shared" si="591"/>
        <v/>
      </c>
      <c r="BN204" s="1"/>
      <c r="BO204" s="1"/>
      <c r="BP204" s="1"/>
      <c r="BQ204" s="1"/>
      <c r="BR204" s="1"/>
      <c r="BS204" s="1"/>
      <c r="BT204" s="1"/>
    </row>
    <row r="205" spans="1:73" x14ac:dyDescent="0.3">
      <c r="N205" s="479"/>
      <c r="O205" s="831"/>
      <c r="Q205" s="532" t="s">
        <v>214</v>
      </c>
      <c r="R205" s="552" t="str">
        <f t="shared" si="592"/>
        <v>100%</v>
      </c>
      <c r="S205" s="545" t="str">
        <f t="shared" si="569"/>
        <v>+63%</v>
      </c>
      <c r="T205" s="545" t="str">
        <f t="shared" si="569"/>
        <v>+41%</v>
      </c>
      <c r="U205" s="545" t="str">
        <f t="shared" si="570"/>
        <v/>
      </c>
      <c r="V205" s="545" t="str">
        <f t="shared" si="571"/>
        <v/>
      </c>
      <c r="W205" s="546" t="str">
        <f t="shared" si="572"/>
        <v/>
      </c>
      <c r="X205" s="552">
        <v>1</v>
      </c>
      <c r="Y205" s="545" t="str">
        <f t="shared" ref="Y205:Z205" si="628">IF(X189=0,"",
  IF(Y189=0,"",
  IF(Y189&gt;X189,"+"&amp;ROUND((Y189/X189-1)*100,0)&amp;"%",
  IF(Y189&lt;X189,ROUND((Y189/X189-1)*100,0)&amp;"%",
  ""))))</f>
        <v>+65%</v>
      </c>
      <c r="Z205" s="545" t="str">
        <f t="shared" si="628"/>
        <v>+51%</v>
      </c>
      <c r="AA205" s="545" t="str">
        <f t="shared" si="574"/>
        <v/>
      </c>
      <c r="AB205" s="545" t="str">
        <f t="shared" si="575"/>
        <v/>
      </c>
      <c r="AC205" s="546" t="str">
        <f t="shared" si="576"/>
        <v/>
      </c>
      <c r="AD205" s="519"/>
      <c r="AG205" s="655"/>
      <c r="AH205" s="639" t="s">
        <v>214</v>
      </c>
      <c r="AI205" s="658"/>
      <c r="AJ205" s="552" t="str">
        <f t="shared" si="594"/>
        <v>100%</v>
      </c>
      <c r="AK205" s="545" t="str">
        <f t="shared" ref="AK205" si="629">IF(AJ189=0,"",
  IF(AK189=0,"",
  IF(AK189&gt;AJ189,"+"&amp;ROUND((AK189/AJ189-1)*100,0)&amp;"%",
  IF(AK189&lt;AJ189,ROUND((AK189/AJ189-1)*100,0)&amp;"%",
  ""))))</f>
        <v>+86%</v>
      </c>
      <c r="AL205" s="545" t="str">
        <f t="shared" si="578"/>
        <v>+52%</v>
      </c>
      <c r="AM205" s="545" t="str">
        <f t="shared" si="579"/>
        <v/>
      </c>
      <c r="AN205" s="545" t="str">
        <f t="shared" si="580"/>
        <v/>
      </c>
      <c r="AO205" s="546" t="str">
        <f t="shared" si="581"/>
        <v/>
      </c>
      <c r="AP205" s="519"/>
      <c r="AS205" s="655"/>
      <c r="AT205" s="639" t="s">
        <v>214</v>
      </c>
      <c r="AU205" s="658"/>
      <c r="AV205" s="552" t="str">
        <f t="shared" si="596"/>
        <v>100%</v>
      </c>
      <c r="AW205" s="545" t="str">
        <f t="shared" ref="AW205" si="630">IF(AV189=0,"",
  IF(AW189=0,"",
  IF(AW189&gt;AV189,"+"&amp;ROUND((AW189/AV189-1)*100,0)&amp;"%",
  IF(AW189&lt;AV189,ROUND((AW189/AV189-1)*100,0)&amp;"%",
  ""))))</f>
        <v>+35%</v>
      </c>
      <c r="AX205" s="545" t="str">
        <f t="shared" si="583"/>
        <v>+54%</v>
      </c>
      <c r="AY205" s="545" t="str">
        <f t="shared" si="584"/>
        <v/>
      </c>
      <c r="AZ205" s="545" t="str">
        <f t="shared" si="585"/>
        <v/>
      </c>
      <c r="BA205" s="546" t="str">
        <f t="shared" si="586"/>
        <v/>
      </c>
      <c r="BB205" s="519"/>
      <c r="BC205" s="4"/>
      <c r="BD205" s="4"/>
      <c r="BE205" s="655"/>
      <c r="BF205" s="639" t="s">
        <v>214</v>
      </c>
      <c r="BG205" s="658"/>
      <c r="BH205" s="552" t="str">
        <f t="shared" si="598"/>
        <v/>
      </c>
      <c r="BI205" s="545" t="str">
        <f t="shared" ref="BI205" si="631">IF(BH189=0,"",
  IF(BI189=0,"",
  IF(BI189&gt;BH189,"+"&amp;ROUND((BI189/BH189-1)*100,0)&amp;"%",
  IF(BI189&lt;BH189,ROUND((BI189/BH189-1)*100,0)&amp;"%",
  ""))))</f>
        <v/>
      </c>
      <c r="BJ205" s="545" t="str">
        <f t="shared" si="588"/>
        <v>+63%</v>
      </c>
      <c r="BK205" s="545" t="str">
        <f t="shared" si="589"/>
        <v/>
      </c>
      <c r="BL205" s="545" t="str">
        <f t="shared" si="590"/>
        <v/>
      </c>
      <c r="BM205" s="546" t="str">
        <f t="shared" si="591"/>
        <v/>
      </c>
      <c r="BN205" s="1"/>
      <c r="BO205" s="1"/>
      <c r="BP205" s="1"/>
      <c r="BQ205" s="1"/>
      <c r="BR205" s="1"/>
      <c r="BS205" s="1"/>
      <c r="BT205" s="1"/>
    </row>
    <row r="206" spans="1:73" x14ac:dyDescent="0.3">
      <c r="N206" s="479"/>
      <c r="O206" s="831"/>
      <c r="Q206" s="532" t="s">
        <v>213</v>
      </c>
      <c r="R206" s="552" t="str">
        <f t="shared" si="592"/>
        <v>100%</v>
      </c>
      <c r="S206" s="545" t="str">
        <f t="shared" si="569"/>
        <v>+295%</v>
      </c>
      <c r="T206" s="545" t="str">
        <f t="shared" si="569"/>
        <v>-16%</v>
      </c>
      <c r="U206" s="545" t="str">
        <f t="shared" si="570"/>
        <v/>
      </c>
      <c r="V206" s="545" t="str">
        <f t="shared" si="571"/>
        <v/>
      </c>
      <c r="W206" s="546" t="str">
        <f t="shared" si="572"/>
        <v/>
      </c>
      <c r="X206" s="552">
        <v>1</v>
      </c>
      <c r="Y206" s="545" t="str">
        <f t="shared" ref="Y206:Z206" si="632">IF(X190=0,"",
  IF(Y190=0,"",
  IF(Y190&gt;X190,"+"&amp;ROUND((Y190/X190-1)*100,0)&amp;"%",
  IF(Y190&lt;X190,ROUND((Y190/X190-1)*100,0)&amp;"%",
  ""))))</f>
        <v>+600%</v>
      </c>
      <c r="Z206" s="545" t="str">
        <f t="shared" si="632"/>
        <v>-25%</v>
      </c>
      <c r="AA206" s="545" t="str">
        <f t="shared" si="574"/>
        <v/>
      </c>
      <c r="AB206" s="545" t="str">
        <f t="shared" si="575"/>
        <v/>
      </c>
      <c r="AC206" s="546" t="str">
        <f t="shared" si="576"/>
        <v/>
      </c>
      <c r="AD206" s="519"/>
      <c r="AG206" s="655"/>
      <c r="AH206" s="639" t="s">
        <v>213</v>
      </c>
      <c r="AI206" s="658"/>
      <c r="AJ206" s="552" t="str">
        <f t="shared" si="594"/>
        <v>100%</v>
      </c>
      <c r="AK206" s="545" t="str">
        <f t="shared" ref="AK206" si="633">IF(AJ190=0,"",
  IF(AK190=0,"",
  IF(AK190&gt;AJ190,"+"&amp;ROUND((AK190/AJ190-1)*100,0)&amp;"%",
  IF(AK190&lt;AJ190,ROUND((AK190/AJ190-1)*100,0)&amp;"%",
  ""))))</f>
        <v>+278%</v>
      </c>
      <c r="AL206" s="545" t="str">
        <f t="shared" si="578"/>
        <v>-17%</v>
      </c>
      <c r="AM206" s="545" t="str">
        <f t="shared" si="579"/>
        <v/>
      </c>
      <c r="AN206" s="545" t="str">
        <f t="shared" si="580"/>
        <v/>
      </c>
      <c r="AO206" s="546" t="str">
        <f t="shared" si="581"/>
        <v/>
      </c>
      <c r="AP206" s="519"/>
      <c r="AS206" s="655"/>
      <c r="AT206" s="639" t="s">
        <v>213</v>
      </c>
      <c r="AU206" s="658"/>
      <c r="AV206" s="552" t="str">
        <f t="shared" si="596"/>
        <v>100%</v>
      </c>
      <c r="AW206" s="545" t="str">
        <f t="shared" ref="AW206" si="634">IF(AV190=0,"",
  IF(AW190=0,"",
  IF(AW190&gt;AV190,"+"&amp;ROUND((AW190/AV190-1)*100,0)&amp;"%",
  IF(AW190&lt;AV190,ROUND((AW190/AV190-1)*100,0)&amp;"%",
  ""))))</f>
        <v>+242%</v>
      </c>
      <c r="AX206" s="545" t="str">
        <f t="shared" si="583"/>
        <v>-13%</v>
      </c>
      <c r="AY206" s="545" t="str">
        <f t="shared" si="584"/>
        <v/>
      </c>
      <c r="AZ206" s="545" t="str">
        <f t="shared" si="585"/>
        <v/>
      </c>
      <c r="BA206" s="546" t="str">
        <f t="shared" si="586"/>
        <v/>
      </c>
      <c r="BB206" s="519"/>
      <c r="BC206" s="4"/>
      <c r="BD206" s="4"/>
      <c r="BE206" s="655"/>
      <c r="BF206" s="639" t="s">
        <v>213</v>
      </c>
      <c r="BG206" s="658"/>
      <c r="BH206" s="552" t="str">
        <f t="shared" si="598"/>
        <v/>
      </c>
      <c r="BI206" s="545" t="str">
        <f t="shared" ref="BI206" si="635">IF(BH190=0,"",
  IF(BI190=0,"",
  IF(BI190&gt;BH190,"+"&amp;ROUND((BI190/BH190-1)*100,0)&amp;"%",
  IF(BI190&lt;BH190,ROUND((BI190/BH190-1)*100,0)&amp;"%",
  ""))))</f>
        <v/>
      </c>
      <c r="BJ206" s="545" t="str">
        <f t="shared" si="588"/>
        <v>-46%</v>
      </c>
      <c r="BK206" s="545" t="str">
        <f t="shared" si="589"/>
        <v/>
      </c>
      <c r="BL206" s="545" t="str">
        <f t="shared" si="590"/>
        <v/>
      </c>
      <c r="BM206" s="546" t="str">
        <f t="shared" si="591"/>
        <v/>
      </c>
      <c r="BN206" s="1"/>
      <c r="BO206" s="1"/>
      <c r="BP206" s="1"/>
      <c r="BQ206" s="1"/>
      <c r="BR206" s="1"/>
      <c r="BS206" s="1"/>
      <c r="BT206" s="1"/>
    </row>
    <row r="207" spans="1:73" ht="15" thickBot="1" x14ac:dyDescent="0.35">
      <c r="N207" s="479"/>
      <c r="O207" s="831"/>
      <c r="Q207" s="533" t="s">
        <v>3</v>
      </c>
      <c r="R207" s="553" t="str">
        <f t="shared" si="592"/>
        <v>100%</v>
      </c>
      <c r="S207" s="547" t="str">
        <f>IF(R191=0,"",
  IF(S191=0,"",
  IF(S191&gt;R191,"+"&amp;ROUND((S191/R191-1)*100,0)&amp;"%",
  IF(S191&lt;R191,ROUND((S191/R191-1)*100,0)&amp;"%",
  ""))))</f>
        <v>-21%</v>
      </c>
      <c r="T207" s="547" t="str">
        <f>IF(S191=0,"",
  IF(T191=0,"",
  IF(T191&gt;S191,"+"&amp;ROUND((T191/S191-1)*100,0)&amp;"%",
  IF(T191&lt;S191,ROUND((T191/S191-1)*100,0)&amp;"%",
  ""))))</f>
        <v>+50%</v>
      </c>
      <c r="U207" s="547" t="str">
        <f t="shared" si="570"/>
        <v/>
      </c>
      <c r="V207" s="547" t="str">
        <f t="shared" si="571"/>
        <v/>
      </c>
      <c r="W207" s="548" t="str">
        <f t="shared" si="572"/>
        <v/>
      </c>
      <c r="X207" s="553">
        <v>1</v>
      </c>
      <c r="Y207" s="547" t="str">
        <f>IF(X191=0,"",
  IF(Y191=0,"",
  IF(Y191&gt;X191,"+"&amp;ROUND((Y191/X191-1)*100,0)&amp;"%",
  IF(Y191&lt;X191,ROUND((Y191/X191-1)*100,0)&amp;"%",
  ""))))</f>
        <v>-21%</v>
      </c>
      <c r="Z207" s="547" t="str">
        <f>IF(Y191=0,"",
  IF(Z191=0,"",
  IF(Z191&gt;Y191,"+"&amp;ROUND((Z191/Y191-1)*100,0)&amp;"%",
  IF(Z191&lt;Y191,ROUND((Z191/Y191-1)*100,0)&amp;"%",
  ""))))</f>
        <v>+50%</v>
      </c>
      <c r="AA207" s="547" t="str">
        <f t="shared" si="574"/>
        <v/>
      </c>
      <c r="AB207" s="547" t="str">
        <f t="shared" si="575"/>
        <v/>
      </c>
      <c r="AC207" s="548" t="str">
        <f t="shared" si="576"/>
        <v/>
      </c>
      <c r="AD207" s="519"/>
      <c r="AG207" s="654"/>
      <c r="AH207" s="640" t="s">
        <v>3</v>
      </c>
      <c r="AI207" s="659"/>
      <c r="AJ207" s="553" t="str">
        <f t="shared" si="594"/>
        <v>100%</v>
      </c>
      <c r="AK207" s="547" t="str">
        <f>IF(AJ191=0,"",
  IF(AK191=0,"",
  IF(AK191&gt;AJ191,"+"&amp;ROUND((AK191/AJ191-1)*100,0)&amp;"%",
  IF(AK191&lt;AJ191,ROUND((AK191/AJ191-1)*100,0)&amp;"%",
  ""))))</f>
        <v>+140%</v>
      </c>
      <c r="AL207" s="547" t="str">
        <f t="shared" si="578"/>
        <v>+69%</v>
      </c>
      <c r="AM207" s="547" t="str">
        <f t="shared" si="579"/>
        <v/>
      </c>
      <c r="AN207" s="547" t="str">
        <f t="shared" si="580"/>
        <v/>
      </c>
      <c r="AO207" s="548" t="str">
        <f>IF(AN191=0,"",
  IF(AO191=0,"",
  IF(AO191&gt;AN191,"+"&amp;ROUND((AO191/AN191-1)*100,0)&amp;"%",
  IF(AO191&lt;AN191,ROUND((AO191/AN191-1)*100,0)&amp;"%",
  ""))))</f>
        <v/>
      </c>
      <c r="AP207" s="519"/>
      <c r="AS207" s="654"/>
      <c r="AT207" s="640" t="s">
        <v>3</v>
      </c>
      <c r="AU207" s="659"/>
      <c r="AV207" s="553" t="str">
        <f t="shared" si="596"/>
        <v>100%</v>
      </c>
      <c r="AW207" s="547" t="str">
        <f>IF(AV191=0,"",
  IF(AW191=0,"",
  IF(AW191&gt;AV191,"+"&amp;ROUND((AW191/AV191-1)*100,0)&amp;"%",
  IF(AW191&lt;AV191,ROUND((AW191/AV191-1)*100,0)&amp;"%",
  ""))))</f>
        <v>-19%</v>
      </c>
      <c r="AX207" s="547" t="str">
        <f t="shared" si="583"/>
        <v>+44%</v>
      </c>
      <c r="AY207" s="547" t="str">
        <f t="shared" si="584"/>
        <v/>
      </c>
      <c r="AZ207" s="547" t="str">
        <f t="shared" si="585"/>
        <v/>
      </c>
      <c r="BA207" s="548" t="str">
        <f>IF(AZ191=0,"",
  IF(BA191=0,"",
  IF(BA191&gt;AZ191,"+"&amp;ROUND((BA191/AZ191-1)*100,0)&amp;"%",
  IF(BA191&lt;AZ191,ROUND((BA191/AZ191-1)*100,0)&amp;"%",
  ""))))</f>
        <v/>
      </c>
      <c r="BB207" s="519"/>
      <c r="BC207" s="4"/>
      <c r="BD207" s="4"/>
      <c r="BE207" s="654"/>
      <c r="BF207" s="640" t="s">
        <v>3</v>
      </c>
      <c r="BG207" s="659"/>
      <c r="BH207" s="553" t="str">
        <f t="shared" si="598"/>
        <v>100%</v>
      </c>
      <c r="BI207" s="547" t="str">
        <f>IF(BH191=0,"",
  IF(BI191=0,"",
  IF(BI191&gt;BH191,"+"&amp;ROUND((BI191/BH191-1)*100,0)&amp;"%",
  IF(BI191&lt;BH191,ROUND((BI191/BH191-1)*100,0)&amp;"%",
  ""))))</f>
        <v>+3131%</v>
      </c>
      <c r="BJ207" s="547" t="str">
        <f t="shared" si="588"/>
        <v>+44%</v>
      </c>
      <c r="BK207" s="547" t="str">
        <f t="shared" si="589"/>
        <v/>
      </c>
      <c r="BL207" s="547" t="str">
        <f t="shared" si="590"/>
        <v/>
      </c>
      <c r="BM207" s="548" t="str">
        <f>IF(BL191=0,"",
  IF(BM191=0,"",
  IF(BM191&gt;BL191,"+"&amp;ROUND((BM191/BL191-1)*100,0)&amp;"%",
  IF(BM191&lt;BL191,ROUND((BM191/BL191-1)*100,0)&amp;"%",
  ""))))</f>
        <v/>
      </c>
      <c r="BN207" s="1"/>
      <c r="BO207" s="1"/>
      <c r="BP207" s="1"/>
      <c r="BQ207" s="1"/>
      <c r="BR207" s="1"/>
      <c r="BS207" s="1"/>
      <c r="BT207" s="1"/>
    </row>
    <row r="208" spans="1:73" s="31" customFormat="1" ht="15" thickBot="1" x14ac:dyDescent="0.35">
      <c r="A208" s="20"/>
      <c r="C208" s="479"/>
      <c r="D208" s="479"/>
      <c r="E208" s="479"/>
      <c r="F208" s="479"/>
      <c r="G208" s="479"/>
      <c r="H208" s="479"/>
      <c r="I208" s="479"/>
      <c r="K208" s="479"/>
      <c r="M208" s="479"/>
      <c r="N208" s="479"/>
      <c r="O208" s="831"/>
      <c r="P208" s="479"/>
      <c r="Q208" s="537" t="s">
        <v>66</v>
      </c>
      <c r="R208" s="554" t="str">
        <f t="shared" si="592"/>
        <v>100%</v>
      </c>
      <c r="S208" s="549" t="str">
        <f>IF(R192=0,"",
  IF(S192=0,"",
  IF(S192&gt;R192,"+"&amp;ROUND((S192/R192-1)*100,0)&amp;"%",
  IF(S192&lt;R192,ROUND((S192/R192-1)*100,0)&amp;"%",
  ""))))</f>
        <v>-12%</v>
      </c>
      <c r="T208" s="549" t="str">
        <f>IF(S192=0,"",
  IF(T192=0,"",
  IF(T192&gt;S192,"+"&amp;ROUND((T192/S192-1)*100,0)&amp;"%",
  IF(T192&lt;S192,ROUND((T192/S192-1)*100,0)&amp;"%",
  ""))))</f>
        <v>+60%</v>
      </c>
      <c r="U208" s="549" t="str">
        <f t="shared" si="570"/>
        <v>-92%</v>
      </c>
      <c r="V208" s="549" t="str">
        <f t="shared" si="571"/>
        <v/>
      </c>
      <c r="W208" s="550" t="str">
        <f t="shared" si="572"/>
        <v/>
      </c>
      <c r="X208" s="554">
        <v>1</v>
      </c>
      <c r="Y208" s="549" t="str">
        <f>IF(X192=0,"",
  IF(Y192=0,"",
  IF(Y192&gt;X192,"+"&amp;ROUND((Y192/X192-1)*100,0)&amp;"%",
  IF(Y192&lt;X192,ROUND((Y192/X192-1)*100,0)&amp;"%",
  ""))))</f>
        <v>-2%</v>
      </c>
      <c r="Z208" s="549" t="str">
        <f>IF(Y192=0,"",
  IF(Z192=0,"",
  IF(Z192&gt;Y192,"+"&amp;ROUND((Z192/Y192-1)*100,0)&amp;"%",
  IF(Z192&lt;Y192,ROUND((Z192/Y192-1)*100,0)&amp;"%",
  ""))))</f>
        <v>+59%</v>
      </c>
      <c r="AA208" s="549" t="str">
        <f t="shared" si="574"/>
        <v>-96%</v>
      </c>
      <c r="AB208" s="549" t="str">
        <f t="shared" si="575"/>
        <v/>
      </c>
      <c r="AC208" s="550" t="str">
        <f t="shared" si="576"/>
        <v/>
      </c>
      <c r="AD208" s="520"/>
      <c r="AH208" s="641" t="s">
        <v>66</v>
      </c>
      <c r="AI208" s="660"/>
      <c r="AJ208" s="554" t="str">
        <f t="shared" si="594"/>
        <v>100%</v>
      </c>
      <c r="AK208" s="549" t="str">
        <f>IF(AJ192=0,"",
  IF(AK192=0,"",
  IF(AK192&gt;AJ192,"+"&amp;ROUND((AK192/AJ192-1)*100,0)&amp;"%",
  IF(AK192&lt;AJ192,ROUND((AK192/AJ192-1)*100,0)&amp;"%",
  ""))))</f>
        <v>+25%</v>
      </c>
      <c r="AL208" s="549" t="str">
        <f t="shared" si="578"/>
        <v>+71%</v>
      </c>
      <c r="AM208" s="549" t="str">
        <f t="shared" si="579"/>
        <v>-91%</v>
      </c>
      <c r="AN208" s="549" t="str">
        <f t="shared" si="580"/>
        <v/>
      </c>
      <c r="AO208" s="550" t="str">
        <f>IF(AN192=0,"",
  IF(AO192=0,"",
  IF(AO192&gt;AN192,"+"&amp;ROUND((AO192/AN192-1)*100,0)&amp;"%",
  IF(AO192&lt;AN192,ROUND((AO192/AN192-1)*100,0)&amp;"%",
  ""))))</f>
        <v/>
      </c>
      <c r="AP208" s="520"/>
      <c r="AT208" s="641" t="s">
        <v>66</v>
      </c>
      <c r="AU208" s="660"/>
      <c r="AV208" s="554" t="str">
        <f t="shared" si="596"/>
        <v>100%</v>
      </c>
      <c r="AW208" s="549" t="str">
        <f>IF(AV192=0,"",
  IF(AW192=0,"",
  IF(AW192&gt;AV192,"+"&amp;ROUND((AW192/AV192-1)*100,0)&amp;"%",
  IF(AW192&lt;AV192,ROUND((AW192/AV192-1)*100,0)&amp;"%",
  ""))))</f>
        <v>-17%</v>
      </c>
      <c r="AX208" s="549" t="str">
        <f t="shared" si="583"/>
        <v>+59%</v>
      </c>
      <c r="AY208" s="549" t="str">
        <f t="shared" si="584"/>
        <v>-93%</v>
      </c>
      <c r="AZ208" s="549" t="str">
        <f t="shared" si="585"/>
        <v/>
      </c>
      <c r="BA208" s="550" t="str">
        <f>IF(AZ192=0,"",
  IF(BA192=0,"",
  IF(BA192&gt;AZ192,"+"&amp;ROUND((BA192/AZ192-1)*100,0)&amp;"%",
  IF(BA192&lt;AZ192,ROUND((BA192/AZ192-1)*100,0)&amp;"%",
  ""))))</f>
        <v/>
      </c>
      <c r="BB208" s="520"/>
      <c r="BF208" s="641" t="s">
        <v>66</v>
      </c>
      <c r="BG208" s="660"/>
      <c r="BH208" s="554" t="str">
        <f t="shared" si="598"/>
        <v>100%</v>
      </c>
      <c r="BI208" s="549" t="str">
        <f>IF(BH192=0,"",
  IF(BI192=0,"",
  IF(BI192&gt;BH192,"+"&amp;ROUND((BI192/BH192-1)*100,0)&amp;"%",
  IF(BI192&lt;BH192,ROUND((BI192/BH192-1)*100,0)&amp;"%",
  ""))))</f>
        <v>+561%</v>
      </c>
      <c r="BJ208" s="549" t="str">
        <f t="shared" si="588"/>
        <v>+48%</v>
      </c>
      <c r="BK208" s="549" t="str">
        <f t="shared" si="589"/>
        <v>-90%</v>
      </c>
      <c r="BL208" s="549" t="str">
        <f t="shared" si="590"/>
        <v/>
      </c>
      <c r="BM208" s="550" t="str">
        <f>IF(BL192=0,"",
  IF(BM192=0,"",
  IF(BM192&gt;BL192,"+"&amp;ROUND((BM192/BL192-1)*100,0)&amp;"%",
  IF(BM192&lt;BL192,ROUND((BM192/BL192-1)*100,0)&amp;"%",
  ""))))</f>
        <v/>
      </c>
      <c r="BU208" s="518"/>
    </row>
    <row r="209" spans="1:73" ht="15" customHeight="1" thickBot="1" x14ac:dyDescent="0.35">
      <c r="N209" s="479"/>
      <c r="AG209" s="653"/>
      <c r="AH209" s="653"/>
      <c r="AI209" s="653"/>
      <c r="AS209" s="653"/>
      <c r="AT209" s="653"/>
      <c r="AU209" s="653"/>
      <c r="BC209" s="4"/>
      <c r="BD209" s="4"/>
      <c r="BE209" s="653"/>
      <c r="BF209" s="653"/>
      <c r="BG209" s="653"/>
    </row>
    <row r="210" spans="1:73" x14ac:dyDescent="0.3">
      <c r="J210" s="31"/>
      <c r="K210" s="479"/>
      <c r="M210" s="479"/>
      <c r="N210" s="479"/>
      <c r="O210" s="832" t="s">
        <v>218</v>
      </c>
      <c r="P210" s="479"/>
      <c r="R210" s="480" t="s">
        <v>159</v>
      </c>
      <c r="S210" s="481"/>
      <c r="T210" s="482"/>
      <c r="U210" s="556"/>
      <c r="V210" s="556"/>
      <c r="W210" s="556"/>
      <c r="X210" s="480" t="s">
        <v>44</v>
      </c>
      <c r="Y210" s="481"/>
      <c r="Z210" s="482"/>
      <c r="AA210" s="556"/>
      <c r="AB210" s="556"/>
      <c r="AC210" s="556"/>
      <c r="AD210" s="478"/>
      <c r="AG210" s="478"/>
      <c r="AH210" s="478"/>
      <c r="AI210" s="478"/>
      <c r="AJ210" s="480" t="s">
        <v>209</v>
      </c>
      <c r="AK210" s="481"/>
      <c r="AL210" s="482"/>
      <c r="AM210" s="661"/>
      <c r="AN210" s="661"/>
      <c r="AO210" s="662"/>
      <c r="AP210" s="478"/>
      <c r="AS210" s="478"/>
      <c r="AT210" s="478"/>
      <c r="AU210" s="478"/>
      <c r="AV210" s="480" t="s">
        <v>208</v>
      </c>
      <c r="AW210" s="481"/>
      <c r="AX210" s="482"/>
      <c r="AY210" s="661"/>
      <c r="AZ210" s="661"/>
      <c r="BA210" s="662"/>
      <c r="BC210" s="4"/>
      <c r="BD210" s="4"/>
      <c r="BE210" s="478"/>
      <c r="BF210" s="478"/>
      <c r="BG210" s="478"/>
      <c r="BH210" s="480" t="s">
        <v>207</v>
      </c>
      <c r="BI210" s="481"/>
      <c r="BJ210" s="482"/>
      <c r="BK210" s="661"/>
      <c r="BL210" s="661"/>
      <c r="BM210" s="662"/>
    </row>
    <row r="211" spans="1:73" ht="15" thickBot="1" x14ac:dyDescent="0.35">
      <c r="J211" s="31"/>
      <c r="K211" s="479"/>
      <c r="M211" s="479"/>
      <c r="N211" s="479"/>
      <c r="O211" s="831"/>
      <c r="P211" s="479"/>
      <c r="R211" s="521">
        <f>R$164</f>
        <v>2020</v>
      </c>
      <c r="S211" s="522">
        <f t="shared" ref="S211:AC211" si="636">S$164</f>
        <v>2021</v>
      </c>
      <c r="T211" s="522">
        <f t="shared" si="636"/>
        <v>2022</v>
      </c>
      <c r="U211" s="522">
        <f t="shared" si="636"/>
        <v>2023</v>
      </c>
      <c r="V211" s="522">
        <f t="shared" si="636"/>
        <v>2024</v>
      </c>
      <c r="W211" s="523">
        <f t="shared" si="636"/>
        <v>2025</v>
      </c>
      <c r="X211" s="521">
        <f t="shared" si="636"/>
        <v>2020</v>
      </c>
      <c r="Y211" s="522">
        <f t="shared" si="636"/>
        <v>2021</v>
      </c>
      <c r="Z211" s="522">
        <f t="shared" si="636"/>
        <v>2022</v>
      </c>
      <c r="AA211" s="522">
        <f t="shared" si="636"/>
        <v>2023</v>
      </c>
      <c r="AB211" s="522">
        <f t="shared" si="636"/>
        <v>2024</v>
      </c>
      <c r="AC211" s="523">
        <f t="shared" si="636"/>
        <v>2025</v>
      </c>
      <c r="AG211" s="653"/>
      <c r="AH211" s="634"/>
      <c r="AI211" s="499"/>
      <c r="AJ211" s="483">
        <f t="shared" ref="AJ211:AO211" si="637">AJ$164</f>
        <v>2020</v>
      </c>
      <c r="AK211" s="484">
        <f t="shared" si="637"/>
        <v>2021</v>
      </c>
      <c r="AL211" s="484">
        <f t="shared" si="637"/>
        <v>2022</v>
      </c>
      <c r="AM211" s="484">
        <f t="shared" si="637"/>
        <v>2023</v>
      </c>
      <c r="AN211" s="484">
        <f t="shared" si="637"/>
        <v>2024</v>
      </c>
      <c r="AO211" s="485">
        <f t="shared" si="637"/>
        <v>2025</v>
      </c>
      <c r="AS211" s="653"/>
      <c r="AT211" s="634"/>
      <c r="AU211" s="499"/>
      <c r="AV211" s="483">
        <f t="shared" ref="AV211:AZ211" si="638">AV$164</f>
        <v>2020</v>
      </c>
      <c r="AW211" s="484">
        <f t="shared" si="638"/>
        <v>2021</v>
      </c>
      <c r="AX211" s="484">
        <f t="shared" si="638"/>
        <v>2022</v>
      </c>
      <c r="AY211" s="484">
        <f t="shared" si="638"/>
        <v>2023</v>
      </c>
      <c r="AZ211" s="484">
        <f t="shared" si="638"/>
        <v>2024</v>
      </c>
      <c r="BA211" s="485"/>
      <c r="BC211" s="4"/>
      <c r="BD211" s="4"/>
      <c r="BE211" s="653"/>
      <c r="BF211" s="634"/>
      <c r="BG211" s="499"/>
      <c r="BH211" s="483">
        <f t="shared" ref="BH211:BM211" si="639">BH$164</f>
        <v>2020</v>
      </c>
      <c r="BI211" s="484">
        <f t="shared" si="639"/>
        <v>2021</v>
      </c>
      <c r="BJ211" s="484">
        <f t="shared" si="639"/>
        <v>2022</v>
      </c>
      <c r="BK211" s="484">
        <f t="shared" si="639"/>
        <v>2023</v>
      </c>
      <c r="BL211" s="484">
        <f t="shared" si="639"/>
        <v>2024</v>
      </c>
      <c r="BM211" s="485">
        <f t="shared" si="639"/>
        <v>2025</v>
      </c>
    </row>
    <row r="212" spans="1:73" x14ac:dyDescent="0.3">
      <c r="B212" s="1">
        <f>B49</f>
        <v>0</v>
      </c>
      <c r="N212" s="479"/>
      <c r="O212" s="831"/>
      <c r="Q212" s="528" t="s">
        <v>70</v>
      </c>
      <c r="R212" s="529">
        <f t="shared" ref="R212:W212" si="640">IF(R180=0,"",R180/COUNTIF(K5:K7,"X"))</f>
        <v>63</v>
      </c>
      <c r="S212" s="524">
        <f t="shared" si="640"/>
        <v>102</v>
      </c>
      <c r="T212" s="524">
        <f t="shared" si="640"/>
        <v>72</v>
      </c>
      <c r="U212" s="524">
        <f t="shared" si="640"/>
        <v>176</v>
      </c>
      <c r="V212" s="524" t="str">
        <f t="shared" si="640"/>
        <v/>
      </c>
      <c r="W212" s="525" t="str">
        <f t="shared" si="640"/>
        <v/>
      </c>
      <c r="X212" s="529">
        <f t="shared" ref="X212:AC212" si="641">IF(X180=0,"",X180/COUNTIF(K5:K7,"X"))</f>
        <v>29</v>
      </c>
      <c r="Y212" s="524">
        <f t="shared" si="641"/>
        <v>94</v>
      </c>
      <c r="Z212" s="524">
        <f t="shared" si="641"/>
        <v>72</v>
      </c>
      <c r="AA212" s="524" t="str">
        <f t="shared" si="641"/>
        <v/>
      </c>
      <c r="AB212" s="524" t="str">
        <f t="shared" si="641"/>
        <v/>
      </c>
      <c r="AC212" s="525" t="str">
        <f t="shared" si="641"/>
        <v/>
      </c>
      <c r="AD212" s="519"/>
      <c r="AG212" s="654"/>
      <c r="AH212" s="637" t="s">
        <v>70</v>
      </c>
      <c r="AI212" s="656"/>
      <c r="AJ212" s="529">
        <f t="shared" ref="AJ212:AO212" si="642">IF(AJ180=0,"",AJ180/COUNTIF(K5:K7,"X"))</f>
        <v>2</v>
      </c>
      <c r="AK212" s="524">
        <f t="shared" si="642"/>
        <v>2</v>
      </c>
      <c r="AL212" s="524" t="str">
        <f t="shared" si="642"/>
        <v/>
      </c>
      <c r="AM212" s="524">
        <f t="shared" si="642"/>
        <v>45</v>
      </c>
      <c r="AN212" s="524" t="str">
        <f t="shared" si="642"/>
        <v/>
      </c>
      <c r="AO212" s="525" t="str">
        <f t="shared" si="642"/>
        <v/>
      </c>
      <c r="AP212" s="519"/>
      <c r="AS212" s="654"/>
      <c r="AT212" s="637" t="s">
        <v>70</v>
      </c>
      <c r="AU212" s="656"/>
      <c r="AV212" s="529">
        <f t="shared" ref="AV212:BA212" si="643">IF(AV180=0,"",AV180/COUNTIF(K5:K7,"X"))</f>
        <v>17</v>
      </c>
      <c r="AW212" s="524">
        <f t="shared" si="643"/>
        <v>18</v>
      </c>
      <c r="AX212" s="524" t="str">
        <f t="shared" si="643"/>
        <v/>
      </c>
      <c r="AY212" s="524">
        <f t="shared" si="643"/>
        <v>60</v>
      </c>
      <c r="AZ212" s="524" t="str">
        <f t="shared" si="643"/>
        <v/>
      </c>
      <c r="BA212" s="525" t="str">
        <f t="shared" si="643"/>
        <v/>
      </c>
      <c r="BB212" s="519"/>
      <c r="BC212" s="4"/>
      <c r="BD212" s="4"/>
      <c r="BE212" s="654"/>
      <c r="BF212" s="637" t="s">
        <v>70</v>
      </c>
      <c r="BG212" s="656"/>
      <c r="BH212" s="529">
        <f t="shared" ref="BH212:BM212" si="644">IF(BH180=0,"",BH180/COUNTIF(K5:K7,"X"))</f>
        <v>2</v>
      </c>
      <c r="BI212" s="524">
        <f t="shared" si="644"/>
        <v>2</v>
      </c>
      <c r="BJ212" s="524" t="str">
        <f t="shared" si="644"/>
        <v/>
      </c>
      <c r="BK212" s="524">
        <f t="shared" si="644"/>
        <v>16</v>
      </c>
      <c r="BL212" s="524" t="str">
        <f t="shared" si="644"/>
        <v/>
      </c>
      <c r="BM212" s="525" t="str">
        <f t="shared" si="644"/>
        <v/>
      </c>
      <c r="BN212" s="1"/>
      <c r="BO212" s="1"/>
      <c r="BP212" s="1"/>
      <c r="BQ212" s="1"/>
      <c r="BR212" s="1"/>
      <c r="BS212" s="1"/>
      <c r="BT212" s="1"/>
    </row>
    <row r="213" spans="1:73" x14ac:dyDescent="0.3">
      <c r="B213" s="1">
        <f>B51</f>
        <v>0</v>
      </c>
      <c r="N213" s="479"/>
      <c r="O213" s="831"/>
      <c r="Q213" s="530" t="s">
        <v>210</v>
      </c>
      <c r="R213" s="531" t="str">
        <f t="shared" ref="R213:W213" si="645">IF(R181=0,"",R181/COUNTIF(K9:K11,"X"))</f>
        <v/>
      </c>
      <c r="S213" s="526" t="str">
        <f t="shared" si="645"/>
        <v/>
      </c>
      <c r="T213" s="526">
        <f t="shared" si="645"/>
        <v>20</v>
      </c>
      <c r="U213" s="526" t="str">
        <f t="shared" si="645"/>
        <v/>
      </c>
      <c r="V213" s="526" t="str">
        <f t="shared" si="645"/>
        <v/>
      </c>
      <c r="W213" s="527" t="str">
        <f t="shared" si="645"/>
        <v/>
      </c>
      <c r="X213" s="531" t="str">
        <f t="shared" ref="X213:AC213" si="646">IF(X181=0,"",X181/COUNTIF(K9:K11,"X"))</f>
        <v/>
      </c>
      <c r="Y213" s="526" t="str">
        <f t="shared" si="646"/>
        <v/>
      </c>
      <c r="Z213" s="526">
        <f t="shared" si="646"/>
        <v>9</v>
      </c>
      <c r="AA213" s="526" t="str">
        <f t="shared" si="646"/>
        <v/>
      </c>
      <c r="AB213" s="526" t="str">
        <f t="shared" si="646"/>
        <v/>
      </c>
      <c r="AC213" s="527" t="str">
        <f t="shared" si="646"/>
        <v/>
      </c>
      <c r="AD213" s="519"/>
      <c r="AG213" s="654"/>
      <c r="AH213" s="638" t="s">
        <v>210</v>
      </c>
      <c r="AI213" s="657"/>
      <c r="AJ213" s="531" t="str">
        <f t="shared" ref="AJ213:AO213" si="647">IF(AJ181=0,"",AJ181/COUNTIF(K9:K11,"X"))</f>
        <v/>
      </c>
      <c r="AK213" s="526" t="str">
        <f t="shared" si="647"/>
        <v/>
      </c>
      <c r="AL213" s="526">
        <f t="shared" si="647"/>
        <v>8</v>
      </c>
      <c r="AM213" s="526" t="str">
        <f t="shared" si="647"/>
        <v/>
      </c>
      <c r="AN213" s="526" t="str">
        <f t="shared" si="647"/>
        <v/>
      </c>
      <c r="AO213" s="527" t="str">
        <f t="shared" si="647"/>
        <v/>
      </c>
      <c r="AP213" s="519"/>
      <c r="AS213" s="654"/>
      <c r="AT213" s="638" t="s">
        <v>210</v>
      </c>
      <c r="AU213" s="657"/>
      <c r="AV213" s="531" t="str">
        <f t="shared" ref="AV213:BA213" si="648">IF(AV181=0,"",AV181/COUNTIF(K9:K11,"X"))</f>
        <v/>
      </c>
      <c r="AW213" s="526" t="str">
        <f t="shared" si="648"/>
        <v/>
      </c>
      <c r="AX213" s="526">
        <f t="shared" si="648"/>
        <v>4</v>
      </c>
      <c r="AY213" s="526" t="str">
        <f t="shared" si="648"/>
        <v/>
      </c>
      <c r="AZ213" s="526" t="str">
        <f t="shared" si="648"/>
        <v/>
      </c>
      <c r="BA213" s="527" t="str">
        <f t="shared" si="648"/>
        <v/>
      </c>
      <c r="BB213" s="519"/>
      <c r="BC213" s="4"/>
      <c r="BD213" s="4"/>
      <c r="BE213" s="654"/>
      <c r="BF213" s="638" t="s">
        <v>210</v>
      </c>
      <c r="BG213" s="657"/>
      <c r="BH213" s="531" t="str">
        <f t="shared" ref="BH213:BM213" si="649">IF(BH181=0,"",BH181/COUNTIF(K9:K11,"X"))</f>
        <v/>
      </c>
      <c r="BI213" s="526" t="str">
        <f t="shared" si="649"/>
        <v/>
      </c>
      <c r="BJ213" s="526">
        <f t="shared" si="649"/>
        <v>2</v>
      </c>
      <c r="BK213" s="526" t="str">
        <f t="shared" si="649"/>
        <v/>
      </c>
      <c r="BL213" s="526" t="str">
        <f t="shared" si="649"/>
        <v/>
      </c>
      <c r="BM213" s="527" t="str">
        <f t="shared" si="649"/>
        <v/>
      </c>
      <c r="BN213" s="1"/>
      <c r="BO213" s="1"/>
      <c r="BP213" s="1"/>
      <c r="BQ213" s="1"/>
      <c r="BR213" s="1"/>
      <c r="BS213" s="1"/>
      <c r="BT213" s="1"/>
    </row>
    <row r="214" spans="1:73" x14ac:dyDescent="0.3">
      <c r="B214" s="1">
        <f>B53</f>
        <v>0</v>
      </c>
      <c r="N214" s="479"/>
      <c r="O214" s="831"/>
      <c r="Q214" s="530" t="s">
        <v>211</v>
      </c>
      <c r="R214" s="531" t="str">
        <f t="shared" ref="R214:W214" si="650">IF(R182=0,"",R182/COUNTIF(K13:K33,"X"))</f>
        <v/>
      </c>
      <c r="S214" s="526" t="str">
        <f t="shared" si="650"/>
        <v/>
      </c>
      <c r="T214" s="526">
        <f t="shared" si="650"/>
        <v>43.375</v>
      </c>
      <c r="U214" s="526" t="str">
        <f t="shared" si="650"/>
        <v/>
      </c>
      <c r="V214" s="526" t="str">
        <f t="shared" si="650"/>
        <v/>
      </c>
      <c r="W214" s="527" t="str">
        <f t="shared" si="650"/>
        <v/>
      </c>
      <c r="X214" s="531" t="str">
        <f t="shared" ref="X214:AC214" si="651">IF(X182=0,"",X182/COUNTIF(K13:K33,"X"))</f>
        <v/>
      </c>
      <c r="Y214" s="526" t="str">
        <f t="shared" si="651"/>
        <v/>
      </c>
      <c r="Z214" s="526">
        <f t="shared" si="651"/>
        <v>38.1875</v>
      </c>
      <c r="AA214" s="526" t="str">
        <f t="shared" si="651"/>
        <v/>
      </c>
      <c r="AB214" s="526" t="str">
        <f t="shared" si="651"/>
        <v/>
      </c>
      <c r="AC214" s="527" t="str">
        <f t="shared" si="651"/>
        <v/>
      </c>
      <c r="AD214" s="519"/>
      <c r="AG214" s="654"/>
      <c r="AH214" s="638" t="s">
        <v>211</v>
      </c>
      <c r="AI214" s="657"/>
      <c r="AJ214" s="531" t="str">
        <f t="shared" ref="AJ214:AO214" si="652">IF(AJ182=0,"",AJ182/COUNTIF(K13:K33,"X"))</f>
        <v/>
      </c>
      <c r="AK214" s="526" t="str">
        <f t="shared" si="652"/>
        <v/>
      </c>
      <c r="AL214" s="526">
        <f t="shared" si="652"/>
        <v>10.6875</v>
      </c>
      <c r="AM214" s="526" t="str">
        <f t="shared" si="652"/>
        <v/>
      </c>
      <c r="AN214" s="526" t="str">
        <f t="shared" si="652"/>
        <v/>
      </c>
      <c r="AO214" s="527" t="str">
        <f t="shared" si="652"/>
        <v/>
      </c>
      <c r="AP214" s="519"/>
      <c r="AS214" s="654"/>
      <c r="AT214" s="638" t="s">
        <v>211</v>
      </c>
      <c r="AU214" s="657"/>
      <c r="AV214" s="531" t="str">
        <f t="shared" ref="AV214:BA214" si="653">IF(AV182=0,"",AV182/COUNTIF(K13:K33,"X"))</f>
        <v/>
      </c>
      <c r="AW214" s="526" t="str">
        <f t="shared" si="653"/>
        <v/>
      </c>
      <c r="AX214" s="526">
        <f t="shared" si="653"/>
        <v>16.6875</v>
      </c>
      <c r="AY214" s="526" t="str">
        <f t="shared" si="653"/>
        <v/>
      </c>
      <c r="AZ214" s="526" t="str">
        <f t="shared" si="653"/>
        <v/>
      </c>
      <c r="BA214" s="527" t="str">
        <f t="shared" si="653"/>
        <v/>
      </c>
      <c r="BB214" s="519"/>
      <c r="BC214" s="4"/>
      <c r="BD214" s="4"/>
      <c r="BE214" s="654"/>
      <c r="BF214" s="638" t="s">
        <v>211</v>
      </c>
      <c r="BG214" s="657"/>
      <c r="BH214" s="531" t="str">
        <f t="shared" ref="BH214:BM214" si="654">IF(BH182=0,"",BH182/COUNTIF(K13:K33,"X"))</f>
        <v/>
      </c>
      <c r="BI214" s="526" t="str">
        <f t="shared" si="654"/>
        <v/>
      </c>
      <c r="BJ214" s="526">
        <f t="shared" si="654"/>
        <v>5.8125</v>
      </c>
      <c r="BK214" s="526" t="str">
        <f t="shared" si="654"/>
        <v/>
      </c>
      <c r="BL214" s="526" t="str">
        <f t="shared" si="654"/>
        <v/>
      </c>
      <c r="BM214" s="527" t="str">
        <f t="shared" si="654"/>
        <v/>
      </c>
      <c r="BN214" s="1"/>
      <c r="BO214" s="1"/>
      <c r="BP214" s="1"/>
      <c r="BQ214" s="1"/>
      <c r="BR214" s="1"/>
      <c r="BS214" s="1"/>
      <c r="BT214" s="1"/>
    </row>
    <row r="215" spans="1:73" x14ac:dyDescent="0.3">
      <c r="B215" s="1">
        <f>B73</f>
        <v>0</v>
      </c>
      <c r="N215" s="479"/>
      <c r="O215" s="831"/>
      <c r="Q215" s="532" t="s">
        <v>212</v>
      </c>
      <c r="R215" s="531">
        <f t="shared" ref="R215:W215" si="655">IF(R183=0,"",R183/COUNTIF(K35:K48,"X"))</f>
        <v>21.5</v>
      </c>
      <c r="S215" s="526">
        <f t="shared" si="655"/>
        <v>36.875</v>
      </c>
      <c r="T215" s="526">
        <f t="shared" si="655"/>
        <v>28.5</v>
      </c>
      <c r="U215" s="526" t="str">
        <f t="shared" si="655"/>
        <v/>
      </c>
      <c r="V215" s="526" t="str">
        <f t="shared" si="655"/>
        <v/>
      </c>
      <c r="W215" s="527" t="str">
        <f t="shared" si="655"/>
        <v/>
      </c>
      <c r="X215" s="531">
        <f t="shared" ref="X215:AC215" si="656">IF(X183=0,"",X183/COUNTIF(K35:K48,"X"))</f>
        <v>13.875</v>
      </c>
      <c r="Y215" s="526">
        <f t="shared" si="656"/>
        <v>24.125</v>
      </c>
      <c r="Z215" s="526">
        <f t="shared" si="656"/>
        <v>10.6</v>
      </c>
      <c r="AA215" s="526" t="str">
        <f t="shared" si="656"/>
        <v/>
      </c>
      <c r="AB215" s="526" t="str">
        <f t="shared" si="656"/>
        <v/>
      </c>
      <c r="AC215" s="527" t="str">
        <f t="shared" si="656"/>
        <v/>
      </c>
      <c r="AD215" s="519"/>
      <c r="AG215" s="655"/>
      <c r="AH215" s="639" t="s">
        <v>212</v>
      </c>
      <c r="AI215" s="658"/>
      <c r="AJ215" s="531">
        <f t="shared" ref="AJ215:AO215" si="657">IF(AJ183=0,"",AJ183/COUNTIF(K35:K48,"X"))</f>
        <v>5.25</v>
      </c>
      <c r="AK215" s="526">
        <f t="shared" si="657"/>
        <v>9.25</v>
      </c>
      <c r="AL215" s="526">
        <f t="shared" si="657"/>
        <v>8.9</v>
      </c>
      <c r="AM215" s="526" t="str">
        <f t="shared" si="657"/>
        <v/>
      </c>
      <c r="AN215" s="526" t="str">
        <f t="shared" si="657"/>
        <v/>
      </c>
      <c r="AO215" s="527" t="str">
        <f t="shared" si="657"/>
        <v/>
      </c>
      <c r="AP215" s="519"/>
      <c r="AS215" s="655"/>
      <c r="AT215" s="639" t="s">
        <v>212</v>
      </c>
      <c r="AU215" s="658"/>
      <c r="AV215" s="531">
        <f t="shared" ref="AV215:BA215" si="658">IF(AV183=0,"",AV183/COUNTIF(K35:K48,"X"))</f>
        <v>6.625</v>
      </c>
      <c r="AW215" s="526">
        <f t="shared" si="658"/>
        <v>10.875</v>
      </c>
      <c r="AX215" s="526">
        <f t="shared" si="658"/>
        <v>7.2</v>
      </c>
      <c r="AY215" s="526" t="str">
        <f t="shared" si="658"/>
        <v/>
      </c>
      <c r="AZ215" s="526" t="str">
        <f t="shared" si="658"/>
        <v/>
      </c>
      <c r="BA215" s="527" t="str">
        <f t="shared" si="658"/>
        <v/>
      </c>
      <c r="BB215" s="519"/>
      <c r="BC215" s="4"/>
      <c r="BD215" s="4"/>
      <c r="BE215" s="655"/>
      <c r="BF215" s="639" t="s">
        <v>212</v>
      </c>
      <c r="BG215" s="658"/>
      <c r="BH215" s="531" t="str">
        <f t="shared" ref="BH215:BM215" si="659">IF(BH183=0,"",BH183/COUNTIF(K35:K48,"X"))</f>
        <v/>
      </c>
      <c r="BI215" s="526" t="str">
        <f t="shared" si="659"/>
        <v/>
      </c>
      <c r="BJ215" s="526" t="str">
        <f t="shared" si="659"/>
        <v/>
      </c>
      <c r="BK215" s="526" t="str">
        <f t="shared" si="659"/>
        <v/>
      </c>
      <c r="BL215" s="526" t="str">
        <f t="shared" si="659"/>
        <v/>
      </c>
      <c r="BM215" s="527" t="str">
        <f t="shared" si="659"/>
        <v/>
      </c>
      <c r="BN215" s="1"/>
      <c r="BO215" s="1"/>
      <c r="BP215" s="1"/>
      <c r="BQ215" s="1"/>
      <c r="BR215" s="1"/>
      <c r="BS215" s="1"/>
      <c r="BT215" s="1"/>
    </row>
    <row r="216" spans="1:73" x14ac:dyDescent="0.3">
      <c r="B216" s="1">
        <f>B88</f>
        <v>0</v>
      </c>
      <c r="N216" s="479"/>
      <c r="O216" s="831"/>
      <c r="Q216" s="530" t="s">
        <v>0</v>
      </c>
      <c r="R216" s="531">
        <f t="shared" ref="R216:W216" si="660">IF(R184=0,"",R184/COUNTIF(K50:K63,"X"))</f>
        <v>19.875</v>
      </c>
      <c r="S216" s="526">
        <f t="shared" si="660"/>
        <v>24.75</v>
      </c>
      <c r="T216" s="526">
        <f t="shared" si="660"/>
        <v>21.142857142857142</v>
      </c>
      <c r="U216" s="526">
        <f t="shared" si="660"/>
        <v>44.5</v>
      </c>
      <c r="V216" s="526" t="str">
        <f t="shared" si="660"/>
        <v/>
      </c>
      <c r="W216" s="527" t="str">
        <f t="shared" si="660"/>
        <v/>
      </c>
      <c r="X216" s="531">
        <f t="shared" ref="X216:AC216" si="661">IF(X184=0,"",X184/COUNTIF(K50:K63,"X"))</f>
        <v>11.875</v>
      </c>
      <c r="Y216" s="526">
        <f t="shared" si="661"/>
        <v>16</v>
      </c>
      <c r="Z216" s="526">
        <f t="shared" si="661"/>
        <v>13.714285714285714</v>
      </c>
      <c r="AA216" s="526">
        <f t="shared" si="661"/>
        <v>27</v>
      </c>
      <c r="AB216" s="526" t="str">
        <f t="shared" si="661"/>
        <v/>
      </c>
      <c r="AC216" s="527" t="str">
        <f t="shared" si="661"/>
        <v/>
      </c>
      <c r="AD216" s="519"/>
      <c r="AG216" s="654"/>
      <c r="AH216" s="638" t="s">
        <v>0</v>
      </c>
      <c r="AI216" s="657"/>
      <c r="AJ216" s="531">
        <f t="shared" ref="AJ216:AO216" si="662">IF(AJ184=0,"",AJ184/COUNTIF(K50:K63,"X"))</f>
        <v>5.6212499999999999</v>
      </c>
      <c r="AK216" s="526">
        <f t="shared" si="662"/>
        <v>11.75</v>
      </c>
      <c r="AL216" s="526">
        <f t="shared" si="662"/>
        <v>10.428571428571429</v>
      </c>
      <c r="AM216" s="526">
        <f t="shared" si="662"/>
        <v>23.75</v>
      </c>
      <c r="AN216" s="526" t="str">
        <f t="shared" si="662"/>
        <v/>
      </c>
      <c r="AO216" s="527" t="str">
        <f t="shared" si="662"/>
        <v/>
      </c>
      <c r="AP216" s="519"/>
      <c r="AS216" s="654"/>
      <c r="AT216" s="638" t="s">
        <v>0</v>
      </c>
      <c r="AU216" s="657"/>
      <c r="AV216" s="531">
        <f t="shared" ref="AV216:BA216" si="663">IF(AV184=0,"",AV184/COUNTIF(K50:K63,"X"))</f>
        <v>2.3775000000000004</v>
      </c>
      <c r="AW216" s="526">
        <f t="shared" si="663"/>
        <v>5.75</v>
      </c>
      <c r="AX216" s="526">
        <f t="shared" si="663"/>
        <v>4.7142857142857144</v>
      </c>
      <c r="AY216" s="526">
        <f t="shared" si="663"/>
        <v>14.5</v>
      </c>
      <c r="AZ216" s="526" t="str">
        <f t="shared" si="663"/>
        <v/>
      </c>
      <c r="BA216" s="527" t="str">
        <f t="shared" si="663"/>
        <v/>
      </c>
      <c r="BB216" s="519"/>
      <c r="BC216" s="4"/>
      <c r="BD216" s="4"/>
      <c r="BE216" s="654"/>
      <c r="BF216" s="638" t="s">
        <v>0</v>
      </c>
      <c r="BG216" s="657"/>
      <c r="BH216" s="531">
        <f t="shared" ref="BH216:BM216" si="664">IF(BH184=0,"",BH184/COUNTIF(K50:K63,"X"))</f>
        <v>1.62</v>
      </c>
      <c r="BI216" s="526">
        <f t="shared" si="664"/>
        <v>3.625</v>
      </c>
      <c r="BJ216" s="526">
        <f t="shared" si="664"/>
        <v>3.4285714285714284</v>
      </c>
      <c r="BK216" s="526">
        <f t="shared" si="664"/>
        <v>10.125</v>
      </c>
      <c r="BL216" s="526" t="str">
        <f t="shared" si="664"/>
        <v/>
      </c>
      <c r="BM216" s="527" t="str">
        <f t="shared" si="664"/>
        <v/>
      </c>
      <c r="BN216" s="1"/>
      <c r="BO216" s="1"/>
      <c r="BP216" s="1"/>
      <c r="BQ216" s="1"/>
      <c r="BR216" s="1"/>
      <c r="BS216" s="1"/>
      <c r="BT216" s="1"/>
    </row>
    <row r="217" spans="1:73" x14ac:dyDescent="0.3">
      <c r="B217" s="1">
        <f>B103</f>
        <v>0</v>
      </c>
      <c r="N217" s="479"/>
      <c r="O217" s="831"/>
      <c r="Q217" s="530" t="s">
        <v>4</v>
      </c>
      <c r="R217" s="531">
        <f t="shared" ref="R217:W217" si="665">IF(R185=0,"",R185/COUNTIF(K66:K76,"X"))</f>
        <v>277.33333333333331</v>
      </c>
      <c r="S217" s="526">
        <f t="shared" si="665"/>
        <v>190</v>
      </c>
      <c r="T217" s="526">
        <f t="shared" si="665"/>
        <v>322.8</v>
      </c>
      <c r="U217" s="526" t="str">
        <f t="shared" si="665"/>
        <v/>
      </c>
      <c r="V217" s="526" t="str">
        <f t="shared" si="665"/>
        <v/>
      </c>
      <c r="W217" s="527" t="str">
        <f t="shared" si="665"/>
        <v/>
      </c>
      <c r="X217" s="531">
        <f t="shared" ref="X217:AC217" si="666">IF(X185=0,"",X185/COUNTIF(K66:K76,"X"))</f>
        <v>84.833333333333329</v>
      </c>
      <c r="Y217" s="526">
        <f t="shared" si="666"/>
        <v>103.5</v>
      </c>
      <c r="Z217" s="526">
        <f t="shared" si="666"/>
        <v>184</v>
      </c>
      <c r="AA217" s="526" t="str">
        <f t="shared" si="666"/>
        <v/>
      </c>
      <c r="AB217" s="526" t="str">
        <f t="shared" si="666"/>
        <v/>
      </c>
      <c r="AC217" s="527" t="str">
        <f t="shared" si="666"/>
        <v/>
      </c>
      <c r="AD217" s="519"/>
      <c r="AG217" s="654"/>
      <c r="AH217" s="638" t="s">
        <v>4</v>
      </c>
      <c r="AI217" s="657"/>
      <c r="AJ217" s="531">
        <f t="shared" ref="AJ217:AO217" si="667">IF(AJ185=0,"",AJ185/COUNTIF(K66:K76,"X"))</f>
        <v>117.5</v>
      </c>
      <c r="AK217" s="526">
        <f t="shared" si="667"/>
        <v>72.5</v>
      </c>
      <c r="AL217" s="526">
        <f t="shared" si="667"/>
        <v>143.4</v>
      </c>
      <c r="AM217" s="526" t="str">
        <f t="shared" si="667"/>
        <v/>
      </c>
      <c r="AN217" s="526" t="str">
        <f t="shared" si="667"/>
        <v/>
      </c>
      <c r="AO217" s="527" t="str">
        <f t="shared" si="667"/>
        <v/>
      </c>
      <c r="AP217" s="519"/>
      <c r="AS217" s="654"/>
      <c r="AT217" s="638" t="s">
        <v>4</v>
      </c>
      <c r="AU217" s="657"/>
      <c r="AV217" s="531">
        <f t="shared" ref="AV217:BA217" si="668">IF(AV185=0,"",AV185/COUNTIF(K66:K76,"X"))</f>
        <v>116.16666666666667</v>
      </c>
      <c r="AW217" s="526">
        <f t="shared" si="668"/>
        <v>78.5</v>
      </c>
      <c r="AX217" s="526">
        <f t="shared" si="668"/>
        <v>123.4</v>
      </c>
      <c r="AY217" s="526" t="str">
        <f t="shared" si="668"/>
        <v/>
      </c>
      <c r="AZ217" s="526" t="str">
        <f t="shared" si="668"/>
        <v/>
      </c>
      <c r="BA217" s="527" t="str">
        <f t="shared" si="668"/>
        <v/>
      </c>
      <c r="BB217" s="519"/>
      <c r="BC217" s="4"/>
      <c r="BD217" s="4"/>
      <c r="BE217" s="654"/>
      <c r="BF217" s="638" t="s">
        <v>4</v>
      </c>
      <c r="BG217" s="657"/>
      <c r="BH217" s="531" t="str">
        <f t="shared" ref="BH217:BM217" si="669">IF(BH185=0,"",BH185/COUNTIF(K66:K76,"X"))</f>
        <v/>
      </c>
      <c r="BI217" s="526" t="str">
        <f t="shared" si="669"/>
        <v/>
      </c>
      <c r="BJ217" s="526" t="str">
        <f t="shared" si="669"/>
        <v/>
      </c>
      <c r="BK217" s="526" t="str">
        <f t="shared" si="669"/>
        <v/>
      </c>
      <c r="BL217" s="526" t="str">
        <f t="shared" si="669"/>
        <v/>
      </c>
      <c r="BM217" s="527" t="str">
        <f t="shared" si="669"/>
        <v/>
      </c>
      <c r="BN217" s="1"/>
      <c r="BO217" s="1"/>
      <c r="BP217" s="1"/>
      <c r="BQ217" s="1"/>
      <c r="BR217" s="1"/>
      <c r="BS217" s="1"/>
      <c r="BT217" s="1"/>
    </row>
    <row r="218" spans="1:73" x14ac:dyDescent="0.3">
      <c r="B218" s="1">
        <f>B115</f>
        <v>0</v>
      </c>
      <c r="N218" s="479"/>
      <c r="O218" s="831"/>
      <c r="Q218" s="530" t="s">
        <v>167</v>
      </c>
      <c r="R218" s="531" t="str">
        <f t="shared" ref="R218:W218" si="670">IF(R186=0,"",R186/COUNTIF(K78:K84,"X"))</f>
        <v/>
      </c>
      <c r="S218" s="526">
        <f t="shared" si="670"/>
        <v>5</v>
      </c>
      <c r="T218" s="526">
        <f t="shared" si="670"/>
        <v>15.5</v>
      </c>
      <c r="U218" s="526">
        <f t="shared" si="670"/>
        <v>24.5</v>
      </c>
      <c r="V218" s="526" t="str">
        <f t="shared" si="670"/>
        <v/>
      </c>
      <c r="W218" s="527" t="str">
        <f t="shared" si="670"/>
        <v/>
      </c>
      <c r="X218" s="531" t="str">
        <f t="shared" ref="X218:AC218" si="671">IF(X186=0,"",X186/COUNTIF(K78:K84,"X"))</f>
        <v/>
      </c>
      <c r="Y218" s="526">
        <f t="shared" si="671"/>
        <v>4</v>
      </c>
      <c r="Z218" s="526">
        <f t="shared" si="671"/>
        <v>6</v>
      </c>
      <c r="AA218" s="526">
        <f t="shared" si="671"/>
        <v>12.5</v>
      </c>
      <c r="AB218" s="526" t="str">
        <f t="shared" si="671"/>
        <v/>
      </c>
      <c r="AC218" s="527" t="str">
        <f t="shared" si="671"/>
        <v/>
      </c>
      <c r="AD218" s="519"/>
      <c r="AG218" s="654"/>
      <c r="AH218" s="638" t="s">
        <v>167</v>
      </c>
      <c r="AI218" s="657"/>
      <c r="AJ218" s="531" t="str">
        <f t="shared" ref="AJ218:AO218" si="672">IF(AJ186=0,"",AJ186/COUNTIF(K78:K84,"X"))</f>
        <v/>
      </c>
      <c r="AK218" s="526">
        <f t="shared" si="672"/>
        <v>2</v>
      </c>
      <c r="AL218" s="526">
        <f t="shared" si="672"/>
        <v>9.5</v>
      </c>
      <c r="AM218" s="526">
        <f t="shared" si="672"/>
        <v>16</v>
      </c>
      <c r="AN218" s="526" t="str">
        <f t="shared" si="672"/>
        <v/>
      </c>
      <c r="AO218" s="527" t="str">
        <f t="shared" si="672"/>
        <v/>
      </c>
      <c r="AP218" s="519"/>
      <c r="AS218" s="654"/>
      <c r="AT218" s="638" t="s">
        <v>167</v>
      </c>
      <c r="AU218" s="657"/>
      <c r="AV218" s="531" t="str">
        <f t="shared" ref="AV218:BA218" si="673">IF(AV186=0,"",AV186/COUNTIF(K78:K84,"X"))</f>
        <v/>
      </c>
      <c r="AW218" s="526">
        <f t="shared" si="673"/>
        <v>1</v>
      </c>
      <c r="AX218" s="526">
        <f t="shared" si="673"/>
        <v>3.5</v>
      </c>
      <c r="AY218" s="526">
        <f t="shared" si="673"/>
        <v>5.5</v>
      </c>
      <c r="AZ218" s="526" t="str">
        <f t="shared" si="673"/>
        <v/>
      </c>
      <c r="BA218" s="527" t="str">
        <f t="shared" si="673"/>
        <v/>
      </c>
      <c r="BB218" s="519"/>
      <c r="BC218" s="4"/>
      <c r="BD218" s="4"/>
      <c r="BE218" s="654"/>
      <c r="BF218" s="638" t="s">
        <v>167</v>
      </c>
      <c r="BG218" s="657"/>
      <c r="BH218" s="531" t="str">
        <f t="shared" ref="BH218:BM218" si="674">IF(BH186=0,"",BH186/COUNTIF(K78:K84,"X"))</f>
        <v/>
      </c>
      <c r="BI218" s="526" t="str">
        <f t="shared" si="674"/>
        <v/>
      </c>
      <c r="BJ218" s="526">
        <f t="shared" si="674"/>
        <v>2.5</v>
      </c>
      <c r="BK218" s="526">
        <f t="shared" si="674"/>
        <v>4</v>
      </c>
      <c r="BL218" s="526" t="str">
        <f t="shared" si="674"/>
        <v/>
      </c>
      <c r="BM218" s="527" t="str">
        <f t="shared" si="674"/>
        <v/>
      </c>
      <c r="BN218" s="1"/>
      <c r="BO218" s="1"/>
      <c r="BP218" s="1"/>
      <c r="BQ218" s="1"/>
      <c r="BR218" s="1"/>
      <c r="BS218" s="1"/>
      <c r="BT218" s="1"/>
    </row>
    <row r="219" spans="1:73" x14ac:dyDescent="0.3">
      <c r="B219" s="1" t="str">
        <f>B126</f>
        <v>ATE Vaud / ProVélo La Côte</v>
      </c>
      <c r="N219" s="479"/>
      <c r="O219" s="831"/>
      <c r="Q219" s="530" t="s">
        <v>1</v>
      </c>
      <c r="R219" s="531">
        <f t="shared" ref="R219:W219" si="675">IF(R187=0,"",R187/COUNTIF(K86:K94,"X"))</f>
        <v>39.5</v>
      </c>
      <c r="S219" s="526">
        <f t="shared" si="675"/>
        <v>60.25</v>
      </c>
      <c r="T219" s="526">
        <f t="shared" si="675"/>
        <v>40.200000000000003</v>
      </c>
      <c r="U219" s="526" t="str">
        <f t="shared" si="675"/>
        <v/>
      </c>
      <c r="V219" s="526" t="str">
        <f t="shared" si="675"/>
        <v/>
      </c>
      <c r="W219" s="527" t="str">
        <f t="shared" si="675"/>
        <v/>
      </c>
      <c r="X219" s="531">
        <f t="shared" ref="X219:AC219" si="676">IF(X187=0,"",X187/COUNTIF(K86:K94,"X"))</f>
        <v>39.5</v>
      </c>
      <c r="Y219" s="526">
        <f t="shared" si="676"/>
        <v>44.25</v>
      </c>
      <c r="Z219" s="526">
        <f t="shared" si="676"/>
        <v>40.200000000000003</v>
      </c>
      <c r="AA219" s="526" t="str">
        <f t="shared" si="676"/>
        <v/>
      </c>
      <c r="AB219" s="526" t="str">
        <f t="shared" si="676"/>
        <v/>
      </c>
      <c r="AC219" s="527" t="str">
        <f t="shared" si="676"/>
        <v/>
      </c>
      <c r="AD219" s="519"/>
      <c r="AG219" s="654"/>
      <c r="AH219" s="638" t="s">
        <v>1</v>
      </c>
      <c r="AI219" s="657"/>
      <c r="AJ219" s="531">
        <f t="shared" ref="AJ219:AO219" si="677">IF(AJ187=0,"",AJ187/COUNTIF(K86:K94,"X"))</f>
        <v>24.5</v>
      </c>
      <c r="AK219" s="526">
        <f t="shared" si="677"/>
        <v>41</v>
      </c>
      <c r="AL219" s="526">
        <f t="shared" si="677"/>
        <v>30.4</v>
      </c>
      <c r="AM219" s="526" t="str">
        <f t="shared" si="677"/>
        <v/>
      </c>
      <c r="AN219" s="526" t="str">
        <f t="shared" si="677"/>
        <v/>
      </c>
      <c r="AO219" s="527" t="str">
        <f t="shared" si="677"/>
        <v/>
      </c>
      <c r="AP219" s="519"/>
      <c r="AS219" s="654"/>
      <c r="AT219" s="638" t="s">
        <v>1</v>
      </c>
      <c r="AU219" s="657"/>
      <c r="AV219" s="531">
        <f t="shared" ref="AV219:BA219" si="678">IF(AV187=0,"",AV187/COUNTIF(K86:K94,"X"))</f>
        <v>14.5</v>
      </c>
      <c r="AW219" s="526">
        <f t="shared" si="678"/>
        <v>22.75</v>
      </c>
      <c r="AX219" s="526">
        <f t="shared" si="678"/>
        <v>15.8</v>
      </c>
      <c r="AY219" s="526" t="str">
        <f t="shared" si="678"/>
        <v/>
      </c>
      <c r="AZ219" s="526" t="str">
        <f t="shared" si="678"/>
        <v/>
      </c>
      <c r="BA219" s="527" t="str">
        <f t="shared" si="678"/>
        <v/>
      </c>
      <c r="BB219" s="519"/>
      <c r="BC219" s="4"/>
      <c r="BD219" s="4"/>
      <c r="BE219" s="654"/>
      <c r="BF219" s="638" t="s">
        <v>1</v>
      </c>
      <c r="BG219" s="657"/>
      <c r="BH219" s="531">
        <f t="shared" ref="BH219:BM219" si="679">IF(BH187=0,"",BH187/COUNTIF(K86:K94,"X"))</f>
        <v>11.5</v>
      </c>
      <c r="BI219" s="526">
        <f t="shared" si="679"/>
        <v>17.25</v>
      </c>
      <c r="BJ219" s="526">
        <f t="shared" si="679"/>
        <v>13.4</v>
      </c>
      <c r="BK219" s="526" t="str">
        <f t="shared" si="679"/>
        <v/>
      </c>
      <c r="BL219" s="526" t="str">
        <f t="shared" si="679"/>
        <v/>
      </c>
      <c r="BM219" s="527" t="str">
        <f t="shared" si="679"/>
        <v/>
      </c>
      <c r="BN219" s="1"/>
      <c r="BO219" s="1"/>
      <c r="BP219" s="1"/>
      <c r="BQ219" s="1"/>
      <c r="BR219" s="1"/>
      <c r="BS219" s="1"/>
      <c r="BT219" s="1"/>
    </row>
    <row r="220" spans="1:73" x14ac:dyDescent="0.3">
      <c r="B220" s="1">
        <f>B137</f>
        <v>0</v>
      </c>
      <c r="N220" s="479"/>
      <c r="O220" s="831"/>
      <c r="Q220" s="530" t="s">
        <v>45</v>
      </c>
      <c r="R220" s="531">
        <f>IF(R188=0,"",R188/COUNTIF(K96:K108,"X"))</f>
        <v>27.833333333333332</v>
      </c>
      <c r="S220" s="526">
        <f t="shared" ref="S220:W220" si="680">IF(S188=0,"",S188/COUNTIF(L96:L108,"X"))</f>
        <v>30.625</v>
      </c>
      <c r="T220" s="526">
        <f t="shared" si="680"/>
        <v>43.142857142857146</v>
      </c>
      <c r="U220" s="526" t="str">
        <f t="shared" si="680"/>
        <v/>
      </c>
      <c r="V220" s="526" t="str">
        <f t="shared" si="680"/>
        <v/>
      </c>
      <c r="W220" s="527" t="str">
        <f t="shared" si="680"/>
        <v/>
      </c>
      <c r="X220" s="531">
        <f>IF(X188=0,"",X188/COUNTIF(K96:K108,"X"))</f>
        <v>27.833333333333332</v>
      </c>
      <c r="Y220" s="526">
        <f t="shared" ref="Y220:AC220" si="681">IF(Y188=0,"",Y188/COUNTIF(L96:L108,"X"))</f>
        <v>30.625</v>
      </c>
      <c r="Z220" s="526">
        <f t="shared" si="681"/>
        <v>32.428571428571431</v>
      </c>
      <c r="AA220" s="526" t="str">
        <f t="shared" si="681"/>
        <v/>
      </c>
      <c r="AB220" s="526" t="str">
        <f t="shared" si="681"/>
        <v/>
      </c>
      <c r="AC220" s="527" t="str">
        <f t="shared" si="681"/>
        <v/>
      </c>
      <c r="AD220" s="519"/>
      <c r="AG220" s="654"/>
      <c r="AH220" s="638" t="s">
        <v>45</v>
      </c>
      <c r="AI220" s="657"/>
      <c r="AJ220" s="531">
        <f>IF(AJ188=0,"",AJ188/COUNTIF(K96:K108,"X"))</f>
        <v>12.534999999999998</v>
      </c>
      <c r="AK220" s="526">
        <f t="shared" ref="AK220:AO220" si="682">IF(AK188=0,"",AK188/COUNTIF(L96:L108,"X"))</f>
        <v>17.125</v>
      </c>
      <c r="AL220" s="526">
        <f t="shared" si="682"/>
        <v>24.428571428571427</v>
      </c>
      <c r="AM220" s="526" t="str">
        <f t="shared" si="682"/>
        <v/>
      </c>
      <c r="AN220" s="526" t="str">
        <f t="shared" si="682"/>
        <v/>
      </c>
      <c r="AO220" s="527" t="str">
        <f t="shared" si="682"/>
        <v/>
      </c>
      <c r="AP220" s="519"/>
      <c r="AS220" s="654"/>
      <c r="AT220" s="638" t="s">
        <v>45</v>
      </c>
      <c r="AU220" s="657"/>
      <c r="AV220" s="531">
        <f>IF(AV188=0,"",AV188/COUNTIF(K96:K108,"X"))</f>
        <v>10.431666666666668</v>
      </c>
      <c r="AW220" s="526">
        <f t="shared" ref="AW220:BA220" si="683">IF(AW188=0,"",AW188/COUNTIF(L96:L108,"X"))</f>
        <v>12.125</v>
      </c>
      <c r="AX220" s="526">
        <f t="shared" si="683"/>
        <v>14.714285714285714</v>
      </c>
      <c r="AY220" s="526" t="str">
        <f t="shared" si="683"/>
        <v/>
      </c>
      <c r="AZ220" s="526" t="str">
        <f t="shared" si="683"/>
        <v/>
      </c>
      <c r="BA220" s="527" t="str">
        <f t="shared" si="683"/>
        <v/>
      </c>
      <c r="BB220" s="519"/>
      <c r="BC220" s="4"/>
      <c r="BD220" s="4"/>
      <c r="BE220" s="654"/>
      <c r="BF220" s="638" t="s">
        <v>45</v>
      </c>
      <c r="BG220" s="657"/>
      <c r="BH220" s="531">
        <f>IF(BH188=0,"",BH188/COUNTIF(K96:K108,"X"))</f>
        <v>5.8167000000000009</v>
      </c>
      <c r="BI220" s="526">
        <f t="shared" ref="BI220:BM220" si="684">IF(BI188=0,"",BI188/COUNTIF(L96:L108,"X"))</f>
        <v>8.375</v>
      </c>
      <c r="BJ220" s="526">
        <f t="shared" si="684"/>
        <v>9.8571428571428577</v>
      </c>
      <c r="BK220" s="526" t="str">
        <f t="shared" si="684"/>
        <v/>
      </c>
      <c r="BL220" s="526" t="str">
        <f t="shared" si="684"/>
        <v/>
      </c>
      <c r="BM220" s="527" t="str">
        <f t="shared" si="684"/>
        <v/>
      </c>
      <c r="BN220" s="1"/>
      <c r="BO220" s="1"/>
      <c r="BP220" s="1"/>
      <c r="BQ220" s="1"/>
      <c r="BR220" s="1"/>
      <c r="BS220" s="1"/>
      <c r="BT220" s="1"/>
    </row>
    <row r="221" spans="1:73" x14ac:dyDescent="0.3">
      <c r="B221" s="1">
        <f>B148</f>
        <v>0</v>
      </c>
      <c r="N221" s="479"/>
      <c r="O221" s="831"/>
      <c r="Q221" s="532" t="s">
        <v>214</v>
      </c>
      <c r="R221" s="531">
        <f>IF(R189=0,"",R189/COUNTIF(K110:K124,"X"))</f>
        <v>180</v>
      </c>
      <c r="S221" s="526">
        <f t="shared" ref="S221:W221" si="685">IF(S189=0,"",S189/COUNTIF(L110:L124,"X"))</f>
        <v>147</v>
      </c>
      <c r="T221" s="526">
        <f t="shared" si="685"/>
        <v>155.25</v>
      </c>
      <c r="U221" s="526" t="str">
        <f t="shared" si="685"/>
        <v/>
      </c>
      <c r="V221" s="526" t="str">
        <f t="shared" si="685"/>
        <v/>
      </c>
      <c r="W221" s="527" t="str">
        <f t="shared" si="685"/>
        <v/>
      </c>
      <c r="X221" s="531">
        <f>IF(X189=0,"",X189/COUNTIF(K110:K124,"X"))</f>
        <v>89.666666666666671</v>
      </c>
      <c r="Y221" s="526">
        <f t="shared" ref="Y221:AC221" si="686">IF(Y189=0,"",Y189/COUNTIF(L110:L124,"X"))</f>
        <v>74.166666666666671</v>
      </c>
      <c r="Z221" s="526">
        <f t="shared" si="686"/>
        <v>84</v>
      </c>
      <c r="AA221" s="526" t="str">
        <f t="shared" si="686"/>
        <v/>
      </c>
      <c r="AB221" s="526" t="str">
        <f t="shared" si="686"/>
        <v/>
      </c>
      <c r="AC221" s="527" t="str">
        <f t="shared" si="686"/>
        <v/>
      </c>
      <c r="AD221" s="519"/>
      <c r="AG221" s="655"/>
      <c r="AH221" s="639" t="s">
        <v>214</v>
      </c>
      <c r="AI221" s="658"/>
      <c r="AJ221" s="531">
        <f>IF(AJ189=0,"",AJ189/COUNTIF(K110:K124,"X"))</f>
        <v>56.25</v>
      </c>
      <c r="AK221" s="526">
        <f t="shared" ref="AK221:AO221" si="687">IF(AK189=0,"",AK189/COUNTIF(L110:L124,"X"))</f>
        <v>52.333333333333336</v>
      </c>
      <c r="AL221" s="526">
        <f t="shared" si="687"/>
        <v>59.625</v>
      </c>
      <c r="AM221" s="526" t="str">
        <f t="shared" si="687"/>
        <v/>
      </c>
      <c r="AN221" s="526" t="str">
        <f t="shared" si="687"/>
        <v/>
      </c>
      <c r="AO221" s="527" t="str">
        <f t="shared" si="687"/>
        <v/>
      </c>
      <c r="AP221" s="519"/>
      <c r="AS221" s="655"/>
      <c r="AT221" s="639" t="s">
        <v>214</v>
      </c>
      <c r="AU221" s="658"/>
      <c r="AV221" s="531">
        <f>IF(AV189=0,"",AV189/COUNTIF(K110:K124,"X"))</f>
        <v>64</v>
      </c>
      <c r="AW221" s="526">
        <f t="shared" ref="AW221:BA221" si="688">IF(AW189=0,"",AW189/COUNTIF(L110:L124,"X"))</f>
        <v>43.166666666666664</v>
      </c>
      <c r="AX221" s="526">
        <f t="shared" si="688"/>
        <v>49.875</v>
      </c>
      <c r="AY221" s="526" t="str">
        <f t="shared" si="688"/>
        <v/>
      </c>
      <c r="AZ221" s="526" t="str">
        <f t="shared" si="688"/>
        <v/>
      </c>
      <c r="BA221" s="527" t="str">
        <f t="shared" si="688"/>
        <v/>
      </c>
      <c r="BB221" s="519"/>
      <c r="BC221" s="4"/>
      <c r="BD221" s="4"/>
      <c r="BE221" s="655"/>
      <c r="BF221" s="639" t="s">
        <v>214</v>
      </c>
      <c r="BG221" s="658"/>
      <c r="BH221" s="531" t="str">
        <f>IF(BH189=0,"",BH189/COUNTIF(K110:K124,"X"))</f>
        <v/>
      </c>
      <c r="BI221" s="526">
        <f t="shared" ref="BI221:BM221" si="689">IF(BI189=0,"",BI189/COUNTIF(L110:L124,"X"))</f>
        <v>20</v>
      </c>
      <c r="BJ221" s="526">
        <f t="shared" si="689"/>
        <v>24.375</v>
      </c>
      <c r="BK221" s="526" t="str">
        <f t="shared" si="689"/>
        <v/>
      </c>
      <c r="BL221" s="526" t="str">
        <f t="shared" si="689"/>
        <v/>
      </c>
      <c r="BM221" s="527" t="str">
        <f t="shared" si="689"/>
        <v/>
      </c>
      <c r="BN221" s="1"/>
      <c r="BO221" s="1"/>
      <c r="BP221" s="1"/>
      <c r="BQ221" s="1"/>
      <c r="BR221" s="1"/>
      <c r="BS221" s="1"/>
      <c r="BT221" s="1"/>
    </row>
    <row r="222" spans="1:73" x14ac:dyDescent="0.3">
      <c r="B222" s="1">
        <f>B167</f>
        <v>0</v>
      </c>
      <c r="N222" s="479"/>
      <c r="O222" s="831"/>
      <c r="Q222" s="532" t="s">
        <v>213</v>
      </c>
      <c r="R222" s="531">
        <f>IF(R190=0,"",R190/COUNTIF(K126:K133,"X"))</f>
        <v>21</v>
      </c>
      <c r="S222" s="526">
        <f t="shared" ref="S222:W222" si="690">IF(S190=0,"",S190/COUNTIF(L126:L133,"X"))</f>
        <v>27.666666666666668</v>
      </c>
      <c r="T222" s="526">
        <f t="shared" si="690"/>
        <v>23.333333333333332</v>
      </c>
      <c r="U222" s="526" t="str">
        <f t="shared" si="690"/>
        <v/>
      </c>
      <c r="V222" s="526" t="str">
        <f t="shared" si="690"/>
        <v/>
      </c>
      <c r="W222" s="527" t="str">
        <f t="shared" si="690"/>
        <v/>
      </c>
      <c r="X222" s="531">
        <f>IF(X190=0,"",X190/COUNTIF(K126:K133,"X"))</f>
        <v>8</v>
      </c>
      <c r="Y222" s="526">
        <f t="shared" ref="Y222:AC222" si="691">IF(Y190=0,"",Y190/COUNTIF(L126:L133,"X"))</f>
        <v>18.666666666666668</v>
      </c>
      <c r="Z222" s="526">
        <f t="shared" si="691"/>
        <v>14</v>
      </c>
      <c r="AA222" s="526" t="str">
        <f t="shared" si="691"/>
        <v/>
      </c>
      <c r="AB222" s="526" t="str">
        <f t="shared" si="691"/>
        <v/>
      </c>
      <c r="AC222" s="527" t="str">
        <f t="shared" si="691"/>
        <v/>
      </c>
      <c r="AD222" s="519"/>
      <c r="AG222" s="655"/>
      <c r="AH222" s="639" t="s">
        <v>213</v>
      </c>
      <c r="AI222" s="658"/>
      <c r="AJ222" s="531">
        <f>IF(AJ190=0,"",AJ190/COUNTIF(K126:K133,"X"))</f>
        <v>6.09</v>
      </c>
      <c r="AK222" s="526">
        <f t="shared" ref="AK222:AO222" si="692">IF(AK190=0,"",AK190/COUNTIF(L126:L133,"X"))</f>
        <v>7.666666666666667</v>
      </c>
      <c r="AL222" s="526">
        <f t="shared" si="692"/>
        <v>6.333333333333333</v>
      </c>
      <c r="AM222" s="526" t="str">
        <f t="shared" si="692"/>
        <v/>
      </c>
      <c r="AN222" s="526" t="str">
        <f t="shared" si="692"/>
        <v/>
      </c>
      <c r="AO222" s="527" t="str">
        <f t="shared" si="692"/>
        <v/>
      </c>
      <c r="AP222" s="519"/>
      <c r="AS222" s="655"/>
      <c r="AT222" s="639" t="s">
        <v>213</v>
      </c>
      <c r="AU222" s="658"/>
      <c r="AV222" s="531">
        <f>IF(AV190=0,"",AV190/COUNTIF(K126:K133,"X"))</f>
        <v>6.72</v>
      </c>
      <c r="AW222" s="526">
        <f t="shared" ref="AW222:BA222" si="693">IF(AW190=0,"",AW190/COUNTIF(L126:L133,"X"))</f>
        <v>7.666666666666667</v>
      </c>
      <c r="AX222" s="526">
        <f t="shared" si="693"/>
        <v>6.666666666666667</v>
      </c>
      <c r="AY222" s="526" t="str">
        <f t="shared" si="693"/>
        <v/>
      </c>
      <c r="AZ222" s="526" t="str">
        <f t="shared" si="693"/>
        <v/>
      </c>
      <c r="BA222" s="527" t="str">
        <f t="shared" si="693"/>
        <v/>
      </c>
      <c r="BB222" s="519"/>
      <c r="BC222" s="4"/>
      <c r="BD222" s="4"/>
      <c r="BE222" s="655"/>
      <c r="BF222" s="639" t="s">
        <v>213</v>
      </c>
      <c r="BG222" s="658"/>
      <c r="BH222" s="531" t="str">
        <f>IF(BH190=0,"",BH190/COUNTIF(K126:K133,"X"))</f>
        <v/>
      </c>
      <c r="BI222" s="526">
        <f t="shared" ref="BI222:BM222" si="694">IF(BI190=0,"",BI190/COUNTIF(L126:L133,"X"))</f>
        <v>4.333333333333333</v>
      </c>
      <c r="BJ222" s="526">
        <f t="shared" si="694"/>
        <v>2.3333333333333335</v>
      </c>
      <c r="BK222" s="526" t="str">
        <f t="shared" si="694"/>
        <v/>
      </c>
      <c r="BL222" s="526" t="str">
        <f t="shared" si="694"/>
        <v/>
      </c>
      <c r="BM222" s="527" t="str">
        <f t="shared" si="694"/>
        <v/>
      </c>
      <c r="BN222" s="1"/>
      <c r="BO222" s="1"/>
      <c r="BP222" s="1"/>
      <c r="BQ222" s="1"/>
      <c r="BR222" s="1"/>
      <c r="BS222" s="1"/>
      <c r="BT222" s="1"/>
    </row>
    <row r="223" spans="1:73" ht="15" thickBot="1" x14ac:dyDescent="0.35">
      <c r="B223" s="1" t="str">
        <f>B180</f>
        <v>UP Cluses</v>
      </c>
      <c r="N223" s="479"/>
      <c r="O223" s="831"/>
      <c r="Q223" s="533" t="s">
        <v>3</v>
      </c>
      <c r="R223" s="534">
        <f>IF(R191=0,"",R191/COUNTIF(K135:K158,"X"))</f>
        <v>249.66666666666666</v>
      </c>
      <c r="S223" s="535">
        <f t="shared" ref="S223:W223" si="695">IF(S191=0,"",S191/COUNTIF(L135:L158,"X"))</f>
        <v>354</v>
      </c>
      <c r="T223" s="535">
        <f t="shared" si="695"/>
        <v>378.85714285714283</v>
      </c>
      <c r="U223" s="535" t="str">
        <f t="shared" si="695"/>
        <v/>
      </c>
      <c r="V223" s="535" t="str">
        <f t="shared" si="695"/>
        <v/>
      </c>
      <c r="W223" s="536" t="str">
        <f t="shared" si="695"/>
        <v/>
      </c>
      <c r="X223" s="534">
        <f>IF(X191=0,"",X191/COUNTIF(K135:K158,"X"))</f>
        <v>249.66666666666666</v>
      </c>
      <c r="Y223" s="535">
        <f t="shared" ref="Y223:AC223" si="696">IF(Y191=0,"",Y191/COUNTIF(L135:L158,"X"))</f>
        <v>354</v>
      </c>
      <c r="Z223" s="535">
        <f t="shared" si="696"/>
        <v>378.85714285714283</v>
      </c>
      <c r="AA223" s="535" t="str">
        <f t="shared" si="696"/>
        <v/>
      </c>
      <c r="AB223" s="535" t="str">
        <f t="shared" si="696"/>
        <v/>
      </c>
      <c r="AC223" s="536" t="str">
        <f t="shared" si="696"/>
        <v/>
      </c>
      <c r="AD223" s="519"/>
      <c r="AG223" s="654"/>
      <c r="AH223" s="640" t="s">
        <v>3</v>
      </c>
      <c r="AI223" s="659"/>
      <c r="AJ223" s="534">
        <f>IF(AJ191=0,"",AJ191/COUNTIF(K135:K158,"X"))</f>
        <v>31.666666666666668</v>
      </c>
      <c r="AK223" s="535">
        <f t="shared" ref="AK223:AO223" si="697">IF(AK191=0,"",AK191/COUNTIF(L135:L158,"X"))</f>
        <v>136.6</v>
      </c>
      <c r="AL223" s="535">
        <f t="shared" si="697"/>
        <v>164.42857142857142</v>
      </c>
      <c r="AM223" s="535" t="str">
        <f t="shared" si="697"/>
        <v/>
      </c>
      <c r="AN223" s="535" t="str">
        <f t="shared" si="697"/>
        <v/>
      </c>
      <c r="AO223" s="536" t="str">
        <f t="shared" si="697"/>
        <v/>
      </c>
      <c r="AP223" s="519"/>
      <c r="AS223" s="654"/>
      <c r="AT223" s="640" t="s">
        <v>3</v>
      </c>
      <c r="AU223" s="659"/>
      <c r="AV223" s="534">
        <f>IF(AV191=0,"",AV191/COUNTIF(K135:K158,"X"))</f>
        <v>100.11111111111111</v>
      </c>
      <c r="AW223" s="535">
        <f t="shared" ref="AW223:BA223" si="698">IF(AW191=0,"",AW191/COUNTIF(L135:L158,"X"))</f>
        <v>145.19999999999999</v>
      </c>
      <c r="AX223" s="535">
        <f t="shared" si="698"/>
        <v>149</v>
      </c>
      <c r="AY223" s="535" t="str">
        <f t="shared" si="698"/>
        <v/>
      </c>
      <c r="AZ223" s="535" t="str">
        <f t="shared" si="698"/>
        <v/>
      </c>
      <c r="BA223" s="536" t="str">
        <f t="shared" si="698"/>
        <v/>
      </c>
      <c r="BB223" s="519"/>
      <c r="BC223" s="4"/>
      <c r="BD223" s="4"/>
      <c r="BE223" s="654"/>
      <c r="BF223" s="640" t="s">
        <v>3</v>
      </c>
      <c r="BG223" s="659"/>
      <c r="BH223" s="534">
        <f>IF(BH191=0,"",BH191/COUNTIF(K135:K158,"X"))</f>
        <v>1.4444444444444444</v>
      </c>
      <c r="BI223" s="535">
        <f t="shared" ref="BI223:BM223" si="699">IF(BI191=0,"",BI191/COUNTIF(L135:L158,"X"))</f>
        <v>84</v>
      </c>
      <c r="BJ223" s="535">
        <f t="shared" si="699"/>
        <v>86.285714285714292</v>
      </c>
      <c r="BK223" s="535" t="str">
        <f t="shared" si="699"/>
        <v/>
      </c>
      <c r="BL223" s="535" t="str">
        <f t="shared" si="699"/>
        <v/>
      </c>
      <c r="BM223" s="536" t="str">
        <f t="shared" si="699"/>
        <v/>
      </c>
      <c r="BN223" s="1"/>
      <c r="BO223" s="1"/>
      <c r="BP223" s="1"/>
      <c r="BQ223" s="1"/>
      <c r="BR223" s="1"/>
      <c r="BS223" s="1"/>
      <c r="BT223" s="1"/>
    </row>
    <row r="224" spans="1:73" s="31" customFormat="1" ht="15" thickBot="1" x14ac:dyDescent="0.35">
      <c r="A224" s="20"/>
      <c r="C224" s="479"/>
      <c r="D224" s="479"/>
      <c r="E224" s="479"/>
      <c r="F224" s="479"/>
      <c r="G224" s="479"/>
      <c r="H224" s="479"/>
      <c r="I224" s="479"/>
      <c r="K224" s="479"/>
      <c r="M224" s="479"/>
      <c r="N224" s="479"/>
      <c r="O224" s="831"/>
      <c r="P224" s="479"/>
      <c r="Q224" s="537" t="s">
        <v>66</v>
      </c>
      <c r="R224" s="538">
        <f>IF(R192=0,"",R192/$K161)</f>
        <v>112.84782608695652</v>
      </c>
      <c r="S224" s="539">
        <f>IF(S192=0,"",S192/$L161)</f>
        <v>95.4375</v>
      </c>
      <c r="T224" s="539">
        <f>IF(T192=0,"",T192/$M161)</f>
        <v>101.81944444444444</v>
      </c>
      <c r="U224" s="539">
        <f t="shared" ref="U224:W224" si="700">IF(U192=0,"",U192/$M161)</f>
        <v>8.0694444444444446</v>
      </c>
      <c r="V224" s="539" t="str">
        <f t="shared" si="700"/>
        <v/>
      </c>
      <c r="W224" s="540" t="str">
        <f t="shared" si="700"/>
        <v/>
      </c>
      <c r="X224" s="538">
        <f>IF(X192=0,"",X192/$K161)</f>
        <v>78.108695652173907</v>
      </c>
      <c r="Y224" s="539">
        <f>IF(Y192=0,"",Y192/$L161)</f>
        <v>73.458333333333329</v>
      </c>
      <c r="Z224" s="539">
        <f>IF(Z192=0,"",Z192/$M161)</f>
        <v>78.055555555555557</v>
      </c>
      <c r="AA224" s="539">
        <f t="shared" ref="AA224:AC224" si="701">IF(AA192=0,"",AA192/$M161)</f>
        <v>3.3472222222222223</v>
      </c>
      <c r="AB224" s="539" t="str">
        <f t="shared" si="701"/>
        <v/>
      </c>
      <c r="AC224" s="540" t="str">
        <f t="shared" si="701"/>
        <v/>
      </c>
      <c r="AD224" s="520"/>
      <c r="AH224" s="641" t="s">
        <v>66</v>
      </c>
      <c r="AI224" s="660"/>
      <c r="AJ224" s="538">
        <f>IF(AJ192=0,"",AJ192/$K161)</f>
        <v>31.022173913043478</v>
      </c>
      <c r="AK224" s="539">
        <f>IF(AK192=0,"",AK192/$L161)</f>
        <v>37.145833333333336</v>
      </c>
      <c r="AL224" s="539">
        <f t="shared" ref="AL224:AN224" si="702">IF(AL192=0,"",AL192/$L161)</f>
        <v>63.479166666666664</v>
      </c>
      <c r="AM224" s="539">
        <f t="shared" si="702"/>
        <v>5.5625</v>
      </c>
      <c r="AN224" s="539" t="str">
        <f t="shared" si="702"/>
        <v/>
      </c>
      <c r="AO224" s="540" t="str">
        <f>IF(AO192=0,"",AO192/$M161)</f>
        <v/>
      </c>
      <c r="AP224" s="520"/>
      <c r="AT224" s="641" t="s">
        <v>66</v>
      </c>
      <c r="AU224" s="660"/>
      <c r="AV224" s="538">
        <f>IF(AV192=0,"",AV192/$K161)</f>
        <v>43.615869565217395</v>
      </c>
      <c r="AW224" s="539">
        <f>IF(AW192=0,"",AW192/$L161)</f>
        <v>34.625</v>
      </c>
      <c r="AX224" s="539">
        <f t="shared" ref="AX224:AZ224" si="703">IF(AX192=0,"",AX192/$L161)</f>
        <v>55.083333333333336</v>
      </c>
      <c r="AY224" s="539">
        <f t="shared" si="703"/>
        <v>3.8958333333333335</v>
      </c>
      <c r="AZ224" s="539" t="str">
        <f t="shared" si="703"/>
        <v/>
      </c>
      <c r="BA224" s="540"/>
      <c r="BB224" s="520"/>
      <c r="BF224" s="641" t="s">
        <v>66</v>
      </c>
      <c r="BG224" s="660"/>
      <c r="BH224" s="538">
        <f>IF(BH192=0,"",BH192/$K161)</f>
        <v>2.3665260869565219</v>
      </c>
      <c r="BI224" s="539">
        <f>IF(BI192=0,"",BI192/$L161)</f>
        <v>15</v>
      </c>
      <c r="BJ224" s="539">
        <f t="shared" ref="BJ224:BK224" si="704">IF(BJ192=0,"",BJ192/$L161)</f>
        <v>22.208333333333332</v>
      </c>
      <c r="BK224" s="539">
        <f t="shared" si="704"/>
        <v>2.1875</v>
      </c>
      <c r="BL224" s="539" t="str">
        <f>IF(BL192=0,"",BL192/$L161)</f>
        <v/>
      </c>
      <c r="BM224" s="540" t="str">
        <f>IF(BM192=0,"",BM192/$M161)</f>
        <v/>
      </c>
      <c r="BU224" s="518"/>
    </row>
    <row r="225" spans="1:73" ht="15" customHeight="1" thickBot="1" x14ac:dyDescent="0.35">
      <c r="N225" s="479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4"/>
      <c r="BD225" s="4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</row>
    <row r="226" spans="1:73" x14ac:dyDescent="0.3">
      <c r="J226" s="31"/>
      <c r="K226" s="479"/>
      <c r="M226" s="479"/>
      <c r="N226" s="479"/>
      <c r="O226" s="832" t="s">
        <v>219</v>
      </c>
      <c r="P226" s="479"/>
      <c r="R226" s="555" t="s">
        <v>159</v>
      </c>
      <c r="S226" s="556" t="s">
        <v>215</v>
      </c>
      <c r="T226" s="557"/>
      <c r="U226" s="556"/>
      <c r="V226" s="556"/>
      <c r="W226" s="556"/>
      <c r="X226" s="555" t="s">
        <v>44</v>
      </c>
      <c r="Y226" s="556" t="s">
        <v>215</v>
      </c>
      <c r="Z226" s="557"/>
      <c r="AA226" s="556"/>
      <c r="AB226" s="556"/>
      <c r="AC226" s="556"/>
      <c r="AD226" s="478"/>
      <c r="AG226" s="478"/>
      <c r="AH226" s="478"/>
      <c r="AI226" s="478"/>
      <c r="AJ226" s="555" t="s">
        <v>209</v>
      </c>
      <c r="AK226" s="556" t="s">
        <v>215</v>
      </c>
      <c r="AL226" s="557"/>
      <c r="AM226" s="661"/>
      <c r="AN226" s="661"/>
      <c r="AO226" s="662"/>
      <c r="AP226" s="478"/>
      <c r="AS226" s="478"/>
      <c r="AT226" s="478"/>
      <c r="AU226" s="478"/>
      <c r="AV226" s="555" t="s">
        <v>208</v>
      </c>
      <c r="AW226" s="556" t="s">
        <v>215</v>
      </c>
      <c r="AX226" s="557"/>
      <c r="AY226" s="661"/>
      <c r="AZ226" s="661"/>
      <c r="BA226" s="662"/>
      <c r="BC226" s="4"/>
      <c r="BD226" s="4"/>
      <c r="BE226" s="478"/>
      <c r="BF226" s="478"/>
      <c r="BG226" s="478"/>
      <c r="BH226" s="555" t="s">
        <v>207</v>
      </c>
      <c r="BI226" s="556" t="s">
        <v>215</v>
      </c>
      <c r="BJ226" s="557"/>
      <c r="BK226" s="661"/>
      <c r="BL226" s="661"/>
      <c r="BM226" s="662"/>
    </row>
    <row r="227" spans="1:73" ht="15" thickBot="1" x14ac:dyDescent="0.35">
      <c r="J227" s="31"/>
      <c r="K227" s="479"/>
      <c r="M227" s="479"/>
      <c r="N227" s="479"/>
      <c r="O227" s="831"/>
      <c r="P227" s="479"/>
      <c r="R227" s="521">
        <f>R$164</f>
        <v>2020</v>
      </c>
      <c r="S227" s="522">
        <f t="shared" ref="S227:AC227" si="705">S$164</f>
        <v>2021</v>
      </c>
      <c r="T227" s="522">
        <f t="shared" si="705"/>
        <v>2022</v>
      </c>
      <c r="U227" s="522">
        <f t="shared" si="705"/>
        <v>2023</v>
      </c>
      <c r="V227" s="522">
        <f t="shared" si="705"/>
        <v>2024</v>
      </c>
      <c r="W227" s="523">
        <f t="shared" si="705"/>
        <v>2025</v>
      </c>
      <c r="X227" s="521">
        <f t="shared" si="705"/>
        <v>2020</v>
      </c>
      <c r="Y227" s="522">
        <f t="shared" si="705"/>
        <v>2021</v>
      </c>
      <c r="Z227" s="522">
        <f t="shared" si="705"/>
        <v>2022</v>
      </c>
      <c r="AA227" s="522">
        <f t="shared" si="705"/>
        <v>2023</v>
      </c>
      <c r="AB227" s="522">
        <f t="shared" si="705"/>
        <v>2024</v>
      </c>
      <c r="AC227" s="523">
        <f t="shared" si="705"/>
        <v>2025</v>
      </c>
      <c r="AG227" s="653"/>
      <c r="AH227" s="634"/>
      <c r="AI227" s="499"/>
      <c r="AJ227" s="483">
        <f t="shared" ref="AJ227:AO227" si="706">AJ$164</f>
        <v>2020</v>
      </c>
      <c r="AK227" s="484">
        <f t="shared" si="706"/>
        <v>2021</v>
      </c>
      <c r="AL227" s="484">
        <f t="shared" si="706"/>
        <v>2022</v>
      </c>
      <c r="AM227" s="484">
        <f t="shared" si="706"/>
        <v>2023</v>
      </c>
      <c r="AN227" s="484">
        <f t="shared" si="706"/>
        <v>2024</v>
      </c>
      <c r="AO227" s="485">
        <f t="shared" si="706"/>
        <v>2025</v>
      </c>
      <c r="AS227" s="653"/>
      <c r="AT227" s="634"/>
      <c r="AU227" s="499"/>
      <c r="AV227" s="483">
        <f t="shared" ref="AV227:BA227" si="707">AV$164</f>
        <v>2020</v>
      </c>
      <c r="AW227" s="484">
        <f t="shared" si="707"/>
        <v>2021</v>
      </c>
      <c r="AX227" s="484">
        <f t="shared" si="707"/>
        <v>2022</v>
      </c>
      <c r="AY227" s="484">
        <f t="shared" si="707"/>
        <v>2023</v>
      </c>
      <c r="AZ227" s="484">
        <f t="shared" si="707"/>
        <v>2024</v>
      </c>
      <c r="BA227" s="485">
        <f t="shared" si="707"/>
        <v>2025</v>
      </c>
      <c r="BC227" s="4"/>
      <c r="BD227" s="4"/>
      <c r="BE227" s="653"/>
      <c r="BF227" s="634"/>
      <c r="BG227" s="499"/>
      <c r="BH227" s="483">
        <f t="shared" ref="BH227:BM227" si="708">BH$164</f>
        <v>2020</v>
      </c>
      <c r="BI227" s="484">
        <f t="shared" si="708"/>
        <v>2021</v>
      </c>
      <c r="BJ227" s="484">
        <f t="shared" si="708"/>
        <v>2022</v>
      </c>
      <c r="BK227" s="484">
        <f t="shared" si="708"/>
        <v>2023</v>
      </c>
      <c r="BL227" s="484">
        <f t="shared" si="708"/>
        <v>2024</v>
      </c>
      <c r="BM227" s="485">
        <f t="shared" si="708"/>
        <v>2025</v>
      </c>
    </row>
    <row r="228" spans="1:73" x14ac:dyDescent="0.3">
      <c r="N228" s="479"/>
      <c r="O228" s="831"/>
      <c r="Q228" s="528" t="s">
        <v>70</v>
      </c>
      <c r="R228" s="551" t="str">
        <f>IF(R212="","","100%")</f>
        <v>100%</v>
      </c>
      <c r="S228" s="543" t="str">
        <f>IF(R212="","",
  IF(S212="","",
  IF(S212&gt;R212,"+"&amp;ROUND((S212/R212-1)*100,0)&amp;"%",
  IF(S212&lt;R212,ROUND((S212/R212-1)*100,0)&amp;"%",
  ""))))</f>
        <v>+62%</v>
      </c>
      <c r="T228" s="543" t="str">
        <f>IF(S212="","",
  IF(T212="","",
  IF(T212&gt;S212,"+"&amp;ROUND((T212/S212-1)*100,0)&amp;"%",
  IF(T212&lt;S212,ROUND((T212/S212-1)*100,0)&amp;"%",
  ""))))</f>
        <v>-29%</v>
      </c>
      <c r="U228" s="543" t="str">
        <f t="shared" ref="U228:W240" si="709">IF(T212="","",
  IF(U212="","",
  IF(U212&gt;T212,"+"&amp;ROUND((U212/T212-1)*100,0)&amp;"%",
  IF(U212&lt;T212,ROUND((U212/T212-1)*100,0)&amp;"%",
  ""))))</f>
        <v>+144%</v>
      </c>
      <c r="V228" s="543" t="str">
        <f t="shared" si="709"/>
        <v/>
      </c>
      <c r="W228" s="544" t="str">
        <f t="shared" si="709"/>
        <v/>
      </c>
      <c r="X228" s="551" t="str">
        <f>IF(X212="","","100%")</f>
        <v>100%</v>
      </c>
      <c r="Y228" s="543" t="str">
        <f>IF(X212="","",
  IF(Y212="","",
  IF(Y212&gt;X212,"+"&amp;ROUND((Y212/X212-1)*100,0)&amp;"%",
  IF(Y212&lt;X212,ROUND((Y212/X212-1)*100,0)&amp;"%",
  ""))))</f>
        <v>+224%</v>
      </c>
      <c r="Z228" s="543" t="str">
        <f>IF(Y212="","",
  IF(Z212="","",
  IF(Z212&gt;Y212,"+"&amp;ROUND((Z212/Y212-1)*100,0)&amp;"%",
  IF(Z212&lt;Y212,ROUND((Z212/Y212-1)*100,0)&amp;"%",
  ""))))</f>
        <v>-23%</v>
      </c>
      <c r="AA228" s="543" t="str">
        <f t="shared" ref="AA228:AC240" si="710">IF(Z212="","",
  IF(AA212="","",
  IF(AA212&gt;Z212,"+"&amp;ROUND((AA212/Z212-1)*100,0)&amp;"%",
  IF(AA212&lt;Z212,ROUND((AA212/Z212-1)*100,0)&amp;"%",
  ""))))</f>
        <v/>
      </c>
      <c r="AB228" s="543" t="str">
        <f t="shared" si="710"/>
        <v/>
      </c>
      <c r="AC228" s="544" t="str">
        <f t="shared" si="710"/>
        <v/>
      </c>
      <c r="AD228" s="519"/>
      <c r="AG228" s="654"/>
      <c r="AH228" s="637" t="s">
        <v>70</v>
      </c>
      <c r="AI228" s="656"/>
      <c r="AJ228" s="551" t="str">
        <f>IF(AJ212="","","100%")</f>
        <v>100%</v>
      </c>
      <c r="AK228" s="543" t="str">
        <f>IF(AJ212="","",
  IF(AK212="","",
  IF(AK212&gt;AJ212,"+"&amp;ROUND((AK212/AJ212-1)*100,0)&amp;"%",
  IF(AK212&lt;AJ212,ROUND((AK212/AJ212-1)*100,0)&amp;"%",
  ""))))</f>
        <v/>
      </c>
      <c r="AL228" s="543" t="str">
        <f t="shared" ref="AL228:AN240" si="711">IF(AK212="","",
  IF(AL212="","",
  IF(AL212&gt;AK212,"+"&amp;ROUND((AL212/AK212-1)*100,0)&amp;"%",
  IF(AL212&lt;AK212,ROUND((AL212/AK212-1)*100,0)&amp;"%",
  ""))))</f>
        <v/>
      </c>
      <c r="AM228" s="543" t="str">
        <f t="shared" si="711"/>
        <v/>
      </c>
      <c r="AN228" s="543" t="str">
        <f t="shared" si="711"/>
        <v/>
      </c>
      <c r="AO228" s="544" t="str">
        <f>IF(AN212="","",
  IF(AO212="","",
  IF(AO212&gt;AN212,"+"&amp;ROUND((AO212/AN212-1)*100,0)&amp;"%",
  IF(AO212&lt;AN212,ROUND((AO212/AN212-1)*100,0)&amp;"%",
  ""))))</f>
        <v/>
      </c>
      <c r="AP228" s="519"/>
      <c r="AS228" s="654"/>
      <c r="AT228" s="637" t="s">
        <v>70</v>
      </c>
      <c r="AU228" s="656"/>
      <c r="AV228" s="551" t="str">
        <f>IF(AV212="","","100%")</f>
        <v>100%</v>
      </c>
      <c r="AW228" s="543" t="str">
        <f>IF(AV212="","",
  IF(AW212="","",
  IF(AW212&gt;AV212,"+"&amp;ROUND((AW212/AV212-1)*100,0)&amp;"%",
  IF(AW212&lt;AV212,ROUND((AW212/AV212-1)*100,0)&amp;"%",
  ""))))</f>
        <v>+6%</v>
      </c>
      <c r="AX228" s="543" t="str">
        <f t="shared" ref="AX228:AZ240" si="712">IF(AW212="","",
  IF(AX212="","",
  IF(AX212&gt;AW212,"+"&amp;ROUND((AX212/AW212-1)*100,0)&amp;"%",
  IF(AX212&lt;AW212,ROUND((AX212/AW212-1)*100,0)&amp;"%",
  ""))))</f>
        <v/>
      </c>
      <c r="AY228" s="543" t="str">
        <f t="shared" si="712"/>
        <v/>
      </c>
      <c r="AZ228" s="543" t="str">
        <f t="shared" si="712"/>
        <v/>
      </c>
      <c r="BA228" s="544" t="str">
        <f>IF(AZ212="","",
  IF(BA212="","",
  IF(BA212&gt;AZ212,"+"&amp;ROUND((BA212/AZ212-1)*100,0)&amp;"%",
  IF(BA212&lt;AZ212,ROUND((BA212/AZ212-1)*100,0)&amp;"%",
  ""))))</f>
        <v/>
      </c>
      <c r="BB228" s="519"/>
      <c r="BC228" s="4"/>
      <c r="BD228" s="4"/>
      <c r="BE228" s="654"/>
      <c r="BF228" s="637" t="s">
        <v>70</v>
      </c>
      <c r="BG228" s="656"/>
      <c r="BH228" s="551" t="str">
        <f>IF(BH212="","","100%")</f>
        <v>100%</v>
      </c>
      <c r="BI228" s="543" t="str">
        <f>IF(BH212="","",
  IF(BI212="","",
  IF(BI212&gt;BH212,"+"&amp;ROUND((BI212/BH212-1)*100,0)&amp;"%",
  IF(BI212&lt;BH212,ROUND((BI212/BH212-1)*100,0)&amp;"%",
  ""))))</f>
        <v/>
      </c>
      <c r="BJ228" s="543" t="str">
        <f t="shared" ref="BJ228:BL240" si="713">IF(BI212="","",
  IF(BJ212="","",
  IF(BJ212&gt;BI212,"+"&amp;ROUND((BJ212/BI212-1)*100,0)&amp;"%",
  IF(BJ212&lt;BI212,ROUND((BJ212/BI212-1)*100,0)&amp;"%",
  ""))))</f>
        <v/>
      </c>
      <c r="BK228" s="543" t="str">
        <f t="shared" si="713"/>
        <v/>
      </c>
      <c r="BL228" s="543" t="str">
        <f t="shared" si="713"/>
        <v/>
      </c>
      <c r="BM228" s="544" t="str">
        <f>IF(BL212="","",
  IF(BM212="","",
  IF(BM212&gt;BL212,"+"&amp;ROUND((BM212/BL212-1)*100,0)&amp;"%",
  IF(BM212&lt;BL212,ROUND((BM212/BL212-1)*100,0)&amp;"%",
  ""))))</f>
        <v/>
      </c>
      <c r="BN228" s="1"/>
      <c r="BO228" s="1"/>
      <c r="BP228" s="1"/>
      <c r="BQ228" s="1"/>
      <c r="BR228" s="1"/>
      <c r="BS228" s="1"/>
      <c r="BT228" s="1"/>
    </row>
    <row r="229" spans="1:73" x14ac:dyDescent="0.3">
      <c r="N229" s="479"/>
      <c r="O229" s="831"/>
      <c r="Q229" s="530" t="s">
        <v>210</v>
      </c>
      <c r="R229" s="552" t="str">
        <f>IF(R213="","","100%")</f>
        <v/>
      </c>
      <c r="S229" s="541" t="str">
        <f t="shared" ref="S229" si="714">IF(R213="","",
  IF(S213="","",
  IF(S213&gt;R213,"+"&amp;ROUND((S213/R213-1)*100,0)&amp;"%",
  IF(S213&lt;R213,ROUND((S213/R213-1)*100,0)&amp;"%",
  ""))))</f>
        <v/>
      </c>
      <c r="T229" s="541" t="str">
        <f t="shared" ref="T229:T240" si="715">IF(S213="","",
  IF(T213="","",
  IF(T213&gt;S213,"+"&amp;ROUND((T213/S213-1)*100,0)&amp;"%",
  IF(T213&lt;S213,ROUND((T213/S213-1)*100,0)&amp;"%",
  ""))))</f>
        <v/>
      </c>
      <c r="U229" s="541" t="str">
        <f t="shared" si="709"/>
        <v/>
      </c>
      <c r="V229" s="541" t="str">
        <f t="shared" si="709"/>
        <v/>
      </c>
      <c r="W229" s="542" t="str">
        <f t="shared" si="709"/>
        <v/>
      </c>
      <c r="X229" s="552" t="str">
        <f>IF(X213="","","100%")</f>
        <v/>
      </c>
      <c r="Y229" s="541" t="str">
        <f t="shared" ref="Y229:Z240" si="716">IF(X213="","",
  IF(Y213="","",
  IF(Y213&gt;X213,"+"&amp;ROUND((Y213/X213-1)*100,0)&amp;"%",
  IF(Y213&lt;X213,ROUND((Y213/X213-1)*100,0)&amp;"%",
  ""))))</f>
        <v/>
      </c>
      <c r="Z229" s="541" t="str">
        <f t="shared" si="716"/>
        <v/>
      </c>
      <c r="AA229" s="541" t="str">
        <f t="shared" si="710"/>
        <v/>
      </c>
      <c r="AB229" s="541" t="str">
        <f t="shared" si="710"/>
        <v/>
      </c>
      <c r="AC229" s="542" t="str">
        <f t="shared" si="710"/>
        <v/>
      </c>
      <c r="AD229" s="519"/>
      <c r="AG229" s="654"/>
      <c r="AH229" s="638" t="s">
        <v>210</v>
      </c>
      <c r="AI229" s="657"/>
      <c r="AJ229" s="552" t="str">
        <f>IF(AJ213="","","100%")</f>
        <v/>
      </c>
      <c r="AK229" s="541" t="str">
        <f t="shared" ref="AK229:AK240" si="717">IF(AJ213="","",
  IF(AK213="","",
  IF(AK213&gt;AJ213,"+"&amp;ROUND((AK213/AJ213-1)*100,0)&amp;"%",
  IF(AK213&lt;AJ213,ROUND((AK213/AJ213-1)*100,0)&amp;"%",
  ""))))</f>
        <v/>
      </c>
      <c r="AL229" s="541" t="str">
        <f t="shared" si="711"/>
        <v/>
      </c>
      <c r="AM229" s="541" t="str">
        <f t="shared" si="711"/>
        <v/>
      </c>
      <c r="AN229" s="541" t="str">
        <f t="shared" si="711"/>
        <v/>
      </c>
      <c r="AO229" s="542" t="str">
        <f t="shared" ref="AO229:AO240" si="718">IF(AN213="","",
  IF(AO213="","",
  IF(AO213&gt;AN213,"+"&amp;ROUND((AO213/AN213-1)*100,0)&amp;"%",
  IF(AO213&lt;AN213,ROUND((AO213/AN213-1)*100,0)&amp;"%",
  ""))))</f>
        <v/>
      </c>
      <c r="AP229" s="519"/>
      <c r="AS229" s="654"/>
      <c r="AT229" s="638" t="s">
        <v>210</v>
      </c>
      <c r="AU229" s="657"/>
      <c r="AV229" s="552" t="str">
        <f>IF(AV213="","","100%")</f>
        <v/>
      </c>
      <c r="AW229" s="541" t="str">
        <f t="shared" ref="AW229:AW240" si="719">IF(AV213="","",
  IF(AW213="","",
  IF(AW213&gt;AV213,"+"&amp;ROUND((AW213/AV213-1)*100,0)&amp;"%",
  IF(AW213&lt;AV213,ROUND((AW213/AV213-1)*100,0)&amp;"%",
  ""))))</f>
        <v/>
      </c>
      <c r="AX229" s="541" t="str">
        <f t="shared" si="712"/>
        <v/>
      </c>
      <c r="AY229" s="541" t="str">
        <f t="shared" si="712"/>
        <v/>
      </c>
      <c r="AZ229" s="541" t="str">
        <f t="shared" si="712"/>
        <v/>
      </c>
      <c r="BA229" s="542" t="str">
        <f t="shared" ref="BA229:BA240" si="720">IF(AZ213="","",
  IF(BA213="","",
  IF(BA213&gt;AZ213,"+"&amp;ROUND((BA213/AZ213-1)*100,0)&amp;"%",
  IF(BA213&lt;AZ213,ROUND((BA213/AZ213-1)*100,0)&amp;"%",
  ""))))</f>
        <v/>
      </c>
      <c r="BB229" s="519"/>
      <c r="BC229" s="4"/>
      <c r="BD229" s="4"/>
      <c r="BE229" s="654"/>
      <c r="BF229" s="638" t="s">
        <v>210</v>
      </c>
      <c r="BG229" s="657"/>
      <c r="BH229" s="552" t="str">
        <f>IF(BH213="","","100%")</f>
        <v/>
      </c>
      <c r="BI229" s="541" t="str">
        <f t="shared" ref="BI229:BI240" si="721">IF(BH213="","",
  IF(BI213="","",
  IF(BI213&gt;BH213,"+"&amp;ROUND((BI213/BH213-1)*100,0)&amp;"%",
  IF(BI213&lt;BH213,ROUND((BI213/BH213-1)*100,0)&amp;"%",
  ""))))</f>
        <v/>
      </c>
      <c r="BJ229" s="541" t="str">
        <f t="shared" si="713"/>
        <v/>
      </c>
      <c r="BK229" s="541" t="str">
        <f t="shared" si="713"/>
        <v/>
      </c>
      <c r="BL229" s="541" t="str">
        <f t="shared" si="713"/>
        <v/>
      </c>
      <c r="BM229" s="542" t="str">
        <f t="shared" ref="BM229:BM240" si="722">IF(BL213="","",
  IF(BM213="","",
  IF(BM213&gt;BL213,"+"&amp;ROUND((BM213/BL213-1)*100,0)&amp;"%",
  IF(BM213&lt;BL213,ROUND((BM213/BL213-1)*100,0)&amp;"%",
  ""))))</f>
        <v/>
      </c>
      <c r="BN229" s="1"/>
      <c r="BO229" s="1"/>
      <c r="BP229" s="1"/>
      <c r="BQ229" s="1"/>
      <c r="BR229" s="1"/>
      <c r="BS229" s="1"/>
      <c r="BT229" s="1"/>
    </row>
    <row r="230" spans="1:73" x14ac:dyDescent="0.3">
      <c r="N230" s="479"/>
      <c r="O230" s="831"/>
      <c r="Q230" s="530" t="s">
        <v>211</v>
      </c>
      <c r="R230" s="552" t="str">
        <f t="shared" ref="R230:R240" si="723">IF(R214="","","100%")</f>
        <v/>
      </c>
      <c r="S230" s="545" t="str">
        <f t="shared" ref="S230" si="724">IF(R214="","",
  IF(S214="","",
  IF(S214&gt;R214,"+"&amp;ROUND((S214/R214-1)*100,0)&amp;"%",
  IF(S214&lt;R214,ROUND((S214/R214-1)*100,0)&amp;"%",
  ""))))</f>
        <v/>
      </c>
      <c r="T230" s="545" t="str">
        <f t="shared" si="715"/>
        <v/>
      </c>
      <c r="U230" s="545" t="str">
        <f t="shared" si="709"/>
        <v/>
      </c>
      <c r="V230" s="545" t="str">
        <f t="shared" si="709"/>
        <v/>
      </c>
      <c r="W230" s="546" t="str">
        <f t="shared" si="709"/>
        <v/>
      </c>
      <c r="X230" s="552" t="str">
        <f t="shared" ref="X230:X240" si="725">IF(X214="","","100%")</f>
        <v/>
      </c>
      <c r="Y230" s="545" t="str">
        <f t="shared" si="716"/>
        <v/>
      </c>
      <c r="Z230" s="545" t="str">
        <f t="shared" si="716"/>
        <v/>
      </c>
      <c r="AA230" s="545" t="str">
        <f t="shared" si="710"/>
        <v/>
      </c>
      <c r="AB230" s="545" t="str">
        <f t="shared" si="710"/>
        <v/>
      </c>
      <c r="AC230" s="546" t="str">
        <f t="shared" si="710"/>
        <v/>
      </c>
      <c r="AD230" s="519"/>
      <c r="AG230" s="654"/>
      <c r="AH230" s="638" t="s">
        <v>211</v>
      </c>
      <c r="AI230" s="657"/>
      <c r="AJ230" s="552" t="str">
        <f t="shared" ref="AJ230:AJ240" si="726">IF(AJ214="","","100%")</f>
        <v/>
      </c>
      <c r="AK230" s="545" t="str">
        <f t="shared" si="717"/>
        <v/>
      </c>
      <c r="AL230" s="545" t="str">
        <f t="shared" si="711"/>
        <v/>
      </c>
      <c r="AM230" s="545" t="str">
        <f t="shared" si="711"/>
        <v/>
      </c>
      <c r="AN230" s="545" t="str">
        <f t="shared" si="711"/>
        <v/>
      </c>
      <c r="AO230" s="546" t="str">
        <f t="shared" si="718"/>
        <v/>
      </c>
      <c r="AP230" s="519"/>
      <c r="AS230" s="654"/>
      <c r="AT230" s="638" t="s">
        <v>211</v>
      </c>
      <c r="AU230" s="657"/>
      <c r="AV230" s="552" t="str">
        <f t="shared" ref="AV230:AV240" si="727">IF(AV214="","","100%")</f>
        <v/>
      </c>
      <c r="AW230" s="545" t="str">
        <f t="shared" si="719"/>
        <v/>
      </c>
      <c r="AX230" s="545" t="str">
        <f t="shared" si="712"/>
        <v/>
      </c>
      <c r="AY230" s="545" t="str">
        <f t="shared" si="712"/>
        <v/>
      </c>
      <c r="AZ230" s="545" t="str">
        <f t="shared" si="712"/>
        <v/>
      </c>
      <c r="BA230" s="546" t="str">
        <f t="shared" si="720"/>
        <v/>
      </c>
      <c r="BB230" s="519"/>
      <c r="BC230" s="4"/>
      <c r="BD230" s="4"/>
      <c r="BE230" s="654"/>
      <c r="BF230" s="638" t="s">
        <v>211</v>
      </c>
      <c r="BG230" s="657"/>
      <c r="BH230" s="552" t="str">
        <f t="shared" ref="BH230:BH240" si="728">IF(BH214="","","100%")</f>
        <v/>
      </c>
      <c r="BI230" s="545" t="str">
        <f t="shared" si="721"/>
        <v/>
      </c>
      <c r="BJ230" s="545" t="str">
        <f t="shared" si="713"/>
        <v/>
      </c>
      <c r="BK230" s="545" t="str">
        <f t="shared" si="713"/>
        <v/>
      </c>
      <c r="BL230" s="545" t="str">
        <f t="shared" si="713"/>
        <v/>
      </c>
      <c r="BM230" s="546" t="str">
        <f t="shared" si="722"/>
        <v/>
      </c>
      <c r="BN230" s="1"/>
      <c r="BO230" s="1"/>
      <c r="BP230" s="1"/>
      <c r="BQ230" s="1"/>
      <c r="BR230" s="1"/>
      <c r="BS230" s="1"/>
      <c r="BT230" s="1"/>
    </row>
    <row r="231" spans="1:73" x14ac:dyDescent="0.3">
      <c r="N231" s="479"/>
      <c r="O231" s="831"/>
      <c r="Q231" s="532" t="s">
        <v>212</v>
      </c>
      <c r="R231" s="552" t="str">
        <f t="shared" si="723"/>
        <v>100%</v>
      </c>
      <c r="S231" s="545" t="str">
        <f t="shared" ref="S231" si="729">IF(R215="","",
  IF(S215="","",
  IF(S215&gt;R215,"+"&amp;ROUND((S215/R215-1)*100,0)&amp;"%",
  IF(S215&lt;R215,ROUND((S215/R215-1)*100,0)&amp;"%",
  ""))))</f>
        <v>+72%</v>
      </c>
      <c r="T231" s="545" t="str">
        <f t="shared" si="715"/>
        <v>-23%</v>
      </c>
      <c r="U231" s="545" t="str">
        <f t="shared" si="709"/>
        <v/>
      </c>
      <c r="V231" s="545" t="str">
        <f t="shared" si="709"/>
        <v/>
      </c>
      <c r="W231" s="546" t="str">
        <f t="shared" si="709"/>
        <v/>
      </c>
      <c r="X231" s="552" t="str">
        <f t="shared" si="725"/>
        <v>100%</v>
      </c>
      <c r="Y231" s="545" t="str">
        <f t="shared" si="716"/>
        <v>+74%</v>
      </c>
      <c r="Z231" s="545" t="str">
        <f t="shared" si="716"/>
        <v>-56%</v>
      </c>
      <c r="AA231" s="545" t="str">
        <f t="shared" si="710"/>
        <v/>
      </c>
      <c r="AB231" s="545" t="str">
        <f t="shared" si="710"/>
        <v/>
      </c>
      <c r="AC231" s="546" t="str">
        <f t="shared" si="710"/>
        <v/>
      </c>
      <c r="AD231" s="519"/>
      <c r="AG231" s="655"/>
      <c r="AH231" s="639" t="s">
        <v>212</v>
      </c>
      <c r="AI231" s="658"/>
      <c r="AJ231" s="552" t="str">
        <f t="shared" si="726"/>
        <v>100%</v>
      </c>
      <c r="AK231" s="545" t="str">
        <f t="shared" si="717"/>
        <v>+76%</v>
      </c>
      <c r="AL231" s="545" t="str">
        <f t="shared" si="711"/>
        <v>-4%</v>
      </c>
      <c r="AM231" s="545" t="str">
        <f t="shared" si="711"/>
        <v/>
      </c>
      <c r="AN231" s="545" t="str">
        <f t="shared" si="711"/>
        <v/>
      </c>
      <c r="AO231" s="546" t="str">
        <f t="shared" si="718"/>
        <v/>
      </c>
      <c r="AP231" s="519"/>
      <c r="AS231" s="655"/>
      <c r="AT231" s="639" t="s">
        <v>212</v>
      </c>
      <c r="AU231" s="658"/>
      <c r="AV231" s="552" t="str">
        <f t="shared" si="727"/>
        <v>100%</v>
      </c>
      <c r="AW231" s="545" t="str">
        <f t="shared" si="719"/>
        <v>+64%</v>
      </c>
      <c r="AX231" s="545" t="str">
        <f t="shared" si="712"/>
        <v>-34%</v>
      </c>
      <c r="AY231" s="545" t="str">
        <f t="shared" si="712"/>
        <v/>
      </c>
      <c r="AZ231" s="545" t="str">
        <f t="shared" si="712"/>
        <v/>
      </c>
      <c r="BA231" s="546" t="str">
        <f t="shared" si="720"/>
        <v/>
      </c>
      <c r="BB231" s="519"/>
      <c r="BC231" s="4"/>
      <c r="BD231" s="4"/>
      <c r="BE231" s="655"/>
      <c r="BF231" s="639" t="s">
        <v>212</v>
      </c>
      <c r="BG231" s="658"/>
      <c r="BH231" s="552" t="str">
        <f t="shared" si="728"/>
        <v/>
      </c>
      <c r="BI231" s="545" t="str">
        <f t="shared" si="721"/>
        <v/>
      </c>
      <c r="BJ231" s="545" t="str">
        <f t="shared" si="713"/>
        <v/>
      </c>
      <c r="BK231" s="545" t="str">
        <f t="shared" si="713"/>
        <v/>
      </c>
      <c r="BL231" s="545" t="str">
        <f t="shared" si="713"/>
        <v/>
      </c>
      <c r="BM231" s="546" t="str">
        <f t="shared" si="722"/>
        <v/>
      </c>
      <c r="BN231" s="1"/>
      <c r="BO231" s="1"/>
      <c r="BP231" s="1"/>
      <c r="BQ231" s="1"/>
      <c r="BR231" s="1"/>
      <c r="BS231" s="1"/>
      <c r="BT231" s="1"/>
    </row>
    <row r="232" spans="1:73" x14ac:dyDescent="0.3">
      <c r="N232" s="479"/>
      <c r="O232" s="831"/>
      <c r="Q232" s="530" t="s">
        <v>0</v>
      </c>
      <c r="R232" s="552" t="str">
        <f t="shared" si="723"/>
        <v>100%</v>
      </c>
      <c r="S232" s="545" t="str">
        <f t="shared" ref="S232" si="730">IF(R216="","",
  IF(S216="","",
  IF(S216&gt;R216,"+"&amp;ROUND((S216/R216-1)*100,0)&amp;"%",
  IF(S216&lt;R216,ROUND((S216/R216-1)*100,0)&amp;"%",
  ""))))</f>
        <v>+25%</v>
      </c>
      <c r="T232" s="545" t="str">
        <f t="shared" si="715"/>
        <v>-15%</v>
      </c>
      <c r="U232" s="545" t="str">
        <f t="shared" si="709"/>
        <v>+110%</v>
      </c>
      <c r="V232" s="545" t="str">
        <f t="shared" si="709"/>
        <v/>
      </c>
      <c r="W232" s="546" t="str">
        <f t="shared" si="709"/>
        <v/>
      </c>
      <c r="X232" s="552" t="str">
        <f t="shared" si="725"/>
        <v>100%</v>
      </c>
      <c r="Y232" s="545" t="str">
        <f t="shared" si="716"/>
        <v>+35%</v>
      </c>
      <c r="Z232" s="545" t="str">
        <f t="shared" si="716"/>
        <v>-14%</v>
      </c>
      <c r="AA232" s="545" t="str">
        <f t="shared" si="710"/>
        <v>+97%</v>
      </c>
      <c r="AB232" s="545" t="str">
        <f t="shared" si="710"/>
        <v/>
      </c>
      <c r="AC232" s="546" t="str">
        <f t="shared" si="710"/>
        <v/>
      </c>
      <c r="AD232" s="519"/>
      <c r="AG232" s="654"/>
      <c r="AH232" s="638" t="s">
        <v>0</v>
      </c>
      <c r="AI232" s="657"/>
      <c r="AJ232" s="552" t="str">
        <f t="shared" si="726"/>
        <v>100%</v>
      </c>
      <c r="AK232" s="545" t="str">
        <f t="shared" si="717"/>
        <v>+109%</v>
      </c>
      <c r="AL232" s="545" t="str">
        <f t="shared" si="711"/>
        <v>-11%</v>
      </c>
      <c r="AM232" s="545" t="str">
        <f t="shared" si="711"/>
        <v>+128%</v>
      </c>
      <c r="AN232" s="545" t="str">
        <f t="shared" si="711"/>
        <v/>
      </c>
      <c r="AO232" s="546" t="str">
        <f t="shared" si="718"/>
        <v/>
      </c>
      <c r="AP232" s="519"/>
      <c r="AS232" s="654"/>
      <c r="AT232" s="638" t="s">
        <v>0</v>
      </c>
      <c r="AU232" s="657"/>
      <c r="AV232" s="552" t="str">
        <f t="shared" si="727"/>
        <v>100%</v>
      </c>
      <c r="AW232" s="545" t="str">
        <f t="shared" si="719"/>
        <v>+142%</v>
      </c>
      <c r="AX232" s="545" t="str">
        <f t="shared" si="712"/>
        <v>-18%</v>
      </c>
      <c r="AY232" s="545" t="str">
        <f t="shared" si="712"/>
        <v>+208%</v>
      </c>
      <c r="AZ232" s="545" t="str">
        <f t="shared" si="712"/>
        <v/>
      </c>
      <c r="BA232" s="546" t="str">
        <f t="shared" si="720"/>
        <v/>
      </c>
      <c r="BB232" s="519"/>
      <c r="BC232" s="4"/>
      <c r="BD232" s="4"/>
      <c r="BE232" s="654"/>
      <c r="BF232" s="638" t="s">
        <v>0</v>
      </c>
      <c r="BG232" s="657"/>
      <c r="BH232" s="552" t="str">
        <f t="shared" si="728"/>
        <v>100%</v>
      </c>
      <c r="BI232" s="545" t="str">
        <f t="shared" si="721"/>
        <v>+124%</v>
      </c>
      <c r="BJ232" s="545" t="str">
        <f t="shared" si="713"/>
        <v>-5%</v>
      </c>
      <c r="BK232" s="545" t="str">
        <f t="shared" si="713"/>
        <v>+195%</v>
      </c>
      <c r="BL232" s="545" t="str">
        <f t="shared" si="713"/>
        <v/>
      </c>
      <c r="BM232" s="546" t="str">
        <f t="shared" si="722"/>
        <v/>
      </c>
      <c r="BN232" s="1"/>
      <c r="BO232" s="1"/>
      <c r="BP232" s="1"/>
      <c r="BQ232" s="1"/>
      <c r="BR232" s="1"/>
      <c r="BS232" s="1"/>
      <c r="BT232" s="1"/>
    </row>
    <row r="233" spans="1:73" x14ac:dyDescent="0.3">
      <c r="N233" s="479"/>
      <c r="O233" s="831"/>
      <c r="Q233" s="530" t="s">
        <v>4</v>
      </c>
      <c r="R233" s="552" t="str">
        <f t="shared" si="723"/>
        <v>100%</v>
      </c>
      <c r="S233" s="545" t="str">
        <f t="shared" ref="S233" si="731">IF(R217="","",
  IF(S217="","",
  IF(S217&gt;R217,"+"&amp;ROUND((S217/R217-1)*100,0)&amp;"%",
  IF(S217&lt;R217,ROUND((S217/R217-1)*100,0)&amp;"%",
  ""))))</f>
        <v>-31%</v>
      </c>
      <c r="T233" s="545" t="str">
        <f t="shared" si="715"/>
        <v>+70%</v>
      </c>
      <c r="U233" s="545" t="str">
        <f t="shared" si="709"/>
        <v/>
      </c>
      <c r="V233" s="545" t="str">
        <f t="shared" si="709"/>
        <v/>
      </c>
      <c r="W233" s="546" t="str">
        <f t="shared" si="709"/>
        <v/>
      </c>
      <c r="X233" s="552" t="str">
        <f t="shared" si="725"/>
        <v>100%</v>
      </c>
      <c r="Y233" s="545" t="str">
        <f t="shared" si="716"/>
        <v>+22%</v>
      </c>
      <c r="Z233" s="545" t="str">
        <f t="shared" si="716"/>
        <v>+78%</v>
      </c>
      <c r="AA233" s="545" t="str">
        <f t="shared" si="710"/>
        <v/>
      </c>
      <c r="AB233" s="545" t="str">
        <f t="shared" si="710"/>
        <v/>
      </c>
      <c r="AC233" s="546" t="str">
        <f t="shared" si="710"/>
        <v/>
      </c>
      <c r="AD233" s="519"/>
      <c r="AG233" s="654"/>
      <c r="AH233" s="638" t="s">
        <v>4</v>
      </c>
      <c r="AI233" s="657"/>
      <c r="AJ233" s="552" t="str">
        <f t="shared" si="726"/>
        <v>100%</v>
      </c>
      <c r="AK233" s="545" t="str">
        <f t="shared" si="717"/>
        <v>-38%</v>
      </c>
      <c r="AL233" s="545" t="str">
        <f t="shared" si="711"/>
        <v>+98%</v>
      </c>
      <c r="AM233" s="545" t="str">
        <f t="shared" si="711"/>
        <v/>
      </c>
      <c r="AN233" s="545" t="str">
        <f t="shared" si="711"/>
        <v/>
      </c>
      <c r="AO233" s="546" t="str">
        <f t="shared" si="718"/>
        <v/>
      </c>
      <c r="AP233" s="519"/>
      <c r="AS233" s="654"/>
      <c r="AT233" s="638" t="s">
        <v>4</v>
      </c>
      <c r="AU233" s="657"/>
      <c r="AV233" s="552" t="str">
        <f t="shared" si="727"/>
        <v>100%</v>
      </c>
      <c r="AW233" s="545" t="str">
        <f t="shared" si="719"/>
        <v>-32%</v>
      </c>
      <c r="AX233" s="545" t="str">
        <f t="shared" si="712"/>
        <v>+57%</v>
      </c>
      <c r="AY233" s="545" t="str">
        <f t="shared" si="712"/>
        <v/>
      </c>
      <c r="AZ233" s="545" t="str">
        <f t="shared" si="712"/>
        <v/>
      </c>
      <c r="BA233" s="546" t="str">
        <f t="shared" si="720"/>
        <v/>
      </c>
      <c r="BB233" s="519"/>
      <c r="BC233" s="4"/>
      <c r="BD233" s="4"/>
      <c r="BE233" s="654"/>
      <c r="BF233" s="638" t="s">
        <v>4</v>
      </c>
      <c r="BG233" s="657"/>
      <c r="BH233" s="552" t="str">
        <f t="shared" si="728"/>
        <v/>
      </c>
      <c r="BI233" s="545" t="str">
        <f t="shared" si="721"/>
        <v/>
      </c>
      <c r="BJ233" s="545" t="str">
        <f t="shared" si="713"/>
        <v/>
      </c>
      <c r="BK233" s="545" t="str">
        <f t="shared" si="713"/>
        <v/>
      </c>
      <c r="BL233" s="545" t="str">
        <f t="shared" si="713"/>
        <v/>
      </c>
      <c r="BM233" s="546" t="str">
        <f t="shared" si="722"/>
        <v/>
      </c>
      <c r="BN233" s="1"/>
      <c r="BO233" s="1"/>
      <c r="BP233" s="1"/>
      <c r="BQ233" s="1"/>
      <c r="BR233" s="1"/>
      <c r="BS233" s="1"/>
      <c r="BT233" s="1"/>
    </row>
    <row r="234" spans="1:73" x14ac:dyDescent="0.3">
      <c r="N234" s="479"/>
      <c r="O234" s="831"/>
      <c r="Q234" s="530" t="s">
        <v>167</v>
      </c>
      <c r="R234" s="552" t="str">
        <f t="shared" si="723"/>
        <v/>
      </c>
      <c r="S234" s="545" t="str">
        <f t="shared" ref="S234" si="732">IF(R218="","",
  IF(S218="","",
  IF(S218&gt;R218,"+"&amp;ROUND((S218/R218-1)*100,0)&amp;"%",
  IF(S218&lt;R218,ROUND((S218/R218-1)*100,0)&amp;"%",
  ""))))</f>
        <v/>
      </c>
      <c r="T234" s="545" t="str">
        <f t="shared" si="715"/>
        <v>+210%</v>
      </c>
      <c r="U234" s="545" t="str">
        <f t="shared" si="709"/>
        <v>+58%</v>
      </c>
      <c r="V234" s="545" t="str">
        <f t="shared" si="709"/>
        <v/>
      </c>
      <c r="W234" s="546" t="str">
        <f t="shared" si="709"/>
        <v/>
      </c>
      <c r="X234" s="552" t="str">
        <f t="shared" si="725"/>
        <v/>
      </c>
      <c r="Y234" s="545" t="str">
        <f t="shared" si="716"/>
        <v/>
      </c>
      <c r="Z234" s="545" t="str">
        <f t="shared" si="716"/>
        <v>+50%</v>
      </c>
      <c r="AA234" s="545" t="str">
        <f t="shared" si="710"/>
        <v>+108%</v>
      </c>
      <c r="AB234" s="545" t="str">
        <f t="shared" si="710"/>
        <v/>
      </c>
      <c r="AC234" s="546" t="str">
        <f t="shared" si="710"/>
        <v/>
      </c>
      <c r="AD234" s="519"/>
      <c r="AG234" s="654"/>
      <c r="AH234" s="638" t="s">
        <v>167</v>
      </c>
      <c r="AI234" s="657"/>
      <c r="AJ234" s="552" t="str">
        <f t="shared" si="726"/>
        <v/>
      </c>
      <c r="AK234" s="545" t="str">
        <f t="shared" si="717"/>
        <v/>
      </c>
      <c r="AL234" s="545" t="str">
        <f t="shared" si="711"/>
        <v>+375%</v>
      </c>
      <c r="AM234" s="545" t="str">
        <f t="shared" si="711"/>
        <v>+68%</v>
      </c>
      <c r="AN234" s="545" t="str">
        <f t="shared" si="711"/>
        <v/>
      </c>
      <c r="AO234" s="546" t="str">
        <f t="shared" si="718"/>
        <v/>
      </c>
      <c r="AP234" s="519"/>
      <c r="AS234" s="654"/>
      <c r="AT234" s="638" t="s">
        <v>167</v>
      </c>
      <c r="AU234" s="657"/>
      <c r="AV234" s="552" t="str">
        <f t="shared" si="727"/>
        <v/>
      </c>
      <c r="AW234" s="545" t="str">
        <f t="shared" si="719"/>
        <v/>
      </c>
      <c r="AX234" s="545" t="str">
        <f t="shared" si="712"/>
        <v>+250%</v>
      </c>
      <c r="AY234" s="545" t="str">
        <f t="shared" si="712"/>
        <v>+57%</v>
      </c>
      <c r="AZ234" s="545" t="str">
        <f t="shared" si="712"/>
        <v/>
      </c>
      <c r="BA234" s="546" t="str">
        <f t="shared" si="720"/>
        <v/>
      </c>
      <c r="BB234" s="519"/>
      <c r="BC234" s="4"/>
      <c r="BD234" s="4"/>
      <c r="BE234" s="654"/>
      <c r="BF234" s="638" t="s">
        <v>167</v>
      </c>
      <c r="BG234" s="657"/>
      <c r="BH234" s="552" t="str">
        <f t="shared" si="728"/>
        <v/>
      </c>
      <c r="BI234" s="545" t="str">
        <f t="shared" si="721"/>
        <v/>
      </c>
      <c r="BJ234" s="545" t="str">
        <f t="shared" si="713"/>
        <v/>
      </c>
      <c r="BK234" s="545" t="str">
        <f t="shared" si="713"/>
        <v>+60%</v>
      </c>
      <c r="BL234" s="545" t="str">
        <f t="shared" si="713"/>
        <v/>
      </c>
      <c r="BM234" s="546" t="str">
        <f t="shared" si="722"/>
        <v/>
      </c>
      <c r="BN234" s="1"/>
      <c r="BO234" s="1"/>
      <c r="BP234" s="1"/>
      <c r="BQ234" s="1"/>
      <c r="BR234" s="1"/>
      <c r="BS234" s="1"/>
      <c r="BT234" s="1"/>
    </row>
    <row r="235" spans="1:73" x14ac:dyDescent="0.3">
      <c r="N235" s="479"/>
      <c r="O235" s="831"/>
      <c r="Q235" s="530" t="s">
        <v>1</v>
      </c>
      <c r="R235" s="552" t="str">
        <f t="shared" si="723"/>
        <v>100%</v>
      </c>
      <c r="S235" s="545" t="str">
        <f t="shared" ref="S235" si="733">IF(R219="","",
  IF(S219="","",
  IF(S219&gt;R219,"+"&amp;ROUND((S219/R219-1)*100,0)&amp;"%",
  IF(S219&lt;R219,ROUND((S219/R219-1)*100,0)&amp;"%",
  ""))))</f>
        <v>+53%</v>
      </c>
      <c r="T235" s="545" t="str">
        <f t="shared" si="715"/>
        <v>-33%</v>
      </c>
      <c r="U235" s="545" t="str">
        <f t="shared" si="709"/>
        <v/>
      </c>
      <c r="V235" s="545" t="str">
        <f t="shared" si="709"/>
        <v/>
      </c>
      <c r="W235" s="546" t="str">
        <f t="shared" si="709"/>
        <v/>
      </c>
      <c r="X235" s="552" t="str">
        <f t="shared" si="725"/>
        <v>100%</v>
      </c>
      <c r="Y235" s="545" t="str">
        <f t="shared" si="716"/>
        <v>+12%</v>
      </c>
      <c r="Z235" s="545" t="str">
        <f t="shared" si="716"/>
        <v>-9%</v>
      </c>
      <c r="AA235" s="545" t="str">
        <f t="shared" si="710"/>
        <v/>
      </c>
      <c r="AB235" s="545" t="str">
        <f t="shared" si="710"/>
        <v/>
      </c>
      <c r="AC235" s="546" t="str">
        <f t="shared" si="710"/>
        <v/>
      </c>
      <c r="AD235" s="519"/>
      <c r="AG235" s="654"/>
      <c r="AH235" s="638" t="s">
        <v>1</v>
      </c>
      <c r="AI235" s="657"/>
      <c r="AJ235" s="552" t="str">
        <f t="shared" si="726"/>
        <v>100%</v>
      </c>
      <c r="AK235" s="545" t="str">
        <f t="shared" si="717"/>
        <v>+67%</v>
      </c>
      <c r="AL235" s="545" t="str">
        <f t="shared" si="711"/>
        <v>-26%</v>
      </c>
      <c r="AM235" s="545" t="str">
        <f t="shared" si="711"/>
        <v/>
      </c>
      <c r="AN235" s="545" t="str">
        <f t="shared" si="711"/>
        <v/>
      </c>
      <c r="AO235" s="546" t="str">
        <f t="shared" si="718"/>
        <v/>
      </c>
      <c r="AP235" s="519"/>
      <c r="AS235" s="654"/>
      <c r="AT235" s="638" t="s">
        <v>1</v>
      </c>
      <c r="AU235" s="657"/>
      <c r="AV235" s="552" t="str">
        <f t="shared" si="727"/>
        <v>100%</v>
      </c>
      <c r="AW235" s="545" t="str">
        <f t="shared" si="719"/>
        <v>+57%</v>
      </c>
      <c r="AX235" s="545" t="str">
        <f t="shared" si="712"/>
        <v>-31%</v>
      </c>
      <c r="AY235" s="545" t="str">
        <f t="shared" si="712"/>
        <v/>
      </c>
      <c r="AZ235" s="545" t="str">
        <f t="shared" si="712"/>
        <v/>
      </c>
      <c r="BA235" s="546" t="str">
        <f t="shared" si="720"/>
        <v/>
      </c>
      <c r="BB235" s="519"/>
      <c r="BC235" s="4"/>
      <c r="BD235" s="4"/>
      <c r="BE235" s="654"/>
      <c r="BF235" s="638" t="s">
        <v>1</v>
      </c>
      <c r="BG235" s="657"/>
      <c r="BH235" s="552" t="str">
        <f t="shared" si="728"/>
        <v>100%</v>
      </c>
      <c r="BI235" s="545" t="str">
        <f t="shared" si="721"/>
        <v>+50%</v>
      </c>
      <c r="BJ235" s="545" t="str">
        <f t="shared" si="713"/>
        <v>-22%</v>
      </c>
      <c r="BK235" s="545" t="str">
        <f t="shared" si="713"/>
        <v/>
      </c>
      <c r="BL235" s="545" t="str">
        <f t="shared" si="713"/>
        <v/>
      </c>
      <c r="BM235" s="546" t="str">
        <f t="shared" si="722"/>
        <v/>
      </c>
      <c r="BN235" s="1"/>
      <c r="BO235" s="1"/>
      <c r="BP235" s="1"/>
      <c r="BQ235" s="1"/>
      <c r="BR235" s="1"/>
      <c r="BS235" s="1"/>
      <c r="BT235" s="1"/>
    </row>
    <row r="236" spans="1:73" x14ac:dyDescent="0.3">
      <c r="N236" s="479"/>
      <c r="O236" s="831"/>
      <c r="Q236" s="530" t="s">
        <v>45</v>
      </c>
      <c r="R236" s="552" t="str">
        <f t="shared" si="723"/>
        <v>100%</v>
      </c>
      <c r="S236" s="545" t="str">
        <f t="shared" ref="S236" si="734">IF(R220="","",
  IF(S220="","",
  IF(S220&gt;R220,"+"&amp;ROUND((S220/R220-1)*100,0)&amp;"%",
  IF(S220&lt;R220,ROUND((S220/R220-1)*100,0)&amp;"%",
  ""))))</f>
        <v>+10%</v>
      </c>
      <c r="T236" s="545" t="str">
        <f t="shared" si="715"/>
        <v>+41%</v>
      </c>
      <c r="U236" s="545" t="str">
        <f t="shared" si="709"/>
        <v/>
      </c>
      <c r="V236" s="545" t="str">
        <f t="shared" si="709"/>
        <v/>
      </c>
      <c r="W236" s="546" t="str">
        <f t="shared" si="709"/>
        <v/>
      </c>
      <c r="X236" s="552" t="str">
        <f t="shared" si="725"/>
        <v>100%</v>
      </c>
      <c r="Y236" s="545" t="str">
        <f t="shared" si="716"/>
        <v>+10%</v>
      </c>
      <c r="Z236" s="545" t="str">
        <f t="shared" si="716"/>
        <v>+6%</v>
      </c>
      <c r="AA236" s="545" t="str">
        <f t="shared" si="710"/>
        <v/>
      </c>
      <c r="AB236" s="545" t="str">
        <f t="shared" si="710"/>
        <v/>
      </c>
      <c r="AC236" s="546" t="str">
        <f t="shared" si="710"/>
        <v/>
      </c>
      <c r="AD236" s="519"/>
      <c r="AG236" s="654"/>
      <c r="AH236" s="638" t="s">
        <v>45</v>
      </c>
      <c r="AI236" s="657"/>
      <c r="AJ236" s="552" t="str">
        <f t="shared" si="726"/>
        <v>100%</v>
      </c>
      <c r="AK236" s="545" t="str">
        <f t="shared" si="717"/>
        <v>+37%</v>
      </c>
      <c r="AL236" s="545" t="str">
        <f t="shared" si="711"/>
        <v>+43%</v>
      </c>
      <c r="AM236" s="545" t="str">
        <f t="shared" si="711"/>
        <v/>
      </c>
      <c r="AN236" s="545" t="str">
        <f t="shared" si="711"/>
        <v/>
      </c>
      <c r="AO236" s="546" t="str">
        <f t="shared" si="718"/>
        <v/>
      </c>
      <c r="AP236" s="519"/>
      <c r="AS236" s="654"/>
      <c r="AT236" s="638" t="s">
        <v>45</v>
      </c>
      <c r="AU236" s="657"/>
      <c r="AV236" s="552" t="str">
        <f t="shared" si="727"/>
        <v>100%</v>
      </c>
      <c r="AW236" s="545" t="str">
        <f t="shared" si="719"/>
        <v>+16%</v>
      </c>
      <c r="AX236" s="545" t="str">
        <f t="shared" si="712"/>
        <v>+21%</v>
      </c>
      <c r="AY236" s="545" t="str">
        <f t="shared" si="712"/>
        <v/>
      </c>
      <c r="AZ236" s="545" t="str">
        <f t="shared" si="712"/>
        <v/>
      </c>
      <c r="BA236" s="546" t="str">
        <f t="shared" si="720"/>
        <v/>
      </c>
      <c r="BB236" s="519"/>
      <c r="BC236" s="4"/>
      <c r="BD236" s="4"/>
      <c r="BE236" s="654"/>
      <c r="BF236" s="638" t="s">
        <v>45</v>
      </c>
      <c r="BG236" s="657"/>
      <c r="BH236" s="552" t="str">
        <f t="shared" si="728"/>
        <v>100%</v>
      </c>
      <c r="BI236" s="545" t="str">
        <f t="shared" si="721"/>
        <v>+44%</v>
      </c>
      <c r="BJ236" s="545" t="str">
        <f t="shared" si="713"/>
        <v>+18%</v>
      </c>
      <c r="BK236" s="545" t="str">
        <f t="shared" si="713"/>
        <v/>
      </c>
      <c r="BL236" s="545" t="str">
        <f t="shared" si="713"/>
        <v/>
      </c>
      <c r="BM236" s="546" t="str">
        <f t="shared" si="722"/>
        <v/>
      </c>
      <c r="BN236" s="1"/>
      <c r="BO236" s="1"/>
      <c r="BP236" s="1"/>
      <c r="BQ236" s="1"/>
      <c r="BR236" s="1"/>
      <c r="BS236" s="1"/>
      <c r="BT236" s="1"/>
    </row>
    <row r="237" spans="1:73" x14ac:dyDescent="0.3">
      <c r="N237" s="479"/>
      <c r="O237" s="831"/>
      <c r="Q237" s="532" t="s">
        <v>214</v>
      </c>
      <c r="R237" s="552" t="str">
        <f t="shared" si="723"/>
        <v>100%</v>
      </c>
      <c r="S237" s="545" t="str">
        <f t="shared" ref="S237" si="735">IF(R221="","",
  IF(S221="","",
  IF(S221&gt;R221,"+"&amp;ROUND((S221/R221-1)*100,0)&amp;"%",
  IF(S221&lt;R221,ROUND((S221/R221-1)*100,0)&amp;"%",
  ""))))</f>
        <v>-18%</v>
      </c>
      <c r="T237" s="545" t="str">
        <f t="shared" si="715"/>
        <v>+6%</v>
      </c>
      <c r="U237" s="545" t="str">
        <f t="shared" si="709"/>
        <v/>
      </c>
      <c r="V237" s="545" t="str">
        <f t="shared" si="709"/>
        <v/>
      </c>
      <c r="W237" s="546" t="str">
        <f t="shared" si="709"/>
        <v/>
      </c>
      <c r="X237" s="552" t="str">
        <f t="shared" si="725"/>
        <v>100%</v>
      </c>
      <c r="Y237" s="545" t="str">
        <f t="shared" si="716"/>
        <v>-17%</v>
      </c>
      <c r="Z237" s="545" t="str">
        <f t="shared" si="716"/>
        <v>+13%</v>
      </c>
      <c r="AA237" s="545" t="str">
        <f t="shared" si="710"/>
        <v/>
      </c>
      <c r="AB237" s="545" t="str">
        <f t="shared" si="710"/>
        <v/>
      </c>
      <c r="AC237" s="546" t="str">
        <f t="shared" si="710"/>
        <v/>
      </c>
      <c r="AD237" s="519"/>
      <c r="AG237" s="655"/>
      <c r="AH237" s="639" t="s">
        <v>214</v>
      </c>
      <c r="AI237" s="658"/>
      <c r="AJ237" s="552" t="str">
        <f t="shared" si="726"/>
        <v>100%</v>
      </c>
      <c r="AK237" s="545" t="str">
        <f t="shared" si="717"/>
        <v>-7%</v>
      </c>
      <c r="AL237" s="545" t="str">
        <f t="shared" si="711"/>
        <v>+14%</v>
      </c>
      <c r="AM237" s="545" t="str">
        <f t="shared" si="711"/>
        <v/>
      </c>
      <c r="AN237" s="545" t="str">
        <f t="shared" si="711"/>
        <v/>
      </c>
      <c r="AO237" s="546" t="str">
        <f t="shared" si="718"/>
        <v/>
      </c>
      <c r="AP237" s="519"/>
      <c r="AS237" s="655"/>
      <c r="AT237" s="639" t="s">
        <v>214</v>
      </c>
      <c r="AU237" s="658"/>
      <c r="AV237" s="552" t="str">
        <f t="shared" si="727"/>
        <v>100%</v>
      </c>
      <c r="AW237" s="545" t="str">
        <f t="shared" si="719"/>
        <v>-33%</v>
      </c>
      <c r="AX237" s="545" t="str">
        <f t="shared" si="712"/>
        <v>+16%</v>
      </c>
      <c r="AY237" s="545" t="str">
        <f t="shared" si="712"/>
        <v/>
      </c>
      <c r="AZ237" s="545" t="str">
        <f t="shared" si="712"/>
        <v/>
      </c>
      <c r="BA237" s="546" t="str">
        <f t="shared" si="720"/>
        <v/>
      </c>
      <c r="BB237" s="519"/>
      <c r="BC237" s="4"/>
      <c r="BD237" s="4"/>
      <c r="BE237" s="655"/>
      <c r="BF237" s="639" t="s">
        <v>214</v>
      </c>
      <c r="BG237" s="658"/>
      <c r="BH237" s="552" t="str">
        <f t="shared" si="728"/>
        <v/>
      </c>
      <c r="BI237" s="545" t="str">
        <f t="shared" si="721"/>
        <v/>
      </c>
      <c r="BJ237" s="545" t="str">
        <f t="shared" si="713"/>
        <v>+22%</v>
      </c>
      <c r="BK237" s="545" t="str">
        <f t="shared" si="713"/>
        <v/>
      </c>
      <c r="BL237" s="545" t="str">
        <f t="shared" si="713"/>
        <v/>
      </c>
      <c r="BM237" s="546" t="str">
        <f t="shared" si="722"/>
        <v/>
      </c>
      <c r="BN237" s="1"/>
      <c r="BO237" s="1"/>
      <c r="BP237" s="1"/>
      <c r="BQ237" s="1"/>
      <c r="BR237" s="1"/>
      <c r="BS237" s="1"/>
      <c r="BT237" s="1"/>
    </row>
    <row r="238" spans="1:73" x14ac:dyDescent="0.3">
      <c r="N238" s="479"/>
      <c r="O238" s="831"/>
      <c r="Q238" s="532" t="s">
        <v>213</v>
      </c>
      <c r="R238" s="552" t="str">
        <f t="shared" si="723"/>
        <v>100%</v>
      </c>
      <c r="S238" s="545" t="str">
        <f t="shared" ref="S238" si="736">IF(R222="","",
  IF(S222="","",
  IF(S222&gt;R222,"+"&amp;ROUND((S222/R222-1)*100,0)&amp;"%",
  IF(S222&lt;R222,ROUND((S222/R222-1)*100,0)&amp;"%",
  ""))))</f>
        <v>+32%</v>
      </c>
      <c r="T238" s="545" t="str">
        <f t="shared" si="715"/>
        <v>-16%</v>
      </c>
      <c r="U238" s="545" t="str">
        <f t="shared" si="709"/>
        <v/>
      </c>
      <c r="V238" s="545" t="str">
        <f t="shared" si="709"/>
        <v/>
      </c>
      <c r="W238" s="546" t="str">
        <f t="shared" si="709"/>
        <v/>
      </c>
      <c r="X238" s="552" t="str">
        <f t="shared" si="725"/>
        <v>100%</v>
      </c>
      <c r="Y238" s="545" t="str">
        <f t="shared" si="716"/>
        <v>+133%</v>
      </c>
      <c r="Z238" s="545" t="str">
        <f t="shared" si="716"/>
        <v>-25%</v>
      </c>
      <c r="AA238" s="545" t="str">
        <f t="shared" si="710"/>
        <v/>
      </c>
      <c r="AB238" s="545" t="str">
        <f t="shared" si="710"/>
        <v/>
      </c>
      <c r="AC238" s="546" t="str">
        <f t="shared" si="710"/>
        <v/>
      </c>
      <c r="AD238" s="519"/>
      <c r="AG238" s="655"/>
      <c r="AH238" s="639" t="s">
        <v>213</v>
      </c>
      <c r="AI238" s="658"/>
      <c r="AJ238" s="552" t="str">
        <f t="shared" si="726"/>
        <v>100%</v>
      </c>
      <c r="AK238" s="545" t="str">
        <f t="shared" si="717"/>
        <v>+26%</v>
      </c>
      <c r="AL238" s="545" t="str">
        <f t="shared" si="711"/>
        <v>-17%</v>
      </c>
      <c r="AM238" s="545" t="str">
        <f t="shared" si="711"/>
        <v/>
      </c>
      <c r="AN238" s="545" t="str">
        <f t="shared" si="711"/>
        <v/>
      </c>
      <c r="AO238" s="546" t="str">
        <f t="shared" si="718"/>
        <v/>
      </c>
      <c r="AP238" s="519"/>
      <c r="AS238" s="655"/>
      <c r="AT238" s="639" t="s">
        <v>213</v>
      </c>
      <c r="AU238" s="658"/>
      <c r="AV238" s="552" t="str">
        <f t="shared" si="727"/>
        <v>100%</v>
      </c>
      <c r="AW238" s="545" t="str">
        <f t="shared" si="719"/>
        <v>+14%</v>
      </c>
      <c r="AX238" s="545" t="str">
        <f t="shared" si="712"/>
        <v>-13%</v>
      </c>
      <c r="AY238" s="545" t="str">
        <f t="shared" si="712"/>
        <v/>
      </c>
      <c r="AZ238" s="545" t="str">
        <f t="shared" si="712"/>
        <v/>
      </c>
      <c r="BA238" s="546" t="str">
        <f t="shared" si="720"/>
        <v/>
      </c>
      <c r="BB238" s="519"/>
      <c r="BC238" s="4"/>
      <c r="BD238" s="4"/>
      <c r="BE238" s="655"/>
      <c r="BF238" s="639" t="s">
        <v>213</v>
      </c>
      <c r="BG238" s="658"/>
      <c r="BH238" s="552" t="str">
        <f t="shared" si="728"/>
        <v/>
      </c>
      <c r="BI238" s="545" t="str">
        <f t="shared" si="721"/>
        <v/>
      </c>
      <c r="BJ238" s="545" t="str">
        <f t="shared" si="713"/>
        <v>-46%</v>
      </c>
      <c r="BK238" s="545" t="str">
        <f t="shared" si="713"/>
        <v/>
      </c>
      <c r="BL238" s="545" t="str">
        <f t="shared" si="713"/>
        <v/>
      </c>
      <c r="BM238" s="546" t="str">
        <f t="shared" si="722"/>
        <v/>
      </c>
      <c r="BN238" s="1"/>
      <c r="BO238" s="1"/>
      <c r="BP238" s="1"/>
      <c r="BQ238" s="1"/>
      <c r="BR238" s="1"/>
      <c r="BS238" s="1"/>
      <c r="BT238" s="1"/>
    </row>
    <row r="239" spans="1:73" ht="15" thickBot="1" x14ac:dyDescent="0.35">
      <c r="N239" s="479"/>
      <c r="O239" s="831"/>
      <c r="Q239" s="533" t="s">
        <v>3</v>
      </c>
      <c r="R239" s="553" t="str">
        <f t="shared" si="723"/>
        <v>100%</v>
      </c>
      <c r="S239" s="547" t="str">
        <f t="shared" ref="S239" si="737">IF(R223="","",
  IF(S223="","",
  IF(S223&gt;R223,"+"&amp;ROUND((S223/R223-1)*100,0)&amp;"%",
  IF(S223&lt;R223,ROUND((S223/R223-1)*100,0)&amp;"%",
  ""))))</f>
        <v>+42%</v>
      </c>
      <c r="T239" s="547" t="str">
        <f t="shared" si="715"/>
        <v>+7%</v>
      </c>
      <c r="U239" s="547" t="str">
        <f t="shared" si="709"/>
        <v/>
      </c>
      <c r="V239" s="547" t="str">
        <f t="shared" si="709"/>
        <v/>
      </c>
      <c r="W239" s="548" t="str">
        <f t="shared" si="709"/>
        <v/>
      </c>
      <c r="X239" s="553" t="str">
        <f t="shared" si="725"/>
        <v>100%</v>
      </c>
      <c r="Y239" s="547" t="str">
        <f t="shared" si="716"/>
        <v>+42%</v>
      </c>
      <c r="Z239" s="547" t="str">
        <f t="shared" si="716"/>
        <v>+7%</v>
      </c>
      <c r="AA239" s="547" t="str">
        <f t="shared" si="710"/>
        <v/>
      </c>
      <c r="AB239" s="547" t="str">
        <f t="shared" si="710"/>
        <v/>
      </c>
      <c r="AC239" s="548" t="str">
        <f t="shared" si="710"/>
        <v/>
      </c>
      <c r="AD239" s="519"/>
      <c r="AG239" s="654"/>
      <c r="AH239" s="640" t="s">
        <v>3</v>
      </c>
      <c r="AI239" s="659"/>
      <c r="AJ239" s="553" t="str">
        <f t="shared" si="726"/>
        <v>100%</v>
      </c>
      <c r="AK239" s="547" t="str">
        <f t="shared" si="717"/>
        <v>+331%</v>
      </c>
      <c r="AL239" s="547" t="str">
        <f t="shared" si="711"/>
        <v>+20%</v>
      </c>
      <c r="AM239" s="547" t="str">
        <f t="shared" si="711"/>
        <v/>
      </c>
      <c r="AN239" s="547" t="str">
        <f t="shared" si="711"/>
        <v/>
      </c>
      <c r="AO239" s="548" t="str">
        <f t="shared" si="718"/>
        <v/>
      </c>
      <c r="AP239" s="519"/>
      <c r="AS239" s="654"/>
      <c r="AT239" s="640" t="s">
        <v>3</v>
      </c>
      <c r="AU239" s="659"/>
      <c r="AV239" s="553" t="str">
        <f t="shared" si="727"/>
        <v>100%</v>
      </c>
      <c r="AW239" s="547" t="str">
        <f t="shared" si="719"/>
        <v>+45%</v>
      </c>
      <c r="AX239" s="547" t="str">
        <f t="shared" si="712"/>
        <v>+3%</v>
      </c>
      <c r="AY239" s="547" t="str">
        <f t="shared" si="712"/>
        <v/>
      </c>
      <c r="AZ239" s="547" t="str">
        <f t="shared" si="712"/>
        <v/>
      </c>
      <c r="BA239" s="548" t="str">
        <f t="shared" si="720"/>
        <v/>
      </c>
      <c r="BB239" s="519"/>
      <c r="BC239" s="4"/>
      <c r="BD239" s="4"/>
      <c r="BE239" s="654"/>
      <c r="BF239" s="640" t="s">
        <v>3</v>
      </c>
      <c r="BG239" s="659"/>
      <c r="BH239" s="553" t="str">
        <f t="shared" si="728"/>
        <v>100%</v>
      </c>
      <c r="BI239" s="547" t="str">
        <f t="shared" si="721"/>
        <v>+5715%</v>
      </c>
      <c r="BJ239" s="547" t="str">
        <f t="shared" si="713"/>
        <v>+3%</v>
      </c>
      <c r="BK239" s="547" t="str">
        <f t="shared" si="713"/>
        <v/>
      </c>
      <c r="BL239" s="547" t="str">
        <f t="shared" si="713"/>
        <v/>
      </c>
      <c r="BM239" s="548" t="str">
        <f t="shared" si="722"/>
        <v/>
      </c>
      <c r="BN239" s="1"/>
      <c r="BO239" s="1"/>
      <c r="BP239" s="1"/>
      <c r="BQ239" s="1"/>
      <c r="BR239" s="1"/>
      <c r="BS239" s="1"/>
      <c r="BT239" s="1"/>
    </row>
    <row r="240" spans="1:73" s="31" customFormat="1" ht="15" thickBot="1" x14ac:dyDescent="0.35">
      <c r="A240" s="20"/>
      <c r="C240" s="479"/>
      <c r="D240" s="479"/>
      <c r="E240" s="479"/>
      <c r="F240" s="479"/>
      <c r="G240" s="479"/>
      <c r="H240" s="479"/>
      <c r="I240" s="479"/>
      <c r="K240" s="479"/>
      <c r="M240" s="479"/>
      <c r="N240" s="479"/>
      <c r="O240" s="831"/>
      <c r="P240" s="479"/>
      <c r="Q240" s="537" t="s">
        <v>66</v>
      </c>
      <c r="R240" s="554" t="str">
        <f t="shared" si="723"/>
        <v>100%</v>
      </c>
      <c r="S240" s="549" t="str">
        <f t="shared" ref="S240" si="738">IF(R224="","",
  IF(S224="","",
  IF(S224&gt;R224,"+"&amp;ROUND((S224/R224-1)*100,0)&amp;"%",
  IF(S224&lt;R224,ROUND((S224/R224-1)*100,0)&amp;"%",
  ""))))</f>
        <v>-15%</v>
      </c>
      <c r="T240" s="549" t="str">
        <f t="shared" si="715"/>
        <v>+7%</v>
      </c>
      <c r="U240" s="549" t="str">
        <f t="shared" si="709"/>
        <v>-92%</v>
      </c>
      <c r="V240" s="549" t="str">
        <f t="shared" si="709"/>
        <v/>
      </c>
      <c r="W240" s="550" t="str">
        <f t="shared" si="709"/>
        <v/>
      </c>
      <c r="X240" s="554" t="str">
        <f t="shared" si="725"/>
        <v>100%</v>
      </c>
      <c r="Y240" s="549" t="str">
        <f t="shared" si="716"/>
        <v>-6%</v>
      </c>
      <c r="Z240" s="549" t="str">
        <f t="shared" si="716"/>
        <v>+6%</v>
      </c>
      <c r="AA240" s="549" t="str">
        <f t="shared" si="710"/>
        <v>-96%</v>
      </c>
      <c r="AB240" s="549" t="str">
        <f t="shared" si="710"/>
        <v/>
      </c>
      <c r="AC240" s="550" t="str">
        <f t="shared" si="710"/>
        <v/>
      </c>
      <c r="AD240" s="520"/>
      <c r="AH240" s="641" t="s">
        <v>66</v>
      </c>
      <c r="AI240" s="660"/>
      <c r="AJ240" s="554" t="str">
        <f t="shared" si="726"/>
        <v>100%</v>
      </c>
      <c r="AK240" s="549" t="str">
        <f t="shared" si="717"/>
        <v>+20%</v>
      </c>
      <c r="AL240" s="549" t="str">
        <f t="shared" si="711"/>
        <v>+71%</v>
      </c>
      <c r="AM240" s="549" t="str">
        <f t="shared" si="711"/>
        <v>-91%</v>
      </c>
      <c r="AN240" s="549" t="str">
        <f t="shared" si="711"/>
        <v/>
      </c>
      <c r="AO240" s="550" t="str">
        <f t="shared" si="718"/>
        <v/>
      </c>
      <c r="AP240" s="520"/>
      <c r="AT240" s="641" t="s">
        <v>66</v>
      </c>
      <c r="AU240" s="660"/>
      <c r="AV240" s="554" t="str">
        <f t="shared" si="727"/>
        <v>100%</v>
      </c>
      <c r="AW240" s="549" t="str">
        <f t="shared" si="719"/>
        <v>-21%</v>
      </c>
      <c r="AX240" s="549" t="str">
        <f t="shared" si="712"/>
        <v>+59%</v>
      </c>
      <c r="AY240" s="549" t="str">
        <f t="shared" si="712"/>
        <v>-93%</v>
      </c>
      <c r="AZ240" s="549" t="str">
        <f t="shared" si="712"/>
        <v/>
      </c>
      <c r="BA240" s="550" t="str">
        <f t="shared" si="720"/>
        <v/>
      </c>
      <c r="BB240" s="520"/>
      <c r="BF240" s="641" t="s">
        <v>66</v>
      </c>
      <c r="BG240" s="660"/>
      <c r="BH240" s="554" t="str">
        <f t="shared" si="728"/>
        <v>100%</v>
      </c>
      <c r="BI240" s="549" t="str">
        <f t="shared" si="721"/>
        <v>+534%</v>
      </c>
      <c r="BJ240" s="549" t="str">
        <f t="shared" si="713"/>
        <v>+48%</v>
      </c>
      <c r="BK240" s="549" t="str">
        <f t="shared" si="713"/>
        <v>-90%</v>
      </c>
      <c r="BL240" s="549" t="str">
        <f t="shared" si="713"/>
        <v/>
      </c>
      <c r="BM240" s="550" t="str">
        <f t="shared" si="722"/>
        <v/>
      </c>
      <c r="BU240" s="518"/>
    </row>
    <row r="241" spans="14:65" ht="15" customHeight="1" x14ac:dyDescent="0.3">
      <c r="N241" s="479"/>
      <c r="AG241" s="653"/>
      <c r="AH241" s="653"/>
      <c r="AI241" s="653"/>
      <c r="AS241" s="653"/>
      <c r="AT241" s="653"/>
      <c r="AU241" s="653"/>
      <c r="BC241" s="4"/>
      <c r="BD241" s="4"/>
      <c r="BE241" s="653"/>
      <c r="BF241" s="653"/>
      <c r="BG241" s="653"/>
    </row>
    <row r="242" spans="14:65" ht="15" customHeight="1" thickBot="1" x14ac:dyDescent="0.35">
      <c r="N242" s="479"/>
      <c r="AG242" s="653"/>
      <c r="AH242" s="653"/>
      <c r="AI242" s="653"/>
      <c r="AS242" s="653"/>
      <c r="AT242" s="653"/>
      <c r="AU242" s="653"/>
      <c r="BC242" s="4"/>
      <c r="BD242" s="4"/>
      <c r="BE242" s="653"/>
      <c r="BF242" s="653"/>
      <c r="BG242" s="653"/>
    </row>
    <row r="243" spans="14:65" ht="15.75" customHeight="1" x14ac:dyDescent="0.3">
      <c r="N243" s="479"/>
      <c r="O243" s="830" t="s">
        <v>223</v>
      </c>
      <c r="R243" s="555" t="s">
        <v>159</v>
      </c>
      <c r="S243" s="556"/>
      <c r="T243" s="557"/>
      <c r="U243" s="556"/>
      <c r="V243" s="556"/>
      <c r="W243" s="556"/>
      <c r="X243" s="555" t="s">
        <v>44</v>
      </c>
      <c r="Y243" s="556"/>
      <c r="Z243" s="557"/>
      <c r="AA243" s="661"/>
      <c r="AB243" s="661"/>
      <c r="AC243" s="662"/>
      <c r="AD243" s="478"/>
      <c r="AG243" s="478"/>
      <c r="AH243" s="478"/>
      <c r="AI243" s="478"/>
      <c r="AJ243" s="555" t="s">
        <v>209</v>
      </c>
      <c r="AK243" s="556"/>
      <c r="AL243" s="557"/>
      <c r="AM243" s="661"/>
      <c r="AN243" s="661"/>
      <c r="AO243" s="662"/>
      <c r="AP243" s="478"/>
      <c r="AS243" s="478"/>
      <c r="AT243" s="478"/>
      <c r="AU243" s="478"/>
      <c r="AV243" s="555" t="s">
        <v>208</v>
      </c>
      <c r="AW243" s="556"/>
      <c r="AX243" s="557"/>
      <c r="AY243" s="661"/>
      <c r="AZ243" s="661"/>
      <c r="BA243" s="662"/>
      <c r="BC243" s="4"/>
      <c r="BD243" s="4"/>
      <c r="BE243" s="478"/>
      <c r="BF243" s="478"/>
      <c r="BG243" s="478"/>
      <c r="BH243" s="555" t="s">
        <v>207</v>
      </c>
      <c r="BI243" s="556"/>
      <c r="BJ243" s="557"/>
      <c r="BK243" s="661"/>
      <c r="BL243" s="661"/>
      <c r="BM243" s="662"/>
    </row>
    <row r="244" spans="14:65" ht="15.75" customHeight="1" thickBot="1" x14ac:dyDescent="0.35">
      <c r="N244" s="479"/>
      <c r="O244" s="830"/>
      <c r="R244" s="521">
        <f>R$164</f>
        <v>2020</v>
      </c>
      <c r="S244" s="522">
        <f t="shared" ref="S244:AC244" si="739">S$164</f>
        <v>2021</v>
      </c>
      <c r="T244" s="522">
        <f t="shared" si="739"/>
        <v>2022</v>
      </c>
      <c r="U244" s="522">
        <f t="shared" si="739"/>
        <v>2023</v>
      </c>
      <c r="V244" s="522">
        <f t="shared" si="739"/>
        <v>2024</v>
      </c>
      <c r="W244" s="523">
        <f t="shared" si="739"/>
        <v>2025</v>
      </c>
      <c r="X244" s="521">
        <f t="shared" si="739"/>
        <v>2020</v>
      </c>
      <c r="Y244" s="522">
        <f t="shared" si="739"/>
        <v>2021</v>
      </c>
      <c r="Z244" s="522">
        <f t="shared" si="739"/>
        <v>2022</v>
      </c>
      <c r="AA244" s="522">
        <f t="shared" si="739"/>
        <v>2023</v>
      </c>
      <c r="AB244" s="522">
        <f t="shared" si="739"/>
        <v>2024</v>
      </c>
      <c r="AC244" s="523">
        <f t="shared" si="739"/>
        <v>2025</v>
      </c>
      <c r="AG244" s="653"/>
      <c r="AH244" s="634"/>
      <c r="AI244" s="499"/>
      <c r="AJ244" s="483">
        <f t="shared" ref="AJ244:AO244" si="740">AJ$164</f>
        <v>2020</v>
      </c>
      <c r="AK244" s="484">
        <f t="shared" si="740"/>
        <v>2021</v>
      </c>
      <c r="AL244" s="484">
        <f t="shared" si="740"/>
        <v>2022</v>
      </c>
      <c r="AM244" s="484">
        <f t="shared" si="740"/>
        <v>2023</v>
      </c>
      <c r="AN244" s="484">
        <f t="shared" si="740"/>
        <v>2024</v>
      </c>
      <c r="AO244" s="485">
        <f t="shared" si="740"/>
        <v>2025</v>
      </c>
      <c r="AS244" s="653"/>
      <c r="AT244" s="634"/>
      <c r="AU244" s="499"/>
      <c r="AV244" s="483">
        <f t="shared" ref="AV244:BA244" si="741">AV$164</f>
        <v>2020</v>
      </c>
      <c r="AW244" s="484">
        <f t="shared" si="741"/>
        <v>2021</v>
      </c>
      <c r="AX244" s="484">
        <f t="shared" si="741"/>
        <v>2022</v>
      </c>
      <c r="AY244" s="484">
        <f t="shared" si="741"/>
        <v>2023</v>
      </c>
      <c r="AZ244" s="484">
        <f t="shared" si="741"/>
        <v>2024</v>
      </c>
      <c r="BA244" s="485">
        <f t="shared" si="741"/>
        <v>2025</v>
      </c>
      <c r="BC244" s="4"/>
      <c r="BD244" s="4"/>
      <c r="BE244" s="653"/>
      <c r="BF244" s="634"/>
      <c r="BG244" s="499"/>
      <c r="BH244" s="483">
        <f t="shared" ref="BH244:BM244" si="742">BH$164</f>
        <v>2020</v>
      </c>
      <c r="BI244" s="484">
        <f t="shared" si="742"/>
        <v>2021</v>
      </c>
      <c r="BJ244" s="484">
        <f t="shared" si="742"/>
        <v>2022</v>
      </c>
      <c r="BK244" s="484">
        <f t="shared" si="742"/>
        <v>2023</v>
      </c>
      <c r="BL244" s="484">
        <f t="shared" si="742"/>
        <v>2024</v>
      </c>
      <c r="BM244" s="485">
        <f t="shared" si="742"/>
        <v>2025</v>
      </c>
    </row>
    <row r="245" spans="14:65" ht="15" customHeight="1" thickBot="1" x14ac:dyDescent="0.35">
      <c r="N245" s="479"/>
      <c r="O245" s="830"/>
      <c r="P245" s="566"/>
      <c r="Q245" s="565" t="s">
        <v>220</v>
      </c>
      <c r="R245" s="558">
        <f>R192</f>
        <v>5191</v>
      </c>
      <c r="S245" s="559">
        <f t="shared" ref="S245:T245" si="743">S192</f>
        <v>4581</v>
      </c>
      <c r="T245" s="559">
        <f t="shared" si="743"/>
        <v>7331</v>
      </c>
      <c r="U245" s="559">
        <f t="shared" ref="U245:W245" si="744">U192</f>
        <v>581</v>
      </c>
      <c r="V245" s="559">
        <f t="shared" si="744"/>
        <v>0</v>
      </c>
      <c r="W245" s="560">
        <f t="shared" si="744"/>
        <v>0</v>
      </c>
      <c r="X245" s="558">
        <f>X192</f>
        <v>3593</v>
      </c>
      <c r="Y245" s="559">
        <f t="shared" ref="Y245:Z245" si="745">Y192</f>
        <v>3526</v>
      </c>
      <c r="Z245" s="559">
        <f t="shared" si="745"/>
        <v>5620</v>
      </c>
      <c r="AA245" s="559">
        <f t="shared" ref="AA245:AC245" si="746">AA192</f>
        <v>241</v>
      </c>
      <c r="AB245" s="559">
        <f t="shared" si="746"/>
        <v>0</v>
      </c>
      <c r="AC245" s="560">
        <f t="shared" si="746"/>
        <v>0</v>
      </c>
      <c r="AG245" s="809" t="s">
        <v>66</v>
      </c>
      <c r="AH245" s="642" t="s">
        <v>220</v>
      </c>
      <c r="AI245" s="565"/>
      <c r="AJ245" s="558">
        <f>AJ192</f>
        <v>1427.02</v>
      </c>
      <c r="AK245" s="559">
        <f t="shared" ref="AK245" si="747">AK192</f>
        <v>1783</v>
      </c>
      <c r="AL245" s="559">
        <f t="shared" ref="AL245:AN245" si="748">AL192</f>
        <v>3047</v>
      </c>
      <c r="AM245" s="559">
        <f t="shared" si="748"/>
        <v>267</v>
      </c>
      <c r="AN245" s="559">
        <f t="shared" si="748"/>
        <v>0</v>
      </c>
      <c r="AO245" s="560">
        <f t="shared" ref="AO245" si="749">AO192</f>
        <v>0</v>
      </c>
      <c r="AS245" s="809" t="s">
        <v>66</v>
      </c>
      <c r="AT245" s="642" t="s">
        <v>220</v>
      </c>
      <c r="AU245" s="565"/>
      <c r="AV245" s="558">
        <f>AV192</f>
        <v>2006.3300000000002</v>
      </c>
      <c r="AW245" s="559">
        <f t="shared" ref="AW245" si="750">AW192</f>
        <v>1662</v>
      </c>
      <c r="AX245" s="559">
        <f t="shared" ref="AX245:AZ245" si="751">AX192</f>
        <v>2644</v>
      </c>
      <c r="AY245" s="559">
        <f t="shared" si="751"/>
        <v>187</v>
      </c>
      <c r="AZ245" s="559">
        <f t="shared" si="751"/>
        <v>0</v>
      </c>
      <c r="BA245" s="560">
        <f t="shared" ref="BA245" si="752">BA192</f>
        <v>0</v>
      </c>
      <c r="BC245" s="4"/>
      <c r="BD245" s="4"/>
      <c r="BE245" s="809" t="s">
        <v>66</v>
      </c>
      <c r="BF245" s="642" t="s">
        <v>220</v>
      </c>
      <c r="BG245" s="565"/>
      <c r="BH245" s="558">
        <f>BH192</f>
        <v>108.86020000000001</v>
      </c>
      <c r="BI245" s="559">
        <f t="shared" ref="BI245" si="753">BI192</f>
        <v>720</v>
      </c>
      <c r="BJ245" s="559">
        <f t="shared" ref="BJ245:BL245" si="754">BJ192</f>
        <v>1066</v>
      </c>
      <c r="BK245" s="559">
        <f t="shared" si="754"/>
        <v>105</v>
      </c>
      <c r="BL245" s="559">
        <f t="shared" si="754"/>
        <v>0</v>
      </c>
      <c r="BM245" s="560">
        <f t="shared" ref="BM245" si="755">BM192</f>
        <v>0</v>
      </c>
    </row>
    <row r="246" spans="14:65" ht="15" customHeight="1" thickBot="1" x14ac:dyDescent="0.35">
      <c r="N246" s="479"/>
      <c r="O246" s="830"/>
      <c r="P246" s="566"/>
      <c r="Q246" s="564" t="s">
        <v>221</v>
      </c>
      <c r="R246" s="561" t="str">
        <f>R208</f>
        <v>100%</v>
      </c>
      <c r="S246" s="562" t="str">
        <f t="shared" ref="S246:T246" si="756">S208</f>
        <v>-12%</v>
      </c>
      <c r="T246" s="562" t="str">
        <f t="shared" si="756"/>
        <v>+60%</v>
      </c>
      <c r="U246" s="562" t="str">
        <f t="shared" ref="U246:W246" si="757">U208</f>
        <v>-92%</v>
      </c>
      <c r="V246" s="562" t="str">
        <f t="shared" si="757"/>
        <v/>
      </c>
      <c r="W246" s="563" t="str">
        <f t="shared" si="757"/>
        <v/>
      </c>
      <c r="X246" s="561">
        <f>X208</f>
        <v>1</v>
      </c>
      <c r="Y246" s="562" t="str">
        <f t="shared" ref="Y246:Z246" si="758">Y208</f>
        <v>-2%</v>
      </c>
      <c r="Z246" s="562" t="str">
        <f t="shared" si="758"/>
        <v>+59%</v>
      </c>
      <c r="AA246" s="562" t="str">
        <f t="shared" ref="AA246:AC246" si="759">AA208</f>
        <v>-96%</v>
      </c>
      <c r="AB246" s="562" t="str">
        <f t="shared" si="759"/>
        <v/>
      </c>
      <c r="AC246" s="563" t="str">
        <f t="shared" si="759"/>
        <v/>
      </c>
      <c r="AG246" s="809"/>
      <c r="AH246" s="643" t="s">
        <v>221</v>
      </c>
      <c r="AI246" s="564"/>
      <c r="AJ246" s="561" t="str">
        <f>AJ208</f>
        <v>100%</v>
      </c>
      <c r="AK246" s="562" t="str">
        <f t="shared" ref="AK246" si="760">AK208</f>
        <v>+25%</v>
      </c>
      <c r="AL246" s="562" t="str">
        <f t="shared" ref="AL246:AN246" si="761">AL208</f>
        <v>+71%</v>
      </c>
      <c r="AM246" s="562" t="str">
        <f t="shared" si="761"/>
        <v>-91%</v>
      </c>
      <c r="AN246" s="562" t="str">
        <f t="shared" si="761"/>
        <v/>
      </c>
      <c r="AO246" s="563" t="str">
        <f t="shared" ref="AO246" si="762">AO208</f>
        <v/>
      </c>
      <c r="AS246" s="809"/>
      <c r="AT246" s="643" t="s">
        <v>221</v>
      </c>
      <c r="AU246" s="564"/>
      <c r="AV246" s="561" t="str">
        <f>AV208</f>
        <v>100%</v>
      </c>
      <c r="AW246" s="562" t="str">
        <f t="shared" ref="AW246" si="763">AW208</f>
        <v>-17%</v>
      </c>
      <c r="AX246" s="562" t="str">
        <f t="shared" ref="AX246:AZ246" si="764">AX208</f>
        <v>+59%</v>
      </c>
      <c r="AY246" s="562" t="str">
        <f t="shared" si="764"/>
        <v>-93%</v>
      </c>
      <c r="AZ246" s="562" t="str">
        <f t="shared" si="764"/>
        <v/>
      </c>
      <c r="BA246" s="563" t="str">
        <f t="shared" ref="BA246" si="765">BA208</f>
        <v/>
      </c>
      <c r="BC246" s="4"/>
      <c r="BD246" s="4"/>
      <c r="BE246" s="809"/>
      <c r="BF246" s="643" t="s">
        <v>221</v>
      </c>
      <c r="BG246" s="564"/>
      <c r="BH246" s="561" t="str">
        <f>BH208</f>
        <v>100%</v>
      </c>
      <c r="BI246" s="562" t="str">
        <f t="shared" ref="BI246" si="766">BI208</f>
        <v>+561%</v>
      </c>
      <c r="BJ246" s="562" t="str">
        <f t="shared" ref="BJ246:BL246" si="767">BJ208</f>
        <v>+48%</v>
      </c>
      <c r="BK246" s="562" t="str">
        <f t="shared" si="767"/>
        <v>-90%</v>
      </c>
      <c r="BL246" s="562" t="str">
        <f t="shared" si="767"/>
        <v/>
      </c>
      <c r="BM246" s="563" t="str">
        <f t="shared" ref="BM246" si="768">BM208</f>
        <v/>
      </c>
    </row>
    <row r="247" spans="14:65" ht="15" customHeight="1" thickBot="1" x14ac:dyDescent="0.35">
      <c r="N247" s="479"/>
      <c r="O247" s="830"/>
      <c r="P247" s="566"/>
      <c r="Q247" s="565" t="s">
        <v>220</v>
      </c>
      <c r="R247" s="558">
        <f>R224</f>
        <v>112.84782608695652</v>
      </c>
      <c r="S247" s="559">
        <f t="shared" ref="S247:T247" si="769">S224</f>
        <v>95.4375</v>
      </c>
      <c r="T247" s="559">
        <f t="shared" si="769"/>
        <v>101.81944444444444</v>
      </c>
      <c r="U247" s="559">
        <f t="shared" ref="U247:W247" si="770">U224</f>
        <v>8.0694444444444446</v>
      </c>
      <c r="V247" s="559" t="str">
        <f t="shared" si="770"/>
        <v/>
      </c>
      <c r="W247" s="560" t="str">
        <f t="shared" si="770"/>
        <v/>
      </c>
      <c r="X247" s="558">
        <f>X224</f>
        <v>78.108695652173907</v>
      </c>
      <c r="Y247" s="559">
        <f t="shared" ref="Y247:Z247" si="771">Y224</f>
        <v>73.458333333333329</v>
      </c>
      <c r="Z247" s="559">
        <f t="shared" si="771"/>
        <v>78.055555555555557</v>
      </c>
      <c r="AA247" s="559">
        <f t="shared" ref="AA247:AC247" si="772">AA224</f>
        <v>3.3472222222222223</v>
      </c>
      <c r="AB247" s="559" t="str">
        <f t="shared" si="772"/>
        <v/>
      </c>
      <c r="AC247" s="560" t="str">
        <f t="shared" si="772"/>
        <v/>
      </c>
      <c r="AG247" s="809" t="s">
        <v>222</v>
      </c>
      <c r="AH247" s="642" t="s">
        <v>220</v>
      </c>
      <c r="AI247" s="565"/>
      <c r="AJ247" s="558">
        <f>AJ224</f>
        <v>31.022173913043478</v>
      </c>
      <c r="AK247" s="559">
        <f t="shared" ref="AK247" si="773">AK224</f>
        <v>37.145833333333336</v>
      </c>
      <c r="AL247" s="559">
        <f t="shared" ref="AL247:AN247" si="774">AL224</f>
        <v>63.479166666666664</v>
      </c>
      <c r="AM247" s="559">
        <f t="shared" si="774"/>
        <v>5.5625</v>
      </c>
      <c r="AN247" s="559" t="str">
        <f t="shared" si="774"/>
        <v/>
      </c>
      <c r="AO247" s="560" t="str">
        <f t="shared" ref="AO247" si="775">AO224</f>
        <v/>
      </c>
      <c r="AS247" s="809" t="s">
        <v>222</v>
      </c>
      <c r="AT247" s="642" t="s">
        <v>220</v>
      </c>
      <c r="AU247" s="565"/>
      <c r="AV247" s="558">
        <f>AV224</f>
        <v>43.615869565217395</v>
      </c>
      <c r="AW247" s="559">
        <f t="shared" ref="AW247" si="776">AW224</f>
        <v>34.625</v>
      </c>
      <c r="AX247" s="559">
        <f t="shared" ref="AX247:AZ247" si="777">AX224</f>
        <v>55.083333333333336</v>
      </c>
      <c r="AY247" s="559">
        <f t="shared" si="777"/>
        <v>3.8958333333333335</v>
      </c>
      <c r="AZ247" s="559" t="str">
        <f t="shared" si="777"/>
        <v/>
      </c>
      <c r="BA247" s="560">
        <f t="shared" ref="BA247" si="778">BA224</f>
        <v>0</v>
      </c>
      <c r="BC247" s="4"/>
      <c r="BD247" s="4"/>
      <c r="BE247" s="809" t="s">
        <v>222</v>
      </c>
      <c r="BF247" s="642" t="s">
        <v>220</v>
      </c>
      <c r="BG247" s="565"/>
      <c r="BH247" s="558">
        <f>BH224</f>
        <v>2.3665260869565219</v>
      </c>
      <c r="BI247" s="559">
        <f t="shared" ref="BI247" si="779">BI224</f>
        <v>15</v>
      </c>
      <c r="BJ247" s="559">
        <f t="shared" ref="BJ247:BL247" si="780">BJ224</f>
        <v>22.208333333333332</v>
      </c>
      <c r="BK247" s="559">
        <f t="shared" si="780"/>
        <v>2.1875</v>
      </c>
      <c r="BL247" s="559" t="str">
        <f t="shared" si="780"/>
        <v/>
      </c>
      <c r="BM247" s="560" t="str">
        <f t="shared" ref="BM247" si="781">BM224</f>
        <v/>
      </c>
    </row>
    <row r="248" spans="14:65" ht="15" customHeight="1" thickBot="1" x14ac:dyDescent="0.35">
      <c r="N248" s="479"/>
      <c r="O248" s="830"/>
      <c r="P248" s="566"/>
      <c r="Q248" s="564" t="s">
        <v>221</v>
      </c>
      <c r="R248" s="561" t="str">
        <f>R240</f>
        <v>100%</v>
      </c>
      <c r="S248" s="562" t="str">
        <f t="shared" ref="S248:T248" si="782">S240</f>
        <v>-15%</v>
      </c>
      <c r="T248" s="562" t="str">
        <f t="shared" si="782"/>
        <v>+7%</v>
      </c>
      <c r="U248" s="562" t="str">
        <f t="shared" ref="U248:W248" si="783">U240</f>
        <v>-92%</v>
      </c>
      <c r="V248" s="562" t="str">
        <f t="shared" si="783"/>
        <v/>
      </c>
      <c r="W248" s="563" t="str">
        <f t="shared" si="783"/>
        <v/>
      </c>
      <c r="X248" s="561" t="str">
        <f>X240</f>
        <v>100%</v>
      </c>
      <c r="Y248" s="562" t="str">
        <f t="shared" ref="Y248:Z248" si="784">Y240</f>
        <v>-6%</v>
      </c>
      <c r="Z248" s="562" t="str">
        <f t="shared" si="784"/>
        <v>+6%</v>
      </c>
      <c r="AA248" s="562" t="str">
        <f t="shared" ref="AA248:AC248" si="785">AA240</f>
        <v>-96%</v>
      </c>
      <c r="AB248" s="562" t="str">
        <f t="shared" si="785"/>
        <v/>
      </c>
      <c r="AC248" s="563" t="str">
        <f t="shared" si="785"/>
        <v/>
      </c>
      <c r="AG248" s="809"/>
      <c r="AH248" s="643" t="s">
        <v>221</v>
      </c>
      <c r="AI248" s="564"/>
      <c r="AJ248" s="561" t="str">
        <f>AJ240</f>
        <v>100%</v>
      </c>
      <c r="AK248" s="562" t="str">
        <f t="shared" ref="AK248" si="786">AK240</f>
        <v>+20%</v>
      </c>
      <c r="AL248" s="562" t="str">
        <f t="shared" ref="AL248:AN248" si="787">AL240</f>
        <v>+71%</v>
      </c>
      <c r="AM248" s="562" t="str">
        <f t="shared" si="787"/>
        <v>-91%</v>
      </c>
      <c r="AN248" s="562" t="str">
        <f t="shared" si="787"/>
        <v/>
      </c>
      <c r="AO248" s="563" t="str">
        <f t="shared" ref="AO248" si="788">AO240</f>
        <v/>
      </c>
      <c r="AS248" s="809"/>
      <c r="AT248" s="643" t="s">
        <v>221</v>
      </c>
      <c r="AU248" s="564"/>
      <c r="AV248" s="561" t="str">
        <f>AV240</f>
        <v>100%</v>
      </c>
      <c r="AW248" s="562" t="str">
        <f t="shared" ref="AW248" si="789">AW240</f>
        <v>-21%</v>
      </c>
      <c r="AX248" s="562" t="str">
        <f t="shared" ref="AX248:AZ248" si="790">AX240</f>
        <v>+59%</v>
      </c>
      <c r="AY248" s="562" t="str">
        <f t="shared" si="790"/>
        <v>-93%</v>
      </c>
      <c r="AZ248" s="562" t="str">
        <f t="shared" si="790"/>
        <v/>
      </c>
      <c r="BA248" s="563" t="str">
        <f t="shared" ref="BA248" si="791">BA240</f>
        <v/>
      </c>
      <c r="BC248" s="4"/>
      <c r="BD248" s="4"/>
      <c r="BE248" s="809"/>
      <c r="BF248" s="643" t="s">
        <v>221</v>
      </c>
      <c r="BG248" s="564"/>
      <c r="BH248" s="561" t="str">
        <f>BH240</f>
        <v>100%</v>
      </c>
      <c r="BI248" s="562" t="str">
        <f t="shared" ref="BI248" si="792">BI240</f>
        <v>+534%</v>
      </c>
      <c r="BJ248" s="562" t="str">
        <f t="shared" ref="BJ248:BL248" si="793">BJ240</f>
        <v>+48%</v>
      </c>
      <c r="BK248" s="562" t="str">
        <f t="shared" si="793"/>
        <v>-90%</v>
      </c>
      <c r="BL248" s="562" t="str">
        <f t="shared" si="793"/>
        <v/>
      </c>
      <c r="BM248" s="563" t="str">
        <f t="shared" ref="BM248" si="794">BM240</f>
        <v/>
      </c>
    </row>
    <row r="249" spans="14:65" x14ac:dyDescent="0.3">
      <c r="N249" s="479"/>
      <c r="AG249" s="653"/>
      <c r="BC249" s="4"/>
      <c r="BD249" s="4"/>
      <c r="BE249" s="4"/>
      <c r="BF249" s="4"/>
      <c r="BG249" s="4"/>
    </row>
    <row r="250" spans="14:65" x14ac:dyDescent="0.3">
      <c r="N250" s="479"/>
      <c r="AG250" s="653"/>
    </row>
    <row r="251" spans="14:65" x14ac:dyDescent="0.3">
      <c r="N251" s="479"/>
      <c r="AG251" s="653"/>
    </row>
    <row r="252" spans="14:65" x14ac:dyDescent="0.3">
      <c r="N252" s="479"/>
      <c r="AG252" s="653"/>
    </row>
    <row r="253" spans="14:65" x14ac:dyDescent="0.3">
      <c r="N253" s="479"/>
    </row>
    <row r="254" spans="14:65" x14ac:dyDescent="0.3">
      <c r="N254" s="479"/>
    </row>
    <row r="255" spans="14:65" x14ac:dyDescent="0.3">
      <c r="N255" s="479"/>
    </row>
    <row r="256" spans="14:65" x14ac:dyDescent="0.3">
      <c r="N256" s="479"/>
    </row>
    <row r="257" spans="14:14" x14ac:dyDescent="0.3">
      <c r="N257" s="479"/>
    </row>
    <row r="258" spans="14:14" x14ac:dyDescent="0.3">
      <c r="N258" s="479"/>
    </row>
    <row r="259" spans="14:14" x14ac:dyDescent="0.3">
      <c r="N259" s="479"/>
    </row>
    <row r="260" spans="14:14" x14ac:dyDescent="0.3">
      <c r="N260" s="479"/>
    </row>
    <row r="261" spans="14:14" x14ac:dyDescent="0.3">
      <c r="N261" s="479"/>
    </row>
    <row r="262" spans="14:14" x14ac:dyDescent="0.3">
      <c r="N262" s="479"/>
    </row>
    <row r="263" spans="14:14" x14ac:dyDescent="0.3">
      <c r="N263" s="479"/>
    </row>
    <row r="264" spans="14:14" x14ac:dyDescent="0.3">
      <c r="N264" s="479"/>
    </row>
    <row r="265" spans="14:14" x14ac:dyDescent="0.3">
      <c r="N265" s="479"/>
    </row>
    <row r="266" spans="14:14" x14ac:dyDescent="0.3">
      <c r="N266" s="479"/>
    </row>
    <row r="267" spans="14:14" x14ac:dyDescent="0.3">
      <c r="N267" s="479"/>
    </row>
    <row r="268" spans="14:14" x14ac:dyDescent="0.3">
      <c r="N268" s="479"/>
    </row>
    <row r="269" spans="14:14" x14ac:dyDescent="0.3">
      <c r="N269" s="479"/>
    </row>
    <row r="270" spans="14:14" x14ac:dyDescent="0.3">
      <c r="N270" s="479"/>
    </row>
    <row r="271" spans="14:14" x14ac:dyDescent="0.3">
      <c r="N271" s="479"/>
    </row>
    <row r="272" spans="14:14" x14ac:dyDescent="0.3">
      <c r="N272" s="479"/>
    </row>
    <row r="273" spans="14:14" x14ac:dyDescent="0.3">
      <c r="N273" s="479"/>
    </row>
    <row r="274" spans="14:14" x14ac:dyDescent="0.3">
      <c r="N274" s="479"/>
    </row>
    <row r="275" spans="14:14" x14ac:dyDescent="0.3">
      <c r="N275" s="479"/>
    </row>
    <row r="276" spans="14:14" x14ac:dyDescent="0.3">
      <c r="N276" s="479"/>
    </row>
    <row r="277" spans="14:14" x14ac:dyDescent="0.3">
      <c r="N277" s="479"/>
    </row>
    <row r="278" spans="14:14" x14ac:dyDescent="0.3">
      <c r="N278" s="479"/>
    </row>
    <row r="279" spans="14:14" x14ac:dyDescent="0.3">
      <c r="N279" s="479"/>
    </row>
    <row r="280" spans="14:14" x14ac:dyDescent="0.3">
      <c r="N280" s="479"/>
    </row>
    <row r="281" spans="14:14" x14ac:dyDescent="0.3">
      <c r="N281" s="479"/>
    </row>
    <row r="282" spans="14:14" x14ac:dyDescent="0.3">
      <c r="N282" s="479"/>
    </row>
    <row r="283" spans="14:14" x14ac:dyDescent="0.3">
      <c r="N283" s="479"/>
    </row>
    <row r="284" spans="14:14" x14ac:dyDescent="0.3">
      <c r="N284" s="479"/>
    </row>
    <row r="285" spans="14:14" x14ac:dyDescent="0.3">
      <c r="N285" s="479"/>
    </row>
  </sheetData>
  <sheetProtection password="D0CE" sheet="1" objects="1" scenarios="1"/>
  <autoFilter ref="A1:BU169" xr:uid="{00000000-0009-0000-0000-000007000000}"/>
  <mergeCells count="119">
    <mergeCell ref="BT2:BU2"/>
    <mergeCell ref="B35:B49"/>
    <mergeCell ref="C35:C49"/>
    <mergeCell ref="B2:B4"/>
    <mergeCell ref="C2:C4"/>
    <mergeCell ref="J2:J4"/>
    <mergeCell ref="Q2:Q4"/>
    <mergeCell ref="B13:B34"/>
    <mergeCell ref="BN2:BO2"/>
    <mergeCell ref="BP2:BQ2"/>
    <mergeCell ref="BR2:BS2"/>
    <mergeCell ref="C13:C34"/>
    <mergeCell ref="D2:I3"/>
    <mergeCell ref="D13:D33"/>
    <mergeCell ref="E13:E33"/>
    <mergeCell ref="F13:F33"/>
    <mergeCell ref="G13:G33"/>
    <mergeCell ref="H13:H33"/>
    <mergeCell ref="I13:I33"/>
    <mergeCell ref="D9:D11"/>
    <mergeCell ref="E9:E11"/>
    <mergeCell ref="F9:F11"/>
    <mergeCell ref="G9:G11"/>
    <mergeCell ref="H9:H11"/>
    <mergeCell ref="B5:B8"/>
    <mergeCell ref="BB162:BH162"/>
    <mergeCell ref="B110:B125"/>
    <mergeCell ref="C110:C125"/>
    <mergeCell ref="B126:B134"/>
    <mergeCell ref="C126:C134"/>
    <mergeCell ref="C5:C8"/>
    <mergeCell ref="B9:B12"/>
    <mergeCell ref="C9:C12"/>
    <mergeCell ref="B50:B64"/>
    <mergeCell ref="C50:C64"/>
    <mergeCell ref="B66:B77"/>
    <mergeCell ref="B78:B85"/>
    <mergeCell ref="C78:C85"/>
    <mergeCell ref="D78:D84"/>
    <mergeCell ref="C66:C77"/>
    <mergeCell ref="D50:D63"/>
    <mergeCell ref="F50:F63"/>
    <mergeCell ref="E78:E84"/>
    <mergeCell ref="O243:O248"/>
    <mergeCell ref="AG245:AG246"/>
    <mergeCell ref="AG247:AG248"/>
    <mergeCell ref="AS245:AS246"/>
    <mergeCell ref="AS247:AS248"/>
    <mergeCell ref="O178:O192"/>
    <mergeCell ref="O194:O208"/>
    <mergeCell ref="O210:O224"/>
    <mergeCell ref="O226:O240"/>
    <mergeCell ref="E110:E124"/>
    <mergeCell ref="F110:F124"/>
    <mergeCell ref="G110:G124"/>
    <mergeCell ref="H110:H124"/>
    <mergeCell ref="E126:E133"/>
    <mergeCell ref="F126:F133"/>
    <mergeCell ref="G66:G76"/>
    <mergeCell ref="H66:H76"/>
    <mergeCell ref="I66:I76"/>
    <mergeCell ref="G96:G108"/>
    <mergeCell ref="I110:I124"/>
    <mergeCell ref="G126:G133"/>
    <mergeCell ref="H126:H133"/>
    <mergeCell ref="BE245:BE246"/>
    <mergeCell ref="BE247:BE248"/>
    <mergeCell ref="I9:I11"/>
    <mergeCell ref="D5:D7"/>
    <mergeCell ref="E5:E7"/>
    <mergeCell ref="F5:F7"/>
    <mergeCell ref="G5:G7"/>
    <mergeCell ref="H5:H7"/>
    <mergeCell ref="I5:I7"/>
    <mergeCell ref="G50:G63"/>
    <mergeCell ref="H50:H63"/>
    <mergeCell ref="I50:I63"/>
    <mergeCell ref="D35:D48"/>
    <mergeCell ref="E35:E48"/>
    <mergeCell ref="F35:F48"/>
    <mergeCell ref="G35:G48"/>
    <mergeCell ref="H35:H48"/>
    <mergeCell ref="I35:I48"/>
    <mergeCell ref="G78:G84"/>
    <mergeCell ref="H78:H84"/>
    <mergeCell ref="I78:I84"/>
    <mergeCell ref="D66:D76"/>
    <mergeCell ref="E66:E76"/>
    <mergeCell ref="E50:E63"/>
    <mergeCell ref="H172:H176"/>
    <mergeCell ref="B86:B95"/>
    <mergeCell ref="C86:C95"/>
    <mergeCell ref="D86:D94"/>
    <mergeCell ref="E86:E94"/>
    <mergeCell ref="F86:F94"/>
    <mergeCell ref="G86:G94"/>
    <mergeCell ref="H86:H94"/>
    <mergeCell ref="C135:C159"/>
    <mergeCell ref="B135:B159"/>
    <mergeCell ref="D110:D124"/>
    <mergeCell ref="D126:D133"/>
    <mergeCell ref="H96:H108"/>
    <mergeCell ref="B96:B109"/>
    <mergeCell ref="C96:C109"/>
    <mergeCell ref="D96:D108"/>
    <mergeCell ref="E96:E108"/>
    <mergeCell ref="F96:F108"/>
    <mergeCell ref="I86:I94"/>
    <mergeCell ref="D135:D158"/>
    <mergeCell ref="E135:E158"/>
    <mergeCell ref="F135:F158"/>
    <mergeCell ref="G135:G158"/>
    <mergeCell ref="H135:H158"/>
    <mergeCell ref="I135:I158"/>
    <mergeCell ref="F66:F76"/>
    <mergeCell ref="H164:H168"/>
    <mergeCell ref="F78:F84"/>
    <mergeCell ref="I126:I133"/>
    <mergeCell ref="I96:I108"/>
  </mergeCells>
  <conditionalFormatting sqref="J5:BU158">
    <cfRule type="expression" dxfId="24" priority="1">
      <formula>$J5="COMMUNE_Carrefour"</formula>
    </cfRule>
  </conditionalFormatting>
  <conditionalFormatting sqref="R165:W165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66:W166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67:W167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68:W168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73:W17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74:W174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75:W175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76:W176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65:AC165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66:AC166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67:AC167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68:AC168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73:AC17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74:AC17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75:AC17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76:AC17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:AI12">
    <cfRule type="cellIs" dxfId="23" priority="58" operator="equal">
      <formula>0</formula>
    </cfRule>
  </conditionalFormatting>
  <conditionalFormatting sqref="AD9:AI11">
    <cfRule type="cellIs" dxfId="22" priority="156" operator="equal">
      <formula>0</formula>
    </cfRule>
  </conditionalFormatting>
  <conditionalFormatting sqref="AD13:AI33">
    <cfRule type="cellIs" dxfId="21" priority="153" operator="equal">
      <formula>0</formula>
    </cfRule>
  </conditionalFormatting>
  <conditionalFormatting sqref="AD13:AI58">
    <cfRule type="cellIs" dxfId="20" priority="152" operator="equal">
      <formula>0</formula>
    </cfRule>
  </conditionalFormatting>
  <conditionalFormatting sqref="AD35:AI48 AD50:AI57 AD66:AI76 AD96:AI108 AD110:AI124 AD126:AI133 AD5:AI7">
    <cfRule type="cellIs" dxfId="19" priority="158" operator="equal">
      <formula>0</formula>
    </cfRule>
  </conditionalFormatting>
  <conditionalFormatting sqref="AD58:AI63">
    <cfRule type="cellIs" dxfId="18" priority="125" operator="equal">
      <formula>0</formula>
    </cfRule>
  </conditionalFormatting>
  <conditionalFormatting sqref="AD58:AI161">
    <cfRule type="cellIs" dxfId="17" priority="124" operator="equal">
      <formula>0</formula>
    </cfRule>
  </conditionalFormatting>
  <conditionalFormatting sqref="AD78:AI84">
    <cfRule type="cellIs" dxfId="16" priority="151" operator="equal">
      <formula>0</formula>
    </cfRule>
  </conditionalFormatting>
  <conditionalFormatting sqref="AD135:AI158">
    <cfRule type="cellIs" dxfId="15" priority="147" operator="equal">
      <formula>0</formula>
    </cfRule>
  </conditionalFormatting>
  <conditionalFormatting sqref="AE28:AE33">
    <cfRule type="cellIs" dxfId="14" priority="154" operator="equal">
      <formula>0</formula>
    </cfRule>
  </conditionalFormatting>
  <conditionalFormatting sqref="AJ165:AO165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66:AO166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67:AO167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68:AO168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73:AO17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74:AO17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75:AO17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176:AO17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5:AU11">
    <cfRule type="cellIs" dxfId="13" priority="140" operator="equal">
      <formula>0</formula>
    </cfRule>
  </conditionalFormatting>
  <conditionalFormatting sqref="AP5:AU12">
    <cfRule type="cellIs" dxfId="12" priority="57" operator="equal">
      <formula>0</formula>
    </cfRule>
  </conditionalFormatting>
  <conditionalFormatting sqref="AP13:AU33">
    <cfRule type="cellIs" dxfId="11" priority="137" operator="equal">
      <formula>0</formula>
    </cfRule>
  </conditionalFormatting>
  <conditionalFormatting sqref="AP13:AU58">
    <cfRule type="cellIs" dxfId="10" priority="136" operator="equal">
      <formula>0</formula>
    </cfRule>
  </conditionalFormatting>
  <conditionalFormatting sqref="AP35:AU48 AP50:AU57 AP66:AU76 AP96:AU108 AP110:AU124 AP126:AU133">
    <cfRule type="cellIs" dxfId="9" priority="142" operator="equal">
      <formula>0</formula>
    </cfRule>
  </conditionalFormatting>
  <conditionalFormatting sqref="AP58:AU63">
    <cfRule type="cellIs" dxfId="8" priority="123" operator="equal">
      <formula>0</formula>
    </cfRule>
  </conditionalFormatting>
  <conditionalFormatting sqref="AP58:AU85">
    <cfRule type="cellIs" dxfId="7" priority="122" operator="equal">
      <formula>0</formula>
    </cfRule>
  </conditionalFormatting>
  <conditionalFormatting sqref="AP78:AU84">
    <cfRule type="cellIs" dxfId="6" priority="135" operator="equal">
      <formula>0</formula>
    </cfRule>
  </conditionalFormatting>
  <conditionalFormatting sqref="AP86:AU94 AE45:AE48 AD86:AI94">
    <cfRule type="cellIs" dxfId="5" priority="159" operator="equal">
      <formula>0</formula>
    </cfRule>
  </conditionalFormatting>
  <conditionalFormatting sqref="AP86:AU141">
    <cfRule type="cellIs" dxfId="4" priority="157" operator="equal">
      <formula>0</formula>
    </cfRule>
  </conditionalFormatting>
  <conditionalFormatting sqref="AP135:AU158">
    <cfRule type="cellIs" dxfId="3" priority="133" operator="equal">
      <formula>0</formula>
    </cfRule>
  </conditionalFormatting>
  <conditionalFormatting sqref="AP142:AU161">
    <cfRule type="cellIs" dxfId="2" priority="128" operator="equal">
      <formula>0</formula>
    </cfRule>
  </conditionalFormatting>
  <conditionalFormatting sqref="AQ28:AQ33">
    <cfRule type="cellIs" dxfId="1" priority="138" operator="equal">
      <formula>0</formula>
    </cfRule>
  </conditionalFormatting>
  <conditionalFormatting sqref="AQ45:AQ48">
    <cfRule type="cellIs" dxfId="0" priority="143" operator="equal">
      <formula>0</formula>
    </cfRule>
  </conditionalFormatting>
  <conditionalFormatting sqref="AV165:AZ165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66:AZ166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67:AZ167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68:AZ168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76:AZ17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73:BA17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74:BA17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75:BA17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65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66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67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68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176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65:BL165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66:BL166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67:BL167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68:BL168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76:BL17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73:BM17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74:BM17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75:BM17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65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66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67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68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1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3622047244094491" right="0.23622047244094491" top="0.35433070866141736" bottom="0.15748031496062992" header="0.31496062992125984" footer="0.31496062992125984"/>
  <pageSetup paperSize="8" scale="20" orientation="landscape" horizontalDpi="300" verticalDpi="300" r:id="rId1"/>
  <ignoredErrors>
    <ignoredError sqref="H65:I65" formulaRange="1"/>
    <ignoredError sqref="J12:P12 J8:M8 J13 K34:BW34 X227:Z240 K95:BW95 K85:BW85 X180:Z192 AD180:AD192 T196 T199 X195:Z208 AD195:AD208 K250:M258 K249:L249 M178:M243 K178:K248 P244:T248 P225:AD226 P241:AD243 P178:AD179 P193:AD194 P180:S180 P181:T192 P197:T198 P196:Q196 P209:AD210 P199:R199 P195:T195 P200:T208 O252:BW258 X224:Z224 P211:T211 X211:Z211 AD211:AD224 S224:T224 P227:T240 AD227:AD240 K164:AD170 AG164:AG170 O249:AD251 AG249:AG251 AG178:AG244 AJ164:AL164 AJ195:AK208 AJ249:BB249 AJ244:AK248 AJ225:AP226 AJ241:AP243 AJ178:AP178 AJ193:AP194 AJ209:AP210 AJ250:BW251 AJ224:AK224 AJ211:AK211 AJ227:AK240 X244:Z248 AD244:AD248 AJ170:AP170 AK165:AL165 AJ166:AL168 AP164:AP169 AJ179:AL192 AP179:AP192 AP195:AP208 AP211:AP224 P212:Q224 AP227:AP240 AP244:AP248 K163:AP163 AV163:BB163 AV225:BB226 AV241:BB243 AV178:BB178 AV193:BB194 AV209:BB210 AV170:BB170 AV164:AW164 AV166:AW169 AW165 AV179:AW192 AV195:AW208 AV224:AW224 AV211:AW211 AV227:AW240 AV244:AW248 BB164:BB169 BB179:BB192 BB195:BB208 BA224:BB224 BA211:BB211 BB212:BB223 BB227:BB240 BB244:BB248 BH249:BW249 BH163:BW163 BH225:BW226 BH241:BW243 BH178:BW178 BH193:BW194 BH209:BW210 BH169:BW170 BH179:BI192 BH195:BI208 BH224:BI224 BH211:BI211 BH227:BI240 BH244:BI248 BH164:BI168 BN164:BW168 BN179:BW192 BN195:BW208 BN211:BW224 BN227:BW240 BN244:BW248 J9 K49:BW49 Q35:BW48 K64:BW65 Q50:BW63 K77:BW77 Q66:BW76 Q78:BW84 Q86:BW91 K109:BW109 Q96:BW108 K125:BW125 Q110:BW124 K134:BW134 Q126:BW133 K159:BW159 Q151:BW158 AK169:AL169 Q135:BW149 Q92:BW94 K162:BW162 R160:BW160 K161:P161 R161:BW161" formula="1"/>
    <ignoredError sqref="N8:P8" formula="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99CC"/>
    <pageSetUpPr fitToPage="1"/>
  </sheetPr>
  <dimension ref="A1:Y142"/>
  <sheetViews>
    <sheetView zoomScale="70" zoomScaleNormal="70" workbookViewId="0">
      <pane ySplit="4" topLeftCell="A44" activePane="bottomLeft" state="frozen"/>
      <selection activeCell="C3" sqref="C3:F3"/>
      <selection pane="bottomLeft" activeCell="B1" sqref="A1:B1048576"/>
    </sheetView>
  </sheetViews>
  <sheetFormatPr baseColWidth="10" defaultColWidth="11.44140625" defaultRowHeight="14.4" x14ac:dyDescent="0.3"/>
  <cols>
    <col min="1" max="1" width="1.88671875" style="20" hidden="1" customWidth="1"/>
    <col min="2" max="2" width="38.88671875" style="1" customWidth="1"/>
    <col min="3" max="3" width="11.5546875" style="2" customWidth="1"/>
    <col min="4" max="4" width="15.33203125" style="2" customWidth="1"/>
    <col min="5" max="5" width="42.88671875" style="1" bestFit="1" customWidth="1"/>
    <col min="6" max="6" width="11.109375" style="2" hidden="1" customWidth="1"/>
    <col min="7" max="7" width="11.44140625" style="2"/>
    <col min="8" max="8" width="8.44140625" style="2" customWidth="1"/>
    <col min="9" max="9" width="11.44140625" style="2"/>
    <col min="10" max="10" width="8.44140625" style="2" customWidth="1"/>
    <col min="11" max="11" width="11.44140625" style="4" customWidth="1"/>
    <col min="12" max="12" width="8.44140625" style="4" customWidth="1"/>
    <col min="13" max="13" width="11.44140625" style="4" customWidth="1"/>
    <col min="14" max="14" width="8.44140625" style="3" customWidth="1"/>
    <col min="15" max="16" width="11.44140625" style="4" customWidth="1"/>
    <col min="17" max="24" width="7.5546875" style="2" customWidth="1"/>
    <col min="25" max="16384" width="11.44140625" style="1"/>
  </cols>
  <sheetData>
    <row r="1" spans="1:25" s="20" customFormat="1" ht="2.25" customHeight="1" thickBot="1" x14ac:dyDescent="0.35">
      <c r="C1" s="23"/>
      <c r="D1" s="23"/>
      <c r="F1" s="23"/>
      <c r="G1" s="23"/>
      <c r="H1" s="23"/>
      <c r="I1" s="23"/>
      <c r="J1" s="23"/>
      <c r="K1" s="25"/>
      <c r="L1" s="25"/>
      <c r="M1" s="25"/>
      <c r="N1" s="24"/>
      <c r="O1" s="25"/>
      <c r="P1" s="25"/>
      <c r="Q1" s="23"/>
      <c r="R1" s="23"/>
      <c r="S1" s="23"/>
      <c r="T1" s="23"/>
      <c r="U1" s="23"/>
      <c r="V1" s="23"/>
      <c r="W1" s="23"/>
      <c r="X1" s="23"/>
    </row>
    <row r="2" spans="1:25" s="6" customFormat="1" ht="30" customHeight="1" thickBot="1" x14ac:dyDescent="0.35">
      <c r="A2" s="21"/>
      <c r="B2" s="769" t="s">
        <v>53</v>
      </c>
      <c r="C2" s="772" t="s">
        <v>74</v>
      </c>
      <c r="D2" s="772" t="s">
        <v>69</v>
      </c>
      <c r="E2" s="889" t="s">
        <v>79</v>
      </c>
      <c r="F2" s="761" t="s">
        <v>59</v>
      </c>
      <c r="G2" s="890" t="s">
        <v>135</v>
      </c>
      <c r="H2" s="870"/>
      <c r="I2" s="870"/>
      <c r="J2" s="871"/>
      <c r="K2" s="895" t="s">
        <v>136</v>
      </c>
      <c r="L2" s="895"/>
      <c r="M2" s="895" t="s">
        <v>137</v>
      </c>
      <c r="N2" s="895"/>
      <c r="O2" s="895" t="s">
        <v>139</v>
      </c>
      <c r="P2" s="895"/>
      <c r="Q2" s="888" t="s">
        <v>39</v>
      </c>
      <c r="R2" s="888"/>
      <c r="S2" s="888" t="s">
        <v>40</v>
      </c>
      <c r="T2" s="888"/>
      <c r="U2" s="888" t="s">
        <v>41</v>
      </c>
      <c r="V2" s="888"/>
      <c r="W2" s="888" t="s">
        <v>42</v>
      </c>
      <c r="X2" s="761"/>
      <c r="Y2" s="17"/>
    </row>
    <row r="3" spans="1:25" s="6" customFormat="1" ht="30" customHeight="1" thickBot="1" x14ac:dyDescent="0.35">
      <c r="A3" s="21"/>
      <c r="B3" s="769"/>
      <c r="C3" s="772"/>
      <c r="D3" s="772"/>
      <c r="E3" s="889"/>
      <c r="F3" s="762"/>
      <c r="G3" s="891" t="s">
        <v>66</v>
      </c>
      <c r="H3" s="892"/>
      <c r="I3" s="892" t="s">
        <v>44</v>
      </c>
      <c r="J3" s="893"/>
      <c r="K3" s="896"/>
      <c r="L3" s="896"/>
      <c r="M3" s="896"/>
      <c r="N3" s="896"/>
      <c r="O3" s="896"/>
      <c r="P3" s="896"/>
      <c r="Q3" s="142"/>
      <c r="R3" s="109"/>
      <c r="S3" s="142"/>
      <c r="T3" s="109"/>
      <c r="U3" s="872" t="s">
        <v>142</v>
      </c>
      <c r="V3" s="874"/>
      <c r="W3" s="872" t="s">
        <v>142</v>
      </c>
      <c r="X3" s="894"/>
      <c r="Y3" s="17"/>
    </row>
    <row r="4" spans="1:25" s="6" customFormat="1" ht="30" customHeight="1" thickBot="1" x14ac:dyDescent="0.35">
      <c r="A4" s="21"/>
      <c r="B4" s="769"/>
      <c r="C4" s="772"/>
      <c r="D4" s="772"/>
      <c r="E4" s="889"/>
      <c r="F4" s="763"/>
      <c r="G4" s="110" t="s">
        <v>133</v>
      </c>
      <c r="H4" s="111" t="s">
        <v>134</v>
      </c>
      <c r="I4" s="111" t="s">
        <v>133</v>
      </c>
      <c r="J4" s="112" t="s">
        <v>134</v>
      </c>
      <c r="K4" s="115" t="s">
        <v>133</v>
      </c>
      <c r="L4" s="116" t="s">
        <v>134</v>
      </c>
      <c r="M4" s="115" t="s">
        <v>133</v>
      </c>
      <c r="N4" s="116" t="s">
        <v>134</v>
      </c>
      <c r="O4" s="115" t="s">
        <v>133</v>
      </c>
      <c r="P4" s="116" t="s">
        <v>134</v>
      </c>
      <c r="Q4" s="117" t="s">
        <v>43</v>
      </c>
      <c r="R4" s="112" t="s">
        <v>44</v>
      </c>
      <c r="S4" s="117" t="s">
        <v>43</v>
      </c>
      <c r="T4" s="112" t="s">
        <v>44</v>
      </c>
      <c r="U4" s="117" t="s">
        <v>133</v>
      </c>
      <c r="V4" s="112" t="s">
        <v>134</v>
      </c>
      <c r="W4" s="117" t="s">
        <v>133</v>
      </c>
      <c r="X4" s="114" t="s">
        <v>134</v>
      </c>
      <c r="Y4" s="17"/>
    </row>
    <row r="5" spans="1:25" ht="15.6" x14ac:dyDescent="0.3">
      <c r="A5" s="20">
        <v>1</v>
      </c>
      <c r="B5" s="59" t="s">
        <v>86</v>
      </c>
      <c r="C5" s="278" t="s">
        <v>75</v>
      </c>
      <c r="D5" s="279">
        <f>'2021'!D5-'2020'!D5</f>
        <v>0</v>
      </c>
      <c r="E5" s="143" t="s">
        <v>71</v>
      </c>
      <c r="F5" s="144" t="s">
        <v>60</v>
      </c>
      <c r="G5" s="145">
        <f>'2021'!G5-'2020'!G5</f>
        <v>39</v>
      </c>
      <c r="H5" s="181">
        <f>IF('2021'!G5=0,0,IF('2020'!G5=0,0,'2021'!G5/'2020'!G5-1))</f>
        <v>0.61904761904761907</v>
      </c>
      <c r="I5" s="172">
        <f>'2021'!H5-'2020'!H5</f>
        <v>65</v>
      </c>
      <c r="J5" s="188">
        <f>IF('2021'!H5=0,0,IF('2020'!H5=0,0,'2021'!H5/'2020'!H5-1))</f>
        <v>2.2413793103448274</v>
      </c>
      <c r="K5" s="126">
        <f>'2021'!J5-'2020'!J5</f>
        <v>0</v>
      </c>
      <c r="L5" s="188">
        <f>'2021'!I5-'2020'!I5</f>
        <v>-1.2138188608776843E-2</v>
      </c>
      <c r="M5" s="126">
        <f>'2021'!L5-'2020'!L5</f>
        <v>1</v>
      </c>
      <c r="N5" s="188">
        <f>'2021'!K5-'2020'!K5</f>
        <v>-9.3370681605975697E-2</v>
      </c>
      <c r="O5" s="126">
        <f>IF('2020'!N5="-",0,'2021'!N5-'2020'!N5)</f>
        <v>0</v>
      </c>
      <c r="P5" s="188">
        <f>'2021'!M5-'2020'!M5</f>
        <v>-6.5359477124183052E-3</v>
      </c>
      <c r="Q5" s="64"/>
      <c r="R5" s="65"/>
      <c r="S5" s="64"/>
      <c r="T5" s="65"/>
      <c r="U5" s="60" t="s">
        <v>21</v>
      </c>
      <c r="V5" s="61" t="s">
        <v>21</v>
      </c>
      <c r="W5" s="60" t="s">
        <v>21</v>
      </c>
      <c r="X5" s="62" t="s">
        <v>21</v>
      </c>
      <c r="Y5" s="18"/>
    </row>
    <row r="6" spans="1:25" ht="15.6" x14ac:dyDescent="0.3">
      <c r="A6" s="20">
        <v>1</v>
      </c>
      <c r="B6" s="308" t="s">
        <v>163</v>
      </c>
      <c r="C6" s="277" t="s">
        <v>75</v>
      </c>
      <c r="D6" s="170">
        <f>'2021'!D35-'2020'!D35</f>
        <v>1</v>
      </c>
      <c r="E6" s="156" t="s">
        <v>164</v>
      </c>
      <c r="F6" s="157" t="s">
        <v>60</v>
      </c>
      <c r="G6" s="158">
        <f>'2021'!G35-'2020'!G35</f>
        <v>45</v>
      </c>
      <c r="H6" s="185">
        <f>IF('2021'!G35=0,0,IF('2020'!G35=0,0,'2021'!G35/'2020'!G35-1))</f>
        <v>1.4516129032258065</v>
      </c>
      <c r="I6" s="176">
        <f>'2021'!H35-'2020'!H35</f>
        <v>27</v>
      </c>
      <c r="J6" s="192">
        <f>IF('2021'!H35=0,0,IF('2020'!H35=0,0,'2021'!H35/'2020'!H35-1))</f>
        <v>1.1739130434782608</v>
      </c>
      <c r="K6" s="127">
        <f>'2021'!J35-'2020'!J35</f>
        <v>7</v>
      </c>
      <c r="L6" s="192">
        <f>'2021'!I35-'2020'!I35</f>
        <v>-9.8896434634974523E-2</v>
      </c>
      <c r="M6" s="127">
        <f>'2021'!L35-'2020'!L35</f>
        <v>18</v>
      </c>
      <c r="N6" s="192">
        <f>'2021'!K35-'2020'!K35</f>
        <v>4.5840407470288613E-2</v>
      </c>
      <c r="O6" s="127">
        <f>IF('2020'!N35="-",0,'2021'!N35-'2020'!N35)</f>
        <v>0</v>
      </c>
      <c r="P6" s="192" t="e">
        <f>'2021'!M35-'2020'!M35</f>
        <v>#VALUE!</v>
      </c>
      <c r="Q6" s="72"/>
      <c r="R6" s="73"/>
      <c r="S6" s="72"/>
      <c r="T6" s="73"/>
      <c r="U6" s="118" t="s">
        <v>21</v>
      </c>
      <c r="V6" s="119" t="s">
        <v>21</v>
      </c>
      <c r="W6" s="118" t="s">
        <v>21</v>
      </c>
      <c r="X6" s="120" t="s">
        <v>21</v>
      </c>
      <c r="Y6" s="18"/>
    </row>
    <row r="7" spans="1:25" ht="15" customHeight="1" x14ac:dyDescent="0.3">
      <c r="A7" s="20">
        <v>2</v>
      </c>
      <c r="B7" s="773" t="s">
        <v>165</v>
      </c>
      <c r="C7" s="775" t="s">
        <v>75</v>
      </c>
      <c r="D7" s="880">
        <v>9</v>
      </c>
      <c r="E7" s="146" t="s">
        <v>166</v>
      </c>
      <c r="F7" s="147" t="s">
        <v>60</v>
      </c>
      <c r="G7" s="148">
        <f>'2021'!G13-'2020'!G13</f>
        <v>0</v>
      </c>
      <c r="H7" s="182">
        <f>IF('2021'!G13=0,0,IF('2020'!G13=0,0,'2021'!G13/'2020'!G13-1))</f>
        <v>0</v>
      </c>
      <c r="I7" s="173">
        <f>'2021'!H13-'2020'!H13</f>
        <v>0</v>
      </c>
      <c r="J7" s="189">
        <f>IF('2021'!H13=0,0,IF('2020'!H13=0,0,'2021'!H13/'2020'!H13-1))</f>
        <v>0</v>
      </c>
      <c r="K7" s="122">
        <f>'2021'!J13-'2020'!J13</f>
        <v>0</v>
      </c>
      <c r="L7" s="189" t="e">
        <f>'2021'!I13-'2020'!I13</f>
        <v>#DIV/0!</v>
      </c>
      <c r="M7" s="122">
        <f>'2021'!L13-'2020'!L13</f>
        <v>0</v>
      </c>
      <c r="N7" s="189" t="e">
        <f>'2021'!K13-'2020'!K13</f>
        <v>#DIV/0!</v>
      </c>
      <c r="O7" s="122"/>
      <c r="P7" s="189"/>
      <c r="Q7" s="66"/>
      <c r="R7" s="67"/>
      <c r="S7" s="66"/>
      <c r="T7" s="67"/>
      <c r="U7" s="38" t="s">
        <v>21</v>
      </c>
      <c r="V7" s="37" t="s">
        <v>21</v>
      </c>
      <c r="W7" s="38" t="s">
        <v>21</v>
      </c>
      <c r="X7" s="55" t="s">
        <v>21</v>
      </c>
      <c r="Y7" s="18"/>
    </row>
    <row r="8" spans="1:25" ht="15" customHeight="1" x14ac:dyDescent="0.3">
      <c r="A8" s="20">
        <v>3</v>
      </c>
      <c r="B8" s="773"/>
      <c r="C8" s="775"/>
      <c r="D8" s="880"/>
      <c r="E8" s="149" t="s">
        <v>166</v>
      </c>
      <c r="F8" s="150" t="s">
        <v>60</v>
      </c>
      <c r="G8" s="151">
        <f>'2021'!G14-'2020'!G14</f>
        <v>0</v>
      </c>
      <c r="H8" s="183">
        <f>IF('2021'!G14=0,0,IF('2020'!G14=0,0,'2021'!G14/'2020'!G14-1))</f>
        <v>0</v>
      </c>
      <c r="I8" s="174">
        <f>'2021'!H14-'2020'!H14</f>
        <v>0</v>
      </c>
      <c r="J8" s="190">
        <f>IF(I8=0,0,'2021'!H14/'2020'!H14-1)</f>
        <v>0</v>
      </c>
      <c r="K8" s="123">
        <f>'2021'!J14-'2020'!J14</f>
        <v>0</v>
      </c>
      <c r="L8" s="190" t="e">
        <f>'2021'!I14-'2020'!I14</f>
        <v>#DIV/0!</v>
      </c>
      <c r="M8" s="123">
        <f>'2021'!L14-'2020'!L14</f>
        <v>0</v>
      </c>
      <c r="N8" s="190" t="e">
        <f>'2021'!K14-'2020'!K14</f>
        <v>#DIV/0!</v>
      </c>
      <c r="O8" s="123"/>
      <c r="P8" s="190"/>
      <c r="Q8" s="68"/>
      <c r="R8" s="69"/>
      <c r="S8" s="68"/>
      <c r="T8" s="69"/>
      <c r="U8" s="41" t="s">
        <v>21</v>
      </c>
      <c r="V8" s="40" t="s">
        <v>21</v>
      </c>
      <c r="W8" s="41" t="s">
        <v>21</v>
      </c>
      <c r="X8" s="45" t="s">
        <v>21</v>
      </c>
      <c r="Y8" s="18"/>
    </row>
    <row r="9" spans="1:25" ht="15" customHeight="1" x14ac:dyDescent="0.3">
      <c r="A9" s="20">
        <v>4</v>
      </c>
      <c r="B9" s="773"/>
      <c r="C9" s="775"/>
      <c r="D9" s="880"/>
      <c r="E9" s="149" t="s">
        <v>166</v>
      </c>
      <c r="F9" s="150" t="s">
        <v>60</v>
      </c>
      <c r="G9" s="151">
        <f>'2021'!G15-'2020'!G15</f>
        <v>0</v>
      </c>
      <c r="H9" s="183">
        <f>IF('2021'!G15=0,0,IF('2020'!G15=0,0,'2021'!G15/'2020'!G15-1))</f>
        <v>0</v>
      </c>
      <c r="I9" s="174">
        <f>'2021'!H15-'2020'!H15</f>
        <v>0</v>
      </c>
      <c r="J9" s="190">
        <f>IF(I9=0,0,'2021'!H15/'2020'!H15-1)</f>
        <v>0</v>
      </c>
      <c r="K9" s="123">
        <f>'2021'!J15-'2020'!J15</f>
        <v>0</v>
      </c>
      <c r="L9" s="190" t="e">
        <f>'2021'!I15-'2020'!I15</f>
        <v>#DIV/0!</v>
      </c>
      <c r="M9" s="123">
        <f>'2021'!L15-'2020'!L15</f>
        <v>0</v>
      </c>
      <c r="N9" s="190" t="e">
        <f>'2021'!K15-'2020'!K15</f>
        <v>#DIV/0!</v>
      </c>
      <c r="O9" s="123"/>
      <c r="P9" s="190"/>
      <c r="Q9" s="68"/>
      <c r="R9" s="69"/>
      <c r="S9" s="68"/>
      <c r="T9" s="69"/>
      <c r="U9" s="41" t="s">
        <v>21</v>
      </c>
      <c r="V9" s="40" t="s">
        <v>21</v>
      </c>
      <c r="W9" s="41" t="s">
        <v>21</v>
      </c>
      <c r="X9" s="45" t="s">
        <v>21</v>
      </c>
      <c r="Y9" s="18"/>
    </row>
    <row r="10" spans="1:25" ht="15" customHeight="1" x14ac:dyDescent="0.3">
      <c r="A10" s="20">
        <v>5</v>
      </c>
      <c r="B10" s="773"/>
      <c r="C10" s="775"/>
      <c r="D10" s="880"/>
      <c r="E10" s="149" t="s">
        <v>166</v>
      </c>
      <c r="F10" s="150"/>
      <c r="G10" s="151">
        <f>'2021'!G16-'2020'!G16</f>
        <v>0</v>
      </c>
      <c r="H10" s="183">
        <f>IF('2021'!G16=0,0,IF('2020'!G16=0,0,'2021'!G16/'2020'!G16-1))</f>
        <v>0</v>
      </c>
      <c r="I10" s="174">
        <f>'2021'!H16-'2020'!H16</f>
        <v>0</v>
      </c>
      <c r="J10" s="190">
        <f>IF(I10=0,0,'2021'!H16/'2020'!H16-1)</f>
        <v>0</v>
      </c>
      <c r="K10" s="123">
        <f>'2021'!J16-'2020'!J16</f>
        <v>0</v>
      </c>
      <c r="L10" s="190" t="e">
        <f>'2021'!I16-'2020'!I16</f>
        <v>#DIV/0!</v>
      </c>
      <c r="M10" s="123">
        <f>'2021'!L16-'2020'!L16</f>
        <v>0</v>
      </c>
      <c r="N10" s="190" t="e">
        <f>'2021'!K16-'2020'!K16</f>
        <v>#DIV/0!</v>
      </c>
      <c r="O10" s="123"/>
      <c r="P10" s="190"/>
      <c r="Q10" s="68"/>
      <c r="R10" s="69"/>
      <c r="S10" s="68"/>
      <c r="T10" s="69"/>
      <c r="U10" s="41"/>
      <c r="V10" s="40"/>
      <c r="W10" s="41"/>
      <c r="X10" s="45"/>
      <c r="Y10" s="18"/>
    </row>
    <row r="11" spans="1:25" ht="15" customHeight="1" x14ac:dyDescent="0.3">
      <c r="A11" s="20">
        <v>6</v>
      </c>
      <c r="B11" s="773"/>
      <c r="C11" s="775"/>
      <c r="D11" s="880"/>
      <c r="E11" s="149" t="s">
        <v>166</v>
      </c>
      <c r="F11" s="150" t="s">
        <v>60</v>
      </c>
      <c r="G11" s="151">
        <f>'2021'!G17-'2020'!G17</f>
        <v>0</v>
      </c>
      <c r="H11" s="183">
        <f>IF('2021'!G17=0,0,IF('2020'!G17=0,0,'2021'!G17/'2020'!G17-1))</f>
        <v>0</v>
      </c>
      <c r="I11" s="174">
        <f>'2021'!H17-'2020'!H17</f>
        <v>0</v>
      </c>
      <c r="J11" s="190">
        <f>IF(I11=0,0,'2021'!H17/'2020'!H17-1)</f>
        <v>0</v>
      </c>
      <c r="K11" s="123">
        <f>'2021'!J17-'2020'!J17</f>
        <v>0</v>
      </c>
      <c r="L11" s="190" t="e">
        <f>'2021'!I17-'2020'!I17</f>
        <v>#DIV/0!</v>
      </c>
      <c r="M11" s="123">
        <f>'2021'!L17-'2020'!L17</f>
        <v>0</v>
      </c>
      <c r="N11" s="190" t="e">
        <f>'2021'!K17-'2020'!K17</f>
        <v>#DIV/0!</v>
      </c>
      <c r="O11" s="123"/>
      <c r="P11" s="190"/>
      <c r="Q11" s="68"/>
      <c r="R11" s="69"/>
      <c r="S11" s="68"/>
      <c r="T11" s="69"/>
      <c r="U11" s="41" t="s">
        <v>21</v>
      </c>
      <c r="V11" s="40" t="s">
        <v>21</v>
      </c>
      <c r="W11" s="41" t="s">
        <v>21</v>
      </c>
      <c r="X11" s="45" t="s">
        <v>21</v>
      </c>
      <c r="Y11" s="18"/>
    </row>
    <row r="12" spans="1:25" ht="15" customHeight="1" x14ac:dyDescent="0.3">
      <c r="A12" s="20">
        <v>7</v>
      </c>
      <c r="B12" s="773"/>
      <c r="C12" s="775"/>
      <c r="D12" s="880"/>
      <c r="E12" s="149" t="s">
        <v>166</v>
      </c>
      <c r="F12" s="150" t="s">
        <v>60</v>
      </c>
      <c r="G12" s="151">
        <f>'2021'!G21-'2020'!G21</f>
        <v>0</v>
      </c>
      <c r="H12" s="183">
        <f>IF('2021'!G21=0,0,IF('2020'!G21=0,0,'2021'!G21/'2020'!G21-1))</f>
        <v>0</v>
      </c>
      <c r="I12" s="174">
        <f>'2021'!H21-'2020'!H21</f>
        <v>0</v>
      </c>
      <c r="J12" s="190">
        <f>IF(I12=0,0,'2021'!H21/'2020'!H21-1)</f>
        <v>0</v>
      </c>
      <c r="K12" s="123">
        <f>'2021'!J21-'2020'!J21</f>
        <v>0</v>
      </c>
      <c r="L12" s="190" t="e">
        <f>'2021'!I21-'2020'!I21</f>
        <v>#DIV/0!</v>
      </c>
      <c r="M12" s="123">
        <f>'2021'!L21-'2020'!L21</f>
        <v>0</v>
      </c>
      <c r="N12" s="190" t="e">
        <f>'2021'!K21-'2020'!K21</f>
        <v>#DIV/0!</v>
      </c>
      <c r="O12" s="123"/>
      <c r="P12" s="190"/>
      <c r="Q12" s="68"/>
      <c r="R12" s="69"/>
      <c r="S12" s="68"/>
      <c r="T12" s="69"/>
      <c r="U12" s="41" t="s">
        <v>21</v>
      </c>
      <c r="V12" s="40" t="s">
        <v>21</v>
      </c>
      <c r="W12" s="41" t="s">
        <v>21</v>
      </c>
      <c r="X12" s="45" t="s">
        <v>21</v>
      </c>
      <c r="Y12" s="18"/>
    </row>
    <row r="13" spans="1:25" ht="15" customHeight="1" x14ac:dyDescent="0.3">
      <c r="A13" s="20">
        <v>8</v>
      </c>
      <c r="B13" s="773"/>
      <c r="C13" s="775"/>
      <c r="D13" s="880"/>
      <c r="E13" s="149" t="s">
        <v>166</v>
      </c>
      <c r="F13" s="150" t="s">
        <v>60</v>
      </c>
      <c r="G13" s="151">
        <f>'2021'!G22-'2020'!G22</f>
        <v>0</v>
      </c>
      <c r="H13" s="183">
        <f>IF('2021'!G22=0,0,IF('2020'!G22=0,0,'2021'!G22/'2020'!G22-1))</f>
        <v>0</v>
      </c>
      <c r="I13" s="174">
        <f>'2021'!H22-'2020'!H22</f>
        <v>0</v>
      </c>
      <c r="J13" s="190">
        <f>IF(I13=0,0,'2021'!H22/'2020'!H22-1)</f>
        <v>0</v>
      </c>
      <c r="K13" s="123">
        <f>'2021'!J22-'2020'!J22</f>
        <v>0</v>
      </c>
      <c r="L13" s="190" t="e">
        <f>'2021'!I22-'2020'!I22</f>
        <v>#DIV/0!</v>
      </c>
      <c r="M13" s="123">
        <f>'2021'!L22-'2020'!L22</f>
        <v>0</v>
      </c>
      <c r="N13" s="190" t="e">
        <f>'2021'!K22-'2020'!K22</f>
        <v>#DIV/0!</v>
      </c>
      <c r="O13" s="123"/>
      <c r="P13" s="190"/>
      <c r="Q13" s="68"/>
      <c r="R13" s="69"/>
      <c r="S13" s="68"/>
      <c r="T13" s="69"/>
      <c r="U13" s="41" t="s">
        <v>21</v>
      </c>
      <c r="V13" s="40" t="s">
        <v>21</v>
      </c>
      <c r="W13" s="41" t="s">
        <v>21</v>
      </c>
      <c r="X13" s="45" t="s">
        <v>21</v>
      </c>
      <c r="Y13" s="18"/>
    </row>
    <row r="14" spans="1:25" ht="15" customHeight="1" x14ac:dyDescent="0.3">
      <c r="A14" s="20">
        <v>9</v>
      </c>
      <c r="B14" s="773"/>
      <c r="C14" s="775"/>
      <c r="D14" s="880"/>
      <c r="E14" s="149" t="s">
        <v>166</v>
      </c>
      <c r="F14" s="150" t="s">
        <v>60</v>
      </c>
      <c r="G14" s="151">
        <f>'2021'!G23-'2020'!G23</f>
        <v>0</v>
      </c>
      <c r="H14" s="183">
        <f>IF('2021'!G23=0,0,IF('2020'!G23=0,0,'2021'!G23/'2020'!G23-1))</f>
        <v>0</v>
      </c>
      <c r="I14" s="174">
        <f>'2021'!H23-'2020'!H23</f>
        <v>0</v>
      </c>
      <c r="J14" s="190">
        <f>IF(I14=0,0,'2021'!H23/'2020'!H23-1)</f>
        <v>0</v>
      </c>
      <c r="K14" s="123">
        <f>'2021'!J23-'2020'!J23</f>
        <v>0</v>
      </c>
      <c r="L14" s="190" t="e">
        <f>'2021'!I23-'2020'!I23</f>
        <v>#DIV/0!</v>
      </c>
      <c r="M14" s="123">
        <f>'2021'!L23-'2020'!L23</f>
        <v>0</v>
      </c>
      <c r="N14" s="190" t="e">
        <f>'2021'!K23-'2020'!K23</f>
        <v>#DIV/0!</v>
      </c>
      <c r="O14" s="123"/>
      <c r="P14" s="190"/>
      <c r="Q14" s="68"/>
      <c r="R14" s="69"/>
      <c r="S14" s="68"/>
      <c r="T14" s="69"/>
      <c r="U14" s="41" t="s">
        <v>21</v>
      </c>
      <c r="V14" s="40" t="s">
        <v>21</v>
      </c>
      <c r="W14" s="41" t="s">
        <v>21</v>
      </c>
      <c r="X14" s="45" t="s">
        <v>21</v>
      </c>
      <c r="Y14" s="18"/>
    </row>
    <row r="15" spans="1:25" ht="15" customHeight="1" x14ac:dyDescent="0.3">
      <c r="B15" s="773"/>
      <c r="C15" s="775"/>
      <c r="D15" s="880"/>
      <c r="E15" s="293" t="s">
        <v>166</v>
      </c>
      <c r="F15" s="294"/>
      <c r="G15" s="295">
        <f>'2021'!G24-'2020'!G24</f>
        <v>0</v>
      </c>
      <c r="H15" s="296">
        <f>IF('2021'!G24=0,0,IF('2020'!G24=0,0,'2021'!G24/'2020'!G24-1))</f>
        <v>0</v>
      </c>
      <c r="I15" s="297">
        <f>'2021'!H24-'2020'!H24</f>
        <v>0</v>
      </c>
      <c r="J15" s="298">
        <f>IF(I15=0,0,'2021'!H24/'2020'!H24-1)</f>
        <v>0</v>
      </c>
      <c r="K15" s="299">
        <f>'2021'!J24-'2020'!J24</f>
        <v>0</v>
      </c>
      <c r="L15" s="298" t="e">
        <f>'2021'!I24-'2020'!I24</f>
        <v>#DIV/0!</v>
      </c>
      <c r="M15" s="299">
        <f>'2021'!L24-'2020'!L24</f>
        <v>0</v>
      </c>
      <c r="N15" s="298" t="e">
        <f>'2021'!K24-'2020'!K24</f>
        <v>#DIV/0!</v>
      </c>
      <c r="O15" s="299"/>
      <c r="P15" s="298"/>
      <c r="Q15" s="300"/>
      <c r="R15" s="301"/>
      <c r="S15" s="300"/>
      <c r="T15" s="301"/>
      <c r="U15" s="302"/>
      <c r="V15" s="303"/>
      <c r="W15" s="302"/>
      <c r="X15" s="304"/>
      <c r="Y15" s="18"/>
    </row>
    <row r="16" spans="1:25" ht="15" customHeight="1" x14ac:dyDescent="0.3">
      <c r="B16" s="773"/>
      <c r="C16" s="775"/>
      <c r="D16" s="880"/>
      <c r="E16" s="293" t="s">
        <v>166</v>
      </c>
      <c r="F16" s="294"/>
      <c r="G16" s="295">
        <f>'2021'!G25-'2020'!G25</f>
        <v>0</v>
      </c>
      <c r="H16" s="296">
        <f>IF('2021'!G25=0,0,IF('2020'!G25=0,0,'2021'!G25/'2020'!G25-1))</f>
        <v>0</v>
      </c>
      <c r="I16" s="297">
        <f>'2021'!H25-'2020'!H25</f>
        <v>0</v>
      </c>
      <c r="J16" s="298">
        <f>IF(I16=0,0,'2021'!H25/'2020'!H25-1)</f>
        <v>0</v>
      </c>
      <c r="K16" s="299">
        <f>'2021'!J25-'2020'!J25</f>
        <v>0</v>
      </c>
      <c r="L16" s="298" t="e">
        <f>'2021'!I25-'2020'!I25</f>
        <v>#DIV/0!</v>
      </c>
      <c r="M16" s="299">
        <f>'2021'!L25-'2020'!L25</f>
        <v>0</v>
      </c>
      <c r="N16" s="298" t="e">
        <f>'2021'!K25-'2020'!K25</f>
        <v>#DIV/0!</v>
      </c>
      <c r="O16" s="299"/>
      <c r="P16" s="298"/>
      <c r="Q16" s="300"/>
      <c r="R16" s="301"/>
      <c r="S16" s="300"/>
      <c r="T16" s="301"/>
      <c r="U16" s="302"/>
      <c r="V16" s="303"/>
      <c r="W16" s="302"/>
      <c r="X16" s="304"/>
      <c r="Y16" s="18"/>
    </row>
    <row r="17" spans="1:25" ht="15" customHeight="1" x14ac:dyDescent="0.3">
      <c r="B17" s="773"/>
      <c r="C17" s="775"/>
      <c r="D17" s="880"/>
      <c r="E17" s="293"/>
      <c r="F17" s="294"/>
      <c r="G17" s="295"/>
      <c r="H17" s="296"/>
      <c r="I17" s="297"/>
      <c r="J17" s="298"/>
      <c r="K17" s="299"/>
      <c r="L17" s="298"/>
      <c r="M17" s="299"/>
      <c r="N17" s="298"/>
      <c r="O17" s="299"/>
      <c r="P17" s="298"/>
      <c r="Q17" s="300"/>
      <c r="R17" s="301"/>
      <c r="S17" s="300"/>
      <c r="T17" s="301"/>
      <c r="U17" s="302"/>
      <c r="V17" s="303"/>
      <c r="W17" s="302"/>
      <c r="X17" s="304"/>
      <c r="Y17" s="18"/>
    </row>
    <row r="18" spans="1:25" ht="15" customHeight="1" x14ac:dyDescent="0.3">
      <c r="B18" s="773"/>
      <c r="C18" s="775"/>
      <c r="D18" s="880"/>
      <c r="E18" s="293"/>
      <c r="F18" s="294"/>
      <c r="G18" s="295"/>
      <c r="H18" s="296"/>
      <c r="I18" s="297"/>
      <c r="J18" s="298"/>
      <c r="K18" s="299"/>
      <c r="L18" s="298"/>
      <c r="M18" s="299"/>
      <c r="N18" s="298"/>
      <c r="O18" s="299"/>
      <c r="P18" s="298"/>
      <c r="Q18" s="300"/>
      <c r="R18" s="301"/>
      <c r="S18" s="300"/>
      <c r="T18" s="301"/>
      <c r="U18" s="302"/>
      <c r="V18" s="303"/>
      <c r="W18" s="302"/>
      <c r="X18" s="304"/>
      <c r="Y18" s="18"/>
    </row>
    <row r="19" spans="1:25" ht="15" customHeight="1" x14ac:dyDescent="0.3">
      <c r="A19" s="20">
        <v>10</v>
      </c>
      <c r="B19" s="773"/>
      <c r="C19" s="775"/>
      <c r="D19" s="880"/>
      <c r="E19" s="152" t="s">
        <v>166</v>
      </c>
      <c r="F19" s="153" t="s">
        <v>60</v>
      </c>
      <c r="G19" s="154">
        <f>'2021'!G28-'2020'!G28</f>
        <v>0</v>
      </c>
      <c r="H19" s="184">
        <f>IF('2021'!G28=0,0,IF('2020'!G28=0,0,'2021'!G28/'2020'!G28-1))</f>
        <v>0</v>
      </c>
      <c r="I19" s="175">
        <f>'2021'!H28-'2020'!H28</f>
        <v>0</v>
      </c>
      <c r="J19" s="191">
        <f>IF(I19=0,0,'2021'!H28/'2020'!H28-1)</f>
        <v>0</v>
      </c>
      <c r="K19" s="124">
        <f>'2021'!J28-'2020'!J28</f>
        <v>0</v>
      </c>
      <c r="L19" s="191" t="e">
        <f>'2021'!I28-'2020'!I28</f>
        <v>#DIV/0!</v>
      </c>
      <c r="M19" s="124">
        <f>'2021'!L28-'2020'!L28</f>
        <v>0</v>
      </c>
      <c r="N19" s="191" t="e">
        <f>'2021'!K28-'2020'!K28</f>
        <v>#DIV/0!</v>
      </c>
      <c r="O19" s="124"/>
      <c r="P19" s="191"/>
      <c r="Q19" s="70"/>
      <c r="R19" s="71"/>
      <c r="S19" s="70"/>
      <c r="T19" s="71"/>
      <c r="U19" s="47"/>
      <c r="V19" s="46"/>
      <c r="W19" s="47"/>
      <c r="X19" s="63"/>
      <c r="Y19" s="18"/>
    </row>
    <row r="20" spans="1:25" ht="15.6" x14ac:dyDescent="0.3">
      <c r="B20" s="773"/>
      <c r="C20" s="776"/>
      <c r="D20" s="155" t="s">
        <v>138</v>
      </c>
      <c r="E20" s="156"/>
      <c r="F20" s="157"/>
      <c r="G20" s="158">
        <f>SUM(G7:G19)</f>
        <v>0</v>
      </c>
      <c r="H20" s="185" t="e">
        <f>G20/SUM('2020'!G13:G15,'2020'!G17:G23)</f>
        <v>#DIV/0!</v>
      </c>
      <c r="I20" s="176">
        <f>SUM(I7:I19)</f>
        <v>0</v>
      </c>
      <c r="J20" s="192" t="e">
        <f>I20/SUM('2020'!H13:H15,'2020'!H17:H23)</f>
        <v>#DIV/0!</v>
      </c>
      <c r="K20" s="127">
        <f>SUM(K7:K19)</f>
        <v>0</v>
      </c>
      <c r="L20" s="192" t="e">
        <f>K20/SUM('2020'!J13:J15,'2020'!J17:J23)</f>
        <v>#DIV/0!</v>
      </c>
      <c r="M20" s="127">
        <f>SUM(M7:M19)</f>
        <v>0</v>
      </c>
      <c r="N20" s="192" t="e">
        <f>M20/SUM('2020'!L13:L15,'2020'!L17:L23)</f>
        <v>#DIV/0!</v>
      </c>
      <c r="O20" s="127"/>
      <c r="P20" s="192"/>
      <c r="Q20" s="72"/>
      <c r="R20" s="73"/>
      <c r="S20" s="72"/>
      <c r="T20" s="73"/>
      <c r="U20" s="118"/>
      <c r="V20" s="119"/>
      <c r="W20" s="118"/>
      <c r="X20" s="120"/>
      <c r="Y20" s="18"/>
    </row>
    <row r="21" spans="1:25" ht="15" customHeight="1" x14ac:dyDescent="0.3">
      <c r="A21" s="20">
        <v>2</v>
      </c>
      <c r="B21" s="773" t="s">
        <v>82</v>
      </c>
      <c r="C21" s="775" t="s">
        <v>75</v>
      </c>
      <c r="D21" s="880">
        <f>'2021'!D35-'2020'!D35</f>
        <v>1</v>
      </c>
      <c r="E21" s="146" t="s">
        <v>13</v>
      </c>
      <c r="F21" s="147" t="s">
        <v>60</v>
      </c>
      <c r="G21" s="148">
        <f>'2021'!G35-'2020'!G35</f>
        <v>45</v>
      </c>
      <c r="H21" s="182">
        <f>IF('2021'!G35=0,0,IF('2020'!G35=0,0,'2021'!G35/'2020'!G35-1))</f>
        <v>1.4516129032258065</v>
      </c>
      <c r="I21" s="173">
        <f>'2021'!H35-'2020'!H35</f>
        <v>27</v>
      </c>
      <c r="J21" s="189">
        <f>IF('2021'!H35=0,0,IF('2020'!H35=0,0,'2021'!H35/'2020'!H35-1))</f>
        <v>1.1739130434782608</v>
      </c>
      <c r="K21" s="122">
        <f>'2021'!J35-'2020'!J35</f>
        <v>7</v>
      </c>
      <c r="L21" s="189">
        <f>'2021'!I35-'2020'!I35</f>
        <v>-9.8896434634974523E-2</v>
      </c>
      <c r="M21" s="122">
        <f>'2021'!L35-'2020'!L35</f>
        <v>18</v>
      </c>
      <c r="N21" s="189">
        <f>'2021'!K35-'2020'!K35</f>
        <v>4.5840407470288613E-2</v>
      </c>
      <c r="O21" s="122"/>
      <c r="P21" s="189"/>
      <c r="Q21" s="66"/>
      <c r="R21" s="67"/>
      <c r="S21" s="66"/>
      <c r="T21" s="67"/>
      <c r="U21" s="38" t="s">
        <v>21</v>
      </c>
      <c r="V21" s="37" t="s">
        <v>21</v>
      </c>
      <c r="W21" s="38" t="s">
        <v>21</v>
      </c>
      <c r="X21" s="55" t="s">
        <v>21</v>
      </c>
      <c r="Y21" s="18"/>
    </row>
    <row r="22" spans="1:25" ht="15" customHeight="1" x14ac:dyDescent="0.3">
      <c r="A22" s="20">
        <v>3</v>
      </c>
      <c r="B22" s="773"/>
      <c r="C22" s="775"/>
      <c r="D22" s="880"/>
      <c r="E22" s="149" t="s">
        <v>14</v>
      </c>
      <c r="F22" s="150" t="s">
        <v>60</v>
      </c>
      <c r="G22" s="151">
        <f>'2021'!G36-'2020'!G36</f>
        <v>20</v>
      </c>
      <c r="H22" s="183">
        <f>IF('2021'!G36=0,0,IF('2020'!G36=0,0,'2021'!G36/'2020'!G36-1))</f>
        <v>0.8</v>
      </c>
      <c r="I22" s="174">
        <f>'2021'!H36-'2020'!H36</f>
        <v>14</v>
      </c>
      <c r="J22" s="190">
        <f>IF(I22=0,0,'2021'!H36/'2020'!H36-1)</f>
        <v>1.0769230769230771</v>
      </c>
      <c r="K22" s="123">
        <f>'2021'!J36-'2020'!J36</f>
        <v>9</v>
      </c>
      <c r="L22" s="190">
        <f>'2021'!I36-'2020'!I36</f>
        <v>-1.3333333333333308E-2</v>
      </c>
      <c r="M22" s="123">
        <f>'2021'!L36-'2020'!L36</f>
        <v>5</v>
      </c>
      <c r="N22" s="190">
        <f>'2021'!K36-'2020'!K36</f>
        <v>-4.8888888888888871E-2</v>
      </c>
      <c r="O22" s="123"/>
      <c r="P22" s="190"/>
      <c r="Q22" s="68"/>
      <c r="R22" s="69"/>
      <c r="S22" s="68"/>
      <c r="T22" s="69"/>
      <c r="U22" s="41" t="s">
        <v>21</v>
      </c>
      <c r="V22" s="40" t="s">
        <v>21</v>
      </c>
      <c r="W22" s="41" t="s">
        <v>21</v>
      </c>
      <c r="X22" s="45" t="s">
        <v>21</v>
      </c>
      <c r="Y22" s="18"/>
    </row>
    <row r="23" spans="1:25" ht="15" customHeight="1" x14ac:dyDescent="0.3">
      <c r="A23" s="20">
        <v>4</v>
      </c>
      <c r="B23" s="773"/>
      <c r="C23" s="775"/>
      <c r="D23" s="880"/>
      <c r="E23" s="149" t="s">
        <v>15</v>
      </c>
      <c r="F23" s="150" t="s">
        <v>60</v>
      </c>
      <c r="G23" s="151">
        <f>'2021'!G37-'2020'!G37</f>
        <v>-2</v>
      </c>
      <c r="H23" s="183">
        <f>IF('2021'!G37=0,0,IF('2020'!G37=0,0,'2021'!G37/'2020'!G37-1))</f>
        <v>-0.11111111111111116</v>
      </c>
      <c r="I23" s="174">
        <f>'2021'!H37-'2020'!H37</f>
        <v>0</v>
      </c>
      <c r="J23" s="190">
        <f>IF(I23=0,0,'2021'!H37/'2020'!H37-1)</f>
        <v>0</v>
      </c>
      <c r="K23" s="123">
        <f>'2021'!J37-'2020'!J37</f>
        <v>-4</v>
      </c>
      <c r="L23" s="190">
        <f>'2021'!I37-'2020'!I37</f>
        <v>-0.1875</v>
      </c>
      <c r="M23" s="123">
        <f>'2021'!L37-'2020'!L37</f>
        <v>0</v>
      </c>
      <c r="N23" s="190">
        <f>'2021'!K37-'2020'!K37</f>
        <v>2.0833333333333343E-2</v>
      </c>
      <c r="O23" s="123"/>
      <c r="P23" s="190"/>
      <c r="Q23" s="68"/>
      <c r="R23" s="69"/>
      <c r="S23" s="68"/>
      <c r="T23" s="69"/>
      <c r="U23" s="41" t="s">
        <v>21</v>
      </c>
      <c r="V23" s="40" t="s">
        <v>21</v>
      </c>
      <c r="W23" s="41" t="s">
        <v>21</v>
      </c>
      <c r="X23" s="45" t="s">
        <v>21</v>
      </c>
      <c r="Y23" s="18"/>
    </row>
    <row r="24" spans="1:25" ht="15" customHeight="1" x14ac:dyDescent="0.3">
      <c r="A24" s="20">
        <v>5</v>
      </c>
      <c r="B24" s="773"/>
      <c r="C24" s="775"/>
      <c r="D24" s="880"/>
      <c r="E24" s="149" t="s">
        <v>140</v>
      </c>
      <c r="F24" s="150"/>
      <c r="G24" s="151"/>
      <c r="H24" s="183"/>
      <c r="I24" s="174"/>
      <c r="J24" s="190"/>
      <c r="K24" s="123"/>
      <c r="L24" s="190">
        <f>'2021'!I38-'2020'!I38</f>
        <v>-0.2857142857142857</v>
      </c>
      <c r="M24" s="123"/>
      <c r="N24" s="190">
        <f>'2021'!K38-'2020'!K38</f>
        <v>1.1904761904761918E-2</v>
      </c>
      <c r="O24" s="123"/>
      <c r="P24" s="190"/>
      <c r="Q24" s="68"/>
      <c r="R24" s="69"/>
      <c r="S24" s="68"/>
      <c r="T24" s="69"/>
      <c r="U24" s="41"/>
      <c r="V24" s="40"/>
      <c r="W24" s="41"/>
      <c r="X24" s="45"/>
      <c r="Y24" s="18"/>
    </row>
    <row r="25" spans="1:25" ht="15" customHeight="1" x14ac:dyDescent="0.3">
      <c r="A25" s="20">
        <v>6</v>
      </c>
      <c r="B25" s="773"/>
      <c r="C25" s="775"/>
      <c r="D25" s="880"/>
      <c r="E25" s="149" t="s">
        <v>16</v>
      </c>
      <c r="F25" s="150" t="s">
        <v>60</v>
      </c>
      <c r="G25" s="151">
        <f>'2021'!G39-'2020'!G39</f>
        <v>-1</v>
      </c>
      <c r="H25" s="183">
        <f>IF('2021'!G39=0,0,IF('2020'!G39=0,0,'2021'!G39/'2020'!G39-1))</f>
        <v>-7.1428571428571397E-2</v>
      </c>
      <c r="I25" s="174">
        <f>'2021'!H39-'2020'!H39</f>
        <v>-1</v>
      </c>
      <c r="J25" s="190">
        <f>IF(I25=0,0,'2021'!H39/'2020'!H39-1)</f>
        <v>-0.11111111111111116</v>
      </c>
      <c r="K25" s="123">
        <f>'2021'!J39-'2020'!J39</f>
        <v>6</v>
      </c>
      <c r="L25" s="190">
        <f>'2021'!I39-'2020'!I39</f>
        <v>0.46703296703296704</v>
      </c>
      <c r="M25" s="123">
        <f>'2021'!L39-'2020'!L39</f>
        <v>5</v>
      </c>
      <c r="N25" s="190">
        <f>'2021'!K39-'2020'!K39</f>
        <v>0.39010989010989017</v>
      </c>
      <c r="O25" s="123"/>
      <c r="P25" s="190"/>
      <c r="Q25" s="68"/>
      <c r="R25" s="69"/>
      <c r="S25" s="68"/>
      <c r="T25" s="69"/>
      <c r="U25" s="41" t="s">
        <v>21</v>
      </c>
      <c r="V25" s="40" t="s">
        <v>21</v>
      </c>
      <c r="W25" s="41" t="s">
        <v>21</v>
      </c>
      <c r="X25" s="45" t="s">
        <v>21</v>
      </c>
      <c r="Y25" s="18"/>
    </row>
    <row r="26" spans="1:25" ht="15" customHeight="1" x14ac:dyDescent="0.3">
      <c r="A26" s="20">
        <v>7</v>
      </c>
      <c r="B26" s="773"/>
      <c r="C26" s="775"/>
      <c r="D26" s="880"/>
      <c r="E26" s="149" t="s">
        <v>17</v>
      </c>
      <c r="F26" s="150" t="s">
        <v>60</v>
      </c>
      <c r="G26" s="151">
        <f>'2021'!G40-'2020'!G40</f>
        <v>0</v>
      </c>
      <c r="H26" s="183">
        <f>IF('2021'!G40=0,0,IF('2020'!G40=0,0,'2021'!G40/'2020'!G40-1))</f>
        <v>0</v>
      </c>
      <c r="I26" s="174">
        <f>'2021'!H40-'2020'!H40</f>
        <v>4</v>
      </c>
      <c r="J26" s="190">
        <f>IF(I26=0,0,'2021'!H40/'2020'!H40-1)</f>
        <v>0.25</v>
      </c>
      <c r="K26" s="123">
        <f>'2021'!J40-'2020'!J40</f>
        <v>6</v>
      </c>
      <c r="L26" s="190">
        <f>'2021'!I40-'2020'!I40</f>
        <v>0.25</v>
      </c>
      <c r="M26" s="123">
        <f>'2021'!L40-'2020'!L40</f>
        <v>2</v>
      </c>
      <c r="N26" s="190">
        <f>'2021'!K40-'2020'!K40</f>
        <v>8.3333333333333343E-2</v>
      </c>
      <c r="O26" s="123"/>
      <c r="P26" s="190"/>
      <c r="Q26" s="68"/>
      <c r="R26" s="69"/>
      <c r="S26" s="68"/>
      <c r="T26" s="69"/>
      <c r="U26" s="41" t="s">
        <v>21</v>
      </c>
      <c r="V26" s="40" t="s">
        <v>21</v>
      </c>
      <c r="W26" s="41" t="s">
        <v>21</v>
      </c>
      <c r="X26" s="45" t="s">
        <v>21</v>
      </c>
      <c r="Y26" s="18"/>
    </row>
    <row r="27" spans="1:25" ht="15" customHeight="1" x14ac:dyDescent="0.3">
      <c r="A27" s="20">
        <v>8</v>
      </c>
      <c r="B27" s="773"/>
      <c r="C27" s="775"/>
      <c r="D27" s="880"/>
      <c r="E27" s="149" t="s">
        <v>18</v>
      </c>
      <c r="F27" s="150" t="s">
        <v>60</v>
      </c>
      <c r="G27" s="151">
        <f>'2021'!G41-'2020'!G41</f>
        <v>4</v>
      </c>
      <c r="H27" s="183">
        <f>IF('2021'!G41=0,0,IF('2020'!G41=0,0,'2021'!G41/'2020'!G41-1))</f>
        <v>0.13793103448275867</v>
      </c>
      <c r="I27" s="174">
        <f>'2021'!H41-'2020'!H41</f>
        <v>4</v>
      </c>
      <c r="J27" s="190">
        <f>IF(I27=0,0,'2021'!H41/'2020'!H41-1)</f>
        <v>0.19047619047619047</v>
      </c>
      <c r="K27" s="123">
        <f>'2021'!J41-'2020'!J41</f>
        <v>0</v>
      </c>
      <c r="L27" s="190">
        <f>'2021'!I41-'2020'!I41</f>
        <v>0</v>
      </c>
      <c r="M27" s="123">
        <f>'2021'!L41-'2020'!L41</f>
        <v>-5</v>
      </c>
      <c r="N27" s="190">
        <f>'2021'!K41-'2020'!K41</f>
        <v>-0.20167189132706373</v>
      </c>
      <c r="O27" s="123"/>
      <c r="P27" s="190"/>
      <c r="Q27" s="68"/>
      <c r="R27" s="69"/>
      <c r="S27" s="68"/>
      <c r="T27" s="69"/>
      <c r="U27" s="41" t="s">
        <v>21</v>
      </c>
      <c r="V27" s="40" t="s">
        <v>21</v>
      </c>
      <c r="W27" s="41" t="s">
        <v>21</v>
      </c>
      <c r="X27" s="45" t="s">
        <v>21</v>
      </c>
      <c r="Y27" s="18"/>
    </row>
    <row r="28" spans="1:25" ht="15" customHeight="1" x14ac:dyDescent="0.3">
      <c r="A28" s="20">
        <v>9</v>
      </c>
      <c r="B28" s="773"/>
      <c r="C28" s="775"/>
      <c r="D28" s="880"/>
      <c r="E28" s="149" t="s">
        <v>19</v>
      </c>
      <c r="F28" s="150" t="s">
        <v>60</v>
      </c>
      <c r="G28" s="151">
        <f>'2021'!G42-'2020'!G42</f>
        <v>5</v>
      </c>
      <c r="H28" s="183">
        <f>IF('2021'!G42=0,0,IF('2020'!G42=0,0,'2021'!G42/'2020'!G42-1))</f>
        <v>0.18518518518518512</v>
      </c>
      <c r="I28" s="174">
        <f>'2021'!H42-'2020'!H42</f>
        <v>0</v>
      </c>
      <c r="J28" s="190">
        <f>IF(I28=0,0,'2021'!H42/'2020'!H42-1)</f>
        <v>0</v>
      </c>
      <c r="K28" s="123">
        <f>'2021'!J42-'2020'!J42</f>
        <v>-2</v>
      </c>
      <c r="L28" s="190">
        <f>'2021'!I42-'2020'!I42</f>
        <v>-0.10300925925925924</v>
      </c>
      <c r="M28" s="123">
        <f>'2021'!L42-'2020'!L42</f>
        <v>-1</v>
      </c>
      <c r="N28" s="190">
        <f>'2021'!K42-'2020'!K42</f>
        <v>-0.10648148148148145</v>
      </c>
      <c r="O28" s="123"/>
      <c r="P28" s="190"/>
      <c r="Q28" s="68"/>
      <c r="R28" s="69"/>
      <c r="S28" s="68"/>
      <c r="T28" s="69"/>
      <c r="U28" s="41" t="s">
        <v>21</v>
      </c>
      <c r="V28" s="40" t="s">
        <v>21</v>
      </c>
      <c r="W28" s="41" t="s">
        <v>21</v>
      </c>
      <c r="X28" s="45" t="s">
        <v>21</v>
      </c>
      <c r="Y28" s="18"/>
    </row>
    <row r="29" spans="1:25" ht="15" customHeight="1" x14ac:dyDescent="0.3">
      <c r="B29" s="773"/>
      <c r="C29" s="775"/>
      <c r="D29" s="880"/>
      <c r="E29" s="293"/>
      <c r="F29" s="294"/>
      <c r="G29" s="295"/>
      <c r="H29" s="296"/>
      <c r="I29" s="297"/>
      <c r="J29" s="298"/>
      <c r="K29" s="299"/>
      <c r="L29" s="298"/>
      <c r="M29" s="299"/>
      <c r="N29" s="298"/>
      <c r="O29" s="299"/>
      <c r="P29" s="298"/>
      <c r="Q29" s="300"/>
      <c r="R29" s="301"/>
      <c r="S29" s="300"/>
      <c r="T29" s="301"/>
      <c r="U29" s="302"/>
      <c r="V29" s="303"/>
      <c r="W29" s="302"/>
      <c r="X29" s="304"/>
      <c r="Y29" s="18"/>
    </row>
    <row r="30" spans="1:25" ht="15" customHeight="1" x14ac:dyDescent="0.3">
      <c r="B30" s="773"/>
      <c r="C30" s="775"/>
      <c r="D30" s="880"/>
      <c r="E30" s="293"/>
      <c r="F30" s="294"/>
      <c r="G30" s="295"/>
      <c r="H30" s="296"/>
      <c r="I30" s="297"/>
      <c r="J30" s="298"/>
      <c r="K30" s="299"/>
      <c r="L30" s="298"/>
      <c r="M30" s="299"/>
      <c r="N30" s="298"/>
      <c r="O30" s="299"/>
      <c r="P30" s="298"/>
      <c r="Q30" s="300"/>
      <c r="R30" s="301"/>
      <c r="S30" s="300"/>
      <c r="T30" s="301"/>
      <c r="U30" s="302"/>
      <c r="V30" s="303"/>
      <c r="W30" s="302"/>
      <c r="X30" s="304"/>
      <c r="Y30" s="18"/>
    </row>
    <row r="31" spans="1:25" ht="15" customHeight="1" x14ac:dyDescent="0.3">
      <c r="A31" s="20">
        <v>10</v>
      </c>
      <c r="B31" s="773"/>
      <c r="C31" s="775"/>
      <c r="D31" s="880"/>
      <c r="E31" s="152" t="s">
        <v>5</v>
      </c>
      <c r="F31" s="153" t="s">
        <v>60</v>
      </c>
      <c r="G31" s="154"/>
      <c r="H31" s="184"/>
      <c r="I31" s="175"/>
      <c r="J31" s="191"/>
      <c r="K31" s="124"/>
      <c r="L31" s="191"/>
      <c r="M31" s="124"/>
      <c r="N31" s="191"/>
      <c r="O31" s="124"/>
      <c r="P31" s="191"/>
      <c r="Q31" s="70"/>
      <c r="R31" s="71"/>
      <c r="S31" s="70"/>
      <c r="T31" s="71"/>
      <c r="U31" s="47"/>
      <c r="V31" s="46"/>
      <c r="W31" s="47"/>
      <c r="X31" s="63"/>
      <c r="Y31" s="18"/>
    </row>
    <row r="32" spans="1:25" ht="15.6" x14ac:dyDescent="0.3">
      <c r="B32" s="773"/>
      <c r="C32" s="776"/>
      <c r="D32" s="155" t="s">
        <v>138</v>
      </c>
      <c r="E32" s="156"/>
      <c r="F32" s="157"/>
      <c r="G32" s="158">
        <f>SUM(G21:G31)</f>
        <v>71</v>
      </c>
      <c r="H32" s="185">
        <f>G32/SUM('2020'!G35:G37,'2020'!G39:G42)</f>
        <v>0.42261904761904762</v>
      </c>
      <c r="I32" s="176">
        <f>SUM(I21:I31)</f>
        <v>48</v>
      </c>
      <c r="J32" s="192">
        <f>I32/SUM('2020'!H35:H37,'2020'!H39:H42)</f>
        <v>0.44036697247706424</v>
      </c>
      <c r="K32" s="127">
        <f>SUM(K21:K31)</f>
        <v>22</v>
      </c>
      <c r="L32" s="192">
        <f>K32/SUM('2020'!J35:J37,'2020'!J39:J42)</f>
        <v>0.55000000000000004</v>
      </c>
      <c r="M32" s="127">
        <f>SUM(M21:M31)</f>
        <v>24</v>
      </c>
      <c r="N32" s="192">
        <f>M32/SUM('2020'!L35:L37,'2020'!L39:L42)</f>
        <v>0.45283018867924529</v>
      </c>
      <c r="O32" s="127"/>
      <c r="P32" s="192"/>
      <c r="Q32" s="72"/>
      <c r="R32" s="73"/>
      <c r="S32" s="72"/>
      <c r="T32" s="73"/>
      <c r="U32" s="118"/>
      <c r="V32" s="119"/>
      <c r="W32" s="118"/>
      <c r="X32" s="120"/>
      <c r="Y32" s="18"/>
    </row>
    <row r="33" spans="1:25" x14ac:dyDescent="0.3">
      <c r="A33" s="20">
        <v>11</v>
      </c>
      <c r="B33" s="854" t="s">
        <v>83</v>
      </c>
      <c r="C33" s="885" t="s">
        <v>75</v>
      </c>
      <c r="D33" s="881">
        <f>'2021'!D50-'2020'!D50</f>
        <v>0</v>
      </c>
      <c r="E33" s="146" t="s">
        <v>10</v>
      </c>
      <c r="F33" s="147" t="s">
        <v>60</v>
      </c>
      <c r="G33" s="148">
        <f>'2021'!G50-'2020'!G50</f>
        <v>9</v>
      </c>
      <c r="H33" s="182">
        <f>IF('2021'!G50=0,0,IF('2020'!G50=0,0,'2021'!G50/'2020'!G50-1))</f>
        <v>0.2432432432432432</v>
      </c>
      <c r="I33" s="173">
        <f>'2021'!H50-'2020'!H50</f>
        <v>9</v>
      </c>
      <c r="J33" s="189">
        <f>IF('2021'!H50=0,0,IF('2020'!H50=0,0,'2021'!H50/'2020'!H50-1))</f>
        <v>0.39130434782608692</v>
      </c>
      <c r="K33" s="122">
        <f>'2021'!J50-'2020'!J50</f>
        <v>15.94</v>
      </c>
      <c r="L33" s="189">
        <f>'2021'!I50-'2020'!I50</f>
        <v>0.27217391304347827</v>
      </c>
      <c r="M33" s="122">
        <f>'2021'!L50-'2020'!L50</f>
        <v>3.08</v>
      </c>
      <c r="N33" s="189">
        <f>'2021'!K50-'2020'!K50</f>
        <v>3.5652173913043483E-2</v>
      </c>
      <c r="O33" s="122">
        <f>IF('2020'!N50="-",0,'2021'!N50-'2020'!N50)</f>
        <v>3.08</v>
      </c>
      <c r="P33" s="189">
        <f>'2021'!M50-'2020'!M50</f>
        <v>0</v>
      </c>
      <c r="Q33" s="66"/>
      <c r="R33" s="67"/>
      <c r="S33" s="66"/>
      <c r="T33" s="67"/>
      <c r="U33" s="38" t="s">
        <v>21</v>
      </c>
      <c r="V33" s="37" t="s">
        <v>21</v>
      </c>
      <c r="W33" s="38" t="s">
        <v>21</v>
      </c>
      <c r="X33" s="55" t="s">
        <v>21</v>
      </c>
      <c r="Y33" s="18"/>
    </row>
    <row r="34" spans="1:25" x14ac:dyDescent="0.3">
      <c r="A34" s="20">
        <v>12</v>
      </c>
      <c r="B34" s="883"/>
      <c r="C34" s="886"/>
      <c r="D34" s="881"/>
      <c r="E34" s="149" t="s">
        <v>11</v>
      </c>
      <c r="F34" s="150" t="s">
        <v>60</v>
      </c>
      <c r="G34" s="151">
        <f>'2021'!G51-'2020'!G51</f>
        <v>-5</v>
      </c>
      <c r="H34" s="183">
        <f>IF('2021'!G51=0,0,IF('2020'!G51=0,0,'2021'!G51/'2020'!G51-1))</f>
        <v>-0.15151515151515149</v>
      </c>
      <c r="I34" s="174">
        <f>'2021'!H51-'2020'!H51</f>
        <v>2</v>
      </c>
      <c r="J34" s="190">
        <f>IF(I34=0,0,'2021'!H51/'2020'!H51-1)</f>
        <v>0.1333333333333333</v>
      </c>
      <c r="K34" s="123">
        <f>'2021'!J51-'2020'!J51</f>
        <v>8.1</v>
      </c>
      <c r="L34" s="190">
        <f>'2021'!I51-'2020'!I51</f>
        <v>0.34285714285714292</v>
      </c>
      <c r="M34" s="123">
        <f>'2021'!L51-'2020'!L51</f>
        <v>6.03</v>
      </c>
      <c r="N34" s="190">
        <f>'2021'!K51-'2020'!K51</f>
        <v>0.23142857142857146</v>
      </c>
      <c r="O34" s="123">
        <f>IF('2020'!N51="-",0,'2021'!N51-'2020'!N51)</f>
        <v>4.03</v>
      </c>
      <c r="P34" s="190">
        <f>'2021'!M51-'2020'!M51</f>
        <v>-0.22222222222222221</v>
      </c>
      <c r="Q34" s="68"/>
      <c r="R34" s="69"/>
      <c r="S34" s="68"/>
      <c r="T34" s="69"/>
      <c r="U34" s="41" t="s">
        <v>21</v>
      </c>
      <c r="V34" s="40" t="s">
        <v>21</v>
      </c>
      <c r="W34" s="41" t="s">
        <v>21</v>
      </c>
      <c r="X34" s="45" t="s">
        <v>21</v>
      </c>
      <c r="Y34" s="18"/>
    </row>
    <row r="35" spans="1:25" x14ac:dyDescent="0.3">
      <c r="A35" s="20">
        <v>13</v>
      </c>
      <c r="B35" s="883"/>
      <c r="C35" s="886"/>
      <c r="D35" s="881"/>
      <c r="E35" s="149" t="s">
        <v>12</v>
      </c>
      <c r="F35" s="150" t="s">
        <v>60</v>
      </c>
      <c r="G35" s="151">
        <f>'2021'!G52-'2020'!G52</f>
        <v>-1</v>
      </c>
      <c r="H35" s="183">
        <f>IF('2021'!G52=0,0,IF('2020'!G52=0,0,'2021'!G52/'2020'!G52-1))</f>
        <v>-0.16666666666666663</v>
      </c>
      <c r="I35" s="174">
        <f>'2021'!H52-'2020'!H52</f>
        <v>0</v>
      </c>
      <c r="J35" s="190">
        <f>IF(I35=0,0,'2021'!H52/'2020'!H52-1)</f>
        <v>0</v>
      </c>
      <c r="K35" s="123">
        <f>'2021'!J52-'2020'!J52</f>
        <v>3</v>
      </c>
      <c r="L35" s="190">
        <f>'2021'!I52-'2020'!I52</f>
        <v>0.6</v>
      </c>
      <c r="M35" s="123">
        <f>'2021'!L52-'2020'!L52</f>
        <v>1</v>
      </c>
      <c r="N35" s="190">
        <f>'2021'!K52-'2020'!K52</f>
        <v>0.2</v>
      </c>
      <c r="O35" s="123">
        <f>IF('2020'!N52="-",0,'2021'!N52-'2020'!N52)</f>
        <v>1</v>
      </c>
      <c r="P35" s="190">
        <f>'2021'!M52-'2020'!M52</f>
        <v>1</v>
      </c>
      <c r="Q35" s="68"/>
      <c r="R35" s="69"/>
      <c r="S35" s="68"/>
      <c r="T35" s="69"/>
      <c r="U35" s="41" t="s">
        <v>21</v>
      </c>
      <c r="V35" s="40" t="s">
        <v>21</v>
      </c>
      <c r="W35" s="41" t="s">
        <v>21</v>
      </c>
      <c r="X35" s="45" t="s">
        <v>21</v>
      </c>
      <c r="Y35" s="18"/>
    </row>
    <row r="36" spans="1:25" x14ac:dyDescent="0.3">
      <c r="A36" s="20">
        <v>14</v>
      </c>
      <c r="B36" s="883"/>
      <c r="C36" s="886"/>
      <c r="D36" s="881"/>
      <c r="E36" s="149" t="s">
        <v>7</v>
      </c>
      <c r="F36" s="150" t="s">
        <v>60</v>
      </c>
      <c r="G36" s="151">
        <f>'2021'!G53-'2020'!G53</f>
        <v>20</v>
      </c>
      <c r="H36" s="183">
        <f>IF('2021'!G53=0,0,IF('2020'!G53=0,0,'2021'!G53/'2020'!G53-1))</f>
        <v>0.8</v>
      </c>
      <c r="I36" s="174">
        <f>'2021'!H53-'2020'!H53</f>
        <v>11</v>
      </c>
      <c r="J36" s="190">
        <f>IF(I36=0,0,'2021'!H53/'2020'!H53-1)</f>
        <v>0.73333333333333339</v>
      </c>
      <c r="K36" s="123">
        <f>'2021'!J53-'2020'!J53</f>
        <v>4.9999999999999991</v>
      </c>
      <c r="L36" s="190">
        <f>'2021'!I53-'2020'!I53</f>
        <v>-1.3333333333333364E-2</v>
      </c>
      <c r="M36" s="123">
        <f>'2021'!L53-'2020'!L53</f>
        <v>8</v>
      </c>
      <c r="N36" s="190">
        <f>'2021'!K53-'2020'!K53</f>
        <v>0.10666666666666666</v>
      </c>
      <c r="O36" s="123">
        <f>IF('2020'!N53="-",0,'2021'!N53-'2020'!N53)</f>
        <v>2</v>
      </c>
      <c r="P36" s="190">
        <f>'2021'!M53-'2020'!M53</f>
        <v>0</v>
      </c>
      <c r="Q36" s="68"/>
      <c r="R36" s="69"/>
      <c r="S36" s="68"/>
      <c r="T36" s="69"/>
      <c r="U36" s="41" t="s">
        <v>21</v>
      </c>
      <c r="V36" s="40" t="s">
        <v>21</v>
      </c>
      <c r="W36" s="41" t="s">
        <v>21</v>
      </c>
      <c r="X36" s="45" t="s">
        <v>21</v>
      </c>
      <c r="Y36" s="18"/>
    </row>
    <row r="37" spans="1:25" x14ac:dyDescent="0.3">
      <c r="A37" s="20">
        <v>15</v>
      </c>
      <c r="B37" s="883"/>
      <c r="C37" s="886"/>
      <c r="D37" s="881"/>
      <c r="E37" s="149" t="s">
        <v>132</v>
      </c>
      <c r="F37" s="150" t="s">
        <v>60</v>
      </c>
      <c r="G37" s="151">
        <f>'2021'!G54-'2020'!G54</f>
        <v>-1</v>
      </c>
      <c r="H37" s="183">
        <f>IF('2021'!G54=0,0,IF('2020'!G54=0,0,'2021'!G54/'2020'!G54-1))</f>
        <v>-6.6666666666666652E-2</v>
      </c>
      <c r="I37" s="174">
        <f>'2021'!H54-'2020'!H54</f>
        <v>0</v>
      </c>
      <c r="J37" s="190">
        <f>IF(I37=0,0,'2021'!H54/'2020'!H54-1)</f>
        <v>0</v>
      </c>
      <c r="K37" s="123">
        <f>'2021'!J54-'2020'!J54</f>
        <v>1.0499999999999998</v>
      </c>
      <c r="L37" s="190">
        <f>'2021'!I54-'2020'!I54</f>
        <v>8.4285714285714269E-2</v>
      </c>
      <c r="M37" s="123">
        <f>'2021'!L54-'2020'!L54</f>
        <v>0.95</v>
      </c>
      <c r="N37" s="190">
        <f>'2021'!K54-'2020'!K54</f>
        <v>7.2857142857142843E-2</v>
      </c>
      <c r="O37" s="123">
        <f>IF('2020'!N54="-",0,'2021'!N54-'2020'!N54)</f>
        <v>1</v>
      </c>
      <c r="P37" s="190">
        <f>'2021'!M54-'2020'!M54</f>
        <v>0.5</v>
      </c>
      <c r="Q37" s="68"/>
      <c r="R37" s="69"/>
      <c r="S37" s="68"/>
      <c r="T37" s="69"/>
      <c r="U37" s="41" t="s">
        <v>21</v>
      </c>
      <c r="V37" s="40" t="s">
        <v>21</v>
      </c>
      <c r="W37" s="41" t="s">
        <v>21</v>
      </c>
      <c r="X37" s="45" t="s">
        <v>21</v>
      </c>
      <c r="Y37" s="18"/>
    </row>
    <row r="38" spans="1:25" x14ac:dyDescent="0.3">
      <c r="A38" s="20">
        <v>16</v>
      </c>
      <c r="B38" s="883"/>
      <c r="C38" s="886"/>
      <c r="D38" s="881"/>
      <c r="E38" s="149" t="s">
        <v>8</v>
      </c>
      <c r="F38" s="150" t="s">
        <v>60</v>
      </c>
      <c r="G38" s="151">
        <f>'2021'!G55-'2020'!G55</f>
        <v>15</v>
      </c>
      <c r="H38" s="183">
        <f>IF('2021'!G55=0,0,IF('2020'!G55=0,0,'2021'!G55/'2020'!G55-1))</f>
        <v>0.9375</v>
      </c>
      <c r="I38" s="174">
        <f>'2021'!H55-'2020'!H55</f>
        <v>9</v>
      </c>
      <c r="J38" s="190">
        <f>IF(I38=0,0,'2021'!H55/'2020'!H55-1)</f>
        <v>0.64285714285714279</v>
      </c>
      <c r="K38" s="123">
        <f>'2021'!J55-'2020'!J55</f>
        <v>10.92</v>
      </c>
      <c r="L38" s="190">
        <f>'2021'!I55-'2020'!I55</f>
        <v>0.1683870967741935</v>
      </c>
      <c r="M38" s="123">
        <f>'2021'!L55-'2020'!L55</f>
        <v>2.92</v>
      </c>
      <c r="N38" s="190">
        <f>'2021'!K55-'2020'!K55</f>
        <v>3.1290322580645152E-2</v>
      </c>
      <c r="O38" s="123">
        <f>IF('2020'!N55="-",0,'2021'!N55-'2020'!N55)</f>
        <v>2.92</v>
      </c>
      <c r="P38" s="190">
        <f>'2021'!M55-'2020'!M55</f>
        <v>0</v>
      </c>
      <c r="Q38" s="68"/>
      <c r="R38" s="69"/>
      <c r="S38" s="68"/>
      <c r="T38" s="69"/>
      <c r="U38" s="41" t="s">
        <v>21</v>
      </c>
      <c r="V38" s="40" t="s">
        <v>21</v>
      </c>
      <c r="W38" s="41" t="s">
        <v>21</v>
      </c>
      <c r="X38" s="45" t="s">
        <v>21</v>
      </c>
      <c r="Y38" s="18"/>
    </row>
    <row r="39" spans="1:25" x14ac:dyDescent="0.3">
      <c r="A39" s="20">
        <v>17</v>
      </c>
      <c r="B39" s="883"/>
      <c r="C39" s="886"/>
      <c r="D39" s="881"/>
      <c r="E39" s="149" t="s">
        <v>6</v>
      </c>
      <c r="F39" s="150" t="s">
        <v>60</v>
      </c>
      <c r="G39" s="151">
        <f>'2021'!G56-'2020'!G56</f>
        <v>5</v>
      </c>
      <c r="H39" s="183">
        <f>IF('2021'!G56=0,0,IF('2020'!G56=0,0,'2021'!G56/'2020'!G56-1))</f>
        <v>0.71428571428571419</v>
      </c>
      <c r="I39" s="174">
        <f>'2021'!H56-'2020'!H56</f>
        <v>2</v>
      </c>
      <c r="J39" s="190">
        <f>IF(I39=0,0,'2021'!H56/'2020'!H56-1)</f>
        <v>0.39999999999999991</v>
      </c>
      <c r="K39" s="123">
        <f>'2021'!J56-'2020'!J56</f>
        <v>3.02</v>
      </c>
      <c r="L39" s="190">
        <f>'2021'!I56-'2020'!I56</f>
        <v>0.1933333333333333</v>
      </c>
      <c r="M39" s="123">
        <f>'2021'!L56-'2020'!L56</f>
        <v>4</v>
      </c>
      <c r="N39" s="190">
        <f>'2021'!K56-'2020'!K56</f>
        <v>0.33333333333333331</v>
      </c>
      <c r="O39" s="123">
        <f>IF('2020'!N56="-",0,'2021'!N56-'2020'!N56)</f>
        <v>2</v>
      </c>
      <c r="P39" s="190">
        <f>'2021'!M56-'2020'!M56</f>
        <v>0.5</v>
      </c>
      <c r="Q39" s="68"/>
      <c r="R39" s="69"/>
      <c r="S39" s="68"/>
      <c r="T39" s="69"/>
      <c r="U39" s="41" t="s">
        <v>21</v>
      </c>
      <c r="V39" s="40" t="s">
        <v>21</v>
      </c>
      <c r="W39" s="41" t="s">
        <v>21</v>
      </c>
      <c r="X39" s="45" t="s">
        <v>21</v>
      </c>
      <c r="Y39" s="18"/>
    </row>
    <row r="40" spans="1:25" x14ac:dyDescent="0.3">
      <c r="B40" s="883"/>
      <c r="C40" s="886"/>
      <c r="D40" s="881"/>
      <c r="E40" s="293"/>
      <c r="F40" s="294"/>
      <c r="G40" s="295"/>
      <c r="H40" s="296"/>
      <c r="I40" s="297"/>
      <c r="J40" s="298"/>
      <c r="K40" s="299"/>
      <c r="L40" s="298"/>
      <c r="M40" s="299"/>
      <c r="N40" s="298"/>
      <c r="O40" s="299"/>
      <c r="P40" s="298"/>
      <c r="Q40" s="300"/>
      <c r="R40" s="301"/>
      <c r="S40" s="300"/>
      <c r="T40" s="301"/>
      <c r="U40" s="302"/>
      <c r="V40" s="303"/>
      <c r="W40" s="302"/>
      <c r="X40" s="304"/>
      <c r="Y40" s="18"/>
    </row>
    <row r="41" spans="1:25" x14ac:dyDescent="0.3">
      <c r="B41" s="883"/>
      <c r="C41" s="886"/>
      <c r="D41" s="881"/>
      <c r="E41" s="293"/>
      <c r="F41" s="294"/>
      <c r="G41" s="295"/>
      <c r="H41" s="296"/>
      <c r="I41" s="297"/>
      <c r="J41" s="298"/>
      <c r="K41" s="299"/>
      <c r="L41" s="298"/>
      <c r="M41" s="299"/>
      <c r="N41" s="298"/>
      <c r="O41" s="299"/>
      <c r="P41" s="298"/>
      <c r="Q41" s="300"/>
      <c r="R41" s="301"/>
      <c r="S41" s="300"/>
      <c r="T41" s="301"/>
      <c r="U41" s="302"/>
      <c r="V41" s="303"/>
      <c r="W41" s="302"/>
      <c r="X41" s="304"/>
      <c r="Y41" s="18"/>
    </row>
    <row r="42" spans="1:25" x14ac:dyDescent="0.3">
      <c r="A42" s="20">
        <v>18</v>
      </c>
      <c r="B42" s="883"/>
      <c r="C42" s="886"/>
      <c r="D42" s="881"/>
      <c r="E42" s="152" t="s">
        <v>9</v>
      </c>
      <c r="F42" s="153" t="s">
        <v>60</v>
      </c>
      <c r="G42" s="154">
        <f>'2021'!G60-'2020'!G60</f>
        <v>-3</v>
      </c>
      <c r="H42" s="184">
        <f>IF('2021'!G60=0,0,IF('2020'!G60=0,0,'2021'!G60/'2020'!G60-1))</f>
        <v>-0.15000000000000002</v>
      </c>
      <c r="I42" s="175">
        <f>'2021'!H60-'2020'!H60</f>
        <v>0</v>
      </c>
      <c r="J42" s="191">
        <f>IF(I42=0,0,'2021'!H60/'2020'!H60-1)</f>
        <v>0</v>
      </c>
      <c r="K42" s="124">
        <f>'2021'!J60-'2020'!J60</f>
        <v>2</v>
      </c>
      <c r="L42" s="191">
        <f>'2021'!I60-'2020'!I60</f>
        <v>0.16176470588235292</v>
      </c>
      <c r="M42" s="124">
        <f>'2021'!L60-'2020'!L60</f>
        <v>1</v>
      </c>
      <c r="N42" s="191">
        <f>'2021'!K60-'2020'!K60</f>
        <v>8.5294117647058826E-2</v>
      </c>
      <c r="O42" s="124">
        <f>IF('2020'!N60="-",0,'2021'!N60-'2020'!N60)</f>
        <v>1.0000000000000009E-2</v>
      </c>
      <c r="P42" s="191">
        <f>'2021'!M60-'2020'!M60</f>
        <v>-8.0000000000000016E-2</v>
      </c>
      <c r="Q42" s="70"/>
      <c r="R42" s="71"/>
      <c r="S42" s="70"/>
      <c r="T42" s="71"/>
      <c r="U42" s="47" t="s">
        <v>21</v>
      </c>
      <c r="V42" s="46" t="s">
        <v>21</v>
      </c>
      <c r="W42" s="47" t="s">
        <v>21</v>
      </c>
      <c r="X42" s="63" t="s">
        <v>21</v>
      </c>
      <c r="Y42" s="18"/>
    </row>
    <row r="43" spans="1:25" ht="16.2" thickBot="1" x14ac:dyDescent="0.35">
      <c r="B43" s="884"/>
      <c r="C43" s="887"/>
      <c r="D43" s="159" t="s">
        <v>138</v>
      </c>
      <c r="E43" s="160"/>
      <c r="F43" s="161"/>
      <c r="G43" s="158">
        <f>SUM(G33:G42)</f>
        <v>39</v>
      </c>
      <c r="H43" s="185">
        <f>G43/SUM('2020'!G50:G60)</f>
        <v>0.24528301886792453</v>
      </c>
      <c r="I43" s="176">
        <f>SUM(I33:I42)</f>
        <v>33</v>
      </c>
      <c r="J43" s="192">
        <f>I43/SUM('2020'!H50:H60)</f>
        <v>0.3473684210526316</v>
      </c>
      <c r="K43" s="127">
        <f>SUM(K33:K42)</f>
        <v>49.03</v>
      </c>
      <c r="L43" s="192">
        <f>K43/SUM('2020'!J50:J60)</f>
        <v>1.0902824104958861</v>
      </c>
      <c r="M43" s="127">
        <f>SUM(M33:M42)</f>
        <v>26.979999999999997</v>
      </c>
      <c r="N43" s="192">
        <f>M43/SUM('2020'!L50:L60)</f>
        <v>1.41850683491062</v>
      </c>
      <c r="O43" s="127">
        <f>SUM(O33:O42)</f>
        <v>16.040000000000003</v>
      </c>
      <c r="P43" s="192">
        <f>O43/SUM('2020'!N50:N60)</f>
        <v>1.2376543209876545</v>
      </c>
      <c r="Q43" s="121"/>
      <c r="R43" s="128"/>
      <c r="S43" s="121"/>
      <c r="T43" s="128"/>
      <c r="U43" s="129"/>
      <c r="V43" s="130"/>
      <c r="W43" s="129"/>
      <c r="X43" s="131"/>
      <c r="Y43" s="18"/>
    </row>
    <row r="44" spans="1:25" s="15" customFormat="1" ht="21" customHeight="1" thickBot="1" x14ac:dyDescent="0.35">
      <c r="A44" s="22"/>
      <c r="B44" s="102" t="s">
        <v>78</v>
      </c>
      <c r="C44" s="103"/>
      <c r="D44" s="163">
        <f>SUM(D5:D42)</f>
        <v>11</v>
      </c>
      <c r="E44" s="164">
        <f>COUNT(A5:A43)</f>
        <v>28</v>
      </c>
      <c r="F44" s="165">
        <f>COUNT(K5:K42)</f>
        <v>30</v>
      </c>
      <c r="G44" s="166">
        <f>G5+G32+G43</f>
        <v>149</v>
      </c>
      <c r="H44" s="187">
        <f>G44/'2020'!G65</f>
        <v>0.37817258883248733</v>
      </c>
      <c r="I44" s="178">
        <f>I5+I32+I43</f>
        <v>146</v>
      </c>
      <c r="J44" s="194">
        <f>I44/'2020'!H65</f>
        <v>0.62127659574468086</v>
      </c>
      <c r="K44" s="132">
        <f>K5+K32+K43</f>
        <v>71.03</v>
      </c>
      <c r="L44" s="194">
        <f>K44/'2020'!J65</f>
        <v>0.79835899741485894</v>
      </c>
      <c r="M44" s="132">
        <f>M5+M32+M43</f>
        <v>51.98</v>
      </c>
      <c r="N44" s="194">
        <f>M44/'2020'!L65</f>
        <v>0.58391372725230273</v>
      </c>
      <c r="O44" s="132">
        <f>O5+O32+O43</f>
        <v>16.040000000000003</v>
      </c>
      <c r="P44" s="194">
        <f>O44/'2020'!N65</f>
        <v>1.072192513368984</v>
      </c>
      <c r="Q44" s="133"/>
      <c r="R44" s="134"/>
      <c r="S44" s="133"/>
      <c r="T44" s="134"/>
      <c r="U44" s="135"/>
      <c r="V44" s="136"/>
      <c r="W44" s="135"/>
      <c r="X44" s="137"/>
      <c r="Y44" s="19"/>
    </row>
    <row r="45" spans="1:25" ht="15" customHeight="1" x14ac:dyDescent="0.3">
      <c r="A45" s="20">
        <v>19</v>
      </c>
      <c r="B45" s="849" t="s">
        <v>84</v>
      </c>
      <c r="C45" s="851" t="s">
        <v>76</v>
      </c>
      <c r="D45" s="882">
        <f>'2021'!D66-'2020'!D66</f>
        <v>-25</v>
      </c>
      <c r="E45" s="146" t="s">
        <v>25</v>
      </c>
      <c r="F45" s="147" t="s">
        <v>60</v>
      </c>
      <c r="G45" s="148"/>
      <c r="H45" s="182"/>
      <c r="I45" s="173"/>
      <c r="J45" s="189"/>
      <c r="K45" s="122"/>
      <c r="L45" s="189"/>
      <c r="M45" s="122"/>
      <c r="N45" s="189"/>
      <c r="O45" s="122"/>
      <c r="P45" s="189"/>
      <c r="Q45" s="138"/>
      <c r="R45" s="139"/>
      <c r="S45" s="138"/>
      <c r="T45" s="139"/>
      <c r="U45" s="140"/>
      <c r="V45" s="113"/>
      <c r="W45" s="140"/>
      <c r="X45" s="141"/>
      <c r="Y45" s="18"/>
    </row>
    <row r="46" spans="1:25" ht="15" customHeight="1" x14ac:dyDescent="0.3">
      <c r="A46" s="20">
        <v>20</v>
      </c>
      <c r="B46" s="747"/>
      <c r="C46" s="750"/>
      <c r="D46" s="881"/>
      <c r="E46" s="149" t="s">
        <v>26</v>
      </c>
      <c r="F46" s="150" t="s">
        <v>60</v>
      </c>
      <c r="G46" s="151"/>
      <c r="H46" s="183"/>
      <c r="I46" s="174"/>
      <c r="J46" s="190"/>
      <c r="K46" s="123"/>
      <c r="L46" s="190"/>
      <c r="M46" s="123"/>
      <c r="N46" s="190"/>
      <c r="O46" s="123"/>
      <c r="P46" s="190"/>
      <c r="Q46" s="68"/>
      <c r="R46" s="69"/>
      <c r="S46" s="68"/>
      <c r="T46" s="69"/>
      <c r="U46" s="42"/>
      <c r="V46" s="43"/>
      <c r="W46" s="42"/>
      <c r="X46" s="44"/>
      <c r="Y46" s="18"/>
    </row>
    <row r="47" spans="1:25" ht="15" customHeight="1" x14ac:dyDescent="0.3">
      <c r="A47" s="20">
        <v>21</v>
      </c>
      <c r="B47" s="747"/>
      <c r="C47" s="750"/>
      <c r="D47" s="881"/>
      <c r="E47" s="149" t="s">
        <v>58</v>
      </c>
      <c r="F47" s="150" t="s">
        <v>60</v>
      </c>
      <c r="G47" s="151">
        <f>'2021'!G68-'2020'!G68</f>
        <v>6</v>
      </c>
      <c r="H47" s="183">
        <f>IF('2021'!G68=0,0,IF('2020'!G68=0,0,'2021'!G68/'2020'!G68-1))</f>
        <v>2.7027027027026973E-2</v>
      </c>
      <c r="I47" s="174">
        <f>'2021'!H68-'2020'!H68</f>
        <v>59</v>
      </c>
      <c r="J47" s="190">
        <f>IF(I47=0,0,'2021'!H68/'2020'!H68-1)</f>
        <v>0.89393939393939403</v>
      </c>
      <c r="K47" s="123">
        <f>'2021'!J68-'2020'!J68</f>
        <v>-47</v>
      </c>
      <c r="L47" s="190">
        <f>IF('2021'!J68=0,0,IF('2020'!J68=0,0,'2021'!J68/'2020'!J68-1))</f>
        <v>-0.34306569343065696</v>
      </c>
      <c r="M47" s="123">
        <f>'2021'!L68-'2020'!L68</f>
        <v>3</v>
      </c>
      <c r="N47" s="190">
        <f>IF('2021'!L68=0,0,IF('2020'!L68=0,0,'2021'!L68/'2020'!L68-1))</f>
        <v>3.4090909090909172E-2</v>
      </c>
      <c r="O47" s="123">
        <f>IF('2020'!N68="-",0,'2021'!N68-'2020'!N68)</f>
        <v>0</v>
      </c>
      <c r="P47" s="190">
        <f>IF('2021'!N68=0,0,IF('2020'!N68="-",0,'2021'!N68/'2020'!N68-1))</f>
        <v>0</v>
      </c>
      <c r="Q47" s="68"/>
      <c r="R47" s="69"/>
      <c r="S47" s="68"/>
      <c r="T47" s="69"/>
      <c r="U47" s="41" t="s">
        <v>21</v>
      </c>
      <c r="V47" s="40" t="s">
        <v>21</v>
      </c>
      <c r="W47" s="41" t="s">
        <v>21</v>
      </c>
      <c r="X47" s="45" t="s">
        <v>21</v>
      </c>
      <c r="Y47" s="18"/>
    </row>
    <row r="48" spans="1:25" ht="15" customHeight="1" x14ac:dyDescent="0.3">
      <c r="A48" s="20">
        <v>22</v>
      </c>
      <c r="B48" s="747"/>
      <c r="C48" s="750"/>
      <c r="D48" s="881"/>
      <c r="E48" s="149" t="s">
        <v>24</v>
      </c>
      <c r="F48" s="150" t="s">
        <v>62</v>
      </c>
      <c r="G48" s="151">
        <f>'2021'!G69-'2020'!G69</f>
        <v>35</v>
      </c>
      <c r="H48" s="183">
        <f>IF('2021'!G69=0,0,IF('2020'!G69=0,0,'2021'!G69/'2020'!G69-1))</f>
        <v>0.33018867924528306</v>
      </c>
      <c r="I48" s="174">
        <f>'2021'!H69-'2020'!H69</f>
        <v>45</v>
      </c>
      <c r="J48" s="190">
        <f>IF(I48=0,0,'2021'!H69/'2020'!H69-1)</f>
        <v>1.2857142857142856</v>
      </c>
      <c r="K48" s="123">
        <f>'2021'!J69-'2020'!J69</f>
        <v>26</v>
      </c>
      <c r="L48" s="190">
        <f>IF('2021'!J69=0,0,IF('2020'!J69=0,0,'2021'!J69/'2020'!J69-1))</f>
        <v>0.66666666666666674</v>
      </c>
      <c r="M48" s="123">
        <f>'2021'!L69-'2020'!L69</f>
        <v>14</v>
      </c>
      <c r="N48" s="190">
        <f>IF('2021'!L69=0,0,IF('2020'!L69=0,0,'2021'!L69/'2020'!L69-1))</f>
        <v>0.29166666666666674</v>
      </c>
      <c r="O48" s="123">
        <f>IF('2020'!N69="-",0,'2021'!N69-'2020'!N69)</f>
        <v>0</v>
      </c>
      <c r="P48" s="190">
        <f>IF('2021'!N69=0,0,IF('2020'!N69="-",0,'2021'!N69/'2020'!N69-1))</f>
        <v>0</v>
      </c>
      <c r="Q48" s="68"/>
      <c r="R48" s="69"/>
      <c r="S48" s="68"/>
      <c r="T48" s="69"/>
      <c r="U48" s="42"/>
      <c r="V48" s="43"/>
      <c r="W48" s="42"/>
      <c r="X48" s="44"/>
      <c r="Y48" s="18"/>
    </row>
    <row r="49" spans="1:25" ht="15" customHeight="1" x14ac:dyDescent="0.3">
      <c r="A49" s="20">
        <v>23</v>
      </c>
      <c r="B49" s="747"/>
      <c r="C49" s="750"/>
      <c r="D49" s="881"/>
      <c r="E49" s="149" t="s">
        <v>23</v>
      </c>
      <c r="F49" s="150" t="s">
        <v>60</v>
      </c>
      <c r="G49" s="151">
        <f>'2021'!G70-'2020'!G70</f>
        <v>28</v>
      </c>
      <c r="H49" s="183">
        <f>IF('2021'!G70=0,0,IF('2020'!G70=0,0,'2021'!G70/'2020'!G70-1))</f>
        <v>0.13592233009708732</v>
      </c>
      <c r="I49" s="174">
        <f>'2021'!H70-'2020'!H70</f>
        <v>57</v>
      </c>
      <c r="J49" s="190">
        <f>IF(I49=0,0,'2021'!H70/'2020'!H70-1)</f>
        <v>0.81428571428571428</v>
      </c>
      <c r="K49" s="123">
        <f>'2021'!J70-'2020'!J70</f>
        <v>12</v>
      </c>
      <c r="L49" s="190">
        <f>IF('2021'!J70=0,0,IF('2020'!J70=0,0,'2021'!J70/'2020'!J70-1))</f>
        <v>0.13793103448275867</v>
      </c>
      <c r="M49" s="123">
        <f>'2021'!L70-'2020'!L70</f>
        <v>29</v>
      </c>
      <c r="N49" s="190">
        <f>IF('2021'!L70=0,0,IF('2020'!L70=0,0,'2021'!L70/'2020'!L70-1))</f>
        <v>0.34939759036144569</v>
      </c>
      <c r="O49" s="123">
        <f>IF('2020'!N70="-",0,'2021'!N70-'2020'!N70)</f>
        <v>0</v>
      </c>
      <c r="P49" s="190">
        <f>IF('2021'!N70=0,0,IF('2020'!N70="-",0,'2021'!N70/'2020'!N70-1))</f>
        <v>0</v>
      </c>
      <c r="Q49" s="68"/>
      <c r="R49" s="69"/>
      <c r="S49" s="68"/>
      <c r="T49" s="69"/>
      <c r="U49" s="41" t="s">
        <v>21</v>
      </c>
      <c r="V49" s="40" t="s">
        <v>21</v>
      </c>
      <c r="W49" s="41" t="s">
        <v>21</v>
      </c>
      <c r="X49" s="45" t="s">
        <v>21</v>
      </c>
      <c r="Y49" s="18"/>
    </row>
    <row r="50" spans="1:25" ht="15" customHeight="1" x14ac:dyDescent="0.3">
      <c r="B50" s="747"/>
      <c r="C50" s="750"/>
      <c r="D50" s="881"/>
      <c r="E50" s="293"/>
      <c r="F50" s="294"/>
      <c r="G50" s="295"/>
      <c r="H50" s="296"/>
      <c r="I50" s="297"/>
      <c r="J50" s="298"/>
      <c r="K50" s="299"/>
      <c r="L50" s="298"/>
      <c r="M50" s="299"/>
      <c r="N50" s="298"/>
      <c r="O50" s="299"/>
      <c r="P50" s="298"/>
      <c r="Q50" s="300"/>
      <c r="R50" s="301"/>
      <c r="S50" s="300"/>
      <c r="T50" s="301"/>
      <c r="U50" s="302"/>
      <c r="V50" s="303"/>
      <c r="W50" s="302"/>
      <c r="X50" s="304"/>
      <c r="Y50" s="18"/>
    </row>
    <row r="51" spans="1:25" ht="15" customHeight="1" x14ac:dyDescent="0.3">
      <c r="B51" s="747"/>
      <c r="C51" s="750"/>
      <c r="D51" s="881"/>
      <c r="E51" s="293"/>
      <c r="F51" s="294"/>
      <c r="G51" s="295"/>
      <c r="H51" s="296"/>
      <c r="I51" s="297"/>
      <c r="J51" s="298"/>
      <c r="K51" s="299"/>
      <c r="L51" s="298"/>
      <c r="M51" s="299"/>
      <c r="N51" s="298"/>
      <c r="O51" s="299"/>
      <c r="P51" s="298"/>
      <c r="Q51" s="300"/>
      <c r="R51" s="301"/>
      <c r="S51" s="300"/>
      <c r="T51" s="301"/>
      <c r="U51" s="302"/>
      <c r="V51" s="303"/>
      <c r="W51" s="302"/>
      <c r="X51" s="304"/>
      <c r="Y51" s="18"/>
    </row>
    <row r="52" spans="1:25" ht="15" customHeight="1" x14ac:dyDescent="0.3">
      <c r="A52" s="20">
        <v>24</v>
      </c>
      <c r="B52" s="747"/>
      <c r="C52" s="750"/>
      <c r="D52" s="881"/>
      <c r="E52" s="152" t="s">
        <v>22</v>
      </c>
      <c r="F52" s="153" t="s">
        <v>62</v>
      </c>
      <c r="G52" s="154">
        <f>'2021'!G73-'2020'!G73</f>
        <v>-16</v>
      </c>
      <c r="H52" s="184">
        <f>IF('2021'!G73=0,0,IF('2020'!G73=0,0,'2021'!G73/'2020'!G73-1))</f>
        <v>-9.2485549132947931E-2</v>
      </c>
      <c r="I52" s="175">
        <f>'2021'!H73-'2020'!H73</f>
        <v>20</v>
      </c>
      <c r="J52" s="191">
        <f>IF(I52=0,0,'2021'!H73/'2020'!H73-1)</f>
        <v>0.32258064516129026</v>
      </c>
      <c r="K52" s="124">
        <f>'2021'!J73-'2020'!J73</f>
        <v>-3</v>
      </c>
      <c r="L52" s="191">
        <f>IF('2021'!J73=0,0,IF('2020'!J73=0,0,'2021'!J73/'2020'!J73-1))</f>
        <v>-7.6923076923076872E-2</v>
      </c>
      <c r="M52" s="124">
        <f>'2021'!L73-'2020'!L73</f>
        <v>-26</v>
      </c>
      <c r="N52" s="191">
        <f>IF('2021'!L73=0,0,IF('2020'!L73=0,0,'2021'!L73/'2020'!L73-1))</f>
        <v>-0.34666666666666668</v>
      </c>
      <c r="O52" s="124">
        <f>IF('2020'!N73="-",0,'2021'!N73-'2020'!N73)</f>
        <v>0</v>
      </c>
      <c r="P52" s="191">
        <f>IF('2021'!N73=0,0,IF('2020'!N73="-",0,'2021'!N73/'2020'!N73-1))</f>
        <v>0</v>
      </c>
      <c r="Q52" s="70"/>
      <c r="R52" s="71"/>
      <c r="S52" s="70"/>
      <c r="T52" s="71"/>
      <c r="U52" s="48"/>
      <c r="V52" s="49"/>
      <c r="W52" s="48"/>
      <c r="X52" s="50"/>
      <c r="Y52" s="18"/>
    </row>
    <row r="53" spans="1:25" ht="15.6" x14ac:dyDescent="0.3">
      <c r="B53" s="875"/>
      <c r="C53" s="752"/>
      <c r="D53" s="170" t="s">
        <v>138</v>
      </c>
      <c r="E53" s="156"/>
      <c r="F53" s="157"/>
      <c r="G53" s="158">
        <f>SUM(G45:G52)</f>
        <v>53</v>
      </c>
      <c r="H53" s="185">
        <f>G53/SUM('2020'!G68:G73)</f>
        <v>7.4964639321074958E-2</v>
      </c>
      <c r="I53" s="176">
        <f>SUM(I45:I52)</f>
        <v>181</v>
      </c>
      <c r="J53" s="192">
        <f>I53/SUM('2020'!H68:H73)</f>
        <v>0.77682403433476399</v>
      </c>
      <c r="K53" s="127">
        <f>SUM(K45:K52)</f>
        <v>-12</v>
      </c>
      <c r="L53" s="192">
        <f>K53/SUM('2020'!J68:J73)</f>
        <v>-3.9735099337748346E-2</v>
      </c>
      <c r="M53" s="127">
        <f>SUM(M45:M52)</f>
        <v>20</v>
      </c>
      <c r="N53" s="192">
        <f>M53/SUM('2020'!L68:L73)</f>
        <v>6.8027210884353748E-2</v>
      </c>
      <c r="O53" s="127">
        <f>SUM(O45:O52)</f>
        <v>0</v>
      </c>
      <c r="P53" s="192" t="e">
        <f>O53/SUM('2020'!N68:N73)</f>
        <v>#DIV/0!</v>
      </c>
      <c r="Q53" s="72"/>
      <c r="R53" s="73"/>
      <c r="S53" s="72"/>
      <c r="T53" s="73"/>
      <c r="U53" s="52"/>
      <c r="V53" s="53"/>
      <c r="W53" s="52"/>
      <c r="X53" s="54"/>
      <c r="Y53" s="18"/>
    </row>
    <row r="54" spans="1:25" x14ac:dyDescent="0.3">
      <c r="A54" s="20">
        <v>25</v>
      </c>
      <c r="B54" s="747" t="s">
        <v>167</v>
      </c>
      <c r="C54" s="750" t="s">
        <v>76</v>
      </c>
      <c r="D54" s="876">
        <f>'2021'!D67-'2020'!D78</f>
        <v>0</v>
      </c>
      <c r="E54" s="146" t="s">
        <v>166</v>
      </c>
      <c r="F54" s="147" t="s">
        <v>62</v>
      </c>
      <c r="G54" s="148">
        <f>'2021'!G67-'2020'!G78</f>
        <v>0</v>
      </c>
      <c r="H54" s="182">
        <f>IF('2021'!G67=0,0,IF('2020'!G78=0,0,'2021'!G67/'2020'!G78-1))</f>
        <v>0</v>
      </c>
      <c r="I54" s="173">
        <f>'2021'!H67-'2020'!H78</f>
        <v>0</v>
      </c>
      <c r="J54" s="189">
        <f>IF(I54=0,0,'2021'!H67/'2020'!H78-1)</f>
        <v>0</v>
      </c>
      <c r="K54" s="122">
        <f>'2021'!J67-'2020'!J78</f>
        <v>0</v>
      </c>
      <c r="L54" s="189">
        <f>IF('2021'!J67=0,0,IF('2020'!J78=0,0,'2021'!J67/'2020'!J78-1))</f>
        <v>0</v>
      </c>
      <c r="M54" s="122">
        <f>'2021'!L67-'2020'!L78</f>
        <v>0</v>
      </c>
      <c r="N54" s="189">
        <f>IF('2021'!L67=0,0,IF('2020'!L78=0,0,'2021'!L67/'2020'!L78-1))</f>
        <v>0</v>
      </c>
      <c r="O54" s="122" t="e">
        <f>IF('2020'!N78="-",0,'2021'!N67-'2020'!N78)</f>
        <v>#VALUE!</v>
      </c>
      <c r="P54" s="189" t="e">
        <f>IF('2021'!N67=0,0,IF('2020'!N78="-",0,'2021'!N67/'2020'!N78-1))</f>
        <v>#VALUE!</v>
      </c>
      <c r="Q54" s="66"/>
      <c r="R54" s="67"/>
      <c r="S54" s="66"/>
      <c r="T54" s="67"/>
      <c r="U54" s="39">
        <f>'2021'!S67-'2020'!S78</f>
        <v>0</v>
      </c>
      <c r="V54" s="207">
        <f>IF('2021'!S67=0,0,IF('2020'!S78=0,0,'2021'!S67/'2020'!S78-1))</f>
        <v>0</v>
      </c>
      <c r="W54" s="39">
        <f>'2021'!U67-'2020'!U78</f>
        <v>0</v>
      </c>
      <c r="X54" s="208">
        <f>IF('2021'!U67=0,0,IF('2020'!U78=0,0,'2021'!U67/'2020'!U78-1))</f>
        <v>0</v>
      </c>
      <c r="Y54" s="18"/>
    </row>
    <row r="55" spans="1:25" x14ac:dyDescent="0.3">
      <c r="A55" s="20">
        <v>26</v>
      </c>
      <c r="B55" s="747"/>
      <c r="C55" s="750"/>
      <c r="D55" s="877"/>
      <c r="E55" s="149" t="s">
        <v>166</v>
      </c>
      <c r="F55" s="150" t="s">
        <v>62</v>
      </c>
      <c r="G55" s="151">
        <f>'2021'!G68-'2020'!G79</f>
        <v>228</v>
      </c>
      <c r="H55" s="183">
        <f>IF('2021'!G68=0,0,IF('2020'!G79=0,0,'2021'!G68/'2020'!G79-1))</f>
        <v>0</v>
      </c>
      <c r="I55" s="174">
        <f>'2021'!H68-'2020'!H79</f>
        <v>125</v>
      </c>
      <c r="J55" s="190" t="e">
        <f>IF(I55=0,0,'2021'!H68/'2020'!H79-1)</f>
        <v>#DIV/0!</v>
      </c>
      <c r="K55" s="123">
        <f>'2021'!J68-'2020'!J79</f>
        <v>90</v>
      </c>
      <c r="L55" s="190">
        <f>IF('2021'!J68=0,0,IF('2020'!J79=0,0,'2021'!J68/'2020'!J79-1))</f>
        <v>0</v>
      </c>
      <c r="M55" s="123">
        <f>'2021'!L68-'2020'!L79</f>
        <v>91</v>
      </c>
      <c r="N55" s="190">
        <f>IF('2021'!L68=0,0,IF('2020'!L79=0,0,'2021'!L68/'2020'!L79-1))</f>
        <v>0</v>
      </c>
      <c r="O55" s="123" t="e">
        <f>IF('2020'!N79="-",0,'2021'!N68-'2020'!N79)</f>
        <v>#VALUE!</v>
      </c>
      <c r="P55" s="190" t="e">
        <f>IF('2021'!N68=0,0,IF('2020'!N79="-",0,'2021'!N68/'2020'!N79-1))</f>
        <v>#VALUE!</v>
      </c>
      <c r="Q55" s="68"/>
      <c r="R55" s="69"/>
      <c r="S55" s="68"/>
      <c r="T55" s="69"/>
      <c r="U55" s="42" t="e">
        <f>'2021'!S68-'2020'!S79</f>
        <v>#VALUE!</v>
      </c>
      <c r="V55" s="209">
        <f>IF('2021'!S68=0,0,IF('2020'!S79=0,0,'2021'!S68/'2020'!S79-1))</f>
        <v>0</v>
      </c>
      <c r="W55" s="42" t="e">
        <f>'2021'!U68-'2020'!U79</f>
        <v>#VALUE!</v>
      </c>
      <c r="X55" s="211">
        <f>IF('2021'!U68=0,0,IF('2020'!U79=0,0,'2021'!U68/'2020'!U79-1))</f>
        <v>0</v>
      </c>
      <c r="Y55" s="18"/>
    </row>
    <row r="56" spans="1:25" x14ac:dyDescent="0.3">
      <c r="A56" s="20">
        <v>27</v>
      </c>
      <c r="B56" s="747"/>
      <c r="C56" s="750"/>
      <c r="D56" s="877"/>
      <c r="E56" s="149" t="s">
        <v>166</v>
      </c>
      <c r="F56" s="150" t="s">
        <v>62</v>
      </c>
      <c r="G56" s="151">
        <f>'2021'!G69-'2020'!G80</f>
        <v>141</v>
      </c>
      <c r="H56" s="183">
        <f>IF('2021'!G69=0,0,IF('2020'!G80=0,0,'2021'!G69/'2020'!G80-1))</f>
        <v>0</v>
      </c>
      <c r="I56" s="174">
        <f>'2021'!H69-'2020'!H80</f>
        <v>80</v>
      </c>
      <c r="J56" s="190" t="e">
        <f>IF(I56=0,0,'2021'!H69/'2020'!H80-1)</f>
        <v>#DIV/0!</v>
      </c>
      <c r="K56" s="123">
        <f>'2021'!J69-'2020'!J80</f>
        <v>65</v>
      </c>
      <c r="L56" s="190">
        <f>IF('2021'!J69=0,0,IF('2020'!J80=0,0,'2021'!J69/'2020'!J80-1))</f>
        <v>0</v>
      </c>
      <c r="M56" s="123">
        <f>'2021'!L69-'2020'!L80</f>
        <v>62</v>
      </c>
      <c r="N56" s="190">
        <f>IF('2021'!L69=0,0,IF('2020'!L80=0,0,'2021'!L69/'2020'!L80-1))</f>
        <v>0</v>
      </c>
      <c r="O56" s="123" t="e">
        <f>IF('2020'!N80="-",0,'2021'!N69-'2020'!N80)</f>
        <v>#VALUE!</v>
      </c>
      <c r="P56" s="190" t="e">
        <f>IF('2021'!N69=0,0,IF('2020'!N80="-",0,'2021'!N69/'2020'!N80-1))</f>
        <v>#VALUE!</v>
      </c>
      <c r="Q56" s="68"/>
      <c r="R56" s="69"/>
      <c r="S56" s="68"/>
      <c r="T56" s="69"/>
      <c r="U56" s="42">
        <f>'2021'!S69-'2020'!S80</f>
        <v>0</v>
      </c>
      <c r="V56" s="209">
        <f>IF('2021'!S69=0,0,IF('2020'!S80=0,0,'2021'!S69/'2020'!S80-1))</f>
        <v>0</v>
      </c>
      <c r="W56" s="42">
        <f>'2021'!U69-'2020'!U80</f>
        <v>0</v>
      </c>
      <c r="X56" s="211">
        <f>IF('2021'!U69=0,0,IF('2020'!U80=0,0,'2021'!U69/'2020'!U80-1))</f>
        <v>0</v>
      </c>
      <c r="Y56" s="18"/>
    </row>
    <row r="57" spans="1:25" x14ac:dyDescent="0.3">
      <c r="A57" s="20">
        <v>28</v>
      </c>
      <c r="B57" s="747"/>
      <c r="C57" s="750"/>
      <c r="D57" s="877"/>
      <c r="E57" s="149" t="s">
        <v>166</v>
      </c>
      <c r="F57" s="150" t="s">
        <v>62</v>
      </c>
      <c r="G57" s="151">
        <f>'2021'!G70-'2020'!G81</f>
        <v>234</v>
      </c>
      <c r="H57" s="183">
        <f>IF('2021'!G70=0,0,IF('2020'!G81=0,0,'2021'!G70/'2020'!G81-1))</f>
        <v>0</v>
      </c>
      <c r="I57" s="174">
        <f>'2021'!H70-'2020'!H81</f>
        <v>127</v>
      </c>
      <c r="J57" s="190" t="e">
        <f>IF(I57=0,0,'2021'!H70/'2020'!H81-1)</f>
        <v>#DIV/0!</v>
      </c>
      <c r="K57" s="123">
        <f>'2021'!J70-'2020'!J81</f>
        <v>99</v>
      </c>
      <c r="L57" s="190">
        <f>IF('2021'!J70=0,0,IF('2020'!J81=0,0,'2021'!J70/'2020'!J81-1))</f>
        <v>0</v>
      </c>
      <c r="M57" s="123">
        <f>'2021'!L70-'2020'!L81</f>
        <v>112</v>
      </c>
      <c r="N57" s="190">
        <f>IF('2021'!L70=0,0,IF('2020'!L81=0,0,'2021'!L70/'2020'!L81-1))</f>
        <v>0</v>
      </c>
      <c r="O57" s="123" t="e">
        <f>IF('2020'!N81="-",0,'2021'!N70-'2020'!N81)</f>
        <v>#VALUE!</v>
      </c>
      <c r="P57" s="190" t="e">
        <f>IF('2021'!N70=0,0,IF('2020'!N81="-",0,'2021'!N70/'2020'!N81-1))</f>
        <v>#VALUE!</v>
      </c>
      <c r="Q57" s="68"/>
      <c r="R57" s="69"/>
      <c r="S57" s="68"/>
      <c r="T57" s="69"/>
      <c r="U57" s="42" t="e">
        <f>'2021'!S70-'2020'!S81</f>
        <v>#VALUE!</v>
      </c>
      <c r="V57" s="209">
        <f>IF('2021'!S70=0,0,IF('2020'!S81=0,0,'2021'!S70/'2020'!S81-1))</f>
        <v>0</v>
      </c>
      <c r="W57" s="42" t="e">
        <f>'2021'!U70-'2020'!U81</f>
        <v>#VALUE!</v>
      </c>
      <c r="X57" s="211">
        <f>IF('2021'!U70=0,0,IF('2020'!U81=0,0,'2021'!U70/'2020'!U81-1))</f>
        <v>0</v>
      </c>
      <c r="Y57" s="18"/>
    </row>
    <row r="58" spans="1:25" x14ac:dyDescent="0.3">
      <c r="B58" s="747"/>
      <c r="C58" s="750"/>
      <c r="D58" s="878"/>
      <c r="E58" s="293" t="s">
        <v>166</v>
      </c>
      <c r="F58" s="294"/>
      <c r="G58" s="151">
        <f>'2021'!G71-'2020'!G82</f>
        <v>0</v>
      </c>
      <c r="H58" s="183">
        <f>IF('2021'!G71=0,0,IF('2020'!G82=0,0,'2021'!G71/'2020'!G82-1))</f>
        <v>0</v>
      </c>
      <c r="I58" s="174">
        <f>'2021'!H71-'2020'!H82</f>
        <v>0</v>
      </c>
      <c r="J58" s="190">
        <f>IF(I58=0,0,'2021'!H71/'2020'!H82-1)</f>
        <v>0</v>
      </c>
      <c r="K58" s="123">
        <f>'2021'!J71-'2020'!J82</f>
        <v>0</v>
      </c>
      <c r="L58" s="190">
        <f>IF('2021'!J71=0,0,IF('2020'!J82=0,0,'2021'!J71/'2020'!J82-1))</f>
        <v>0</v>
      </c>
      <c r="M58" s="123">
        <f>'2021'!L71-'2020'!L82</f>
        <v>0</v>
      </c>
      <c r="N58" s="190">
        <f>IF('2021'!L71=0,0,IF('2020'!L82=0,0,'2021'!L71/'2020'!L82-1))</f>
        <v>0</v>
      </c>
      <c r="O58" s="123">
        <f>IF('2020'!N82="-",0,'2021'!N71-'2020'!N82)</f>
        <v>0</v>
      </c>
      <c r="P58" s="190">
        <f>IF('2021'!N71=0,0,IF('2020'!N82="-",0,'2021'!N71/'2020'!N82-1))</f>
        <v>0</v>
      </c>
      <c r="Q58" s="68"/>
      <c r="R58" s="69"/>
      <c r="S58" s="68"/>
      <c r="T58" s="69"/>
      <c r="U58" s="42">
        <f>'2021'!S71-'2020'!S82</f>
        <v>0</v>
      </c>
      <c r="V58" s="209">
        <f>IF('2021'!S71=0,0,IF('2020'!S82=0,0,'2021'!S71/'2020'!S82-1))</f>
        <v>0</v>
      </c>
      <c r="W58" s="42">
        <f>'2021'!U71-'2020'!U82</f>
        <v>0</v>
      </c>
      <c r="X58" s="211">
        <f>IF('2021'!U71=0,0,IF('2020'!U82=0,0,'2021'!U71/'2020'!U82-1))</f>
        <v>0</v>
      </c>
    </row>
    <row r="59" spans="1:25" x14ac:dyDescent="0.3">
      <c r="B59" s="747"/>
      <c r="C59" s="750"/>
      <c r="D59" s="878"/>
      <c r="E59" s="293" t="s">
        <v>166</v>
      </c>
      <c r="F59" s="294"/>
      <c r="G59" s="151">
        <f>'2021'!G72-'2020'!G83</f>
        <v>0</v>
      </c>
      <c r="H59" s="183">
        <f>IF('2021'!G72=0,0,IF('2020'!G83=0,0,'2021'!G72/'2020'!G83-1))</f>
        <v>0</v>
      </c>
      <c r="I59" s="174">
        <f>'2021'!H72-'2020'!H83</f>
        <v>0</v>
      </c>
      <c r="J59" s="190">
        <f>IF(I59=0,0,'2021'!H72/'2020'!H83-1)</f>
        <v>0</v>
      </c>
      <c r="K59" s="123">
        <f>'2021'!J72-'2020'!J83</f>
        <v>0</v>
      </c>
      <c r="L59" s="190">
        <f>IF('2021'!J72=0,0,IF('2020'!J83=0,0,'2021'!J72/'2020'!J83-1))</f>
        <v>0</v>
      </c>
      <c r="M59" s="123">
        <f>'2021'!L72-'2020'!L83</f>
        <v>0</v>
      </c>
      <c r="N59" s="190">
        <f>IF('2021'!L72=0,0,IF('2020'!L83=0,0,'2021'!L72/'2020'!L83-1))</f>
        <v>0</v>
      </c>
      <c r="O59" s="123">
        <f>IF('2020'!N83="-",0,'2021'!N72-'2020'!N83)</f>
        <v>0</v>
      </c>
      <c r="P59" s="190">
        <f>IF('2021'!N72=0,0,IF('2020'!N83="-",0,'2021'!N72/'2020'!N83-1))</f>
        <v>0</v>
      </c>
      <c r="Q59" s="68"/>
      <c r="R59" s="69"/>
      <c r="S59" s="68"/>
      <c r="T59" s="69"/>
      <c r="U59" s="42">
        <f>'2021'!S72-'2020'!S83</f>
        <v>0</v>
      </c>
      <c r="V59" s="209">
        <f>IF('2021'!S72=0,0,IF('2020'!S83=0,0,'2021'!S72/'2020'!S83-1))</f>
        <v>0</v>
      </c>
      <c r="W59" s="42">
        <f>'2021'!U72-'2020'!U83</f>
        <v>0</v>
      </c>
      <c r="X59" s="211">
        <f>IF('2021'!U72=0,0,IF('2020'!U83=0,0,'2021'!U72/'2020'!U83-1))</f>
        <v>0</v>
      </c>
    </row>
    <row r="60" spans="1:25" x14ac:dyDescent="0.3">
      <c r="A60" s="20">
        <v>29</v>
      </c>
      <c r="B60" s="747"/>
      <c r="C60" s="750"/>
      <c r="D60" s="879"/>
      <c r="E60" s="152" t="s">
        <v>166</v>
      </c>
      <c r="F60" s="153" t="s">
        <v>62</v>
      </c>
      <c r="G60" s="154">
        <f>'2021'!G73-'2020'!G84</f>
        <v>157</v>
      </c>
      <c r="H60" s="184">
        <f>IF('2021'!G73=0,0,IF('2020'!G84=0,0,'2021'!G73/'2020'!G84-1))</f>
        <v>0</v>
      </c>
      <c r="I60" s="175">
        <f>'2021'!H73-'2020'!H84</f>
        <v>82</v>
      </c>
      <c r="J60" s="191" t="e">
        <f>IF(I60=0,0,'2021'!H73/'2020'!H84-1)</f>
        <v>#DIV/0!</v>
      </c>
      <c r="K60" s="124">
        <f>'2021'!J73-'2020'!J84</f>
        <v>36</v>
      </c>
      <c r="L60" s="191">
        <f>IF('2021'!J73=0,0,IF('2020'!J84=0,0,'2021'!J73/'2020'!J84-1))</f>
        <v>0</v>
      </c>
      <c r="M60" s="124">
        <f>'2021'!L73-'2020'!L84</f>
        <v>49</v>
      </c>
      <c r="N60" s="191">
        <f>IF('2021'!L73=0,0,IF('2020'!L84=0,0,'2021'!L73/'2020'!L84-1))</f>
        <v>0</v>
      </c>
      <c r="O60" s="124" t="e">
        <f>IF('2020'!N84="-",0,'2021'!N73-'2020'!N84)</f>
        <v>#VALUE!</v>
      </c>
      <c r="P60" s="191" t="e">
        <f>IF('2021'!N73=0,0,IF('2020'!N84="-",0,'2021'!N73/'2020'!N84-1))</f>
        <v>#VALUE!</v>
      </c>
      <c r="Q60" s="70"/>
      <c r="R60" s="71"/>
      <c r="S60" s="70"/>
      <c r="T60" s="71"/>
      <c r="U60" s="48">
        <f>'2021'!S73-'2020'!S84</f>
        <v>0</v>
      </c>
      <c r="V60" s="210">
        <f>IF('2021'!S73=0,0,IF('2020'!S84=0,0,'2021'!S73/'2020'!S84-1))</f>
        <v>0</v>
      </c>
      <c r="W60" s="48">
        <f>'2021'!U73-'2020'!U84</f>
        <v>0</v>
      </c>
      <c r="X60" s="212">
        <f>IF('2021'!U73=0,0,IF('2020'!U84=0,0,'2021'!U73/'2020'!U84-1))</f>
        <v>0</v>
      </c>
      <c r="Y60" s="1" t="s">
        <v>145</v>
      </c>
    </row>
    <row r="61" spans="1:25" ht="15.6" x14ac:dyDescent="0.3">
      <c r="B61" s="875"/>
      <c r="C61" s="752"/>
      <c r="D61" s="170" t="s">
        <v>138</v>
      </c>
      <c r="E61" s="156"/>
      <c r="F61" s="157"/>
      <c r="G61" s="158">
        <f>SUM(G54:G60)</f>
        <v>760</v>
      </c>
      <c r="H61" s="185" t="e">
        <f>G61/SUM('2020'!G78:G84)</f>
        <v>#DIV/0!</v>
      </c>
      <c r="I61" s="176">
        <f>SUM(I54:I60)</f>
        <v>414</v>
      </c>
      <c r="J61" s="192" t="e">
        <f>I61/SUM('2020'!H78:H84)</f>
        <v>#DIV/0!</v>
      </c>
      <c r="K61" s="127">
        <f>SUM(K54:K60)</f>
        <v>290</v>
      </c>
      <c r="L61" s="192" t="e">
        <f>K61/SUM('2020'!J78:J84)</f>
        <v>#DIV/0!</v>
      </c>
      <c r="M61" s="127">
        <f>SUM(M54:M60)</f>
        <v>314</v>
      </c>
      <c r="N61" s="192" t="e">
        <f>M61/SUM('2020'!L78:L84)</f>
        <v>#DIV/0!</v>
      </c>
      <c r="O61" s="127" t="e">
        <f>SUM(O54:O60)</f>
        <v>#VALUE!</v>
      </c>
      <c r="P61" s="192" t="e">
        <f>O61/SUM('2020'!N78:N84)</f>
        <v>#VALUE!</v>
      </c>
      <c r="Q61" s="72"/>
      <c r="R61" s="73"/>
      <c r="S61" s="72"/>
      <c r="T61" s="73"/>
      <c r="U61" s="52" t="e">
        <f>SUM(U54:U60)</f>
        <v>#VALUE!</v>
      </c>
      <c r="V61" s="213">
        <f>IF('2021'!S77=0,0,IF('2020'!S85=0,0,'2021'!S77/'2020'!S85-1))</f>
        <v>0</v>
      </c>
      <c r="W61" s="52" t="e">
        <f>SUM(W54:W60)</f>
        <v>#VALUE!</v>
      </c>
      <c r="X61" s="214">
        <f>IF('2021'!U77=0,0,IF('2020'!U85=0,0,'2021'!U77/'2020'!U85-1))</f>
        <v>0</v>
      </c>
      <c r="Y61" s="18"/>
    </row>
    <row r="62" spans="1:25" x14ac:dyDescent="0.3">
      <c r="A62" s="20">
        <v>25</v>
      </c>
      <c r="B62" s="747" t="s">
        <v>1</v>
      </c>
      <c r="C62" s="750" t="s">
        <v>76</v>
      </c>
      <c r="D62" s="876">
        <f>'2021'!D86-'2020'!D86</f>
        <v>-1</v>
      </c>
      <c r="E62" s="146" t="s">
        <v>27</v>
      </c>
      <c r="F62" s="147" t="s">
        <v>62</v>
      </c>
      <c r="G62" s="148">
        <f>'2021'!G86-'2020'!G86</f>
        <v>20</v>
      </c>
      <c r="H62" s="182">
        <f>IF('2021'!G86=0,0,IF('2020'!G86=0,0,'2021'!G86/'2020'!G86-1))</f>
        <v>0.60606060606060597</v>
      </c>
      <c r="I62" s="173">
        <f>'2021'!H86-'2020'!H86</f>
        <v>5</v>
      </c>
      <c r="J62" s="189">
        <f>IF(I62=0,0,'2021'!H86/'2020'!H86-1)</f>
        <v>0.1515151515151516</v>
      </c>
      <c r="K62" s="122">
        <f>'2021'!J86-'2020'!J86</f>
        <v>11</v>
      </c>
      <c r="L62" s="189">
        <f>IF('2021'!J86=0,0,IF('2020'!J86=0,0,'2021'!J86/'2020'!J86-1))</f>
        <v>0.52380952380952372</v>
      </c>
      <c r="M62" s="122">
        <f>'2021'!L86-'2020'!L86</f>
        <v>4</v>
      </c>
      <c r="N62" s="189">
        <f>IF('2021'!L86=0,0,IF('2020'!L86=0,0,'2021'!L86/'2020'!L86-1))</f>
        <v>0.5</v>
      </c>
      <c r="O62" s="122">
        <f>IF('2020'!N86="-",0,'2021'!N86-'2020'!N86)</f>
        <v>3</v>
      </c>
      <c r="P62" s="189">
        <f>IF('2021'!N86=0,0,IF('2020'!N86="-",0,'2021'!N86/'2020'!N86-1))</f>
        <v>0.4285714285714286</v>
      </c>
      <c r="Q62" s="66"/>
      <c r="R62" s="67"/>
      <c r="S62" s="66"/>
      <c r="T62" s="67"/>
      <c r="U62" s="39">
        <f>'2021'!S86-'2020'!S86</f>
        <v>18</v>
      </c>
      <c r="V62" s="207">
        <f>IF('2021'!S86=0,0,IF('2020'!S86=0,0,'2021'!S86/'2020'!S86-1))</f>
        <v>0.54545454545454541</v>
      </c>
      <c r="W62" s="39">
        <f>'2021'!U86-'2020'!U86</f>
        <v>2</v>
      </c>
      <c r="X62" s="208">
        <f>IF('2021'!U86=0,0,IF('2020'!U86=0,0,'2021'!U86/'2020'!U86-1))</f>
        <v>0</v>
      </c>
      <c r="Y62" s="18"/>
    </row>
    <row r="63" spans="1:25" x14ac:dyDescent="0.3">
      <c r="A63" s="20">
        <v>26</v>
      </c>
      <c r="B63" s="747"/>
      <c r="C63" s="750"/>
      <c r="D63" s="877"/>
      <c r="E63" s="149" t="s">
        <v>28</v>
      </c>
      <c r="F63" s="150" t="s">
        <v>62</v>
      </c>
      <c r="G63" s="151">
        <f>'2021'!G87-'2020'!G87</f>
        <v>29</v>
      </c>
      <c r="H63" s="183">
        <f>IF('2021'!G87=0,0,IF('2020'!G87=0,0,'2021'!G87/'2020'!G87-1))</f>
        <v>0.32954545454545459</v>
      </c>
      <c r="I63" s="174">
        <f>'2021'!H87-'2020'!H87</f>
        <v>-2</v>
      </c>
      <c r="J63" s="190">
        <f>IF(I63=0,0,'2021'!H87/'2020'!H87-1)</f>
        <v>-2.2727272727272707E-2</v>
      </c>
      <c r="K63" s="123">
        <f>'2021'!J87-'2020'!J87</f>
        <v>28</v>
      </c>
      <c r="L63" s="190">
        <f>IF('2021'!J87=0,0,IF('2020'!J87=0,0,'2021'!J87/'2020'!J87-1))</f>
        <v>0.52830188679245293</v>
      </c>
      <c r="M63" s="123">
        <f>'2021'!L87-'2020'!L87</f>
        <v>15</v>
      </c>
      <c r="N63" s="190">
        <f>IF('2021'!L87=0,0,IF('2020'!L87=0,0,'2021'!L87/'2020'!L87-1))</f>
        <v>0.46875</v>
      </c>
      <c r="O63" s="123">
        <f>IF('2020'!N87="-",0,'2021'!N87-'2020'!N87)</f>
        <v>6</v>
      </c>
      <c r="P63" s="190">
        <f>IF('2021'!N87=0,0,IF('2020'!N87="-",0,'2021'!N87/'2020'!N87-1))</f>
        <v>0.22222222222222232</v>
      </c>
      <c r="Q63" s="68"/>
      <c r="R63" s="69"/>
      <c r="S63" s="68"/>
      <c r="T63" s="69"/>
      <c r="U63" s="42">
        <f>'2021'!S87-'2020'!S87</f>
        <v>34</v>
      </c>
      <c r="V63" s="209">
        <f>IF('2021'!S87=0,0,IF('2020'!S87=0,0,'2021'!S87/'2020'!S87-1))</f>
        <v>0.4358974358974359</v>
      </c>
      <c r="W63" s="42">
        <f>'2021'!U87-'2020'!U87</f>
        <v>-5</v>
      </c>
      <c r="X63" s="211">
        <f>IF('2021'!U87=0,0,IF('2020'!U87=0,0,'2021'!U87/'2020'!U87-1))</f>
        <v>-0.5</v>
      </c>
      <c r="Y63" s="18"/>
    </row>
    <row r="64" spans="1:25" x14ac:dyDescent="0.3">
      <c r="A64" s="20">
        <v>27</v>
      </c>
      <c r="B64" s="747"/>
      <c r="C64" s="750"/>
      <c r="D64" s="877"/>
      <c r="E64" s="149" t="s">
        <v>29</v>
      </c>
      <c r="F64" s="150" t="s">
        <v>62</v>
      </c>
      <c r="G64" s="151">
        <f>'2021'!G88-'2020'!G88</f>
        <v>8</v>
      </c>
      <c r="H64" s="183">
        <f>IF('2021'!G88=0,0,IF('2020'!G88=0,0,'2021'!G88/'2020'!G88-1))</f>
        <v>0.5714285714285714</v>
      </c>
      <c r="I64" s="174">
        <f>'2021'!H88-'2020'!H88</f>
        <v>6</v>
      </c>
      <c r="J64" s="190">
        <f>IF(I64=0,0,'2021'!H88/'2020'!H88-1)</f>
        <v>0.4285714285714286</v>
      </c>
      <c r="K64" s="123">
        <f>'2021'!J88-'2020'!J88</f>
        <v>7</v>
      </c>
      <c r="L64" s="190">
        <f>IF('2021'!J88=0,0,IF('2020'!J88=0,0,'2021'!J88/'2020'!J88-1))</f>
        <v>0.77777777777777768</v>
      </c>
      <c r="M64" s="123">
        <f>'2021'!L88-'2020'!L88</f>
        <v>5</v>
      </c>
      <c r="N64" s="190">
        <f>IF('2021'!L88=0,0,IF('2020'!L88=0,0,'2021'!L88/'2020'!L88-1))</f>
        <v>0.71428571428571419</v>
      </c>
      <c r="O64" s="123">
        <f>IF('2020'!N88="-",0,'2021'!N88-'2020'!N88)</f>
        <v>5</v>
      </c>
      <c r="P64" s="190">
        <f>IF('2021'!N88=0,0,IF('2020'!N88="-",0,'2021'!N88/'2020'!N88-1))</f>
        <v>1.25</v>
      </c>
      <c r="Q64" s="68"/>
      <c r="R64" s="69"/>
      <c r="S64" s="68"/>
      <c r="T64" s="69"/>
      <c r="U64" s="42">
        <f>'2021'!S88-'2020'!S88</f>
        <v>8</v>
      </c>
      <c r="V64" s="209">
        <f>IF('2021'!S88=0,0,IF('2020'!S88=0,0,'2021'!S88/'2020'!S88-1))</f>
        <v>0.5714285714285714</v>
      </c>
      <c r="W64" s="42">
        <f>'2021'!U88-'2020'!U88</f>
        <v>0</v>
      </c>
      <c r="X64" s="211">
        <f>IF('2021'!U88=0,0,IF('2020'!U88=0,0,'2021'!U88/'2020'!U88-1))</f>
        <v>0</v>
      </c>
      <c r="Y64" s="18"/>
    </row>
    <row r="65" spans="1:25" x14ac:dyDescent="0.3">
      <c r="A65" s="20">
        <v>28</v>
      </c>
      <c r="B65" s="747"/>
      <c r="C65" s="750"/>
      <c r="D65" s="877"/>
      <c r="E65" s="149" t="s">
        <v>30</v>
      </c>
      <c r="F65" s="150" t="s">
        <v>62</v>
      </c>
      <c r="G65" s="151">
        <f>'2021'!G89-'2020'!G89</f>
        <v>26</v>
      </c>
      <c r="H65" s="183">
        <f>IF('2021'!G89=0,0,IF('2020'!G89=0,0,'2021'!G89/'2020'!G89-1))</f>
        <v>1.1304347826086958</v>
      </c>
      <c r="I65" s="174">
        <f>'2021'!H89-'2020'!H89</f>
        <v>10</v>
      </c>
      <c r="J65" s="190">
        <f>IF(I65=0,0,'2021'!H89/'2020'!H89-1)</f>
        <v>0.43478260869565211</v>
      </c>
      <c r="K65" s="123">
        <f>'2021'!J89-'2020'!J89</f>
        <v>20</v>
      </c>
      <c r="L65" s="190">
        <f>IF('2021'!J89=0,0,IF('2020'!J89=0,0,'2021'!J89/'2020'!J89-1))</f>
        <v>1.3333333333333335</v>
      </c>
      <c r="M65" s="123">
        <f>'2021'!L89-'2020'!L89</f>
        <v>9</v>
      </c>
      <c r="N65" s="190">
        <f>IF('2021'!L89=0,0,IF('2020'!L89=0,0,'2021'!L89/'2020'!L89-1))</f>
        <v>0.81818181818181812</v>
      </c>
      <c r="O65" s="123">
        <f>IF('2020'!N89="-",0,'2021'!N89-'2020'!N89)</f>
        <v>9</v>
      </c>
      <c r="P65" s="190">
        <f>IF('2021'!N89=0,0,IF('2020'!N89="-",0,'2021'!N89/'2020'!N89-1))</f>
        <v>1.125</v>
      </c>
      <c r="Q65" s="68"/>
      <c r="R65" s="69"/>
      <c r="S65" s="68"/>
      <c r="T65" s="69"/>
      <c r="U65" s="42">
        <f>'2021'!S89-'2020'!S89</f>
        <v>26</v>
      </c>
      <c r="V65" s="209">
        <f>IF('2021'!S89=0,0,IF('2020'!S89=0,0,'2021'!S89/'2020'!S89-1))</f>
        <v>1.2999999999999998</v>
      </c>
      <c r="W65" s="42">
        <f>'2021'!U89-'2020'!U89</f>
        <v>0</v>
      </c>
      <c r="X65" s="211">
        <f>IF('2021'!U89=0,0,IF('2020'!U89=0,0,'2021'!U89/'2020'!U89-1))</f>
        <v>0</v>
      </c>
      <c r="Y65" s="18"/>
    </row>
    <row r="66" spans="1:25" x14ac:dyDescent="0.3">
      <c r="B66" s="747"/>
      <c r="C66" s="750"/>
      <c r="D66" s="878"/>
      <c r="E66" s="293"/>
      <c r="F66" s="294"/>
      <c r="G66" s="295"/>
      <c r="H66" s="296"/>
      <c r="I66" s="297"/>
      <c r="J66" s="298"/>
      <c r="K66" s="299"/>
      <c r="L66" s="298"/>
      <c r="M66" s="299"/>
      <c r="N66" s="298"/>
      <c r="O66" s="299"/>
      <c r="P66" s="298"/>
      <c r="Q66" s="300"/>
      <c r="R66" s="301"/>
      <c r="S66" s="300"/>
      <c r="T66" s="301"/>
      <c r="U66" s="254"/>
      <c r="V66" s="305"/>
      <c r="W66" s="254"/>
      <c r="X66" s="255"/>
    </row>
    <row r="67" spans="1:25" x14ac:dyDescent="0.3">
      <c r="B67" s="747"/>
      <c r="C67" s="750"/>
      <c r="D67" s="878"/>
      <c r="E67" s="293"/>
      <c r="F67" s="294"/>
      <c r="G67" s="295"/>
      <c r="H67" s="296"/>
      <c r="I67" s="297"/>
      <c r="J67" s="298"/>
      <c r="K67" s="299"/>
      <c r="L67" s="298"/>
      <c r="M67" s="299"/>
      <c r="N67" s="298"/>
      <c r="O67" s="299"/>
      <c r="P67" s="298"/>
      <c r="Q67" s="300"/>
      <c r="R67" s="301"/>
      <c r="S67" s="300"/>
      <c r="T67" s="301"/>
      <c r="U67" s="254"/>
      <c r="V67" s="305"/>
      <c r="W67" s="254"/>
      <c r="X67" s="255"/>
    </row>
    <row r="68" spans="1:25" x14ac:dyDescent="0.3">
      <c r="A68" s="20">
        <v>29</v>
      </c>
      <c r="B68" s="747"/>
      <c r="C68" s="750"/>
      <c r="D68" s="879"/>
      <c r="E68" s="152" t="s">
        <v>31</v>
      </c>
      <c r="F68" s="153" t="s">
        <v>62</v>
      </c>
      <c r="G68" s="154">
        <f>'2021'!G150-'2020'!G150</f>
        <v>8</v>
      </c>
      <c r="H68" s="184">
        <f>IF('2021'!G150=0,0,IF('2020'!G150=0,0,'2021'!G150/'2020'!G150-1))</f>
        <v>0.22222222222222232</v>
      </c>
      <c r="I68" s="175">
        <f>'2021'!H150-'2020'!H150</f>
        <v>8</v>
      </c>
      <c r="J68" s="191">
        <f>IF(I68=0,0,'2021'!H150/'2020'!H150-1)</f>
        <v>0.22222222222222232</v>
      </c>
      <c r="K68" s="124">
        <f>'2021'!J150-'2020'!J150</f>
        <v>10</v>
      </c>
      <c r="L68" s="191">
        <f>IF('2021'!J150=0,0,IF('2020'!J150=0,0,'2021'!J150/'2020'!J150-1))</f>
        <v>0.55555555555555558</v>
      </c>
      <c r="M68" s="124">
        <f>'2021'!L150-'2020'!L150</f>
        <v>-1</v>
      </c>
      <c r="N68" s="191">
        <f>IF('2021'!L150=0,0,IF('2020'!L150=0,0,'2021'!L150/'2020'!L150-1))</f>
        <v>-5.8823529411764719E-2</v>
      </c>
      <c r="O68" s="124">
        <f>IF('2020'!N150="-",0,'2021'!N150-'2020'!N150)</f>
        <v>2</v>
      </c>
      <c r="P68" s="191">
        <f>IF('2021'!N150=0,0,IF('2020'!N150="-",0,'2021'!N150/'2020'!N150-1))</f>
        <v>0.15384615384615374</v>
      </c>
      <c r="Q68" s="70"/>
      <c r="R68" s="71"/>
      <c r="S68" s="70"/>
      <c r="T68" s="71"/>
      <c r="U68" s="48">
        <f>'2021'!S150-'2020'!S150</f>
        <v>4</v>
      </c>
      <c r="V68" s="210">
        <f>IF('2021'!S150=0,0,IF('2020'!S150=0,0,'2021'!S150/'2020'!S150-1))</f>
        <v>0.11111111111111116</v>
      </c>
      <c r="W68" s="48">
        <f>'2021'!U150-'2020'!U150</f>
        <v>4</v>
      </c>
      <c r="X68" s="212">
        <f>IF('2021'!U150=0,0,IF('2020'!U150=0,0,'2021'!U150/'2020'!U150-1))</f>
        <v>0</v>
      </c>
      <c r="Y68" s="1" t="s">
        <v>145</v>
      </c>
    </row>
    <row r="69" spans="1:25" ht="15.6" x14ac:dyDescent="0.3">
      <c r="B69" s="875"/>
      <c r="C69" s="752"/>
      <c r="D69" s="170" t="s">
        <v>138</v>
      </c>
      <c r="E69" s="156"/>
      <c r="F69" s="157"/>
      <c r="G69" s="158">
        <f>SUM(G62:G68)</f>
        <v>91</v>
      </c>
      <c r="H69" s="185">
        <f>G69/SUM('2020'!G86:G150)</f>
        <v>2.4574669187145556E-2</v>
      </c>
      <c r="I69" s="176">
        <f>SUM(I62:I68)</f>
        <v>27</v>
      </c>
      <c r="J69" s="192">
        <f>I69/SUM('2020'!H86:H150)</f>
        <v>8.6124401913875593E-3</v>
      </c>
      <c r="K69" s="127">
        <f>SUM(K62:K68)</f>
        <v>76</v>
      </c>
      <c r="L69" s="192">
        <f>K69/SUM('2020'!J86:J150)</f>
        <v>8.5287846481876331E-2</v>
      </c>
      <c r="M69" s="127">
        <f>SUM(M62:M68)</f>
        <v>32</v>
      </c>
      <c r="N69" s="192">
        <f>M69/SUM('2020'!L86:L150)</f>
        <v>2.2604936352976078E-2</v>
      </c>
      <c r="O69" s="127">
        <f>SUM(O62:O68)</f>
        <v>25</v>
      </c>
      <c r="P69" s="192">
        <f>O69/SUM('2020'!N86:N150)</f>
        <v>0.14302026768817463</v>
      </c>
      <c r="Q69" s="72"/>
      <c r="R69" s="73"/>
      <c r="S69" s="72"/>
      <c r="T69" s="73"/>
      <c r="U69" s="52">
        <f>SUM(U62:U68)</f>
        <v>90</v>
      </c>
      <c r="V69" s="213">
        <f>IF('2021'!S95=0,0,IF('2020'!S95=0,0,'2021'!S95/'2020'!S95-1))</f>
        <v>0.59310344827586214</v>
      </c>
      <c r="W69" s="52">
        <f>SUM(W62:W68)</f>
        <v>1</v>
      </c>
      <c r="X69" s="214">
        <f>IF('2021'!U95=0,0,IF('2020'!U95=0,0,'2021'!U95/'2020'!U95-1))</f>
        <v>-0.23076923076923073</v>
      </c>
      <c r="Y69" s="18"/>
    </row>
    <row r="70" spans="1:25" ht="15" customHeight="1" x14ac:dyDescent="0.3">
      <c r="A70" s="20">
        <v>30</v>
      </c>
      <c r="B70" s="746" t="s">
        <v>45</v>
      </c>
      <c r="C70" s="885" t="s">
        <v>76</v>
      </c>
      <c r="D70" s="898">
        <f>'2021'!D96-'2020'!D96</f>
        <v>7</v>
      </c>
      <c r="E70" s="167" t="s">
        <v>32</v>
      </c>
      <c r="F70" s="147" t="s">
        <v>62</v>
      </c>
      <c r="G70" s="148">
        <f>'2021'!G96-'2020'!G96</f>
        <v>17</v>
      </c>
      <c r="H70" s="182">
        <f>IF('2021'!G96=0,0,IF('2020'!G96=0,0,'2021'!G96/'2020'!G96-1))</f>
        <v>0.28813559322033888</v>
      </c>
      <c r="I70" s="173">
        <f>'2021'!H96-'2020'!H96</f>
        <v>17</v>
      </c>
      <c r="J70" s="189">
        <f>IF(I70=0,0,'2021'!H96/'2020'!H96-1)</f>
        <v>0.28813559322033888</v>
      </c>
      <c r="K70" s="122">
        <f>'2021'!J96-'2020'!J96</f>
        <v>7.91</v>
      </c>
      <c r="L70" s="189">
        <f>IF('2021'!J96=0,0,IF('2020'!J96=0,0,'2021'!J96/'2020'!J96-1))</f>
        <v>0.2628780325689597</v>
      </c>
      <c r="M70" s="122">
        <f>'2021'!L96-'2020'!L96</f>
        <v>3.0399999999999991</v>
      </c>
      <c r="N70" s="189">
        <f>IF('2021'!L96=0,0,IF('2020'!L96=0,0,'2021'!L96/'2020'!L96-1))</f>
        <v>0.11710323574730341</v>
      </c>
      <c r="O70" s="122">
        <f>IF('2020'!N96="-",0,'2021'!N96-'2020'!N96)</f>
        <v>4.9047999999999981</v>
      </c>
      <c r="P70" s="189">
        <f>IF('2021'!N96=0,0,IF('2020'!N96="-",0,'2021'!N96/'2020'!N96-1))</f>
        <v>0.30473681594512625</v>
      </c>
      <c r="Q70" s="66"/>
      <c r="R70" s="67"/>
      <c r="S70" s="66"/>
      <c r="T70" s="67"/>
      <c r="U70" s="39">
        <f>'2021'!S96-'2020'!S96</f>
        <v>75</v>
      </c>
      <c r="V70" s="207">
        <f>IF('2021'!S96=0,0,IF('2020'!S96=0,0,'2021'!S96/'2020'!S96-1))</f>
        <v>0</v>
      </c>
      <c r="W70" s="39">
        <f>'2021'!U96-'2020'!U96</f>
        <v>1</v>
      </c>
      <c r="X70" s="208">
        <f>IF('2021'!U96=0,0,IF('2020'!U96=0,0,'2021'!U96/'2020'!U96-1))</f>
        <v>0</v>
      </c>
      <c r="Y70" s="18"/>
    </row>
    <row r="71" spans="1:25" ht="15" customHeight="1" x14ac:dyDescent="0.3">
      <c r="A71" s="20">
        <v>31</v>
      </c>
      <c r="B71" s="747"/>
      <c r="C71" s="886"/>
      <c r="D71" s="899"/>
      <c r="E71" s="168" t="s">
        <v>33</v>
      </c>
      <c r="F71" s="150" t="s">
        <v>62</v>
      </c>
      <c r="G71" s="151">
        <f>'2021'!G97-'2020'!G97</f>
        <v>35</v>
      </c>
      <c r="H71" s="183">
        <f>IF('2021'!G97=0,0,IF('2020'!G97=0,0,'2021'!G97/'2020'!G97-1))</f>
        <v>0.77777777777777768</v>
      </c>
      <c r="I71" s="174">
        <f>'2021'!H97-'2020'!H97</f>
        <v>35</v>
      </c>
      <c r="J71" s="190">
        <f>IF(I71=0,0,'2021'!H97/'2020'!H97-1)</f>
        <v>0.77777777777777768</v>
      </c>
      <c r="K71" s="123">
        <f>'2021'!J97-'2020'!J97</f>
        <v>24.900000000000002</v>
      </c>
      <c r="L71" s="190">
        <f>IF('2021'!J97=0,0,IF('2020'!J97=0,0,'2021'!J97/'2020'!J97-1))</f>
        <v>0.95402298850574718</v>
      </c>
      <c r="M71" s="123">
        <f>'2021'!L97-'2020'!L97</f>
        <v>20.2</v>
      </c>
      <c r="N71" s="190">
        <f>IF('2021'!L97=0,0,IF('2020'!L97=0,0,'2021'!L97/'2020'!L97-1))</f>
        <v>1.0202020202020203</v>
      </c>
      <c r="O71" s="123">
        <f>IF('2020'!N97="-",0,'2021'!N97-'2020'!N97)</f>
        <v>13.129999999999999</v>
      </c>
      <c r="P71" s="190">
        <f>IF('2021'!N97=0,0,IF('2020'!N97="-",0,'2021'!N97/'2020'!N97-1))</f>
        <v>1.0202020202020199</v>
      </c>
      <c r="Q71" s="68"/>
      <c r="R71" s="69"/>
      <c r="S71" s="68"/>
      <c r="T71" s="69"/>
      <c r="U71" s="42">
        <f>'2021'!S97-'2020'!S97</f>
        <v>74</v>
      </c>
      <c r="V71" s="209">
        <f>IF('2021'!S97=0,0,IF('2020'!S97=0,0,'2021'!S97/'2020'!S97-1))</f>
        <v>0</v>
      </c>
      <c r="W71" s="42">
        <f>'2021'!U97-'2020'!U97</f>
        <v>6</v>
      </c>
      <c r="X71" s="211">
        <f>IF('2021'!U97=0,0,IF('2020'!U97=0,0,'2021'!U97/'2020'!U97-1))</f>
        <v>0</v>
      </c>
      <c r="Y71" s="18"/>
    </row>
    <row r="72" spans="1:25" ht="15" customHeight="1" x14ac:dyDescent="0.3">
      <c r="A72" s="20">
        <v>32</v>
      </c>
      <c r="B72" s="747"/>
      <c r="C72" s="886"/>
      <c r="D72" s="899"/>
      <c r="E72" s="168" t="s">
        <v>47</v>
      </c>
      <c r="F72" s="150" t="s">
        <v>62</v>
      </c>
      <c r="G72" s="151">
        <f>'2021'!G98-'2020'!G98</f>
        <v>15</v>
      </c>
      <c r="H72" s="183">
        <f>IF('2021'!G98=0,0,IF('2020'!G98=0,0,'2021'!G98/'2020'!G98-1))</f>
        <v>0.9375</v>
      </c>
      <c r="I72" s="174">
        <f>'2021'!H98-'2020'!H98</f>
        <v>15</v>
      </c>
      <c r="J72" s="190">
        <f>IF(I72=0,0,'2021'!H98/'2020'!H98-1)</f>
        <v>0.9375</v>
      </c>
      <c r="K72" s="123">
        <f>'2021'!J98-'2020'!J98</f>
        <v>2.96</v>
      </c>
      <c r="L72" s="190">
        <f>IF('2021'!J98=0,0,IF('2020'!J98=0,0,'2021'!J98/'2020'!J98-1))</f>
        <v>0.42045454545454541</v>
      </c>
      <c r="M72" s="123">
        <f>'2021'!L98-'2020'!L98</f>
        <v>6.04</v>
      </c>
      <c r="N72" s="190">
        <f>IF('2021'!L98=0,0,IF('2020'!L98=0,0,'2021'!L98/'2020'!L98-1))</f>
        <v>1.217741935483871</v>
      </c>
      <c r="O72" s="123">
        <f>IF('2020'!N98="-",0,'2021'!N98-'2020'!N98)</f>
        <v>3.016</v>
      </c>
      <c r="P72" s="190">
        <f>IF('2021'!N98=0,0,IF('2020'!N98="-",0,'2021'!N98/'2020'!N98-1))</f>
        <v>1.5201612903225805</v>
      </c>
      <c r="Q72" s="68"/>
      <c r="R72" s="69"/>
      <c r="S72" s="68"/>
      <c r="T72" s="69"/>
      <c r="U72" s="42">
        <f>'2021'!S98-'2020'!S98</f>
        <v>31</v>
      </c>
      <c r="V72" s="209">
        <f>IF('2021'!S98=0,0,IF('2020'!S98=0,0,'2021'!S98/'2020'!S98-1))</f>
        <v>0</v>
      </c>
      <c r="W72" s="42">
        <f>'2021'!U98-'2020'!U98</f>
        <v>0</v>
      </c>
      <c r="X72" s="211">
        <f>IF('2021'!U98=0,0,IF('2020'!U98=0,0,'2021'!U98/'2020'!U98-1))</f>
        <v>0</v>
      </c>
      <c r="Y72" s="18"/>
    </row>
    <row r="73" spans="1:25" ht="15" customHeight="1" x14ac:dyDescent="0.3">
      <c r="A73" s="20">
        <v>33</v>
      </c>
      <c r="B73" s="747"/>
      <c r="C73" s="886"/>
      <c r="D73" s="899"/>
      <c r="E73" s="168" t="s">
        <v>46</v>
      </c>
      <c r="F73" s="150" t="s">
        <v>62</v>
      </c>
      <c r="G73" s="151">
        <f>'2021'!G99-'2020'!G99</f>
        <v>-16</v>
      </c>
      <c r="H73" s="183">
        <f>IF('2021'!G99=0,0,IF('2020'!G99=0,0,'2021'!G99/'2020'!G99-1))</f>
        <v>-0.5161290322580645</v>
      </c>
      <c r="I73" s="174">
        <f>'2021'!H99-'2020'!H99</f>
        <v>-16</v>
      </c>
      <c r="J73" s="190">
        <f>IF(I73=0,0,'2021'!H99/'2020'!H99-1)</f>
        <v>-0.5161290322580645</v>
      </c>
      <c r="K73" s="123">
        <f>'2021'!J99-'2020'!J99</f>
        <v>-3.99</v>
      </c>
      <c r="L73" s="190">
        <f>IF('2021'!J99=0,0,IF('2020'!J99=0,0,'2021'!J99/'2020'!J99-1))</f>
        <v>-0.44382647385984431</v>
      </c>
      <c r="M73" s="123">
        <f>'2021'!L99-'2020'!L99</f>
        <v>-9.92</v>
      </c>
      <c r="N73" s="190">
        <f>IF('2021'!L99=0,0,IF('2020'!L99=0,0,'2021'!L99/'2020'!L99-1))</f>
        <v>0</v>
      </c>
      <c r="O73" s="123">
        <f>IF('2020'!N99="-",0,'2021'!N99-'2020'!N99)</f>
        <v>-2.976</v>
      </c>
      <c r="P73" s="190">
        <f>IF('2021'!N99=0,0,IF('2020'!N99="-",0,'2021'!N99/'2020'!N99-1))</f>
        <v>0</v>
      </c>
      <c r="Q73" s="68"/>
      <c r="R73" s="69"/>
      <c r="S73" s="68"/>
      <c r="T73" s="69"/>
      <c r="U73" s="42">
        <f>'2021'!S99-'2020'!S99</f>
        <v>15</v>
      </c>
      <c r="V73" s="209">
        <f>IF('2021'!S99=0,0,IF('2020'!S99=0,0,'2021'!S99/'2020'!S99-1))</f>
        <v>0</v>
      </c>
      <c r="W73" s="42">
        <f>'2021'!U99-'2020'!U99</f>
        <v>0</v>
      </c>
      <c r="X73" s="211">
        <f>IF('2021'!U99=0,0,IF('2020'!U99=0,0,'2021'!U99/'2020'!U99-1))</f>
        <v>0</v>
      </c>
      <c r="Y73" s="18"/>
    </row>
    <row r="74" spans="1:25" ht="15" customHeight="1" x14ac:dyDescent="0.3">
      <c r="A74" s="20">
        <v>34</v>
      </c>
      <c r="B74" s="747"/>
      <c r="C74" s="886"/>
      <c r="D74" s="899"/>
      <c r="E74" s="168" t="s">
        <v>35</v>
      </c>
      <c r="F74" s="150" t="s">
        <v>62</v>
      </c>
      <c r="G74" s="151">
        <f>'2021'!G100-'2020'!G100</f>
        <v>-1</v>
      </c>
      <c r="H74" s="183">
        <f>IF('2021'!G100=0,0,IF('2020'!G100=0,0,'2021'!G100/'2020'!G100-1))</f>
        <v>-0.33333333333333337</v>
      </c>
      <c r="I74" s="174">
        <f>'2021'!H100-'2020'!H100</f>
        <v>-1</v>
      </c>
      <c r="J74" s="190">
        <f>IF(I74=0,0,'2021'!H100/'2020'!H100-1)</f>
        <v>-0.33333333333333337</v>
      </c>
      <c r="K74" s="123">
        <f>'2021'!J100-'2020'!J100</f>
        <v>1</v>
      </c>
      <c r="L74" s="190">
        <f>IF('2021'!J100=0,0,IF('2020'!J100=0,0,'2021'!J100/'2020'!J100-1))</f>
        <v>0</v>
      </c>
      <c r="M74" s="123">
        <f>'2021'!L100-'2020'!L100</f>
        <v>1</v>
      </c>
      <c r="N74" s="190">
        <f>IF('2021'!L100=0,0,IF('2020'!L100=0,0,'2021'!L100/'2020'!L100-1))</f>
        <v>0</v>
      </c>
      <c r="O74" s="123">
        <f>IF('2020'!N100="-",0,'2021'!N100-'2020'!N100)</f>
        <v>0</v>
      </c>
      <c r="P74" s="190">
        <f>IF('2021'!N100=0,0,IF('2020'!N100="-",0,'2021'!N100/'2020'!N100-1))</f>
        <v>0</v>
      </c>
      <c r="Q74" s="68"/>
      <c r="R74" s="69"/>
      <c r="S74" s="68"/>
      <c r="T74" s="69"/>
      <c r="U74" s="42">
        <f>'2021'!S100-'2020'!S100</f>
        <v>1</v>
      </c>
      <c r="V74" s="209">
        <f>IF('2021'!S100=0,0,IF('2020'!S100=0,0,'2021'!S100/'2020'!S100-1))</f>
        <v>0</v>
      </c>
      <c r="W74" s="42">
        <f>'2021'!U100-'2020'!U100</f>
        <v>1</v>
      </c>
      <c r="X74" s="211">
        <f>IF('2021'!U100=0,0,IF('2020'!U100=0,0,'2021'!U100/'2020'!U100-1))</f>
        <v>0</v>
      </c>
      <c r="Y74" s="18"/>
    </row>
    <row r="75" spans="1:25" ht="15" customHeight="1" x14ac:dyDescent="0.3">
      <c r="A75" s="20">
        <v>35</v>
      </c>
      <c r="B75" s="747"/>
      <c r="C75" s="886"/>
      <c r="D75" s="899"/>
      <c r="E75" s="168" t="s">
        <v>34</v>
      </c>
      <c r="F75" s="150" t="s">
        <v>62</v>
      </c>
      <c r="G75" s="151">
        <f>'2021'!G101-'2020'!G101</f>
        <v>2</v>
      </c>
      <c r="H75" s="183">
        <f>IF('2021'!G101=0,0,IF('2020'!G101=0,0,'2021'!G101/'2020'!G101-1))</f>
        <v>0.15384615384615374</v>
      </c>
      <c r="I75" s="174">
        <f>'2021'!H101-'2020'!H101</f>
        <v>2</v>
      </c>
      <c r="J75" s="190">
        <f>IF(I75=0,0,'2021'!H101/'2020'!H101-1)</f>
        <v>0.15384615384615374</v>
      </c>
      <c r="K75" s="123">
        <f>'2021'!J101-'2020'!J101</f>
        <v>5.01</v>
      </c>
      <c r="L75" s="190">
        <f>IF('2021'!J101=0,0,IF('2020'!J101=0,0,'2021'!J101/'2020'!J101-1))</f>
        <v>1.6755852842809364</v>
      </c>
      <c r="M75" s="123">
        <f>'2021'!L101-'2020'!L101</f>
        <v>2.0499999999999998</v>
      </c>
      <c r="N75" s="190">
        <f>IF('2021'!L101=0,0,IF('2020'!L101=0,0,'2021'!L101/'2020'!L101-1))</f>
        <v>1.0512820512820515</v>
      </c>
      <c r="O75" s="123">
        <f>IF('2020'!N101="-",0,'2021'!N101-'2020'!N101)</f>
        <v>1.0249999999999999</v>
      </c>
      <c r="P75" s="190">
        <f>IF('2021'!N101=0,0,IF('2020'!N101="-",0,'2021'!N101/'2020'!N101-1))</f>
        <v>1.0512820512820515</v>
      </c>
      <c r="Q75" s="68"/>
      <c r="R75" s="69"/>
      <c r="S75" s="68"/>
      <c r="T75" s="69"/>
      <c r="U75" s="42">
        <f>'2021'!S101-'2020'!S101</f>
        <v>13</v>
      </c>
      <c r="V75" s="209">
        <f>IF('2021'!S101=0,0,IF('2020'!S101=0,0,'2021'!S101/'2020'!S101-1))</f>
        <v>0</v>
      </c>
      <c r="W75" s="42">
        <f>'2021'!U101-'2020'!U101</f>
        <v>2</v>
      </c>
      <c r="X75" s="211">
        <f>IF('2021'!U101=0,0,IF('2020'!U101=0,0,'2021'!U101/'2020'!U101-1))</f>
        <v>0</v>
      </c>
      <c r="Y75" s="18"/>
    </row>
    <row r="76" spans="1:25" ht="15.75" customHeight="1" x14ac:dyDescent="0.3">
      <c r="A76" s="20">
        <v>36</v>
      </c>
      <c r="B76" s="747"/>
      <c r="C76" s="886"/>
      <c r="D76" s="899"/>
      <c r="E76" s="168" t="s">
        <v>147</v>
      </c>
      <c r="F76" s="150"/>
      <c r="G76" s="151"/>
      <c r="H76" s="183"/>
      <c r="I76" s="174"/>
      <c r="J76" s="190"/>
      <c r="K76" s="123"/>
      <c r="L76" s="190"/>
      <c r="M76" s="123"/>
      <c r="N76" s="190"/>
      <c r="O76" s="123"/>
      <c r="P76" s="190"/>
      <c r="Q76" s="68"/>
      <c r="R76" s="69"/>
      <c r="S76" s="68"/>
      <c r="T76" s="69"/>
      <c r="U76" s="42"/>
      <c r="V76" s="209"/>
      <c r="W76" s="42"/>
      <c r="X76" s="211"/>
      <c r="Y76" s="18"/>
    </row>
    <row r="77" spans="1:25" ht="15.75" customHeight="1" x14ac:dyDescent="0.3">
      <c r="B77" s="747"/>
      <c r="C77" s="886"/>
      <c r="D77" s="900"/>
      <c r="E77" s="306"/>
      <c r="F77" s="294"/>
      <c r="G77" s="295"/>
      <c r="H77" s="296"/>
      <c r="I77" s="297"/>
      <c r="J77" s="298"/>
      <c r="K77" s="299"/>
      <c r="L77" s="298"/>
      <c r="M77" s="299"/>
      <c r="N77" s="298"/>
      <c r="O77" s="299"/>
      <c r="P77" s="298"/>
      <c r="Q77" s="300"/>
      <c r="R77" s="301"/>
      <c r="S77" s="300"/>
      <c r="T77" s="301"/>
      <c r="U77" s="254"/>
      <c r="V77" s="305"/>
      <c r="W77" s="254"/>
      <c r="X77" s="255"/>
      <c r="Y77" s="18"/>
    </row>
    <row r="78" spans="1:25" ht="15.75" customHeight="1" x14ac:dyDescent="0.3">
      <c r="B78" s="747"/>
      <c r="C78" s="886"/>
      <c r="D78" s="900"/>
      <c r="E78" s="306"/>
      <c r="F78" s="294"/>
      <c r="G78" s="295"/>
      <c r="H78" s="296"/>
      <c r="I78" s="297"/>
      <c r="J78" s="298"/>
      <c r="K78" s="299"/>
      <c r="L78" s="298"/>
      <c r="M78" s="299"/>
      <c r="N78" s="298"/>
      <c r="O78" s="299"/>
      <c r="P78" s="298"/>
      <c r="Q78" s="300"/>
      <c r="R78" s="301"/>
      <c r="S78" s="300"/>
      <c r="T78" s="301"/>
      <c r="U78" s="254"/>
      <c r="V78" s="305"/>
      <c r="W78" s="254"/>
      <c r="X78" s="255"/>
      <c r="Y78" s="18"/>
    </row>
    <row r="79" spans="1:25" ht="15.75" customHeight="1" x14ac:dyDescent="0.3">
      <c r="A79" s="20">
        <v>37</v>
      </c>
      <c r="B79" s="747"/>
      <c r="C79" s="886"/>
      <c r="D79" s="901"/>
      <c r="E79" s="169" t="s">
        <v>146</v>
      </c>
      <c r="F79" s="153"/>
      <c r="G79" s="154"/>
      <c r="H79" s="184"/>
      <c r="I79" s="175"/>
      <c r="J79" s="191"/>
      <c r="K79" s="124"/>
      <c r="L79" s="191"/>
      <c r="M79" s="124"/>
      <c r="N79" s="191"/>
      <c r="O79" s="124"/>
      <c r="P79" s="191"/>
      <c r="Q79" s="70"/>
      <c r="R79" s="71"/>
      <c r="S79" s="70"/>
      <c r="T79" s="71"/>
      <c r="U79" s="48"/>
      <c r="V79" s="210"/>
      <c r="W79" s="48"/>
      <c r="X79" s="212"/>
      <c r="Y79" s="18"/>
    </row>
    <row r="80" spans="1:25" ht="15.6" x14ac:dyDescent="0.3">
      <c r="B80" s="875"/>
      <c r="C80" s="897"/>
      <c r="D80" s="155" t="s">
        <v>138</v>
      </c>
      <c r="E80" s="201"/>
      <c r="F80" s="157"/>
      <c r="G80" s="158">
        <f>SUM(G70:G79)</f>
        <v>52</v>
      </c>
      <c r="H80" s="185">
        <f>G80/SUM('2020'!G96:G101)</f>
        <v>0.31137724550898205</v>
      </c>
      <c r="I80" s="176">
        <f>SUM(I70:I79)</f>
        <v>52</v>
      </c>
      <c r="J80" s="192">
        <f>I80/SUM('2020'!H96:H101)</f>
        <v>0.31137724550898205</v>
      </c>
      <c r="K80" s="127">
        <f>SUM(K70:K79)</f>
        <v>37.79</v>
      </c>
      <c r="L80" s="192">
        <f>K80/SUM('2020'!J96:J101)</f>
        <v>0.50245977928466967</v>
      </c>
      <c r="M80" s="127">
        <f>SUM(M70:M79)</f>
        <v>22.41</v>
      </c>
      <c r="N80" s="192">
        <f>M80/SUM('2020'!L96:L101)</f>
        <v>0.35804441604090104</v>
      </c>
      <c r="O80" s="127">
        <f>SUM(O70:O79)</f>
        <v>19.099799999999995</v>
      </c>
      <c r="P80" s="192">
        <f>O80/SUM('2020'!N96:N101)</f>
        <v>0.54726907009128867</v>
      </c>
      <c r="Q80" s="72"/>
      <c r="R80" s="73"/>
      <c r="S80" s="72"/>
      <c r="T80" s="73"/>
      <c r="U80" s="52">
        <f>SUM(U70:U79)</f>
        <v>209</v>
      </c>
      <c r="V80" s="213">
        <f>IF('2021'!S109=0,0,IF('2020'!S109=0,0,'2021'!S109/'2020'!S109-1))</f>
        <v>0</v>
      </c>
      <c r="W80" s="52">
        <f>SUM(W70:W79)</f>
        <v>10</v>
      </c>
      <c r="X80" s="214">
        <f>IF('2021'!U109=0,0,IF('2020'!U109=0,0,'2021'!U109/'2020'!U109-1))</f>
        <v>0</v>
      </c>
      <c r="Y80" s="18"/>
    </row>
    <row r="81" spans="1:25" x14ac:dyDescent="0.3">
      <c r="B81" s="854" t="s">
        <v>85</v>
      </c>
      <c r="C81" s="905" t="s">
        <v>76</v>
      </c>
      <c r="D81" s="908">
        <f>'2021'!D110-'2020'!D110</f>
        <v>3</v>
      </c>
      <c r="E81" s="167" t="s">
        <v>154</v>
      </c>
      <c r="F81" s="147"/>
      <c r="G81" s="148"/>
      <c r="H81" s="182"/>
      <c r="I81" s="173"/>
      <c r="J81" s="189"/>
      <c r="K81" s="122"/>
      <c r="L81" s="189"/>
      <c r="M81" s="122"/>
      <c r="N81" s="189"/>
      <c r="O81" s="122"/>
      <c r="P81" s="189"/>
      <c r="Q81" s="66"/>
      <c r="R81" s="67"/>
      <c r="S81" s="66"/>
      <c r="T81" s="67"/>
      <c r="U81" s="39"/>
      <c r="V81" s="207"/>
      <c r="W81" s="39"/>
      <c r="X81" s="208"/>
      <c r="Y81" s="18"/>
    </row>
    <row r="82" spans="1:25" ht="15.75" customHeight="1" x14ac:dyDescent="0.3">
      <c r="B82" s="883"/>
      <c r="C82" s="906"/>
      <c r="D82" s="909"/>
      <c r="E82" s="168" t="s">
        <v>155</v>
      </c>
      <c r="F82" s="150"/>
      <c r="G82" s="151"/>
      <c r="H82" s="183"/>
      <c r="I82" s="174"/>
      <c r="J82" s="190"/>
      <c r="K82" s="123"/>
      <c r="L82" s="190"/>
      <c r="M82" s="123"/>
      <c r="N82" s="190"/>
      <c r="O82" s="123"/>
      <c r="P82" s="190"/>
      <c r="Q82" s="68"/>
      <c r="R82" s="69"/>
      <c r="S82" s="68"/>
      <c r="T82" s="69"/>
      <c r="U82" s="42"/>
      <c r="V82" s="209"/>
      <c r="W82" s="42"/>
      <c r="X82" s="211"/>
      <c r="Y82" s="18"/>
    </row>
    <row r="83" spans="1:25" ht="15.75" customHeight="1" x14ac:dyDescent="0.3">
      <c r="B83" s="883"/>
      <c r="C83" s="906"/>
      <c r="D83" s="909"/>
      <c r="E83" s="168" t="s">
        <v>156</v>
      </c>
      <c r="F83" s="150"/>
      <c r="G83" s="151"/>
      <c r="H83" s="183"/>
      <c r="I83" s="174"/>
      <c r="J83" s="190"/>
      <c r="K83" s="123"/>
      <c r="L83" s="190"/>
      <c r="M83" s="123"/>
      <c r="N83" s="190"/>
      <c r="O83" s="123"/>
      <c r="P83" s="190"/>
      <c r="Q83" s="68"/>
      <c r="R83" s="69"/>
      <c r="S83" s="68"/>
      <c r="T83" s="69"/>
      <c r="U83" s="42"/>
      <c r="V83" s="209"/>
      <c r="W83" s="42"/>
      <c r="X83" s="211"/>
      <c r="Y83" s="18"/>
    </row>
    <row r="84" spans="1:25" ht="15" customHeight="1" x14ac:dyDescent="0.3">
      <c r="A84" s="20">
        <v>38</v>
      </c>
      <c r="B84" s="883"/>
      <c r="C84" s="906"/>
      <c r="D84" s="909"/>
      <c r="E84" s="168" t="s">
        <v>37</v>
      </c>
      <c r="F84" s="252" t="s">
        <v>60</v>
      </c>
      <c r="G84" s="151">
        <f>'2021'!G113-'2020'!G113</f>
        <v>129</v>
      </c>
      <c r="H84" s="183">
        <f>IF('2021'!G113=0,0,IF('2020'!G113=0,0,'2021'!G113/'2020'!G113-1))</f>
        <v>0.59447004608294929</v>
      </c>
      <c r="I84" s="174">
        <f>'2021'!H113-'2020'!H113</f>
        <v>72</v>
      </c>
      <c r="J84" s="190">
        <f>IF(I84=0,0,'2021'!H113/'2020'!H113-1)</f>
        <v>0.70588235294117641</v>
      </c>
      <c r="K84" s="123">
        <f>'2021'!J113-'2020'!J113</f>
        <v>46.070000000000007</v>
      </c>
      <c r="L84" s="190">
        <f>IF('2021'!J113=0,0,IF('2020'!J113=0,0,'2021'!J113/'2020'!J113-1))</f>
        <v>0.73208326712219951</v>
      </c>
      <c r="M84" s="123">
        <f>'2021'!L113-'2020'!L113</f>
        <v>13</v>
      </c>
      <c r="N84" s="190">
        <f>IF('2021'!L113=0,0,IF('2020'!L113=0,0,'2021'!L113/'2020'!L113-1))</f>
        <v>0.18840579710144922</v>
      </c>
      <c r="O84" s="123">
        <f>IF('2020'!N113="-",0,'2021'!N113-'2020'!N113)</f>
        <v>0</v>
      </c>
      <c r="P84" s="190">
        <f>IF('2021'!N113=0,0,IF('2020'!N113="-",0,'2021'!N113/'2020'!N113-1))</f>
        <v>0</v>
      </c>
      <c r="Q84" s="68">
        <v>27</v>
      </c>
      <c r="R84" s="69">
        <v>8</v>
      </c>
      <c r="S84" s="68">
        <v>33</v>
      </c>
      <c r="T84" s="69">
        <v>14</v>
      </c>
      <c r="U84" s="42">
        <f>'2021'!S113-'2020'!S113</f>
        <v>133</v>
      </c>
      <c r="V84" s="209">
        <f>IF('2021'!S113=0,0,IF('2020'!S113=0,0,'2021'!S113/'2020'!S113-1))</f>
        <v>0.55186721991701249</v>
      </c>
      <c r="W84" s="42">
        <f>'2021'!U113-'2020'!U113</f>
        <v>13</v>
      </c>
      <c r="X84" s="211">
        <f>IF('2021'!U113=0,0,IF('2020'!U113=0,0,'2021'!U113/'2020'!U113-1))</f>
        <v>1.4444444444444446</v>
      </c>
      <c r="Y84" s="18"/>
    </row>
    <row r="85" spans="1:25" ht="15" customHeight="1" x14ac:dyDescent="0.3">
      <c r="A85" s="20">
        <v>39</v>
      </c>
      <c r="B85" s="883"/>
      <c r="C85" s="906"/>
      <c r="D85" s="909"/>
      <c r="E85" s="168" t="s">
        <v>157</v>
      </c>
      <c r="F85" s="252" t="s">
        <v>62</v>
      </c>
      <c r="G85" s="151">
        <f>'2021'!G114-'2020'!G114</f>
        <v>74</v>
      </c>
      <c r="H85" s="183">
        <f>IF('2021'!G114=0,0,IF('2020'!G114=0,0,'2021'!G114/'2020'!G114-1))</f>
        <v>0.47435897435897445</v>
      </c>
      <c r="I85" s="174">
        <f>'2021'!H114-'2020'!H114</f>
        <v>29</v>
      </c>
      <c r="J85" s="190">
        <f>IF(I85=0,0,'2021'!H114/'2020'!H114-1)</f>
        <v>0.33333333333333326</v>
      </c>
      <c r="K85" s="123">
        <f>'2021'!J114-'2020'!J114</f>
        <v>29.599999999999994</v>
      </c>
      <c r="L85" s="190">
        <f>IF('2021'!J114=0,0,IF('2020'!J114=0,0,'2021'!J114/'2020'!J114-1))</f>
        <v>0.47435897435897423</v>
      </c>
      <c r="M85" s="123">
        <f>'2021'!L114-'2020'!L114</f>
        <v>16</v>
      </c>
      <c r="N85" s="190">
        <f>IF('2021'!L114=0,0,IF('2020'!L114=0,0,'2021'!L114/'2020'!L114-1))</f>
        <v>0.26229508196721318</v>
      </c>
      <c r="O85" s="123">
        <f>IF('2020'!N114="-",0,'2021'!N114-'2020'!N114)</f>
        <v>0</v>
      </c>
      <c r="P85" s="190">
        <f>IF('2021'!N114=0,0,IF('2020'!N114="-",0,'2021'!N114/'2020'!N114-1))</f>
        <v>0</v>
      </c>
      <c r="Q85" s="68">
        <v>7</v>
      </c>
      <c r="R85" s="69">
        <v>5</v>
      </c>
      <c r="S85" s="68">
        <v>4</v>
      </c>
      <c r="T85" s="69">
        <v>1</v>
      </c>
      <c r="U85" s="42">
        <f>'2021'!S114-'2020'!S114</f>
        <v>70</v>
      </c>
      <c r="V85" s="209">
        <f>IF('2021'!S114=0,0,IF('2020'!S114=0,0,'2021'!S114/'2020'!S114-1))</f>
        <v>0.47945205479452047</v>
      </c>
      <c r="W85" s="42">
        <f>'2021'!U114-'2020'!U114</f>
        <v>4</v>
      </c>
      <c r="X85" s="211">
        <f>IF('2021'!U114=0,0,IF('2020'!U114=0,0,'2021'!U114/'2020'!U114-1))</f>
        <v>0.28571428571428581</v>
      </c>
      <c r="Y85" s="18"/>
    </row>
    <row r="86" spans="1:25" ht="15" customHeight="1" x14ac:dyDescent="0.3">
      <c r="A86" s="20">
        <v>40</v>
      </c>
      <c r="B86" s="883"/>
      <c r="C86" s="906"/>
      <c r="D86" s="909"/>
      <c r="E86" s="168" t="s">
        <v>38</v>
      </c>
      <c r="F86" s="252" t="s">
        <v>62</v>
      </c>
      <c r="G86" s="151">
        <f>'2021'!G115-'2020'!G115</f>
        <v>72</v>
      </c>
      <c r="H86" s="183">
        <f>IF('2021'!G115=0,0,IF('2020'!G115=0,0,'2021'!G115/'2020'!G115-1))</f>
        <v>0.43113772455089827</v>
      </c>
      <c r="I86" s="174">
        <f>'2021'!H115-'2020'!H115</f>
        <v>34</v>
      </c>
      <c r="J86" s="190">
        <f>IF(I86=0,0,'2021'!H115/'2020'!H115-1)</f>
        <v>0.42500000000000004</v>
      </c>
      <c r="K86" s="123">
        <f>'2021'!J115-'2020'!J115</f>
        <v>41.58</v>
      </c>
      <c r="L86" s="190">
        <f>IF('2021'!J115=0,0,IF('2020'!J115=0,0,'2021'!J115/'2020'!J115-1))</f>
        <v>0.95762321510824489</v>
      </c>
      <c r="M86" s="123">
        <f>'2021'!L115-'2020'!L115</f>
        <v>15</v>
      </c>
      <c r="N86" s="190">
        <f>IF('2021'!L115=0,0,IF('2020'!L115=0,0,'2021'!L115/'2020'!L115-1))</f>
        <v>0.24193548387096775</v>
      </c>
      <c r="O86" s="123">
        <f>IF('2020'!N115="-",0,'2021'!N115-'2020'!N115)</f>
        <v>0</v>
      </c>
      <c r="P86" s="190">
        <f>IF('2021'!N115=0,0,IF('2020'!N115="-",0,'2021'!N115/'2020'!N115-1))</f>
        <v>0</v>
      </c>
      <c r="Q86" s="68">
        <v>7</v>
      </c>
      <c r="R86" s="69">
        <v>3</v>
      </c>
      <c r="S86" s="68">
        <v>33</v>
      </c>
      <c r="T86" s="69">
        <v>14</v>
      </c>
      <c r="U86" s="42">
        <f>'2021'!S115-'2020'!S115</f>
        <v>75</v>
      </c>
      <c r="V86" s="209">
        <f>IF('2021'!S115=0,0,IF('2020'!S115=0,0,'2021'!S115/'2020'!S115-1))</f>
        <v>0.49019607843137258</v>
      </c>
      <c r="W86" s="42">
        <f>'2021'!U115-'2020'!U115</f>
        <v>0</v>
      </c>
      <c r="X86" s="211">
        <f>IF('2021'!U115=0,0,IF('2020'!U115=0,0,'2021'!U115/'2020'!U115-1))</f>
        <v>0</v>
      </c>
      <c r="Y86" s="18"/>
    </row>
    <row r="87" spans="1:25" ht="15" customHeight="1" x14ac:dyDescent="0.3">
      <c r="B87" s="883"/>
      <c r="C87" s="906"/>
      <c r="D87" s="909"/>
      <c r="E87" s="168" t="s">
        <v>158</v>
      </c>
      <c r="F87" s="252"/>
      <c r="G87" s="151"/>
      <c r="H87" s="183"/>
      <c r="I87" s="174"/>
      <c r="J87" s="190"/>
      <c r="K87" s="123"/>
      <c r="L87" s="190"/>
      <c r="M87" s="123"/>
      <c r="N87" s="190"/>
      <c r="O87" s="123"/>
      <c r="P87" s="190"/>
      <c r="Q87" s="68"/>
      <c r="R87" s="69"/>
      <c r="S87" s="68"/>
      <c r="T87" s="69"/>
      <c r="U87" s="42"/>
      <c r="V87" s="209"/>
      <c r="W87" s="42"/>
      <c r="X87" s="211"/>
      <c r="Y87" s="18"/>
    </row>
    <row r="88" spans="1:25" ht="15" customHeight="1" x14ac:dyDescent="0.3">
      <c r="A88" s="20">
        <v>41</v>
      </c>
      <c r="B88" s="883"/>
      <c r="C88" s="906"/>
      <c r="D88" s="909"/>
      <c r="E88" s="168" t="s">
        <v>148</v>
      </c>
      <c r="F88" s="252"/>
      <c r="G88" s="151"/>
      <c r="H88" s="183"/>
      <c r="I88" s="174"/>
      <c r="J88" s="190"/>
      <c r="K88" s="123"/>
      <c r="L88" s="190"/>
      <c r="M88" s="123"/>
      <c r="N88" s="190"/>
      <c r="O88" s="123"/>
      <c r="P88" s="190"/>
      <c r="Q88" s="68"/>
      <c r="R88" s="69"/>
      <c r="S88" s="68"/>
      <c r="T88" s="69"/>
      <c r="U88" s="42"/>
      <c r="V88" s="209"/>
      <c r="W88" s="42"/>
      <c r="X88" s="211"/>
      <c r="Y88" s="18"/>
    </row>
    <row r="89" spans="1:25" ht="15" customHeight="1" x14ac:dyDescent="0.3">
      <c r="A89" s="20">
        <v>42</v>
      </c>
      <c r="B89" s="883"/>
      <c r="C89" s="906"/>
      <c r="D89" s="909"/>
      <c r="E89" s="168" t="s">
        <v>149</v>
      </c>
      <c r="F89" s="252"/>
      <c r="G89" s="151"/>
      <c r="H89" s="183"/>
      <c r="I89" s="174"/>
      <c r="J89" s="190"/>
      <c r="K89" s="123"/>
      <c r="L89" s="190"/>
      <c r="M89" s="123"/>
      <c r="N89" s="190"/>
      <c r="O89" s="123"/>
      <c r="P89" s="190"/>
      <c r="Q89" s="68"/>
      <c r="R89" s="69"/>
      <c r="S89" s="68"/>
      <c r="T89" s="69"/>
      <c r="U89" s="42"/>
      <c r="V89" s="209"/>
      <c r="W89" s="42"/>
      <c r="X89" s="211"/>
      <c r="Y89" s="18"/>
    </row>
    <row r="90" spans="1:25" ht="15" customHeight="1" x14ac:dyDescent="0.3">
      <c r="B90" s="883"/>
      <c r="C90" s="906"/>
      <c r="D90" s="909"/>
      <c r="E90" s="168"/>
      <c r="F90" s="252"/>
      <c r="G90" s="151"/>
      <c r="H90" s="183"/>
      <c r="I90" s="174"/>
      <c r="J90" s="190"/>
      <c r="K90" s="123"/>
      <c r="L90" s="190"/>
      <c r="M90" s="123"/>
      <c r="N90" s="190"/>
      <c r="O90" s="123"/>
      <c r="P90" s="190"/>
      <c r="Q90" s="68"/>
      <c r="R90" s="69"/>
      <c r="S90" s="68"/>
      <c r="T90" s="69"/>
      <c r="U90" s="42"/>
      <c r="V90" s="209"/>
      <c r="W90" s="42"/>
      <c r="X90" s="211"/>
      <c r="Y90" s="18"/>
    </row>
    <row r="91" spans="1:25" ht="15" customHeight="1" x14ac:dyDescent="0.3">
      <c r="B91" s="883"/>
      <c r="C91" s="906"/>
      <c r="D91" s="909"/>
      <c r="E91" s="168"/>
      <c r="F91" s="252"/>
      <c r="G91" s="151"/>
      <c r="H91" s="183"/>
      <c r="I91" s="174"/>
      <c r="J91" s="190"/>
      <c r="K91" s="123"/>
      <c r="L91" s="190"/>
      <c r="M91" s="123"/>
      <c r="N91" s="190"/>
      <c r="O91" s="123"/>
      <c r="P91" s="190"/>
      <c r="Q91" s="68"/>
      <c r="R91" s="69"/>
      <c r="S91" s="68"/>
      <c r="T91" s="69"/>
      <c r="U91" s="42"/>
      <c r="V91" s="209"/>
      <c r="W91" s="42"/>
      <c r="X91" s="211"/>
      <c r="Y91" s="18"/>
    </row>
    <row r="92" spans="1:25" ht="15" customHeight="1" x14ac:dyDescent="0.3">
      <c r="A92" s="20">
        <v>43</v>
      </c>
      <c r="B92" s="883"/>
      <c r="C92" s="906"/>
      <c r="D92" s="910"/>
      <c r="E92" s="168" t="s">
        <v>152</v>
      </c>
      <c r="F92" s="252"/>
      <c r="G92" s="151"/>
      <c r="H92" s="183"/>
      <c r="I92" s="174"/>
      <c r="J92" s="190"/>
      <c r="K92" s="123"/>
      <c r="L92" s="190"/>
      <c r="M92" s="123"/>
      <c r="N92" s="190"/>
      <c r="O92" s="123"/>
      <c r="P92" s="190"/>
      <c r="Q92" s="68"/>
      <c r="R92" s="69"/>
      <c r="S92" s="68"/>
      <c r="T92" s="69"/>
      <c r="U92" s="42"/>
      <c r="V92" s="209"/>
      <c r="W92" s="42"/>
      <c r="X92" s="211"/>
      <c r="Y92" s="18"/>
    </row>
    <row r="93" spans="1:25" ht="15.6" x14ac:dyDescent="0.3">
      <c r="B93" s="904"/>
      <c r="C93" s="907"/>
      <c r="D93" s="258" t="s">
        <v>138</v>
      </c>
      <c r="E93" s="169"/>
      <c r="F93" s="253"/>
      <c r="G93" s="154">
        <f>SUM(G84:G92)</f>
        <v>275</v>
      </c>
      <c r="H93" s="184">
        <f>G93/SUM('2020'!G113:G115)</f>
        <v>0.5092592592592593</v>
      </c>
      <c r="I93" s="175">
        <f>SUM(I84:I92)</f>
        <v>135</v>
      </c>
      <c r="J93" s="191">
        <f>I93/SUM('2020'!H113:H115)</f>
        <v>0.5018587360594795</v>
      </c>
      <c r="K93" s="124">
        <f>SUM(K84:K92)</f>
        <v>117.25</v>
      </c>
      <c r="L93" s="191">
        <f>K93/SUM('2020'!J113:J115)</f>
        <v>0.69481481481481477</v>
      </c>
      <c r="M93" s="124">
        <f>SUM(M84:M92)</f>
        <v>44</v>
      </c>
      <c r="N93" s="191">
        <f>M93/SUM('2020'!L113:L115)</f>
        <v>0.22916666666666666</v>
      </c>
      <c r="O93" s="124">
        <f>SUM(O84:O92)</f>
        <v>0</v>
      </c>
      <c r="P93" s="191" t="e">
        <f>O93/SUM('2020'!N113:N115)</f>
        <v>#DIV/0!</v>
      </c>
      <c r="Q93" s="70">
        <f>SUM(Q84:Q92)</f>
        <v>41</v>
      </c>
      <c r="R93" s="71">
        <f t="shared" ref="R93:T93" si="0">SUM(R84:R92)</f>
        <v>16</v>
      </c>
      <c r="S93" s="70">
        <f t="shared" si="0"/>
        <v>70</v>
      </c>
      <c r="T93" s="71">
        <f t="shared" si="0"/>
        <v>29</v>
      </c>
      <c r="U93" s="48">
        <f>SUM(U79:U92)</f>
        <v>487</v>
      </c>
      <c r="V93" s="210">
        <f>IF('2021'!S125=0,0,IF('2020'!S125=0,0,'2021'!S125/'2020'!S125-1))</f>
        <v>0.63148148148148153</v>
      </c>
      <c r="W93" s="48">
        <f>SUM(W79:W92)</f>
        <v>27</v>
      </c>
      <c r="X93" s="212">
        <f>IF('2021'!U125=0,0,IF('2020'!U125=0,0,'2021'!U125/'2020'!U125-1))</f>
        <v>0.44285714285714284</v>
      </c>
      <c r="Y93" s="18"/>
    </row>
    <row r="94" spans="1:25" ht="15.75" customHeight="1" x14ac:dyDescent="0.3">
      <c r="A94" s="20">
        <v>44</v>
      </c>
      <c r="B94" s="746" t="s">
        <v>72</v>
      </c>
      <c r="C94" s="749" t="s">
        <v>76</v>
      </c>
      <c r="D94" s="881">
        <f>'2021'!D126-'2020'!D126</f>
        <v>3</v>
      </c>
      <c r="E94" s="146" t="s">
        <v>150</v>
      </c>
      <c r="F94" s="157" t="s">
        <v>62</v>
      </c>
      <c r="G94" s="148">
        <f>'2021'!G126-'2020'!G126</f>
        <v>26</v>
      </c>
      <c r="H94" s="182">
        <f>IF('2021'!G126=0,0,IF('2020'!G126=0,0,'2021'!G126/'2020'!G126-1))</f>
        <v>1.2380952380952381</v>
      </c>
      <c r="I94" s="173">
        <f>'2021'!H126-'2020'!H126</f>
        <v>30</v>
      </c>
      <c r="J94" s="189">
        <f>IF(I94=0,0,'2021'!H126/'2020'!H126-1)</f>
        <v>3.75</v>
      </c>
      <c r="K94" s="122">
        <f>'2021'!J126-'2020'!J126</f>
        <v>2.91</v>
      </c>
      <c r="L94" s="189">
        <f>IF('2021'!J126=0,0,IF('2020'!J126=0,0,'2021'!J126/'2020'!J126-1))</f>
        <v>0.47783251231527091</v>
      </c>
      <c r="M94" s="122">
        <f>'2021'!L126-'2020'!L126</f>
        <v>4.28</v>
      </c>
      <c r="N94" s="189">
        <f>IF('2021'!L126=0,0,IF('2020'!L126=0,0,'2021'!L126/'2020'!L126-1))</f>
        <v>0.63690476190476186</v>
      </c>
      <c r="O94" s="122">
        <f>IF('2020'!N126="-",0,'2021'!N126-'2020'!N126)</f>
        <v>6</v>
      </c>
      <c r="P94" s="189" t="e">
        <f>IF('2021'!N126=0,0,IF('2020'!N126="-",0,'2021'!N126/'2020'!N126-1))</f>
        <v>#DIV/0!</v>
      </c>
      <c r="Q94" s="66">
        <v>1</v>
      </c>
      <c r="R94" s="67">
        <v>0</v>
      </c>
      <c r="S94" s="66">
        <v>7</v>
      </c>
      <c r="T94" s="67">
        <v>5</v>
      </c>
      <c r="U94" s="39">
        <f>'2021'!S126-'2020'!S126</f>
        <v>26</v>
      </c>
      <c r="V94" s="207">
        <f>IF('2021'!S126=0,0,IF('2020'!S126=0,0,'2021'!S126/'2020'!S126-1))</f>
        <v>1.3684210526315788</v>
      </c>
      <c r="W94" s="39">
        <f>'2021'!U126-'2020'!U126</f>
        <v>-6</v>
      </c>
      <c r="X94" s="208">
        <f>IF('2021'!U126=0,0,IF('2020'!U126=0,0,'2021'!U126/'2020'!U126-1))</f>
        <v>-0.66666666666666674</v>
      </c>
      <c r="Y94" s="18"/>
    </row>
    <row r="95" spans="1:25" ht="15.75" customHeight="1" x14ac:dyDescent="0.3">
      <c r="A95" s="20">
        <v>45</v>
      </c>
      <c r="B95" s="747"/>
      <c r="C95" s="750"/>
      <c r="D95" s="881"/>
      <c r="E95" s="220" t="s">
        <v>153</v>
      </c>
      <c r="F95" s="161"/>
      <c r="G95" s="151"/>
      <c r="H95" s="183"/>
      <c r="I95" s="174"/>
      <c r="J95" s="190"/>
      <c r="K95" s="123"/>
      <c r="L95" s="190"/>
      <c r="M95" s="123"/>
      <c r="N95" s="190"/>
      <c r="O95" s="123"/>
      <c r="P95" s="190"/>
      <c r="Q95" s="68"/>
      <c r="R95" s="69"/>
      <c r="S95" s="68"/>
      <c r="T95" s="69"/>
      <c r="U95" s="42"/>
      <c r="V95" s="209"/>
      <c r="W95" s="42"/>
      <c r="X95" s="211"/>
      <c r="Y95" s="18"/>
    </row>
    <row r="96" spans="1:25" ht="15.75" customHeight="1" x14ac:dyDescent="0.3">
      <c r="B96" s="747"/>
      <c r="C96" s="750"/>
      <c r="D96" s="881"/>
      <c r="E96" s="307"/>
      <c r="F96" s="161"/>
      <c r="G96" s="295"/>
      <c r="H96" s="296"/>
      <c r="I96" s="297"/>
      <c r="J96" s="298"/>
      <c r="K96" s="299"/>
      <c r="L96" s="298"/>
      <c r="M96" s="299"/>
      <c r="N96" s="298"/>
      <c r="O96" s="299"/>
      <c r="P96" s="298"/>
      <c r="Q96" s="300"/>
      <c r="R96" s="301"/>
      <c r="S96" s="300"/>
      <c r="T96" s="301"/>
      <c r="U96" s="254"/>
      <c r="V96" s="305"/>
      <c r="W96" s="254"/>
      <c r="X96" s="255"/>
      <c r="Y96" s="18"/>
    </row>
    <row r="97" spans="1:25" ht="15.75" customHeight="1" x14ac:dyDescent="0.3">
      <c r="B97" s="747"/>
      <c r="C97" s="750"/>
      <c r="D97" s="881"/>
      <c r="E97" s="307"/>
      <c r="F97" s="161"/>
      <c r="G97" s="295"/>
      <c r="H97" s="296"/>
      <c r="I97" s="297"/>
      <c r="J97" s="298"/>
      <c r="K97" s="299"/>
      <c r="L97" s="298"/>
      <c r="M97" s="299"/>
      <c r="N97" s="298"/>
      <c r="O97" s="299"/>
      <c r="P97" s="298"/>
      <c r="Q97" s="300"/>
      <c r="R97" s="301"/>
      <c r="S97" s="300"/>
      <c r="T97" s="301"/>
      <c r="U97" s="254"/>
      <c r="V97" s="305"/>
      <c r="W97" s="254"/>
      <c r="X97" s="255"/>
      <c r="Y97" s="18"/>
    </row>
    <row r="98" spans="1:25" ht="15.75" customHeight="1" x14ac:dyDescent="0.3">
      <c r="A98" s="20">
        <v>46</v>
      </c>
      <c r="B98" s="747"/>
      <c r="C98" s="750"/>
      <c r="D98" s="881"/>
      <c r="E98" s="248" t="s">
        <v>36</v>
      </c>
      <c r="F98" s="157"/>
      <c r="G98" s="154"/>
      <c r="H98" s="184"/>
      <c r="I98" s="175"/>
      <c r="J98" s="191"/>
      <c r="K98" s="124"/>
      <c r="L98" s="191"/>
      <c r="M98" s="124"/>
      <c r="N98" s="191"/>
      <c r="O98" s="124"/>
      <c r="P98" s="191"/>
      <c r="Q98" s="70"/>
      <c r="R98" s="71"/>
      <c r="S98" s="70"/>
      <c r="T98" s="71"/>
      <c r="U98" s="48"/>
      <c r="V98" s="210"/>
      <c r="W98" s="254"/>
      <c r="X98" s="255"/>
      <c r="Y98" s="18"/>
    </row>
    <row r="99" spans="1:25" ht="15.75" customHeight="1" x14ac:dyDescent="0.3">
      <c r="B99" s="753"/>
      <c r="C99" s="752"/>
      <c r="D99" s="256" t="s">
        <v>138</v>
      </c>
      <c r="E99" s="156"/>
      <c r="F99" s="157"/>
      <c r="G99" s="158">
        <f>SUM(G94:G98)</f>
        <v>26</v>
      </c>
      <c r="H99" s="185">
        <f>G99/'2020'!G126</f>
        <v>1.2380952380952381</v>
      </c>
      <c r="I99" s="176">
        <f>SUM(I94:I98)</f>
        <v>30</v>
      </c>
      <c r="J99" s="192">
        <f>I99/'2020'!H126</f>
        <v>3.75</v>
      </c>
      <c r="K99" s="176">
        <f>SUM(K94:K98)</f>
        <v>2.91</v>
      </c>
      <c r="L99" s="192">
        <f>K99/'2020'!J126</f>
        <v>0.47783251231527096</v>
      </c>
      <c r="M99" s="176">
        <f>SUM(M94:M98)</f>
        <v>4.28</v>
      </c>
      <c r="N99" s="192">
        <f>M99/'2020'!L126</f>
        <v>0.63690476190476197</v>
      </c>
      <c r="O99" s="176">
        <f>SUM(O94:O98)</f>
        <v>6</v>
      </c>
      <c r="P99" s="192" t="e">
        <f>O99/'2020'!N126</f>
        <v>#DIV/0!</v>
      </c>
      <c r="Q99" s="72">
        <f>SUM(Q94:Q98)</f>
        <v>1</v>
      </c>
      <c r="R99" s="73">
        <f t="shared" ref="R99:T99" si="1">SUM(R94:R98)</f>
        <v>0</v>
      </c>
      <c r="S99" s="72">
        <f t="shared" si="1"/>
        <v>7</v>
      </c>
      <c r="T99" s="73">
        <f t="shared" si="1"/>
        <v>5</v>
      </c>
      <c r="U99" s="52">
        <f>SUM(U86:U98)</f>
        <v>588</v>
      </c>
      <c r="V99" s="213">
        <f>IF('2021'!S134=0,0,IF('2020'!S134=0,0,'2021'!S134/'2020'!S134-1))</f>
        <v>3.1052631578947372</v>
      </c>
      <c r="W99" s="52">
        <f>SUM(W86:W98)</f>
        <v>21</v>
      </c>
      <c r="X99" s="214">
        <f>IF('2021'!U134=0,0,IF('2020'!U134=0,0,'2021'!U134/'2020'!U134-1))</f>
        <v>0.77777777777777768</v>
      </c>
      <c r="Y99" s="18"/>
    </row>
    <row r="100" spans="1:25" ht="15.75" customHeight="1" thickBot="1" x14ac:dyDescent="0.35">
      <c r="A100" s="20">
        <v>47</v>
      </c>
      <c r="B100" s="746" t="s">
        <v>3</v>
      </c>
      <c r="C100" s="902" t="s">
        <v>76</v>
      </c>
      <c r="D100" s="881">
        <f>'2021'!D135-'2020'!D135</f>
        <v>-3</v>
      </c>
      <c r="E100" s="146" t="s">
        <v>48</v>
      </c>
      <c r="F100" s="147" t="s">
        <v>61</v>
      </c>
      <c r="G100" s="148"/>
      <c r="H100" s="182"/>
      <c r="I100" s="173"/>
      <c r="J100" s="189"/>
      <c r="K100" s="122"/>
      <c r="L100" s="189"/>
      <c r="M100" s="122"/>
      <c r="N100" s="189"/>
      <c r="O100" s="122"/>
      <c r="P100" s="189"/>
      <c r="Q100" s="66"/>
      <c r="R100" s="67"/>
      <c r="S100" s="66"/>
      <c r="T100" s="67"/>
      <c r="U100" s="38"/>
      <c r="V100" s="37"/>
      <c r="W100" s="38"/>
      <c r="X100" s="55"/>
      <c r="Y100" s="18"/>
    </row>
    <row r="101" spans="1:25" ht="15.75" customHeight="1" thickBot="1" x14ac:dyDescent="0.35">
      <c r="A101" s="20">
        <v>48</v>
      </c>
      <c r="B101" s="747"/>
      <c r="C101" s="903"/>
      <c r="D101" s="881"/>
      <c r="E101" s="149" t="s">
        <v>49</v>
      </c>
      <c r="F101" s="150" t="s">
        <v>61</v>
      </c>
      <c r="G101" s="151"/>
      <c r="H101" s="183"/>
      <c r="I101" s="174"/>
      <c r="J101" s="190"/>
      <c r="K101" s="123"/>
      <c r="L101" s="190"/>
      <c r="M101" s="123"/>
      <c r="N101" s="190"/>
      <c r="O101" s="123"/>
      <c r="P101" s="190"/>
      <c r="Q101" s="68"/>
      <c r="R101" s="69"/>
      <c r="S101" s="68"/>
      <c r="T101" s="69"/>
      <c r="U101" s="41"/>
      <c r="V101" s="40"/>
      <c r="W101" s="41"/>
      <c r="X101" s="45"/>
      <c r="Y101" s="18"/>
    </row>
    <row r="102" spans="1:25" ht="15.75" customHeight="1" thickBot="1" x14ac:dyDescent="0.35">
      <c r="A102" s="20">
        <v>49</v>
      </c>
      <c r="B102" s="747"/>
      <c r="C102" s="903"/>
      <c r="D102" s="881"/>
      <c r="E102" s="149" t="s">
        <v>81</v>
      </c>
      <c r="F102" s="150" t="s">
        <v>61</v>
      </c>
      <c r="G102" s="151"/>
      <c r="H102" s="183"/>
      <c r="I102" s="174"/>
      <c r="J102" s="190"/>
      <c r="K102" s="123"/>
      <c r="L102" s="190"/>
      <c r="M102" s="123"/>
      <c r="N102" s="190"/>
      <c r="O102" s="123"/>
      <c r="P102" s="190"/>
      <c r="Q102" s="68"/>
      <c r="R102" s="69"/>
      <c r="S102" s="68"/>
      <c r="T102" s="69"/>
      <c r="U102" s="41"/>
      <c r="V102" s="40"/>
      <c r="W102" s="41"/>
      <c r="X102" s="45"/>
      <c r="Y102" s="18"/>
    </row>
    <row r="103" spans="1:25" ht="15.75" customHeight="1" thickBot="1" x14ac:dyDescent="0.35">
      <c r="A103" s="20">
        <v>50</v>
      </c>
      <c r="B103" s="747"/>
      <c r="C103" s="903"/>
      <c r="D103" s="881"/>
      <c r="E103" s="149" t="s">
        <v>73</v>
      </c>
      <c r="F103" s="150" t="s">
        <v>61</v>
      </c>
      <c r="G103" s="151"/>
      <c r="H103" s="183"/>
      <c r="I103" s="174"/>
      <c r="J103" s="190"/>
      <c r="K103" s="123"/>
      <c r="L103" s="190"/>
      <c r="M103" s="123"/>
      <c r="N103" s="190"/>
      <c r="O103" s="123"/>
      <c r="P103" s="190"/>
      <c r="Q103" s="68"/>
      <c r="R103" s="69"/>
      <c r="S103" s="68"/>
      <c r="T103" s="69"/>
      <c r="U103" s="41"/>
      <c r="V103" s="40"/>
      <c r="W103" s="41"/>
      <c r="X103" s="45"/>
      <c r="Y103" s="18"/>
    </row>
    <row r="104" spans="1:25" ht="15.75" customHeight="1" thickBot="1" x14ac:dyDescent="0.35">
      <c r="A104" s="20">
        <v>51</v>
      </c>
      <c r="B104" s="747"/>
      <c r="C104" s="903"/>
      <c r="D104" s="881"/>
      <c r="E104" s="149" t="s">
        <v>50</v>
      </c>
      <c r="F104" s="150" t="s">
        <v>61</v>
      </c>
      <c r="G104" s="151"/>
      <c r="H104" s="183"/>
      <c r="I104" s="174"/>
      <c r="J104" s="190"/>
      <c r="K104" s="123"/>
      <c r="L104" s="190"/>
      <c r="M104" s="123"/>
      <c r="N104" s="190"/>
      <c r="O104" s="123"/>
      <c r="P104" s="190"/>
      <c r="Q104" s="68"/>
      <c r="R104" s="69"/>
      <c r="S104" s="68"/>
      <c r="T104" s="69"/>
      <c r="U104" s="41"/>
      <c r="V104" s="40"/>
      <c r="W104" s="41"/>
      <c r="X104" s="45"/>
      <c r="Y104" s="18"/>
    </row>
    <row r="105" spans="1:25" ht="15.75" customHeight="1" thickBot="1" x14ac:dyDescent="0.35">
      <c r="A105" s="20">
        <v>52</v>
      </c>
      <c r="B105" s="747"/>
      <c r="C105" s="903"/>
      <c r="D105" s="881"/>
      <c r="E105" s="149" t="s">
        <v>144</v>
      </c>
      <c r="F105" s="150"/>
      <c r="G105" s="151"/>
      <c r="H105" s="183"/>
      <c r="I105" s="174"/>
      <c r="J105" s="183"/>
      <c r="K105" s="123"/>
      <c r="L105" s="190"/>
      <c r="M105" s="123"/>
      <c r="N105" s="190"/>
      <c r="O105" s="123"/>
      <c r="P105" s="190"/>
      <c r="Q105" s="68"/>
      <c r="R105" s="69"/>
      <c r="S105" s="68"/>
      <c r="T105" s="69"/>
      <c r="U105" s="41"/>
      <c r="V105" s="40"/>
      <c r="W105" s="41"/>
      <c r="X105" s="45"/>
      <c r="Y105" s="18"/>
    </row>
    <row r="106" spans="1:25" ht="15.75" customHeight="1" thickBot="1" x14ac:dyDescent="0.35">
      <c r="A106" s="20">
        <v>53</v>
      </c>
      <c r="B106" s="747"/>
      <c r="C106" s="903"/>
      <c r="D106" s="881"/>
      <c r="E106" s="149" t="s">
        <v>143</v>
      </c>
      <c r="F106" s="150"/>
      <c r="G106" s="151"/>
      <c r="H106" s="183"/>
      <c r="I106" s="174"/>
      <c r="J106" s="183"/>
      <c r="K106" s="123"/>
      <c r="L106" s="190"/>
      <c r="M106" s="123"/>
      <c r="N106" s="190"/>
      <c r="O106" s="123"/>
      <c r="P106" s="190"/>
      <c r="Q106" s="68"/>
      <c r="R106" s="69"/>
      <c r="S106" s="68"/>
      <c r="T106" s="69"/>
      <c r="U106" s="41"/>
      <c r="V106" s="40"/>
      <c r="W106" s="41"/>
      <c r="X106" s="45"/>
      <c r="Y106" s="18"/>
    </row>
    <row r="107" spans="1:25" ht="15.75" customHeight="1" thickBot="1" x14ac:dyDescent="0.35">
      <c r="A107" s="20">
        <v>54</v>
      </c>
      <c r="B107" s="747"/>
      <c r="C107" s="903"/>
      <c r="D107" s="881"/>
      <c r="E107" s="149" t="s">
        <v>80</v>
      </c>
      <c r="F107" s="150" t="s">
        <v>61</v>
      </c>
      <c r="G107" s="151">
        <f>'2021'!G148-'2020'!G148</f>
        <v>122</v>
      </c>
      <c r="H107" s="183">
        <f>IF('2021'!G148=0,0,IF('2020'!G148=0,0,'2021'!G148/'2020'!G148-1))</f>
        <v>0.18740399385560669</v>
      </c>
      <c r="I107" s="174">
        <f>'2021'!H148-'2020'!H148</f>
        <v>122</v>
      </c>
      <c r="J107" s="190">
        <f>IF(I107=0,0,'2021'!H148/'2020'!H148-1)</f>
        <v>0.18740399385560669</v>
      </c>
      <c r="K107" s="123">
        <f>'2021'!J148-'2020'!J148</f>
        <v>304</v>
      </c>
      <c r="L107" s="190">
        <f>IF('2021'!J148=0,0,IF('2020'!J148=0,0,'2021'!J148/'2020'!J148-1))</f>
        <v>0</v>
      </c>
      <c r="M107" s="123">
        <f>'2021'!L148-'2020'!L148</f>
        <v>83</v>
      </c>
      <c r="N107" s="190">
        <f>IF('2021'!L148=0,0,IF('2020'!L148=0,0,'2021'!L148/'2020'!L148-1))</f>
        <v>0.33200000000000007</v>
      </c>
      <c r="O107" s="123">
        <f>IF('2020'!N148="-",0,'2021'!N148-'2020'!N148)</f>
        <v>192</v>
      </c>
      <c r="P107" s="190">
        <f>IF('2021'!N148=0,0,IF('2020'!N148="",0,'2021'!N148/'2020'!N148-1))</f>
        <v>0</v>
      </c>
      <c r="Q107" s="68"/>
      <c r="R107" s="69"/>
      <c r="S107" s="68"/>
      <c r="T107" s="69"/>
      <c r="U107" s="41"/>
      <c r="V107" s="40"/>
      <c r="W107" s="41"/>
      <c r="X107" s="45"/>
      <c r="Y107" s="18"/>
    </row>
    <row r="108" spans="1:25" ht="15.75" customHeight="1" thickBot="1" x14ac:dyDescent="0.35">
      <c r="A108" s="20">
        <v>55</v>
      </c>
      <c r="B108" s="747"/>
      <c r="C108" s="903"/>
      <c r="D108" s="881"/>
      <c r="E108" s="149" t="s">
        <v>51</v>
      </c>
      <c r="F108" s="150" t="s">
        <v>61</v>
      </c>
      <c r="G108" s="151">
        <f>'2021'!G149-'2020'!G149</f>
        <v>14</v>
      </c>
      <c r="H108" s="183">
        <f>IF('2021'!G149=0,0,IF('2020'!G149=0,0,'2021'!G149/'2020'!G149-1))</f>
        <v>2.2764227642276369E-2</v>
      </c>
      <c r="I108" s="174">
        <f>'2021'!H149-'2020'!H149</f>
        <v>14</v>
      </c>
      <c r="J108" s="190">
        <f>IF(I108=0,0,'2021'!H149/'2020'!H149-1)</f>
        <v>2.2764227642276369E-2</v>
      </c>
      <c r="K108" s="123">
        <f>'2021'!J149-'2020'!J149</f>
        <v>296</v>
      </c>
      <c r="L108" s="190">
        <f>IF('2021'!J149=0,0,IF('2020'!J149=0,0,'2021'!J149/'2020'!J149-1))</f>
        <v>0</v>
      </c>
      <c r="M108" s="123">
        <f>'2021'!L149-'2020'!L149</f>
        <v>70</v>
      </c>
      <c r="N108" s="190">
        <f>IF('2021'!L149=0,0,IF('2020'!L149=0,0,'2021'!L149/'2020'!L149-1))</f>
        <v>0.29045643153526979</v>
      </c>
      <c r="O108" s="123">
        <f>IF('2020'!N149="-",0,'2021'!N149-'2020'!N149)</f>
        <v>182</v>
      </c>
      <c r="P108" s="190">
        <f>IF('2021'!N149=0,0,IF('2020'!N149="",0,'2021'!N149/'2020'!N149-1))</f>
        <v>0</v>
      </c>
      <c r="Q108" s="68"/>
      <c r="R108" s="69"/>
      <c r="S108" s="68"/>
      <c r="T108" s="69"/>
      <c r="U108" s="41"/>
      <c r="V108" s="40"/>
      <c r="W108" s="41"/>
      <c r="X108" s="45"/>
      <c r="Y108" s="18"/>
    </row>
    <row r="109" spans="1:25" ht="15.75" customHeight="1" thickBot="1" x14ac:dyDescent="0.35">
      <c r="B109" s="747"/>
      <c r="C109" s="903"/>
      <c r="D109" s="881"/>
      <c r="E109" s="293"/>
      <c r="F109" s="294"/>
      <c r="G109" s="295"/>
      <c r="H109" s="296"/>
      <c r="I109" s="297"/>
      <c r="J109" s="298"/>
      <c r="K109" s="299"/>
      <c r="L109" s="298"/>
      <c r="M109" s="299"/>
      <c r="N109" s="298"/>
      <c r="O109" s="299"/>
      <c r="P109" s="298"/>
      <c r="Q109" s="300"/>
      <c r="R109" s="301"/>
      <c r="S109" s="300"/>
      <c r="T109" s="301"/>
      <c r="U109" s="302"/>
      <c r="V109" s="303"/>
      <c r="W109" s="302"/>
      <c r="X109" s="304"/>
      <c r="Y109" s="18"/>
    </row>
    <row r="110" spans="1:25" ht="15.75" customHeight="1" thickBot="1" x14ac:dyDescent="0.35">
      <c r="B110" s="747"/>
      <c r="C110" s="903"/>
      <c r="D110" s="881"/>
      <c r="E110" s="293"/>
      <c r="F110" s="294"/>
      <c r="G110" s="295"/>
      <c r="H110" s="296"/>
      <c r="I110" s="297"/>
      <c r="J110" s="298"/>
      <c r="K110" s="299"/>
      <c r="L110" s="298"/>
      <c r="M110" s="299"/>
      <c r="N110" s="298"/>
      <c r="O110" s="299"/>
      <c r="P110" s="298"/>
      <c r="Q110" s="300"/>
      <c r="R110" s="301"/>
      <c r="S110" s="300"/>
      <c r="T110" s="301"/>
      <c r="U110" s="302"/>
      <c r="V110" s="303"/>
      <c r="W110" s="302"/>
      <c r="X110" s="304"/>
      <c r="Y110" s="18"/>
    </row>
    <row r="111" spans="1:25" ht="15.75" customHeight="1" thickBot="1" x14ac:dyDescent="0.35">
      <c r="A111" s="20">
        <v>56</v>
      </c>
      <c r="B111" s="747"/>
      <c r="C111" s="903"/>
      <c r="D111" s="881"/>
      <c r="E111" s="152" t="s">
        <v>52</v>
      </c>
      <c r="F111" s="153" t="s">
        <v>61</v>
      </c>
      <c r="G111" s="154"/>
      <c r="H111" s="184"/>
      <c r="I111" s="175"/>
      <c r="J111" s="191"/>
      <c r="K111" s="124"/>
      <c r="L111" s="191"/>
      <c r="M111" s="124"/>
      <c r="N111" s="191"/>
      <c r="O111" s="124"/>
      <c r="P111" s="191"/>
      <c r="Q111" s="70"/>
      <c r="R111" s="71"/>
      <c r="S111" s="70"/>
      <c r="T111" s="71"/>
      <c r="U111" s="47"/>
      <c r="V111" s="46"/>
      <c r="W111" s="47"/>
      <c r="X111" s="63"/>
      <c r="Y111" s="18"/>
    </row>
    <row r="112" spans="1:25" ht="16.2" thickBot="1" x14ac:dyDescent="0.35">
      <c r="B112" s="748"/>
      <c r="C112" s="903"/>
      <c r="D112" s="195" t="s">
        <v>138</v>
      </c>
      <c r="E112" s="196"/>
      <c r="F112" s="197"/>
      <c r="G112" s="162">
        <f>SUM(G100:G111)</f>
        <v>136</v>
      </c>
      <c r="H112" s="186">
        <f>G112/SUM('2020'!G148:G149)</f>
        <v>0.10742496050552923</v>
      </c>
      <c r="I112" s="177">
        <f>SUM(I100:I111)</f>
        <v>136</v>
      </c>
      <c r="J112" s="193">
        <f>I112/SUM('2020'!H148:H149)</f>
        <v>0.10742496050552923</v>
      </c>
      <c r="K112" s="125">
        <f>SUM(K100:K111)</f>
        <v>600</v>
      </c>
      <c r="L112" s="193" t="e">
        <f>K112/SUM('2020'!J148:J149)</f>
        <v>#DIV/0!</v>
      </c>
      <c r="M112" s="125">
        <f>SUM(M100:M111)</f>
        <v>153</v>
      </c>
      <c r="N112" s="193">
        <f>M112/SUM('2020'!L148:L149)</f>
        <v>0.31160896130346233</v>
      </c>
      <c r="O112" s="125">
        <f>SUM(O100:O111)</f>
        <v>374</v>
      </c>
      <c r="P112" s="193" t="e">
        <f>O112/SUM('2020'!N148:N149)</f>
        <v>#DIV/0!</v>
      </c>
      <c r="Q112" s="121"/>
      <c r="R112" s="128"/>
      <c r="S112" s="121"/>
      <c r="T112" s="128"/>
      <c r="U112" s="129"/>
      <c r="V112" s="130"/>
      <c r="W112" s="129"/>
      <c r="X112" s="131"/>
      <c r="Y112" s="18"/>
    </row>
    <row r="113" spans="1:25" s="15" customFormat="1" ht="21" customHeight="1" thickBot="1" x14ac:dyDescent="0.35">
      <c r="A113" s="20"/>
      <c r="B113" s="102" t="s">
        <v>77</v>
      </c>
      <c r="C113" s="103"/>
      <c r="D113" s="163">
        <f>SUM(D45:D111)</f>
        <v>-16</v>
      </c>
      <c r="E113" s="164">
        <f>COUNT(A45:A112)</f>
        <v>43</v>
      </c>
      <c r="F113" s="165">
        <f>COUNT(K45:K111)</f>
        <v>34</v>
      </c>
      <c r="G113" s="171">
        <f>G53+G69+G80+G93+G94+G112</f>
        <v>633</v>
      </c>
      <c r="H113" s="216">
        <f>G113/'2020'!G160</f>
        <v>0.13195747342088807</v>
      </c>
      <c r="I113" s="179">
        <f>I53+I69+I80+I93+I94+I112</f>
        <v>561</v>
      </c>
      <c r="J113" s="215">
        <f>I113/'2020'!H160</f>
        <v>0.16706372840976771</v>
      </c>
      <c r="K113" s="180">
        <f>K53+K69+K80+K93+K94+K112</f>
        <v>821.95</v>
      </c>
      <c r="L113" s="215">
        <f>K113/'2020'!J160</f>
        <v>0.61428945106685107</v>
      </c>
      <c r="M113" s="180">
        <f>M53+M69+M80+M93+M94+M112</f>
        <v>275.69</v>
      </c>
      <c r="N113" s="215">
        <f>M113/'2020'!L160</f>
        <v>0.14378999744433607</v>
      </c>
      <c r="O113" s="217">
        <f>O53+O69+O80+O93+O99+O112</f>
        <v>424.09980000000002</v>
      </c>
      <c r="P113" s="218">
        <f>IF('2021'!N160=0,0,IF('2020'!N160="-",0,'2021'!N160/'2020'!N160-1))</f>
        <v>6.3375775557453542</v>
      </c>
      <c r="Q113" s="34"/>
      <c r="R113" s="35"/>
      <c r="S113" s="34"/>
      <c r="T113" s="35"/>
      <c r="U113" s="34"/>
      <c r="V113" s="35"/>
      <c r="W113" s="34"/>
      <c r="X113" s="36"/>
      <c r="Y113" s="19"/>
    </row>
    <row r="114" spans="1:25" s="15" customFormat="1" ht="21" customHeight="1" thickBot="1" x14ac:dyDescent="0.35">
      <c r="A114" s="20"/>
      <c r="B114" s="102" t="s">
        <v>66</v>
      </c>
      <c r="C114" s="103"/>
      <c r="D114" s="163">
        <f>D113+D44</f>
        <v>-5</v>
      </c>
      <c r="E114" s="164">
        <f>E44+E113</f>
        <v>71</v>
      </c>
      <c r="F114" s="165">
        <f>F113+F44</f>
        <v>64</v>
      </c>
      <c r="G114" s="171">
        <f>G44+G113</f>
        <v>782</v>
      </c>
      <c r="H114" s="216">
        <f>G114/'2020'!G161</f>
        <v>0.15064534771720284</v>
      </c>
      <c r="I114" s="179">
        <f>I44+I113</f>
        <v>707</v>
      </c>
      <c r="J114" s="215">
        <f>I114/'2020'!H161</f>
        <v>0.19677150013915948</v>
      </c>
      <c r="K114" s="180">
        <f>K44+K113</f>
        <v>892.98</v>
      </c>
      <c r="L114" s="215">
        <f>K114/'2020'!J161</f>
        <v>0.62576558142142369</v>
      </c>
      <c r="M114" s="180">
        <f>M44+M113</f>
        <v>327.67</v>
      </c>
      <c r="N114" s="215">
        <f>M114/'2020'!L161</f>
        <v>0.16331809821913645</v>
      </c>
      <c r="O114" s="217">
        <f>O44+O113</f>
        <v>440.13980000000004</v>
      </c>
      <c r="P114" s="218">
        <f>IF('2021'!N161=0,0,IF('2020'!N161="-",0,'2021'!N161/'2020'!N161-1))</f>
        <v>5.6139874811914723</v>
      </c>
      <c r="Q114" s="34"/>
      <c r="R114" s="35"/>
      <c r="S114" s="34"/>
      <c r="T114" s="35"/>
      <c r="U114" s="34"/>
      <c r="V114" s="35"/>
      <c r="W114" s="34"/>
      <c r="X114" s="36"/>
      <c r="Y114" s="19"/>
    </row>
    <row r="115" spans="1:25" x14ac:dyDescent="0.3">
      <c r="B115" s="5"/>
      <c r="C115" s="14"/>
      <c r="D115" s="14"/>
      <c r="E115" s="5"/>
      <c r="F115" s="14"/>
      <c r="G115" s="57"/>
      <c r="H115" s="57"/>
      <c r="I115" s="57"/>
      <c r="J115" s="57"/>
      <c r="K115" s="58"/>
      <c r="L115" s="58"/>
      <c r="M115" s="58"/>
      <c r="O115" s="758" t="s">
        <v>68</v>
      </c>
      <c r="P115" s="758"/>
      <c r="Q115" s="57"/>
      <c r="R115" s="57"/>
      <c r="S115" s="57"/>
      <c r="T115" s="57"/>
      <c r="U115" s="57"/>
      <c r="V115" s="57"/>
      <c r="W115" s="57"/>
      <c r="X115" s="57"/>
    </row>
    <row r="116" spans="1:25" x14ac:dyDescent="0.3">
      <c r="E116" s="26" t="s">
        <v>67</v>
      </c>
      <c r="F116" s="27"/>
      <c r="G116" s="2">
        <f>SUM('2021'!G148:G149)-SUM('2020'!G148:G149)</f>
        <v>136</v>
      </c>
    </row>
    <row r="117" spans="1:25" x14ac:dyDescent="0.3">
      <c r="E117" s="1" t="s">
        <v>60</v>
      </c>
      <c r="F117" s="2">
        <f>COUNTIF(F$5:F$111,E117)</f>
        <v>31</v>
      </c>
    </row>
    <row r="118" spans="1:25" ht="15.6" x14ac:dyDescent="0.3">
      <c r="A118" s="22"/>
      <c r="E118" s="1" t="s">
        <v>61</v>
      </c>
      <c r="F118" s="2">
        <f>COUNTIF(F$5:F$111,E118)</f>
        <v>8</v>
      </c>
    </row>
    <row r="119" spans="1:25" ht="15.6" x14ac:dyDescent="0.3">
      <c r="A119" s="22"/>
      <c r="E119" s="1" t="s">
        <v>62</v>
      </c>
      <c r="F119" s="2">
        <f>COUNTIF(F$5:F$111,E119)</f>
        <v>21</v>
      </c>
      <c r="I119" s="257"/>
    </row>
    <row r="120" spans="1:25" x14ac:dyDescent="0.3">
      <c r="I120" s="257"/>
    </row>
    <row r="128" spans="1:25" ht="15" customHeight="1" x14ac:dyDescent="0.3"/>
    <row r="129" spans="9:9" ht="15" customHeight="1" x14ac:dyDescent="0.3"/>
    <row r="130" spans="9:9" ht="15" customHeight="1" x14ac:dyDescent="0.3"/>
    <row r="131" spans="9:9" ht="15" customHeight="1" x14ac:dyDescent="0.3"/>
    <row r="132" spans="9:9" ht="15" customHeight="1" x14ac:dyDescent="0.3"/>
    <row r="133" spans="9:9" ht="15" customHeight="1" x14ac:dyDescent="0.3"/>
    <row r="134" spans="9:9" ht="15" customHeight="1" x14ac:dyDescent="0.3"/>
    <row r="135" spans="9:9" ht="15" customHeight="1" x14ac:dyDescent="0.3"/>
    <row r="136" spans="9:9" ht="15" customHeight="1" x14ac:dyDescent="0.3"/>
    <row r="137" spans="9:9" ht="15.75" customHeight="1" x14ac:dyDescent="0.3"/>
    <row r="138" spans="9:9" ht="15.75" customHeight="1" x14ac:dyDescent="0.3">
      <c r="I138" s="257"/>
    </row>
    <row r="139" spans="9:9" ht="15" customHeight="1" x14ac:dyDescent="0.3">
      <c r="I139" s="257"/>
    </row>
    <row r="140" spans="9:9" ht="15" customHeight="1" x14ac:dyDescent="0.3">
      <c r="I140" s="257"/>
    </row>
    <row r="141" spans="9:9" ht="15" customHeight="1" x14ac:dyDescent="0.3">
      <c r="I141" s="257"/>
    </row>
    <row r="142" spans="9:9" ht="15" customHeight="1" x14ac:dyDescent="0.3">
      <c r="I142" s="257"/>
    </row>
  </sheetData>
  <autoFilter ref="G4:X4" xr:uid="{00000000-0009-0000-0000-000008000000}"/>
  <mergeCells count="48">
    <mergeCell ref="D94:D98"/>
    <mergeCell ref="O115:P115"/>
    <mergeCell ref="D62:D68"/>
    <mergeCell ref="B70:B80"/>
    <mergeCell ref="B62:B69"/>
    <mergeCell ref="C62:C69"/>
    <mergeCell ref="C70:C80"/>
    <mergeCell ref="D70:D79"/>
    <mergeCell ref="D100:D111"/>
    <mergeCell ref="B100:B112"/>
    <mergeCell ref="C100:C112"/>
    <mergeCell ref="B94:B99"/>
    <mergeCell ref="C94:C99"/>
    <mergeCell ref="B81:B93"/>
    <mergeCell ref="C81:C93"/>
    <mergeCell ref="D81:D92"/>
    <mergeCell ref="W2:X2"/>
    <mergeCell ref="D21:D31"/>
    <mergeCell ref="D2:D4"/>
    <mergeCell ref="U3:V3"/>
    <mergeCell ref="W3:X3"/>
    <mergeCell ref="O2:P3"/>
    <mergeCell ref="K2:L3"/>
    <mergeCell ref="M2:N3"/>
    <mergeCell ref="B2:B4"/>
    <mergeCell ref="C2:C4"/>
    <mergeCell ref="Q2:R2"/>
    <mergeCell ref="S2:T2"/>
    <mergeCell ref="U2:V2"/>
    <mergeCell ref="E2:E4"/>
    <mergeCell ref="F2:F4"/>
    <mergeCell ref="G2:J2"/>
    <mergeCell ref="G3:H3"/>
    <mergeCell ref="I3:J3"/>
    <mergeCell ref="B54:B61"/>
    <mergeCell ref="C54:C61"/>
    <mergeCell ref="D54:D60"/>
    <mergeCell ref="B7:B20"/>
    <mergeCell ref="C7:C20"/>
    <mergeCell ref="D7:D19"/>
    <mergeCell ref="B21:B32"/>
    <mergeCell ref="C21:C32"/>
    <mergeCell ref="D33:D42"/>
    <mergeCell ref="D45:D52"/>
    <mergeCell ref="B33:B43"/>
    <mergeCell ref="C33:C43"/>
    <mergeCell ref="B45:B53"/>
    <mergeCell ref="C45:C53"/>
  </mergeCells>
  <pageMargins left="0.23622047244094491" right="0.23622047244094491" top="0.35433070866141736" bottom="0.15748031496062992" header="0.31496062992125984" footer="0.31496062992125984"/>
  <pageSetup paperSize="9" scale="65" orientation="landscape" horizontalDpi="300" verticalDpi="300" r:id="rId1"/>
  <ignoredErrors>
    <ignoredError sqref="V69 G113 V80 V94 H80:N80 H69:O69 G32 K114 H113:H114 H112 I114 H111:L111 J114 J113 I112:L112 L113 N111:N113 L114:N114 K44 M44:N44 I44 H43:N43 H44 J44 L44 K32:L32 E114" formula="1"/>
    <ignoredError sqref="P113 G92:P94 G88:P89" evalError="1"/>
    <ignoredError sqref="M113 K113 I113" evalError="1" formula="1"/>
    <ignoredError sqref="H32:J32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6</vt:i4>
      </vt:variant>
    </vt:vector>
  </HeadingPairs>
  <TitlesOfParts>
    <vt:vector size="15" baseType="lpstr">
      <vt:lpstr>Index</vt:lpstr>
      <vt:lpstr>2020</vt:lpstr>
      <vt:lpstr>2021</vt:lpstr>
      <vt:lpstr>2022</vt:lpstr>
      <vt:lpstr>2023</vt:lpstr>
      <vt:lpstr>2024</vt:lpstr>
      <vt:lpstr>2025</vt:lpstr>
      <vt:lpstr>SYNTHESE</vt:lpstr>
      <vt:lpstr>2021-2020</vt:lpstr>
      <vt:lpstr>'2021'!Zone_d_impression</vt:lpstr>
      <vt:lpstr>'2022'!Zone_d_impression</vt:lpstr>
      <vt:lpstr>'2023'!Zone_d_impression</vt:lpstr>
      <vt:lpstr>'2024'!Zone_d_impression</vt:lpstr>
      <vt:lpstr>'2025'!Zone_d_impression</vt:lpstr>
      <vt:lpstr>SYNTHESE!Zone_d_impression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ROGUET</dc:creator>
  <cp:lastModifiedBy>Basia Gajda</cp:lastModifiedBy>
  <cp:lastPrinted>2022-06-22T15:52:59Z</cp:lastPrinted>
  <dcterms:created xsi:type="dcterms:W3CDTF">2020-06-23T06:39:08Z</dcterms:created>
  <dcterms:modified xsi:type="dcterms:W3CDTF">2023-06-08T05:27:07Z</dcterms:modified>
</cp:coreProperties>
</file>