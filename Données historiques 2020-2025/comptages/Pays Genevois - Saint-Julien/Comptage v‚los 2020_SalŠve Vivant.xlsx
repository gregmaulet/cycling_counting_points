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275" yWindow="15" windowWidth="13740" windowHeight="10110"/>
  </bookViews>
  <sheets>
    <sheet name="Comptage SV 16 juin" sheetId="2" r:id="rId1"/>
    <sheet name="Evolution 4 douanes Collonges" sheetId="3" r:id="rId2"/>
  </sheets>
  <definedNames>
    <definedName name="_xlnm._FilterDatabase" localSheetId="0" hidden="1">'Comptage SV 16 juin'!$B$2:$D$14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4" i="2" l="1"/>
  <c r="J35" i="2"/>
  <c r="J36" i="2"/>
  <c r="J37" i="2"/>
  <c r="J38" i="2"/>
  <c r="J33" i="2"/>
  <c r="I34" i="2"/>
  <c r="I35" i="2"/>
  <c r="I36" i="2"/>
  <c r="I37" i="2"/>
  <c r="I38" i="2"/>
  <c r="I33" i="2"/>
  <c r="H34" i="2"/>
  <c r="H35" i="2"/>
  <c r="H36" i="2"/>
  <c r="H37" i="2"/>
  <c r="H38" i="2"/>
  <c r="H33" i="2"/>
  <c r="D33" i="2"/>
  <c r="E33" i="2"/>
  <c r="F33" i="2"/>
  <c r="D34" i="2"/>
  <c r="D40" i="2" s="1"/>
  <c r="E34" i="2"/>
  <c r="E40" i="2" s="1"/>
  <c r="F34" i="2"/>
  <c r="F40" i="2" s="1"/>
  <c r="D35" i="2"/>
  <c r="E35" i="2"/>
  <c r="F35" i="2"/>
  <c r="D36" i="2"/>
  <c r="E36" i="2"/>
  <c r="F36" i="2"/>
  <c r="D37" i="2"/>
  <c r="G37" i="2" s="1"/>
  <c r="E37" i="2"/>
  <c r="F37" i="2"/>
  <c r="D38" i="2"/>
  <c r="E38" i="2"/>
  <c r="F38" i="2"/>
  <c r="C34" i="2"/>
  <c r="C35" i="2"/>
  <c r="C36" i="2"/>
  <c r="C37" i="2"/>
  <c r="C38" i="2"/>
  <c r="C33" i="2"/>
  <c r="G36" i="2"/>
  <c r="G33" i="2"/>
  <c r="G38" i="2" l="1"/>
  <c r="G34" i="2"/>
  <c r="G35" i="2"/>
  <c r="C40" i="2"/>
  <c r="G40" i="2"/>
  <c r="G26" i="2"/>
  <c r="L26" i="2"/>
  <c r="D28" i="2"/>
  <c r="E28" i="2"/>
  <c r="F28" i="2"/>
  <c r="H28" i="2"/>
  <c r="I28" i="2"/>
  <c r="J28" i="2"/>
  <c r="K28" i="2"/>
  <c r="C28" i="2"/>
  <c r="D8" i="3" l="1"/>
  <c r="C8" i="3"/>
  <c r="G26" i="3"/>
  <c r="D26" i="3"/>
  <c r="E26" i="3"/>
  <c r="F26" i="3"/>
  <c r="C26" i="3"/>
  <c r="G25" i="3"/>
  <c r="G22" i="3"/>
  <c r="F31" i="3" s="1"/>
  <c r="G24" i="3"/>
  <c r="F32" i="3" s="1"/>
  <c r="G23" i="3"/>
  <c r="D30" i="3" s="1"/>
  <c r="F33" i="3"/>
  <c r="E33" i="3"/>
  <c r="D41" i="3" s="1"/>
  <c r="D33" i="3"/>
  <c r="C33" i="3"/>
  <c r="D32" i="3"/>
  <c r="C32" i="3"/>
  <c r="E31" i="3"/>
  <c r="D31" i="3"/>
  <c r="C31" i="3"/>
  <c r="C41" i="3" l="1"/>
  <c r="D48" i="3"/>
  <c r="D47" i="3"/>
  <c r="D49" i="3"/>
  <c r="G31" i="3"/>
  <c r="D39" i="3"/>
  <c r="E32" i="3"/>
  <c r="D40" i="3" s="1"/>
  <c r="F30" i="3"/>
  <c r="G33" i="3"/>
  <c r="C40" i="3"/>
  <c r="C47" i="3"/>
  <c r="G47" i="3" s="1"/>
  <c r="C39" i="3"/>
  <c r="G39" i="3" s="1"/>
  <c r="C49" i="3"/>
  <c r="G41" i="3"/>
  <c r="C30" i="3"/>
  <c r="E30" i="3"/>
  <c r="D38" i="3" s="1"/>
  <c r="D46" i="3" l="1"/>
  <c r="G49" i="3"/>
  <c r="G40" i="3"/>
  <c r="G32" i="3"/>
  <c r="C48" i="3"/>
  <c r="G48" i="3" s="1"/>
  <c r="C38" i="3"/>
  <c r="G38" i="3" s="1"/>
  <c r="G30" i="3"/>
  <c r="C46" i="3"/>
  <c r="G46" i="3" s="1"/>
  <c r="C35" i="3" l="1"/>
  <c r="D35" i="3"/>
  <c r="D9" i="3"/>
  <c r="C43" i="3" l="1"/>
  <c r="F35" i="3"/>
  <c r="D51" i="3" s="1"/>
  <c r="E35" i="3"/>
  <c r="L25" i="2"/>
  <c r="L24" i="2"/>
  <c r="L23" i="2"/>
  <c r="L22" i="2"/>
  <c r="L21" i="2"/>
  <c r="L28" i="2" s="1"/>
  <c r="G22" i="2"/>
  <c r="G23" i="2"/>
  <c r="G24" i="2"/>
  <c r="G25" i="2"/>
  <c r="G21" i="2"/>
  <c r="G28" i="2" l="1"/>
  <c r="D43" i="3"/>
  <c r="G43" i="3"/>
  <c r="G35" i="3"/>
  <c r="C51" i="3"/>
  <c r="G51" i="3" s="1"/>
</calcChain>
</file>

<file path=xl/sharedStrings.xml><?xml version="1.0" encoding="utf-8"?>
<sst xmlns="http://schemas.openxmlformats.org/spreadsheetml/2006/main" count="110" uniqueCount="49">
  <si>
    <t>Isabelle</t>
  </si>
  <si>
    <t>Martin</t>
  </si>
  <si>
    <t>Vero</t>
  </si>
  <si>
    <t>Remy</t>
  </si>
  <si>
    <t>Douane</t>
  </si>
  <si>
    <t>Colette</t>
  </si>
  <si>
    <t>Roger</t>
  </si>
  <si>
    <t>Veyrier</t>
  </si>
  <si>
    <t>Landecy</t>
  </si>
  <si>
    <t>Croix de Rozon</t>
  </si>
  <si>
    <t>Pierre-Grand</t>
  </si>
  <si>
    <t>Croix-de-Rozon</t>
  </si>
  <si>
    <t>Genevieve</t>
  </si>
  <si>
    <t>Troinex/Bossey</t>
  </si>
  <si>
    <t>TOTAL</t>
  </si>
  <si>
    <t>VAE Homme</t>
  </si>
  <si>
    <t>Vélo Homme</t>
  </si>
  <si>
    <t>VAE Femme</t>
  </si>
  <si>
    <t>Vélo Femmes</t>
  </si>
  <si>
    <t>VERS SUISSE</t>
  </si>
  <si>
    <t>TOTAL VERS SUISSE</t>
  </si>
  <si>
    <t>TOTAL VERS France</t>
  </si>
  <si>
    <t>VERS France</t>
  </si>
  <si>
    <t>7h30 - 8h30</t>
  </si>
  <si>
    <t>Charrot</t>
  </si>
  <si>
    <t>Total vélo 7h30-8h30</t>
  </si>
  <si>
    <t>Bossey/Troinex</t>
  </si>
  <si>
    <t xml:space="preserve"> juin 2019</t>
  </si>
  <si>
    <t>juin 2020</t>
  </si>
  <si>
    <t>Hommes</t>
  </si>
  <si>
    <t>Femmes</t>
  </si>
  <si>
    <t>Vélo</t>
  </si>
  <si>
    <t>VAE</t>
  </si>
  <si>
    <t>MOYENNE</t>
  </si>
  <si>
    <t>Nombre de vélo total</t>
  </si>
  <si>
    <t>16.06.2020
De 7h30 à 8h30</t>
  </si>
  <si>
    <t>Compteur</t>
  </si>
  <si>
    <t>Emplacement</t>
  </si>
  <si>
    <t>Type</t>
  </si>
  <si>
    <t>Anne-Claire</t>
  </si>
  <si>
    <t>Marie-Christine</t>
  </si>
  <si>
    <t>Laura</t>
  </si>
  <si>
    <t>Caroline</t>
  </si>
  <si>
    <t>Philip</t>
  </si>
  <si>
    <t>?</t>
  </si>
  <si>
    <t>TOTAL DES 2 DIRECTIONS</t>
  </si>
  <si>
    <t>% VAE</t>
  </si>
  <si>
    <t>% femmes</t>
  </si>
  <si>
    <t>VAE chez les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</si>
</sst>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9" fontId="6" fillId="0" borderId="0" xfId="1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9" fontId="1" fillId="0" borderId="0" xfId="1" applyFont="1" applyAlignment="1">
      <alignment horizontal="center"/>
    </xf>
    <xf numFmtId="9" fontId="1" fillId="3" borderId="0" xfId="0" applyNumberFormat="1" applyFont="1" applyFill="1" applyAlignment="1">
      <alignment horizontal="center"/>
    </xf>
    <xf numFmtId="9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9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vers la Suisse,  7h30-8h30</a:t>
            </a:r>
            <a:endParaRPr lang="fr-CH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'Evolution 4 douanes Collonges'!$C$3</c:f>
              <c:strCache>
                <c:ptCount val="1"/>
                <c:pt idx="0">
                  <c:v> juin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4 douanes Collonges'!$B$4:$B$7</c:f>
              <c:strCache>
                <c:ptCount val="4"/>
                <c:pt idx="0">
                  <c:v>Landecy</c:v>
                </c:pt>
                <c:pt idx="1">
                  <c:v>Croix-de-Rozon</c:v>
                </c:pt>
                <c:pt idx="2">
                  <c:v>Pierre-Grand</c:v>
                </c:pt>
                <c:pt idx="3">
                  <c:v>Bossey/Troinex</c:v>
                </c:pt>
              </c:strCache>
            </c:strRef>
          </c:cat>
          <c:val>
            <c:numRef>
              <c:f>'Evolution 4 douanes Collonges'!$C$4:$C$7</c:f>
              <c:numCache>
                <c:formatCode>General</c:formatCode>
                <c:ptCount val="4"/>
                <c:pt idx="0">
                  <c:v>41</c:v>
                </c:pt>
                <c:pt idx="1">
                  <c:v>79</c:v>
                </c:pt>
                <c:pt idx="2">
                  <c:v>25</c:v>
                </c:pt>
                <c:pt idx="3">
                  <c:v>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54-4A3D-953D-FB86A439D9D7}"/>
            </c:ext>
          </c:extLst>
        </c:ser>
        <c:ser>
          <c:idx val="1"/>
          <c:order val="1"/>
          <c:tx>
            <c:strRef>
              <c:f>'Evolution 4 douanes Collonges'!$D$3</c:f>
              <c:strCache>
                <c:ptCount val="1"/>
                <c:pt idx="0">
                  <c:v>juin 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4 douanes Collonges'!$B$4:$B$7</c:f>
              <c:strCache>
                <c:ptCount val="4"/>
                <c:pt idx="0">
                  <c:v>Landecy</c:v>
                </c:pt>
                <c:pt idx="1">
                  <c:v>Croix-de-Rozon</c:v>
                </c:pt>
                <c:pt idx="2">
                  <c:v>Pierre-Grand</c:v>
                </c:pt>
                <c:pt idx="3">
                  <c:v>Bossey/Troinex</c:v>
                </c:pt>
              </c:strCache>
            </c:strRef>
          </c:cat>
          <c:val>
            <c:numRef>
              <c:f>'Evolution 4 douanes Collonges'!$D$4:$D$7</c:f>
              <c:numCache>
                <c:formatCode>General</c:formatCode>
                <c:ptCount val="4"/>
                <c:pt idx="0">
                  <c:v>33</c:v>
                </c:pt>
                <c:pt idx="1">
                  <c:v>78</c:v>
                </c:pt>
                <c:pt idx="2">
                  <c:v>14</c:v>
                </c:pt>
                <c:pt idx="3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D54-4A3D-953D-FB86A439D9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5846272"/>
        <c:axId val="105847808"/>
      </c:barChart>
      <c:catAx>
        <c:axId val="10584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847808"/>
        <c:crosses val="autoZero"/>
        <c:auto val="1"/>
        <c:lblAlgn val="ctr"/>
        <c:lblOffset val="100"/>
        <c:noMultiLvlLbl val="0"/>
      </c:catAx>
      <c:valAx>
        <c:axId val="105847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8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407937644158102"/>
          <c:y val="0.21800925925925929"/>
          <c:w val="0.11171250804393253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7h30-8h30, 16.06.2020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09521964410112"/>
          <c:y val="0.19425644087184732"/>
          <c:w val="0.60508442671041551"/>
          <c:h val="0.77690403455549184"/>
        </c:manualLayout>
      </c:layout>
      <c:pieChart>
        <c:varyColors val="1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A39-4D66-836B-6B04D15E5899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A39-4D66-836B-6B04D15E5899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1A39-4D66-836B-6B04D15E5899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A39-4D66-836B-6B04D15E5899}"/>
              </c:ext>
            </c:extLst>
          </c:dPt>
          <c:dLbls>
            <c:dLbl>
              <c:idx val="0"/>
              <c:layout>
                <c:manualLayout>
                  <c:x val="-0.18757666804807294"/>
                  <c:y val="9.030462101328243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39-4D66-836B-6B04D15E5899}"/>
                </c:ext>
              </c:extLst>
            </c:dLbl>
            <c:dLbl>
              <c:idx val="1"/>
              <c:layout>
                <c:manualLayout>
                  <c:x val="-4.0246408343693883E-2"/>
                  <c:y val="-0.1604479837747554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39-4D66-836B-6B04D15E5899}"/>
                </c:ext>
              </c:extLst>
            </c:dLbl>
            <c:dLbl>
              <c:idx val="2"/>
              <c:layout>
                <c:manualLayout>
                  <c:x val="0.11363870393407065"/>
                  <c:y val="-0.1366597487711633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21763668986883106"/>
                      <c:h val="0.189299472055343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A39-4D66-836B-6B04D15E5899}"/>
                </c:ext>
              </c:extLst>
            </c:dLbl>
            <c:dLbl>
              <c:idx val="3"/>
              <c:layout>
                <c:manualLayout>
                  <c:x val="0.18757601878317903"/>
                  <c:y val="0.1234203531767704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39-4D66-836B-6B04D15E58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'Evolution 4 douanes Collonges'!$C$21:$F$21</c:f>
              <c:strCache>
                <c:ptCount val="4"/>
                <c:pt idx="0">
                  <c:v>VAE Homme</c:v>
                </c:pt>
                <c:pt idx="1">
                  <c:v>Vélo Homme</c:v>
                </c:pt>
                <c:pt idx="2">
                  <c:v>Vélo Femmes</c:v>
                </c:pt>
                <c:pt idx="3">
                  <c:v>VAE Femme</c:v>
                </c:pt>
              </c:strCache>
            </c:strRef>
          </c:cat>
          <c:val>
            <c:numRef>
              <c:f>'Evolution 4 douanes Collonges'!$C$26:$F$26</c:f>
              <c:numCache>
                <c:formatCode>General</c:formatCode>
                <c:ptCount val="4"/>
                <c:pt idx="0">
                  <c:v>51</c:v>
                </c:pt>
                <c:pt idx="1">
                  <c:v>37</c:v>
                </c:pt>
                <c:pt idx="2">
                  <c:v>12</c:v>
                </c:pt>
                <c:pt idx="3">
                  <c:v>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39-4D66-836B-6B04D15E58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200" b="0" i="0" baseline="0">
                <a:effectLst/>
              </a:rPr>
              <a:t>Comptage vélo aux douanes, vers la Suisse,  7h30-8h30, 16.06.2020</a:t>
            </a:r>
            <a:endParaRPr lang="fr-CH" sz="1200">
              <a:effectLst/>
            </a:endParaRPr>
          </a:p>
        </c:rich>
      </c:tx>
      <c:layout>
        <c:manualLayout>
          <c:xMode val="edge"/>
          <c:yMode val="edge"/>
          <c:x val="0.10963807155684487"/>
          <c:y val="3.15656565656565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09521964410112"/>
          <c:y val="0.19425644087184732"/>
          <c:w val="0.60508442671041551"/>
          <c:h val="0.776904034555491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C2B-41FB-A1E6-E08B291F5D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C2B-41FB-A1E6-E08B291F5D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C2B-41FB-A1E6-E08B291F5D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C2B-41FB-A1E6-E08B291F5D99}"/>
              </c:ext>
            </c:extLst>
          </c:dPt>
          <c:dLbls>
            <c:dLbl>
              <c:idx val="0"/>
              <c:layout>
                <c:manualLayout>
                  <c:x val="-0.1518408932750262"/>
                  <c:y val="0.1777476788640087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2B-41FB-A1E6-E08B291F5D99}"/>
                </c:ext>
              </c:extLst>
            </c:dLbl>
            <c:dLbl>
              <c:idx val="1"/>
              <c:layout>
                <c:manualLayout>
                  <c:x val="-2.4115635468585733E-2"/>
                  <c:y val="-0.1954815219370107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2B-41FB-A1E6-E08B291F5D99}"/>
                </c:ext>
              </c:extLst>
            </c:dLbl>
            <c:dLbl>
              <c:idx val="2"/>
              <c:layout>
                <c:manualLayout>
                  <c:x val="0.14661307082943725"/>
                  <c:y val="6.486582923721100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2B-41FB-A1E6-E08B291F5D99}"/>
                </c:ext>
              </c:extLst>
            </c:dLbl>
            <c:dLbl>
              <c:idx val="3"/>
              <c:layout>
                <c:manualLayout>
                  <c:x val="0.10394746821812799"/>
                  <c:y val="0.134147096304387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2B-41FB-A1E6-E08B291F5D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'Evolution 4 douanes Collonges'!$B$22:$B$25</c:f>
              <c:strCache>
                <c:ptCount val="4"/>
                <c:pt idx="0">
                  <c:v>Landecy</c:v>
                </c:pt>
                <c:pt idx="1">
                  <c:v>Croix de Rozon</c:v>
                </c:pt>
                <c:pt idx="2">
                  <c:v>Pierre-Grand</c:v>
                </c:pt>
                <c:pt idx="3">
                  <c:v>Troinex/Bossey</c:v>
                </c:pt>
              </c:strCache>
            </c:strRef>
          </c:cat>
          <c:val>
            <c:numRef>
              <c:f>'Evolution 4 douanes Collonges'!$G$22:$G$25</c:f>
              <c:numCache>
                <c:formatCode>General</c:formatCode>
                <c:ptCount val="4"/>
                <c:pt idx="0">
                  <c:v>33</c:v>
                </c:pt>
                <c:pt idx="1">
                  <c:v>78</c:v>
                </c:pt>
                <c:pt idx="2">
                  <c:v>14</c:v>
                </c:pt>
                <c:pt idx="3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C2B-41FB-A1E6-E08B291F5D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Comptage vélo</a:t>
            </a:r>
            <a:r>
              <a:rPr lang="fr-CH" baseline="0"/>
              <a:t> aux douanes, vers la Suisse,  7h30-8h30</a:t>
            </a:r>
            <a:endParaRPr lang="fr-CH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034948506650392"/>
          <c:y val="0.2519052735974005"/>
          <c:w val="0.6358404935166484"/>
          <c:h val="0.6334713482582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'Evolution 4 douanes Collonges'!$C$3</c:f>
              <c:strCache>
                <c:ptCount val="1"/>
                <c:pt idx="0">
                  <c:v> juin 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904-4A77-96AF-96BA9C690CB1}"/>
              </c:ext>
            </c:extLst>
          </c:dPt>
          <c:dLbls>
            <c:dLbl>
              <c:idx val="0"/>
              <c:layout>
                <c:manualLayout>
                  <c:x val="-5.9926672495673938E-17"/>
                  <c:y val="0.279473695792527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04-4A77-96AF-96BA9C690CB1}"/>
                </c:ext>
              </c:extLst>
            </c:dLbl>
            <c:dLbl>
              <c:idx val="1"/>
              <c:layout>
                <c:manualLayout>
                  <c:x val="0"/>
                  <c:y val="0.2700000111893911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04-4A77-96AF-96BA9C690C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4 douanes Collonges'!$C$3:$D$3</c:f>
              <c:strCache>
                <c:ptCount val="2"/>
                <c:pt idx="0">
                  <c:v> juin 2019</c:v>
                </c:pt>
                <c:pt idx="1">
                  <c:v>juin 2020</c:v>
                </c:pt>
              </c:strCache>
            </c:strRef>
          </c:cat>
          <c:val>
            <c:numRef>
              <c:f>'Evolution 4 douanes Collonges'!$C$8:$D$8</c:f>
              <c:numCache>
                <c:formatCode>General</c:formatCode>
                <c:ptCount val="2"/>
                <c:pt idx="0">
                  <c:v>172</c:v>
                </c:pt>
                <c:pt idx="1">
                  <c:v>145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904-4A77-96AF-96BA9C69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33760"/>
        <c:axId val="111335296"/>
      </c:barChart>
      <c:catAx>
        <c:axId val="11133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335296"/>
        <c:crosses val="autoZero"/>
        <c:auto val="1"/>
        <c:lblAlgn val="ctr"/>
        <c:lblOffset val="100"/>
        <c:noMultiLvlLbl val="0"/>
      </c:catAx>
      <c:valAx>
        <c:axId val="111335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total de vélos</a:t>
                </a:r>
              </a:p>
            </c:rich>
          </c:tx>
          <c:layout>
            <c:manualLayout>
              <c:xMode val="edge"/>
              <c:yMode val="edge"/>
              <c:x val="6.4705081437299292E-2"/>
              <c:y val="0.29277900094401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33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</xdr:row>
      <xdr:rowOff>76200</xdr:rowOff>
    </xdr:from>
    <xdr:to>
      <xdr:col>11</xdr:col>
      <xdr:colOff>365760</xdr:colOff>
      <xdr:row>16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="" xmlns:a16="http://schemas.microsoft.com/office/drawing/2014/main" id="{2CD1B4DB-29BB-48AD-AFC8-802F38843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782319</xdr:colOff>
      <xdr:row>17</xdr:row>
      <xdr:rowOff>180340</xdr:rowOff>
    </xdr:from>
    <xdr:to>
      <xdr:col>12</xdr:col>
      <xdr:colOff>443802</xdr:colOff>
      <xdr:row>33</xdr:row>
      <xdr:rowOff>66989</xdr:rowOff>
    </xdr:to>
    <xdr:graphicFrame macro="">
      <xdr:nvGraphicFramePr>
        <xdr:cNvPr id="3" name="Graphique 2">
          <a:extLst>
            <a:ext uri="{FF2B5EF4-FFF2-40B4-BE49-F238E27FC236}">
              <a16:creationId xmlns="" xmlns:a16="http://schemas.microsoft.com/office/drawing/2014/main" id="{4B2A1DA9-F809-40BA-9477-20BE1CC53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762000</xdr:colOff>
      <xdr:row>34</xdr:row>
      <xdr:rowOff>112889</xdr:rowOff>
    </xdr:from>
    <xdr:to>
      <xdr:col>12</xdr:col>
      <xdr:colOff>423483</xdr:colOff>
      <xdr:row>51</xdr:row>
      <xdr:rowOff>27759</xdr:rowOff>
    </xdr:to>
    <xdr:graphicFrame macro="">
      <xdr:nvGraphicFramePr>
        <xdr:cNvPr id="4" name="Graphique 3">
          <a:extLst>
            <a:ext uri="{FF2B5EF4-FFF2-40B4-BE49-F238E27FC236}">
              <a16:creationId xmlns="" xmlns:a16="http://schemas.microsoft.com/office/drawing/2014/main" id="{08BE3729-7606-4F27-95EF-73E03617C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545630</xdr:colOff>
      <xdr:row>1</xdr:row>
      <xdr:rowOff>56444</xdr:rowOff>
    </xdr:from>
    <xdr:to>
      <xdr:col>16</xdr:col>
      <xdr:colOff>479778</xdr:colOff>
      <xdr:row>16</xdr:row>
      <xdr:rowOff>56444</xdr:rowOff>
    </xdr:to>
    <xdr:graphicFrame macro="">
      <xdr:nvGraphicFramePr>
        <xdr:cNvPr id="5" name="Graphique 4">
          <a:extLst>
            <a:ext uri="{FF2B5EF4-FFF2-40B4-BE49-F238E27FC236}">
              <a16:creationId xmlns="" xmlns:a16="http://schemas.microsoft.com/office/drawing/2014/main" id="{FBC6C48B-60BB-403D-8FC9-7A7AD044B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0"/>
  <sheetViews>
    <sheetView showGridLines="0" tabSelected="1" topLeftCell="B13" workbookViewId="0">
      <selection activeCell="B21" sqref="B21:L26"/>
    </sheetView>
  </sheetViews>
  <sheetFormatPr baseColWidth="10" defaultRowHeight="15" x14ac:dyDescent="0.25"/>
  <cols>
    <col min="2" max="2" width="20.5703125" bestFit="1" customWidth="1"/>
    <col min="3" max="3" width="13.5703125" bestFit="1" customWidth="1"/>
    <col min="5" max="5" width="10.7109375" bestFit="1" customWidth="1"/>
    <col min="6" max="6" width="11.85546875" bestFit="1" customWidth="1"/>
    <col min="7" max="7" width="17.7109375" style="2" bestFit="1" customWidth="1"/>
    <col min="8" max="8" width="11.140625" bestFit="1" customWidth="1"/>
    <col min="10" max="10" width="10.7109375" bestFit="1" customWidth="1"/>
    <col min="11" max="11" width="11.85546875" bestFit="1" customWidth="1"/>
    <col min="12" max="12" width="17.28515625" style="2" bestFit="1" customWidth="1"/>
  </cols>
  <sheetData>
    <row r="2" spans="2:6" ht="14.45" x14ac:dyDescent="0.3">
      <c r="B2" s="32" t="s">
        <v>36</v>
      </c>
      <c r="C2" s="32" t="s">
        <v>37</v>
      </c>
      <c r="D2" s="32" t="s">
        <v>38</v>
      </c>
    </row>
    <row r="3" spans="2:6" x14ac:dyDescent="0.25">
      <c r="B3" s="30" t="s">
        <v>40</v>
      </c>
      <c r="C3" s="41" t="s">
        <v>9</v>
      </c>
      <c r="D3" s="41" t="s">
        <v>4</v>
      </c>
    </row>
    <row r="4" spans="2:6" x14ac:dyDescent="0.25">
      <c r="B4" s="30" t="s">
        <v>41</v>
      </c>
      <c r="C4" s="41"/>
      <c r="D4" s="41"/>
      <c r="F4" s="29"/>
    </row>
    <row r="5" spans="2:6" x14ac:dyDescent="0.25">
      <c r="B5" s="30" t="s">
        <v>1</v>
      </c>
      <c r="C5" s="41"/>
      <c r="D5" s="41"/>
      <c r="F5" s="29"/>
    </row>
    <row r="6" spans="2:6" x14ac:dyDescent="0.25">
      <c r="B6" s="30" t="s">
        <v>2</v>
      </c>
      <c r="C6" s="41" t="s">
        <v>8</v>
      </c>
      <c r="D6" s="41" t="s">
        <v>4</v>
      </c>
    </row>
    <row r="7" spans="2:6" x14ac:dyDescent="0.25">
      <c r="B7" s="30" t="s">
        <v>3</v>
      </c>
      <c r="C7" s="41"/>
      <c r="D7" s="41"/>
    </row>
    <row r="8" spans="2:6" ht="14.45" x14ac:dyDescent="0.3">
      <c r="B8" s="31" t="s">
        <v>39</v>
      </c>
      <c r="C8" s="30" t="s">
        <v>24</v>
      </c>
      <c r="D8" s="30" t="s">
        <v>44</v>
      </c>
    </row>
    <row r="9" spans="2:6" x14ac:dyDescent="0.25">
      <c r="B9" s="30" t="s">
        <v>42</v>
      </c>
      <c r="C9" s="41" t="s">
        <v>10</v>
      </c>
      <c r="D9" s="41" t="s">
        <v>4</v>
      </c>
    </row>
    <row r="10" spans="2:6" x14ac:dyDescent="0.25">
      <c r="B10" s="30" t="s">
        <v>12</v>
      </c>
      <c r="C10" s="41"/>
      <c r="D10" s="41"/>
    </row>
    <row r="11" spans="2:6" x14ac:dyDescent="0.25">
      <c r="B11" s="30" t="s">
        <v>5</v>
      </c>
      <c r="C11" s="41" t="s">
        <v>13</v>
      </c>
      <c r="D11" s="41" t="s">
        <v>4</v>
      </c>
    </row>
    <row r="12" spans="2:6" x14ac:dyDescent="0.25">
      <c r="B12" s="30" t="s">
        <v>6</v>
      </c>
      <c r="C12" s="41"/>
      <c r="D12" s="41"/>
    </row>
    <row r="13" spans="2:6" x14ac:dyDescent="0.25">
      <c r="B13" s="30" t="s">
        <v>0</v>
      </c>
      <c r="C13" s="41" t="s">
        <v>7</v>
      </c>
      <c r="D13" s="41" t="s">
        <v>4</v>
      </c>
    </row>
    <row r="14" spans="2:6" x14ac:dyDescent="0.25">
      <c r="B14" s="31" t="s">
        <v>43</v>
      </c>
      <c r="C14" s="41"/>
      <c r="D14" s="41"/>
    </row>
    <row r="15" spans="2:6" ht="14.45" x14ac:dyDescent="0.3">
      <c r="D15" s="3"/>
    </row>
    <row r="16" spans="2:6" ht="14.45" x14ac:dyDescent="0.3">
      <c r="B16" s="1"/>
      <c r="C16" s="2"/>
      <c r="D16" s="1"/>
    </row>
    <row r="19" spans="1:12" x14ac:dyDescent="0.25">
      <c r="A19" s="27"/>
      <c r="B19" s="39" t="s">
        <v>35</v>
      </c>
      <c r="C19" s="36" t="s">
        <v>19</v>
      </c>
      <c r="D19" s="36"/>
      <c r="E19" s="36"/>
      <c r="F19" s="36"/>
      <c r="G19" s="36"/>
      <c r="H19" s="36" t="s">
        <v>22</v>
      </c>
      <c r="I19" s="36"/>
      <c r="J19" s="36"/>
      <c r="K19" s="36"/>
      <c r="L19" s="36"/>
    </row>
    <row r="20" spans="1:12" x14ac:dyDescent="0.25">
      <c r="A20" s="27"/>
      <c r="B20" s="40"/>
      <c r="C20" s="22" t="s">
        <v>15</v>
      </c>
      <c r="D20" s="22" t="s">
        <v>16</v>
      </c>
      <c r="E20" s="22" t="s">
        <v>17</v>
      </c>
      <c r="F20" s="22" t="s">
        <v>18</v>
      </c>
      <c r="G20" s="24" t="s">
        <v>20</v>
      </c>
      <c r="H20" s="22" t="s">
        <v>15</v>
      </c>
      <c r="I20" s="22" t="s">
        <v>16</v>
      </c>
      <c r="J20" s="22" t="s">
        <v>17</v>
      </c>
      <c r="K20" s="22" t="s">
        <v>18</v>
      </c>
      <c r="L20" s="24" t="s">
        <v>21</v>
      </c>
    </row>
    <row r="21" spans="1:12" x14ac:dyDescent="0.25">
      <c r="A21" s="37"/>
      <c r="B21" s="22" t="s">
        <v>9</v>
      </c>
      <c r="C21" s="22">
        <v>26</v>
      </c>
      <c r="D21" s="22">
        <v>21</v>
      </c>
      <c r="E21" s="22">
        <v>26</v>
      </c>
      <c r="F21" s="22">
        <v>5</v>
      </c>
      <c r="G21" s="24">
        <f>SUM(C21:F21)</f>
        <v>78</v>
      </c>
      <c r="H21" s="22">
        <v>0</v>
      </c>
      <c r="I21" s="22">
        <v>9</v>
      </c>
      <c r="J21" s="22">
        <v>1</v>
      </c>
      <c r="K21" s="22">
        <v>0</v>
      </c>
      <c r="L21" s="24">
        <f>SUM(H21:K21)</f>
        <v>10</v>
      </c>
    </row>
    <row r="22" spans="1:12" x14ac:dyDescent="0.25">
      <c r="A22" s="38"/>
      <c r="B22" s="22" t="s">
        <v>8</v>
      </c>
      <c r="C22" s="22">
        <v>14</v>
      </c>
      <c r="D22" s="22">
        <v>11</v>
      </c>
      <c r="E22" s="22">
        <v>7</v>
      </c>
      <c r="F22" s="22">
        <v>1</v>
      </c>
      <c r="G22" s="24">
        <f t="shared" ref="G22:G25" si="0">SUM(C22:F22)</f>
        <v>33</v>
      </c>
      <c r="H22" s="22">
        <v>0</v>
      </c>
      <c r="I22" s="22">
        <v>0</v>
      </c>
      <c r="J22" s="22">
        <v>0</v>
      </c>
      <c r="K22" s="22">
        <v>0</v>
      </c>
      <c r="L22" s="24">
        <f t="shared" ref="L22:L25" si="1">SUM(H22:K22)</f>
        <v>0</v>
      </c>
    </row>
    <row r="23" spans="1:12" x14ac:dyDescent="0.25">
      <c r="A23" s="38"/>
      <c r="B23" s="22" t="s">
        <v>10</v>
      </c>
      <c r="C23" s="22">
        <v>5</v>
      </c>
      <c r="D23" s="22">
        <v>2</v>
      </c>
      <c r="E23" s="22">
        <v>4</v>
      </c>
      <c r="F23" s="22">
        <v>3</v>
      </c>
      <c r="G23" s="24">
        <f t="shared" si="0"/>
        <v>14</v>
      </c>
      <c r="H23" s="22">
        <v>0</v>
      </c>
      <c r="I23" s="22">
        <v>0</v>
      </c>
      <c r="J23" s="22">
        <v>0</v>
      </c>
      <c r="K23" s="22">
        <v>0</v>
      </c>
      <c r="L23" s="24">
        <f t="shared" si="1"/>
        <v>0</v>
      </c>
    </row>
    <row r="24" spans="1:12" x14ac:dyDescent="0.25">
      <c r="A24" s="38"/>
      <c r="B24" s="22" t="s">
        <v>13</v>
      </c>
      <c r="C24" s="22">
        <v>6</v>
      </c>
      <c r="D24" s="22">
        <v>3</v>
      </c>
      <c r="E24" s="22">
        <v>8</v>
      </c>
      <c r="F24" s="22">
        <v>3</v>
      </c>
      <c r="G24" s="24">
        <f t="shared" si="0"/>
        <v>20</v>
      </c>
      <c r="H24" s="22">
        <v>1</v>
      </c>
      <c r="I24" s="22">
        <v>2</v>
      </c>
      <c r="J24" s="22">
        <v>0</v>
      </c>
      <c r="K24" s="22">
        <v>0</v>
      </c>
      <c r="L24" s="24">
        <f t="shared" si="1"/>
        <v>3</v>
      </c>
    </row>
    <row r="25" spans="1:12" x14ac:dyDescent="0.25">
      <c r="A25" s="38"/>
      <c r="B25" s="22" t="s">
        <v>7</v>
      </c>
      <c r="C25" s="22">
        <v>5</v>
      </c>
      <c r="D25" s="22">
        <v>14</v>
      </c>
      <c r="E25" s="22">
        <v>13</v>
      </c>
      <c r="F25" s="22">
        <v>4</v>
      </c>
      <c r="G25" s="24">
        <f t="shared" si="0"/>
        <v>36</v>
      </c>
      <c r="H25" s="22">
        <v>0</v>
      </c>
      <c r="I25" s="22">
        <v>0</v>
      </c>
      <c r="J25" s="22">
        <v>0</v>
      </c>
      <c r="K25" s="22">
        <v>0</v>
      </c>
      <c r="L25" s="24">
        <f t="shared" si="1"/>
        <v>0</v>
      </c>
    </row>
    <row r="26" spans="1:12" x14ac:dyDescent="0.25">
      <c r="A26" s="38"/>
      <c r="B26" s="22" t="s">
        <v>24</v>
      </c>
      <c r="C26" s="22">
        <v>10</v>
      </c>
      <c r="D26" s="22">
        <v>14</v>
      </c>
      <c r="E26" s="22">
        <v>10</v>
      </c>
      <c r="F26" s="22">
        <v>5</v>
      </c>
      <c r="G26" s="24">
        <f>SUM(C26:F26)</f>
        <v>39</v>
      </c>
      <c r="H26" s="22">
        <v>2</v>
      </c>
      <c r="I26" s="22">
        <v>0</v>
      </c>
      <c r="J26" s="22">
        <v>4</v>
      </c>
      <c r="K26" s="22">
        <v>0</v>
      </c>
      <c r="L26" s="24">
        <f>SUM(H26:K26)</f>
        <v>6</v>
      </c>
    </row>
    <row r="27" spans="1:12" ht="14.45" x14ac:dyDescent="0.3">
      <c r="A27" s="27"/>
    </row>
    <row r="28" spans="1:12" ht="14.45" x14ac:dyDescent="0.3">
      <c r="A28" s="27"/>
      <c r="B28" s="24" t="s">
        <v>14</v>
      </c>
      <c r="C28" s="24">
        <f>SUM(C21:C26)</f>
        <v>66</v>
      </c>
      <c r="D28" s="24">
        <f t="shared" ref="D28:L28" si="2">SUM(D21:D26)</f>
        <v>65</v>
      </c>
      <c r="E28" s="24">
        <f t="shared" si="2"/>
        <v>68</v>
      </c>
      <c r="F28" s="24">
        <f t="shared" si="2"/>
        <v>21</v>
      </c>
      <c r="G28" s="28">
        <f>SUM(G21:G26)</f>
        <v>220</v>
      </c>
      <c r="H28" s="24">
        <f t="shared" si="2"/>
        <v>3</v>
      </c>
      <c r="I28" s="24">
        <f t="shared" si="2"/>
        <v>11</v>
      </c>
      <c r="J28" s="24">
        <f t="shared" si="2"/>
        <v>5</v>
      </c>
      <c r="K28" s="24">
        <f t="shared" si="2"/>
        <v>0</v>
      </c>
      <c r="L28" s="28">
        <f t="shared" si="2"/>
        <v>19</v>
      </c>
    </row>
    <row r="31" spans="1:12" x14ac:dyDescent="0.25">
      <c r="B31" s="39" t="s">
        <v>35</v>
      </c>
      <c r="C31" s="36" t="s">
        <v>45</v>
      </c>
      <c r="D31" s="36"/>
      <c r="E31" s="36"/>
      <c r="F31" s="36"/>
      <c r="G31" s="36"/>
    </row>
    <row r="32" spans="1:12" x14ac:dyDescent="0.25">
      <c r="B32" s="40"/>
      <c r="C32" s="26" t="s">
        <v>15</v>
      </c>
      <c r="D32" s="26" t="s">
        <v>16</v>
      </c>
      <c r="E32" s="26" t="s">
        <v>17</v>
      </c>
      <c r="F32" s="26" t="s">
        <v>18</v>
      </c>
      <c r="G32" s="24" t="s">
        <v>14</v>
      </c>
      <c r="H32" s="33" t="s">
        <v>46</v>
      </c>
      <c r="I32" s="33" t="s">
        <v>47</v>
      </c>
      <c r="J32" s="34" t="s">
        <v>48</v>
      </c>
    </row>
    <row r="33" spans="2:10" x14ac:dyDescent="0.25">
      <c r="B33" s="26" t="s">
        <v>9</v>
      </c>
      <c r="C33" s="26">
        <f>C21+H21</f>
        <v>26</v>
      </c>
      <c r="D33" s="26">
        <f t="shared" ref="D33:F38" si="3">D21+I21</f>
        <v>30</v>
      </c>
      <c r="E33" s="26">
        <f t="shared" si="3"/>
        <v>27</v>
      </c>
      <c r="F33" s="26">
        <f t="shared" si="3"/>
        <v>5</v>
      </c>
      <c r="G33" s="24">
        <f>SUM(C33:F33)</f>
        <v>88</v>
      </c>
      <c r="H33" s="35">
        <f>(C33+E33)/G33</f>
        <v>0.60227272727272729</v>
      </c>
      <c r="I33" s="23">
        <f>(E33+F33)/G33</f>
        <v>0.36363636363636365</v>
      </c>
      <c r="J33" s="23">
        <f>E33/(E33+F33)</f>
        <v>0.84375</v>
      </c>
    </row>
    <row r="34" spans="2:10" x14ac:dyDescent="0.25">
      <c r="B34" s="26" t="s">
        <v>8</v>
      </c>
      <c r="C34" s="26">
        <f t="shared" ref="C34:C38" si="4">C22+H22</f>
        <v>14</v>
      </c>
      <c r="D34" s="26">
        <f t="shared" si="3"/>
        <v>11</v>
      </c>
      <c r="E34" s="26">
        <f t="shared" si="3"/>
        <v>7</v>
      </c>
      <c r="F34" s="26">
        <f t="shared" si="3"/>
        <v>1</v>
      </c>
      <c r="G34" s="24">
        <f t="shared" ref="G34:G37" si="5">SUM(C34:F34)</f>
        <v>33</v>
      </c>
      <c r="H34" s="35">
        <f t="shared" ref="H34:H38" si="6">(C34+E34)/G34</f>
        <v>0.63636363636363635</v>
      </c>
      <c r="I34" s="23">
        <f t="shared" ref="I34:I38" si="7">(E34+F34)/G34</f>
        <v>0.24242424242424243</v>
      </c>
      <c r="J34" s="23">
        <f t="shared" ref="J34:J38" si="8">E34/(E34+F34)</f>
        <v>0.875</v>
      </c>
    </row>
    <row r="35" spans="2:10" x14ac:dyDescent="0.25">
      <c r="B35" s="26" t="s">
        <v>10</v>
      </c>
      <c r="C35" s="26">
        <f t="shared" si="4"/>
        <v>5</v>
      </c>
      <c r="D35" s="26">
        <f t="shared" si="3"/>
        <v>2</v>
      </c>
      <c r="E35" s="26">
        <f t="shared" si="3"/>
        <v>4</v>
      </c>
      <c r="F35" s="26">
        <f t="shared" si="3"/>
        <v>3</v>
      </c>
      <c r="G35" s="24">
        <f t="shared" si="5"/>
        <v>14</v>
      </c>
      <c r="H35" s="35">
        <f t="shared" si="6"/>
        <v>0.6428571428571429</v>
      </c>
      <c r="I35" s="23">
        <f t="shared" si="7"/>
        <v>0.5</v>
      </c>
      <c r="J35" s="23">
        <f t="shared" si="8"/>
        <v>0.5714285714285714</v>
      </c>
    </row>
    <row r="36" spans="2:10" x14ac:dyDescent="0.25">
      <c r="B36" s="26" t="s">
        <v>13</v>
      </c>
      <c r="C36" s="26">
        <f t="shared" si="4"/>
        <v>7</v>
      </c>
      <c r="D36" s="26">
        <f t="shared" si="3"/>
        <v>5</v>
      </c>
      <c r="E36" s="26">
        <f t="shared" si="3"/>
        <v>8</v>
      </c>
      <c r="F36" s="26">
        <f t="shared" si="3"/>
        <v>3</v>
      </c>
      <c r="G36" s="24">
        <f t="shared" si="5"/>
        <v>23</v>
      </c>
      <c r="H36" s="35">
        <f t="shared" si="6"/>
        <v>0.65217391304347827</v>
      </c>
      <c r="I36" s="23">
        <f t="shared" si="7"/>
        <v>0.47826086956521741</v>
      </c>
      <c r="J36" s="23">
        <f t="shared" si="8"/>
        <v>0.72727272727272729</v>
      </c>
    </row>
    <row r="37" spans="2:10" x14ac:dyDescent="0.25">
      <c r="B37" s="26" t="s">
        <v>7</v>
      </c>
      <c r="C37" s="26">
        <f t="shared" si="4"/>
        <v>5</v>
      </c>
      <c r="D37" s="26">
        <f t="shared" si="3"/>
        <v>14</v>
      </c>
      <c r="E37" s="26">
        <f t="shared" si="3"/>
        <v>13</v>
      </c>
      <c r="F37" s="26">
        <f t="shared" si="3"/>
        <v>4</v>
      </c>
      <c r="G37" s="24">
        <f t="shared" si="5"/>
        <v>36</v>
      </c>
      <c r="H37" s="35">
        <f t="shared" si="6"/>
        <v>0.5</v>
      </c>
      <c r="I37" s="23">
        <f t="shared" si="7"/>
        <v>0.47222222222222221</v>
      </c>
      <c r="J37" s="23">
        <f t="shared" si="8"/>
        <v>0.76470588235294112</v>
      </c>
    </row>
    <row r="38" spans="2:10" x14ac:dyDescent="0.25">
      <c r="B38" s="26" t="s">
        <v>24</v>
      </c>
      <c r="C38" s="26">
        <f t="shared" si="4"/>
        <v>12</v>
      </c>
      <c r="D38" s="26">
        <f t="shared" si="3"/>
        <v>14</v>
      </c>
      <c r="E38" s="26">
        <f t="shared" si="3"/>
        <v>14</v>
      </c>
      <c r="F38" s="26">
        <f t="shared" si="3"/>
        <v>5</v>
      </c>
      <c r="G38" s="24">
        <f>SUM(C38:F38)</f>
        <v>45</v>
      </c>
      <c r="H38" s="35">
        <f t="shared" si="6"/>
        <v>0.57777777777777772</v>
      </c>
      <c r="I38" s="23">
        <f t="shared" si="7"/>
        <v>0.42222222222222222</v>
      </c>
      <c r="J38" s="23">
        <f t="shared" si="8"/>
        <v>0.73684210526315785</v>
      </c>
    </row>
    <row r="40" spans="2:10" x14ac:dyDescent="0.25">
      <c r="B40" s="24" t="s">
        <v>14</v>
      </c>
      <c r="C40" s="24">
        <f>SUM(C33:C38)</f>
        <v>69</v>
      </c>
      <c r="D40" s="24">
        <f t="shared" ref="D40:F40" si="9">SUM(D33:D38)</f>
        <v>76</v>
      </c>
      <c r="E40" s="24">
        <f t="shared" si="9"/>
        <v>73</v>
      </c>
      <c r="F40" s="24">
        <f t="shared" si="9"/>
        <v>21</v>
      </c>
      <c r="G40" s="28">
        <f>SUM(G33:G38)</f>
        <v>239</v>
      </c>
    </row>
  </sheetData>
  <mergeCells count="16">
    <mergeCell ref="D3:D5"/>
    <mergeCell ref="D6:D7"/>
    <mergeCell ref="D9:D10"/>
    <mergeCell ref="D11:D12"/>
    <mergeCell ref="D13:D14"/>
    <mergeCell ref="C3:C5"/>
    <mergeCell ref="C6:C7"/>
    <mergeCell ref="C9:C10"/>
    <mergeCell ref="C11:C12"/>
    <mergeCell ref="C13:C14"/>
    <mergeCell ref="C19:G19"/>
    <mergeCell ref="H19:L19"/>
    <mergeCell ref="A21:A26"/>
    <mergeCell ref="B19:B20"/>
    <mergeCell ref="B31:B32"/>
    <mergeCell ref="C31:G3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1"/>
  <sheetViews>
    <sheetView showGridLines="0" zoomScale="81" zoomScaleNormal="81" workbookViewId="0">
      <selection activeCell="B12" sqref="B12"/>
    </sheetView>
  </sheetViews>
  <sheetFormatPr baseColWidth="10" defaultRowHeight="15" x14ac:dyDescent="0.25"/>
  <cols>
    <col min="2" max="2" width="28.28515625" bestFit="1" customWidth="1"/>
    <col min="3" max="3" width="11.140625" bestFit="1" customWidth="1"/>
    <col min="4" max="4" width="11.5703125" bestFit="1" customWidth="1"/>
    <col min="5" max="5" width="10.7109375" bestFit="1" customWidth="1"/>
    <col min="6" max="6" width="11.85546875" bestFit="1" customWidth="1"/>
    <col min="7" max="7" width="17.7109375" bestFit="1" customWidth="1"/>
  </cols>
  <sheetData>
    <row r="1" spans="2:5" ht="14.45" x14ac:dyDescent="0.3">
      <c r="B1" s="10"/>
      <c r="C1" s="10"/>
      <c r="D1" s="10"/>
      <c r="E1" s="10"/>
    </row>
    <row r="2" spans="2:5" x14ac:dyDescent="0.25">
      <c r="B2" s="11" t="s">
        <v>25</v>
      </c>
      <c r="C2" s="10"/>
      <c r="D2" s="10"/>
      <c r="E2" s="10"/>
    </row>
    <row r="3" spans="2:5" ht="14.45" x14ac:dyDescent="0.3">
      <c r="B3" s="11"/>
      <c r="C3" s="16" t="s">
        <v>27</v>
      </c>
      <c r="D3" s="16" t="s">
        <v>28</v>
      </c>
      <c r="E3" s="10"/>
    </row>
    <row r="4" spans="2:5" ht="14.45" x14ac:dyDescent="0.3">
      <c r="B4" s="14" t="s">
        <v>8</v>
      </c>
      <c r="C4" s="15">
        <v>41</v>
      </c>
      <c r="D4" s="15">
        <v>33</v>
      </c>
      <c r="E4" s="10"/>
    </row>
    <row r="5" spans="2:5" ht="14.45" x14ac:dyDescent="0.3">
      <c r="B5" s="12" t="s">
        <v>11</v>
      </c>
      <c r="C5" s="13">
        <v>79</v>
      </c>
      <c r="D5" s="13">
        <v>78</v>
      </c>
      <c r="E5" s="10"/>
    </row>
    <row r="6" spans="2:5" ht="14.45" x14ac:dyDescent="0.3">
      <c r="B6" s="14" t="s">
        <v>10</v>
      </c>
      <c r="C6" s="13">
        <v>25</v>
      </c>
      <c r="D6" s="13">
        <v>14</v>
      </c>
      <c r="E6" s="10"/>
    </row>
    <row r="7" spans="2:5" ht="14.45" x14ac:dyDescent="0.3">
      <c r="B7" s="14" t="s">
        <v>26</v>
      </c>
      <c r="C7" s="13">
        <v>27</v>
      </c>
      <c r="D7" s="13">
        <v>20</v>
      </c>
      <c r="E7" s="10"/>
    </row>
    <row r="8" spans="2:5" s="2" customFormat="1" x14ac:dyDescent="0.25">
      <c r="B8" s="9" t="s">
        <v>34</v>
      </c>
      <c r="C8" s="8">
        <f>SUM(C4:C7)</f>
        <v>172</v>
      </c>
      <c r="D8" s="8">
        <f>SUM(D4:D7)</f>
        <v>145</v>
      </c>
      <c r="E8" s="10"/>
    </row>
    <row r="9" spans="2:5" ht="14.45" x14ac:dyDescent="0.3">
      <c r="B9" s="10"/>
      <c r="C9" s="10"/>
      <c r="D9" s="17">
        <f>(D8-C8)/C8</f>
        <v>-0.15697674418604651</v>
      </c>
      <c r="E9" s="10"/>
    </row>
    <row r="20" spans="2:9" ht="14.45" x14ac:dyDescent="0.3">
      <c r="B20" s="6" t="s">
        <v>23</v>
      </c>
      <c r="C20" s="42" t="s">
        <v>19</v>
      </c>
      <c r="D20" s="42"/>
      <c r="E20" s="42"/>
      <c r="F20" s="42"/>
      <c r="G20" s="42"/>
    </row>
    <row r="21" spans="2:9" x14ac:dyDescent="0.25">
      <c r="B21" s="4"/>
      <c r="C21" s="4" t="s">
        <v>15</v>
      </c>
      <c r="D21" s="4" t="s">
        <v>16</v>
      </c>
      <c r="E21" s="4" t="s">
        <v>18</v>
      </c>
      <c r="F21" s="4" t="s">
        <v>17</v>
      </c>
      <c r="G21" s="1" t="s">
        <v>20</v>
      </c>
      <c r="I21" s="4"/>
    </row>
    <row r="22" spans="2:9" ht="14.45" x14ac:dyDescent="0.3">
      <c r="B22" s="4" t="s">
        <v>8</v>
      </c>
      <c r="C22" s="4">
        <v>14</v>
      </c>
      <c r="D22" s="4">
        <v>11</v>
      </c>
      <c r="E22" s="4">
        <v>1</v>
      </c>
      <c r="F22" s="4">
        <v>7</v>
      </c>
      <c r="G22" s="1">
        <f>SUM(C22:F22)</f>
        <v>33</v>
      </c>
    </row>
    <row r="23" spans="2:9" ht="14.45" x14ac:dyDescent="0.3">
      <c r="B23" s="4" t="s">
        <v>9</v>
      </c>
      <c r="C23" s="4">
        <v>26</v>
      </c>
      <c r="D23" s="4">
        <v>21</v>
      </c>
      <c r="E23" s="4">
        <v>5</v>
      </c>
      <c r="F23" s="4">
        <v>26</v>
      </c>
      <c r="G23" s="1">
        <f>SUM(C23:F23)</f>
        <v>78</v>
      </c>
    </row>
    <row r="24" spans="2:9" ht="14.45" x14ac:dyDescent="0.3">
      <c r="B24" s="4" t="s">
        <v>10</v>
      </c>
      <c r="C24" s="4">
        <v>5</v>
      </c>
      <c r="D24" s="4">
        <v>2</v>
      </c>
      <c r="E24" s="4">
        <v>3</v>
      </c>
      <c r="F24" s="4">
        <v>4</v>
      </c>
      <c r="G24" s="1">
        <f t="shared" ref="G24" si="0">SUM(C24:F24)</f>
        <v>14</v>
      </c>
    </row>
    <row r="25" spans="2:9" ht="14.45" x14ac:dyDescent="0.3">
      <c r="B25" s="4" t="s">
        <v>13</v>
      </c>
      <c r="C25" s="4">
        <v>6</v>
      </c>
      <c r="D25" s="4">
        <v>3</v>
      </c>
      <c r="E25" s="4">
        <v>3</v>
      </c>
      <c r="F25" s="4">
        <v>8</v>
      </c>
      <c r="G25" s="1">
        <f>SUM(C25:F25)</f>
        <v>20</v>
      </c>
    </row>
    <row r="26" spans="2:9" ht="14.45" x14ac:dyDescent="0.3">
      <c r="B26" s="1" t="s">
        <v>14</v>
      </c>
      <c r="C26" s="1">
        <f>SUM(C22:C25)</f>
        <v>51</v>
      </c>
      <c r="D26" s="1">
        <f t="shared" ref="D26:F26" si="1">SUM(D22:D25)</f>
        <v>37</v>
      </c>
      <c r="E26" s="1">
        <f t="shared" si="1"/>
        <v>12</v>
      </c>
      <c r="F26" s="1">
        <f t="shared" si="1"/>
        <v>45</v>
      </c>
      <c r="G26" s="7">
        <f>SUM(C26:F26)</f>
        <v>145</v>
      </c>
    </row>
    <row r="29" spans="2:9" x14ac:dyDescent="0.25">
      <c r="B29" s="5"/>
      <c r="C29" s="5" t="s">
        <v>15</v>
      </c>
      <c r="D29" s="5" t="s">
        <v>16</v>
      </c>
      <c r="E29" s="5" t="s">
        <v>18</v>
      </c>
      <c r="F29" s="5" t="s">
        <v>17</v>
      </c>
      <c r="G29" s="1" t="s">
        <v>20</v>
      </c>
    </row>
    <row r="30" spans="2:9" ht="14.45" x14ac:dyDescent="0.3">
      <c r="B30" s="5" t="s">
        <v>9</v>
      </c>
      <c r="C30" s="18">
        <f>C23/$G23</f>
        <v>0.33333333333333331</v>
      </c>
      <c r="D30" s="18">
        <f>D23/$G23</f>
        <v>0.26923076923076922</v>
      </c>
      <c r="E30" s="18">
        <f>E23/$G23</f>
        <v>6.4102564102564097E-2</v>
      </c>
      <c r="F30" s="18">
        <f>F23/$G23</f>
        <v>0.33333333333333331</v>
      </c>
      <c r="G30" s="19">
        <f>SUM(C30:F30)</f>
        <v>1</v>
      </c>
    </row>
    <row r="31" spans="2:9" ht="14.45" x14ac:dyDescent="0.3">
      <c r="B31" s="5" t="s">
        <v>8</v>
      </c>
      <c r="C31" s="18">
        <f>C22/$G22</f>
        <v>0.42424242424242425</v>
      </c>
      <c r="D31" s="18">
        <f>D22/$G22</f>
        <v>0.33333333333333331</v>
      </c>
      <c r="E31" s="18">
        <f>E22/$G22</f>
        <v>3.0303030303030304E-2</v>
      </c>
      <c r="F31" s="18">
        <f>F22/$G22</f>
        <v>0.21212121212121213</v>
      </c>
      <c r="G31" s="19">
        <f t="shared" ref="G31:G33" si="2">SUM(C31:F31)</f>
        <v>1</v>
      </c>
    </row>
    <row r="32" spans="2:9" ht="14.45" x14ac:dyDescent="0.3">
      <c r="B32" s="5" t="s">
        <v>10</v>
      </c>
      <c r="C32" s="18">
        <f>C24/$G24</f>
        <v>0.35714285714285715</v>
      </c>
      <c r="D32" s="18">
        <f t="shared" ref="D32:F33" si="3">D24/$G24</f>
        <v>0.14285714285714285</v>
      </c>
      <c r="E32" s="18">
        <f t="shared" si="3"/>
        <v>0.21428571428571427</v>
      </c>
      <c r="F32" s="18">
        <f t="shared" si="3"/>
        <v>0.2857142857142857</v>
      </c>
      <c r="G32" s="19">
        <f t="shared" si="2"/>
        <v>1</v>
      </c>
    </row>
    <row r="33" spans="2:7" ht="14.45" x14ac:dyDescent="0.3">
      <c r="B33" s="5" t="s">
        <v>13</v>
      </c>
      <c r="C33" s="18">
        <f>C25/$G25</f>
        <v>0.3</v>
      </c>
      <c r="D33" s="18">
        <f t="shared" si="3"/>
        <v>0.15</v>
      </c>
      <c r="E33" s="18">
        <f t="shared" si="3"/>
        <v>0.15</v>
      </c>
      <c r="F33" s="18">
        <f t="shared" si="3"/>
        <v>0.4</v>
      </c>
      <c r="G33" s="19">
        <f t="shared" si="2"/>
        <v>1</v>
      </c>
    </row>
    <row r="35" spans="2:7" ht="14.45" x14ac:dyDescent="0.3">
      <c r="B35" s="1" t="s">
        <v>14</v>
      </c>
      <c r="C35" s="18">
        <f>C26/$G26</f>
        <v>0.35172413793103446</v>
      </c>
      <c r="D35" s="18">
        <f t="shared" ref="D35:F35" si="4">D26/$G26</f>
        <v>0.25517241379310346</v>
      </c>
      <c r="E35" s="18">
        <f t="shared" si="4"/>
        <v>8.2758620689655171E-2</v>
      </c>
      <c r="F35" s="18">
        <f t="shared" si="4"/>
        <v>0.31034482758620691</v>
      </c>
      <c r="G35" s="20">
        <f>SUM(C35:F35)</f>
        <v>1</v>
      </c>
    </row>
    <row r="37" spans="2:7" ht="14.45" x14ac:dyDescent="0.3">
      <c r="B37" s="5"/>
      <c r="C37" s="22" t="s">
        <v>29</v>
      </c>
      <c r="D37" s="22" t="s">
        <v>30</v>
      </c>
      <c r="G37" s="1" t="s">
        <v>20</v>
      </c>
    </row>
    <row r="38" spans="2:7" ht="14.45" x14ac:dyDescent="0.3">
      <c r="B38" s="22" t="s">
        <v>9</v>
      </c>
      <c r="C38" s="23">
        <f>C30+D30</f>
        <v>0.60256410256410253</v>
      </c>
      <c r="D38" s="23">
        <f>E30+F30</f>
        <v>0.39743589743589741</v>
      </c>
      <c r="G38" s="19">
        <f>SUM(C38:F38)</f>
        <v>1</v>
      </c>
    </row>
    <row r="39" spans="2:7" ht="14.45" x14ac:dyDescent="0.3">
      <c r="B39" s="22" t="s">
        <v>8</v>
      </c>
      <c r="C39" s="23">
        <f t="shared" ref="C39:C41" si="5">C31+D31</f>
        <v>0.75757575757575757</v>
      </c>
      <c r="D39" s="23">
        <f t="shared" ref="D39:D41" si="6">E31+F31</f>
        <v>0.24242424242424243</v>
      </c>
      <c r="G39" s="19">
        <f t="shared" ref="G39:G41" si="7">SUM(C39:F39)</f>
        <v>1</v>
      </c>
    </row>
    <row r="40" spans="2:7" x14ac:dyDescent="0.25">
      <c r="B40" s="22" t="s">
        <v>10</v>
      </c>
      <c r="C40" s="23">
        <f t="shared" si="5"/>
        <v>0.5</v>
      </c>
      <c r="D40" s="23">
        <f t="shared" si="6"/>
        <v>0.5</v>
      </c>
      <c r="G40" s="19">
        <f t="shared" si="7"/>
        <v>1</v>
      </c>
    </row>
    <row r="41" spans="2:7" x14ac:dyDescent="0.25">
      <c r="B41" s="22" t="s">
        <v>13</v>
      </c>
      <c r="C41" s="23">
        <f t="shared" si="5"/>
        <v>0.44999999999999996</v>
      </c>
      <c r="D41" s="23">
        <f t="shared" si="6"/>
        <v>0.55000000000000004</v>
      </c>
      <c r="G41" s="19">
        <f t="shared" si="7"/>
        <v>1</v>
      </c>
    </row>
    <row r="42" spans="2:7" ht="6" customHeight="1" x14ac:dyDescent="0.25">
      <c r="C42" s="18"/>
    </row>
    <row r="43" spans="2:7" x14ac:dyDescent="0.25">
      <c r="B43" s="24" t="s">
        <v>33</v>
      </c>
      <c r="C43" s="25">
        <f>C35+D35</f>
        <v>0.60689655172413792</v>
      </c>
      <c r="D43" s="25">
        <f>E35+F35</f>
        <v>0.39310344827586208</v>
      </c>
      <c r="G43" s="20">
        <f>SUM(C43:F43)</f>
        <v>1</v>
      </c>
    </row>
    <row r="45" spans="2:7" x14ac:dyDescent="0.25">
      <c r="B45" s="5"/>
      <c r="C45" s="22" t="s">
        <v>31</v>
      </c>
      <c r="D45" s="22" t="s">
        <v>32</v>
      </c>
      <c r="E45" s="5"/>
      <c r="F45" s="5"/>
      <c r="G45" s="1" t="s">
        <v>20</v>
      </c>
    </row>
    <row r="46" spans="2:7" x14ac:dyDescent="0.25">
      <c r="B46" s="22" t="s">
        <v>9</v>
      </c>
      <c r="C46" s="23">
        <f>D30+E30</f>
        <v>0.33333333333333331</v>
      </c>
      <c r="D46" s="23">
        <f>C30+F30</f>
        <v>0.66666666666666663</v>
      </c>
      <c r="E46" s="18"/>
      <c r="F46" s="18"/>
      <c r="G46" s="19">
        <f>SUM(C46:F46)</f>
        <v>1</v>
      </c>
    </row>
    <row r="47" spans="2:7" x14ac:dyDescent="0.25">
      <c r="B47" s="22" t="s">
        <v>8</v>
      </c>
      <c r="C47" s="23">
        <f>D31+E31</f>
        <v>0.36363636363636365</v>
      </c>
      <c r="D47" s="23">
        <f>C31+F31</f>
        <v>0.63636363636363635</v>
      </c>
      <c r="E47" s="18"/>
      <c r="F47" s="18"/>
      <c r="G47" s="19">
        <f>SUM(C47:F47)</f>
        <v>1</v>
      </c>
    </row>
    <row r="48" spans="2:7" x14ac:dyDescent="0.25">
      <c r="B48" s="22" t="s">
        <v>10</v>
      </c>
      <c r="C48" s="23">
        <f>D32+E32</f>
        <v>0.3571428571428571</v>
      </c>
      <c r="D48" s="23">
        <f>C32+F32</f>
        <v>0.64285714285714279</v>
      </c>
      <c r="E48" s="18"/>
      <c r="F48" s="18"/>
      <c r="G48" s="19">
        <f>SUM(C48:F48)</f>
        <v>0.99999999999999989</v>
      </c>
    </row>
    <row r="49" spans="2:7" x14ac:dyDescent="0.25">
      <c r="B49" s="22" t="s">
        <v>13</v>
      </c>
      <c r="C49" s="23">
        <f>D33+E33</f>
        <v>0.3</v>
      </c>
      <c r="D49" s="23">
        <f>C33+F33</f>
        <v>0.7</v>
      </c>
      <c r="E49" s="18"/>
      <c r="F49" s="18"/>
      <c r="G49" s="19">
        <f>SUM(C49:F49)</f>
        <v>1</v>
      </c>
    </row>
    <row r="50" spans="2:7" ht="6" customHeight="1" x14ac:dyDescent="0.25">
      <c r="C50" s="18"/>
    </row>
    <row r="51" spans="2:7" x14ac:dyDescent="0.25">
      <c r="B51" s="24" t="s">
        <v>33</v>
      </c>
      <c r="C51" s="25">
        <f>D35+E35</f>
        <v>0.33793103448275863</v>
      </c>
      <c r="D51" s="25">
        <f>C35+F35</f>
        <v>0.66206896551724137</v>
      </c>
      <c r="E51" s="21"/>
      <c r="F51" s="21"/>
      <c r="G51" s="20">
        <f>SUM(C51:F51)</f>
        <v>1</v>
      </c>
    </row>
  </sheetData>
  <mergeCells count="1">
    <mergeCell ref="C20:G20"/>
  </mergeCells>
  <conditionalFormatting sqref="C30:F51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Comptage SV 16 juin</vt:lpstr>
      <vt:lpstr>Evolution 4 douanes Collonges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Yannick ROGUET</cp:lastModifiedBy>
  <dcterms:created xsi:type="dcterms:W3CDTF">2020-06-05T09:19:37Z</dcterms:created>
  <dcterms:modified xsi:type="dcterms:W3CDTF">2020-06-23T08:41:29Z</dcterms:modified>
</cp:coreProperties>
</file>