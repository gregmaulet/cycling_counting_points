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\Desktop\Dossier local\Perso MJ\Ecologie\Mobilité\CICLABLE\Comptage\Comptage 2024\Résultats\"/>
    </mc:Choice>
  </mc:AlternateContent>
  <xr:revisionPtr revIDLastSave="0" documentId="13_ncr:1_{BC229A66-41C6-4234-8A12-841DBB0482B8}" xr6:coauthVersionLast="47" xr6:coauthVersionMax="47" xr10:uidLastSave="{00000000-0000-0000-0000-000000000000}"/>
  <bookViews>
    <workbookView xWindow="-110" yWindow="-110" windowWidth="19420" windowHeight="12300" activeTab="1" xr2:uid="{D15249CC-2432-4E0E-AA9E-E2809BF00A39}"/>
  </bookViews>
  <sheets>
    <sheet name="Multicréneaux" sheetId="8" r:id="rId1"/>
    <sheet name="Détail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1" l="1"/>
  <c r="C25" i="11"/>
  <c r="C16" i="11"/>
  <c r="J5" i="11" l="1"/>
  <c r="H9" i="8"/>
  <c r="H15" i="11" l="1"/>
  <c r="C15" i="11"/>
  <c r="G10" i="11"/>
  <c r="F10" i="11"/>
  <c r="E10" i="11"/>
  <c r="D10" i="11"/>
  <c r="C10" i="11"/>
  <c r="J9" i="11"/>
  <c r="E18" i="11" s="1"/>
  <c r="J8" i="11"/>
  <c r="H17" i="11" s="1"/>
  <c r="J7" i="11"/>
  <c r="G16" i="11" s="1"/>
  <c r="J6" i="11"/>
  <c r="F15" i="11" s="1"/>
  <c r="H14" i="11"/>
  <c r="J10" i="11" l="1"/>
  <c r="D15" i="11"/>
  <c r="G15" i="11"/>
  <c r="D24" i="11" s="1"/>
  <c r="H16" i="11"/>
  <c r="C17" i="11"/>
  <c r="D17" i="11"/>
  <c r="E17" i="11"/>
  <c r="E35" i="11" s="1"/>
  <c r="F17" i="11"/>
  <c r="G17" i="11"/>
  <c r="F18" i="11"/>
  <c r="D27" i="11" s="1"/>
  <c r="E15" i="11"/>
  <c r="E33" i="11" s="1"/>
  <c r="G18" i="11"/>
  <c r="H18" i="11"/>
  <c r="E36" i="11" s="1"/>
  <c r="H20" i="11"/>
  <c r="D33" i="11"/>
  <c r="C14" i="11"/>
  <c r="D14" i="11"/>
  <c r="E14" i="11"/>
  <c r="E32" i="11" s="1"/>
  <c r="F14" i="11"/>
  <c r="D16" i="11"/>
  <c r="C34" i="11" s="1"/>
  <c r="G14" i="11"/>
  <c r="E16" i="11"/>
  <c r="E34" i="11" s="1"/>
  <c r="C18" i="11"/>
  <c r="F16" i="11"/>
  <c r="D25" i="11" s="1"/>
  <c r="D18" i="11"/>
  <c r="C26" i="11" l="1"/>
  <c r="J15" i="11"/>
  <c r="C33" i="11"/>
  <c r="C24" i="11"/>
  <c r="J24" i="11" s="1"/>
  <c r="C23" i="11"/>
  <c r="D35" i="11"/>
  <c r="J17" i="11"/>
  <c r="D26" i="11"/>
  <c r="D23" i="11"/>
  <c r="C32" i="11"/>
  <c r="C36" i="11"/>
  <c r="J36" i="11" s="1"/>
  <c r="C35" i="11"/>
  <c r="J35" i="11" s="1"/>
  <c r="G20" i="11"/>
  <c r="F20" i="11"/>
  <c r="C27" i="11"/>
  <c r="J27" i="11" s="1"/>
  <c r="D36" i="11"/>
  <c r="J18" i="11"/>
  <c r="D20" i="11"/>
  <c r="C20" i="11"/>
  <c r="E20" i="11"/>
  <c r="E38" i="11" s="1"/>
  <c r="J14" i="11"/>
  <c r="D32" i="11"/>
  <c r="J23" i="11"/>
  <c r="J25" i="11"/>
  <c r="J16" i="11"/>
  <c r="D34" i="11"/>
  <c r="J34" i="11" s="1"/>
  <c r="J26" i="11" l="1"/>
  <c r="D29" i="11"/>
  <c r="C38" i="11"/>
  <c r="J32" i="11"/>
  <c r="J20" i="11"/>
  <c r="D38" i="11"/>
  <c r="C29" i="11"/>
  <c r="J29" i="11" l="1"/>
  <c r="J38" i="11"/>
  <c r="H11" i="8"/>
  <c r="E9" i="8"/>
  <c r="G9" i="8"/>
  <c r="F9" i="8"/>
  <c r="D9" i="8"/>
  <c r="D11" i="8" s="1"/>
  <c r="C9" i="8"/>
  <c r="E11" i="8" l="1"/>
  <c r="F11" i="8"/>
  <c r="G11" i="8"/>
</calcChain>
</file>

<file path=xl/sharedStrings.xml><?xml version="1.0" encoding="utf-8"?>
<sst xmlns="http://schemas.openxmlformats.org/spreadsheetml/2006/main" count="68" uniqueCount="32">
  <si>
    <t>Landecy</t>
  </si>
  <si>
    <t>Pierre-Grand</t>
  </si>
  <si>
    <t>Troinex/Bossey</t>
  </si>
  <si>
    <t>VAE Homme</t>
  </si>
  <si>
    <t>Vélo Homme</t>
  </si>
  <si>
    <t>VAE Femme</t>
  </si>
  <si>
    <t>Vélo Femmes</t>
  </si>
  <si>
    <t>TOTAL VERS SUISSE</t>
  </si>
  <si>
    <t>TOTAL</t>
  </si>
  <si>
    <t>Croix-de-Rozon</t>
  </si>
  <si>
    <t>Bossey/Troinex</t>
  </si>
  <si>
    <t>Hommes</t>
  </si>
  <si>
    <t>Femmes</t>
  </si>
  <si>
    <t>MOYENNE</t>
  </si>
  <si>
    <t>Vélo</t>
  </si>
  <si>
    <t>VAE</t>
  </si>
  <si>
    <t>-</t>
  </si>
  <si>
    <t>Marché</t>
  </si>
  <si>
    <t>2019</t>
  </si>
  <si>
    <t>2022</t>
  </si>
  <si>
    <t>2021</t>
  </si>
  <si>
    <t>Nouveaux modes électriques</t>
  </si>
  <si>
    <t>NME Homme</t>
  </si>
  <si>
    <t>NME Femmes</t>
  </si>
  <si>
    <t>2020</t>
  </si>
  <si>
    <t>Evolution / 2019</t>
  </si>
  <si>
    <t>N/A</t>
  </si>
  <si>
    <t>2023</t>
  </si>
  <si>
    <t>Vers la suisse</t>
  </si>
  <si>
    <t>7h30-8h30</t>
  </si>
  <si>
    <r>
      <rPr>
        <b/>
        <sz val="11"/>
        <color rgb="FF7030A0"/>
        <rFont val="Calibri"/>
        <family val="2"/>
        <scheme val="minor"/>
      </rPr>
      <t>7h00</t>
    </r>
    <r>
      <rPr>
        <b/>
        <sz val="11"/>
        <color rgb="FF000000"/>
        <rFont val="Calibri"/>
        <family val="2"/>
        <scheme val="minor"/>
      </rPr>
      <t>-8h30</t>
    </r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</si>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</sst>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36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9" fontId="5" fillId="0" borderId="0" xfId="1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9" fontId="0" fillId="0" borderId="0" xfId="1" applyFont="1" applyAlignment="1">
      <alignment horizontal="center"/>
    </xf>
    <xf numFmtId="9" fontId="2" fillId="0" borderId="0" xfId="1" applyFont="1" applyAlignment="1">
      <alignment horizontal="center"/>
    </xf>
    <xf numFmtId="9" fontId="2" fillId="2" borderId="0" xfId="0" applyNumberFormat="1" applyFont="1" applyFill="1" applyAlignment="1">
      <alignment horizontal="center"/>
    </xf>
    <xf numFmtId="9" fontId="0" fillId="0" borderId="1" xfId="1" applyFont="1" applyBorder="1" applyAlignment="1">
      <alignment horizontal="center"/>
    </xf>
    <xf numFmtId="9" fontId="6" fillId="0" borderId="0" xfId="1" applyFont="1" applyBorder="1" applyAlignment="1">
      <alignment horizontal="center"/>
    </xf>
    <xf numFmtId="0" fontId="2" fillId="4" borderId="0" xfId="0" applyFont="1" applyFill="1" applyAlignment="1">
      <alignment horizontal="left" vertical="center"/>
    </xf>
    <xf numFmtId="0" fontId="7" fillId="5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0" xfId="1" applyFont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9" fontId="0" fillId="0" borderId="0" xfId="1" applyFont="1"/>
    <xf numFmtId="2" fontId="2" fillId="0" borderId="1" xfId="0" applyNumberFormat="1" applyFont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2" applyFill="1" applyAlignment="1">
      <alignment horizontal="center"/>
    </xf>
    <xf numFmtId="0" fontId="0" fillId="0" borderId="0" xfId="0" applyAlignment="1">
      <alignment horizontal="left"/>
    </xf>
  </cellXfs>
  <cellStyles count="3">
    <cellStyle name="Normal" xfId="0" builtinId="0"/>
    <cellStyle name="Normal 2" xfId="2" xr:uid="{B39EDDE9-7779-4B5D-8BBC-C0E8E1B65D8E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Comptage vélo</a:t>
            </a:r>
            <a:r>
              <a:rPr lang="fr-CH" baseline="0"/>
              <a:t> aux douanes, en direction de la Suisse</a:t>
            </a:r>
          </a:p>
        </c:rich>
      </c:tx>
      <c:layout>
        <c:manualLayout>
          <c:xMode val="edge"/>
          <c:yMode val="edge"/>
          <c:x val="0.18938179978072026"/>
          <c:y val="2.1363994309944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5895157263055565"/>
          <c:y val="0.13910630795062312"/>
          <c:w val="0.69722146478464786"/>
          <c:h val="0.767182204491891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Multicréneaux!$B$9</c:f>
              <c:strCache>
                <c:ptCount val="1"/>
                <c:pt idx="0">
                  <c:v>7h30-8h30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9EF-4BC4-9A4C-937360FF807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9EF-4BC4-9A4C-937360FF807C}"/>
              </c:ext>
            </c:extLst>
          </c:dPt>
          <c:dLbls>
            <c:dLbl>
              <c:idx val="2"/>
              <c:layout>
                <c:manualLayout>
                  <c:x val="-1.109947947811129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EF-4BC4-9A4C-937360FF807C}"/>
                </c:ext>
              </c:extLst>
            </c:dLbl>
            <c:dLbl>
              <c:idx val="4"/>
              <c:layout>
                <c:manualLayout>
                  <c:x val="-1.3319375373733539E-2"/>
                  <c:y val="9.52816335023227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B7E-456B-A77F-6B6E713D49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Multicréneaux!$C$3:$H$3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Multicréneaux!$C$9:$H$9</c:f>
              <c:numCache>
                <c:formatCode>General</c:formatCode>
                <c:ptCount val="6"/>
                <c:pt idx="0">
                  <c:v>172</c:v>
                </c:pt>
                <c:pt idx="1">
                  <c:v>145</c:v>
                </c:pt>
                <c:pt idx="2" formatCode="@">
                  <c:v>169</c:v>
                </c:pt>
                <c:pt idx="3" formatCode="@">
                  <c:v>196</c:v>
                </c:pt>
                <c:pt idx="4" formatCode="@">
                  <c:v>271</c:v>
                </c:pt>
                <c:pt idx="5" formatCode="@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EF-4BC4-9A4C-937360FF807C}"/>
            </c:ext>
          </c:extLst>
        </c:ser>
        <c:ser>
          <c:idx val="1"/>
          <c:order val="1"/>
          <c:tx>
            <c:strRef>
              <c:f>Multicréneaux!$B$13</c:f>
              <c:strCache>
                <c:ptCount val="1"/>
                <c:pt idx="0">
                  <c:v>7h00-8h30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9EF-4BC4-9A4C-937360FF807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9EF-4BC4-9A4C-937360FF807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9EF-4BC4-9A4C-937360FF80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Multicréneaux!$C$3:$H$3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Multicréneaux!$C$13:$H$13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 formatCode="General">
                  <c:v>236</c:v>
                </c:pt>
                <c:pt idx="3" formatCode="General">
                  <c:v>0</c:v>
                </c:pt>
                <c:pt idx="4" formatCode="General">
                  <c:v>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EF-4BC4-9A4C-937360FF8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4681807"/>
        <c:axId val="1596270671"/>
      </c:barChart>
      <c:catAx>
        <c:axId val="159468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6270671"/>
        <c:crosses val="autoZero"/>
        <c:auto val="1"/>
        <c:lblAlgn val="ctr"/>
        <c:lblOffset val="100"/>
        <c:noMultiLvlLbl val="0"/>
      </c:catAx>
      <c:valAx>
        <c:axId val="15962706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 sz="1400"/>
                  <a:t>Nombre</a:t>
                </a:r>
                <a:r>
                  <a:rPr lang="fr-CH" sz="1400" baseline="0"/>
                  <a:t> total de vélos</a:t>
                </a:r>
                <a:endParaRPr lang="fr-CH" sz="1400"/>
              </a:p>
            </c:rich>
          </c:tx>
          <c:layout>
            <c:manualLayout>
              <c:xMode val="edge"/>
              <c:yMode val="edge"/>
              <c:x val="2.6296475663993329E-2"/>
              <c:y val="0.29958974892176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468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869727596664692"/>
          <c:y val="0.42012342107560752"/>
          <c:w val="0.11848469347160209"/>
          <c:h val="0.106618019258145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sz="1200" b="0" i="0" baseline="0">
                <a:effectLst/>
              </a:rPr>
              <a:t>Comptage vélo aux douanes, vers la Suisse,  7h30-8h30, 2024</a:t>
            </a:r>
            <a:endParaRPr lang="fr-CH" sz="1200">
              <a:effectLst/>
            </a:endParaRPr>
          </a:p>
        </c:rich>
      </c:tx>
      <c:layout>
        <c:manualLayout>
          <c:xMode val="edge"/>
          <c:yMode val="edge"/>
          <c:x val="0.10963807155684487"/>
          <c:y val="3.15656565656565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3.4516905891279613E-2"/>
          <c:y val="0.20760543720016986"/>
          <c:w val="0.57229536577914264"/>
          <c:h val="0.6989810505249261"/>
        </c:manualLayout>
      </c:layout>
      <c:pieChart>
        <c:varyColors val="1"/>
        <c:ser>
          <c:idx val="0"/>
          <c:order val="0"/>
          <c:tx>
            <c:strRef>
              <c:f>Multicréneaux!$H$3</c:f>
              <c:strCache>
                <c:ptCount val="1"/>
                <c:pt idx="0">
                  <c:v>2024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AF-4C40-B92C-23582BB33EC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AF-4C40-B92C-23582BB33EC7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AF-4C40-B92C-23582BB33EC7}"/>
              </c:ext>
            </c:extLst>
          </c:dPt>
          <c:dPt>
            <c:idx val="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CAF-4C40-B92C-23582BB33EC7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CAF-4C40-B92C-23582BB33EC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CAF-4C40-B92C-23582BB33E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Multicréneaux!$B$4:$B$8</c:f>
              <c:strCache>
                <c:ptCount val="5"/>
                <c:pt idx="0">
                  <c:v>Landecy</c:v>
                </c:pt>
                <c:pt idx="1">
                  <c:v>Marché</c:v>
                </c:pt>
                <c:pt idx="2">
                  <c:v>Croix-de-Rozon</c:v>
                </c:pt>
                <c:pt idx="3">
                  <c:v>Pierre-Grand</c:v>
                </c:pt>
                <c:pt idx="4">
                  <c:v>Bossey/Troinex</c:v>
                </c:pt>
              </c:strCache>
            </c:strRef>
          </c:cat>
          <c:val>
            <c:numRef>
              <c:f>Multicréneaux!$H$4:$H$8</c:f>
              <c:numCache>
                <c:formatCode>General</c:formatCode>
                <c:ptCount val="5"/>
                <c:pt idx="0">
                  <c:v>45</c:v>
                </c:pt>
                <c:pt idx="1">
                  <c:v>26</c:v>
                </c:pt>
                <c:pt idx="2">
                  <c:v>109</c:v>
                </c:pt>
                <c:pt idx="3">
                  <c:v>28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CAF-4C40-B92C-23582BB33EC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625413987432279"/>
          <c:y val="0.33964211685860002"/>
          <c:w val="0.31367029890287057"/>
          <c:h val="0.3754472488153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sz="1200" b="0" i="0" baseline="0">
                <a:effectLst/>
              </a:rPr>
              <a:t>Comptage vélo aux douanes, vers la Suisse,  7h30-8h30, 2024</a:t>
            </a:r>
            <a:endParaRPr lang="fr-CH" sz="1200">
              <a:effectLst/>
            </a:endParaRPr>
          </a:p>
        </c:rich>
      </c:tx>
      <c:layout>
        <c:manualLayout>
          <c:xMode val="edge"/>
          <c:yMode val="edge"/>
          <c:x val="0.10963807155684487"/>
          <c:y val="3.15656565656565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09521964410112"/>
          <c:y val="0.19425644087184732"/>
          <c:w val="0.60508442671041551"/>
          <c:h val="0.77690403455549184"/>
        </c:manualLayout>
      </c:layout>
      <c:pieChart>
        <c:varyColors val="1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50-4B62-91DD-AD68799DEAC9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50-4B62-91DD-AD68799DEAC9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50-4B62-91DD-AD68799DEAC9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E50-4B62-91DD-AD68799DEAC9}"/>
              </c:ext>
            </c:extLst>
          </c:dPt>
          <c:dPt>
            <c:idx val="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E50-4B62-91DD-AD68799DEAC9}"/>
              </c:ext>
            </c:extLst>
          </c:dPt>
          <c:dPt>
            <c:idx val="5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E50-4B62-91DD-AD68799DEAC9}"/>
              </c:ext>
            </c:extLst>
          </c:dPt>
          <c:dLbls>
            <c:dLbl>
              <c:idx val="0"/>
              <c:layout>
                <c:manualLayout>
                  <c:x val="-0.22748563472052488"/>
                  <c:y val="5.5456366446844901E-2"/>
                </c:manualLayout>
              </c:layout>
              <c:tx>
                <c:rich>
                  <a:bodyPr/>
                  <a:lstStyle/>
                  <a:p>
                    <a:fld id="{0E7C5DC8-DC7E-4E49-9175-9C384CFC1116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[VALEUR]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; </a:t>
                    </a:r>
                    <a:fld id="{AFC0A612-A182-42F6-B0E3-849F4BB339D5}" type="PERCENTAGE">
                      <a:rPr lang="en-US" baseline="0">
                        <a:solidFill>
                          <a:schemeClr val="bg1"/>
                        </a:solidFill>
                      </a:rPr>
                      <a:pPr/>
                      <a:t>[POURCENTAGE]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E50-4B62-91DD-AD68799DEAC9}"/>
                </c:ext>
              </c:extLst>
            </c:dLbl>
            <c:dLbl>
              <c:idx val="1"/>
              <c:layout>
                <c:manualLayout>
                  <c:x val="-9.8906523767984769E-2"/>
                  <c:y val="-0.12585649489258449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50-4B62-91DD-AD68799DEAC9}"/>
                </c:ext>
              </c:extLst>
            </c:dLbl>
            <c:dLbl>
              <c:idx val="3"/>
              <c:layout>
                <c:manualLayout>
                  <c:x val="0.15492304712474439"/>
                  <c:y val="2.2747436683099944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E50-4B62-91DD-AD68799DEAC9}"/>
                </c:ext>
              </c:extLst>
            </c:dLbl>
            <c:dLbl>
              <c:idx val="4"/>
              <c:layout>
                <c:manualLayout>
                  <c:x val="4.8486205903138568E-2"/>
                  <c:y val="9.519968821708070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763668986883106"/>
                      <c:h val="0.1892994720553431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EE50-4B62-91DD-AD68799DEA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Détail!$C$4:$H$4</c:f>
              <c:strCache>
                <c:ptCount val="6"/>
                <c:pt idx="0">
                  <c:v>VAE Homme</c:v>
                </c:pt>
                <c:pt idx="1">
                  <c:v>Vélo Homme</c:v>
                </c:pt>
                <c:pt idx="2">
                  <c:v>NME Homme</c:v>
                </c:pt>
                <c:pt idx="3">
                  <c:v>VAE Femme</c:v>
                </c:pt>
                <c:pt idx="4">
                  <c:v>Vélo Femmes</c:v>
                </c:pt>
                <c:pt idx="5">
                  <c:v>NME Femmes</c:v>
                </c:pt>
              </c:strCache>
            </c:strRef>
          </c:cat>
          <c:val>
            <c:numRef>
              <c:f>Détail!$C$10:$H$10</c:f>
              <c:numCache>
                <c:formatCode>General</c:formatCode>
                <c:ptCount val="6"/>
                <c:pt idx="0">
                  <c:v>91</c:v>
                </c:pt>
                <c:pt idx="1">
                  <c:v>51</c:v>
                </c:pt>
                <c:pt idx="2">
                  <c:v>7</c:v>
                </c:pt>
                <c:pt idx="3">
                  <c:v>91</c:v>
                </c:pt>
                <c:pt idx="4">
                  <c:v>12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E50-4B62-91DD-AD68799DEAC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247261</xdr:colOff>
      <xdr:row>1</xdr:row>
      <xdr:rowOff>115483</xdr:rowOff>
    </xdr:from>
    <xdr:to>
      <xdr:col>15</xdr:col>
      <xdr:colOff>650867</xdr:colOff>
      <xdr:row>23</xdr:row>
      <xdr:rowOff>66772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97DFF86-7174-41A7-9AAD-D3272FCA1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415421</xdr:colOff>
      <xdr:row>15</xdr:row>
      <xdr:rowOff>5935</xdr:rowOff>
    </xdr:from>
    <xdr:to>
      <xdr:col>6</xdr:col>
      <xdr:colOff>572037</xdr:colOff>
      <xdr:row>30</xdr:row>
      <xdr:rowOff>100471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7CA8679-555D-40AC-94E1-92C8D230FC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664051</xdr:colOff>
      <xdr:row>0</xdr:row>
      <xdr:rowOff>130730</xdr:rowOff>
    </xdr:from>
    <xdr:to>
      <xdr:col>17</xdr:col>
      <xdr:colOff>344584</xdr:colOff>
      <xdr:row>18</xdr:row>
      <xdr:rowOff>17379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DCE39DE-634D-4E19-B327-83EDF4F8C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7DDBC-5994-4CAE-89BF-C1164FDD7CD9}">
  <dimension ref="B1:J13"/>
  <sheetViews>
    <sheetView showGridLines="0" topLeftCell="B1" zoomScale="107" zoomScaleNormal="81" workbookViewId="0">
      <selection activeCell="H28" sqref="H28"/>
    </sheetView>
  </sheetViews>
  <sheetFormatPr baseColWidth="10" defaultRowHeight="14.5" x14ac:dyDescent="0.35"/>
  <cols>
    <col min="2" max="2" width="28.36328125" bestFit="1" customWidth="1"/>
    <col min="3" max="3" width="11.08984375" bestFit="1" customWidth="1"/>
    <col min="4" max="4" width="11.54296875" bestFit="1" customWidth="1"/>
    <col min="5" max="5" width="13.08984375" bestFit="1" customWidth="1"/>
    <col min="6" max="8" width="11.90625" bestFit="1" customWidth="1"/>
    <col min="9" max="9" width="10.90625" customWidth="1"/>
  </cols>
  <sheetData>
    <row r="1" spans="2:10" x14ac:dyDescent="0.35">
      <c r="B1" s="1"/>
      <c r="C1" s="1"/>
      <c r="D1" s="1"/>
      <c r="E1" s="1"/>
    </row>
    <row r="2" spans="2:10" x14ac:dyDescent="0.35">
      <c r="B2" s="21" t="s">
        <v>28</v>
      </c>
      <c r="C2" s="1"/>
      <c r="D2" s="1"/>
      <c r="E2" s="1"/>
    </row>
    <row r="3" spans="2:10" x14ac:dyDescent="0.35">
      <c r="B3" s="6"/>
      <c r="C3" s="7" t="s">
        <v>18</v>
      </c>
      <c r="D3" s="7" t="s">
        <v>24</v>
      </c>
      <c r="E3" s="7" t="s">
        <v>20</v>
      </c>
      <c r="F3" s="7" t="s">
        <v>19</v>
      </c>
      <c r="G3" s="7" t="s">
        <v>27</v>
      </c>
      <c r="H3" s="7" t="s">
        <v>31</v>
      </c>
    </row>
    <row r="4" spans="2:10" x14ac:dyDescent="0.35">
      <c r="B4" s="8" t="s">
        <v>0</v>
      </c>
      <c r="C4" s="9">
        <v>41</v>
      </c>
      <c r="D4" s="9">
        <v>33</v>
      </c>
      <c r="E4" s="9">
        <v>36</v>
      </c>
      <c r="F4" s="9">
        <v>34</v>
      </c>
      <c r="G4" s="9">
        <v>49</v>
      </c>
      <c r="H4" s="9">
        <v>45</v>
      </c>
      <c r="I4" s="35"/>
    </row>
    <row r="5" spans="2:10" x14ac:dyDescent="0.35">
      <c r="B5" s="8" t="s">
        <v>17</v>
      </c>
      <c r="C5" s="9" t="s">
        <v>16</v>
      </c>
      <c r="D5" s="9" t="s">
        <v>16</v>
      </c>
      <c r="E5" s="9" t="s">
        <v>16</v>
      </c>
      <c r="F5" s="9">
        <v>11</v>
      </c>
      <c r="G5" s="9">
        <v>16</v>
      </c>
      <c r="H5" s="9">
        <v>26</v>
      </c>
      <c r="I5" s="35"/>
    </row>
    <row r="6" spans="2:10" x14ac:dyDescent="0.35">
      <c r="B6" s="10" t="s">
        <v>9</v>
      </c>
      <c r="C6" s="2">
        <v>79</v>
      </c>
      <c r="D6" s="2">
        <v>78</v>
      </c>
      <c r="E6" s="2">
        <v>82</v>
      </c>
      <c r="F6" s="2">
        <v>90</v>
      </c>
      <c r="G6" s="2">
        <v>145</v>
      </c>
      <c r="H6" s="2">
        <v>109</v>
      </c>
      <c r="I6" s="35"/>
    </row>
    <row r="7" spans="2:10" x14ac:dyDescent="0.35">
      <c r="B7" s="8" t="s">
        <v>1</v>
      </c>
      <c r="C7" s="2">
        <v>25</v>
      </c>
      <c r="D7" s="2">
        <v>14</v>
      </c>
      <c r="E7" s="2">
        <v>20</v>
      </c>
      <c r="F7" s="2">
        <v>25</v>
      </c>
      <c r="G7" s="2">
        <v>22</v>
      </c>
      <c r="H7" s="2">
        <v>28</v>
      </c>
      <c r="I7" s="35"/>
      <c r="J7" s="30"/>
    </row>
    <row r="8" spans="2:10" x14ac:dyDescent="0.35">
      <c r="B8" s="8" t="s">
        <v>10</v>
      </c>
      <c r="C8" s="2">
        <v>27</v>
      </c>
      <c r="D8" s="2">
        <v>20</v>
      </c>
      <c r="E8" s="2">
        <v>31</v>
      </c>
      <c r="F8" s="2">
        <v>36</v>
      </c>
      <c r="G8" s="2">
        <v>39</v>
      </c>
      <c r="H8" s="2">
        <v>51</v>
      </c>
      <c r="I8" s="35"/>
    </row>
    <row r="9" spans="2:10" s="1" customFormat="1" x14ac:dyDescent="0.35">
      <c r="B9" s="11" t="s">
        <v>29</v>
      </c>
      <c r="C9" s="12">
        <f t="shared" ref="C9:H9" si="0">SUM(C4:C8)</f>
        <v>172</v>
      </c>
      <c r="D9" s="12">
        <f t="shared" si="0"/>
        <v>145</v>
      </c>
      <c r="E9" s="7">
        <f t="shared" si="0"/>
        <v>169</v>
      </c>
      <c r="F9" s="7">
        <f t="shared" si="0"/>
        <v>196</v>
      </c>
      <c r="G9" s="7">
        <f t="shared" si="0"/>
        <v>271</v>
      </c>
      <c r="H9" s="7">
        <f t="shared" si="0"/>
        <v>259</v>
      </c>
    </row>
    <row r="10" spans="2:10" x14ac:dyDescent="0.35">
      <c r="B10" s="1"/>
      <c r="C10" s="1"/>
      <c r="D10" s="13"/>
      <c r="E10" s="20"/>
      <c r="F10" s="20"/>
      <c r="G10" s="20"/>
      <c r="H10" s="20"/>
    </row>
    <row r="11" spans="2:10" x14ac:dyDescent="0.35">
      <c r="B11" t="s">
        <v>25</v>
      </c>
      <c r="C11" s="16" t="s">
        <v>26</v>
      </c>
      <c r="D11" s="16">
        <f>D9/$C9-1</f>
        <v>-0.15697674418604646</v>
      </c>
      <c r="E11" s="16">
        <f>E9/$C9-1</f>
        <v>-1.744186046511631E-2</v>
      </c>
      <c r="F11" s="16">
        <f>F9/$C9-1</f>
        <v>0.13953488372093026</v>
      </c>
      <c r="G11" s="16">
        <f>G9/$C9-1</f>
        <v>0.57558139534883712</v>
      </c>
      <c r="H11" s="16">
        <f>H9/$C9-1</f>
        <v>0.5058139534883721</v>
      </c>
    </row>
    <row r="13" spans="2:10" x14ac:dyDescent="0.35">
      <c r="B13" s="11" t="s">
        <v>30</v>
      </c>
      <c r="C13" s="31" t="s">
        <v>16</v>
      </c>
      <c r="D13" s="31" t="s">
        <v>16</v>
      </c>
      <c r="E13" s="12">
        <v>236</v>
      </c>
      <c r="F13" s="12" t="s">
        <v>16</v>
      </c>
      <c r="G13" s="12">
        <v>344</v>
      </c>
      <c r="H13" s="12"/>
    </row>
  </sheetData>
  <conditionalFormatting sqref="D11:H11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B20B-E045-4D52-BBB3-F5A065E0FF3E}">
  <dimension ref="B2:L38"/>
  <sheetViews>
    <sheetView showGridLines="0" tabSelected="1" topLeftCell="A23" zoomScale="102" zoomScaleNormal="96" workbookViewId="0">
      <selection activeCell="B31" sqref="B31:E38"/>
    </sheetView>
  </sheetViews>
  <sheetFormatPr baseColWidth="10" defaultRowHeight="14.5" x14ac:dyDescent="0.35"/>
  <cols>
    <col min="2" max="2" width="14.6328125" bestFit="1" customWidth="1"/>
    <col min="3" max="3" width="11.08984375" bestFit="1" customWidth="1"/>
    <col min="4" max="4" width="11.54296875" bestFit="1" customWidth="1"/>
    <col min="5" max="6" width="11.54296875" customWidth="1"/>
    <col min="7" max="8" width="13.08984375" bestFit="1" customWidth="1"/>
    <col min="9" max="9" width="5" customWidth="1"/>
    <col min="10" max="10" width="17.6328125" bestFit="1" customWidth="1"/>
  </cols>
  <sheetData>
    <row r="2" spans="2:12" x14ac:dyDescent="0.35">
      <c r="C2" s="32" t="s">
        <v>29</v>
      </c>
      <c r="D2" s="32"/>
      <c r="E2" s="32"/>
      <c r="F2" s="32"/>
      <c r="G2" s="32"/>
      <c r="H2" s="32"/>
      <c r="I2" s="32"/>
      <c r="J2" s="32"/>
    </row>
    <row r="3" spans="2:12" x14ac:dyDescent="0.35">
      <c r="C3" s="33"/>
      <c r="D3" s="33"/>
      <c r="E3" s="33"/>
      <c r="F3" s="33"/>
      <c r="G3" s="33"/>
      <c r="H3" s="33"/>
      <c r="I3" s="33"/>
      <c r="J3" s="33"/>
    </row>
    <row r="4" spans="2:12" x14ac:dyDescent="0.35">
      <c r="B4" s="14"/>
      <c r="C4" s="14" t="s">
        <v>3</v>
      </c>
      <c r="D4" s="14" t="s">
        <v>4</v>
      </c>
      <c r="E4" s="14" t="s">
        <v>22</v>
      </c>
      <c r="F4" s="14" t="s">
        <v>5</v>
      </c>
      <c r="G4" s="14" t="s">
        <v>6</v>
      </c>
      <c r="H4" s="14" t="s">
        <v>23</v>
      </c>
      <c r="I4" s="14"/>
      <c r="J4" s="3" t="s">
        <v>7</v>
      </c>
      <c r="L4" s="14"/>
    </row>
    <row r="5" spans="2:12" x14ac:dyDescent="0.35">
      <c r="B5" s="14" t="s">
        <v>0</v>
      </c>
      <c r="C5" s="34">
        <v>17</v>
      </c>
      <c r="D5" s="34">
        <v>14</v>
      </c>
      <c r="E5" s="34">
        <v>2</v>
      </c>
      <c r="F5" s="34">
        <v>10</v>
      </c>
      <c r="G5" s="34">
        <v>0</v>
      </c>
      <c r="H5" s="34">
        <v>2</v>
      </c>
      <c r="I5" s="14"/>
      <c r="J5" s="3">
        <f>SUM(C5:H5)</f>
        <v>45</v>
      </c>
      <c r="L5" s="14"/>
    </row>
    <row r="6" spans="2:12" x14ac:dyDescent="0.35">
      <c r="B6" s="14" t="s">
        <v>17</v>
      </c>
      <c r="C6" s="22">
        <v>14</v>
      </c>
      <c r="D6" s="22">
        <v>2</v>
      </c>
      <c r="E6" s="22">
        <v>1</v>
      </c>
      <c r="F6" s="22">
        <v>9</v>
      </c>
      <c r="G6" s="22">
        <v>0</v>
      </c>
      <c r="H6" s="22">
        <v>0</v>
      </c>
      <c r="I6" s="14"/>
      <c r="J6" s="3">
        <f>SUM(C6:H6)</f>
        <v>26</v>
      </c>
    </row>
    <row r="7" spans="2:12" x14ac:dyDescent="0.35">
      <c r="B7" s="14" t="s">
        <v>9</v>
      </c>
      <c r="C7" s="22">
        <v>42</v>
      </c>
      <c r="D7" s="22">
        <v>18</v>
      </c>
      <c r="E7" s="22">
        <v>0</v>
      </c>
      <c r="F7" s="22">
        <v>43</v>
      </c>
      <c r="G7" s="22">
        <v>3</v>
      </c>
      <c r="H7" s="22">
        <v>3</v>
      </c>
      <c r="I7" s="14"/>
      <c r="J7" s="3">
        <f t="shared" ref="J7:J9" si="0">SUM(C7:H7)</f>
        <v>109</v>
      </c>
    </row>
    <row r="8" spans="2:12" x14ac:dyDescent="0.35">
      <c r="B8" s="14" t="s">
        <v>1</v>
      </c>
      <c r="C8" s="34">
        <v>6</v>
      </c>
      <c r="D8" s="34">
        <v>7</v>
      </c>
      <c r="E8" s="34">
        <v>0</v>
      </c>
      <c r="F8" s="34">
        <v>11</v>
      </c>
      <c r="G8" s="34">
        <v>4</v>
      </c>
      <c r="H8" s="34">
        <v>0</v>
      </c>
      <c r="I8" s="14"/>
      <c r="J8" s="3">
        <f t="shared" si="0"/>
        <v>28</v>
      </c>
    </row>
    <row r="9" spans="2:12" x14ac:dyDescent="0.35">
      <c r="B9" s="14" t="s">
        <v>2</v>
      </c>
      <c r="C9" s="34">
        <v>12</v>
      </c>
      <c r="D9" s="34">
        <v>10</v>
      </c>
      <c r="E9" s="34">
        <v>4</v>
      </c>
      <c r="F9" s="34">
        <v>18</v>
      </c>
      <c r="G9" s="34">
        <v>5</v>
      </c>
      <c r="H9" s="34">
        <v>2</v>
      </c>
      <c r="I9" s="14"/>
      <c r="J9" s="3">
        <f t="shared" si="0"/>
        <v>51</v>
      </c>
    </row>
    <row r="10" spans="2:12" x14ac:dyDescent="0.35">
      <c r="B10" s="3" t="s">
        <v>8</v>
      </c>
      <c r="C10" s="3">
        <f>SUM(C5:C9)</f>
        <v>91</v>
      </c>
      <c r="D10" s="3">
        <f t="shared" ref="D10:H10" si="1">SUM(D5:D9)</f>
        <v>51</v>
      </c>
      <c r="E10" s="3">
        <f t="shared" si="1"/>
        <v>7</v>
      </c>
      <c r="F10" s="3">
        <f>SUM(F5:F9)</f>
        <v>91</v>
      </c>
      <c r="G10" s="3">
        <f t="shared" si="1"/>
        <v>12</v>
      </c>
      <c r="H10" s="3">
        <f>SUM(H5:H9)</f>
        <v>7</v>
      </c>
      <c r="I10" s="14"/>
      <c r="J10" s="15">
        <f>SUM(C10:H10)</f>
        <v>259</v>
      </c>
    </row>
    <row r="11" spans="2:12" x14ac:dyDescent="0.35">
      <c r="I11" s="14"/>
    </row>
    <row r="12" spans="2:12" x14ac:dyDescent="0.35">
      <c r="I12" s="14"/>
    </row>
    <row r="13" spans="2:12" x14ac:dyDescent="0.35">
      <c r="B13" s="14"/>
      <c r="C13" s="14" t="s">
        <v>3</v>
      </c>
      <c r="D13" s="14" t="s">
        <v>4</v>
      </c>
      <c r="E13" s="14" t="s">
        <v>22</v>
      </c>
      <c r="F13" s="14" t="s">
        <v>5</v>
      </c>
      <c r="G13" s="14" t="s">
        <v>6</v>
      </c>
      <c r="H13" s="14" t="s">
        <v>23</v>
      </c>
      <c r="I13" s="14"/>
      <c r="J13" s="3" t="s">
        <v>7</v>
      </c>
    </row>
    <row r="14" spans="2:12" x14ac:dyDescent="0.35">
      <c r="B14" s="14" t="s">
        <v>0</v>
      </c>
      <c r="C14" s="16">
        <f t="shared" ref="C14:H18" si="2">C5/$J5</f>
        <v>0.37777777777777777</v>
      </c>
      <c r="D14" s="16">
        <f t="shared" si="2"/>
        <v>0.31111111111111112</v>
      </c>
      <c r="E14" s="16">
        <f t="shared" si="2"/>
        <v>4.4444444444444446E-2</v>
      </c>
      <c r="F14" s="16">
        <f t="shared" si="2"/>
        <v>0.22222222222222221</v>
      </c>
      <c r="G14" s="16">
        <f t="shared" si="2"/>
        <v>0</v>
      </c>
      <c r="H14" s="16">
        <f t="shared" si="2"/>
        <v>4.4444444444444446E-2</v>
      </c>
      <c r="I14" s="16"/>
      <c r="J14" s="17">
        <f>SUM(C14:H14)</f>
        <v>0.99999999999999989</v>
      </c>
    </row>
    <row r="15" spans="2:12" x14ac:dyDescent="0.35">
      <c r="B15" s="14" t="s">
        <v>17</v>
      </c>
      <c r="C15" s="16">
        <f t="shared" si="2"/>
        <v>0.53846153846153844</v>
      </c>
      <c r="D15" s="16">
        <f t="shared" si="2"/>
        <v>7.6923076923076927E-2</v>
      </c>
      <c r="E15" s="16">
        <f t="shared" si="2"/>
        <v>3.8461538461538464E-2</v>
      </c>
      <c r="F15" s="16">
        <f t="shared" si="2"/>
        <v>0.34615384615384615</v>
      </c>
      <c r="G15" s="16">
        <f t="shared" si="2"/>
        <v>0</v>
      </c>
      <c r="H15" s="16">
        <f t="shared" si="2"/>
        <v>0</v>
      </c>
      <c r="I15" s="16"/>
      <c r="J15" s="17">
        <f t="shared" ref="J15:J18" si="3">SUM(C15:H15)</f>
        <v>1</v>
      </c>
    </row>
    <row r="16" spans="2:12" x14ac:dyDescent="0.35">
      <c r="B16" s="14" t="s">
        <v>9</v>
      </c>
      <c r="C16" s="16">
        <f>C7/$J7</f>
        <v>0.38532110091743121</v>
      </c>
      <c r="D16" s="16">
        <f t="shared" si="2"/>
        <v>0.16513761467889909</v>
      </c>
      <c r="E16" s="16">
        <f t="shared" si="2"/>
        <v>0</v>
      </c>
      <c r="F16" s="16">
        <f t="shared" si="2"/>
        <v>0.39449541284403672</v>
      </c>
      <c r="G16" s="16">
        <f t="shared" si="2"/>
        <v>2.7522935779816515E-2</v>
      </c>
      <c r="H16" s="16">
        <f t="shared" si="2"/>
        <v>2.7522935779816515E-2</v>
      </c>
      <c r="I16" s="16"/>
      <c r="J16" s="17">
        <f t="shared" si="3"/>
        <v>1.0000000000000002</v>
      </c>
    </row>
    <row r="17" spans="2:10" x14ac:dyDescent="0.35">
      <c r="B17" s="14" t="s">
        <v>1</v>
      </c>
      <c r="C17" s="16">
        <f t="shared" si="2"/>
        <v>0.21428571428571427</v>
      </c>
      <c r="D17" s="16">
        <f t="shared" si="2"/>
        <v>0.25</v>
      </c>
      <c r="E17" s="16">
        <f t="shared" si="2"/>
        <v>0</v>
      </c>
      <c r="F17" s="16">
        <f t="shared" si="2"/>
        <v>0.39285714285714285</v>
      </c>
      <c r="G17" s="16">
        <f t="shared" si="2"/>
        <v>0.14285714285714285</v>
      </c>
      <c r="H17" s="16">
        <f t="shared" si="2"/>
        <v>0</v>
      </c>
      <c r="I17" s="16"/>
      <c r="J17" s="17">
        <f t="shared" si="3"/>
        <v>1</v>
      </c>
    </row>
    <row r="18" spans="2:10" x14ac:dyDescent="0.35">
      <c r="B18" s="14" t="s">
        <v>2</v>
      </c>
      <c r="C18" s="16">
        <f t="shared" si="2"/>
        <v>0.23529411764705882</v>
      </c>
      <c r="D18" s="16">
        <f t="shared" si="2"/>
        <v>0.19607843137254902</v>
      </c>
      <c r="E18" s="16">
        <f t="shared" si="2"/>
        <v>7.8431372549019607E-2</v>
      </c>
      <c r="F18" s="16">
        <f t="shared" si="2"/>
        <v>0.35294117647058826</v>
      </c>
      <c r="G18" s="16">
        <f t="shared" si="2"/>
        <v>9.8039215686274508E-2</v>
      </c>
      <c r="H18" s="16">
        <f t="shared" si="2"/>
        <v>3.9215686274509803E-2</v>
      </c>
      <c r="I18" s="16"/>
      <c r="J18" s="17">
        <f t="shared" si="3"/>
        <v>1</v>
      </c>
    </row>
    <row r="20" spans="2:10" x14ac:dyDescent="0.35">
      <c r="B20" s="3" t="s">
        <v>8</v>
      </c>
      <c r="C20" s="16">
        <f t="shared" ref="C20:H20" si="4">C10/$J10</f>
        <v>0.35135135135135137</v>
      </c>
      <c r="D20" s="16">
        <f t="shared" si="4"/>
        <v>0.19691119691119691</v>
      </c>
      <c r="E20" s="16">
        <f t="shared" si="4"/>
        <v>2.7027027027027029E-2</v>
      </c>
      <c r="F20" s="16">
        <f t="shared" si="4"/>
        <v>0.35135135135135137</v>
      </c>
      <c r="G20" s="16">
        <f t="shared" si="4"/>
        <v>4.633204633204633E-2</v>
      </c>
      <c r="H20" s="16">
        <f t="shared" si="4"/>
        <v>2.7027027027027029E-2</v>
      </c>
      <c r="I20" s="16"/>
      <c r="J20" s="18">
        <f>SUM(C20:H20)</f>
        <v>1</v>
      </c>
    </row>
    <row r="22" spans="2:10" x14ac:dyDescent="0.35">
      <c r="B22" s="14"/>
      <c r="C22" s="23" t="s">
        <v>11</v>
      </c>
      <c r="D22" s="23" t="s">
        <v>12</v>
      </c>
      <c r="E22" s="14"/>
      <c r="F22" s="14"/>
      <c r="J22" s="3" t="s">
        <v>7</v>
      </c>
    </row>
    <row r="23" spans="2:10" x14ac:dyDescent="0.35">
      <c r="B23" s="4" t="s">
        <v>0</v>
      </c>
      <c r="C23" s="24">
        <f>SUM(C14:E14)</f>
        <v>0.73333333333333328</v>
      </c>
      <c r="D23" s="24">
        <f>SUM(F14:H14)</f>
        <v>0.26666666666666666</v>
      </c>
      <c r="E23" s="26"/>
      <c r="F23" s="25"/>
      <c r="J23" s="17">
        <f>SUM(C23:H23)</f>
        <v>1</v>
      </c>
    </row>
    <row r="24" spans="2:10" x14ac:dyDescent="0.35">
      <c r="B24" s="4" t="s">
        <v>17</v>
      </c>
      <c r="C24" s="24">
        <f>SUM(C15:E15)</f>
        <v>0.65384615384615385</v>
      </c>
      <c r="D24" s="24">
        <f t="shared" ref="D24:D26" si="5">SUM(F15:H15)</f>
        <v>0.34615384615384615</v>
      </c>
      <c r="E24" s="26"/>
      <c r="F24" s="25"/>
      <c r="J24" s="17">
        <f>SUM(C24:H24)</f>
        <v>1</v>
      </c>
    </row>
    <row r="25" spans="2:10" x14ac:dyDescent="0.35">
      <c r="B25" s="4" t="s">
        <v>9</v>
      </c>
      <c r="C25" s="24">
        <f>SUM(C16:E16)</f>
        <v>0.55045871559633031</v>
      </c>
      <c r="D25" s="24">
        <f t="shared" si="5"/>
        <v>0.44954128440366975</v>
      </c>
      <c r="E25" s="26"/>
      <c r="F25" s="25"/>
      <c r="J25" s="17">
        <f>SUM(C25:H25)</f>
        <v>1</v>
      </c>
    </row>
    <row r="26" spans="2:10" x14ac:dyDescent="0.35">
      <c r="B26" s="4" t="s">
        <v>1</v>
      </c>
      <c r="C26" s="24">
        <f>SUM(C17:E17)</f>
        <v>0.4642857142857143</v>
      </c>
      <c r="D26" s="24">
        <f t="shared" si="5"/>
        <v>0.5357142857142857</v>
      </c>
      <c r="E26" s="26"/>
      <c r="F26" s="25"/>
      <c r="J26" s="17">
        <f>SUM(C26:H26)</f>
        <v>1</v>
      </c>
    </row>
    <row r="27" spans="2:10" x14ac:dyDescent="0.35">
      <c r="B27" s="4" t="s">
        <v>2</v>
      </c>
      <c r="C27" s="24">
        <f>SUM(C18:E18)</f>
        <v>0.50980392156862742</v>
      </c>
      <c r="D27" s="24">
        <f>SUM(F18:H18)</f>
        <v>0.49019607843137258</v>
      </c>
      <c r="E27" s="26"/>
      <c r="F27" s="25"/>
      <c r="J27" s="17">
        <f>SUM(C27:H27)</f>
        <v>1</v>
      </c>
    </row>
    <row r="28" spans="2:10" ht="6" customHeight="1" x14ac:dyDescent="0.35">
      <c r="C28" s="16"/>
      <c r="D28" s="16"/>
    </row>
    <row r="29" spans="2:10" x14ac:dyDescent="0.35">
      <c r="B29" s="5" t="s">
        <v>13</v>
      </c>
      <c r="C29" s="24">
        <f>SUM(C20:E20)</f>
        <v>0.57528957528957525</v>
      </c>
      <c r="D29" s="24">
        <f>SUM(F20:H20)</f>
        <v>0.42471042471042475</v>
      </c>
      <c r="E29" s="25"/>
      <c r="F29" s="25"/>
      <c r="J29" s="18">
        <f>SUM(C29:H29)</f>
        <v>1</v>
      </c>
    </row>
    <row r="31" spans="2:10" s="27" customFormat="1" ht="43.5" x14ac:dyDescent="0.35">
      <c r="C31" s="28" t="s">
        <v>14</v>
      </c>
      <c r="D31" s="28" t="s">
        <v>15</v>
      </c>
      <c r="E31" s="29" t="s">
        <v>21</v>
      </c>
      <c r="J31" s="6" t="s">
        <v>7</v>
      </c>
    </row>
    <row r="32" spans="2:10" x14ac:dyDescent="0.35">
      <c r="B32" s="4" t="s">
        <v>0</v>
      </c>
      <c r="C32" s="24">
        <f>D14+G14</f>
        <v>0.31111111111111112</v>
      </c>
      <c r="D32" s="24">
        <f>C14+F14</f>
        <v>0.6</v>
      </c>
      <c r="E32" s="24">
        <f>E14+H14</f>
        <v>8.8888888888888892E-2</v>
      </c>
      <c r="G32" s="16"/>
      <c r="H32" s="16"/>
      <c r="I32" s="16"/>
      <c r="J32" s="17">
        <f>SUM(C32:H32)</f>
        <v>1</v>
      </c>
    </row>
    <row r="33" spans="2:10" x14ac:dyDescent="0.35">
      <c r="B33" s="4" t="s">
        <v>17</v>
      </c>
      <c r="C33" s="24">
        <f>D15+G15</f>
        <v>7.6923076923076927E-2</v>
      </c>
      <c r="D33" s="24">
        <f>C15+F15</f>
        <v>0.88461538461538458</v>
      </c>
      <c r="E33" s="24">
        <f t="shared" ref="E33:E36" si="6">E15+H15</f>
        <v>3.8461538461538464E-2</v>
      </c>
      <c r="G33" s="16"/>
      <c r="H33" s="16"/>
      <c r="I33" s="16"/>
      <c r="J33" s="17"/>
    </row>
    <row r="34" spans="2:10" x14ac:dyDescent="0.35">
      <c r="B34" s="4" t="s">
        <v>9</v>
      </c>
      <c r="C34" s="24">
        <f>D16+G16</f>
        <v>0.19266055045871561</v>
      </c>
      <c r="D34" s="24">
        <f>C16+F16</f>
        <v>0.77981651376146788</v>
      </c>
      <c r="E34" s="24">
        <f t="shared" si="6"/>
        <v>2.7522935779816515E-2</v>
      </c>
      <c r="G34" s="16"/>
      <c r="H34" s="16"/>
      <c r="I34" s="16"/>
      <c r="J34" s="17">
        <f>SUM(C34:H34)</f>
        <v>1</v>
      </c>
    </row>
    <row r="35" spans="2:10" x14ac:dyDescent="0.35">
      <c r="B35" s="4" t="s">
        <v>1</v>
      </c>
      <c r="C35" s="24">
        <f>D17+G17</f>
        <v>0.39285714285714285</v>
      </c>
      <c r="D35" s="24">
        <f>C17+F17</f>
        <v>0.6071428571428571</v>
      </c>
      <c r="E35" s="24">
        <f t="shared" si="6"/>
        <v>0</v>
      </c>
      <c r="G35" s="16"/>
      <c r="H35" s="16"/>
      <c r="I35" s="16"/>
      <c r="J35" s="17">
        <f>SUM(C35:H35)</f>
        <v>1</v>
      </c>
    </row>
    <row r="36" spans="2:10" x14ac:dyDescent="0.35">
      <c r="B36" s="4" t="s">
        <v>2</v>
      </c>
      <c r="C36" s="24">
        <f>D18+G18</f>
        <v>0.29411764705882354</v>
      </c>
      <c r="D36" s="24">
        <f>C18+F18</f>
        <v>0.58823529411764708</v>
      </c>
      <c r="E36" s="24">
        <f t="shared" si="6"/>
        <v>0.11764705882352941</v>
      </c>
      <c r="G36" s="16"/>
      <c r="H36" s="16"/>
      <c r="I36" s="16"/>
      <c r="J36" s="17">
        <f>SUM(C36:H36)</f>
        <v>1</v>
      </c>
    </row>
    <row r="37" spans="2:10" ht="6" customHeight="1" x14ac:dyDescent="0.35">
      <c r="C37" s="16"/>
    </row>
    <row r="38" spans="2:10" x14ac:dyDescent="0.35">
      <c r="B38" s="5" t="s">
        <v>13</v>
      </c>
      <c r="C38" s="19">
        <f>D20+G20</f>
        <v>0.24324324324324323</v>
      </c>
      <c r="D38" s="19">
        <f>C20+F20</f>
        <v>0.70270270270270274</v>
      </c>
      <c r="E38" s="19">
        <f>E20+H20</f>
        <v>5.4054054054054057E-2</v>
      </c>
      <c r="G38" s="16"/>
      <c r="H38" s="16"/>
      <c r="I38" s="16"/>
      <c r="J38" s="18">
        <f>SUM(C38:H38)</f>
        <v>1</v>
      </c>
    </row>
  </sheetData>
  <mergeCells count="2">
    <mergeCell ref="C2:J2"/>
    <mergeCell ref="C3:J3"/>
  </mergeCells>
  <conditionalFormatting sqref="C14:H38">
    <cfRule type="colorScale" priority="1">
      <colorScale>
        <cfvo type="percent" val="0"/>
        <cfvo type="percentile" val="50"/>
        <cfvo type="percent" val="10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Multicréneaux</vt:lpstr>
      <vt:lpstr>Détail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Josso</dc:creator>
  <cp:lastModifiedBy>Martin Josso</cp:lastModifiedBy>
  <dcterms:created xsi:type="dcterms:W3CDTF">2021-06-02T06:42:21Z</dcterms:created>
  <dcterms:modified xsi:type="dcterms:W3CDTF">2024-06-24T11:39:23Z</dcterms:modified>
</cp:coreProperties>
</file>